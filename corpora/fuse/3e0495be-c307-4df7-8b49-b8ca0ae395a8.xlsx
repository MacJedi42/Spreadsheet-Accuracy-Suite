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60" yWindow="5700" windowWidth="12390" windowHeight="5520" tabRatio="601" activeTab="1"/>
  </bookViews>
  <sheets>
    <sheet name="Pupil Data" sheetId="22" r:id="rId1"/>
    <sheet name="SUMMARY-ALL YEARS" sheetId="9" r:id="rId2"/>
    <sheet name="FEB04 TEMPLATE" sheetId="8" state="hidden" r:id="rId3"/>
    <sheet name="SUMMARY-Approp Table" sheetId="33" r:id="rId4"/>
    <sheet name="FY 2003" sheetId="15" state="hidden" r:id="rId5"/>
    <sheet name="FY 2004" sheetId="16" state="hidden" r:id="rId6"/>
    <sheet name="FY 2005" sheetId="17" state="hidden" r:id="rId7"/>
    <sheet name="SUMMARY-Mike's Special Pupil" sheetId="37" state="hidden" r:id="rId8"/>
    <sheet name="CORRECTED-Mike's Special Pupil" sheetId="38" state="hidden" r:id="rId9"/>
    <sheet name="Test Change" sheetId="49" state="hidden" r:id="rId10"/>
    <sheet name="SUMMARY-Biennial" sheetId="45" r:id="rId11"/>
    <sheet name="FY 2006" sheetId="18" state="hidden" r:id="rId12"/>
    <sheet name="FY 2007" sheetId="19" state="hidden" r:id="rId13"/>
    <sheet name="MN Acad State Treasury Transfer" sheetId="41" r:id="rId14"/>
    <sheet name="Sch Tech &amp; Oper Cap" sheetId="46" r:id="rId15"/>
    <sheet name="TRA RED  FOR CHT" sheetId="23" r:id="rId16"/>
    <sheet name="FY 2008" sheetId="20" r:id="rId17"/>
    <sheet name="FY 2009" sheetId="21" r:id="rId18"/>
    <sheet name="FY 2010" sheetId="30" r:id="rId19"/>
    <sheet name="FY 2011" sheetId="31" r:id="rId20"/>
    <sheet name="FY 2012" sheetId="39" r:id="rId21"/>
    <sheet name="FY 2013" sheetId="40" r:id="rId22"/>
    <sheet name="FY 2014" sheetId="52" r:id="rId23"/>
    <sheet name="FY 2015" sheetId="54" r:id="rId24"/>
    <sheet name="Multipliers for Fudge Alt Att" sheetId="29" r:id="rId25"/>
    <sheet name="Equity Low Ave" sheetId="25" r:id="rId26"/>
    <sheet name="Charter Transp Factors" sheetId="44" r:id="rId27"/>
    <sheet name="NEW REF-BEFORE ELECTION-OLD" sheetId="32" state="hidden" r:id="rId28"/>
    <sheet name="NEW REF-AFTER ELECTION" sheetId="57" r:id="rId29"/>
    <sheet name="NEW REF-BEFORE ELECT-quick fix" sheetId="55" r:id="rId30"/>
    <sheet name="Ref Growth Change History" sheetId="48" r:id="rId31"/>
    <sheet name="NEW REF-BEFORE ELECTION" sheetId="47" state="hidden" r:id="rId32"/>
  </sheets>
  <definedNames>
    <definedName name="__123Graph_X" localSheetId="2" hidden="1">'FEB04 TEMPLATE'!$S$393:$S$739</definedName>
    <definedName name="__123Graph_X" localSheetId="15" hidden="1">'TRA RED  FOR CHT'!$J$338:$J$684</definedName>
    <definedName name="_Regression_Int" localSheetId="2" hidden="1">1</definedName>
    <definedName name="_Regression_Int" localSheetId="15" hidden="1">1</definedName>
    <definedName name="CREATION" localSheetId="22">#REF!</definedName>
    <definedName name="CREATION" localSheetId="23">#REF!</definedName>
    <definedName name="CREATION" localSheetId="28">#REF!</definedName>
    <definedName name="CREATION" localSheetId="29">#REF!</definedName>
    <definedName name="CREATION">#REF!</definedName>
    <definedName name="HELP" localSheetId="22">#REF!</definedName>
    <definedName name="HELP" localSheetId="23">#REF!</definedName>
    <definedName name="HELP" localSheetId="28">#REF!</definedName>
    <definedName name="HELP" localSheetId="29">#REF!</definedName>
    <definedName name="HELP">#REF!</definedName>
    <definedName name="_xlnm.Print_Area" localSheetId="8">'CORRECTED-Mike''s Special Pupil'!$A$3:$K$78</definedName>
    <definedName name="_xlnm.Print_Area" localSheetId="2">'FEB04 TEMPLATE'!$A$8:$F$68</definedName>
    <definedName name="_xlnm.Print_Area" localSheetId="4">'FY 2003'!$A$3:$I$206</definedName>
    <definedName name="_xlnm.Print_Area" localSheetId="5">'FY 2004'!$A$3:$I$206</definedName>
    <definedName name="_xlnm.Print_Area" localSheetId="6">'FY 2005'!$A$3:$I$206</definedName>
    <definedName name="_xlnm.Print_Area" localSheetId="11">'FY 2006'!$A$3:$I$212</definedName>
    <definedName name="_xlnm.Print_Area" localSheetId="12">'FY 2007'!$A$3:$I$212</definedName>
    <definedName name="_xlnm.Print_Area" localSheetId="16">'FY 2008'!$A$3:$I$212</definedName>
    <definedName name="_xlnm.Print_Area" localSheetId="17">'FY 2009'!$A$3:$I$218</definedName>
    <definedName name="_xlnm.Print_Area" localSheetId="18">'FY 2010'!$A$3:$J$218</definedName>
    <definedName name="_xlnm.Print_Area" localSheetId="19">'FY 2011'!$A$3:$J$212</definedName>
    <definedName name="_xlnm.Print_Area" localSheetId="20">'FY 2012'!$A$3:$J$212</definedName>
    <definedName name="_xlnm.Print_Area" localSheetId="21">'FY 2013'!$A$3:$J$212</definedName>
    <definedName name="_xlnm.Print_Area" localSheetId="22">'FY 2014'!$A$3:$J$212</definedName>
    <definedName name="_xlnm.Print_Area" localSheetId="23">'FY 2015'!$A$3:$J$212</definedName>
    <definedName name="_xlnm.Print_Area" localSheetId="28">'NEW REF-AFTER ELECTION'!$A$6:$Q$276</definedName>
    <definedName name="_xlnm.Print_Area" localSheetId="31">'NEW REF-BEFORE ELECTION'!$A$4:$Q$266</definedName>
    <definedName name="_xlnm.Print_Area" localSheetId="27">'NEW REF-BEFORE ELECTION-OLD'!$A$4:$Q$117</definedName>
    <definedName name="_xlnm.Print_Area" localSheetId="29">'NEW REF-BEFORE ELECT-quick fix'!$A$4:$G$32</definedName>
    <definedName name="_xlnm.Print_Area" localSheetId="0">'Pupil Data'!$A$5:$J$484</definedName>
    <definedName name="_xlnm.Print_Area" localSheetId="14">'Sch Tech &amp; Oper Cap'!$A$3:$E$8</definedName>
    <definedName name="_xlnm.Print_Area" localSheetId="1">'SUMMARY-ALL YEARS'!$A$3:$P$225</definedName>
    <definedName name="_xlnm.Print_Area" localSheetId="3">'SUMMARY-Approp Table'!$A$3:$P$299</definedName>
    <definedName name="_xlnm.Print_Area" localSheetId="10">'SUMMARY-Biennial'!$A$7:$M$76</definedName>
    <definedName name="_xlnm.Print_Area" localSheetId="7">'SUMMARY-Mike''s Special Pupil'!$A$3:$L$78</definedName>
    <definedName name="_xlnm.Print_Area" localSheetId="9">'Test Change'!$A$206:$Q$248</definedName>
    <definedName name="_xlnm.Print_Area" localSheetId="15">'TRA RED  FOR CHT'!$A$4:$H$22</definedName>
    <definedName name="Print_Area_MI" localSheetId="2">'FEB04 TEMPLATE'!$A$1:$F$69</definedName>
    <definedName name="Print_Area_MI" localSheetId="15">'TRA RED  FOR CHT'!$A$1:$G$12</definedName>
    <definedName name="_xlnm.Print_Titles" localSheetId="28">'NEW REF-AFTER ELECTION'!$4:$5</definedName>
    <definedName name="_xlnm.Print_Titles" localSheetId="31">'NEW REF-BEFORE ELECTION'!$4:$5</definedName>
    <definedName name="_xlnm.Print_Titles" localSheetId="27">'NEW REF-BEFORE ELECTION-OLD'!$4:$5</definedName>
    <definedName name="_xlnm.Print_Titles" localSheetId="29">'NEW REF-BEFORE ELECT-quick fix'!$4:$5</definedName>
    <definedName name="_xlnm.Print_Titles" localSheetId="0">'Pupil Data'!$3:$4</definedName>
    <definedName name="_xlnm.Print_Titles" localSheetId="3">'SUMMARY-Approp Table'!$A:$C</definedName>
    <definedName name="_xlnm.Print_Titles" localSheetId="10">'SUMMARY-Biennial'!$3:$4</definedName>
    <definedName name="_xlnm.Print_Titles" localSheetId="9">'Test Change'!$165:$165</definedName>
  </definedNames>
  <calcPr calcId="145621" fullCalcOnLoad="1"/>
</workbook>
</file>

<file path=xl/calcChain.xml><?xml version="1.0" encoding="utf-8"?>
<calcChain xmlns="http://schemas.openxmlformats.org/spreadsheetml/2006/main">
  <c r="K72" i="31" l="1"/>
  <c r="K74" i="31"/>
  <c r="L71" i="31"/>
  <c r="L38" i="54"/>
  <c r="L37" i="54"/>
  <c r="L36" i="54"/>
  <c r="L35" i="54"/>
  <c r="L34" i="54"/>
  <c r="L108" i="52"/>
  <c r="L107" i="52"/>
  <c r="L106" i="52"/>
  <c r="L105" i="52"/>
  <c r="L104" i="52"/>
  <c r="L38" i="52"/>
  <c r="L37" i="52"/>
  <c r="L36" i="52"/>
  <c r="L35" i="52"/>
  <c r="L34" i="52"/>
  <c r="L38" i="40"/>
  <c r="L108" i="40"/>
  <c r="L107" i="40"/>
  <c r="L106" i="40"/>
  <c r="L105" i="40"/>
  <c r="L104" i="40"/>
  <c r="L37" i="40"/>
  <c r="L36" i="40"/>
  <c r="L35" i="40"/>
  <c r="L34" i="40"/>
  <c r="L38" i="39"/>
  <c r="L37" i="39"/>
  <c r="L36" i="39"/>
  <c r="L35" i="39"/>
  <c r="L34" i="39"/>
  <c r="L38" i="31"/>
  <c r="L37" i="31"/>
  <c r="L36" i="31"/>
  <c r="L35" i="31"/>
  <c r="L34" i="31"/>
  <c r="L38" i="30"/>
  <c r="L111" i="30"/>
  <c r="L110" i="30"/>
  <c r="L109" i="30"/>
  <c r="L108" i="30"/>
  <c r="L107" i="30"/>
  <c r="K48" i="22"/>
  <c r="K47" i="22"/>
  <c r="K46" i="22"/>
  <c r="K209" i="22"/>
  <c r="K208" i="22"/>
  <c r="K207" i="22"/>
  <c r="D31" i="39"/>
  <c r="D6" i="39"/>
  <c r="D32" i="30"/>
  <c r="G32" i="30"/>
  <c r="J141" i="54"/>
  <c r="I135" i="54"/>
  <c r="H135" i="54"/>
  <c r="G135" i="54"/>
  <c r="F135" i="54"/>
  <c r="E135" i="54"/>
  <c r="D135" i="54"/>
  <c r="J135" i="54"/>
  <c r="I134" i="54"/>
  <c r="H134" i="54"/>
  <c r="G134" i="54"/>
  <c r="F134" i="54"/>
  <c r="E134" i="54"/>
  <c r="D134" i="54"/>
  <c r="J134" i="54"/>
  <c r="I133" i="54"/>
  <c r="H133" i="54"/>
  <c r="G133" i="54"/>
  <c r="F133" i="54"/>
  <c r="E133" i="54"/>
  <c r="D133" i="54"/>
  <c r="J133" i="54"/>
  <c r="I132" i="54"/>
  <c r="H132" i="54"/>
  <c r="G132" i="54"/>
  <c r="F132" i="54"/>
  <c r="E132" i="54"/>
  <c r="D132" i="54"/>
  <c r="J132" i="54"/>
  <c r="I131" i="54"/>
  <c r="H131" i="54"/>
  <c r="G131" i="54"/>
  <c r="F131" i="54"/>
  <c r="E131" i="54"/>
  <c r="D131" i="54"/>
  <c r="J131" i="54"/>
  <c r="J129" i="54"/>
  <c r="I128" i="54"/>
  <c r="H128" i="54"/>
  <c r="G128" i="54"/>
  <c r="F128" i="54"/>
  <c r="E128" i="54"/>
  <c r="D128" i="54"/>
  <c r="J128" i="54"/>
  <c r="I127" i="54"/>
  <c r="H127" i="54"/>
  <c r="G127" i="54"/>
  <c r="F127" i="54"/>
  <c r="D127" i="54"/>
  <c r="I126" i="54"/>
  <c r="H126" i="54"/>
  <c r="G126" i="54"/>
  <c r="F126" i="54"/>
  <c r="E126" i="54"/>
  <c r="D126" i="54"/>
  <c r="J126" i="54"/>
  <c r="I125" i="54"/>
  <c r="H125" i="54"/>
  <c r="G125" i="54"/>
  <c r="F125" i="54"/>
  <c r="D125" i="54"/>
  <c r="I124" i="54"/>
  <c r="H124" i="54"/>
  <c r="G124" i="54"/>
  <c r="F124" i="54"/>
  <c r="E124" i="54"/>
  <c r="D124" i="54"/>
  <c r="J124" i="54"/>
  <c r="I123" i="54"/>
  <c r="H123" i="54"/>
  <c r="G123" i="54"/>
  <c r="F123" i="54"/>
  <c r="E123" i="54"/>
  <c r="D123" i="54"/>
  <c r="J123" i="54"/>
  <c r="I122" i="54"/>
  <c r="H122" i="54"/>
  <c r="G122" i="54"/>
  <c r="F122" i="54"/>
  <c r="E122" i="54"/>
  <c r="D122" i="54"/>
  <c r="J122" i="54"/>
  <c r="I121" i="54"/>
  <c r="H121" i="54"/>
  <c r="G121" i="54"/>
  <c r="F121" i="54"/>
  <c r="E121" i="54"/>
  <c r="D121" i="54"/>
  <c r="J121" i="54"/>
  <c r="I120" i="54"/>
  <c r="H120" i="54"/>
  <c r="G120" i="54"/>
  <c r="F120" i="54"/>
  <c r="E120" i="54"/>
  <c r="D120" i="54"/>
  <c r="J120" i="54"/>
  <c r="I119" i="54"/>
  <c r="H119" i="54"/>
  <c r="G119" i="54"/>
  <c r="F119" i="54"/>
  <c r="E119" i="54"/>
  <c r="D119" i="54"/>
  <c r="J119" i="54"/>
  <c r="I118" i="54"/>
  <c r="H118" i="54"/>
  <c r="G118" i="54"/>
  <c r="F118" i="54"/>
  <c r="E118" i="54"/>
  <c r="D118" i="54"/>
  <c r="J118" i="54"/>
  <c r="I117" i="54"/>
  <c r="H117" i="54"/>
  <c r="G117" i="54"/>
  <c r="F117" i="54"/>
  <c r="E117" i="54"/>
  <c r="D117" i="54"/>
  <c r="J117" i="54"/>
  <c r="I115" i="54"/>
  <c r="H115" i="54"/>
  <c r="G115" i="54"/>
  <c r="F115" i="54"/>
  <c r="E115" i="54"/>
  <c r="D115" i="54"/>
  <c r="J115" i="54"/>
  <c r="I114" i="54"/>
  <c r="H114" i="54"/>
  <c r="G114" i="54"/>
  <c r="F114" i="54"/>
  <c r="E114" i="54"/>
  <c r="D114" i="54"/>
  <c r="J114" i="54"/>
  <c r="I113" i="54"/>
  <c r="I137" i="54"/>
  <c r="I138" i="54"/>
  <c r="H113" i="54"/>
  <c r="H137" i="54"/>
  <c r="H138" i="54"/>
  <c r="G113" i="54"/>
  <c r="G137" i="54"/>
  <c r="G138" i="54"/>
  <c r="F113" i="54"/>
  <c r="F137" i="54"/>
  <c r="F138" i="54"/>
  <c r="E113" i="54"/>
  <c r="D113" i="54"/>
  <c r="J113" i="54"/>
  <c r="I110" i="54"/>
  <c r="H110" i="54"/>
  <c r="G110" i="54"/>
  <c r="F110" i="54"/>
  <c r="D110" i="54"/>
  <c r="J108" i="54"/>
  <c r="J107" i="54"/>
  <c r="E107" i="54"/>
  <c r="J106" i="54"/>
  <c r="E105" i="54"/>
  <c r="E110" i="54"/>
  <c r="J104" i="54"/>
  <c r="I101" i="54"/>
  <c r="H101" i="54"/>
  <c r="G101" i="54"/>
  <c r="F101" i="54"/>
  <c r="D101" i="54"/>
  <c r="J99" i="54"/>
  <c r="J98" i="54"/>
  <c r="J97" i="54"/>
  <c r="J96" i="54"/>
  <c r="J95" i="54"/>
  <c r="J93" i="54"/>
  <c r="E92" i="54"/>
  <c r="E127" i="54"/>
  <c r="J91" i="54"/>
  <c r="J90" i="54"/>
  <c r="E90" i="54"/>
  <c r="E125" i="54"/>
  <c r="J89" i="54"/>
  <c r="J88" i="54"/>
  <c r="J87" i="54"/>
  <c r="J86" i="54"/>
  <c r="J85" i="54"/>
  <c r="J84" i="54"/>
  <c r="J83" i="54"/>
  <c r="J82" i="54"/>
  <c r="J80" i="54"/>
  <c r="J79" i="54"/>
  <c r="J78" i="54"/>
  <c r="J141" i="52"/>
  <c r="I135" i="52"/>
  <c r="H135" i="52"/>
  <c r="G135" i="52"/>
  <c r="F135" i="52"/>
  <c r="E135" i="52"/>
  <c r="D135" i="52"/>
  <c r="J135" i="52"/>
  <c r="I134" i="52"/>
  <c r="H134" i="52"/>
  <c r="G134" i="52"/>
  <c r="F134" i="52"/>
  <c r="E134" i="52"/>
  <c r="D134" i="52"/>
  <c r="J134" i="52"/>
  <c r="I133" i="52"/>
  <c r="H133" i="52"/>
  <c r="G133" i="52"/>
  <c r="F133" i="52"/>
  <c r="E133" i="52"/>
  <c r="D133" i="52"/>
  <c r="J133" i="52"/>
  <c r="I132" i="52"/>
  <c r="H132" i="52"/>
  <c r="G132" i="52"/>
  <c r="F132" i="52"/>
  <c r="E132" i="52"/>
  <c r="D132" i="52"/>
  <c r="J132" i="52"/>
  <c r="I131" i="52"/>
  <c r="H131" i="52"/>
  <c r="G131" i="52"/>
  <c r="F131" i="52"/>
  <c r="E131" i="52"/>
  <c r="D131" i="52"/>
  <c r="J131" i="52"/>
  <c r="J129" i="52"/>
  <c r="I128" i="52"/>
  <c r="H128" i="52"/>
  <c r="G128" i="52"/>
  <c r="F128" i="52"/>
  <c r="E128" i="52"/>
  <c r="D128" i="52"/>
  <c r="J128" i="52"/>
  <c r="I127" i="52"/>
  <c r="H127" i="52"/>
  <c r="G127" i="52"/>
  <c r="F127" i="52"/>
  <c r="D127" i="52"/>
  <c r="I126" i="52"/>
  <c r="H126" i="52"/>
  <c r="G126" i="52"/>
  <c r="F126" i="52"/>
  <c r="E126" i="52"/>
  <c r="D126" i="52"/>
  <c r="J126" i="52"/>
  <c r="I125" i="52"/>
  <c r="H125" i="52"/>
  <c r="G125" i="52"/>
  <c r="F125" i="52"/>
  <c r="D125" i="52"/>
  <c r="I124" i="52"/>
  <c r="H124" i="52"/>
  <c r="G124" i="52"/>
  <c r="F124" i="52"/>
  <c r="E124" i="52"/>
  <c r="D124" i="52"/>
  <c r="J124" i="52"/>
  <c r="I123" i="52"/>
  <c r="H123" i="52"/>
  <c r="G123" i="52"/>
  <c r="F123" i="52"/>
  <c r="E123" i="52"/>
  <c r="D123" i="52"/>
  <c r="J123" i="52"/>
  <c r="I122" i="52"/>
  <c r="H122" i="52"/>
  <c r="G122" i="52"/>
  <c r="F122" i="52"/>
  <c r="E122" i="52"/>
  <c r="D122" i="52"/>
  <c r="J122" i="52"/>
  <c r="I121" i="52"/>
  <c r="H121" i="52"/>
  <c r="G121" i="52"/>
  <c r="F121" i="52"/>
  <c r="E121" i="52"/>
  <c r="D121" i="52"/>
  <c r="J121" i="52"/>
  <c r="I120" i="52"/>
  <c r="H120" i="52"/>
  <c r="G120" i="52"/>
  <c r="F120" i="52"/>
  <c r="E120" i="52"/>
  <c r="D120" i="52"/>
  <c r="J120" i="52"/>
  <c r="I119" i="52"/>
  <c r="H119" i="52"/>
  <c r="G119" i="52"/>
  <c r="F119" i="52"/>
  <c r="E119" i="52"/>
  <c r="D119" i="52"/>
  <c r="J119" i="52"/>
  <c r="I118" i="52"/>
  <c r="H118" i="52"/>
  <c r="G118" i="52"/>
  <c r="F118" i="52"/>
  <c r="E118" i="52"/>
  <c r="D118" i="52"/>
  <c r="J118" i="52"/>
  <c r="I117" i="52"/>
  <c r="H117" i="52"/>
  <c r="G117" i="52"/>
  <c r="F117" i="52"/>
  <c r="E117" i="52"/>
  <c r="D117" i="52"/>
  <c r="J117" i="52"/>
  <c r="I115" i="52"/>
  <c r="H115" i="52"/>
  <c r="G115" i="52"/>
  <c r="F115" i="52"/>
  <c r="E115" i="52"/>
  <c r="D115" i="52"/>
  <c r="J115" i="52"/>
  <c r="I114" i="52"/>
  <c r="H114" i="52"/>
  <c r="G114" i="52"/>
  <c r="F114" i="52"/>
  <c r="E114" i="52"/>
  <c r="D114" i="52"/>
  <c r="J114" i="52"/>
  <c r="I113" i="52"/>
  <c r="I137" i="52"/>
  <c r="I138" i="52"/>
  <c r="H113" i="52"/>
  <c r="H137" i="52"/>
  <c r="H138" i="52"/>
  <c r="G113" i="52"/>
  <c r="G137" i="52"/>
  <c r="G138" i="52"/>
  <c r="F113" i="52"/>
  <c r="F137" i="52"/>
  <c r="F138" i="52"/>
  <c r="E113" i="52"/>
  <c r="D113" i="52"/>
  <c r="J113" i="52"/>
  <c r="I110" i="52"/>
  <c r="H110" i="52"/>
  <c r="G110" i="52"/>
  <c r="F110" i="52"/>
  <c r="D110" i="52"/>
  <c r="J108" i="52"/>
  <c r="J107" i="52"/>
  <c r="E107" i="52"/>
  <c r="J106" i="52"/>
  <c r="E105" i="52"/>
  <c r="E110" i="52"/>
  <c r="J104" i="52"/>
  <c r="I101" i="52"/>
  <c r="H101" i="52"/>
  <c r="G101" i="52"/>
  <c r="F101" i="52"/>
  <c r="D101" i="52"/>
  <c r="J99" i="52"/>
  <c r="J98" i="52"/>
  <c r="J97" i="52"/>
  <c r="J96" i="52"/>
  <c r="J95" i="52"/>
  <c r="J93" i="52"/>
  <c r="E92" i="52"/>
  <c r="E127" i="52"/>
  <c r="J91" i="52"/>
  <c r="J90" i="52"/>
  <c r="E90" i="52"/>
  <c r="E125" i="52"/>
  <c r="J89" i="52"/>
  <c r="J88" i="52"/>
  <c r="J87" i="52"/>
  <c r="J86" i="52"/>
  <c r="J85" i="52"/>
  <c r="J84" i="52"/>
  <c r="J83" i="52"/>
  <c r="J82" i="52"/>
  <c r="J80" i="52"/>
  <c r="J79" i="52"/>
  <c r="J78" i="52"/>
  <c r="J141" i="40"/>
  <c r="I135" i="40"/>
  <c r="H135" i="40"/>
  <c r="G135" i="40"/>
  <c r="F135" i="40"/>
  <c r="E135" i="40"/>
  <c r="D135" i="40"/>
  <c r="J135" i="40"/>
  <c r="I134" i="40"/>
  <c r="H134" i="40"/>
  <c r="G134" i="40"/>
  <c r="F134" i="40"/>
  <c r="E134" i="40"/>
  <c r="D134" i="40"/>
  <c r="J134" i="40"/>
  <c r="I133" i="40"/>
  <c r="H133" i="40"/>
  <c r="G133" i="40"/>
  <c r="F133" i="40"/>
  <c r="E133" i="40"/>
  <c r="D133" i="40"/>
  <c r="J133" i="40"/>
  <c r="I132" i="40"/>
  <c r="H132" i="40"/>
  <c r="G132" i="40"/>
  <c r="F132" i="40"/>
  <c r="E132" i="40"/>
  <c r="D132" i="40"/>
  <c r="J132" i="40"/>
  <c r="I131" i="40"/>
  <c r="H131" i="40"/>
  <c r="G131" i="40"/>
  <c r="F131" i="40"/>
  <c r="E131" i="40"/>
  <c r="D131" i="40"/>
  <c r="J131" i="40"/>
  <c r="J129" i="40"/>
  <c r="I128" i="40"/>
  <c r="H128" i="40"/>
  <c r="G128" i="40"/>
  <c r="F128" i="40"/>
  <c r="E128" i="40"/>
  <c r="D128" i="40"/>
  <c r="J128" i="40"/>
  <c r="I127" i="40"/>
  <c r="H127" i="40"/>
  <c r="G127" i="40"/>
  <c r="F127" i="40"/>
  <c r="D127" i="40"/>
  <c r="I126" i="40"/>
  <c r="H126" i="40"/>
  <c r="G126" i="40"/>
  <c r="F126" i="40"/>
  <c r="E126" i="40"/>
  <c r="D126" i="40"/>
  <c r="J126" i="40"/>
  <c r="I125" i="40"/>
  <c r="H125" i="40"/>
  <c r="G125" i="40"/>
  <c r="F125" i="40"/>
  <c r="D125" i="40"/>
  <c r="I124" i="40"/>
  <c r="H124" i="40"/>
  <c r="G124" i="40"/>
  <c r="F124" i="40"/>
  <c r="E124" i="40"/>
  <c r="D124" i="40"/>
  <c r="J124" i="40"/>
  <c r="I123" i="40"/>
  <c r="H123" i="40"/>
  <c r="G123" i="40"/>
  <c r="F123" i="40"/>
  <c r="E123" i="40"/>
  <c r="D123" i="40"/>
  <c r="J123" i="40"/>
  <c r="I122" i="40"/>
  <c r="H122" i="40"/>
  <c r="G122" i="40"/>
  <c r="F122" i="40"/>
  <c r="E122" i="40"/>
  <c r="D122" i="40"/>
  <c r="J122" i="40"/>
  <c r="I121" i="40"/>
  <c r="H121" i="40"/>
  <c r="G121" i="40"/>
  <c r="F121" i="40"/>
  <c r="E121" i="40"/>
  <c r="D121" i="40"/>
  <c r="J121" i="40"/>
  <c r="I120" i="40"/>
  <c r="H120" i="40"/>
  <c r="G120" i="40"/>
  <c r="F120" i="40"/>
  <c r="E120" i="40"/>
  <c r="D120" i="40"/>
  <c r="J120" i="40"/>
  <c r="I119" i="40"/>
  <c r="H119" i="40"/>
  <c r="G119" i="40"/>
  <c r="F119" i="40"/>
  <c r="E119" i="40"/>
  <c r="D119" i="40"/>
  <c r="J119" i="40"/>
  <c r="I118" i="40"/>
  <c r="H118" i="40"/>
  <c r="G118" i="40"/>
  <c r="F118" i="40"/>
  <c r="E118" i="40"/>
  <c r="D118" i="40"/>
  <c r="J118" i="40"/>
  <c r="I117" i="40"/>
  <c r="H117" i="40"/>
  <c r="G117" i="40"/>
  <c r="F117" i="40"/>
  <c r="E117" i="40"/>
  <c r="D117" i="40"/>
  <c r="J117" i="40"/>
  <c r="I115" i="40"/>
  <c r="H115" i="40"/>
  <c r="G115" i="40"/>
  <c r="F115" i="40"/>
  <c r="E115" i="40"/>
  <c r="D115" i="40"/>
  <c r="J115" i="40"/>
  <c r="I114" i="40"/>
  <c r="H114" i="40"/>
  <c r="G114" i="40"/>
  <c r="F114" i="40"/>
  <c r="E114" i="40"/>
  <c r="D114" i="40"/>
  <c r="J114" i="40"/>
  <c r="I113" i="40"/>
  <c r="I137" i="40"/>
  <c r="I138" i="40"/>
  <c r="H113" i="40"/>
  <c r="H137" i="40"/>
  <c r="H138" i="40"/>
  <c r="G113" i="40"/>
  <c r="G137" i="40"/>
  <c r="G138" i="40"/>
  <c r="F113" i="40"/>
  <c r="F137" i="40"/>
  <c r="F138" i="40"/>
  <c r="E113" i="40"/>
  <c r="D113" i="40"/>
  <c r="J113" i="40"/>
  <c r="I110" i="40"/>
  <c r="H110" i="40"/>
  <c r="G110" i="40"/>
  <c r="F110" i="40"/>
  <c r="D110" i="40"/>
  <c r="J108" i="40"/>
  <c r="J107" i="40"/>
  <c r="E107" i="40"/>
  <c r="J106" i="40"/>
  <c r="E105" i="40"/>
  <c r="E110" i="40"/>
  <c r="J104" i="40"/>
  <c r="I101" i="40"/>
  <c r="H101" i="40"/>
  <c r="G101" i="40"/>
  <c r="F101" i="40"/>
  <c r="D101" i="40"/>
  <c r="J99" i="40"/>
  <c r="J98" i="40"/>
  <c r="J97" i="40"/>
  <c r="J96" i="40"/>
  <c r="J95" i="40"/>
  <c r="J93" i="40"/>
  <c r="E92" i="40"/>
  <c r="E127" i="40"/>
  <c r="J91" i="40"/>
  <c r="J90" i="40"/>
  <c r="E90" i="40"/>
  <c r="E125" i="40"/>
  <c r="J89" i="40"/>
  <c r="J88" i="40"/>
  <c r="J87" i="40"/>
  <c r="J86" i="40"/>
  <c r="J85" i="40"/>
  <c r="J84" i="40"/>
  <c r="J83" i="40"/>
  <c r="J82" i="40"/>
  <c r="J80" i="40"/>
  <c r="J79" i="40"/>
  <c r="J78" i="40"/>
  <c r="J141" i="39"/>
  <c r="I135" i="39"/>
  <c r="H135" i="39"/>
  <c r="G135" i="39"/>
  <c r="F135" i="39"/>
  <c r="E135" i="39"/>
  <c r="D135" i="39"/>
  <c r="J135" i="39"/>
  <c r="I134" i="39"/>
  <c r="H134" i="39"/>
  <c r="G134" i="39"/>
  <c r="F134" i="39"/>
  <c r="E134" i="39"/>
  <c r="D134" i="39"/>
  <c r="J134" i="39"/>
  <c r="I133" i="39"/>
  <c r="H133" i="39"/>
  <c r="G133" i="39"/>
  <c r="F133" i="39"/>
  <c r="E133" i="39"/>
  <c r="D133" i="39"/>
  <c r="J133" i="39"/>
  <c r="I132" i="39"/>
  <c r="H132" i="39"/>
  <c r="G132" i="39"/>
  <c r="F132" i="39"/>
  <c r="E132" i="39"/>
  <c r="D132" i="39"/>
  <c r="J132" i="39"/>
  <c r="I131" i="39"/>
  <c r="H131" i="39"/>
  <c r="G131" i="39"/>
  <c r="F131" i="39"/>
  <c r="E131" i="39"/>
  <c r="D131" i="39"/>
  <c r="J131" i="39"/>
  <c r="J129" i="39"/>
  <c r="I128" i="39"/>
  <c r="H128" i="39"/>
  <c r="G128" i="39"/>
  <c r="F128" i="39"/>
  <c r="E128" i="39"/>
  <c r="D128" i="39"/>
  <c r="J128" i="39"/>
  <c r="I127" i="39"/>
  <c r="H127" i="39"/>
  <c r="G127" i="39"/>
  <c r="F127" i="39"/>
  <c r="D127" i="39"/>
  <c r="I126" i="39"/>
  <c r="H126" i="39"/>
  <c r="G126" i="39"/>
  <c r="F126" i="39"/>
  <c r="E126" i="39"/>
  <c r="D126" i="39"/>
  <c r="J126" i="39"/>
  <c r="I125" i="39"/>
  <c r="H125" i="39"/>
  <c r="G125" i="39"/>
  <c r="F125" i="39"/>
  <c r="E125" i="39"/>
  <c r="D125" i="39"/>
  <c r="J125" i="39"/>
  <c r="I124" i="39"/>
  <c r="H124" i="39"/>
  <c r="G124" i="39"/>
  <c r="F124" i="39"/>
  <c r="E124" i="39"/>
  <c r="D124" i="39"/>
  <c r="J124" i="39"/>
  <c r="I123" i="39"/>
  <c r="H123" i="39"/>
  <c r="G123" i="39"/>
  <c r="F123" i="39"/>
  <c r="E123" i="39"/>
  <c r="D123" i="39"/>
  <c r="J123" i="39"/>
  <c r="I122" i="39"/>
  <c r="H122" i="39"/>
  <c r="G122" i="39"/>
  <c r="F122" i="39"/>
  <c r="E122" i="39"/>
  <c r="D122" i="39"/>
  <c r="J122" i="39"/>
  <c r="I121" i="39"/>
  <c r="H121" i="39"/>
  <c r="G121" i="39"/>
  <c r="F121" i="39"/>
  <c r="E121" i="39"/>
  <c r="D121" i="39"/>
  <c r="J121" i="39"/>
  <c r="I120" i="39"/>
  <c r="H120" i="39"/>
  <c r="G120" i="39"/>
  <c r="F120" i="39"/>
  <c r="E120" i="39"/>
  <c r="D120" i="39"/>
  <c r="J120" i="39"/>
  <c r="I119" i="39"/>
  <c r="H119" i="39"/>
  <c r="G119" i="39"/>
  <c r="F119" i="39"/>
  <c r="E119" i="39"/>
  <c r="D119" i="39"/>
  <c r="J119" i="39"/>
  <c r="I118" i="39"/>
  <c r="H118" i="39"/>
  <c r="G118" i="39"/>
  <c r="F118" i="39"/>
  <c r="E118" i="39"/>
  <c r="D118" i="39"/>
  <c r="J118" i="39"/>
  <c r="I117" i="39"/>
  <c r="H117" i="39"/>
  <c r="G117" i="39"/>
  <c r="F117" i="39"/>
  <c r="E117" i="39"/>
  <c r="D117" i="39"/>
  <c r="J117" i="39"/>
  <c r="I115" i="39"/>
  <c r="H115" i="39"/>
  <c r="G115" i="39"/>
  <c r="F115" i="39"/>
  <c r="E115" i="39"/>
  <c r="D115" i="39"/>
  <c r="J115" i="39"/>
  <c r="I114" i="39"/>
  <c r="H114" i="39"/>
  <c r="G114" i="39"/>
  <c r="F114" i="39"/>
  <c r="E114" i="39"/>
  <c r="D114" i="39"/>
  <c r="J114" i="39"/>
  <c r="I113" i="39"/>
  <c r="I137" i="39"/>
  <c r="I138" i="39"/>
  <c r="H113" i="39"/>
  <c r="H137" i="39"/>
  <c r="H138" i="39"/>
  <c r="G113" i="39"/>
  <c r="G137" i="39"/>
  <c r="G138" i="39"/>
  <c r="F113" i="39"/>
  <c r="F137" i="39"/>
  <c r="F138" i="39"/>
  <c r="E113" i="39"/>
  <c r="D113" i="39"/>
  <c r="J113" i="39"/>
  <c r="I110" i="39"/>
  <c r="H110" i="39"/>
  <c r="G110" i="39"/>
  <c r="F110" i="39"/>
  <c r="D110" i="39"/>
  <c r="J108" i="39"/>
  <c r="J107" i="39"/>
  <c r="E107" i="39"/>
  <c r="E110" i="39"/>
  <c r="J106" i="39"/>
  <c r="J105" i="39"/>
  <c r="J104" i="39"/>
  <c r="J110" i="39"/>
  <c r="I101" i="39"/>
  <c r="H101" i="39"/>
  <c r="G101" i="39"/>
  <c r="F101" i="39"/>
  <c r="D101" i="39"/>
  <c r="J99" i="39"/>
  <c r="J98" i="39"/>
  <c r="J97" i="39"/>
  <c r="J96" i="39"/>
  <c r="J95" i="39"/>
  <c r="J93" i="39"/>
  <c r="E92" i="39"/>
  <c r="E101" i="39"/>
  <c r="J91" i="39"/>
  <c r="J90" i="39"/>
  <c r="J89" i="39"/>
  <c r="J88" i="39"/>
  <c r="J87" i="39"/>
  <c r="J86" i="39"/>
  <c r="J85" i="39"/>
  <c r="J84" i="39"/>
  <c r="J83" i="39"/>
  <c r="J82" i="39"/>
  <c r="J80" i="39"/>
  <c r="J79" i="39"/>
  <c r="J78" i="39"/>
  <c r="J141" i="31"/>
  <c r="I135" i="31"/>
  <c r="H135" i="31"/>
  <c r="G135" i="31"/>
  <c r="F135" i="31"/>
  <c r="E135" i="31"/>
  <c r="D135" i="31"/>
  <c r="J135" i="31"/>
  <c r="I134" i="31"/>
  <c r="H134" i="31"/>
  <c r="G134" i="31"/>
  <c r="F134" i="31"/>
  <c r="E134" i="31"/>
  <c r="D134" i="31"/>
  <c r="J134" i="31"/>
  <c r="I133" i="31"/>
  <c r="H133" i="31"/>
  <c r="G133" i="31"/>
  <c r="F133" i="31"/>
  <c r="E133" i="31"/>
  <c r="D133" i="31"/>
  <c r="J133" i="31"/>
  <c r="I132" i="31"/>
  <c r="H132" i="31"/>
  <c r="G132" i="31"/>
  <c r="F132" i="31"/>
  <c r="E132" i="31"/>
  <c r="D132" i="31"/>
  <c r="J132" i="31"/>
  <c r="I131" i="31"/>
  <c r="H131" i="31"/>
  <c r="G131" i="31"/>
  <c r="F131" i="31"/>
  <c r="E131" i="31"/>
  <c r="D131" i="31"/>
  <c r="J131" i="31"/>
  <c r="J129" i="31"/>
  <c r="I128" i="31"/>
  <c r="H128" i="31"/>
  <c r="G128" i="31"/>
  <c r="F128" i="31"/>
  <c r="E128" i="31"/>
  <c r="D128" i="31"/>
  <c r="J128" i="31"/>
  <c r="I127" i="31"/>
  <c r="H127" i="31"/>
  <c r="G127" i="31"/>
  <c r="F127" i="31"/>
  <c r="E127" i="31"/>
  <c r="D127" i="31"/>
  <c r="J127" i="31"/>
  <c r="I126" i="31"/>
  <c r="H126" i="31"/>
  <c r="G126" i="31"/>
  <c r="F126" i="31"/>
  <c r="E126" i="31"/>
  <c r="D126" i="31"/>
  <c r="J126" i="31"/>
  <c r="I125" i="31"/>
  <c r="H125" i="31"/>
  <c r="G125" i="31"/>
  <c r="F125" i="31"/>
  <c r="E125" i="31"/>
  <c r="D125" i="31"/>
  <c r="J125" i="31"/>
  <c r="I124" i="31"/>
  <c r="H124" i="31"/>
  <c r="G124" i="31"/>
  <c r="F124" i="31"/>
  <c r="E124" i="31"/>
  <c r="D124" i="31"/>
  <c r="J124" i="31"/>
  <c r="I123" i="31"/>
  <c r="H123" i="31"/>
  <c r="G123" i="31"/>
  <c r="F123" i="31"/>
  <c r="E123" i="31"/>
  <c r="D123" i="31"/>
  <c r="J123" i="31"/>
  <c r="I122" i="31"/>
  <c r="H122" i="31"/>
  <c r="G122" i="31"/>
  <c r="F122" i="31"/>
  <c r="E122" i="31"/>
  <c r="D122" i="31"/>
  <c r="J122" i="31"/>
  <c r="I121" i="31"/>
  <c r="H121" i="31"/>
  <c r="G121" i="31"/>
  <c r="F121" i="31"/>
  <c r="E121" i="31"/>
  <c r="D121" i="31"/>
  <c r="J121" i="31"/>
  <c r="I120" i="31"/>
  <c r="H120" i="31"/>
  <c r="G120" i="31"/>
  <c r="F120" i="31"/>
  <c r="E120" i="31"/>
  <c r="D120" i="31"/>
  <c r="J120" i="31"/>
  <c r="I119" i="31"/>
  <c r="H119" i="31"/>
  <c r="G119" i="31"/>
  <c r="F119" i="31"/>
  <c r="E119" i="31"/>
  <c r="D119" i="31"/>
  <c r="J119" i="31"/>
  <c r="I118" i="31"/>
  <c r="H118" i="31"/>
  <c r="G118" i="31"/>
  <c r="F118" i="31"/>
  <c r="E118" i="31"/>
  <c r="D118" i="31"/>
  <c r="J118" i="31"/>
  <c r="I117" i="31"/>
  <c r="I137" i="31"/>
  <c r="I138" i="31"/>
  <c r="H117" i="31"/>
  <c r="G117" i="31"/>
  <c r="G137" i="31"/>
  <c r="G138" i="31"/>
  <c r="F117" i="31"/>
  <c r="E117" i="31"/>
  <c r="E137" i="31"/>
  <c r="E138" i="31"/>
  <c r="D117" i="31"/>
  <c r="J117" i="31"/>
  <c r="I115" i="31"/>
  <c r="H115" i="31"/>
  <c r="G115" i="31"/>
  <c r="F115" i="31"/>
  <c r="E115" i="31"/>
  <c r="D115" i="31"/>
  <c r="J115" i="31"/>
  <c r="I114" i="31"/>
  <c r="H114" i="31"/>
  <c r="G114" i="31"/>
  <c r="F114" i="31"/>
  <c r="E114" i="31"/>
  <c r="D114" i="31"/>
  <c r="J114" i="31"/>
  <c r="I113" i="31"/>
  <c r="H113" i="31"/>
  <c r="H137" i="31"/>
  <c r="H138" i="31"/>
  <c r="G113" i="31"/>
  <c r="F113" i="31"/>
  <c r="F137" i="31"/>
  <c r="F138" i="31"/>
  <c r="E113" i="31"/>
  <c r="D113" i="31"/>
  <c r="J113" i="31"/>
  <c r="J137" i="31"/>
  <c r="J138" i="31"/>
  <c r="I110" i="31"/>
  <c r="H110" i="31"/>
  <c r="G110" i="31"/>
  <c r="F110" i="31"/>
  <c r="E110" i="31"/>
  <c r="D110" i="31"/>
  <c r="J108" i="31"/>
  <c r="J107" i="31"/>
  <c r="J106" i="31"/>
  <c r="J105" i="31"/>
  <c r="J104" i="31"/>
  <c r="J110" i="31"/>
  <c r="I101" i="31"/>
  <c r="H101" i="31"/>
  <c r="G101" i="31"/>
  <c r="F101" i="31"/>
  <c r="E101" i="31"/>
  <c r="D101" i="31"/>
  <c r="J99" i="31"/>
  <c r="J98" i="31"/>
  <c r="J97" i="31"/>
  <c r="J96" i="31"/>
  <c r="J95" i="31"/>
  <c r="J93" i="31"/>
  <c r="J92" i="31"/>
  <c r="J91" i="31"/>
  <c r="J90" i="31"/>
  <c r="J89" i="31"/>
  <c r="J88" i="31"/>
  <c r="J87" i="31"/>
  <c r="J86" i="31"/>
  <c r="J85" i="31"/>
  <c r="J84" i="31"/>
  <c r="J83" i="31"/>
  <c r="J82" i="31"/>
  <c r="J80" i="31"/>
  <c r="J79" i="31"/>
  <c r="J78" i="31"/>
  <c r="J101" i="31"/>
  <c r="J145" i="30"/>
  <c r="I139" i="30"/>
  <c r="H139" i="30"/>
  <c r="G139" i="30"/>
  <c r="F139" i="30"/>
  <c r="E139" i="30"/>
  <c r="D139" i="30"/>
  <c r="J139" i="30"/>
  <c r="I138" i="30"/>
  <c r="H138" i="30"/>
  <c r="G138" i="30"/>
  <c r="F138" i="30"/>
  <c r="E138" i="30"/>
  <c r="D138" i="30"/>
  <c r="J138" i="30"/>
  <c r="I137" i="30"/>
  <c r="H137" i="30"/>
  <c r="G137" i="30"/>
  <c r="F137" i="30"/>
  <c r="E137" i="30"/>
  <c r="D137" i="30"/>
  <c r="J137" i="30"/>
  <c r="I136" i="30"/>
  <c r="H136" i="30"/>
  <c r="G136" i="30"/>
  <c r="F136" i="30"/>
  <c r="E136" i="30"/>
  <c r="D136" i="30"/>
  <c r="J136" i="30"/>
  <c r="I135" i="30"/>
  <c r="H135" i="30"/>
  <c r="G135" i="30"/>
  <c r="F135" i="30"/>
  <c r="E135" i="30"/>
  <c r="D135" i="30"/>
  <c r="J135" i="30"/>
  <c r="J133" i="30"/>
  <c r="I132" i="30"/>
  <c r="H132" i="30"/>
  <c r="G132" i="30"/>
  <c r="E132" i="30"/>
  <c r="D132" i="30"/>
  <c r="I131" i="30"/>
  <c r="H131" i="30"/>
  <c r="G131" i="30"/>
  <c r="F131" i="30"/>
  <c r="E131" i="30"/>
  <c r="D131" i="30"/>
  <c r="J131" i="30"/>
  <c r="I130" i="30"/>
  <c r="H130" i="30"/>
  <c r="G130" i="30"/>
  <c r="E130" i="30"/>
  <c r="D130" i="30"/>
  <c r="I129" i="30"/>
  <c r="H129" i="30"/>
  <c r="G129" i="30"/>
  <c r="E129" i="30"/>
  <c r="D129" i="30"/>
  <c r="I128" i="30"/>
  <c r="H128" i="30"/>
  <c r="G128" i="30"/>
  <c r="E128" i="30"/>
  <c r="D128" i="30"/>
  <c r="I127" i="30"/>
  <c r="H127" i="30"/>
  <c r="G127" i="30"/>
  <c r="F127" i="30"/>
  <c r="D127" i="30"/>
  <c r="I126" i="30"/>
  <c r="H126" i="30"/>
  <c r="G126" i="30"/>
  <c r="F126" i="30"/>
  <c r="E126" i="30"/>
  <c r="D126" i="30"/>
  <c r="J126" i="30"/>
  <c r="I125" i="30"/>
  <c r="H125" i="30"/>
  <c r="G125" i="30"/>
  <c r="E125" i="30"/>
  <c r="D125" i="30"/>
  <c r="I124" i="30"/>
  <c r="H124" i="30"/>
  <c r="G124" i="30"/>
  <c r="E124" i="30"/>
  <c r="D124" i="30"/>
  <c r="I123" i="30"/>
  <c r="H123" i="30"/>
  <c r="G123" i="30"/>
  <c r="E123" i="30"/>
  <c r="D123" i="30"/>
  <c r="I122" i="30"/>
  <c r="H122" i="30"/>
  <c r="G122" i="30"/>
  <c r="E122" i="30"/>
  <c r="D122" i="30"/>
  <c r="I121" i="30"/>
  <c r="H121" i="30"/>
  <c r="G121" i="30"/>
  <c r="E121" i="30"/>
  <c r="D121" i="30"/>
  <c r="I120" i="30"/>
  <c r="H120" i="30"/>
  <c r="G120" i="30"/>
  <c r="F120" i="30"/>
  <c r="E120" i="30"/>
  <c r="D120" i="30"/>
  <c r="I118" i="30"/>
  <c r="H118" i="30"/>
  <c r="G118" i="30"/>
  <c r="E118" i="30"/>
  <c r="D118" i="30"/>
  <c r="I117" i="30"/>
  <c r="H117" i="30"/>
  <c r="G117" i="30"/>
  <c r="E117" i="30"/>
  <c r="D117" i="30"/>
  <c r="I116" i="30"/>
  <c r="I141" i="30"/>
  <c r="I142" i="30"/>
  <c r="H116" i="30"/>
  <c r="G116" i="30"/>
  <c r="G141" i="30"/>
  <c r="G142" i="30"/>
  <c r="E116" i="30"/>
  <c r="D116" i="30"/>
  <c r="D141" i="30"/>
  <c r="D142" i="30"/>
  <c r="I113" i="30"/>
  <c r="H113" i="30"/>
  <c r="G113" i="30"/>
  <c r="E113" i="30"/>
  <c r="D113" i="30"/>
  <c r="J110" i="30"/>
  <c r="E106" i="30"/>
  <c r="I104" i="30"/>
  <c r="H104" i="30"/>
  <c r="G104" i="30"/>
  <c r="D104" i="30"/>
  <c r="J102" i="30"/>
  <c r="J101" i="30"/>
  <c r="J100" i="30"/>
  <c r="J99" i="30"/>
  <c r="J98" i="30"/>
  <c r="J95" i="30"/>
  <c r="J94" i="30"/>
  <c r="J93" i="30"/>
  <c r="J92" i="30"/>
  <c r="J91" i="30"/>
  <c r="E127" i="30"/>
  <c r="J90" i="30"/>
  <c r="J89" i="30"/>
  <c r="F124" i="30"/>
  <c r="J87" i="30"/>
  <c r="F122" i="30"/>
  <c r="J85" i="30"/>
  <c r="J84" i="30"/>
  <c r="J82" i="30"/>
  <c r="F118" i="30"/>
  <c r="J81" i="30"/>
  <c r="F117" i="30"/>
  <c r="J80" i="30"/>
  <c r="F104" i="30"/>
  <c r="E137" i="54"/>
  <c r="E138" i="54"/>
  <c r="J127" i="54"/>
  <c r="J125" i="54"/>
  <c r="J137" i="54"/>
  <c r="J138" i="54"/>
  <c r="D137" i="54"/>
  <c r="D138" i="54"/>
  <c r="J92" i="54"/>
  <c r="J101" i="54"/>
  <c r="E101" i="54"/>
  <c r="J105" i="54"/>
  <c r="J110" i="54"/>
  <c r="E137" i="52"/>
  <c r="E138" i="52"/>
  <c r="J127" i="52"/>
  <c r="J125" i="52"/>
  <c r="J137" i="52"/>
  <c r="J138" i="52"/>
  <c r="D137" i="52"/>
  <c r="D138" i="52"/>
  <c r="J92" i="52"/>
  <c r="J101" i="52"/>
  <c r="E101" i="52"/>
  <c r="J105" i="52"/>
  <c r="J110" i="52"/>
  <c r="E137" i="40"/>
  <c r="E138" i="40"/>
  <c r="J127" i="40"/>
  <c r="J125" i="40"/>
  <c r="J137" i="40"/>
  <c r="J138" i="40"/>
  <c r="D137" i="40"/>
  <c r="D138" i="40"/>
  <c r="J92" i="40"/>
  <c r="J101" i="40"/>
  <c r="E101" i="40"/>
  <c r="J105" i="40"/>
  <c r="J110" i="40"/>
  <c r="D137" i="39"/>
  <c r="D138" i="39"/>
  <c r="D137" i="31"/>
  <c r="D138" i="31"/>
  <c r="H141" i="30"/>
  <c r="H142" i="30"/>
  <c r="J120" i="30"/>
  <c r="J118" i="30"/>
  <c r="J122" i="30"/>
  <c r="J124" i="30"/>
  <c r="J127" i="30"/>
  <c r="E141" i="30"/>
  <c r="E142" i="30"/>
  <c r="J117" i="30"/>
  <c r="E104" i="30"/>
  <c r="F128" i="30"/>
  <c r="J128" i="30"/>
  <c r="J108" i="30"/>
  <c r="J109" i="30"/>
  <c r="F116" i="30"/>
  <c r="J116" i="30"/>
  <c r="F121" i="30"/>
  <c r="J121" i="30"/>
  <c r="F123" i="30"/>
  <c r="J123" i="30"/>
  <c r="F125" i="30"/>
  <c r="J125" i="30"/>
  <c r="J86" i="30"/>
  <c r="J88" i="30"/>
  <c r="J104" i="30"/>
  <c r="J96" i="30"/>
  <c r="J111" i="30"/>
  <c r="F130" i="30"/>
  <c r="J130" i="30"/>
  <c r="F132" i="30"/>
  <c r="J132" i="30"/>
  <c r="F113" i="30"/>
  <c r="J107" i="30"/>
  <c r="J113" i="30"/>
  <c r="F129" i="30"/>
  <c r="J129" i="30"/>
  <c r="C440" i="22"/>
  <c r="G324" i="22"/>
  <c r="J324" i="22"/>
  <c r="G323" i="22"/>
  <c r="J323" i="22"/>
  <c r="G322" i="22"/>
  <c r="J322" i="22"/>
  <c r="G321" i="22"/>
  <c r="J321" i="22"/>
  <c r="G320" i="22"/>
  <c r="J320" i="22"/>
  <c r="G319" i="22"/>
  <c r="J319" i="22"/>
  <c r="G318" i="22"/>
  <c r="J318" i="22"/>
  <c r="G317" i="22"/>
  <c r="J317" i="22"/>
  <c r="G316" i="22"/>
  <c r="J316" i="22"/>
  <c r="G315" i="22"/>
  <c r="J315" i="22"/>
  <c r="G314" i="22"/>
  <c r="J314" i="22"/>
  <c r="G313" i="22"/>
  <c r="J313" i="22"/>
  <c r="G312" i="22"/>
  <c r="J312" i="22"/>
  <c r="G310" i="22"/>
  <c r="J310" i="22"/>
  <c r="G309" i="22"/>
  <c r="J309" i="22"/>
  <c r="G308" i="22"/>
  <c r="J308" i="22"/>
  <c r="G307" i="22"/>
  <c r="J307" i="22"/>
  <c r="G306" i="22"/>
  <c r="J306" i="22"/>
  <c r="G305" i="22"/>
  <c r="J305" i="22"/>
  <c r="G304" i="22"/>
  <c r="J304" i="22"/>
  <c r="G303" i="22"/>
  <c r="J303" i="22"/>
  <c r="G302" i="22"/>
  <c r="J302" i="22"/>
  <c r="G301" i="22"/>
  <c r="J301" i="22"/>
  <c r="G300" i="22"/>
  <c r="J300" i="22"/>
  <c r="G299" i="22"/>
  <c r="J299" i="22"/>
  <c r="G298" i="22"/>
  <c r="J298" i="22"/>
  <c r="G295" i="22"/>
  <c r="G294" i="22"/>
  <c r="G293" i="22"/>
  <c r="G292" i="22"/>
  <c r="H291" i="22"/>
  <c r="G291" i="22"/>
  <c r="J291" i="22"/>
  <c r="H290" i="22"/>
  <c r="G290" i="22"/>
  <c r="J290" i="22"/>
  <c r="H289" i="22"/>
  <c r="G289" i="22"/>
  <c r="J289" i="22"/>
  <c r="H288" i="22"/>
  <c r="G288" i="22"/>
  <c r="J288" i="22"/>
  <c r="H287" i="22"/>
  <c r="G287" i="22"/>
  <c r="J287" i="22"/>
  <c r="G286" i="22"/>
  <c r="J286" i="22"/>
  <c r="G285" i="22"/>
  <c r="J285" i="22"/>
  <c r="G284" i="22"/>
  <c r="J284" i="22"/>
  <c r="G283" i="22"/>
  <c r="J283" i="22"/>
  <c r="G281" i="22"/>
  <c r="G280" i="22"/>
  <c r="G279" i="22"/>
  <c r="H278" i="22"/>
  <c r="H292" i="22"/>
  <c r="G278" i="22"/>
  <c r="J278" i="22"/>
  <c r="H277" i="22"/>
  <c r="G277" i="22"/>
  <c r="J277" i="22"/>
  <c r="G276" i="22"/>
  <c r="J276" i="22"/>
  <c r="G275" i="22"/>
  <c r="J275" i="22"/>
  <c r="G274" i="22"/>
  <c r="J274" i="22"/>
  <c r="G273" i="22"/>
  <c r="J273" i="22"/>
  <c r="G272" i="22"/>
  <c r="J272" i="22"/>
  <c r="G271" i="22"/>
  <c r="J271" i="22"/>
  <c r="G270" i="22"/>
  <c r="J270" i="22"/>
  <c r="G269" i="22"/>
  <c r="J269" i="22"/>
  <c r="G267" i="22"/>
  <c r="G266" i="22"/>
  <c r="G265" i="22"/>
  <c r="G264" i="22"/>
  <c r="H263" i="22"/>
  <c r="H264" i="22"/>
  <c r="G263" i="22"/>
  <c r="J262" i="22"/>
  <c r="G262" i="22"/>
  <c r="J261" i="22"/>
  <c r="G261" i="22"/>
  <c r="J260" i="22"/>
  <c r="G260" i="22"/>
  <c r="J259" i="22"/>
  <c r="G259" i="22"/>
  <c r="J258" i="22"/>
  <c r="G258" i="22"/>
  <c r="J257" i="22"/>
  <c r="G257" i="22"/>
  <c r="J256" i="22"/>
  <c r="G256" i="22"/>
  <c r="J255" i="22"/>
  <c r="G255" i="22"/>
  <c r="G252" i="22"/>
  <c r="G251" i="22"/>
  <c r="G250" i="22"/>
  <c r="G249" i="22"/>
  <c r="G248" i="22"/>
  <c r="G247" i="22"/>
  <c r="G246" i="22"/>
  <c r="G245" i="22"/>
  <c r="J244" i="22"/>
  <c r="G244" i="22"/>
  <c r="J243" i="22"/>
  <c r="G243" i="22"/>
  <c r="J242" i="22"/>
  <c r="G242" i="22"/>
  <c r="J241" i="22"/>
  <c r="G241" i="22"/>
  <c r="J240" i="22"/>
  <c r="G240" i="22"/>
  <c r="G238" i="22"/>
  <c r="G237" i="22"/>
  <c r="G236" i="22"/>
  <c r="G235" i="22"/>
  <c r="G234" i="22"/>
  <c r="I233" i="22"/>
  <c r="I247" i="22"/>
  <c r="H233" i="22"/>
  <c r="H247" i="22"/>
  <c r="G233" i="22"/>
  <c r="I232" i="22"/>
  <c r="I246" i="22"/>
  <c r="H232" i="22"/>
  <c r="H246" i="22"/>
  <c r="G232" i="22"/>
  <c r="I231" i="22"/>
  <c r="I245" i="22"/>
  <c r="H231" i="22"/>
  <c r="H245" i="22"/>
  <c r="G231" i="22"/>
  <c r="G230" i="22"/>
  <c r="J230" i="22"/>
  <c r="J229" i="22"/>
  <c r="G229" i="22"/>
  <c r="J228" i="22"/>
  <c r="G228" i="22"/>
  <c r="J227" i="22"/>
  <c r="G227" i="22"/>
  <c r="J226" i="22"/>
  <c r="G226" i="22"/>
  <c r="G224" i="22"/>
  <c r="G223" i="22"/>
  <c r="G222" i="22"/>
  <c r="G221" i="22"/>
  <c r="G220" i="22"/>
  <c r="I219" i="22"/>
  <c r="H219" i="22"/>
  <c r="G219" i="22"/>
  <c r="J219" i="22"/>
  <c r="I218" i="22"/>
  <c r="H218" i="22"/>
  <c r="G218" i="22"/>
  <c r="J218" i="22"/>
  <c r="I217" i="22"/>
  <c r="H217" i="22"/>
  <c r="G217" i="22"/>
  <c r="J217" i="22"/>
  <c r="G216" i="22"/>
  <c r="J216" i="22"/>
  <c r="G215" i="22"/>
  <c r="J215" i="22"/>
  <c r="G214" i="22"/>
  <c r="J214" i="22"/>
  <c r="G213" i="22"/>
  <c r="J213" i="22"/>
  <c r="G212" i="22"/>
  <c r="J212" i="22"/>
  <c r="G209" i="22"/>
  <c r="G208" i="22"/>
  <c r="G207" i="22"/>
  <c r="G206" i="22"/>
  <c r="G205" i="22"/>
  <c r="I204" i="22"/>
  <c r="H204" i="22"/>
  <c r="J204" i="22"/>
  <c r="G204" i="22"/>
  <c r="I203" i="22"/>
  <c r="H203" i="22"/>
  <c r="J203" i="22"/>
  <c r="G203" i="22"/>
  <c r="I202" i="22"/>
  <c r="H202" i="22"/>
  <c r="J202" i="22"/>
  <c r="G202" i="22"/>
  <c r="J201" i="22"/>
  <c r="G201" i="22"/>
  <c r="J200" i="22"/>
  <c r="G200" i="22"/>
  <c r="J199" i="22"/>
  <c r="G199" i="22"/>
  <c r="J198" i="22"/>
  <c r="G198" i="22"/>
  <c r="J197" i="22"/>
  <c r="G197" i="22"/>
  <c r="G195" i="22"/>
  <c r="G194" i="22"/>
  <c r="G193" i="22"/>
  <c r="G192" i="22"/>
  <c r="I191" i="22"/>
  <c r="I234" i="22"/>
  <c r="H191" i="22"/>
  <c r="H234" i="22"/>
  <c r="G191" i="22"/>
  <c r="G190" i="22"/>
  <c r="J190" i="22"/>
  <c r="G189" i="22"/>
  <c r="J189" i="22"/>
  <c r="G188" i="22"/>
  <c r="J188" i="22"/>
  <c r="G187" i="22"/>
  <c r="J187" i="22"/>
  <c r="G186" i="22"/>
  <c r="J186" i="22"/>
  <c r="G185" i="22"/>
  <c r="J185" i="22"/>
  <c r="G184" i="22"/>
  <c r="J184" i="22"/>
  <c r="G183" i="22"/>
  <c r="J183" i="22"/>
  <c r="G181" i="22"/>
  <c r="G180" i="22"/>
  <c r="G179" i="22"/>
  <c r="G178" i="22"/>
  <c r="K176" i="22"/>
  <c r="I177" i="22"/>
  <c r="I220" i="22"/>
  <c r="H177" i="22"/>
  <c r="H220" i="22"/>
  <c r="G177" i="22"/>
  <c r="J176" i="22"/>
  <c r="G176" i="22"/>
  <c r="J175" i="22"/>
  <c r="G175" i="22"/>
  <c r="J174" i="22"/>
  <c r="G174" i="22"/>
  <c r="J173" i="22"/>
  <c r="G173" i="22"/>
  <c r="J172" i="22"/>
  <c r="G172" i="22"/>
  <c r="J171" i="22"/>
  <c r="G171" i="22"/>
  <c r="J170" i="22"/>
  <c r="G170" i="22"/>
  <c r="J169" i="22"/>
  <c r="G169" i="22"/>
  <c r="E22" i="40"/>
  <c r="J20" i="40"/>
  <c r="L22" i="54"/>
  <c r="D45" i="48"/>
  <c r="E45" i="48"/>
  <c r="C44" i="48"/>
  <c r="B44" i="48"/>
  <c r="D44" i="48"/>
  <c r="D38" i="48"/>
  <c r="E38" i="48"/>
  <c r="C37" i="48"/>
  <c r="B37" i="48"/>
  <c r="D31" i="48"/>
  <c r="E31" i="48"/>
  <c r="C30" i="48"/>
  <c r="B30" i="48"/>
  <c r="D30" i="48"/>
  <c r="D24" i="48"/>
  <c r="E24" i="48"/>
  <c r="C23" i="48"/>
  <c r="B23" i="48"/>
  <c r="D17" i="48"/>
  <c r="E17" i="48"/>
  <c r="C16" i="48"/>
  <c r="B16" i="48"/>
  <c r="D16" i="48"/>
  <c r="D10" i="48"/>
  <c r="E10" i="48"/>
  <c r="B9" i="48"/>
  <c r="C9" i="48"/>
  <c r="D9" i="48"/>
  <c r="D37" i="48"/>
  <c r="D23" i="48"/>
  <c r="K27" i="57"/>
  <c r="K97" i="57"/>
  <c r="P97" i="57"/>
  <c r="H42" i="57"/>
  <c r="O42" i="57"/>
  <c r="N42" i="57"/>
  <c r="M42" i="57"/>
  <c r="J42" i="57"/>
  <c r="I42" i="57"/>
  <c r="Q27" i="57"/>
  <c r="P27" i="57"/>
  <c r="L27" i="57"/>
  <c r="E272" i="57"/>
  <c r="D272" i="57"/>
  <c r="C272" i="57"/>
  <c r="E271" i="57"/>
  <c r="D271" i="57"/>
  <c r="C271" i="57"/>
  <c r="E270" i="57"/>
  <c r="D270" i="57"/>
  <c r="C270" i="57"/>
  <c r="F266" i="57"/>
  <c r="F265" i="57"/>
  <c r="F271" i="57"/>
  <c r="F264" i="57"/>
  <c r="F261" i="57"/>
  <c r="F260" i="57"/>
  <c r="F259" i="57"/>
  <c r="F226" i="57"/>
  <c r="F225" i="57"/>
  <c r="F224" i="57"/>
  <c r="F216" i="57"/>
  <c r="F221" i="57"/>
  <c r="F232" i="57"/>
  <c r="E216" i="57"/>
  <c r="E238" i="57"/>
  <c r="D216" i="57"/>
  <c r="D221" i="57"/>
  <c r="D232" i="57"/>
  <c r="C216" i="57"/>
  <c r="C238" i="57"/>
  <c r="F215" i="57"/>
  <c r="F220" i="57"/>
  <c r="F231" i="57"/>
  <c r="E215" i="57"/>
  <c r="E237" i="57"/>
  <c r="D215" i="57"/>
  <c r="D220" i="57"/>
  <c r="D231" i="57"/>
  <c r="C215" i="57"/>
  <c r="C237" i="57"/>
  <c r="F214" i="57"/>
  <c r="F219" i="57"/>
  <c r="F230" i="57"/>
  <c r="E214" i="57"/>
  <c r="E236" i="57"/>
  <c r="D214" i="57"/>
  <c r="D219" i="57"/>
  <c r="D230" i="57"/>
  <c r="C214" i="57"/>
  <c r="C236" i="57"/>
  <c r="E189" i="57"/>
  <c r="D189" i="57"/>
  <c r="C189" i="57"/>
  <c r="F189" i="57"/>
  <c r="E188" i="57"/>
  <c r="D188" i="57"/>
  <c r="C188" i="57"/>
  <c r="E177" i="57"/>
  <c r="E176" i="57"/>
  <c r="O146" i="57"/>
  <c r="O147" i="57"/>
  <c r="N146" i="57"/>
  <c r="N147" i="57"/>
  <c r="M146" i="57"/>
  <c r="M147" i="57"/>
  <c r="J146" i="57"/>
  <c r="J147" i="57"/>
  <c r="I146" i="57"/>
  <c r="I147" i="57"/>
  <c r="H146" i="57"/>
  <c r="H147" i="57"/>
  <c r="D146" i="57"/>
  <c r="Q145" i="57"/>
  <c r="P145" i="57"/>
  <c r="L145" i="57"/>
  <c r="K145" i="57"/>
  <c r="E145" i="57"/>
  <c r="D145" i="57"/>
  <c r="D147" i="57"/>
  <c r="C145" i="57"/>
  <c r="O140" i="57"/>
  <c r="O141" i="57"/>
  <c r="N140" i="57"/>
  <c r="N141" i="57"/>
  <c r="M140" i="57"/>
  <c r="M141" i="57"/>
  <c r="J140" i="57"/>
  <c r="J141" i="57"/>
  <c r="I140" i="57"/>
  <c r="I141" i="57"/>
  <c r="H140" i="57"/>
  <c r="H141" i="57"/>
  <c r="Q139" i="57"/>
  <c r="P139" i="57"/>
  <c r="L139" i="57"/>
  <c r="K139" i="57"/>
  <c r="E139" i="57"/>
  <c r="D139" i="57"/>
  <c r="C139" i="57"/>
  <c r="F139" i="57"/>
  <c r="Q138" i="57"/>
  <c r="P138" i="57"/>
  <c r="P140" i="57"/>
  <c r="L138" i="57"/>
  <c r="K138" i="57"/>
  <c r="K140" i="57"/>
  <c r="K141" i="57"/>
  <c r="E138" i="57"/>
  <c r="D138" i="57"/>
  <c r="G138" i="57"/>
  <c r="C138" i="57"/>
  <c r="O133" i="57"/>
  <c r="O134" i="57"/>
  <c r="O148" i="57"/>
  <c r="N133" i="57"/>
  <c r="N134" i="57"/>
  <c r="M133" i="57"/>
  <c r="M134" i="57"/>
  <c r="J133" i="57"/>
  <c r="J134" i="57"/>
  <c r="J148" i="57"/>
  <c r="I133" i="57"/>
  <c r="I134" i="57"/>
  <c r="I148" i="57"/>
  <c r="H133" i="57"/>
  <c r="H134" i="57"/>
  <c r="Q132" i="57"/>
  <c r="P132" i="57"/>
  <c r="L132" i="57"/>
  <c r="K132" i="57"/>
  <c r="E132" i="57"/>
  <c r="D132" i="57"/>
  <c r="C132" i="57"/>
  <c r="F132" i="57"/>
  <c r="O126" i="57"/>
  <c r="O127" i="57"/>
  <c r="N126" i="57"/>
  <c r="N127" i="57"/>
  <c r="M126" i="57"/>
  <c r="M127" i="57"/>
  <c r="J126" i="57"/>
  <c r="J127" i="57"/>
  <c r="I126" i="57"/>
  <c r="I127" i="57"/>
  <c r="H126" i="57"/>
  <c r="H127" i="57"/>
  <c r="Q125" i="57"/>
  <c r="P125" i="57"/>
  <c r="L125" i="57"/>
  <c r="K125" i="57"/>
  <c r="E125" i="57"/>
  <c r="D125" i="57"/>
  <c r="C125" i="57"/>
  <c r="O121" i="57"/>
  <c r="N121" i="57"/>
  <c r="M121" i="57"/>
  <c r="J121" i="57"/>
  <c r="I121" i="57"/>
  <c r="H121" i="57"/>
  <c r="Q120" i="57"/>
  <c r="P120" i="57"/>
  <c r="L120" i="57"/>
  <c r="K120" i="57"/>
  <c r="E120" i="57"/>
  <c r="D120" i="57"/>
  <c r="C120" i="57"/>
  <c r="Q119" i="57"/>
  <c r="P119" i="57"/>
  <c r="L119" i="57"/>
  <c r="K119" i="57"/>
  <c r="E119" i="57"/>
  <c r="D119" i="57"/>
  <c r="C119" i="57"/>
  <c r="P104" i="57"/>
  <c r="K104" i="57"/>
  <c r="D104" i="57"/>
  <c r="C104" i="57"/>
  <c r="Q103" i="57"/>
  <c r="P103" i="57"/>
  <c r="L103" i="57"/>
  <c r="I103" i="57"/>
  <c r="K103" i="57"/>
  <c r="C103" i="57"/>
  <c r="P102" i="57"/>
  <c r="K102" i="57"/>
  <c r="D102" i="57"/>
  <c r="C102" i="57"/>
  <c r="H43" i="57"/>
  <c r="C97" i="57"/>
  <c r="Q96" i="57"/>
  <c r="Q104" i="57"/>
  <c r="P96" i="57"/>
  <c r="L96" i="57"/>
  <c r="L104" i="57"/>
  <c r="K96" i="57"/>
  <c r="D96" i="57"/>
  <c r="C96" i="57"/>
  <c r="D95" i="57"/>
  <c r="C95" i="57"/>
  <c r="Q94" i="57"/>
  <c r="Q102" i="57"/>
  <c r="P94" i="57"/>
  <c r="L94" i="57"/>
  <c r="L102" i="57"/>
  <c r="K94" i="57"/>
  <c r="D94" i="57"/>
  <c r="C94" i="57"/>
  <c r="Q93" i="57"/>
  <c r="L93" i="57"/>
  <c r="D93" i="57"/>
  <c r="C93" i="57"/>
  <c r="P92" i="57"/>
  <c r="L92" i="57"/>
  <c r="K92" i="57"/>
  <c r="E92" i="57"/>
  <c r="D92" i="57"/>
  <c r="C92" i="57"/>
  <c r="Q91" i="57"/>
  <c r="P91" i="57"/>
  <c r="L91" i="57"/>
  <c r="K91" i="57"/>
  <c r="G91" i="57"/>
  <c r="F91" i="57"/>
  <c r="L90" i="57"/>
  <c r="M84" i="57"/>
  <c r="H84" i="57"/>
  <c r="M79" i="57"/>
  <c r="H79" i="57"/>
  <c r="C79" i="57"/>
  <c r="M78" i="57"/>
  <c r="H78" i="57"/>
  <c r="E74" i="57"/>
  <c r="E73" i="57"/>
  <c r="E72" i="57"/>
  <c r="Q71" i="57"/>
  <c r="Q97" i="57"/>
  <c r="L71" i="57"/>
  <c r="L97" i="57"/>
  <c r="E71" i="57"/>
  <c r="D71" i="57"/>
  <c r="C71" i="57"/>
  <c r="Q70" i="57"/>
  <c r="P70" i="57"/>
  <c r="P71" i="57"/>
  <c r="L70" i="57"/>
  <c r="K70" i="57"/>
  <c r="K71" i="57"/>
  <c r="E70" i="57"/>
  <c r="D70" i="57"/>
  <c r="C70" i="57"/>
  <c r="Q69" i="57"/>
  <c r="L69" i="57"/>
  <c r="E69" i="57"/>
  <c r="D69" i="57"/>
  <c r="C69" i="57"/>
  <c r="Q68" i="57"/>
  <c r="P68" i="57"/>
  <c r="L68" i="57"/>
  <c r="K68" i="57"/>
  <c r="E68" i="57"/>
  <c r="D68" i="57"/>
  <c r="C68" i="57"/>
  <c r="Q67" i="57"/>
  <c r="P67" i="57"/>
  <c r="L67" i="57"/>
  <c r="K67" i="57"/>
  <c r="E67" i="57"/>
  <c r="D67" i="57"/>
  <c r="C67" i="57"/>
  <c r="Q66" i="57"/>
  <c r="Q92" i="57"/>
  <c r="P66" i="57"/>
  <c r="L66" i="57"/>
  <c r="K66" i="57"/>
  <c r="G66" i="57"/>
  <c r="F66" i="57"/>
  <c r="Q65" i="57"/>
  <c r="P65" i="57"/>
  <c r="L65" i="57"/>
  <c r="K65" i="57"/>
  <c r="G65" i="57"/>
  <c r="F65" i="57"/>
  <c r="Q64" i="57"/>
  <c r="P64" i="57"/>
  <c r="L64" i="57"/>
  <c r="K64" i="57"/>
  <c r="G64" i="57"/>
  <c r="F64" i="57"/>
  <c r="O45" i="57"/>
  <c r="J45" i="57"/>
  <c r="O44" i="57"/>
  <c r="J44" i="57"/>
  <c r="E44" i="57"/>
  <c r="O43" i="57"/>
  <c r="M43" i="57"/>
  <c r="M72" i="57"/>
  <c r="J43" i="57"/>
  <c r="E43" i="57"/>
  <c r="Q42" i="57"/>
  <c r="E42" i="57"/>
  <c r="O41" i="57"/>
  <c r="N41" i="57"/>
  <c r="M41" i="57"/>
  <c r="J41" i="57"/>
  <c r="I41" i="57"/>
  <c r="H41" i="57"/>
  <c r="D41" i="57"/>
  <c r="O40" i="57"/>
  <c r="N40" i="57"/>
  <c r="M40" i="57"/>
  <c r="J40" i="57"/>
  <c r="E40" i="57"/>
  <c r="I40" i="57"/>
  <c r="H40" i="57"/>
  <c r="C40" i="57"/>
  <c r="O39" i="57"/>
  <c r="N39" i="57"/>
  <c r="M39" i="57"/>
  <c r="J39" i="57"/>
  <c r="I39" i="57"/>
  <c r="H39" i="57"/>
  <c r="O38" i="57"/>
  <c r="N38" i="57"/>
  <c r="M38" i="57"/>
  <c r="J38" i="57"/>
  <c r="E38" i="57"/>
  <c r="I38" i="57"/>
  <c r="H38" i="57"/>
  <c r="O37" i="57"/>
  <c r="N37" i="57"/>
  <c r="M37" i="57"/>
  <c r="M52" i="57"/>
  <c r="J37" i="57"/>
  <c r="I37" i="57"/>
  <c r="H37" i="57"/>
  <c r="O36" i="57"/>
  <c r="N36" i="57"/>
  <c r="M36" i="57"/>
  <c r="M51" i="57"/>
  <c r="J36" i="57"/>
  <c r="I36" i="57"/>
  <c r="H36" i="57"/>
  <c r="H51" i="57"/>
  <c r="E36" i="57"/>
  <c r="D36" i="57"/>
  <c r="C36" i="57"/>
  <c r="C51" i="57"/>
  <c r="O35" i="57"/>
  <c r="N35" i="57"/>
  <c r="M35" i="57"/>
  <c r="M50" i="57"/>
  <c r="J35" i="57"/>
  <c r="I35" i="57"/>
  <c r="H35" i="57"/>
  <c r="H50" i="57"/>
  <c r="E35" i="57"/>
  <c r="D35" i="57"/>
  <c r="C35" i="57"/>
  <c r="Q30" i="57"/>
  <c r="P30" i="57"/>
  <c r="L30" i="57"/>
  <c r="K30" i="57"/>
  <c r="E30" i="57"/>
  <c r="E174" i="57"/>
  <c r="D30" i="57"/>
  <c r="D174" i="57"/>
  <c r="C30" i="57"/>
  <c r="C174" i="57"/>
  <c r="Q29" i="57"/>
  <c r="P29" i="57"/>
  <c r="L29" i="57"/>
  <c r="K29" i="57"/>
  <c r="E29" i="57"/>
  <c r="E173" i="57"/>
  <c r="D29" i="57"/>
  <c r="D173" i="57"/>
  <c r="C29" i="57"/>
  <c r="C173" i="57"/>
  <c r="Q28" i="57"/>
  <c r="P28" i="57"/>
  <c r="L28" i="57"/>
  <c r="K28" i="57"/>
  <c r="E28" i="57"/>
  <c r="E172" i="57"/>
  <c r="E183" i="57"/>
  <c r="E195" i="57"/>
  <c r="D28" i="57"/>
  <c r="D172" i="57"/>
  <c r="C28" i="57"/>
  <c r="C172" i="57"/>
  <c r="E27" i="57"/>
  <c r="E171" i="57"/>
  <c r="D27" i="57"/>
  <c r="D171" i="57"/>
  <c r="C27" i="57"/>
  <c r="C171" i="57"/>
  <c r="Q26" i="57"/>
  <c r="P26" i="57"/>
  <c r="L26" i="57"/>
  <c r="K26" i="57"/>
  <c r="E26" i="57"/>
  <c r="D26" i="57"/>
  <c r="C26" i="57"/>
  <c r="Q25" i="57"/>
  <c r="P25" i="57"/>
  <c r="L25" i="57"/>
  <c r="K25" i="57"/>
  <c r="E25" i="57"/>
  <c r="D25" i="57"/>
  <c r="C25" i="57"/>
  <c r="Q24" i="57"/>
  <c r="P24" i="57"/>
  <c r="L24" i="57"/>
  <c r="K24" i="57"/>
  <c r="E24" i="57"/>
  <c r="D24" i="57"/>
  <c r="C24" i="57"/>
  <c r="Q23" i="57"/>
  <c r="P23" i="57"/>
  <c r="L23" i="57"/>
  <c r="K23" i="57"/>
  <c r="E23" i="57"/>
  <c r="D23" i="57"/>
  <c r="C23" i="57"/>
  <c r="Q22" i="57"/>
  <c r="P22" i="57"/>
  <c r="L22" i="57"/>
  <c r="K22" i="57"/>
  <c r="E22" i="57"/>
  <c r="D22" i="57"/>
  <c r="C22" i="57"/>
  <c r="Q21" i="57"/>
  <c r="P21" i="57"/>
  <c r="L21" i="57"/>
  <c r="K21" i="57"/>
  <c r="G21" i="57"/>
  <c r="F21" i="57"/>
  <c r="Q20" i="57"/>
  <c r="P20" i="57"/>
  <c r="L20" i="57"/>
  <c r="K20" i="57"/>
  <c r="G20" i="57"/>
  <c r="F20" i="57"/>
  <c r="Q18" i="57"/>
  <c r="P18" i="57"/>
  <c r="L18" i="57"/>
  <c r="K18" i="57"/>
  <c r="E18" i="57"/>
  <c r="D18" i="57"/>
  <c r="C18" i="57"/>
  <c r="Q17" i="57"/>
  <c r="P17" i="57"/>
  <c r="L17" i="57"/>
  <c r="K17" i="57"/>
  <c r="E17" i="57"/>
  <c r="D17" i="57"/>
  <c r="C17" i="57"/>
  <c r="Q16" i="57"/>
  <c r="P16" i="57"/>
  <c r="L16" i="57"/>
  <c r="K16" i="57"/>
  <c r="E16" i="57"/>
  <c r="D16" i="57"/>
  <c r="C16" i="57"/>
  <c r="Q15" i="57"/>
  <c r="P15" i="57"/>
  <c r="P42" i="57"/>
  <c r="L15" i="57"/>
  <c r="K15" i="57"/>
  <c r="K42" i="57"/>
  <c r="E15" i="57"/>
  <c r="D15" i="57"/>
  <c r="C15" i="57"/>
  <c r="Q14" i="57"/>
  <c r="P14" i="57"/>
  <c r="P41" i="57"/>
  <c r="L14" i="57"/>
  <c r="K14" i="57"/>
  <c r="K41" i="57"/>
  <c r="E14" i="57"/>
  <c r="D14" i="57"/>
  <c r="C14" i="57"/>
  <c r="Q13" i="57"/>
  <c r="P13" i="57"/>
  <c r="P40" i="57"/>
  <c r="L13" i="57"/>
  <c r="K13" i="57"/>
  <c r="K40" i="57"/>
  <c r="E13" i="57"/>
  <c r="D13" i="57"/>
  <c r="C13" i="57"/>
  <c r="Q12" i="57"/>
  <c r="P12" i="57"/>
  <c r="P39" i="57"/>
  <c r="L12" i="57"/>
  <c r="K12" i="57"/>
  <c r="K39" i="57"/>
  <c r="E12" i="57"/>
  <c r="D12" i="57"/>
  <c r="C12" i="57"/>
  <c r="Q11" i="57"/>
  <c r="P11" i="57"/>
  <c r="P38" i="57"/>
  <c r="L11" i="57"/>
  <c r="K11" i="57"/>
  <c r="K38" i="57"/>
  <c r="E11" i="57"/>
  <c r="D11" i="57"/>
  <c r="C11" i="57"/>
  <c r="Q10" i="57"/>
  <c r="P10" i="57"/>
  <c r="P37" i="57"/>
  <c r="L10" i="57"/>
  <c r="K10" i="57"/>
  <c r="K37" i="57"/>
  <c r="E10" i="57"/>
  <c r="D10" i="57"/>
  <c r="C10" i="57"/>
  <c r="Q9" i="57"/>
  <c r="P9" i="57"/>
  <c r="P36" i="57"/>
  <c r="L9" i="57"/>
  <c r="K9" i="57"/>
  <c r="K36" i="57"/>
  <c r="G9" i="57"/>
  <c r="F9" i="57"/>
  <c r="F36" i="57"/>
  <c r="Q8" i="57"/>
  <c r="P8" i="57"/>
  <c r="P35" i="57"/>
  <c r="L8" i="57"/>
  <c r="K8" i="57"/>
  <c r="K35" i="57"/>
  <c r="G8" i="57"/>
  <c r="F8" i="57"/>
  <c r="F35" i="57"/>
  <c r="Q71" i="47"/>
  <c r="L71" i="47"/>
  <c r="O45" i="47"/>
  <c r="O44" i="47"/>
  <c r="J45" i="47"/>
  <c r="J44" i="47"/>
  <c r="J43" i="47"/>
  <c r="O147" i="47"/>
  <c r="N147" i="47"/>
  <c r="Q147" i="47"/>
  <c r="M147" i="47"/>
  <c r="P147" i="47"/>
  <c r="J147" i="47"/>
  <c r="I147" i="47"/>
  <c r="H147" i="47"/>
  <c r="C147" i="47"/>
  <c r="E147" i="47"/>
  <c r="O134" i="47"/>
  <c r="N134" i="47"/>
  <c r="Q134" i="47"/>
  <c r="M134" i="47"/>
  <c r="M135" i="47"/>
  <c r="J134" i="47"/>
  <c r="I134" i="47"/>
  <c r="H134" i="47"/>
  <c r="L134" i="47"/>
  <c r="H127" i="47"/>
  <c r="O127" i="47"/>
  <c r="N127" i="47"/>
  <c r="M127" i="47"/>
  <c r="P127" i="47"/>
  <c r="P128" i="47"/>
  <c r="J127" i="47"/>
  <c r="I127" i="47"/>
  <c r="Q121" i="47"/>
  <c r="P121" i="47"/>
  <c r="L121" i="47"/>
  <c r="K121" i="47"/>
  <c r="E45" i="47"/>
  <c r="E44" i="47"/>
  <c r="E74" i="47"/>
  <c r="E73" i="47"/>
  <c r="E70" i="47"/>
  <c r="P70" i="47"/>
  <c r="P71" i="47"/>
  <c r="K70" i="47"/>
  <c r="K71" i="47"/>
  <c r="C70" i="47"/>
  <c r="O41" i="47"/>
  <c r="N41" i="47"/>
  <c r="M41" i="47"/>
  <c r="J41" i="47"/>
  <c r="I41" i="47"/>
  <c r="H41" i="47"/>
  <c r="E30" i="47"/>
  <c r="K30" i="47"/>
  <c r="D30" i="47"/>
  <c r="L30" i="47"/>
  <c r="C30" i="47"/>
  <c r="G30" i="47"/>
  <c r="P30" i="47"/>
  <c r="Q30" i="47"/>
  <c r="E29" i="47"/>
  <c r="K29" i="47"/>
  <c r="D29" i="47"/>
  <c r="L29" i="47"/>
  <c r="C29" i="47"/>
  <c r="G29" i="47"/>
  <c r="P29" i="47"/>
  <c r="Q29" i="47"/>
  <c r="E18" i="47"/>
  <c r="K18" i="47"/>
  <c r="D18" i="47"/>
  <c r="L18" i="47"/>
  <c r="C18" i="47"/>
  <c r="F18" i="47"/>
  <c r="P18" i="47"/>
  <c r="Q18" i="47"/>
  <c r="E17" i="47"/>
  <c r="K17" i="47"/>
  <c r="D17" i="47"/>
  <c r="L17" i="47"/>
  <c r="C17" i="47"/>
  <c r="G17" i="47"/>
  <c r="P17" i="47"/>
  <c r="Q17" i="47"/>
  <c r="O148" i="47"/>
  <c r="N148" i="47"/>
  <c r="M148" i="47"/>
  <c r="M159" i="47"/>
  <c r="J148" i="47"/>
  <c r="I148" i="47"/>
  <c r="H148" i="47"/>
  <c r="L147" i="47"/>
  <c r="K147" i="47"/>
  <c r="Q146" i="47"/>
  <c r="P146" i="47"/>
  <c r="L146" i="47"/>
  <c r="K146" i="47"/>
  <c r="K148" i="47"/>
  <c r="E146" i="47"/>
  <c r="E148" i="47"/>
  <c r="D146" i="47"/>
  <c r="C146" i="47"/>
  <c r="C148" i="47"/>
  <c r="O141" i="47"/>
  <c r="N141" i="47"/>
  <c r="M141" i="47"/>
  <c r="J141" i="47"/>
  <c r="I141" i="47"/>
  <c r="L141" i="47"/>
  <c r="H141" i="47"/>
  <c r="Q140" i="47"/>
  <c r="P140" i="47"/>
  <c r="L140" i="47"/>
  <c r="K140" i="47"/>
  <c r="E140" i="47"/>
  <c r="D140" i="47"/>
  <c r="C140" i="47"/>
  <c r="G140" i="47"/>
  <c r="Q139" i="47"/>
  <c r="P139" i="47"/>
  <c r="P141" i="47"/>
  <c r="P142" i="47"/>
  <c r="L139" i="47"/>
  <c r="K139" i="47"/>
  <c r="K141" i="47"/>
  <c r="K142" i="47"/>
  <c r="E139" i="47"/>
  <c r="D139" i="47"/>
  <c r="D141" i="47"/>
  <c r="C139" i="47"/>
  <c r="O128" i="47"/>
  <c r="N128" i="47"/>
  <c r="M128" i="47"/>
  <c r="J128" i="47"/>
  <c r="I128" i="47"/>
  <c r="H128" i="47"/>
  <c r="Q127" i="47"/>
  <c r="L127" i="47"/>
  <c r="K127" i="47"/>
  <c r="E127" i="47"/>
  <c r="D127" i="47"/>
  <c r="C127" i="47"/>
  <c r="G127" i="47"/>
  <c r="Q126" i="47"/>
  <c r="P126" i="47"/>
  <c r="L126" i="47"/>
  <c r="K126" i="47"/>
  <c r="K128" i="47"/>
  <c r="E126" i="47"/>
  <c r="D126" i="47"/>
  <c r="D128" i="47"/>
  <c r="C126" i="47"/>
  <c r="F39" i="30"/>
  <c r="L39" i="30"/>
  <c r="F14" i="30"/>
  <c r="F13" i="30"/>
  <c r="F10" i="30"/>
  <c r="E33" i="55"/>
  <c r="E34" i="55"/>
  <c r="E35" i="55"/>
  <c r="E36" i="55"/>
  <c r="C33" i="55"/>
  <c r="C34" i="55"/>
  <c r="C35" i="55"/>
  <c r="C36" i="55"/>
  <c r="D29" i="55"/>
  <c r="F29" i="55"/>
  <c r="D28" i="55"/>
  <c r="F28" i="55"/>
  <c r="D27" i="55"/>
  <c r="F27" i="55"/>
  <c r="D26" i="55"/>
  <c r="D33" i="55"/>
  <c r="D34" i="55"/>
  <c r="D35" i="55"/>
  <c r="D36" i="55"/>
  <c r="L22" i="52"/>
  <c r="L22" i="40"/>
  <c r="D65" i="40"/>
  <c r="L22" i="39"/>
  <c r="D31" i="31"/>
  <c r="B19" i="23"/>
  <c r="B18" i="23"/>
  <c r="B17" i="23"/>
  <c r="E19" i="23"/>
  <c r="C19" i="23"/>
  <c r="D19" i="23"/>
  <c r="E18" i="23"/>
  <c r="C18" i="23"/>
  <c r="D18" i="23"/>
  <c r="D34" i="44"/>
  <c r="F34" i="44"/>
  <c r="D33" i="44"/>
  <c r="F33" i="44"/>
  <c r="D19" i="44"/>
  <c r="F19" i="44"/>
  <c r="D18" i="44"/>
  <c r="F18" i="44"/>
  <c r="F14" i="29"/>
  <c r="F13" i="29"/>
  <c r="F12" i="29"/>
  <c r="D14" i="29"/>
  <c r="B14" i="29"/>
  <c r="D13" i="29"/>
  <c r="B13" i="29"/>
  <c r="G100" i="22"/>
  <c r="G58" i="22"/>
  <c r="G9" i="45"/>
  <c r="T132" i="33"/>
  <c r="T106" i="33"/>
  <c r="T180" i="33"/>
  <c r="T105" i="33"/>
  <c r="T179" i="33"/>
  <c r="T104" i="33"/>
  <c r="T178" i="33"/>
  <c r="T103" i="33"/>
  <c r="T177" i="33"/>
  <c r="T95" i="33"/>
  <c r="T58" i="33"/>
  <c r="T20" i="33"/>
  <c r="T9" i="33"/>
  <c r="P244" i="33"/>
  <c r="O244" i="33"/>
  <c r="P219" i="33"/>
  <c r="P293" i="33"/>
  <c r="O219" i="33"/>
  <c r="O293" i="33"/>
  <c r="P180" i="33"/>
  <c r="P255" i="33"/>
  <c r="O180" i="33"/>
  <c r="O255" i="33"/>
  <c r="P179" i="33"/>
  <c r="P254" i="33"/>
  <c r="O179" i="33"/>
  <c r="O254" i="33"/>
  <c r="P178" i="33"/>
  <c r="P253" i="33"/>
  <c r="O178" i="33"/>
  <c r="O253" i="33"/>
  <c r="P177" i="33"/>
  <c r="P252" i="33"/>
  <c r="O177" i="33"/>
  <c r="O252" i="33"/>
  <c r="P84" i="33"/>
  <c r="P121" i="33"/>
  <c r="P270" i="33"/>
  <c r="O84" i="33"/>
  <c r="T84" i="33"/>
  <c r="P69" i="33"/>
  <c r="P218" i="33"/>
  <c r="P292" i="33"/>
  <c r="P68" i="33"/>
  <c r="P217" i="33"/>
  <c r="P291" i="33"/>
  <c r="P67" i="33"/>
  <c r="P216" i="33"/>
  <c r="P290" i="33"/>
  <c r="P47" i="33"/>
  <c r="P195" i="33"/>
  <c r="O69" i="33"/>
  <c r="O218" i="33"/>
  <c r="O292" i="33"/>
  <c r="O68" i="33"/>
  <c r="O217" i="33"/>
  <c r="O291" i="33"/>
  <c r="O67" i="33"/>
  <c r="O216" i="33"/>
  <c r="O290" i="33"/>
  <c r="O47" i="33"/>
  <c r="G47" i="45"/>
  <c r="P150" i="9"/>
  <c r="P150" i="33"/>
  <c r="P144" i="9"/>
  <c r="P143" i="9"/>
  <c r="P142" i="9"/>
  <c r="P141" i="9"/>
  <c r="P140" i="9"/>
  <c r="P138" i="9"/>
  <c r="P138" i="33"/>
  <c r="P115" i="9"/>
  <c r="P115" i="33"/>
  <c r="P114" i="9"/>
  <c r="P114" i="33"/>
  <c r="P113" i="9"/>
  <c r="P113" i="33"/>
  <c r="P112" i="9"/>
  <c r="P112" i="33"/>
  <c r="P111" i="9"/>
  <c r="P111" i="33"/>
  <c r="P106" i="9"/>
  <c r="P105" i="9"/>
  <c r="P104" i="9"/>
  <c r="P103" i="9"/>
  <c r="P102" i="9"/>
  <c r="P102" i="33"/>
  <c r="P100" i="9"/>
  <c r="P100" i="33"/>
  <c r="P99" i="9"/>
  <c r="P99" i="33"/>
  <c r="P98" i="9"/>
  <c r="P98" i="33"/>
  <c r="P97" i="9"/>
  <c r="P97" i="33"/>
  <c r="P96" i="9"/>
  <c r="P96" i="33"/>
  <c r="P94" i="9"/>
  <c r="P94" i="33"/>
  <c r="P93" i="9"/>
  <c r="P93" i="33"/>
  <c r="P92" i="9"/>
  <c r="P92" i="33"/>
  <c r="P91" i="9"/>
  <c r="P91" i="33"/>
  <c r="P90" i="9"/>
  <c r="P90" i="33"/>
  <c r="P89" i="9"/>
  <c r="P89" i="33"/>
  <c r="P88" i="9"/>
  <c r="P88" i="33"/>
  <c r="P86" i="9"/>
  <c r="P86" i="33"/>
  <c r="P85" i="9"/>
  <c r="P85" i="33"/>
  <c r="P83" i="9"/>
  <c r="P83" i="33"/>
  <c r="O150" i="9"/>
  <c r="O150" i="33"/>
  <c r="O144" i="9"/>
  <c r="O143" i="9"/>
  <c r="O142" i="9"/>
  <c r="O141" i="9"/>
  <c r="O140" i="9"/>
  <c r="O138" i="9"/>
  <c r="O138" i="33"/>
  <c r="O115" i="9"/>
  <c r="O115" i="33"/>
  <c r="O114" i="9"/>
  <c r="O114" i="33"/>
  <c r="O113" i="9"/>
  <c r="O113" i="33"/>
  <c r="O112" i="9"/>
  <c r="O112" i="33"/>
  <c r="O111" i="9"/>
  <c r="O111" i="33"/>
  <c r="O106" i="9"/>
  <c r="O105" i="9"/>
  <c r="O104" i="9"/>
  <c r="O103" i="9"/>
  <c r="O102" i="9"/>
  <c r="O102" i="33"/>
  <c r="O100" i="9"/>
  <c r="O100" i="33"/>
  <c r="O99" i="9"/>
  <c r="O99" i="33"/>
  <c r="O136" i="9"/>
  <c r="O98" i="9"/>
  <c r="O98" i="33"/>
  <c r="O97" i="9"/>
  <c r="O97" i="33"/>
  <c r="O96" i="9"/>
  <c r="O96" i="33"/>
  <c r="O94" i="9"/>
  <c r="O94" i="33"/>
  <c r="O93" i="9"/>
  <c r="O93" i="33"/>
  <c r="O92" i="9"/>
  <c r="O92" i="33"/>
  <c r="O91" i="9"/>
  <c r="O91" i="33"/>
  <c r="O90" i="9"/>
  <c r="O90" i="33"/>
  <c r="O89" i="9"/>
  <c r="O89" i="33"/>
  <c r="O88" i="9"/>
  <c r="O88" i="33"/>
  <c r="O86" i="9"/>
  <c r="O86" i="33"/>
  <c r="O85" i="9"/>
  <c r="O85" i="33"/>
  <c r="O83" i="9"/>
  <c r="O83" i="33"/>
  <c r="P158" i="9"/>
  <c r="O158" i="9"/>
  <c r="P121" i="9"/>
  <c r="O121" i="9"/>
  <c r="P117" i="9"/>
  <c r="O117" i="9"/>
  <c r="P137" i="9"/>
  <c r="O137" i="9"/>
  <c r="P136" i="9"/>
  <c r="P135" i="9"/>
  <c r="P134" i="9"/>
  <c r="P133" i="9"/>
  <c r="P131" i="9"/>
  <c r="O131" i="9"/>
  <c r="P130" i="9"/>
  <c r="O130" i="9"/>
  <c r="P129" i="9"/>
  <c r="O129" i="9"/>
  <c r="P128" i="9"/>
  <c r="O128" i="9"/>
  <c r="P127" i="9"/>
  <c r="O127" i="9"/>
  <c r="P126" i="9"/>
  <c r="O126" i="9"/>
  <c r="P125" i="9"/>
  <c r="O125" i="9"/>
  <c r="P123" i="9"/>
  <c r="O123" i="9"/>
  <c r="P122" i="9"/>
  <c r="O122" i="9"/>
  <c r="P120" i="9"/>
  <c r="O120" i="9"/>
  <c r="P47" i="9"/>
  <c r="P195" i="9"/>
  <c r="O47" i="9"/>
  <c r="O195" i="9"/>
  <c r="H75" i="54"/>
  <c r="G75" i="54"/>
  <c r="F75" i="54"/>
  <c r="D75" i="54"/>
  <c r="H75" i="52"/>
  <c r="G75" i="52"/>
  <c r="F75" i="52"/>
  <c r="D75" i="52"/>
  <c r="J75" i="52"/>
  <c r="O80" i="9"/>
  <c r="H5" i="54"/>
  <c r="H145" i="54"/>
  <c r="G5" i="54"/>
  <c r="F5" i="54"/>
  <c r="F145" i="54"/>
  <c r="D5" i="54"/>
  <c r="H5" i="52"/>
  <c r="G5" i="52"/>
  <c r="F5" i="52"/>
  <c r="D5" i="52"/>
  <c r="J5" i="52"/>
  <c r="O5" i="33"/>
  <c r="I211" i="54"/>
  <c r="H211" i="54"/>
  <c r="G211" i="54"/>
  <c r="F211" i="54"/>
  <c r="E211" i="54"/>
  <c r="D211" i="54"/>
  <c r="I199" i="54"/>
  <c r="H199" i="54"/>
  <c r="G199" i="54"/>
  <c r="F199" i="54"/>
  <c r="E199" i="54"/>
  <c r="D199" i="54"/>
  <c r="I178" i="54"/>
  <c r="H178" i="54"/>
  <c r="G178" i="54"/>
  <c r="F178" i="54"/>
  <c r="E178" i="54"/>
  <c r="D178" i="54"/>
  <c r="I177" i="54"/>
  <c r="H177" i="54"/>
  <c r="G177" i="54"/>
  <c r="F177" i="54"/>
  <c r="D177" i="54"/>
  <c r="I176" i="54"/>
  <c r="H176" i="54"/>
  <c r="G176" i="54"/>
  <c r="F176" i="54"/>
  <c r="E176" i="54"/>
  <c r="D176" i="54"/>
  <c r="I175" i="54"/>
  <c r="H175" i="54"/>
  <c r="G175" i="54"/>
  <c r="F175" i="54"/>
  <c r="E175" i="54"/>
  <c r="D175" i="54"/>
  <c r="I174" i="54"/>
  <c r="H174" i="54"/>
  <c r="G174" i="54"/>
  <c r="F174" i="54"/>
  <c r="E174" i="54"/>
  <c r="D174" i="54"/>
  <c r="I169" i="54"/>
  <c r="H169" i="54"/>
  <c r="G169" i="54"/>
  <c r="F169" i="54"/>
  <c r="E169" i="54"/>
  <c r="D169" i="54"/>
  <c r="I168" i="54"/>
  <c r="H168" i="54"/>
  <c r="G168" i="54"/>
  <c r="F168" i="54"/>
  <c r="E168" i="54"/>
  <c r="D168" i="54"/>
  <c r="I167" i="54"/>
  <c r="H167" i="54"/>
  <c r="G167" i="54"/>
  <c r="F167" i="54"/>
  <c r="E167" i="54"/>
  <c r="D167" i="54"/>
  <c r="I166" i="54"/>
  <c r="H166" i="54"/>
  <c r="G166" i="54"/>
  <c r="F166" i="54"/>
  <c r="E166" i="54"/>
  <c r="D166" i="54"/>
  <c r="I165" i="54"/>
  <c r="H165" i="54"/>
  <c r="G165" i="54"/>
  <c r="F165" i="54"/>
  <c r="E165" i="54"/>
  <c r="D165" i="54"/>
  <c r="I163" i="54"/>
  <c r="H163" i="54"/>
  <c r="G163" i="54"/>
  <c r="F163" i="54"/>
  <c r="E163" i="54"/>
  <c r="D163" i="54"/>
  <c r="I162" i="54"/>
  <c r="H162" i="54"/>
  <c r="G162" i="54"/>
  <c r="F162" i="54"/>
  <c r="D162" i="54"/>
  <c r="I161" i="54"/>
  <c r="H161" i="54"/>
  <c r="G161" i="54"/>
  <c r="F161" i="54"/>
  <c r="E161" i="54"/>
  <c r="D161" i="54"/>
  <c r="I160" i="54"/>
  <c r="H160" i="54"/>
  <c r="G160" i="54"/>
  <c r="F160" i="54"/>
  <c r="E160" i="54"/>
  <c r="D160" i="54"/>
  <c r="I159" i="54"/>
  <c r="H159" i="54"/>
  <c r="G159" i="54"/>
  <c r="F159" i="54"/>
  <c r="E159" i="54"/>
  <c r="D159" i="54"/>
  <c r="I158" i="54"/>
  <c r="H158" i="54"/>
  <c r="G158" i="54"/>
  <c r="F158" i="54"/>
  <c r="E158" i="54"/>
  <c r="D158" i="54"/>
  <c r="I157" i="54"/>
  <c r="H157" i="54"/>
  <c r="G157" i="54"/>
  <c r="F157" i="54"/>
  <c r="E157" i="54"/>
  <c r="D157" i="54"/>
  <c r="I156" i="54"/>
  <c r="H156" i="54"/>
  <c r="G156" i="54"/>
  <c r="F156" i="54"/>
  <c r="E156" i="54"/>
  <c r="D156" i="54"/>
  <c r="I155" i="54"/>
  <c r="H155" i="54"/>
  <c r="G155" i="54"/>
  <c r="F155" i="54"/>
  <c r="E155" i="54"/>
  <c r="D155" i="54"/>
  <c r="I154" i="54"/>
  <c r="H154" i="54"/>
  <c r="G154" i="54"/>
  <c r="F154" i="54"/>
  <c r="E154" i="54"/>
  <c r="D154" i="54"/>
  <c r="I153" i="54"/>
  <c r="H153" i="54"/>
  <c r="G153" i="54"/>
  <c r="F153" i="54"/>
  <c r="E153" i="54"/>
  <c r="D153" i="54"/>
  <c r="I152" i="54"/>
  <c r="H152" i="54"/>
  <c r="G152" i="54"/>
  <c r="F152" i="54"/>
  <c r="E152" i="54"/>
  <c r="D152" i="54"/>
  <c r="I150" i="54"/>
  <c r="H150" i="54"/>
  <c r="G150" i="54"/>
  <c r="F150" i="54"/>
  <c r="E150" i="54"/>
  <c r="D150" i="54"/>
  <c r="I149" i="54"/>
  <c r="H149" i="54"/>
  <c r="G149" i="54"/>
  <c r="F149" i="54"/>
  <c r="E149" i="54"/>
  <c r="D149" i="54"/>
  <c r="I148" i="54"/>
  <c r="H148" i="54"/>
  <c r="G148" i="54"/>
  <c r="F148" i="54"/>
  <c r="E148" i="54"/>
  <c r="D148" i="54"/>
  <c r="A148" i="54"/>
  <c r="A149" i="54"/>
  <c r="A150" i="54"/>
  <c r="A152" i="54"/>
  <c r="A153" i="54"/>
  <c r="A154" i="54"/>
  <c r="A155" i="54"/>
  <c r="A156" i="54"/>
  <c r="A157" i="54"/>
  <c r="A158" i="54"/>
  <c r="A159" i="54"/>
  <c r="A160" i="54"/>
  <c r="A161" i="54"/>
  <c r="A162" i="54"/>
  <c r="A163" i="54"/>
  <c r="A165" i="54"/>
  <c r="A166" i="54"/>
  <c r="A167" i="54"/>
  <c r="A168" i="54"/>
  <c r="A169" i="54"/>
  <c r="A171" i="54"/>
  <c r="A174" i="54"/>
  <c r="A175" i="54"/>
  <c r="A176" i="54"/>
  <c r="A177" i="54"/>
  <c r="A178" i="54"/>
  <c r="A180" i="54"/>
  <c r="A183" i="54"/>
  <c r="A184" i="54"/>
  <c r="A185" i="54"/>
  <c r="A187" i="54"/>
  <c r="A188" i="54"/>
  <c r="A189" i="54"/>
  <c r="A190" i="54"/>
  <c r="A191" i="54"/>
  <c r="A192" i="54"/>
  <c r="A193" i="54"/>
  <c r="A194" i="54"/>
  <c r="A195" i="54"/>
  <c r="A196" i="54"/>
  <c r="A197" i="54"/>
  <c r="A198" i="54"/>
  <c r="A199" i="54"/>
  <c r="A201" i="54"/>
  <c r="A202" i="54"/>
  <c r="A203" i="54"/>
  <c r="A204" i="54"/>
  <c r="A205" i="54"/>
  <c r="A207" i="54"/>
  <c r="A208" i="54"/>
  <c r="A209" i="54"/>
  <c r="A211" i="54"/>
  <c r="I145" i="54"/>
  <c r="E145" i="54"/>
  <c r="A78" i="54"/>
  <c r="A79" i="54"/>
  <c r="A80" i="54"/>
  <c r="A82" i="54"/>
  <c r="A83" i="54"/>
  <c r="A84" i="54"/>
  <c r="A85" i="54"/>
  <c r="A86" i="54"/>
  <c r="A87" i="54"/>
  <c r="A88" i="54"/>
  <c r="A89" i="54"/>
  <c r="A90" i="54"/>
  <c r="A91" i="54"/>
  <c r="A92" i="54"/>
  <c r="A93" i="54"/>
  <c r="A95" i="54"/>
  <c r="A96" i="54"/>
  <c r="A97" i="54"/>
  <c r="A98" i="54"/>
  <c r="A99" i="54"/>
  <c r="A101" i="54"/>
  <c r="A104" i="54"/>
  <c r="A105" i="54"/>
  <c r="A106" i="54"/>
  <c r="A107" i="54"/>
  <c r="A108" i="54"/>
  <c r="A110" i="54"/>
  <c r="A113" i="54"/>
  <c r="A114" i="54"/>
  <c r="A115" i="54"/>
  <c r="A117" i="54"/>
  <c r="A118" i="54"/>
  <c r="A119" i="54"/>
  <c r="A120" i="54"/>
  <c r="A121" i="54"/>
  <c r="A122" i="54"/>
  <c r="A123" i="54"/>
  <c r="A124" i="54"/>
  <c r="A125" i="54"/>
  <c r="A126" i="54"/>
  <c r="A127" i="54"/>
  <c r="A128" i="54"/>
  <c r="A129" i="54"/>
  <c r="A131" i="54"/>
  <c r="A132" i="54"/>
  <c r="A133" i="54"/>
  <c r="A134" i="54"/>
  <c r="A135" i="54"/>
  <c r="A137" i="54"/>
  <c r="A138" i="54"/>
  <c r="A139" i="54"/>
  <c r="A141" i="54"/>
  <c r="J75" i="54"/>
  <c r="P80" i="33"/>
  <c r="J71" i="54"/>
  <c r="J211" i="54"/>
  <c r="I65" i="54"/>
  <c r="I205" i="54"/>
  <c r="H65" i="54"/>
  <c r="H205" i="54"/>
  <c r="G65" i="54"/>
  <c r="G205" i="54"/>
  <c r="F65" i="54"/>
  <c r="F205" i="54"/>
  <c r="E65" i="54"/>
  <c r="E205" i="54"/>
  <c r="D65" i="54"/>
  <c r="D205" i="54"/>
  <c r="I64" i="54"/>
  <c r="I204" i="54"/>
  <c r="H64" i="54"/>
  <c r="H204" i="54"/>
  <c r="G64" i="54"/>
  <c r="G204" i="54"/>
  <c r="F64" i="54"/>
  <c r="F204" i="54"/>
  <c r="E64" i="54"/>
  <c r="E204" i="54"/>
  <c r="D64" i="54"/>
  <c r="D204" i="54"/>
  <c r="I63" i="54"/>
  <c r="I203" i="54"/>
  <c r="H63" i="54"/>
  <c r="H203" i="54"/>
  <c r="G63" i="54"/>
  <c r="G203" i="54"/>
  <c r="F63" i="54"/>
  <c r="F203" i="54"/>
  <c r="E63" i="54"/>
  <c r="E203" i="54"/>
  <c r="D63" i="54"/>
  <c r="D203" i="54"/>
  <c r="I62" i="54"/>
  <c r="I202" i="54"/>
  <c r="H62" i="54"/>
  <c r="H202" i="54"/>
  <c r="G62" i="54"/>
  <c r="G202" i="54"/>
  <c r="F62" i="54"/>
  <c r="F202" i="54"/>
  <c r="E62" i="54"/>
  <c r="E202" i="54"/>
  <c r="D62" i="54"/>
  <c r="D202" i="54"/>
  <c r="I61" i="54"/>
  <c r="I201" i="54"/>
  <c r="H61" i="54"/>
  <c r="H201" i="54"/>
  <c r="G61" i="54"/>
  <c r="G201" i="54"/>
  <c r="F61" i="54"/>
  <c r="F201" i="54"/>
  <c r="E61" i="54"/>
  <c r="E201" i="54"/>
  <c r="D61" i="54"/>
  <c r="D201" i="54"/>
  <c r="J59" i="54"/>
  <c r="P64" i="9"/>
  <c r="I58" i="54"/>
  <c r="I198" i="54"/>
  <c r="H58" i="54"/>
  <c r="H198" i="54"/>
  <c r="G58" i="54"/>
  <c r="G198" i="54"/>
  <c r="F58" i="54"/>
  <c r="F198" i="54"/>
  <c r="E58" i="54"/>
  <c r="E198" i="54"/>
  <c r="D58" i="54"/>
  <c r="D198" i="54"/>
  <c r="I57" i="54"/>
  <c r="I197" i="54"/>
  <c r="H57" i="54"/>
  <c r="H197" i="54"/>
  <c r="G57" i="54"/>
  <c r="G197" i="54"/>
  <c r="F57" i="54"/>
  <c r="F197" i="54"/>
  <c r="D57" i="54"/>
  <c r="D197" i="54"/>
  <c r="I56" i="54"/>
  <c r="I196" i="54"/>
  <c r="H56" i="54"/>
  <c r="H196" i="54"/>
  <c r="G56" i="54"/>
  <c r="G196" i="54"/>
  <c r="F56" i="54"/>
  <c r="F196" i="54"/>
  <c r="E56" i="54"/>
  <c r="E196" i="54"/>
  <c r="D56" i="54"/>
  <c r="D196" i="54"/>
  <c r="I55" i="54"/>
  <c r="I195" i="54"/>
  <c r="H55" i="54"/>
  <c r="H195" i="54"/>
  <c r="G55" i="54"/>
  <c r="G195" i="54"/>
  <c r="F55" i="54"/>
  <c r="F195" i="54"/>
  <c r="E55" i="54"/>
  <c r="E195" i="54"/>
  <c r="D55" i="54"/>
  <c r="D195" i="54"/>
  <c r="I54" i="54"/>
  <c r="I194" i="54"/>
  <c r="H54" i="54"/>
  <c r="H194" i="54"/>
  <c r="G54" i="54"/>
  <c r="G194" i="54"/>
  <c r="F54" i="54"/>
  <c r="F194" i="54"/>
  <c r="E54" i="54"/>
  <c r="E194" i="54"/>
  <c r="D54" i="54"/>
  <c r="D194" i="54"/>
  <c r="I53" i="54"/>
  <c r="I193" i="54"/>
  <c r="H53" i="54"/>
  <c r="H193" i="54"/>
  <c r="G53" i="54"/>
  <c r="G193" i="54"/>
  <c r="F53" i="54"/>
  <c r="F193" i="54"/>
  <c r="E53" i="54"/>
  <c r="E193" i="54"/>
  <c r="D53" i="54"/>
  <c r="D193" i="54"/>
  <c r="I52" i="54"/>
  <c r="I192" i="54"/>
  <c r="H52" i="54"/>
  <c r="H192" i="54"/>
  <c r="G52" i="54"/>
  <c r="G192" i="54"/>
  <c r="F52" i="54"/>
  <c r="F192" i="54"/>
  <c r="E52" i="54"/>
  <c r="E192" i="54"/>
  <c r="D52" i="54"/>
  <c r="D192" i="54"/>
  <c r="I51" i="54"/>
  <c r="I191" i="54"/>
  <c r="H51" i="54"/>
  <c r="H191" i="54"/>
  <c r="G51" i="54"/>
  <c r="G191" i="54"/>
  <c r="F51" i="54"/>
  <c r="F191" i="54"/>
  <c r="E51" i="54"/>
  <c r="E191" i="54"/>
  <c r="D51" i="54"/>
  <c r="D191" i="54"/>
  <c r="I50" i="54"/>
  <c r="I190" i="54"/>
  <c r="H50" i="54"/>
  <c r="H190" i="54"/>
  <c r="G50" i="54"/>
  <c r="G190" i="54"/>
  <c r="F50" i="54"/>
  <c r="F190" i="54"/>
  <c r="E50" i="54"/>
  <c r="E190" i="54"/>
  <c r="D50" i="54"/>
  <c r="D190" i="54"/>
  <c r="I49" i="54"/>
  <c r="I189" i="54"/>
  <c r="H49" i="54"/>
  <c r="H189" i="54"/>
  <c r="G49" i="54"/>
  <c r="G189" i="54"/>
  <c r="F49" i="54"/>
  <c r="F189" i="54"/>
  <c r="E49" i="54"/>
  <c r="E189" i="54"/>
  <c r="D49" i="54"/>
  <c r="D189" i="54"/>
  <c r="I48" i="54"/>
  <c r="I188" i="54"/>
  <c r="H48" i="54"/>
  <c r="H188" i="54"/>
  <c r="G48" i="54"/>
  <c r="G188" i="54"/>
  <c r="F48" i="54"/>
  <c r="F188" i="54"/>
  <c r="E48" i="54"/>
  <c r="E188" i="54"/>
  <c r="D48" i="54"/>
  <c r="D188" i="54"/>
  <c r="I47" i="54"/>
  <c r="I187" i="54"/>
  <c r="H47" i="54"/>
  <c r="H187" i="54"/>
  <c r="G47" i="54"/>
  <c r="G187" i="54"/>
  <c r="F47" i="54"/>
  <c r="F187" i="54"/>
  <c r="E47" i="54"/>
  <c r="E187" i="54"/>
  <c r="D47" i="54"/>
  <c r="D187" i="54"/>
  <c r="I45" i="54"/>
  <c r="I185" i="54"/>
  <c r="H45" i="54"/>
  <c r="H185" i="54"/>
  <c r="G45" i="54"/>
  <c r="G185" i="54"/>
  <c r="F45" i="54"/>
  <c r="F185" i="54"/>
  <c r="E45" i="54"/>
  <c r="E185" i="54"/>
  <c r="D45" i="54"/>
  <c r="D185" i="54"/>
  <c r="I44" i="54"/>
  <c r="I184" i="54"/>
  <c r="H44" i="54"/>
  <c r="H184" i="54"/>
  <c r="G44" i="54"/>
  <c r="G184" i="54"/>
  <c r="F44" i="54"/>
  <c r="F184" i="54"/>
  <c r="E44" i="54"/>
  <c r="E184" i="54"/>
  <c r="D44" i="54"/>
  <c r="D184" i="54"/>
  <c r="I43" i="54"/>
  <c r="I183" i="54"/>
  <c r="H43" i="54"/>
  <c r="H183" i="54"/>
  <c r="G43" i="54"/>
  <c r="G183" i="54"/>
  <c r="F43" i="54"/>
  <c r="F183" i="54"/>
  <c r="E43" i="54"/>
  <c r="E183" i="54"/>
  <c r="D43" i="54"/>
  <c r="D183" i="54"/>
  <c r="I40" i="54"/>
  <c r="I180" i="54"/>
  <c r="H40" i="54"/>
  <c r="H180" i="54"/>
  <c r="G40" i="54"/>
  <c r="G180" i="54"/>
  <c r="F40" i="54"/>
  <c r="F180" i="54"/>
  <c r="D40" i="54"/>
  <c r="D180" i="54"/>
  <c r="J38" i="54"/>
  <c r="P41" i="9"/>
  <c r="E37" i="54"/>
  <c r="J37" i="54"/>
  <c r="J36" i="54"/>
  <c r="P39" i="9"/>
  <c r="J176" i="54"/>
  <c r="J35" i="54"/>
  <c r="P38" i="9"/>
  <c r="J34" i="54"/>
  <c r="P37" i="9"/>
  <c r="I31" i="54"/>
  <c r="I171" i="54"/>
  <c r="H31" i="54"/>
  <c r="H171" i="54"/>
  <c r="G31" i="54"/>
  <c r="G171" i="54"/>
  <c r="F31" i="54"/>
  <c r="F171" i="54"/>
  <c r="D31" i="54"/>
  <c r="D171" i="54"/>
  <c r="J29" i="54"/>
  <c r="E14" i="41"/>
  <c r="J169" i="54"/>
  <c r="J28" i="54"/>
  <c r="P30" i="9"/>
  <c r="P179" i="9"/>
  <c r="J27" i="54"/>
  <c r="P29" i="9"/>
  <c r="P178" i="9"/>
  <c r="J26" i="54"/>
  <c r="P28" i="9"/>
  <c r="P177" i="9"/>
  <c r="J25" i="54"/>
  <c r="P27" i="9"/>
  <c r="J23" i="54"/>
  <c r="P25" i="9"/>
  <c r="E22" i="54"/>
  <c r="E31" i="54"/>
  <c r="E171" i="54"/>
  <c r="J21" i="54"/>
  <c r="P23" i="9"/>
  <c r="J20" i="54"/>
  <c r="J160" i="54"/>
  <c r="J19" i="54"/>
  <c r="P21" i="9"/>
  <c r="J18" i="54"/>
  <c r="J158" i="54"/>
  <c r="J17" i="54"/>
  <c r="P18" i="9"/>
  <c r="J16" i="54"/>
  <c r="P17" i="9"/>
  <c r="J15" i="54"/>
  <c r="P16" i="9"/>
  <c r="J14" i="54"/>
  <c r="P15" i="9"/>
  <c r="J13" i="54"/>
  <c r="P14" i="9"/>
  <c r="J12" i="54"/>
  <c r="P13" i="9"/>
  <c r="J10" i="54"/>
  <c r="P11" i="9"/>
  <c r="J9" i="54"/>
  <c r="P10" i="9"/>
  <c r="J8" i="54"/>
  <c r="P8" i="9"/>
  <c r="A8" i="54"/>
  <c r="A9" i="54"/>
  <c r="A10" i="54"/>
  <c r="A12" i="54"/>
  <c r="A13" i="54"/>
  <c r="A14" i="54"/>
  <c r="A15" i="54"/>
  <c r="A16" i="54"/>
  <c r="A17" i="54"/>
  <c r="A18" i="54"/>
  <c r="A19" i="54"/>
  <c r="A20" i="54"/>
  <c r="A21" i="54"/>
  <c r="A22" i="54"/>
  <c r="A23" i="54"/>
  <c r="A25" i="54"/>
  <c r="A26" i="54"/>
  <c r="A27" i="54"/>
  <c r="A28" i="54"/>
  <c r="A29" i="54"/>
  <c r="A31" i="54"/>
  <c r="A34" i="54"/>
  <c r="A35" i="54"/>
  <c r="A36" i="54"/>
  <c r="A37" i="54"/>
  <c r="A38" i="54"/>
  <c r="A40" i="54"/>
  <c r="A43" i="54"/>
  <c r="A44" i="54"/>
  <c r="A45" i="54"/>
  <c r="A47" i="54"/>
  <c r="A48" i="54"/>
  <c r="A49" i="54"/>
  <c r="A50" i="54"/>
  <c r="A51" i="54"/>
  <c r="A52" i="54"/>
  <c r="A53" i="54"/>
  <c r="A54" i="54"/>
  <c r="A55" i="54"/>
  <c r="A56" i="54"/>
  <c r="A57" i="54"/>
  <c r="A58" i="54"/>
  <c r="A59" i="54"/>
  <c r="A61" i="54"/>
  <c r="A62" i="54"/>
  <c r="A63" i="54"/>
  <c r="A64" i="54"/>
  <c r="A65" i="54"/>
  <c r="A67" i="54"/>
  <c r="A68" i="54"/>
  <c r="A69" i="54"/>
  <c r="A71" i="54"/>
  <c r="G145" i="54"/>
  <c r="D145" i="54"/>
  <c r="I211" i="52"/>
  <c r="H211" i="52"/>
  <c r="G211" i="52"/>
  <c r="F211" i="52"/>
  <c r="E211" i="52"/>
  <c r="D211" i="52"/>
  <c r="I199" i="52"/>
  <c r="H199" i="52"/>
  <c r="G199" i="52"/>
  <c r="F199" i="52"/>
  <c r="E199" i="52"/>
  <c r="D199" i="52"/>
  <c r="I178" i="52"/>
  <c r="H178" i="52"/>
  <c r="G178" i="52"/>
  <c r="F178" i="52"/>
  <c r="E178" i="52"/>
  <c r="D178" i="52"/>
  <c r="I177" i="52"/>
  <c r="H177" i="52"/>
  <c r="G177" i="52"/>
  <c r="F177" i="52"/>
  <c r="D177" i="52"/>
  <c r="I176" i="52"/>
  <c r="H176" i="52"/>
  <c r="G176" i="52"/>
  <c r="F176" i="52"/>
  <c r="E176" i="52"/>
  <c r="D176" i="52"/>
  <c r="I175" i="52"/>
  <c r="H175" i="52"/>
  <c r="G175" i="52"/>
  <c r="F175" i="52"/>
  <c r="E175" i="52"/>
  <c r="D175" i="52"/>
  <c r="I174" i="52"/>
  <c r="H174" i="52"/>
  <c r="G174" i="52"/>
  <c r="F174" i="52"/>
  <c r="E174" i="52"/>
  <c r="D174" i="52"/>
  <c r="I169" i="52"/>
  <c r="H169" i="52"/>
  <c r="G169" i="52"/>
  <c r="F169" i="52"/>
  <c r="E169" i="52"/>
  <c r="D169" i="52"/>
  <c r="I168" i="52"/>
  <c r="H168" i="52"/>
  <c r="G168" i="52"/>
  <c r="F168" i="52"/>
  <c r="E168" i="52"/>
  <c r="D168" i="52"/>
  <c r="I167" i="52"/>
  <c r="H167" i="52"/>
  <c r="G167" i="52"/>
  <c r="F167" i="52"/>
  <c r="E167" i="52"/>
  <c r="D167" i="52"/>
  <c r="I166" i="52"/>
  <c r="H166" i="52"/>
  <c r="G166" i="52"/>
  <c r="F166" i="52"/>
  <c r="E166" i="52"/>
  <c r="D166" i="52"/>
  <c r="I165" i="52"/>
  <c r="H165" i="52"/>
  <c r="G165" i="52"/>
  <c r="F165" i="52"/>
  <c r="E165" i="52"/>
  <c r="D165" i="52"/>
  <c r="I163" i="52"/>
  <c r="H163" i="52"/>
  <c r="G163" i="52"/>
  <c r="F163" i="52"/>
  <c r="E163" i="52"/>
  <c r="D163" i="52"/>
  <c r="I162" i="52"/>
  <c r="H162" i="52"/>
  <c r="G162" i="52"/>
  <c r="F162" i="52"/>
  <c r="D162" i="52"/>
  <c r="I161" i="52"/>
  <c r="H161" i="52"/>
  <c r="G161" i="52"/>
  <c r="F161" i="52"/>
  <c r="E161" i="52"/>
  <c r="D161" i="52"/>
  <c r="I160" i="52"/>
  <c r="H160" i="52"/>
  <c r="G160" i="52"/>
  <c r="F160" i="52"/>
  <c r="E160" i="52"/>
  <c r="D160" i="52"/>
  <c r="I159" i="52"/>
  <c r="H159" i="52"/>
  <c r="G159" i="52"/>
  <c r="F159" i="52"/>
  <c r="E159" i="52"/>
  <c r="D159" i="52"/>
  <c r="I158" i="52"/>
  <c r="H158" i="52"/>
  <c r="G158" i="52"/>
  <c r="F158" i="52"/>
  <c r="E158" i="52"/>
  <c r="D158" i="52"/>
  <c r="I157" i="52"/>
  <c r="H157" i="52"/>
  <c r="G157" i="52"/>
  <c r="F157" i="52"/>
  <c r="E157" i="52"/>
  <c r="D157" i="52"/>
  <c r="I156" i="52"/>
  <c r="H156" i="52"/>
  <c r="G156" i="52"/>
  <c r="F156" i="52"/>
  <c r="E156" i="52"/>
  <c r="D156" i="52"/>
  <c r="I155" i="52"/>
  <c r="H155" i="52"/>
  <c r="G155" i="52"/>
  <c r="F155" i="52"/>
  <c r="E155" i="52"/>
  <c r="D155" i="52"/>
  <c r="I154" i="52"/>
  <c r="H154" i="52"/>
  <c r="G154" i="52"/>
  <c r="F154" i="52"/>
  <c r="E154" i="52"/>
  <c r="D154" i="52"/>
  <c r="I153" i="52"/>
  <c r="H153" i="52"/>
  <c r="G153" i="52"/>
  <c r="F153" i="52"/>
  <c r="E153" i="52"/>
  <c r="D153" i="52"/>
  <c r="I152" i="52"/>
  <c r="H152" i="52"/>
  <c r="G152" i="52"/>
  <c r="F152" i="52"/>
  <c r="E152" i="52"/>
  <c r="D152" i="52"/>
  <c r="I150" i="52"/>
  <c r="H150" i="52"/>
  <c r="G150" i="52"/>
  <c r="F150" i="52"/>
  <c r="E150" i="52"/>
  <c r="D150" i="52"/>
  <c r="I149" i="52"/>
  <c r="H149" i="52"/>
  <c r="G149" i="52"/>
  <c r="F149" i="52"/>
  <c r="E149" i="52"/>
  <c r="D149" i="52"/>
  <c r="I148" i="52"/>
  <c r="H148" i="52"/>
  <c r="G148" i="52"/>
  <c r="F148" i="52"/>
  <c r="E148" i="52"/>
  <c r="D148" i="52"/>
  <c r="A148" i="52"/>
  <c r="A149" i="52"/>
  <c r="A150" i="52"/>
  <c r="A152" i="52"/>
  <c r="A153" i="52"/>
  <c r="A154" i="52"/>
  <c r="A155" i="52"/>
  <c r="A156" i="52"/>
  <c r="A157" i="52"/>
  <c r="A158" i="52"/>
  <c r="A159" i="52"/>
  <c r="A160" i="52"/>
  <c r="A161" i="52"/>
  <c r="A162" i="52"/>
  <c r="A163" i="52"/>
  <c r="A165" i="52"/>
  <c r="A166" i="52"/>
  <c r="A167" i="52"/>
  <c r="A168" i="52"/>
  <c r="A169" i="52"/>
  <c r="A171" i="52"/>
  <c r="A174" i="52"/>
  <c r="A175" i="52"/>
  <c r="A176" i="52"/>
  <c r="A177" i="52"/>
  <c r="A178" i="52"/>
  <c r="A180" i="52"/>
  <c r="A183" i="52"/>
  <c r="A184" i="52"/>
  <c r="A185" i="52"/>
  <c r="A187" i="52"/>
  <c r="A188" i="52"/>
  <c r="A189" i="52"/>
  <c r="A190" i="52"/>
  <c r="A191" i="52"/>
  <c r="A192" i="52"/>
  <c r="A193" i="52"/>
  <c r="A194" i="52"/>
  <c r="A195" i="52"/>
  <c r="A196" i="52"/>
  <c r="A197" i="52"/>
  <c r="A198" i="52"/>
  <c r="A199" i="52"/>
  <c r="A201" i="52"/>
  <c r="A202" i="52"/>
  <c r="A203" i="52"/>
  <c r="A204" i="52"/>
  <c r="A205" i="52"/>
  <c r="A207" i="52"/>
  <c r="A208" i="52"/>
  <c r="A209" i="52"/>
  <c r="A211" i="52"/>
  <c r="I145" i="52"/>
  <c r="E145" i="52"/>
  <c r="A78" i="52"/>
  <c r="A79" i="52"/>
  <c r="A80" i="52"/>
  <c r="A82" i="52"/>
  <c r="A83" i="52"/>
  <c r="A84" i="52"/>
  <c r="A85" i="52"/>
  <c r="A86" i="52"/>
  <c r="A87" i="52"/>
  <c r="A88" i="52"/>
  <c r="A89" i="52"/>
  <c r="A90" i="52"/>
  <c r="A91" i="52"/>
  <c r="A92" i="52"/>
  <c r="A93" i="52"/>
  <c r="A95" i="52"/>
  <c r="A96" i="52"/>
  <c r="A97" i="52"/>
  <c r="A98" i="52"/>
  <c r="A99" i="52"/>
  <c r="A101" i="52"/>
  <c r="A104" i="52"/>
  <c r="A105" i="52"/>
  <c r="A106" i="52"/>
  <c r="A107" i="52"/>
  <c r="A108" i="52"/>
  <c r="A110" i="52"/>
  <c r="A113" i="52"/>
  <c r="A114" i="52"/>
  <c r="A115" i="52"/>
  <c r="A117" i="52"/>
  <c r="A118" i="52"/>
  <c r="A119" i="52"/>
  <c r="A120" i="52"/>
  <c r="A121" i="52"/>
  <c r="A122" i="52"/>
  <c r="A123" i="52"/>
  <c r="A124" i="52"/>
  <c r="A125" i="52"/>
  <c r="A126" i="52"/>
  <c r="A127" i="52"/>
  <c r="A128" i="52"/>
  <c r="A129" i="52"/>
  <c r="A131" i="52"/>
  <c r="A132" i="52"/>
  <c r="A133" i="52"/>
  <c r="A134" i="52"/>
  <c r="A135" i="52"/>
  <c r="A137" i="52"/>
  <c r="A138" i="52"/>
  <c r="A139" i="52"/>
  <c r="A141" i="52"/>
  <c r="J71" i="52"/>
  <c r="O76" i="9"/>
  <c r="I65" i="52"/>
  <c r="I205" i="52"/>
  <c r="H65" i="52"/>
  <c r="H205" i="52"/>
  <c r="G65" i="52"/>
  <c r="G205" i="52"/>
  <c r="F65" i="52"/>
  <c r="F205" i="52"/>
  <c r="E65" i="52"/>
  <c r="E205" i="52"/>
  <c r="D65" i="52"/>
  <c r="D205" i="52"/>
  <c r="I64" i="52"/>
  <c r="I204" i="52"/>
  <c r="H64" i="52"/>
  <c r="H204" i="52"/>
  <c r="G64" i="52"/>
  <c r="G204" i="52"/>
  <c r="F64" i="52"/>
  <c r="F204" i="52"/>
  <c r="E64" i="52"/>
  <c r="E204" i="52"/>
  <c r="D64" i="52"/>
  <c r="D204" i="52"/>
  <c r="I63" i="52"/>
  <c r="I203" i="52"/>
  <c r="H63" i="52"/>
  <c r="H203" i="52"/>
  <c r="G63" i="52"/>
  <c r="G203" i="52"/>
  <c r="F63" i="52"/>
  <c r="F203" i="52"/>
  <c r="E63" i="52"/>
  <c r="E203" i="52"/>
  <c r="D63" i="52"/>
  <c r="D203" i="52"/>
  <c r="I62" i="52"/>
  <c r="I202" i="52"/>
  <c r="H62" i="52"/>
  <c r="H202" i="52"/>
  <c r="G62" i="52"/>
  <c r="G202" i="52"/>
  <c r="F62" i="52"/>
  <c r="F202" i="52"/>
  <c r="E62" i="52"/>
  <c r="E202" i="52"/>
  <c r="D62" i="52"/>
  <c r="D202" i="52"/>
  <c r="I61" i="52"/>
  <c r="I201" i="52"/>
  <c r="H61" i="52"/>
  <c r="H201" i="52"/>
  <c r="G61" i="52"/>
  <c r="G201" i="52"/>
  <c r="F61" i="52"/>
  <c r="F201" i="52"/>
  <c r="E61" i="52"/>
  <c r="E201" i="52"/>
  <c r="D61" i="52"/>
  <c r="D201" i="52"/>
  <c r="J59" i="52"/>
  <c r="O64" i="9"/>
  <c r="I58" i="52"/>
  <c r="I198" i="52"/>
  <c r="H58" i="52"/>
  <c r="H198" i="52"/>
  <c r="G58" i="52"/>
  <c r="G198" i="52"/>
  <c r="F58" i="52"/>
  <c r="F198" i="52"/>
  <c r="E58" i="52"/>
  <c r="E198" i="52"/>
  <c r="D58" i="52"/>
  <c r="D198" i="52"/>
  <c r="I57" i="52"/>
  <c r="I197" i="52"/>
  <c r="H57" i="52"/>
  <c r="H197" i="52"/>
  <c r="G57" i="52"/>
  <c r="G197" i="52"/>
  <c r="F57" i="52"/>
  <c r="F197" i="52"/>
  <c r="D57" i="52"/>
  <c r="D197" i="52"/>
  <c r="I56" i="52"/>
  <c r="I196" i="52"/>
  <c r="H56" i="52"/>
  <c r="H196" i="52"/>
  <c r="G56" i="52"/>
  <c r="G196" i="52"/>
  <c r="F56" i="52"/>
  <c r="F196" i="52"/>
  <c r="E56" i="52"/>
  <c r="E196" i="52"/>
  <c r="D56" i="52"/>
  <c r="D196" i="52"/>
  <c r="I55" i="52"/>
  <c r="I195" i="52"/>
  <c r="H55" i="52"/>
  <c r="H195" i="52"/>
  <c r="G55" i="52"/>
  <c r="G195" i="52"/>
  <c r="F55" i="52"/>
  <c r="F195" i="52"/>
  <c r="E55" i="52"/>
  <c r="E195" i="52"/>
  <c r="D55" i="52"/>
  <c r="D195" i="52"/>
  <c r="I54" i="52"/>
  <c r="I194" i="52"/>
  <c r="H54" i="52"/>
  <c r="H194" i="52"/>
  <c r="G54" i="52"/>
  <c r="G194" i="52"/>
  <c r="F54" i="52"/>
  <c r="F194" i="52"/>
  <c r="E54" i="52"/>
  <c r="E194" i="52"/>
  <c r="D54" i="52"/>
  <c r="D194" i="52"/>
  <c r="I53" i="52"/>
  <c r="I193" i="52"/>
  <c r="H53" i="52"/>
  <c r="H193" i="52"/>
  <c r="G53" i="52"/>
  <c r="G193" i="52"/>
  <c r="F53" i="52"/>
  <c r="F193" i="52"/>
  <c r="E53" i="52"/>
  <c r="E193" i="52"/>
  <c r="D53" i="52"/>
  <c r="D193" i="52"/>
  <c r="I52" i="52"/>
  <c r="I192" i="52"/>
  <c r="H52" i="52"/>
  <c r="H192" i="52"/>
  <c r="G52" i="52"/>
  <c r="G192" i="52"/>
  <c r="F52" i="52"/>
  <c r="F192" i="52"/>
  <c r="E52" i="52"/>
  <c r="E192" i="52"/>
  <c r="D52" i="52"/>
  <c r="D192" i="52"/>
  <c r="I51" i="52"/>
  <c r="I191" i="52"/>
  <c r="H51" i="52"/>
  <c r="H191" i="52"/>
  <c r="G51" i="52"/>
  <c r="G191" i="52"/>
  <c r="F51" i="52"/>
  <c r="F191" i="52"/>
  <c r="E51" i="52"/>
  <c r="E191" i="52"/>
  <c r="D51" i="52"/>
  <c r="D191" i="52"/>
  <c r="I50" i="52"/>
  <c r="I190" i="52"/>
  <c r="H50" i="52"/>
  <c r="H190" i="52"/>
  <c r="G50" i="52"/>
  <c r="G190" i="52"/>
  <c r="F50" i="52"/>
  <c r="F190" i="52"/>
  <c r="E50" i="52"/>
  <c r="E190" i="52"/>
  <c r="D50" i="52"/>
  <c r="D190" i="52"/>
  <c r="I49" i="52"/>
  <c r="I189" i="52"/>
  <c r="H49" i="52"/>
  <c r="H189" i="52"/>
  <c r="G49" i="52"/>
  <c r="G189" i="52"/>
  <c r="F49" i="52"/>
  <c r="F189" i="52"/>
  <c r="E49" i="52"/>
  <c r="E189" i="52"/>
  <c r="D49" i="52"/>
  <c r="D189" i="52"/>
  <c r="I48" i="52"/>
  <c r="I188" i="52"/>
  <c r="H48" i="52"/>
  <c r="H188" i="52"/>
  <c r="G48" i="52"/>
  <c r="G188" i="52"/>
  <c r="F48" i="52"/>
  <c r="F188" i="52"/>
  <c r="E48" i="52"/>
  <c r="E188" i="52"/>
  <c r="D48" i="52"/>
  <c r="D188" i="52"/>
  <c r="I47" i="52"/>
  <c r="I187" i="52"/>
  <c r="H47" i="52"/>
  <c r="H187" i="52"/>
  <c r="G47" i="52"/>
  <c r="G187" i="52"/>
  <c r="F47" i="52"/>
  <c r="F187" i="52"/>
  <c r="E47" i="52"/>
  <c r="E187" i="52"/>
  <c r="D47" i="52"/>
  <c r="D187" i="52"/>
  <c r="I45" i="52"/>
  <c r="I185" i="52"/>
  <c r="H45" i="52"/>
  <c r="H185" i="52"/>
  <c r="G45" i="52"/>
  <c r="G185" i="52"/>
  <c r="F45" i="52"/>
  <c r="F185" i="52"/>
  <c r="E45" i="52"/>
  <c r="E185" i="52"/>
  <c r="D45" i="52"/>
  <c r="D185" i="52"/>
  <c r="I44" i="52"/>
  <c r="I184" i="52"/>
  <c r="H44" i="52"/>
  <c r="H184" i="52"/>
  <c r="G44" i="52"/>
  <c r="G184" i="52"/>
  <c r="F44" i="52"/>
  <c r="F184" i="52"/>
  <c r="E44" i="52"/>
  <c r="E184" i="52"/>
  <c r="D44" i="52"/>
  <c r="D184" i="52"/>
  <c r="I43" i="52"/>
  <c r="I183" i="52"/>
  <c r="H43" i="52"/>
  <c r="H183" i="52"/>
  <c r="G43" i="52"/>
  <c r="G183" i="52"/>
  <c r="F43" i="52"/>
  <c r="F183" i="52"/>
  <c r="E43" i="52"/>
  <c r="E183" i="52"/>
  <c r="D43" i="52"/>
  <c r="D183" i="52"/>
  <c r="I40" i="52"/>
  <c r="I180" i="52"/>
  <c r="H40" i="52"/>
  <c r="H180" i="52"/>
  <c r="G40" i="52"/>
  <c r="G180" i="52"/>
  <c r="F40" i="52"/>
  <c r="F180" i="52"/>
  <c r="D40" i="52"/>
  <c r="D180" i="52"/>
  <c r="J38" i="52"/>
  <c r="O41" i="9"/>
  <c r="E37" i="52"/>
  <c r="J37" i="52"/>
  <c r="J36" i="52"/>
  <c r="O39" i="9"/>
  <c r="J35" i="52"/>
  <c r="O38" i="9"/>
  <c r="J34" i="52"/>
  <c r="O37" i="9"/>
  <c r="I31" i="52"/>
  <c r="I171" i="52"/>
  <c r="H31" i="52"/>
  <c r="H171" i="52"/>
  <c r="G31" i="52"/>
  <c r="G171" i="52"/>
  <c r="F31" i="52"/>
  <c r="F171" i="52"/>
  <c r="D31" i="52"/>
  <c r="D171" i="52"/>
  <c r="J29" i="52"/>
  <c r="O31" i="9"/>
  <c r="J28" i="52"/>
  <c r="O30" i="9"/>
  <c r="O179" i="9"/>
  <c r="J27" i="52"/>
  <c r="O29" i="9"/>
  <c r="O178" i="9"/>
  <c r="J26" i="52"/>
  <c r="O28" i="9"/>
  <c r="O177" i="9"/>
  <c r="J25" i="52"/>
  <c r="O27" i="9"/>
  <c r="J23" i="52"/>
  <c r="O25" i="9"/>
  <c r="E22" i="52"/>
  <c r="E31" i="52"/>
  <c r="E171" i="52"/>
  <c r="J21" i="52"/>
  <c r="J161" i="52"/>
  <c r="J20" i="52"/>
  <c r="O22" i="9"/>
  <c r="J19" i="52"/>
  <c r="J159" i="52"/>
  <c r="J18" i="52"/>
  <c r="O19" i="9"/>
  <c r="J17" i="52"/>
  <c r="O18" i="9"/>
  <c r="J16" i="52"/>
  <c r="O17" i="9"/>
  <c r="J15" i="52"/>
  <c r="O16" i="9"/>
  <c r="J14" i="52"/>
  <c r="O15" i="9"/>
  <c r="J13" i="52"/>
  <c r="O14" i="9"/>
  <c r="J12" i="52"/>
  <c r="J152" i="52"/>
  <c r="J10" i="52"/>
  <c r="O11" i="9"/>
  <c r="J9" i="52"/>
  <c r="O10" i="9"/>
  <c r="J8" i="52"/>
  <c r="O8" i="9"/>
  <c r="A8" i="52"/>
  <c r="A9" i="52"/>
  <c r="A10" i="52"/>
  <c r="A12" i="52"/>
  <c r="A13" i="52"/>
  <c r="A14" i="52"/>
  <c r="A15" i="52"/>
  <c r="A16" i="52"/>
  <c r="A17" i="52"/>
  <c r="A18" i="52"/>
  <c r="A19" i="52"/>
  <c r="A20" i="52"/>
  <c r="A21" i="52"/>
  <c r="A22" i="52"/>
  <c r="A23" i="52"/>
  <c r="A25" i="52"/>
  <c r="A26" i="52"/>
  <c r="A27" i="52"/>
  <c r="A28" i="52"/>
  <c r="A29" i="52"/>
  <c r="A31" i="52"/>
  <c r="A34" i="52"/>
  <c r="A35" i="52"/>
  <c r="A36" i="52"/>
  <c r="A37" i="52"/>
  <c r="A38" i="52"/>
  <c r="A40" i="52"/>
  <c r="A43" i="52"/>
  <c r="A44" i="52"/>
  <c r="A45" i="52"/>
  <c r="A47" i="52"/>
  <c r="A48" i="52"/>
  <c r="A49" i="52"/>
  <c r="A50" i="52"/>
  <c r="A51" i="52"/>
  <c r="A52" i="52"/>
  <c r="A53" i="52"/>
  <c r="A54" i="52"/>
  <c r="A55" i="52"/>
  <c r="A56" i="52"/>
  <c r="A57" i="52"/>
  <c r="A58" i="52"/>
  <c r="A59" i="52"/>
  <c r="A61" i="52"/>
  <c r="A62" i="52"/>
  <c r="A63" i="52"/>
  <c r="A64" i="52"/>
  <c r="A65" i="52"/>
  <c r="A67" i="52"/>
  <c r="A68" i="52"/>
  <c r="A69" i="52"/>
  <c r="A71" i="52"/>
  <c r="H145" i="52"/>
  <c r="G145" i="52"/>
  <c r="F145" i="52"/>
  <c r="D145" i="52"/>
  <c r="A78" i="40"/>
  <c r="A79" i="40"/>
  <c r="A80" i="40"/>
  <c r="A82" i="40"/>
  <c r="A83" i="40"/>
  <c r="A84" i="40"/>
  <c r="A85" i="40"/>
  <c r="A86" i="40"/>
  <c r="A87" i="40"/>
  <c r="A88" i="40"/>
  <c r="A89" i="40"/>
  <c r="A90" i="40"/>
  <c r="A91" i="40"/>
  <c r="A92" i="40"/>
  <c r="A93" i="40"/>
  <c r="A95" i="40"/>
  <c r="A96" i="40"/>
  <c r="A97" i="40"/>
  <c r="A98" i="40"/>
  <c r="A99" i="40"/>
  <c r="A101" i="40"/>
  <c r="A104" i="40"/>
  <c r="A105" i="40"/>
  <c r="A106" i="40"/>
  <c r="A107" i="40"/>
  <c r="A108" i="40"/>
  <c r="A110" i="40"/>
  <c r="A113" i="40"/>
  <c r="A114" i="40"/>
  <c r="A115" i="40"/>
  <c r="A117" i="40"/>
  <c r="A118" i="40"/>
  <c r="A119" i="40"/>
  <c r="A120" i="40"/>
  <c r="A121" i="40"/>
  <c r="A122" i="40"/>
  <c r="A123" i="40"/>
  <c r="A124" i="40"/>
  <c r="A125" i="40"/>
  <c r="A126" i="40"/>
  <c r="A127" i="40"/>
  <c r="A128" i="40"/>
  <c r="A129" i="40"/>
  <c r="A131" i="40"/>
  <c r="A132" i="40"/>
  <c r="A133" i="40"/>
  <c r="A134" i="40"/>
  <c r="A135" i="40"/>
  <c r="A137" i="40"/>
  <c r="A138" i="40"/>
  <c r="A139" i="40"/>
  <c r="A141" i="40"/>
  <c r="A78" i="39"/>
  <c r="A79" i="39"/>
  <c r="A80" i="39"/>
  <c r="A82" i="39"/>
  <c r="A83" i="39"/>
  <c r="A84" i="39"/>
  <c r="A85" i="39"/>
  <c r="A86" i="39"/>
  <c r="A87" i="39"/>
  <c r="A88" i="39"/>
  <c r="A89" i="39"/>
  <c r="A90" i="39"/>
  <c r="A91" i="39"/>
  <c r="A92" i="39"/>
  <c r="A93" i="39"/>
  <c r="A95" i="39"/>
  <c r="A96" i="39"/>
  <c r="A97" i="39"/>
  <c r="A98" i="39"/>
  <c r="A99" i="39"/>
  <c r="A101" i="39"/>
  <c r="A104" i="39"/>
  <c r="A105" i="39"/>
  <c r="A106" i="39"/>
  <c r="A107" i="39"/>
  <c r="A108" i="39"/>
  <c r="A110" i="39"/>
  <c r="A113" i="39"/>
  <c r="A114" i="39"/>
  <c r="A115" i="39"/>
  <c r="A117" i="39"/>
  <c r="A118" i="39"/>
  <c r="A119" i="39"/>
  <c r="A120" i="39"/>
  <c r="A121" i="39"/>
  <c r="A122" i="39"/>
  <c r="A123" i="39"/>
  <c r="A124" i="39"/>
  <c r="A125" i="39"/>
  <c r="A126" i="39"/>
  <c r="A127" i="39"/>
  <c r="A128" i="39"/>
  <c r="A129" i="39"/>
  <c r="A131" i="39"/>
  <c r="A132" i="39"/>
  <c r="A133" i="39"/>
  <c r="A134" i="39"/>
  <c r="A135" i="39"/>
  <c r="A137" i="39"/>
  <c r="A138" i="39"/>
  <c r="A139" i="39"/>
  <c r="A141" i="39"/>
  <c r="A78" i="31"/>
  <c r="A79" i="31"/>
  <c r="A80" i="31"/>
  <c r="A82" i="31"/>
  <c r="A83" i="31"/>
  <c r="A84" i="31"/>
  <c r="A85" i="31"/>
  <c r="A86" i="31"/>
  <c r="A87" i="31"/>
  <c r="A88" i="31"/>
  <c r="A89" i="31"/>
  <c r="A90" i="31"/>
  <c r="A91" i="31"/>
  <c r="A92" i="31"/>
  <c r="A93" i="31"/>
  <c r="A95" i="31"/>
  <c r="A96" i="31"/>
  <c r="A97" i="31"/>
  <c r="A98" i="31"/>
  <c r="A99" i="31"/>
  <c r="A101" i="31"/>
  <c r="A104" i="31"/>
  <c r="A105" i="31"/>
  <c r="A106" i="31"/>
  <c r="A107" i="31"/>
  <c r="A108" i="31"/>
  <c r="A110" i="31"/>
  <c r="A113" i="31"/>
  <c r="A114" i="31"/>
  <c r="A115" i="31"/>
  <c r="A117" i="31"/>
  <c r="A118" i="31"/>
  <c r="A119" i="31"/>
  <c r="A120" i="31"/>
  <c r="A121" i="31"/>
  <c r="A122" i="31"/>
  <c r="A123" i="31"/>
  <c r="A124" i="31"/>
  <c r="A125" i="31"/>
  <c r="A126" i="31"/>
  <c r="A127" i="31"/>
  <c r="A128" i="31"/>
  <c r="A129" i="31"/>
  <c r="A131" i="31"/>
  <c r="A132" i="31"/>
  <c r="A133" i="31"/>
  <c r="A134" i="31"/>
  <c r="A135" i="31"/>
  <c r="A137" i="31"/>
  <c r="A138" i="31"/>
  <c r="A139" i="31"/>
  <c r="A141" i="31"/>
  <c r="A80" i="30"/>
  <c r="A81" i="30"/>
  <c r="A82" i="30"/>
  <c r="A84" i="30"/>
  <c r="A85" i="30"/>
  <c r="A86" i="30"/>
  <c r="A87" i="30"/>
  <c r="A88" i="30"/>
  <c r="A89" i="30"/>
  <c r="A90" i="30"/>
  <c r="A91" i="30"/>
  <c r="A92" i="30"/>
  <c r="A93" i="30"/>
  <c r="A94" i="30"/>
  <c r="A95" i="30"/>
  <c r="A96" i="30"/>
  <c r="A98" i="30"/>
  <c r="A99" i="30"/>
  <c r="A100" i="30"/>
  <c r="A101" i="30"/>
  <c r="A102" i="30"/>
  <c r="A104" i="30"/>
  <c r="A107" i="30"/>
  <c r="A108" i="30"/>
  <c r="A109" i="30"/>
  <c r="A110" i="30"/>
  <c r="A111" i="30"/>
  <c r="A113" i="30"/>
  <c r="A116" i="30"/>
  <c r="A117" i="30"/>
  <c r="A118" i="30"/>
  <c r="A120" i="30"/>
  <c r="A121" i="30"/>
  <c r="A122" i="30"/>
  <c r="A123" i="30"/>
  <c r="A124" i="30"/>
  <c r="A125" i="30"/>
  <c r="A126" i="30"/>
  <c r="A127" i="30"/>
  <c r="A128" i="30"/>
  <c r="A129" i="30"/>
  <c r="A130" i="30"/>
  <c r="A131" i="30"/>
  <c r="A132" i="30"/>
  <c r="A133" i="30"/>
  <c r="A135" i="30"/>
  <c r="A136" i="30"/>
  <c r="A137" i="30"/>
  <c r="A138" i="30"/>
  <c r="A139" i="30"/>
  <c r="A141" i="30"/>
  <c r="A142" i="30"/>
  <c r="A143" i="30"/>
  <c r="A145" i="30"/>
  <c r="H77" i="21"/>
  <c r="G77" i="21"/>
  <c r="F77" i="21"/>
  <c r="I77" i="21"/>
  <c r="D77" i="21"/>
  <c r="I145" i="21"/>
  <c r="H139" i="21"/>
  <c r="G139" i="21"/>
  <c r="F139" i="21"/>
  <c r="E139" i="21"/>
  <c r="H138" i="21"/>
  <c r="G138" i="21"/>
  <c r="F138" i="21"/>
  <c r="E138" i="21"/>
  <c r="D138" i="21"/>
  <c r="I138" i="21"/>
  <c r="H137" i="21"/>
  <c r="G137" i="21"/>
  <c r="F137" i="21"/>
  <c r="E137" i="21"/>
  <c r="D137" i="21"/>
  <c r="H136" i="21"/>
  <c r="G136" i="21"/>
  <c r="F136" i="21"/>
  <c r="E136" i="21"/>
  <c r="D136" i="21"/>
  <c r="I136" i="21"/>
  <c r="H135" i="21"/>
  <c r="G135" i="21"/>
  <c r="F135" i="21"/>
  <c r="E135" i="21"/>
  <c r="D135" i="21"/>
  <c r="I135" i="21"/>
  <c r="I133" i="21"/>
  <c r="H132" i="21"/>
  <c r="G132" i="21"/>
  <c r="F132" i="21"/>
  <c r="E132" i="21"/>
  <c r="D132" i="21"/>
  <c r="I132" i="21"/>
  <c r="H131" i="21"/>
  <c r="G131" i="21"/>
  <c r="F131" i="21"/>
  <c r="E131" i="21"/>
  <c r="I131" i="21"/>
  <c r="D131" i="21"/>
  <c r="H130" i="21"/>
  <c r="G130" i="21"/>
  <c r="F130" i="21"/>
  <c r="E130" i="21"/>
  <c r="D130" i="21"/>
  <c r="I130" i="21"/>
  <c r="H129" i="21"/>
  <c r="G129" i="21"/>
  <c r="F129" i="21"/>
  <c r="E129" i="21"/>
  <c r="I129" i="21"/>
  <c r="D129" i="21"/>
  <c r="H128" i="21"/>
  <c r="G128" i="21"/>
  <c r="F128" i="21"/>
  <c r="E128" i="21"/>
  <c r="D128" i="21"/>
  <c r="I128" i="21"/>
  <c r="H127" i="21"/>
  <c r="G127" i="21"/>
  <c r="F127" i="21"/>
  <c r="E127" i="21"/>
  <c r="I127" i="21"/>
  <c r="D127" i="21"/>
  <c r="H126" i="21"/>
  <c r="G126" i="21"/>
  <c r="F126" i="21"/>
  <c r="E126" i="21"/>
  <c r="D126" i="21"/>
  <c r="I126" i="21"/>
  <c r="H125" i="21"/>
  <c r="G125" i="21"/>
  <c r="F125" i="21"/>
  <c r="E125" i="21"/>
  <c r="I125" i="21"/>
  <c r="D125" i="21"/>
  <c r="H124" i="21"/>
  <c r="G124" i="21"/>
  <c r="F124" i="21"/>
  <c r="E124" i="21"/>
  <c r="D124" i="21"/>
  <c r="I124" i="21"/>
  <c r="H123" i="21"/>
  <c r="G123" i="21"/>
  <c r="F123" i="21"/>
  <c r="E123" i="21"/>
  <c r="I123" i="21"/>
  <c r="D123" i="21"/>
  <c r="H122" i="21"/>
  <c r="G122" i="21"/>
  <c r="F122" i="21"/>
  <c r="E122" i="21"/>
  <c r="D122" i="21"/>
  <c r="I122" i="21"/>
  <c r="H121" i="21"/>
  <c r="G121" i="21"/>
  <c r="F121" i="21"/>
  <c r="E121" i="21"/>
  <c r="I121" i="21"/>
  <c r="D121" i="21"/>
  <c r="H119" i="21"/>
  <c r="G119" i="21"/>
  <c r="F119" i="21"/>
  <c r="E119" i="21"/>
  <c r="D119" i="21"/>
  <c r="I119" i="21"/>
  <c r="H118" i="21"/>
  <c r="G118" i="21"/>
  <c r="F118" i="21"/>
  <c r="E118" i="21"/>
  <c r="I118" i="21"/>
  <c r="D118" i="21"/>
  <c r="H117" i="21"/>
  <c r="G117" i="21"/>
  <c r="F117" i="21"/>
  <c r="E117" i="21"/>
  <c r="D117" i="21"/>
  <c r="I117" i="21"/>
  <c r="H116" i="21"/>
  <c r="H141" i="21"/>
  <c r="H142" i="21"/>
  <c r="G116" i="21"/>
  <c r="G141" i="21"/>
  <c r="G142" i="21"/>
  <c r="F116" i="21"/>
  <c r="F141" i="21"/>
  <c r="F142" i="21"/>
  <c r="E116" i="21"/>
  <c r="E141" i="21"/>
  <c r="E142" i="21"/>
  <c r="D116" i="21"/>
  <c r="D141" i="21"/>
  <c r="H113" i="21"/>
  <c r="G113" i="21"/>
  <c r="F113" i="21"/>
  <c r="E113" i="21"/>
  <c r="D113" i="21"/>
  <c r="I111" i="21"/>
  <c r="I110" i="21"/>
  <c r="I109" i="21"/>
  <c r="I108" i="21"/>
  <c r="I107" i="21"/>
  <c r="I113" i="21"/>
  <c r="H104" i="21"/>
  <c r="G104" i="21"/>
  <c r="F104" i="21"/>
  <c r="E104" i="21"/>
  <c r="D102" i="21"/>
  <c r="D139" i="21"/>
  <c r="I139" i="21"/>
  <c r="I101" i="21"/>
  <c r="I100" i="21"/>
  <c r="I99" i="21"/>
  <c r="I98" i="21"/>
  <c r="I96" i="21"/>
  <c r="I95" i="21"/>
  <c r="I94" i="21"/>
  <c r="I93" i="21"/>
  <c r="I92" i="21"/>
  <c r="I91" i="21"/>
  <c r="I90" i="21"/>
  <c r="I89" i="21"/>
  <c r="I88" i="21"/>
  <c r="I87" i="21"/>
  <c r="I86" i="21"/>
  <c r="I85" i="21"/>
  <c r="I83" i="21"/>
  <c r="I82" i="21"/>
  <c r="I81" i="21"/>
  <c r="I80" i="21"/>
  <c r="A80" i="21"/>
  <c r="A81" i="21"/>
  <c r="A82" i="21"/>
  <c r="A83" i="21"/>
  <c r="A85" i="21"/>
  <c r="A86" i="21"/>
  <c r="A87" i="21"/>
  <c r="A88" i="21"/>
  <c r="A89" i="21"/>
  <c r="A90" i="21"/>
  <c r="A91" i="21"/>
  <c r="A92" i="21"/>
  <c r="A93" i="21"/>
  <c r="A94" i="21"/>
  <c r="A95" i="21"/>
  <c r="A96" i="21"/>
  <c r="A98" i="21"/>
  <c r="A99" i="21"/>
  <c r="A100" i="21"/>
  <c r="A101" i="21"/>
  <c r="A102" i="21"/>
  <c r="A104" i="21"/>
  <c r="A107" i="21"/>
  <c r="A108" i="21"/>
  <c r="A109" i="21"/>
  <c r="A110" i="21"/>
  <c r="A111" i="21"/>
  <c r="A113" i="21"/>
  <c r="A116" i="21"/>
  <c r="A117" i="21"/>
  <c r="A118" i="21"/>
  <c r="A119" i="21"/>
  <c r="A121" i="21"/>
  <c r="A122" i="21"/>
  <c r="A123" i="21"/>
  <c r="A124" i="21"/>
  <c r="A125" i="21"/>
  <c r="A126" i="21"/>
  <c r="A127" i="21"/>
  <c r="A128" i="21"/>
  <c r="A129" i="21"/>
  <c r="A130" i="21"/>
  <c r="A131" i="21"/>
  <c r="A132" i="21"/>
  <c r="A133" i="21"/>
  <c r="A135" i="21"/>
  <c r="A136" i="21"/>
  <c r="A137" i="21"/>
  <c r="A138" i="21"/>
  <c r="A139" i="21"/>
  <c r="A141" i="21"/>
  <c r="A142" i="21"/>
  <c r="A143" i="21"/>
  <c r="A145" i="21"/>
  <c r="J22" i="54"/>
  <c r="P24" i="9"/>
  <c r="E40" i="54"/>
  <c r="E180" i="54"/>
  <c r="E57" i="54"/>
  <c r="E67" i="54"/>
  <c r="I67" i="54"/>
  <c r="E162" i="54"/>
  <c r="J5" i="54"/>
  <c r="P5" i="9"/>
  <c r="J43" i="54"/>
  <c r="J44" i="54"/>
  <c r="J184" i="54"/>
  <c r="J45" i="54"/>
  <c r="J185" i="54"/>
  <c r="J47" i="54"/>
  <c r="J187" i="54"/>
  <c r="J48" i="54"/>
  <c r="J188" i="54"/>
  <c r="J49" i="54"/>
  <c r="J189" i="54"/>
  <c r="J50" i="54"/>
  <c r="J190" i="54"/>
  <c r="J51" i="54"/>
  <c r="J191" i="54"/>
  <c r="J52" i="54"/>
  <c r="J192" i="54"/>
  <c r="J53" i="54"/>
  <c r="J193" i="54"/>
  <c r="J54" i="54"/>
  <c r="J194" i="54"/>
  <c r="J55" i="54"/>
  <c r="J195" i="54"/>
  <c r="J56" i="54"/>
  <c r="J196" i="54"/>
  <c r="J58" i="54"/>
  <c r="J198" i="54"/>
  <c r="J61" i="54"/>
  <c r="P66" i="9"/>
  <c r="P214" i="9"/>
  <c r="J62" i="54"/>
  <c r="P67" i="9"/>
  <c r="P215" i="9"/>
  <c r="J63" i="54"/>
  <c r="P68" i="9"/>
  <c r="P216" i="9"/>
  <c r="J65" i="54"/>
  <c r="J205" i="54"/>
  <c r="D67" i="54"/>
  <c r="F67" i="54"/>
  <c r="H67" i="54"/>
  <c r="J22" i="52"/>
  <c r="J31" i="52"/>
  <c r="J171" i="52"/>
  <c r="E40" i="52"/>
  <c r="E180" i="52"/>
  <c r="E57" i="52"/>
  <c r="E197" i="52"/>
  <c r="G67" i="52"/>
  <c r="G207" i="52"/>
  <c r="I67" i="52"/>
  <c r="E162" i="52"/>
  <c r="J43" i="52"/>
  <c r="J44" i="52"/>
  <c r="J184" i="52"/>
  <c r="J45" i="52"/>
  <c r="J185" i="52"/>
  <c r="J47" i="52"/>
  <c r="J187" i="52"/>
  <c r="J48" i="52"/>
  <c r="J188" i="52"/>
  <c r="J49" i="52"/>
  <c r="J189" i="52"/>
  <c r="J50" i="52"/>
  <c r="J190" i="52"/>
  <c r="J51" i="52"/>
  <c r="J191" i="52"/>
  <c r="J52" i="52"/>
  <c r="J192" i="52"/>
  <c r="J53" i="52"/>
  <c r="J193" i="52"/>
  <c r="J54" i="52"/>
  <c r="J194" i="52"/>
  <c r="J55" i="52"/>
  <c r="J195" i="52"/>
  <c r="J56" i="52"/>
  <c r="J196" i="52"/>
  <c r="J58" i="52"/>
  <c r="J198" i="52"/>
  <c r="J62" i="52"/>
  <c r="O67" i="9"/>
  <c r="O215" i="9"/>
  <c r="J63" i="52"/>
  <c r="O68" i="9"/>
  <c r="O216" i="9"/>
  <c r="J64" i="52"/>
  <c r="O69" i="9"/>
  <c r="O217" i="9"/>
  <c r="J65" i="52"/>
  <c r="O70" i="9"/>
  <c r="O218" i="9"/>
  <c r="J205" i="52"/>
  <c r="D67" i="52"/>
  <c r="F67" i="52"/>
  <c r="H67" i="52"/>
  <c r="C140" i="21"/>
  <c r="D142" i="21"/>
  <c r="I116" i="21"/>
  <c r="I102" i="21"/>
  <c r="I104" i="21"/>
  <c r="D104" i="21"/>
  <c r="I484" i="22"/>
  <c r="H484" i="22"/>
  <c r="F484" i="22"/>
  <c r="E484" i="22"/>
  <c r="D484" i="22"/>
  <c r="C484" i="22"/>
  <c r="I483" i="22"/>
  <c r="H483" i="22"/>
  <c r="F483" i="22"/>
  <c r="E483" i="22"/>
  <c r="D483" i="22"/>
  <c r="C483" i="22"/>
  <c r="I470" i="22"/>
  <c r="H470" i="22"/>
  <c r="F470" i="22"/>
  <c r="E470" i="22"/>
  <c r="D470" i="22"/>
  <c r="C470" i="22"/>
  <c r="I469" i="22"/>
  <c r="H469" i="22"/>
  <c r="F469" i="22"/>
  <c r="E469" i="22"/>
  <c r="D469" i="22"/>
  <c r="C469" i="22"/>
  <c r="I455" i="22"/>
  <c r="F455" i="22"/>
  <c r="E455" i="22"/>
  <c r="D455" i="22"/>
  <c r="C455" i="22"/>
  <c r="I454" i="22"/>
  <c r="F454" i="22"/>
  <c r="E454" i="22"/>
  <c r="D454" i="22"/>
  <c r="C454" i="22"/>
  <c r="I441" i="22"/>
  <c r="F441" i="22"/>
  <c r="E441" i="22"/>
  <c r="D441" i="22"/>
  <c r="C441" i="22"/>
  <c r="I440" i="22"/>
  <c r="F440" i="22"/>
  <c r="E440" i="22"/>
  <c r="D440" i="22"/>
  <c r="I427" i="22"/>
  <c r="F427" i="22"/>
  <c r="E427" i="22"/>
  <c r="D427" i="22"/>
  <c r="C427" i="22"/>
  <c r="I426" i="22"/>
  <c r="F426" i="22"/>
  <c r="E426" i="22"/>
  <c r="D426" i="22"/>
  <c r="C426" i="22"/>
  <c r="D412" i="22"/>
  <c r="C412" i="22"/>
  <c r="D411" i="22"/>
  <c r="C411" i="22"/>
  <c r="D398" i="22"/>
  <c r="C398" i="22"/>
  <c r="D397" i="22"/>
  <c r="C397" i="22"/>
  <c r="G397" i="22"/>
  <c r="D384" i="22"/>
  <c r="C384" i="22"/>
  <c r="D383" i="22"/>
  <c r="C383" i="22"/>
  <c r="F369" i="22"/>
  <c r="E369" i="22"/>
  <c r="D369" i="22"/>
  <c r="C369" i="22"/>
  <c r="F368" i="22"/>
  <c r="E368" i="22"/>
  <c r="D368" i="22"/>
  <c r="C368" i="22"/>
  <c r="F355" i="22"/>
  <c r="E355" i="22"/>
  <c r="D355" i="22"/>
  <c r="C355" i="22"/>
  <c r="F354" i="22"/>
  <c r="E354" i="22"/>
  <c r="D354" i="22"/>
  <c r="C354" i="22"/>
  <c r="F341" i="22"/>
  <c r="E341" i="22"/>
  <c r="D341" i="22"/>
  <c r="C341" i="22"/>
  <c r="F340" i="22"/>
  <c r="E340" i="22"/>
  <c r="D340" i="22"/>
  <c r="C340" i="22"/>
  <c r="M324" i="22"/>
  <c r="K324" i="22"/>
  <c r="L324" i="22"/>
  <c r="M323" i="22"/>
  <c r="K323" i="22"/>
  <c r="L323" i="22"/>
  <c r="M322" i="22"/>
  <c r="K322" i="22"/>
  <c r="L322" i="22"/>
  <c r="M321" i="22"/>
  <c r="K321" i="22"/>
  <c r="L321" i="22"/>
  <c r="M320" i="22"/>
  <c r="O321" i="22"/>
  <c r="O322" i="22"/>
  <c r="O323" i="22"/>
  <c r="O324" i="22"/>
  <c r="K320" i="22"/>
  <c r="M319" i="22"/>
  <c r="K319" i="22"/>
  <c r="L319" i="22"/>
  <c r="P318" i="22"/>
  <c r="M318" i="22"/>
  <c r="K318" i="22"/>
  <c r="L318" i="22"/>
  <c r="P317" i="22"/>
  <c r="L320" i="22"/>
  <c r="L289" i="22"/>
  <c r="K289" i="22"/>
  <c r="K288" i="22"/>
  <c r="K203" i="22"/>
  <c r="M163" i="22"/>
  <c r="K163" i="22"/>
  <c r="G163" i="22"/>
  <c r="L163" i="22"/>
  <c r="M162" i="22"/>
  <c r="K162" i="22"/>
  <c r="G162" i="22"/>
  <c r="G149" i="22"/>
  <c r="G148" i="22"/>
  <c r="J148" i="22"/>
  <c r="G134" i="22"/>
  <c r="G133" i="22"/>
  <c r="G120" i="22"/>
  <c r="G119" i="22"/>
  <c r="G106" i="22"/>
  <c r="G105" i="22"/>
  <c r="G91" i="22"/>
  <c r="E14" i="29"/>
  <c r="G90" i="22"/>
  <c r="E13" i="29"/>
  <c r="G77" i="22"/>
  <c r="C14" i="29"/>
  <c r="G76" i="22"/>
  <c r="C13" i="29"/>
  <c r="G63" i="22"/>
  <c r="G14" i="29"/>
  <c r="G62" i="22"/>
  <c r="G13" i="29"/>
  <c r="G48" i="22"/>
  <c r="G47" i="22"/>
  <c r="G34" i="22"/>
  <c r="G33" i="22"/>
  <c r="G20" i="22"/>
  <c r="G19" i="22"/>
  <c r="F11" i="29"/>
  <c r="G59" i="30"/>
  <c r="A38" i="46"/>
  <c r="D30" i="21"/>
  <c r="D32" i="21"/>
  <c r="H116" i="22"/>
  <c r="H102" i="22"/>
  <c r="H103" i="22"/>
  <c r="H31" i="22"/>
  <c r="I30" i="22"/>
  <c r="H17" i="22"/>
  <c r="I16" i="22"/>
  <c r="A8" i="30"/>
  <c r="E29" i="46"/>
  <c r="D29" i="46"/>
  <c r="E23" i="46"/>
  <c r="D23" i="46"/>
  <c r="A23" i="46"/>
  <c r="N97" i="49"/>
  <c r="N134" i="49"/>
  <c r="N47" i="49"/>
  <c r="M97" i="49"/>
  <c r="M134" i="49"/>
  <c r="M47" i="49"/>
  <c r="Q47" i="49"/>
  <c r="T47" i="49"/>
  <c r="U47" i="49"/>
  <c r="L97" i="49"/>
  <c r="L134" i="49"/>
  <c r="L47" i="49"/>
  <c r="K97" i="49"/>
  <c r="K134" i="49"/>
  <c r="K47" i="49"/>
  <c r="N68" i="49"/>
  <c r="N69" i="49"/>
  <c r="N230" i="49"/>
  <c r="N316" i="49"/>
  <c r="N70" i="49"/>
  <c r="M68" i="49"/>
  <c r="M69" i="49"/>
  <c r="M70" i="49"/>
  <c r="L68" i="49"/>
  <c r="L69" i="49"/>
  <c r="L230" i="49"/>
  <c r="L316" i="49"/>
  <c r="L70" i="49"/>
  <c r="K68" i="49"/>
  <c r="K69" i="49"/>
  <c r="K70" i="49"/>
  <c r="J68" i="49"/>
  <c r="J69" i="49"/>
  <c r="J230" i="49"/>
  <c r="J316" i="49"/>
  <c r="J70" i="49"/>
  <c r="A8" i="49"/>
  <c r="A9" i="49"/>
  <c r="A10" i="49"/>
  <c r="A11" i="49"/>
  <c r="A13" i="49"/>
  <c r="A14" i="49"/>
  <c r="A15" i="49"/>
  <c r="A16" i="49"/>
  <c r="A17" i="49"/>
  <c r="A18" i="49"/>
  <c r="A19" i="49"/>
  <c r="A20" i="49"/>
  <c r="A21" i="49"/>
  <c r="A22" i="49"/>
  <c r="A23" i="49"/>
  <c r="A24" i="49"/>
  <c r="A25" i="49"/>
  <c r="A28" i="49"/>
  <c r="A29" i="49"/>
  <c r="A30" i="49"/>
  <c r="A31" i="49"/>
  <c r="A32" i="49"/>
  <c r="A34" i="49"/>
  <c r="A37" i="49"/>
  <c r="A38" i="49"/>
  <c r="A39" i="49"/>
  <c r="A40" i="49"/>
  <c r="A41" i="49"/>
  <c r="A43" i="49"/>
  <c r="A46" i="49"/>
  <c r="A47" i="49"/>
  <c r="A48" i="49"/>
  <c r="A49" i="49"/>
  <c r="A51" i="49"/>
  <c r="A52" i="49"/>
  <c r="A53" i="49"/>
  <c r="A54" i="49"/>
  <c r="A55" i="49"/>
  <c r="A56" i="49"/>
  <c r="A57" i="49"/>
  <c r="A58" i="49"/>
  <c r="A59" i="49"/>
  <c r="A60" i="49"/>
  <c r="A61" i="49"/>
  <c r="A62" i="49"/>
  <c r="A63" i="49"/>
  <c r="A64" i="49"/>
  <c r="A67" i="49"/>
  <c r="A68" i="49"/>
  <c r="A69" i="49"/>
  <c r="A70" i="49"/>
  <c r="A71" i="49"/>
  <c r="A73" i="49"/>
  <c r="A74" i="49"/>
  <c r="A75" i="49"/>
  <c r="A77" i="49"/>
  <c r="P9" i="49"/>
  <c r="Q9" i="49"/>
  <c r="T9" i="49"/>
  <c r="U9" i="49"/>
  <c r="O20" i="49"/>
  <c r="O182" i="49"/>
  <c r="Q20" i="49"/>
  <c r="G47" i="49"/>
  <c r="H47" i="49"/>
  <c r="I47" i="49"/>
  <c r="P47" i="49"/>
  <c r="O58" i="49"/>
  <c r="Q58" i="49"/>
  <c r="G68" i="49"/>
  <c r="H68" i="49"/>
  <c r="H229" i="49"/>
  <c r="H315" i="49"/>
  <c r="I68" i="49"/>
  <c r="G69" i="49"/>
  <c r="H69" i="49"/>
  <c r="I69" i="49"/>
  <c r="G70" i="49"/>
  <c r="H70" i="49"/>
  <c r="H231" i="49"/>
  <c r="H317" i="49"/>
  <c r="I70" i="49"/>
  <c r="A96" i="49"/>
  <c r="A97" i="49"/>
  <c r="A98" i="49"/>
  <c r="A99" i="49"/>
  <c r="A101" i="49"/>
  <c r="A102" i="49"/>
  <c r="A103" i="49"/>
  <c r="A104" i="49"/>
  <c r="A105" i="49"/>
  <c r="A106" i="49"/>
  <c r="A107" i="49"/>
  <c r="A108" i="49"/>
  <c r="A109" i="49"/>
  <c r="A110" i="49"/>
  <c r="A111" i="49"/>
  <c r="A112" i="49"/>
  <c r="A113" i="49"/>
  <c r="A115" i="49"/>
  <c r="A116" i="49"/>
  <c r="A117" i="49"/>
  <c r="A118" i="49"/>
  <c r="A119" i="49"/>
  <c r="A121" i="49"/>
  <c r="A124" i="49"/>
  <c r="A125" i="49"/>
  <c r="A126" i="49"/>
  <c r="A127" i="49"/>
  <c r="A128" i="49"/>
  <c r="A130" i="49"/>
  <c r="A133" i="49"/>
  <c r="A134" i="49"/>
  <c r="A135" i="49"/>
  <c r="A136" i="49"/>
  <c r="A138" i="49"/>
  <c r="A139" i="49"/>
  <c r="A140" i="49"/>
  <c r="A141" i="49"/>
  <c r="A142" i="49"/>
  <c r="A143" i="49"/>
  <c r="A144" i="49"/>
  <c r="A145" i="49"/>
  <c r="A146" i="49"/>
  <c r="A147" i="49"/>
  <c r="A148" i="49"/>
  <c r="A149" i="49"/>
  <c r="A150" i="49"/>
  <c r="A151" i="49"/>
  <c r="A153" i="49"/>
  <c r="A154" i="49"/>
  <c r="A155" i="49"/>
  <c r="A156" i="49"/>
  <c r="A157" i="49"/>
  <c r="A159" i="49"/>
  <c r="A160" i="49"/>
  <c r="A161" i="49"/>
  <c r="A163" i="49"/>
  <c r="G97" i="49"/>
  <c r="G134" i="49"/>
  <c r="G208" i="49"/>
  <c r="G295" i="49"/>
  <c r="H97" i="49"/>
  <c r="I97" i="49"/>
  <c r="I134" i="49"/>
  <c r="Q97" i="49"/>
  <c r="O108" i="49"/>
  <c r="Q108" i="49"/>
  <c r="O116" i="49"/>
  <c r="P116" i="49"/>
  <c r="Q116" i="49"/>
  <c r="O117" i="49"/>
  <c r="P117" i="49"/>
  <c r="Q117" i="49"/>
  <c r="O118" i="49"/>
  <c r="P118" i="49"/>
  <c r="Q118" i="49"/>
  <c r="O119" i="49"/>
  <c r="P119" i="49"/>
  <c r="Q119" i="49"/>
  <c r="H134" i="49"/>
  <c r="H295" i="49"/>
  <c r="O145" i="49"/>
  <c r="Q145" i="49"/>
  <c r="D154" i="49"/>
  <c r="E154" i="49"/>
  <c r="A170" i="49"/>
  <c r="A171" i="49"/>
  <c r="A172" i="49"/>
  <c r="A173" i="49"/>
  <c r="A175" i="49"/>
  <c r="A176" i="49"/>
  <c r="A177" i="49"/>
  <c r="A178" i="49"/>
  <c r="A179" i="49"/>
  <c r="A180" i="49"/>
  <c r="A181" i="49"/>
  <c r="A182" i="49"/>
  <c r="A183" i="49"/>
  <c r="A184" i="49"/>
  <c r="A185" i="49"/>
  <c r="A186" i="49"/>
  <c r="A187" i="49"/>
  <c r="A189" i="49"/>
  <c r="A190" i="49"/>
  <c r="A191" i="49"/>
  <c r="A192" i="49"/>
  <c r="A193" i="49"/>
  <c r="A195" i="49"/>
  <c r="A198" i="49"/>
  <c r="A199" i="49"/>
  <c r="A200" i="49"/>
  <c r="A201" i="49"/>
  <c r="A202" i="49"/>
  <c r="A204" i="49"/>
  <c r="A207" i="49"/>
  <c r="A208" i="49"/>
  <c r="A209" i="49"/>
  <c r="A210" i="49"/>
  <c r="A212" i="49"/>
  <c r="A213" i="49"/>
  <c r="A214" i="49"/>
  <c r="A215" i="49"/>
  <c r="A216" i="49"/>
  <c r="A217" i="49"/>
  <c r="A218" i="49"/>
  <c r="A219" i="49"/>
  <c r="A220" i="49"/>
  <c r="A221" i="49"/>
  <c r="A222" i="49"/>
  <c r="A223" i="49"/>
  <c r="A224" i="49"/>
  <c r="A225" i="49"/>
  <c r="A228" i="49"/>
  <c r="A229" i="49"/>
  <c r="A230" i="49"/>
  <c r="A231" i="49"/>
  <c r="A232" i="49"/>
  <c r="A234" i="49"/>
  <c r="A235" i="49"/>
  <c r="A236" i="49"/>
  <c r="A238" i="49"/>
  <c r="G171" i="49"/>
  <c r="H171" i="49"/>
  <c r="I171" i="49"/>
  <c r="L171" i="49"/>
  <c r="N171" i="49"/>
  <c r="Q171" i="49"/>
  <c r="Q182" i="49"/>
  <c r="G190" i="49"/>
  <c r="H190" i="49"/>
  <c r="I190" i="49"/>
  <c r="J190" i="49"/>
  <c r="K190" i="49"/>
  <c r="L190" i="49"/>
  <c r="M190" i="49"/>
  <c r="N190" i="49"/>
  <c r="O190" i="49"/>
  <c r="P190" i="49"/>
  <c r="Q190" i="49"/>
  <c r="G191" i="49"/>
  <c r="H191" i="49"/>
  <c r="I191" i="49"/>
  <c r="J191" i="49"/>
  <c r="K191" i="49"/>
  <c r="L191" i="49"/>
  <c r="M191" i="49"/>
  <c r="N191" i="49"/>
  <c r="O191" i="49"/>
  <c r="P191" i="49"/>
  <c r="Q191" i="49"/>
  <c r="G192" i="49"/>
  <c r="H192" i="49"/>
  <c r="I192" i="49"/>
  <c r="J192" i="49"/>
  <c r="K192" i="49"/>
  <c r="L192" i="49"/>
  <c r="M192" i="49"/>
  <c r="N192" i="49"/>
  <c r="O192" i="49"/>
  <c r="P192" i="49"/>
  <c r="Q192" i="49"/>
  <c r="D193" i="49"/>
  <c r="E193" i="49"/>
  <c r="F193" i="49"/>
  <c r="G193" i="49"/>
  <c r="H193" i="49"/>
  <c r="I193" i="49"/>
  <c r="J193" i="49"/>
  <c r="K193" i="49"/>
  <c r="L193" i="49"/>
  <c r="M193" i="49"/>
  <c r="N193" i="49"/>
  <c r="O193" i="49"/>
  <c r="P193" i="49"/>
  <c r="Q193" i="49"/>
  <c r="F208" i="49"/>
  <c r="H208" i="49"/>
  <c r="O219" i="49"/>
  <c r="Q219" i="49"/>
  <c r="G229" i="49"/>
  <c r="G315" i="49"/>
  <c r="I229" i="49"/>
  <c r="I315" i="49"/>
  <c r="J229" i="49"/>
  <c r="K229" i="49"/>
  <c r="K315" i="49"/>
  <c r="L229" i="49"/>
  <c r="M229" i="49"/>
  <c r="M315" i="49"/>
  <c r="N229" i="49"/>
  <c r="G230" i="49"/>
  <c r="G316" i="49"/>
  <c r="H230" i="49"/>
  <c r="I230" i="49"/>
  <c r="I316" i="49"/>
  <c r="K230" i="49"/>
  <c r="K316" i="49"/>
  <c r="M230" i="49"/>
  <c r="M316" i="49"/>
  <c r="G231" i="49"/>
  <c r="G317" i="49"/>
  <c r="I231" i="49"/>
  <c r="I317" i="49"/>
  <c r="J231" i="49"/>
  <c r="K231" i="49"/>
  <c r="K317" i="49"/>
  <c r="L231" i="49"/>
  <c r="M231" i="49"/>
  <c r="M317" i="49"/>
  <c r="N231" i="49"/>
  <c r="D232" i="49"/>
  <c r="E232" i="49"/>
  <c r="F232" i="49"/>
  <c r="G232" i="49"/>
  <c r="H232" i="49"/>
  <c r="I232" i="49"/>
  <c r="J232" i="49"/>
  <c r="K232" i="49"/>
  <c r="L232" i="49"/>
  <c r="M232" i="49"/>
  <c r="N232" i="49"/>
  <c r="A257" i="49"/>
  <c r="A258" i="49"/>
  <c r="A259" i="49"/>
  <c r="A260" i="49"/>
  <c r="A262" i="49"/>
  <c r="A263" i="49"/>
  <c r="A264" i="49"/>
  <c r="A265" i="49"/>
  <c r="A266" i="49"/>
  <c r="A267" i="49"/>
  <c r="A268" i="49"/>
  <c r="A269" i="49"/>
  <c r="A270" i="49"/>
  <c r="A271" i="49"/>
  <c r="A272" i="49"/>
  <c r="A273" i="49"/>
  <c r="A274" i="49"/>
  <c r="A276" i="49"/>
  <c r="A277" i="49"/>
  <c r="A278" i="49"/>
  <c r="A279" i="49"/>
  <c r="A280" i="49"/>
  <c r="A282" i="49"/>
  <c r="A285" i="49"/>
  <c r="A286" i="49"/>
  <c r="A287" i="49"/>
  <c r="A288" i="49"/>
  <c r="A289" i="49"/>
  <c r="A291" i="49"/>
  <c r="A294" i="49"/>
  <c r="A295" i="49"/>
  <c r="A296" i="49"/>
  <c r="A297" i="49"/>
  <c r="A299" i="49"/>
  <c r="A300" i="49"/>
  <c r="A301" i="49"/>
  <c r="A302" i="49"/>
  <c r="A303" i="49"/>
  <c r="A304" i="49"/>
  <c r="A305" i="49"/>
  <c r="A306" i="49"/>
  <c r="A307" i="49"/>
  <c r="A308" i="49"/>
  <c r="A309" i="49"/>
  <c r="A310" i="49"/>
  <c r="A311" i="49"/>
  <c r="A312" i="49"/>
  <c r="A314" i="49"/>
  <c r="A315" i="49"/>
  <c r="A316" i="49"/>
  <c r="A317" i="49"/>
  <c r="A318" i="49"/>
  <c r="A320" i="49"/>
  <c r="A321" i="49"/>
  <c r="A322" i="49"/>
  <c r="A324" i="49"/>
  <c r="G258" i="49"/>
  <c r="H258" i="49"/>
  <c r="I258" i="49"/>
  <c r="L258" i="49"/>
  <c r="N258" i="49"/>
  <c r="Q258" i="49"/>
  <c r="H269" i="49"/>
  <c r="I269" i="49"/>
  <c r="J269" i="49"/>
  <c r="L269" i="49"/>
  <c r="M269" i="49"/>
  <c r="N269" i="49"/>
  <c r="O269" i="49"/>
  <c r="Q269" i="49"/>
  <c r="G277" i="49"/>
  <c r="H277" i="49"/>
  <c r="I277" i="49"/>
  <c r="J277" i="49"/>
  <c r="K277" i="49"/>
  <c r="L277" i="49"/>
  <c r="M277" i="49"/>
  <c r="N277" i="49"/>
  <c r="G278" i="49"/>
  <c r="H278" i="49"/>
  <c r="I278" i="49"/>
  <c r="J278" i="49"/>
  <c r="K278" i="49"/>
  <c r="L278" i="49"/>
  <c r="M278" i="49"/>
  <c r="N278" i="49"/>
  <c r="G279" i="49"/>
  <c r="H279" i="49"/>
  <c r="I279" i="49"/>
  <c r="J279" i="49"/>
  <c r="K279" i="49"/>
  <c r="L279" i="49"/>
  <c r="M279" i="49"/>
  <c r="N279" i="49"/>
  <c r="D280" i="49"/>
  <c r="E280" i="49"/>
  <c r="F280" i="49"/>
  <c r="G280" i="49"/>
  <c r="H280" i="49"/>
  <c r="I280" i="49"/>
  <c r="J280" i="49"/>
  <c r="K280" i="49"/>
  <c r="L280" i="49"/>
  <c r="M280" i="49"/>
  <c r="N280" i="49"/>
  <c r="F295" i="49"/>
  <c r="J315" i="49"/>
  <c r="L315" i="49"/>
  <c r="N315" i="49"/>
  <c r="H316" i="49"/>
  <c r="J317" i="49"/>
  <c r="L317" i="49"/>
  <c r="N317" i="49"/>
  <c r="D318" i="49"/>
  <c r="E318" i="49"/>
  <c r="F318" i="49"/>
  <c r="G318" i="49"/>
  <c r="H318" i="49"/>
  <c r="I318" i="49"/>
  <c r="J318" i="49"/>
  <c r="K318" i="49"/>
  <c r="L318" i="49"/>
  <c r="M318" i="49"/>
  <c r="N318" i="49"/>
  <c r="F55" i="31"/>
  <c r="P96" i="47"/>
  <c r="P26" i="47"/>
  <c r="K26" i="47"/>
  <c r="Q96" i="47"/>
  <c r="L96" i="47"/>
  <c r="M84" i="47"/>
  <c r="H84" i="47"/>
  <c r="C96" i="47"/>
  <c r="H42" i="47"/>
  <c r="H40" i="47"/>
  <c r="N122" i="47"/>
  <c r="N129" i="47"/>
  <c r="M122" i="47"/>
  <c r="P120" i="47"/>
  <c r="P122" i="47"/>
  <c r="O122" i="47"/>
  <c r="O129" i="47"/>
  <c r="I122" i="47"/>
  <c r="I129" i="47"/>
  <c r="H122" i="47"/>
  <c r="K120" i="47"/>
  <c r="K122" i="47"/>
  <c r="J122" i="47"/>
  <c r="J129" i="47"/>
  <c r="D120" i="47"/>
  <c r="D121" i="47"/>
  <c r="C120" i="47"/>
  <c r="C121" i="47"/>
  <c r="E120" i="47"/>
  <c r="E121" i="47"/>
  <c r="Q120" i="47"/>
  <c r="L120" i="47"/>
  <c r="G120" i="47"/>
  <c r="F8" i="47"/>
  <c r="G8" i="47"/>
  <c r="K8" i="47"/>
  <c r="L8" i="47"/>
  <c r="P8" i="47"/>
  <c r="Q8" i="47"/>
  <c r="F9" i="47"/>
  <c r="G9" i="47"/>
  <c r="K9" i="47"/>
  <c r="L9" i="47"/>
  <c r="P9" i="47"/>
  <c r="Q9" i="47"/>
  <c r="C10" i="47"/>
  <c r="D10" i="47"/>
  <c r="G10" i="47"/>
  <c r="E10" i="47"/>
  <c r="K10" i="47"/>
  <c r="L10" i="47"/>
  <c r="P10" i="47"/>
  <c r="Q10" i="47"/>
  <c r="C11" i="47"/>
  <c r="G11" i="47"/>
  <c r="D11" i="47"/>
  <c r="E11" i="47"/>
  <c r="K11" i="47"/>
  <c r="L11" i="47"/>
  <c r="P11" i="47"/>
  <c r="Q11" i="47"/>
  <c r="C12" i="47"/>
  <c r="D12" i="47"/>
  <c r="E12" i="47"/>
  <c r="K12" i="47"/>
  <c r="L12" i="47"/>
  <c r="P12" i="47"/>
  <c r="Q12" i="47"/>
  <c r="C13" i="47"/>
  <c r="D13" i="47"/>
  <c r="E13" i="47"/>
  <c r="K13" i="47"/>
  <c r="L13" i="47"/>
  <c r="P13" i="47"/>
  <c r="Q13" i="47"/>
  <c r="C14" i="47"/>
  <c r="D14" i="47"/>
  <c r="G14" i="47"/>
  <c r="E14" i="47"/>
  <c r="K14" i="47"/>
  <c r="K41" i="47"/>
  <c r="L14" i="47"/>
  <c r="P14" i="47"/>
  <c r="P41" i="47"/>
  <c r="Q14" i="47"/>
  <c r="C15" i="47"/>
  <c r="D15" i="47"/>
  <c r="E15" i="47"/>
  <c r="K15" i="47"/>
  <c r="L15" i="47"/>
  <c r="P15" i="47"/>
  <c r="Q15" i="47"/>
  <c r="C16" i="47"/>
  <c r="D16" i="47"/>
  <c r="E16" i="47"/>
  <c r="K16" i="47"/>
  <c r="L16" i="47"/>
  <c r="P16" i="47"/>
  <c r="Q16" i="47"/>
  <c r="F20" i="47"/>
  <c r="G20" i="47"/>
  <c r="K20" i="47"/>
  <c r="K35" i="47"/>
  <c r="L20" i="47"/>
  <c r="P20" i="47"/>
  <c r="Q20" i="47"/>
  <c r="F21" i="47"/>
  <c r="G21" i="47"/>
  <c r="K21" i="47"/>
  <c r="L21" i="47"/>
  <c r="P21" i="47"/>
  <c r="Q21" i="47"/>
  <c r="C22" i="47"/>
  <c r="D22" i="47"/>
  <c r="G22" i="47"/>
  <c r="E22" i="47"/>
  <c r="K22" i="47"/>
  <c r="L22" i="47"/>
  <c r="P22" i="47"/>
  <c r="Q22" i="47"/>
  <c r="C23" i="47"/>
  <c r="D23" i="47"/>
  <c r="E23" i="47"/>
  <c r="K23" i="47"/>
  <c r="L23" i="47"/>
  <c r="P23" i="47"/>
  <c r="Q23" i="47"/>
  <c r="C24" i="47"/>
  <c r="D24" i="47"/>
  <c r="E24" i="47"/>
  <c r="K24" i="47"/>
  <c r="L24" i="47"/>
  <c r="P24" i="47"/>
  <c r="Q24" i="47"/>
  <c r="C25" i="47"/>
  <c r="D25" i="47"/>
  <c r="G25" i="47"/>
  <c r="E25" i="47"/>
  <c r="F25" i="47"/>
  <c r="K25" i="47"/>
  <c r="L25" i="47"/>
  <c r="P25" i="47"/>
  <c r="Q25" i="47"/>
  <c r="C26" i="47"/>
  <c r="D26" i="47"/>
  <c r="F26" i="47"/>
  <c r="E26" i="47"/>
  <c r="L26" i="47"/>
  <c r="Q26" i="47"/>
  <c r="C27" i="47"/>
  <c r="D27" i="47"/>
  <c r="E27" i="47"/>
  <c r="K27" i="47"/>
  <c r="L27" i="47"/>
  <c r="P27" i="47"/>
  <c r="Q27" i="47"/>
  <c r="C28" i="47"/>
  <c r="D28" i="47"/>
  <c r="E28" i="47"/>
  <c r="K28" i="47"/>
  <c r="L28" i="47"/>
  <c r="P28" i="47"/>
  <c r="Q28" i="47"/>
  <c r="C35" i="47"/>
  <c r="D35" i="47"/>
  <c r="G35" i="47"/>
  <c r="E35" i="47"/>
  <c r="F35" i="47"/>
  <c r="H35" i="47"/>
  <c r="L35" i="47"/>
  <c r="I35" i="47"/>
  <c r="J35" i="47"/>
  <c r="M35" i="47"/>
  <c r="N35" i="47"/>
  <c r="O35" i="47"/>
  <c r="P35" i="47"/>
  <c r="C36" i="47"/>
  <c r="D36" i="47"/>
  <c r="G36" i="47"/>
  <c r="E36" i="47"/>
  <c r="F36" i="47"/>
  <c r="H36" i="47"/>
  <c r="I36" i="47"/>
  <c r="L36" i="47"/>
  <c r="J36" i="47"/>
  <c r="K36" i="47"/>
  <c r="M36" i="47"/>
  <c r="N36" i="47"/>
  <c r="Q36" i="47"/>
  <c r="O36" i="47"/>
  <c r="P36" i="47"/>
  <c r="H37" i="47"/>
  <c r="M37" i="47"/>
  <c r="I37" i="47"/>
  <c r="L37" i="47"/>
  <c r="N37" i="47"/>
  <c r="J37" i="47"/>
  <c r="E37" i="47"/>
  <c r="O37" i="47"/>
  <c r="K37" i="47"/>
  <c r="P37" i="47"/>
  <c r="H38" i="47"/>
  <c r="M38" i="47"/>
  <c r="I38" i="47"/>
  <c r="L38" i="47"/>
  <c r="N38" i="47"/>
  <c r="Q38" i="47"/>
  <c r="J38" i="47"/>
  <c r="O38" i="47"/>
  <c r="E38" i="47"/>
  <c r="K38" i="47"/>
  <c r="P38" i="47"/>
  <c r="H39" i="47"/>
  <c r="M39" i="47"/>
  <c r="I39" i="47"/>
  <c r="L39" i="47"/>
  <c r="N39" i="47"/>
  <c r="J39" i="47"/>
  <c r="O39" i="47"/>
  <c r="K39" i="47"/>
  <c r="P39" i="47"/>
  <c r="M40" i="47"/>
  <c r="C40" i="47"/>
  <c r="I40" i="47"/>
  <c r="L40" i="47"/>
  <c r="N40" i="47"/>
  <c r="J40" i="47"/>
  <c r="O40" i="47"/>
  <c r="E40" i="47"/>
  <c r="K40" i="47"/>
  <c r="P40" i="47"/>
  <c r="C41" i="47"/>
  <c r="I103" i="47"/>
  <c r="E41" i="47"/>
  <c r="P103" i="47"/>
  <c r="Q41" i="47"/>
  <c r="M42" i="47"/>
  <c r="C42" i="47"/>
  <c r="L70" i="47"/>
  <c r="I42" i="47"/>
  <c r="Q70" i="47"/>
  <c r="N42" i="47"/>
  <c r="J42" i="47"/>
  <c r="O42" i="47"/>
  <c r="K104" i="47"/>
  <c r="K42" i="47"/>
  <c r="P104" i="47"/>
  <c r="P42" i="47"/>
  <c r="O43" i="47"/>
  <c r="H50" i="47"/>
  <c r="M50" i="47"/>
  <c r="C51" i="47"/>
  <c r="H51" i="47"/>
  <c r="M51" i="47"/>
  <c r="H52" i="47"/>
  <c r="M52" i="47"/>
  <c r="C84" i="47"/>
  <c r="D70" i="47"/>
  <c r="F70" i="47"/>
  <c r="F64" i="47"/>
  <c r="G64" i="47"/>
  <c r="K64" i="47"/>
  <c r="L64" i="47"/>
  <c r="P64" i="47"/>
  <c r="Q64" i="47"/>
  <c r="F65" i="47"/>
  <c r="G65" i="47"/>
  <c r="K65" i="47"/>
  <c r="L65" i="47"/>
  <c r="P65" i="47"/>
  <c r="Q65" i="47"/>
  <c r="F66" i="47"/>
  <c r="G66" i="47"/>
  <c r="K66" i="47"/>
  <c r="L66" i="47"/>
  <c r="P66" i="47"/>
  <c r="Q66" i="47"/>
  <c r="Q92" i="47"/>
  <c r="C67" i="47"/>
  <c r="F67" i="47"/>
  <c r="D67" i="47"/>
  <c r="G67" i="47"/>
  <c r="G93" i="47"/>
  <c r="E67" i="47"/>
  <c r="K67" i="47"/>
  <c r="L67" i="47"/>
  <c r="P67" i="47"/>
  <c r="Q67" i="47"/>
  <c r="C68" i="47"/>
  <c r="G68" i="47"/>
  <c r="G102" i="47"/>
  <c r="D68" i="47"/>
  <c r="E68" i="47"/>
  <c r="K68" i="47"/>
  <c r="L68" i="47"/>
  <c r="P68" i="47"/>
  <c r="Q68" i="47"/>
  <c r="C69" i="47"/>
  <c r="D69" i="47"/>
  <c r="E69" i="47"/>
  <c r="L69" i="47"/>
  <c r="Q69" i="47"/>
  <c r="G70" i="47"/>
  <c r="G104" i="47"/>
  <c r="E71" i="47"/>
  <c r="E72" i="47"/>
  <c r="H78" i="47"/>
  <c r="M78" i="47"/>
  <c r="C79" i="47"/>
  <c r="H79" i="47"/>
  <c r="M79" i="47"/>
  <c r="L90" i="47"/>
  <c r="F91" i="47"/>
  <c r="G91" i="47"/>
  <c r="K91" i="47"/>
  <c r="L91" i="47"/>
  <c r="P91" i="47"/>
  <c r="Q91" i="47"/>
  <c r="C92" i="47"/>
  <c r="D92" i="47"/>
  <c r="G92" i="47"/>
  <c r="E92" i="47"/>
  <c r="K92" i="47"/>
  <c r="L92" i="47"/>
  <c r="P92" i="47"/>
  <c r="C93" i="47"/>
  <c r="D93" i="47"/>
  <c r="L93" i="47"/>
  <c r="Q93" i="47"/>
  <c r="C94" i="47"/>
  <c r="D94" i="47"/>
  <c r="F94" i="47"/>
  <c r="K94" i="47"/>
  <c r="L94" i="47"/>
  <c r="L102" i="47"/>
  <c r="P94" i="47"/>
  <c r="Q94" i="47"/>
  <c r="Q102" i="47"/>
  <c r="C95" i="47"/>
  <c r="F95" i="47"/>
  <c r="D95" i="47"/>
  <c r="G95" i="47"/>
  <c r="D96" i="47"/>
  <c r="F96" i="47"/>
  <c r="G96" i="47"/>
  <c r="K96" i="47"/>
  <c r="C102" i="47"/>
  <c r="D102" i="47"/>
  <c r="F102" i="47"/>
  <c r="K102" i="47"/>
  <c r="P102" i="47"/>
  <c r="C103" i="47"/>
  <c r="C179" i="47"/>
  <c r="D103" i="47"/>
  <c r="L103" i="47"/>
  <c r="Q103" i="47"/>
  <c r="C104" i="47"/>
  <c r="C180" i="47"/>
  <c r="G180" i="47"/>
  <c r="D104" i="47"/>
  <c r="F104" i="47"/>
  <c r="F180" i="47"/>
  <c r="L104" i="47"/>
  <c r="Q104" i="47"/>
  <c r="C133" i="47"/>
  <c r="D133" i="47"/>
  <c r="E133" i="47"/>
  <c r="K133" i="47"/>
  <c r="L133" i="47"/>
  <c r="P133" i="47"/>
  <c r="Q133" i="47"/>
  <c r="C134" i="47"/>
  <c r="D134" i="47"/>
  <c r="G134" i="47"/>
  <c r="E134" i="47"/>
  <c r="H135" i="47"/>
  <c r="H161" i="47"/>
  <c r="I135" i="47"/>
  <c r="I149" i="47"/>
  <c r="J135" i="47"/>
  <c r="J149" i="47"/>
  <c r="N135" i="47"/>
  <c r="N149" i="47"/>
  <c r="O135" i="47"/>
  <c r="O149" i="47"/>
  <c r="H142" i="47"/>
  <c r="I142" i="47"/>
  <c r="J142" i="47"/>
  <c r="L142" i="47"/>
  <c r="M142" i="47"/>
  <c r="N142" i="47"/>
  <c r="Q142" i="47"/>
  <c r="O142" i="47"/>
  <c r="E174" i="47"/>
  <c r="C175" i="47"/>
  <c r="D58" i="31"/>
  <c r="F58" i="31"/>
  <c r="D175" i="47"/>
  <c r="E175" i="47"/>
  <c r="C176" i="47"/>
  <c r="D58" i="39"/>
  <c r="F58" i="39"/>
  <c r="D176" i="47"/>
  <c r="E176" i="47"/>
  <c r="C177" i="47"/>
  <c r="D58" i="40"/>
  <c r="F58" i="40"/>
  <c r="D177" i="47"/>
  <c r="E177" i="47"/>
  <c r="D179" i="47"/>
  <c r="E179" i="47"/>
  <c r="E185" i="47"/>
  <c r="E197" i="47"/>
  <c r="D180" i="47"/>
  <c r="E180" i="47"/>
  <c r="E181" i="47"/>
  <c r="E182" i="47"/>
  <c r="E187" i="47"/>
  <c r="C219" i="47"/>
  <c r="C241" i="47"/>
  <c r="D219" i="47"/>
  <c r="D241" i="47"/>
  <c r="E219" i="47"/>
  <c r="E224" i="47"/>
  <c r="E235" i="47"/>
  <c r="E247" i="47"/>
  <c r="E253" i="47"/>
  <c r="F219" i="47"/>
  <c r="F241" i="47"/>
  <c r="C220" i="47"/>
  <c r="C225" i="47"/>
  <c r="C236" i="47"/>
  <c r="D220" i="47"/>
  <c r="D242" i="47"/>
  <c r="E220" i="47"/>
  <c r="F220" i="47"/>
  <c r="F242" i="47"/>
  <c r="C221" i="47"/>
  <c r="D221" i="47"/>
  <c r="D243" i="47"/>
  <c r="E221" i="47"/>
  <c r="E226" i="47"/>
  <c r="E237" i="47"/>
  <c r="E249" i="47"/>
  <c r="E255" i="47"/>
  <c r="F221" i="47"/>
  <c r="F243" i="47"/>
  <c r="C224" i="47"/>
  <c r="C235" i="47"/>
  <c r="C247" i="47"/>
  <c r="C253" i="47"/>
  <c r="F224" i="47"/>
  <c r="F235" i="47"/>
  <c r="F247" i="47"/>
  <c r="F253" i="47"/>
  <c r="D225" i="47"/>
  <c r="D236" i="47"/>
  <c r="D248" i="47"/>
  <c r="D254" i="47"/>
  <c r="E225" i="47"/>
  <c r="E236" i="47"/>
  <c r="E248" i="47"/>
  <c r="E254" i="47"/>
  <c r="C226" i="47"/>
  <c r="C237" i="47"/>
  <c r="C249" i="47"/>
  <c r="C255" i="47"/>
  <c r="F226" i="47"/>
  <c r="F237" i="47"/>
  <c r="F249" i="47"/>
  <c r="F255" i="47"/>
  <c r="F229" i="47"/>
  <c r="F230" i="47"/>
  <c r="F231" i="47"/>
  <c r="E241" i="47"/>
  <c r="E242" i="47"/>
  <c r="C243" i="47"/>
  <c r="E243" i="47"/>
  <c r="F264" i="47"/>
  <c r="F265" i="47"/>
  <c r="F266" i="47"/>
  <c r="F269" i="47"/>
  <c r="F275" i="47"/>
  <c r="F270" i="47"/>
  <c r="F276" i="47"/>
  <c r="F271" i="47"/>
  <c r="F277" i="47"/>
  <c r="C275" i="47"/>
  <c r="D275" i="47"/>
  <c r="E275" i="47"/>
  <c r="C276" i="47"/>
  <c r="D276" i="47"/>
  <c r="E276" i="47"/>
  <c r="C277" i="47"/>
  <c r="D277" i="47"/>
  <c r="E277" i="47"/>
  <c r="D55" i="39"/>
  <c r="D61" i="39"/>
  <c r="H44" i="30"/>
  <c r="H45" i="30"/>
  <c r="H46" i="30"/>
  <c r="H48" i="30"/>
  <c r="H49" i="30"/>
  <c r="H50" i="30"/>
  <c r="H51" i="30"/>
  <c r="H52" i="30"/>
  <c r="H53" i="30"/>
  <c r="H54" i="30"/>
  <c r="H55" i="30"/>
  <c r="H56" i="30"/>
  <c r="H57" i="30"/>
  <c r="H58" i="30"/>
  <c r="H59" i="30"/>
  <c r="H60" i="30"/>
  <c r="H63" i="30"/>
  <c r="H64" i="30"/>
  <c r="H65" i="30"/>
  <c r="H66" i="30"/>
  <c r="H67" i="30"/>
  <c r="D65" i="39"/>
  <c r="E19" i="30"/>
  <c r="E34" i="30"/>
  <c r="D12" i="29"/>
  <c r="D11" i="29"/>
  <c r="D10" i="29"/>
  <c r="D9" i="29"/>
  <c r="D8" i="29"/>
  <c r="B12" i="29"/>
  <c r="B11" i="29"/>
  <c r="B10" i="29"/>
  <c r="B9" i="29"/>
  <c r="B8" i="29"/>
  <c r="M159" i="22"/>
  <c r="M161" i="22"/>
  <c r="K161" i="22"/>
  <c r="K157" i="22"/>
  <c r="G33" i="25"/>
  <c r="G35" i="25"/>
  <c r="G42" i="25"/>
  <c r="H33" i="25"/>
  <c r="H35" i="25"/>
  <c r="H42" i="25"/>
  <c r="I33" i="25"/>
  <c r="I35" i="25"/>
  <c r="I42" i="25"/>
  <c r="J33" i="25"/>
  <c r="J35" i="25"/>
  <c r="J42" i="25"/>
  <c r="J40" i="25"/>
  <c r="I40" i="25"/>
  <c r="H40" i="25"/>
  <c r="G40" i="25"/>
  <c r="F33" i="25"/>
  <c r="I4" i="25"/>
  <c r="I6" i="25"/>
  <c r="I5" i="25"/>
  <c r="I9" i="25"/>
  <c r="J4" i="25"/>
  <c r="J6" i="25"/>
  <c r="J5" i="25"/>
  <c r="J14" i="25"/>
  <c r="I14" i="25"/>
  <c r="I15" i="25"/>
  <c r="J13" i="25"/>
  <c r="J17" i="25"/>
  <c r="I13" i="25"/>
  <c r="J15" i="25"/>
  <c r="D13" i="44"/>
  <c r="F13" i="44"/>
  <c r="G13" i="44"/>
  <c r="D7" i="29"/>
  <c r="D6" i="29"/>
  <c r="D5" i="29"/>
  <c r="B7" i="29"/>
  <c r="B6" i="29"/>
  <c r="B5" i="29"/>
  <c r="E14" i="46"/>
  <c r="E8" i="46"/>
  <c r="E38" i="46"/>
  <c r="D58" i="21"/>
  <c r="A8" i="46"/>
  <c r="D14" i="46"/>
  <c r="D8" i="46"/>
  <c r="D38" i="46"/>
  <c r="D6" i="20"/>
  <c r="I41" i="22"/>
  <c r="J25" i="39"/>
  <c r="I43" i="31"/>
  <c r="I44" i="31"/>
  <c r="I45" i="31"/>
  <c r="I47" i="31"/>
  <c r="I48" i="31"/>
  <c r="I49" i="31"/>
  <c r="I67" i="31"/>
  <c r="I50" i="31"/>
  <c r="I51" i="31"/>
  <c r="I52" i="31"/>
  <c r="I53" i="31"/>
  <c r="I54" i="31"/>
  <c r="I55" i="31"/>
  <c r="I56" i="31"/>
  <c r="I57" i="31"/>
  <c r="I58" i="31"/>
  <c r="I61" i="31"/>
  <c r="I62" i="31"/>
  <c r="I63" i="31"/>
  <c r="I64" i="31"/>
  <c r="I65" i="31"/>
  <c r="I40" i="31"/>
  <c r="I31" i="31"/>
  <c r="I43" i="39"/>
  <c r="I44" i="39"/>
  <c r="I67" i="39"/>
  <c r="I68" i="39"/>
  <c r="I208" i="39"/>
  <c r="I45" i="39"/>
  <c r="I47" i="39"/>
  <c r="I48" i="39"/>
  <c r="I49" i="39"/>
  <c r="I50" i="39"/>
  <c r="I51" i="39"/>
  <c r="I52" i="39"/>
  <c r="I53" i="39"/>
  <c r="I54" i="39"/>
  <c r="I55" i="39"/>
  <c r="I56" i="39"/>
  <c r="I57" i="39"/>
  <c r="I58" i="39"/>
  <c r="I61" i="39"/>
  <c r="I62" i="39"/>
  <c r="I63" i="39"/>
  <c r="I64" i="39"/>
  <c r="I65" i="39"/>
  <c r="I40" i="39"/>
  <c r="I31" i="39"/>
  <c r="H75" i="40"/>
  <c r="H5" i="39"/>
  <c r="H75" i="39"/>
  <c r="H5" i="31"/>
  <c r="H75" i="31"/>
  <c r="H5" i="30"/>
  <c r="H77" i="30"/>
  <c r="H149" i="30"/>
  <c r="H5" i="40"/>
  <c r="H217" i="30"/>
  <c r="H208" i="30"/>
  <c r="H210" i="30"/>
  <c r="H211" i="30"/>
  <c r="H209" i="30"/>
  <c r="H207" i="30"/>
  <c r="H205" i="30"/>
  <c r="H204" i="30"/>
  <c r="H203" i="30"/>
  <c r="H202" i="30"/>
  <c r="H201" i="30"/>
  <c r="H200" i="30"/>
  <c r="H199" i="30"/>
  <c r="H198" i="30"/>
  <c r="H197" i="30"/>
  <c r="H196" i="30"/>
  <c r="H195" i="30"/>
  <c r="H194" i="30"/>
  <c r="H193" i="30"/>
  <c r="H192" i="30"/>
  <c r="H190" i="30"/>
  <c r="H189" i="30"/>
  <c r="H188" i="30"/>
  <c r="H41" i="30"/>
  <c r="H185" i="30"/>
  <c r="H183" i="30"/>
  <c r="H182" i="30"/>
  <c r="H181" i="30"/>
  <c r="H180" i="30"/>
  <c r="H179" i="30"/>
  <c r="H32" i="30"/>
  <c r="H176" i="30"/>
  <c r="H174" i="30"/>
  <c r="H173" i="30"/>
  <c r="H172" i="30"/>
  <c r="H171" i="30"/>
  <c r="H170" i="30"/>
  <c r="H168" i="30"/>
  <c r="H167" i="30"/>
  <c r="H166" i="30"/>
  <c r="H165" i="30"/>
  <c r="H164" i="30"/>
  <c r="H163" i="30"/>
  <c r="H162" i="30"/>
  <c r="H161" i="30"/>
  <c r="H160" i="30"/>
  <c r="H159" i="30"/>
  <c r="H158" i="30"/>
  <c r="H157" i="30"/>
  <c r="H156" i="30"/>
  <c r="H154" i="30"/>
  <c r="H153" i="30"/>
  <c r="H152" i="30"/>
  <c r="H211" i="31"/>
  <c r="H43" i="31"/>
  <c r="H44" i="31"/>
  <c r="H45" i="31"/>
  <c r="H185" i="31"/>
  <c r="H47" i="31"/>
  <c r="H48" i="31"/>
  <c r="H188" i="31"/>
  <c r="H49" i="31"/>
  <c r="H50" i="31"/>
  <c r="H190" i="31"/>
  <c r="H51" i="31"/>
  <c r="H52" i="31"/>
  <c r="H192" i="31"/>
  <c r="H53" i="31"/>
  <c r="H54" i="31"/>
  <c r="H194" i="31"/>
  <c r="H55" i="31"/>
  <c r="H56" i="31"/>
  <c r="H57" i="31"/>
  <c r="H58" i="31"/>
  <c r="H61" i="31"/>
  <c r="H201" i="31"/>
  <c r="H62" i="31"/>
  <c r="H202" i="31"/>
  <c r="H63" i="31"/>
  <c r="H64" i="31"/>
  <c r="H204" i="31"/>
  <c r="H65" i="31"/>
  <c r="H205" i="31"/>
  <c r="H203" i="31"/>
  <c r="H199" i="31"/>
  <c r="H198" i="31"/>
  <c r="H197" i="31"/>
  <c r="H196" i="31"/>
  <c r="H195" i="31"/>
  <c r="H193" i="31"/>
  <c r="H191" i="31"/>
  <c r="H189" i="31"/>
  <c r="H187" i="31"/>
  <c r="H184" i="31"/>
  <c r="H183" i="31"/>
  <c r="H40" i="31"/>
  <c r="H180" i="31"/>
  <c r="H178" i="31"/>
  <c r="H177" i="31"/>
  <c r="H176" i="31"/>
  <c r="H175" i="31"/>
  <c r="H174" i="31"/>
  <c r="H31" i="31"/>
  <c r="H171" i="31"/>
  <c r="H169" i="31"/>
  <c r="H168" i="31"/>
  <c r="H167" i="31"/>
  <c r="H166" i="31"/>
  <c r="H165" i="31"/>
  <c r="H163" i="31"/>
  <c r="H162" i="31"/>
  <c r="H161" i="31"/>
  <c r="H160" i="31"/>
  <c r="H159" i="31"/>
  <c r="H158" i="31"/>
  <c r="H157" i="31"/>
  <c r="H156" i="31"/>
  <c r="H155" i="31"/>
  <c r="H154" i="31"/>
  <c r="H153" i="31"/>
  <c r="H152" i="31"/>
  <c r="H150" i="31"/>
  <c r="H149" i="31"/>
  <c r="H148" i="31"/>
  <c r="H145" i="31"/>
  <c r="H211" i="39"/>
  <c r="H43" i="39"/>
  <c r="H44" i="39"/>
  <c r="H45" i="39"/>
  <c r="H47" i="39"/>
  <c r="H48" i="39"/>
  <c r="H49" i="39"/>
  <c r="H50" i="39"/>
  <c r="H51" i="39"/>
  <c r="H52" i="39"/>
  <c r="H53" i="39"/>
  <c r="H54" i="39"/>
  <c r="H55" i="39"/>
  <c r="H56" i="39"/>
  <c r="H57" i="39"/>
  <c r="H58" i="39"/>
  <c r="H61" i="39"/>
  <c r="H201" i="39"/>
  <c r="H62" i="39"/>
  <c r="H202" i="39"/>
  <c r="H63" i="39"/>
  <c r="H203" i="39"/>
  <c r="H64" i="39"/>
  <c r="H204" i="39"/>
  <c r="H65" i="39"/>
  <c r="H205" i="39"/>
  <c r="H199" i="39"/>
  <c r="H198" i="39"/>
  <c r="H197" i="39"/>
  <c r="H196" i="39"/>
  <c r="H195" i="39"/>
  <c r="H194" i="39"/>
  <c r="H193" i="39"/>
  <c r="H192" i="39"/>
  <c r="H191" i="39"/>
  <c r="H190" i="39"/>
  <c r="H189" i="39"/>
  <c r="H188" i="39"/>
  <c r="H187" i="39"/>
  <c r="H185" i="39"/>
  <c r="H184" i="39"/>
  <c r="H183" i="39"/>
  <c r="H40" i="39"/>
  <c r="H180" i="39"/>
  <c r="H178" i="39"/>
  <c r="H177" i="39"/>
  <c r="H176" i="39"/>
  <c r="H175" i="39"/>
  <c r="H174" i="39"/>
  <c r="H31" i="39"/>
  <c r="H171" i="39"/>
  <c r="H169" i="39"/>
  <c r="H168" i="39"/>
  <c r="H167" i="39"/>
  <c r="H166" i="39"/>
  <c r="H165" i="39"/>
  <c r="H163" i="39"/>
  <c r="H162" i="39"/>
  <c r="H161" i="39"/>
  <c r="H160" i="39"/>
  <c r="H159" i="39"/>
  <c r="H158" i="39"/>
  <c r="H157" i="39"/>
  <c r="H156" i="39"/>
  <c r="H155" i="39"/>
  <c r="H154" i="39"/>
  <c r="H153" i="39"/>
  <c r="H152" i="39"/>
  <c r="H150" i="39"/>
  <c r="H149" i="39"/>
  <c r="H148" i="39"/>
  <c r="H145" i="39"/>
  <c r="H211" i="40"/>
  <c r="H43" i="40"/>
  <c r="H44" i="40"/>
  <c r="H45" i="40"/>
  <c r="H185" i="40"/>
  <c r="H47" i="40"/>
  <c r="H48" i="40"/>
  <c r="H188" i="40"/>
  <c r="H49" i="40"/>
  <c r="H50" i="40"/>
  <c r="H190" i="40"/>
  <c r="H51" i="40"/>
  <c r="H52" i="40"/>
  <c r="H192" i="40"/>
  <c r="H53" i="40"/>
  <c r="H54" i="40"/>
  <c r="H194" i="40"/>
  <c r="H55" i="40"/>
  <c r="H56" i="40"/>
  <c r="H57" i="40"/>
  <c r="H58" i="40"/>
  <c r="H61" i="40"/>
  <c r="H201" i="40"/>
  <c r="H62" i="40"/>
  <c r="H202" i="40"/>
  <c r="H63" i="40"/>
  <c r="H64" i="40"/>
  <c r="H204" i="40"/>
  <c r="H65" i="40"/>
  <c r="H205" i="40"/>
  <c r="H203" i="40"/>
  <c r="H199" i="40"/>
  <c r="H198" i="40"/>
  <c r="H197" i="40"/>
  <c r="H196" i="40"/>
  <c r="H195" i="40"/>
  <c r="H193" i="40"/>
  <c r="H191" i="40"/>
  <c r="H189" i="40"/>
  <c r="H187" i="40"/>
  <c r="H184" i="40"/>
  <c r="H183" i="40"/>
  <c r="H40" i="40"/>
  <c r="H180" i="40"/>
  <c r="H178" i="40"/>
  <c r="H177" i="40"/>
  <c r="H176" i="40"/>
  <c r="H175" i="40"/>
  <c r="H174" i="40"/>
  <c r="H31" i="40"/>
  <c r="H171" i="40"/>
  <c r="H169" i="40"/>
  <c r="H168" i="40"/>
  <c r="H167" i="40"/>
  <c r="H166" i="40"/>
  <c r="H165" i="40"/>
  <c r="H163" i="40"/>
  <c r="H162" i="40"/>
  <c r="H161" i="40"/>
  <c r="H160" i="40"/>
  <c r="H159" i="40"/>
  <c r="H158" i="40"/>
  <c r="H157" i="40"/>
  <c r="H156" i="40"/>
  <c r="H155" i="40"/>
  <c r="H154" i="40"/>
  <c r="H153" i="40"/>
  <c r="H152" i="40"/>
  <c r="H150" i="40"/>
  <c r="H149" i="40"/>
  <c r="H148" i="40"/>
  <c r="H145" i="40"/>
  <c r="J9" i="40"/>
  <c r="N10" i="9"/>
  <c r="J71" i="31"/>
  <c r="D43" i="31"/>
  <c r="E43" i="31"/>
  <c r="J43" i="31"/>
  <c r="J183" i="31"/>
  <c r="F43" i="31"/>
  <c r="G43" i="31"/>
  <c r="D44" i="31"/>
  <c r="E44" i="31"/>
  <c r="J44" i="31"/>
  <c r="J184" i="31"/>
  <c r="F44" i="31"/>
  <c r="G44" i="31"/>
  <c r="D45" i="31"/>
  <c r="E45" i="31"/>
  <c r="J45" i="31"/>
  <c r="J185" i="31"/>
  <c r="F45" i="31"/>
  <c r="G45" i="31"/>
  <c r="D47" i="31"/>
  <c r="E47" i="31"/>
  <c r="J47" i="31"/>
  <c r="J187" i="31"/>
  <c r="F47" i="31"/>
  <c r="G47" i="31"/>
  <c r="D48" i="31"/>
  <c r="D188" i="31"/>
  <c r="E48" i="31"/>
  <c r="F48" i="31"/>
  <c r="G48" i="31"/>
  <c r="J48" i="31"/>
  <c r="J188" i="31"/>
  <c r="D49" i="31"/>
  <c r="E49" i="31"/>
  <c r="F49" i="31"/>
  <c r="G49" i="31"/>
  <c r="J49" i="31"/>
  <c r="J189" i="31"/>
  <c r="D50" i="31"/>
  <c r="E50" i="31"/>
  <c r="F50" i="31"/>
  <c r="G50" i="31"/>
  <c r="J50" i="31"/>
  <c r="J190" i="31"/>
  <c r="D51" i="31"/>
  <c r="E51" i="31"/>
  <c r="F51" i="31"/>
  <c r="G51" i="31"/>
  <c r="J51" i="31"/>
  <c r="J191" i="31"/>
  <c r="D52" i="31"/>
  <c r="E52" i="31"/>
  <c r="F52" i="31"/>
  <c r="G52" i="31"/>
  <c r="J52" i="31"/>
  <c r="J192" i="31"/>
  <c r="D53" i="31"/>
  <c r="E53" i="31"/>
  <c r="F53" i="31"/>
  <c r="G53" i="31"/>
  <c r="J53" i="31"/>
  <c r="J193" i="31"/>
  <c r="D54" i="31"/>
  <c r="E54" i="31"/>
  <c r="J54" i="31"/>
  <c r="J194" i="31"/>
  <c r="F54" i="31"/>
  <c r="G54" i="31"/>
  <c r="D55" i="31"/>
  <c r="E55" i="31"/>
  <c r="G55" i="31"/>
  <c r="D56" i="31"/>
  <c r="E56" i="31"/>
  <c r="F56" i="31"/>
  <c r="G56" i="31"/>
  <c r="J56" i="31"/>
  <c r="J196" i="31"/>
  <c r="D57" i="31"/>
  <c r="E57" i="31"/>
  <c r="E197" i="31"/>
  <c r="F57" i="31"/>
  <c r="G57" i="31"/>
  <c r="E58" i="31"/>
  <c r="G58" i="31"/>
  <c r="J58" i="31"/>
  <c r="J59" i="31"/>
  <c r="D61" i="31"/>
  <c r="E61" i="31"/>
  <c r="J61" i="31"/>
  <c r="F61" i="31"/>
  <c r="G61" i="31"/>
  <c r="D62" i="31"/>
  <c r="E62" i="31"/>
  <c r="F62" i="31"/>
  <c r="G62" i="31"/>
  <c r="J62" i="31"/>
  <c r="D63" i="31"/>
  <c r="E63" i="31"/>
  <c r="J63" i="31"/>
  <c r="F63" i="31"/>
  <c r="G63" i="31"/>
  <c r="D64" i="31"/>
  <c r="E64" i="31"/>
  <c r="F64" i="31"/>
  <c r="G64" i="31"/>
  <c r="J64" i="31"/>
  <c r="D65" i="31"/>
  <c r="E65" i="31"/>
  <c r="J65" i="31"/>
  <c r="F65" i="31"/>
  <c r="G65" i="31"/>
  <c r="J34" i="31"/>
  <c r="J35" i="31"/>
  <c r="L38" i="9"/>
  <c r="J36" i="31"/>
  <c r="J37" i="31"/>
  <c r="J38" i="31"/>
  <c r="G40" i="31"/>
  <c r="F40" i="31"/>
  <c r="E40" i="31"/>
  <c r="E180" i="31"/>
  <c r="D40" i="31"/>
  <c r="J8" i="31"/>
  <c r="J9" i="31"/>
  <c r="K9" i="38"/>
  <c r="J10" i="31"/>
  <c r="J12" i="31"/>
  <c r="J13" i="31"/>
  <c r="J14" i="31"/>
  <c r="J15" i="31"/>
  <c r="J16" i="31"/>
  <c r="J17" i="31"/>
  <c r="J18" i="31"/>
  <c r="J19" i="31"/>
  <c r="J20" i="31"/>
  <c r="L22" i="9"/>
  <c r="J21" i="31"/>
  <c r="J22" i="31"/>
  <c r="J23" i="31"/>
  <c r="J25" i="31"/>
  <c r="J26" i="31"/>
  <c r="J27" i="31"/>
  <c r="J28" i="31"/>
  <c r="J29" i="31"/>
  <c r="G31" i="31"/>
  <c r="F31" i="31"/>
  <c r="E31" i="31"/>
  <c r="E193" i="47"/>
  <c r="E199" i="47"/>
  <c r="C193" i="47"/>
  <c r="E191" i="47"/>
  <c r="C191" i="47"/>
  <c r="I141" i="20"/>
  <c r="D113" i="20"/>
  <c r="I113" i="20"/>
  <c r="E113" i="20"/>
  <c r="F113" i="20"/>
  <c r="G113" i="20"/>
  <c r="H113" i="20"/>
  <c r="D114" i="20"/>
  <c r="E114" i="20"/>
  <c r="F114" i="20"/>
  <c r="G114" i="20"/>
  <c r="H114" i="20"/>
  <c r="D115" i="20"/>
  <c r="E115" i="20"/>
  <c r="F115" i="20"/>
  <c r="G115" i="20"/>
  <c r="H115" i="20"/>
  <c r="D117" i="20"/>
  <c r="E117" i="20"/>
  <c r="F117" i="20"/>
  <c r="G117" i="20"/>
  <c r="H117" i="20"/>
  <c r="D118" i="20"/>
  <c r="E118" i="20"/>
  <c r="F118" i="20"/>
  <c r="G118" i="20"/>
  <c r="H118" i="20"/>
  <c r="D119" i="20"/>
  <c r="E119" i="20"/>
  <c r="F119" i="20"/>
  <c r="G119" i="20"/>
  <c r="H119" i="20"/>
  <c r="D120" i="20"/>
  <c r="E120" i="20"/>
  <c r="F120" i="20"/>
  <c r="G120" i="20"/>
  <c r="H120" i="20"/>
  <c r="D121" i="20"/>
  <c r="E121" i="20"/>
  <c r="F121" i="20"/>
  <c r="G121" i="20"/>
  <c r="H121" i="20"/>
  <c r="D122" i="20"/>
  <c r="E122" i="20"/>
  <c r="F122" i="20"/>
  <c r="G122" i="20"/>
  <c r="H122" i="20"/>
  <c r="D123" i="20"/>
  <c r="E123" i="20"/>
  <c r="F123" i="20"/>
  <c r="G123" i="20"/>
  <c r="H123" i="20"/>
  <c r="D124" i="20"/>
  <c r="E124" i="20"/>
  <c r="F124" i="20"/>
  <c r="G124" i="20"/>
  <c r="H124" i="20"/>
  <c r="D125" i="20"/>
  <c r="E125" i="20"/>
  <c r="F125" i="20"/>
  <c r="G125" i="20"/>
  <c r="H125" i="20"/>
  <c r="D126" i="20"/>
  <c r="E126" i="20"/>
  <c r="F126" i="20"/>
  <c r="G126" i="20"/>
  <c r="H126" i="20"/>
  <c r="D127" i="20"/>
  <c r="E127" i="20"/>
  <c r="F127" i="20"/>
  <c r="G127" i="20"/>
  <c r="H127" i="20"/>
  <c r="D128" i="20"/>
  <c r="E128" i="20"/>
  <c r="E137" i="20"/>
  <c r="E138" i="20"/>
  <c r="F128" i="20"/>
  <c r="G128" i="20"/>
  <c r="H128" i="20"/>
  <c r="I128" i="20"/>
  <c r="I129" i="20"/>
  <c r="D131" i="20"/>
  <c r="I131" i="20"/>
  <c r="E131" i="20"/>
  <c r="F131" i="20"/>
  <c r="G131" i="20"/>
  <c r="H131" i="20"/>
  <c r="D132" i="20"/>
  <c r="I132" i="20"/>
  <c r="E132" i="20"/>
  <c r="F132" i="20"/>
  <c r="G132" i="20"/>
  <c r="H132" i="20"/>
  <c r="D133" i="20"/>
  <c r="I133" i="20"/>
  <c r="E133" i="20"/>
  <c r="F133" i="20"/>
  <c r="G133" i="20"/>
  <c r="H133" i="20"/>
  <c r="D134" i="20"/>
  <c r="I134" i="20"/>
  <c r="E134" i="20"/>
  <c r="F134" i="20"/>
  <c r="G134" i="20"/>
  <c r="H134" i="20"/>
  <c r="D135" i="20"/>
  <c r="I135" i="20"/>
  <c r="E135" i="20"/>
  <c r="F135" i="20"/>
  <c r="G135" i="20"/>
  <c r="H135" i="20"/>
  <c r="H137" i="20"/>
  <c r="H138" i="20"/>
  <c r="G137" i="20"/>
  <c r="G138" i="20"/>
  <c r="F130" i="20"/>
  <c r="F137" i="20"/>
  <c r="F138" i="20"/>
  <c r="I104" i="20"/>
  <c r="I105" i="20"/>
  <c r="I106" i="20"/>
  <c r="I107" i="20"/>
  <c r="I108" i="20"/>
  <c r="I110" i="20"/>
  <c r="H110" i="20"/>
  <c r="G110" i="20"/>
  <c r="F110" i="20"/>
  <c r="E110" i="20"/>
  <c r="D110" i="20"/>
  <c r="D101" i="20"/>
  <c r="I78" i="20"/>
  <c r="I79" i="20"/>
  <c r="I101" i="20"/>
  <c r="I80" i="20"/>
  <c r="I82" i="20"/>
  <c r="I83" i="20"/>
  <c r="I84" i="20"/>
  <c r="I85" i="20"/>
  <c r="I86" i="20"/>
  <c r="I87" i="20"/>
  <c r="I88" i="20"/>
  <c r="I89" i="20"/>
  <c r="I90" i="20"/>
  <c r="I91" i="20"/>
  <c r="I92" i="20"/>
  <c r="I93" i="20"/>
  <c r="I95" i="20"/>
  <c r="I96" i="20"/>
  <c r="I97" i="20"/>
  <c r="I98" i="20"/>
  <c r="I99" i="20"/>
  <c r="H101" i="20"/>
  <c r="G101" i="20"/>
  <c r="F101" i="20"/>
  <c r="E101" i="20"/>
  <c r="A5" i="23"/>
  <c r="N244" i="33"/>
  <c r="M244" i="33"/>
  <c r="L244" i="33"/>
  <c r="J244" i="33"/>
  <c r="I244" i="33"/>
  <c r="H244" i="33"/>
  <c r="J19" i="30"/>
  <c r="K20" i="9"/>
  <c r="J84" i="9"/>
  <c r="J97" i="49"/>
  <c r="A157" i="33"/>
  <c r="A158" i="33"/>
  <c r="A159" i="33"/>
  <c r="A160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6" i="33"/>
  <c r="A177" i="33"/>
  <c r="A178" i="33"/>
  <c r="A179" i="33"/>
  <c r="A180" i="33"/>
  <c r="A182" i="33"/>
  <c r="A185" i="33"/>
  <c r="A186" i="33"/>
  <c r="A187" i="33"/>
  <c r="A188" i="33"/>
  <c r="A189" i="33"/>
  <c r="A191" i="33"/>
  <c r="A194" i="33"/>
  <c r="A195" i="33"/>
  <c r="A196" i="33"/>
  <c r="A197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5" i="33"/>
  <c r="A216" i="33"/>
  <c r="A217" i="33"/>
  <c r="A218" i="33"/>
  <c r="A219" i="33"/>
  <c r="A221" i="33"/>
  <c r="A222" i="33"/>
  <c r="A223" i="33"/>
  <c r="A225" i="33"/>
  <c r="A83" i="33"/>
  <c r="A84" i="33"/>
  <c r="A85" i="33"/>
  <c r="A86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2" i="33"/>
  <c r="A103" i="33"/>
  <c r="A104" i="33"/>
  <c r="A105" i="33"/>
  <c r="A106" i="33"/>
  <c r="A108" i="33"/>
  <c r="A111" i="33"/>
  <c r="A112" i="33"/>
  <c r="A113" i="33"/>
  <c r="A114" i="33"/>
  <c r="A115" i="33"/>
  <c r="A117" i="33"/>
  <c r="A120" i="33"/>
  <c r="A121" i="33"/>
  <c r="A122" i="33"/>
  <c r="A123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40" i="33"/>
  <c r="A141" i="33"/>
  <c r="A142" i="33"/>
  <c r="A143" i="33"/>
  <c r="A144" i="33"/>
  <c r="A146" i="33"/>
  <c r="A147" i="33"/>
  <c r="A148" i="33"/>
  <c r="A150" i="33"/>
  <c r="S132" i="33"/>
  <c r="Q132" i="33"/>
  <c r="S95" i="33"/>
  <c r="Q95" i="33"/>
  <c r="Q244" i="33"/>
  <c r="K83" i="9"/>
  <c r="K96" i="49"/>
  <c r="K85" i="9"/>
  <c r="K98" i="49"/>
  <c r="K86" i="9"/>
  <c r="K99" i="49"/>
  <c r="K136" i="49"/>
  <c r="K88" i="9"/>
  <c r="K101" i="49"/>
  <c r="K89" i="9"/>
  <c r="K102" i="49"/>
  <c r="K90" i="9"/>
  <c r="K103" i="49"/>
  <c r="K91" i="9"/>
  <c r="K104" i="49"/>
  <c r="K92" i="9"/>
  <c r="K105" i="49"/>
  <c r="K93" i="9"/>
  <c r="K106" i="49"/>
  <c r="K94" i="9"/>
  <c r="K107" i="49"/>
  <c r="K96" i="9"/>
  <c r="K109" i="49"/>
  <c r="K97" i="9"/>
  <c r="K110" i="49"/>
  <c r="K98" i="9"/>
  <c r="K111" i="49"/>
  <c r="K99" i="9"/>
  <c r="K112" i="49"/>
  <c r="K100" i="9"/>
  <c r="K113" i="49"/>
  <c r="K102" i="9"/>
  <c r="K103" i="9"/>
  <c r="K104" i="9"/>
  <c r="K105" i="9"/>
  <c r="K106" i="9"/>
  <c r="K122" i="9"/>
  <c r="K125" i="9"/>
  <c r="K129" i="9"/>
  <c r="K111" i="9"/>
  <c r="K124" i="49"/>
  <c r="K112" i="9"/>
  <c r="K125" i="49"/>
  <c r="K113" i="9"/>
  <c r="K126" i="49"/>
  <c r="K114" i="9"/>
  <c r="K127" i="49"/>
  <c r="K115" i="9"/>
  <c r="K128" i="49"/>
  <c r="K138" i="9"/>
  <c r="K151" i="49"/>
  <c r="I163" i="30"/>
  <c r="G163" i="30"/>
  <c r="F163" i="30"/>
  <c r="E163" i="30"/>
  <c r="D163" i="30"/>
  <c r="D55" i="30"/>
  <c r="J55" i="30"/>
  <c r="G55" i="30"/>
  <c r="G199" i="30"/>
  <c r="E55" i="30"/>
  <c r="E199" i="30"/>
  <c r="D199" i="30"/>
  <c r="A152" i="30"/>
  <c r="A153" i="30"/>
  <c r="A154" i="30"/>
  <c r="A156" i="30"/>
  <c r="A157" i="30"/>
  <c r="A158" i="30"/>
  <c r="A159" i="30"/>
  <c r="A160" i="30"/>
  <c r="A161" i="30"/>
  <c r="A162" i="30"/>
  <c r="A163" i="30"/>
  <c r="A164" i="30"/>
  <c r="A165" i="30"/>
  <c r="A166" i="30"/>
  <c r="A167" i="30"/>
  <c r="A168" i="30"/>
  <c r="A170" i="30"/>
  <c r="A171" i="30"/>
  <c r="A172" i="30"/>
  <c r="A173" i="30"/>
  <c r="A174" i="30"/>
  <c r="A176" i="30"/>
  <c r="A179" i="30"/>
  <c r="A180" i="30"/>
  <c r="A181" i="30"/>
  <c r="A182" i="30"/>
  <c r="A183" i="30"/>
  <c r="A185" i="30"/>
  <c r="A188" i="30"/>
  <c r="A189" i="30"/>
  <c r="A190" i="30"/>
  <c r="A192" i="30"/>
  <c r="A193" i="30"/>
  <c r="A194" i="30"/>
  <c r="A195" i="30"/>
  <c r="A196" i="30"/>
  <c r="A197" i="30"/>
  <c r="A198" i="30"/>
  <c r="A199" i="30"/>
  <c r="A200" i="30"/>
  <c r="F55" i="30"/>
  <c r="F199" i="30"/>
  <c r="I55" i="30"/>
  <c r="A9" i="30"/>
  <c r="A10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6" i="30"/>
  <c r="A27" i="30"/>
  <c r="A28" i="30"/>
  <c r="A29" i="30"/>
  <c r="A30" i="30"/>
  <c r="A32" i="30"/>
  <c r="A35" i="30"/>
  <c r="A36" i="30"/>
  <c r="A37" i="30"/>
  <c r="A38" i="30"/>
  <c r="A39" i="30"/>
  <c r="A41" i="30"/>
  <c r="A44" i="30"/>
  <c r="A45" i="30"/>
  <c r="A46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63" i="30"/>
  <c r="A64" i="30"/>
  <c r="A65" i="30"/>
  <c r="A66" i="30"/>
  <c r="A67" i="30"/>
  <c r="A69" i="30"/>
  <c r="A70" i="30"/>
  <c r="A71" i="30"/>
  <c r="A73" i="30"/>
  <c r="A8" i="33"/>
  <c r="A9" i="33"/>
  <c r="A10" i="33"/>
  <c r="A11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8" i="33"/>
  <c r="A29" i="33"/>
  <c r="A30" i="33"/>
  <c r="A31" i="33"/>
  <c r="A32" i="33"/>
  <c r="A34" i="33"/>
  <c r="A37" i="33"/>
  <c r="A38" i="33"/>
  <c r="A39" i="33"/>
  <c r="A40" i="33"/>
  <c r="A41" i="33"/>
  <c r="A43" i="33"/>
  <c r="A46" i="33"/>
  <c r="A47" i="33"/>
  <c r="A48" i="33"/>
  <c r="A49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6" i="33"/>
  <c r="A67" i="33"/>
  <c r="A68" i="33"/>
  <c r="A69" i="33"/>
  <c r="A70" i="33"/>
  <c r="A72" i="33"/>
  <c r="A73" i="33"/>
  <c r="A74" i="33"/>
  <c r="A76" i="33"/>
  <c r="Q20" i="33"/>
  <c r="A157" i="9"/>
  <c r="A158" i="9"/>
  <c r="A159" i="9"/>
  <c r="A160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6" i="9"/>
  <c r="A177" i="9"/>
  <c r="A178" i="9"/>
  <c r="A179" i="9"/>
  <c r="A180" i="9"/>
  <c r="A182" i="9"/>
  <c r="A185" i="9"/>
  <c r="A186" i="9"/>
  <c r="A187" i="9"/>
  <c r="A188" i="9"/>
  <c r="A189" i="9"/>
  <c r="A191" i="9"/>
  <c r="A194" i="9"/>
  <c r="A195" i="9"/>
  <c r="A196" i="9"/>
  <c r="A197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4" i="9"/>
  <c r="A215" i="9"/>
  <c r="A216" i="9"/>
  <c r="A217" i="9"/>
  <c r="A218" i="9"/>
  <c r="A220" i="9"/>
  <c r="A221" i="9"/>
  <c r="A222" i="9"/>
  <c r="A224" i="9"/>
  <c r="A83" i="9"/>
  <c r="A84" i="9"/>
  <c r="A85" i="9"/>
  <c r="A86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2" i="9"/>
  <c r="A103" i="9"/>
  <c r="A104" i="9"/>
  <c r="A105" i="9"/>
  <c r="A106" i="9"/>
  <c r="A108" i="9"/>
  <c r="A111" i="9"/>
  <c r="A112" i="9"/>
  <c r="A113" i="9"/>
  <c r="A114" i="9"/>
  <c r="A115" i="9"/>
  <c r="A117" i="9"/>
  <c r="A120" i="9"/>
  <c r="A121" i="9"/>
  <c r="A122" i="9"/>
  <c r="A123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40" i="9"/>
  <c r="A141" i="9"/>
  <c r="A142" i="9"/>
  <c r="A143" i="9"/>
  <c r="A144" i="9"/>
  <c r="A146" i="9"/>
  <c r="A147" i="9"/>
  <c r="A148" i="9"/>
  <c r="A150" i="9"/>
  <c r="K47" i="9"/>
  <c r="J10" i="30"/>
  <c r="K11" i="9"/>
  <c r="J12" i="30"/>
  <c r="K13" i="9"/>
  <c r="J13" i="30"/>
  <c r="K14" i="9"/>
  <c r="J14" i="30"/>
  <c r="K15" i="9"/>
  <c r="J18" i="30"/>
  <c r="K19" i="9"/>
  <c r="J23" i="30"/>
  <c r="K24" i="9"/>
  <c r="J38" i="30"/>
  <c r="K40" i="9"/>
  <c r="J61" i="30"/>
  <c r="K64" i="9"/>
  <c r="D63" i="30"/>
  <c r="E63" i="30"/>
  <c r="F63" i="30"/>
  <c r="G63" i="30"/>
  <c r="I63" i="30"/>
  <c r="D64" i="30"/>
  <c r="E64" i="30"/>
  <c r="F64" i="30"/>
  <c r="G64" i="30"/>
  <c r="I64" i="30"/>
  <c r="D65" i="30"/>
  <c r="E65" i="30"/>
  <c r="J65" i="30"/>
  <c r="F65" i="30"/>
  <c r="G65" i="30"/>
  <c r="I65" i="30"/>
  <c r="D66" i="30"/>
  <c r="E66" i="30"/>
  <c r="F66" i="30"/>
  <c r="G66" i="30"/>
  <c r="I66" i="30"/>
  <c r="D67" i="30"/>
  <c r="J67" i="30"/>
  <c r="E67" i="30"/>
  <c r="F67" i="30"/>
  <c r="G67" i="30"/>
  <c r="I67" i="30"/>
  <c r="A8" i="9"/>
  <c r="A9" i="9"/>
  <c r="A10" i="9"/>
  <c r="A11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7" i="9"/>
  <c r="A28" i="9"/>
  <c r="A29" i="9"/>
  <c r="A30" i="9"/>
  <c r="A31" i="9"/>
  <c r="A34" i="9"/>
  <c r="A37" i="9"/>
  <c r="A38" i="9"/>
  <c r="A39" i="9"/>
  <c r="A40" i="9"/>
  <c r="A41" i="9"/>
  <c r="A43" i="9"/>
  <c r="A46" i="9"/>
  <c r="A47" i="9"/>
  <c r="A48" i="9"/>
  <c r="A49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6" i="9"/>
  <c r="A67" i="9"/>
  <c r="A68" i="9"/>
  <c r="A69" i="9"/>
  <c r="A70" i="9"/>
  <c r="A72" i="9"/>
  <c r="A73" i="9"/>
  <c r="A74" i="9"/>
  <c r="A76" i="9"/>
  <c r="J26" i="30"/>
  <c r="K27" i="9"/>
  <c r="K176" i="9"/>
  <c r="J27" i="30"/>
  <c r="K28" i="9"/>
  <c r="K177" i="9"/>
  <c r="J28" i="30"/>
  <c r="K29" i="9"/>
  <c r="J29" i="30"/>
  <c r="K30" i="9"/>
  <c r="K179" i="9"/>
  <c r="J30" i="30"/>
  <c r="K31" i="9"/>
  <c r="H14" i="19"/>
  <c r="I11" i="21"/>
  <c r="J11" i="9"/>
  <c r="I13" i="21"/>
  <c r="J13" i="9"/>
  <c r="I14" i="21"/>
  <c r="J14" i="9"/>
  <c r="I15" i="21"/>
  <c r="J15" i="9"/>
  <c r="I19" i="21"/>
  <c r="J19" i="9"/>
  <c r="I23" i="21"/>
  <c r="J24" i="9"/>
  <c r="I24" i="21"/>
  <c r="J25" i="9"/>
  <c r="I27" i="21"/>
  <c r="J28" i="9"/>
  <c r="I28" i="21"/>
  <c r="J29" i="9"/>
  <c r="I29" i="21"/>
  <c r="J30" i="9"/>
  <c r="J179" i="9"/>
  <c r="I30" i="21"/>
  <c r="E8" i="41"/>
  <c r="L8" i="9"/>
  <c r="L8" i="49"/>
  <c r="L10" i="9"/>
  <c r="L10" i="49"/>
  <c r="L11" i="9"/>
  <c r="L11" i="49"/>
  <c r="L13" i="9"/>
  <c r="L13" i="49"/>
  <c r="L14" i="9"/>
  <c r="L14" i="49"/>
  <c r="L15" i="9"/>
  <c r="L15" i="49"/>
  <c r="L16" i="9"/>
  <c r="L16" i="49"/>
  <c r="L17" i="9"/>
  <c r="L17" i="49"/>
  <c r="L18" i="9"/>
  <c r="L18" i="49"/>
  <c r="L19" i="9"/>
  <c r="L19" i="49"/>
  <c r="L57" i="49"/>
  <c r="L21" i="9"/>
  <c r="L23" i="9"/>
  <c r="L23" i="49"/>
  <c r="L24" i="9"/>
  <c r="L25" i="9"/>
  <c r="L25" i="49"/>
  <c r="L27" i="9"/>
  <c r="L28" i="9"/>
  <c r="L29" i="9"/>
  <c r="L30" i="9"/>
  <c r="L31" i="9"/>
  <c r="J8" i="39"/>
  <c r="M8" i="9"/>
  <c r="J9" i="39"/>
  <c r="M10" i="9"/>
  <c r="J10" i="39"/>
  <c r="M11" i="9"/>
  <c r="J12" i="39"/>
  <c r="M13" i="9"/>
  <c r="J13" i="39"/>
  <c r="M14" i="9"/>
  <c r="J14" i="39"/>
  <c r="M15" i="9"/>
  <c r="J15" i="39"/>
  <c r="M16" i="9"/>
  <c r="J16" i="39"/>
  <c r="M17" i="9"/>
  <c r="J17" i="39"/>
  <c r="M18" i="9"/>
  <c r="J18" i="39"/>
  <c r="M19" i="9"/>
  <c r="J19" i="39"/>
  <c r="M21" i="9"/>
  <c r="J20" i="39"/>
  <c r="M22" i="9"/>
  <c r="J21" i="39"/>
  <c r="M23" i="9"/>
  <c r="E22" i="39"/>
  <c r="J22" i="39"/>
  <c r="J23" i="39"/>
  <c r="M25" i="9"/>
  <c r="M27" i="9"/>
  <c r="J26" i="39"/>
  <c r="M28" i="9"/>
  <c r="J27" i="39"/>
  <c r="M29" i="9"/>
  <c r="J28" i="39"/>
  <c r="M30" i="9"/>
  <c r="M179" i="9"/>
  <c r="J29" i="39"/>
  <c r="M31" i="9"/>
  <c r="M180" i="9"/>
  <c r="J8" i="40"/>
  <c r="N8" i="9"/>
  <c r="J10" i="40"/>
  <c r="N11" i="9"/>
  <c r="J12" i="40"/>
  <c r="N13" i="9"/>
  <c r="J13" i="40"/>
  <c r="N14" i="9"/>
  <c r="J14" i="40"/>
  <c r="N15" i="9"/>
  <c r="J15" i="40"/>
  <c r="N16" i="9"/>
  <c r="J16" i="40"/>
  <c r="N17" i="9"/>
  <c r="J17" i="40"/>
  <c r="N18" i="9"/>
  <c r="J18" i="40"/>
  <c r="N19" i="9"/>
  <c r="J19" i="40"/>
  <c r="N21" i="9"/>
  <c r="N22" i="9"/>
  <c r="J21" i="40"/>
  <c r="N23" i="9"/>
  <c r="J22" i="40"/>
  <c r="J23" i="40"/>
  <c r="N25" i="9"/>
  <c r="J25" i="40"/>
  <c r="N27" i="9"/>
  <c r="J26" i="40"/>
  <c r="N28" i="9"/>
  <c r="N177" i="9"/>
  <c r="J27" i="40"/>
  <c r="N29" i="9"/>
  <c r="J28" i="40"/>
  <c r="N30" i="9"/>
  <c r="N179" i="9"/>
  <c r="J29" i="40"/>
  <c r="N31" i="9"/>
  <c r="N180" i="9"/>
  <c r="L111" i="9"/>
  <c r="L124" i="49"/>
  <c r="L37" i="9"/>
  <c r="L37" i="49"/>
  <c r="S20" i="33"/>
  <c r="S206" i="33"/>
  <c r="Q206" i="33"/>
  <c r="Q169" i="33"/>
  <c r="S58" i="33"/>
  <c r="Q58" i="33"/>
  <c r="K121" i="9"/>
  <c r="K195" i="9"/>
  <c r="D337" i="22"/>
  <c r="I83" i="9"/>
  <c r="I96" i="49"/>
  <c r="J83" i="9"/>
  <c r="J96" i="49"/>
  <c r="M150" i="9"/>
  <c r="M163" i="49"/>
  <c r="N150" i="9"/>
  <c r="N163" i="49"/>
  <c r="K150" i="9"/>
  <c r="K163" i="49"/>
  <c r="L150" i="9"/>
  <c r="L163" i="49"/>
  <c r="I150" i="9"/>
  <c r="I163" i="49"/>
  <c r="J150" i="9"/>
  <c r="J163" i="49"/>
  <c r="M83" i="9"/>
  <c r="M96" i="49"/>
  <c r="M84" i="33"/>
  <c r="M121" i="33"/>
  <c r="M85" i="9"/>
  <c r="M98" i="49"/>
  <c r="M135" i="49"/>
  <c r="M86" i="9"/>
  <c r="M99" i="49"/>
  <c r="M88" i="9"/>
  <c r="M101" i="49"/>
  <c r="M89" i="9"/>
  <c r="M102" i="49"/>
  <c r="M90" i="9"/>
  <c r="M103" i="49"/>
  <c r="M140" i="49"/>
  <c r="M91" i="9"/>
  <c r="M104" i="49"/>
  <c r="M92" i="9"/>
  <c r="M105" i="49"/>
  <c r="M93" i="9"/>
  <c r="M106" i="49"/>
  <c r="M94" i="9"/>
  <c r="M107" i="49"/>
  <c r="M96" i="9"/>
  <c r="M109" i="49"/>
  <c r="M111" i="9"/>
  <c r="M124" i="49"/>
  <c r="M97" i="9"/>
  <c r="M110" i="49"/>
  <c r="M112" i="9"/>
  <c r="M125" i="49"/>
  <c r="M98" i="9"/>
  <c r="M111" i="49"/>
  <c r="M113" i="9"/>
  <c r="M126" i="49"/>
  <c r="M100" i="9"/>
  <c r="M113" i="49"/>
  <c r="M115" i="9"/>
  <c r="M128" i="49"/>
  <c r="M138" i="9"/>
  <c r="M151" i="49"/>
  <c r="M102" i="9"/>
  <c r="M103" i="9"/>
  <c r="M104" i="9"/>
  <c r="M105" i="9"/>
  <c r="M106" i="9"/>
  <c r="N83" i="9"/>
  <c r="N96" i="49"/>
  <c r="N84" i="33"/>
  <c r="N121" i="33"/>
  <c r="N85" i="9"/>
  <c r="N98" i="49"/>
  <c r="N86" i="9"/>
  <c r="N99" i="49"/>
  <c r="N88" i="9"/>
  <c r="N101" i="49"/>
  <c r="N89" i="9"/>
  <c r="N102" i="49"/>
  <c r="N90" i="9"/>
  <c r="N103" i="49"/>
  <c r="N91" i="9"/>
  <c r="N104" i="49"/>
  <c r="N92" i="9"/>
  <c r="N105" i="49"/>
  <c r="N93" i="9"/>
  <c r="N106" i="49"/>
  <c r="N94" i="9"/>
  <c r="N107" i="49"/>
  <c r="N96" i="9"/>
  <c r="N109" i="49"/>
  <c r="N111" i="9"/>
  <c r="N124" i="49"/>
  <c r="N97" i="9"/>
  <c r="N110" i="49"/>
  <c r="N112" i="9"/>
  <c r="N125" i="49"/>
  <c r="N98" i="9"/>
  <c r="N111" i="49"/>
  <c r="N113" i="9"/>
  <c r="N126" i="49"/>
  <c r="N99" i="9"/>
  <c r="N112" i="49"/>
  <c r="N114" i="9"/>
  <c r="N127" i="49"/>
  <c r="N100" i="9"/>
  <c r="N113" i="49"/>
  <c r="N115" i="9"/>
  <c r="N128" i="49"/>
  <c r="N138" i="9"/>
  <c r="N151" i="49"/>
  <c r="N102" i="9"/>
  <c r="N103" i="9"/>
  <c r="N104" i="9"/>
  <c r="N105" i="9"/>
  <c r="N106" i="9"/>
  <c r="K83" i="33"/>
  <c r="K120" i="33"/>
  <c r="K85" i="33"/>
  <c r="K122" i="33"/>
  <c r="K86" i="33"/>
  <c r="K123" i="33"/>
  <c r="K88" i="33"/>
  <c r="K125" i="33"/>
  <c r="K89" i="33"/>
  <c r="K126" i="33"/>
  <c r="K90" i="33"/>
  <c r="K127" i="33"/>
  <c r="K91" i="33"/>
  <c r="K128" i="33"/>
  <c r="K92" i="33"/>
  <c r="K129" i="33"/>
  <c r="K93" i="33"/>
  <c r="K130" i="33"/>
  <c r="K94" i="33"/>
  <c r="K131" i="33"/>
  <c r="K96" i="33"/>
  <c r="K111" i="33"/>
  <c r="K97" i="33"/>
  <c r="K112" i="33"/>
  <c r="K134" i="33"/>
  <c r="K98" i="33"/>
  <c r="K113" i="33"/>
  <c r="K99" i="33"/>
  <c r="K114" i="33"/>
  <c r="K117" i="33"/>
  <c r="K100" i="33"/>
  <c r="K115" i="33"/>
  <c r="K138" i="33"/>
  <c r="K102" i="33"/>
  <c r="K140" i="33"/>
  <c r="K84" i="33"/>
  <c r="K121" i="33"/>
  <c r="L83" i="9"/>
  <c r="L96" i="49"/>
  <c r="L85" i="9"/>
  <c r="L98" i="49"/>
  <c r="L86" i="9"/>
  <c r="L99" i="49"/>
  <c r="L88" i="9"/>
  <c r="L101" i="49"/>
  <c r="L89" i="9"/>
  <c r="L102" i="49"/>
  <c r="L90" i="9"/>
  <c r="L103" i="49"/>
  <c r="L91" i="9"/>
  <c r="L104" i="49"/>
  <c r="L92" i="9"/>
  <c r="L105" i="49"/>
  <c r="L93" i="9"/>
  <c r="L106" i="49"/>
  <c r="L94" i="9"/>
  <c r="L107" i="49"/>
  <c r="L96" i="9"/>
  <c r="L109" i="49"/>
  <c r="L97" i="9"/>
  <c r="L110" i="49"/>
  <c r="L112" i="9"/>
  <c r="L125" i="49"/>
  <c r="L98" i="9"/>
  <c r="L111" i="49"/>
  <c r="L113" i="9"/>
  <c r="L126" i="49"/>
  <c r="L99" i="9"/>
  <c r="L112" i="49"/>
  <c r="L100" i="9"/>
  <c r="L113" i="49"/>
  <c r="L100" i="33"/>
  <c r="R100" i="33"/>
  <c r="L115" i="9"/>
  <c r="L128" i="49"/>
  <c r="L115" i="33"/>
  <c r="L138" i="9"/>
  <c r="L151" i="49"/>
  <c r="L102" i="9"/>
  <c r="L103" i="9"/>
  <c r="L104" i="9"/>
  <c r="L105" i="9"/>
  <c r="L106" i="9"/>
  <c r="L84" i="33"/>
  <c r="L121" i="33"/>
  <c r="I84" i="33"/>
  <c r="I121" i="33"/>
  <c r="I270" i="33"/>
  <c r="I85" i="9"/>
  <c r="I98" i="49"/>
  <c r="I85" i="33"/>
  <c r="I122" i="33"/>
  <c r="I86" i="9"/>
  <c r="I99" i="49"/>
  <c r="I88" i="9"/>
  <c r="I101" i="49"/>
  <c r="I89" i="9"/>
  <c r="I102" i="49"/>
  <c r="I90" i="9"/>
  <c r="I103" i="49"/>
  <c r="I90" i="33"/>
  <c r="I127" i="33"/>
  <c r="I91" i="9"/>
  <c r="I104" i="49"/>
  <c r="I92" i="9"/>
  <c r="I105" i="49"/>
  <c r="I93" i="9"/>
  <c r="I106" i="49"/>
  <c r="I94" i="9"/>
  <c r="I107" i="49"/>
  <c r="I94" i="33"/>
  <c r="I131" i="33"/>
  <c r="I96" i="9"/>
  <c r="I109" i="49"/>
  <c r="I111" i="9"/>
  <c r="I124" i="49"/>
  <c r="I97" i="9"/>
  <c r="I110" i="49"/>
  <c r="I97" i="33"/>
  <c r="I112" i="9"/>
  <c r="I125" i="49"/>
  <c r="I98" i="9"/>
  <c r="I111" i="49"/>
  <c r="I113" i="9"/>
  <c r="I126" i="49"/>
  <c r="I99" i="9"/>
  <c r="I112" i="49"/>
  <c r="I99" i="33"/>
  <c r="I114" i="9"/>
  <c r="I127" i="49"/>
  <c r="I114" i="33"/>
  <c r="I100" i="9"/>
  <c r="I113" i="49"/>
  <c r="I115" i="9"/>
  <c r="I128" i="49"/>
  <c r="I138" i="9"/>
  <c r="I151" i="49"/>
  <c r="I102" i="9"/>
  <c r="I103" i="9"/>
  <c r="I104" i="9"/>
  <c r="I105" i="9"/>
  <c r="I106" i="9"/>
  <c r="J85" i="9"/>
  <c r="J98" i="49"/>
  <c r="J85" i="33"/>
  <c r="J122" i="33"/>
  <c r="J86" i="9"/>
  <c r="J99" i="49"/>
  <c r="J88" i="9"/>
  <c r="J101" i="49"/>
  <c r="J89" i="9"/>
  <c r="J102" i="49"/>
  <c r="J90" i="9"/>
  <c r="J103" i="49"/>
  <c r="J91" i="9"/>
  <c r="J104" i="49"/>
  <c r="J92" i="9"/>
  <c r="J105" i="49"/>
  <c r="J93" i="9"/>
  <c r="J106" i="49"/>
  <c r="J94" i="9"/>
  <c r="J107" i="49"/>
  <c r="J96" i="9"/>
  <c r="J109" i="49"/>
  <c r="J111" i="9"/>
  <c r="J124" i="49"/>
  <c r="J97" i="9"/>
  <c r="J110" i="49"/>
  <c r="J112" i="9"/>
  <c r="J125" i="49"/>
  <c r="J98" i="9"/>
  <c r="J111" i="49"/>
  <c r="J113" i="9"/>
  <c r="J126" i="49"/>
  <c r="J99" i="9"/>
  <c r="J112" i="49"/>
  <c r="J114" i="9"/>
  <c r="J127" i="49"/>
  <c r="J100" i="9"/>
  <c r="J113" i="49"/>
  <c r="J115" i="9"/>
  <c r="J128" i="49"/>
  <c r="J138" i="9"/>
  <c r="J151" i="49"/>
  <c r="J102" i="9"/>
  <c r="J103" i="9"/>
  <c r="J104" i="9"/>
  <c r="J105" i="9"/>
  <c r="J106" i="9"/>
  <c r="J71" i="39"/>
  <c r="M76" i="9"/>
  <c r="J71" i="40"/>
  <c r="N76" i="9"/>
  <c r="J73" i="30"/>
  <c r="K76" i="9"/>
  <c r="L76" i="9"/>
  <c r="L77" i="49"/>
  <c r="J34" i="39"/>
  <c r="M37" i="9"/>
  <c r="J35" i="39"/>
  <c r="M38" i="9"/>
  <c r="J36" i="39"/>
  <c r="M39" i="9"/>
  <c r="E37" i="39"/>
  <c r="J37" i="39"/>
  <c r="J38" i="39"/>
  <c r="M41" i="9"/>
  <c r="J59" i="39"/>
  <c r="M64" i="9"/>
  <c r="M67" i="33"/>
  <c r="M216" i="33"/>
  <c r="M290" i="33"/>
  <c r="M68" i="33"/>
  <c r="M69" i="33"/>
  <c r="M218" i="33"/>
  <c r="M292" i="33"/>
  <c r="M47" i="33"/>
  <c r="J34" i="40"/>
  <c r="N37" i="9"/>
  <c r="J35" i="40"/>
  <c r="N38" i="9"/>
  <c r="J36" i="40"/>
  <c r="N39" i="9"/>
  <c r="E37" i="40"/>
  <c r="J37" i="40"/>
  <c r="J38" i="40"/>
  <c r="N41" i="9"/>
  <c r="J59" i="40"/>
  <c r="N64" i="9"/>
  <c r="N67" i="33"/>
  <c r="N216" i="33"/>
  <c r="N290" i="33"/>
  <c r="N68" i="33"/>
  <c r="N69" i="33"/>
  <c r="N218" i="33"/>
  <c r="N292" i="33"/>
  <c r="N47" i="33"/>
  <c r="K67" i="33"/>
  <c r="K216" i="33"/>
  <c r="K290" i="33"/>
  <c r="K68" i="33"/>
  <c r="K69" i="33"/>
  <c r="K218" i="33"/>
  <c r="K292" i="33"/>
  <c r="K47" i="33"/>
  <c r="L8" i="33"/>
  <c r="L46" i="33"/>
  <c r="L11" i="33"/>
  <c r="L49" i="33"/>
  <c r="L13" i="33"/>
  <c r="L51" i="33"/>
  <c r="L16" i="33"/>
  <c r="L54" i="33"/>
  <c r="L17" i="33"/>
  <c r="L55" i="33"/>
  <c r="L18" i="33"/>
  <c r="L56" i="33"/>
  <c r="L19" i="33"/>
  <c r="L57" i="33"/>
  <c r="L21" i="33"/>
  <c r="L39" i="9"/>
  <c r="L39" i="49"/>
  <c r="L24" i="33"/>
  <c r="L40" i="9"/>
  <c r="L40" i="49"/>
  <c r="L25" i="33"/>
  <c r="L41" i="9"/>
  <c r="L41" i="49"/>
  <c r="L64" i="9"/>
  <c r="L64" i="49"/>
  <c r="L28" i="33"/>
  <c r="L66" i="33"/>
  <c r="L67" i="33"/>
  <c r="L216" i="33"/>
  <c r="L290" i="33"/>
  <c r="L68" i="33"/>
  <c r="L69" i="33"/>
  <c r="L218" i="33"/>
  <c r="L292" i="33"/>
  <c r="L47" i="33"/>
  <c r="E47" i="45"/>
  <c r="I67" i="33"/>
  <c r="I216" i="33"/>
  <c r="I290" i="33"/>
  <c r="I68" i="33"/>
  <c r="I69" i="33"/>
  <c r="I218" i="33"/>
  <c r="I292" i="33"/>
  <c r="I47" i="33"/>
  <c r="I38" i="21"/>
  <c r="J40" i="9"/>
  <c r="J234" i="9"/>
  <c r="I39" i="21"/>
  <c r="J41" i="9"/>
  <c r="J235" i="9"/>
  <c r="J67" i="33"/>
  <c r="J216" i="33"/>
  <c r="J290" i="33"/>
  <c r="J68" i="33"/>
  <c r="J69" i="33"/>
  <c r="J218" i="33"/>
  <c r="J292" i="33"/>
  <c r="F47" i="45"/>
  <c r="F9" i="45"/>
  <c r="L9" i="45" s="1"/>
  <c r="M9" i="45" s="1"/>
  <c r="E9" i="45"/>
  <c r="A8" i="45"/>
  <c r="A9" i="45"/>
  <c r="A10" i="45"/>
  <c r="A11" i="45"/>
  <c r="A13" i="45"/>
  <c r="A14" i="45"/>
  <c r="A15" i="45"/>
  <c r="A16" i="45"/>
  <c r="A17" i="45"/>
  <c r="A18" i="45"/>
  <c r="A19" i="45"/>
  <c r="R115" i="33"/>
  <c r="Q85" i="33"/>
  <c r="S47" i="33"/>
  <c r="R47" i="33"/>
  <c r="S9" i="33"/>
  <c r="R9" i="33"/>
  <c r="S106" i="33"/>
  <c r="S180" i="33"/>
  <c r="R106" i="33"/>
  <c r="R180" i="33"/>
  <c r="Q106" i="33"/>
  <c r="Q180" i="33"/>
  <c r="S105" i="33"/>
  <c r="S179" i="33"/>
  <c r="R105" i="33"/>
  <c r="R179" i="33"/>
  <c r="Q105" i="33"/>
  <c r="Q179" i="33"/>
  <c r="S104" i="33"/>
  <c r="S178" i="33"/>
  <c r="R104" i="33"/>
  <c r="R178" i="33"/>
  <c r="Q104" i="33"/>
  <c r="Q178" i="33"/>
  <c r="S103" i="33"/>
  <c r="S177" i="33"/>
  <c r="R103" i="33"/>
  <c r="R177" i="33"/>
  <c r="Q103" i="33"/>
  <c r="Q177" i="33"/>
  <c r="H84" i="33"/>
  <c r="H121" i="33"/>
  <c r="F5" i="19"/>
  <c r="F8" i="19"/>
  <c r="H5" i="19"/>
  <c r="H8" i="19"/>
  <c r="F9" i="19"/>
  <c r="F10" i="19"/>
  <c r="F45" i="19"/>
  <c r="H10" i="19"/>
  <c r="F13" i="19"/>
  <c r="F48" i="19"/>
  <c r="H13" i="19"/>
  <c r="F14" i="19"/>
  <c r="I14" i="19"/>
  <c r="D5" i="19"/>
  <c r="G5" i="19"/>
  <c r="H21" i="19"/>
  <c r="F23" i="19"/>
  <c r="F38" i="19"/>
  <c r="H67" i="33"/>
  <c r="H216" i="33"/>
  <c r="H290" i="33"/>
  <c r="H68" i="33"/>
  <c r="H69" i="33"/>
  <c r="H218" i="33"/>
  <c r="H292" i="33"/>
  <c r="H47" i="33"/>
  <c r="I243" i="33"/>
  <c r="N233" i="33"/>
  <c r="L233" i="33"/>
  <c r="I233" i="33"/>
  <c r="A232" i="33"/>
  <c r="A233" i="33"/>
  <c r="A234" i="33"/>
  <c r="A235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1" i="33"/>
  <c r="A252" i="33"/>
  <c r="A253" i="33"/>
  <c r="A254" i="33"/>
  <c r="A255" i="33"/>
  <c r="A257" i="33"/>
  <c r="A260" i="33"/>
  <c r="A261" i="33"/>
  <c r="A262" i="33"/>
  <c r="A263" i="33"/>
  <c r="A264" i="33"/>
  <c r="A266" i="33"/>
  <c r="A269" i="33"/>
  <c r="A270" i="33"/>
  <c r="A271" i="33"/>
  <c r="A272" i="33"/>
  <c r="A274" i="33"/>
  <c r="A275" i="33"/>
  <c r="A276" i="33"/>
  <c r="A277" i="33"/>
  <c r="A278" i="33"/>
  <c r="A279" i="33"/>
  <c r="A280" i="33"/>
  <c r="A281" i="33"/>
  <c r="A282" i="33"/>
  <c r="A283" i="33"/>
  <c r="A284" i="33"/>
  <c r="A285" i="33"/>
  <c r="A286" i="33"/>
  <c r="A287" i="33"/>
  <c r="A289" i="33"/>
  <c r="A290" i="33"/>
  <c r="A291" i="33"/>
  <c r="A292" i="33"/>
  <c r="A293" i="33"/>
  <c r="A295" i="33"/>
  <c r="A296" i="33"/>
  <c r="A297" i="33"/>
  <c r="A299" i="33"/>
  <c r="G84" i="33"/>
  <c r="G121" i="33"/>
  <c r="G67" i="33"/>
  <c r="G68" i="33"/>
  <c r="G217" i="33"/>
  <c r="G291" i="33"/>
  <c r="G69" i="33"/>
  <c r="G47" i="33"/>
  <c r="E141" i="33"/>
  <c r="D141" i="33"/>
  <c r="N219" i="33"/>
  <c r="N293" i="33"/>
  <c r="M219" i="33"/>
  <c r="M293" i="33"/>
  <c r="L219" i="33"/>
  <c r="L293" i="33"/>
  <c r="K219" i="33"/>
  <c r="K293" i="33"/>
  <c r="J219" i="33"/>
  <c r="J293" i="33"/>
  <c r="I219" i="33"/>
  <c r="I293" i="33"/>
  <c r="H219" i="33"/>
  <c r="H293" i="33"/>
  <c r="G219" i="33"/>
  <c r="G293" i="33"/>
  <c r="F219" i="33"/>
  <c r="F293" i="33"/>
  <c r="E219" i="33"/>
  <c r="E293" i="33"/>
  <c r="D219" i="33"/>
  <c r="D293" i="33"/>
  <c r="G218" i="33"/>
  <c r="G292" i="33"/>
  <c r="N217" i="33"/>
  <c r="N291" i="33"/>
  <c r="M217" i="33"/>
  <c r="M291" i="33"/>
  <c r="L217" i="33"/>
  <c r="L291" i="33"/>
  <c r="K217" i="33"/>
  <c r="K291" i="33"/>
  <c r="J217" i="33"/>
  <c r="J291" i="33"/>
  <c r="I217" i="33"/>
  <c r="I291" i="33"/>
  <c r="H217" i="33"/>
  <c r="H291" i="33"/>
  <c r="G216" i="33"/>
  <c r="G290" i="33"/>
  <c r="F270" i="33"/>
  <c r="N180" i="33"/>
  <c r="N255" i="33"/>
  <c r="M180" i="33"/>
  <c r="M255" i="33"/>
  <c r="L180" i="33"/>
  <c r="L255" i="33"/>
  <c r="K180" i="33"/>
  <c r="K255" i="33"/>
  <c r="J180" i="33"/>
  <c r="J255" i="33"/>
  <c r="I180" i="33"/>
  <c r="I255" i="33"/>
  <c r="H180" i="33"/>
  <c r="H255" i="33"/>
  <c r="G180" i="33"/>
  <c r="G255" i="33"/>
  <c r="F180" i="33"/>
  <c r="F255" i="33"/>
  <c r="E180" i="33"/>
  <c r="E255" i="33"/>
  <c r="D180" i="33"/>
  <c r="D255" i="33"/>
  <c r="N179" i="33"/>
  <c r="N254" i="33"/>
  <c r="M179" i="33"/>
  <c r="M254" i="33"/>
  <c r="L179" i="33"/>
  <c r="L254" i="33"/>
  <c r="K179" i="33"/>
  <c r="K254" i="33"/>
  <c r="J179" i="33"/>
  <c r="J254" i="33"/>
  <c r="I179" i="33"/>
  <c r="I254" i="33"/>
  <c r="H179" i="33"/>
  <c r="H254" i="33"/>
  <c r="G179" i="33"/>
  <c r="G254" i="33"/>
  <c r="N178" i="33"/>
  <c r="N253" i="33"/>
  <c r="M178" i="33"/>
  <c r="M253" i="33"/>
  <c r="L178" i="33"/>
  <c r="L253" i="33"/>
  <c r="K178" i="33"/>
  <c r="K253" i="33"/>
  <c r="J178" i="33"/>
  <c r="J253" i="33"/>
  <c r="I178" i="33"/>
  <c r="I253" i="33"/>
  <c r="H178" i="33"/>
  <c r="H253" i="33"/>
  <c r="G178" i="33"/>
  <c r="G253" i="33"/>
  <c r="N177" i="33"/>
  <c r="N252" i="33"/>
  <c r="M177" i="33"/>
  <c r="M252" i="33"/>
  <c r="L177" i="33"/>
  <c r="L252" i="33"/>
  <c r="K177" i="33"/>
  <c r="K252" i="33"/>
  <c r="J177" i="33"/>
  <c r="J252" i="33"/>
  <c r="I177" i="33"/>
  <c r="I252" i="33"/>
  <c r="H177" i="33"/>
  <c r="H252" i="33"/>
  <c r="G177" i="33"/>
  <c r="G252" i="33"/>
  <c r="D75" i="31"/>
  <c r="F75" i="31"/>
  <c r="G75" i="31"/>
  <c r="D5" i="40"/>
  <c r="F5" i="40"/>
  <c r="G5" i="40"/>
  <c r="D5" i="39"/>
  <c r="F5" i="39"/>
  <c r="G5" i="39"/>
  <c r="D5" i="31"/>
  <c r="F5" i="31"/>
  <c r="G5" i="31"/>
  <c r="D77" i="30"/>
  <c r="F77" i="30"/>
  <c r="G77" i="30"/>
  <c r="D5" i="30"/>
  <c r="F21" i="30"/>
  <c r="F5" i="30"/>
  <c r="F8" i="30"/>
  <c r="G5" i="30"/>
  <c r="G149" i="30"/>
  <c r="D5" i="21"/>
  <c r="D149" i="21"/>
  <c r="F5" i="21"/>
  <c r="G5" i="21"/>
  <c r="H5" i="21"/>
  <c r="D75" i="20"/>
  <c r="F75" i="20"/>
  <c r="G75" i="20"/>
  <c r="H75" i="20"/>
  <c r="D5" i="20"/>
  <c r="F5" i="20"/>
  <c r="F145" i="20"/>
  <c r="G5" i="20"/>
  <c r="H5" i="20"/>
  <c r="H145" i="20"/>
  <c r="D75" i="19"/>
  <c r="F75" i="19"/>
  <c r="G75" i="19"/>
  <c r="H75" i="19"/>
  <c r="D75" i="18"/>
  <c r="F75" i="18"/>
  <c r="G75" i="18"/>
  <c r="H75" i="18"/>
  <c r="D5" i="18"/>
  <c r="F5" i="18"/>
  <c r="F145" i="18"/>
  <c r="G5" i="18"/>
  <c r="H5" i="18"/>
  <c r="H145" i="18"/>
  <c r="D73" i="17"/>
  <c r="F73" i="17"/>
  <c r="G73" i="17"/>
  <c r="H73" i="17"/>
  <c r="D5" i="17"/>
  <c r="F5" i="17"/>
  <c r="G5" i="17"/>
  <c r="H5" i="17"/>
  <c r="D73" i="16"/>
  <c r="F73" i="16"/>
  <c r="G73" i="16"/>
  <c r="H73" i="16"/>
  <c r="D5" i="16"/>
  <c r="F5" i="16"/>
  <c r="F141" i="16"/>
  <c r="G5" i="16"/>
  <c r="H5" i="16"/>
  <c r="H141" i="16"/>
  <c r="D73" i="15"/>
  <c r="F73" i="15"/>
  <c r="G73" i="15"/>
  <c r="H73" i="15"/>
  <c r="D5" i="15"/>
  <c r="F5" i="15"/>
  <c r="F141" i="15"/>
  <c r="G5" i="15"/>
  <c r="H5" i="15"/>
  <c r="H141" i="15"/>
  <c r="H47" i="21"/>
  <c r="D44" i="21"/>
  <c r="G44" i="21"/>
  <c r="D45" i="21"/>
  <c r="G45" i="21"/>
  <c r="D46" i="21"/>
  <c r="G46" i="21"/>
  <c r="D47" i="21"/>
  <c r="G47" i="21"/>
  <c r="F47" i="21"/>
  <c r="G65" i="21"/>
  <c r="D65" i="21"/>
  <c r="D49" i="21"/>
  <c r="G49" i="21"/>
  <c r="H49" i="21"/>
  <c r="D50" i="21"/>
  <c r="G50" i="21"/>
  <c r="H50" i="21"/>
  <c r="F50" i="21"/>
  <c r="D51" i="21"/>
  <c r="G51" i="21"/>
  <c r="H51" i="21"/>
  <c r="F51" i="21"/>
  <c r="D52" i="21"/>
  <c r="G52" i="21"/>
  <c r="D53" i="21"/>
  <c r="G53" i="21"/>
  <c r="D54" i="21"/>
  <c r="G54" i="21"/>
  <c r="D56" i="21"/>
  <c r="G56" i="21"/>
  <c r="D57" i="21"/>
  <c r="G57" i="21"/>
  <c r="G58" i="21"/>
  <c r="D59" i="21"/>
  <c r="G59" i="21"/>
  <c r="H59" i="21"/>
  <c r="D60" i="21"/>
  <c r="F60" i="21"/>
  <c r="H60" i="21"/>
  <c r="D63" i="21"/>
  <c r="G63" i="21"/>
  <c r="F63" i="21"/>
  <c r="D64" i="21"/>
  <c r="G64" i="21"/>
  <c r="D66" i="21"/>
  <c r="G66" i="21"/>
  <c r="D67" i="21"/>
  <c r="H55" i="21"/>
  <c r="K128" i="22"/>
  <c r="L128" i="22"/>
  <c r="K127" i="22"/>
  <c r="I43" i="40"/>
  <c r="I44" i="40"/>
  <c r="I45" i="40"/>
  <c r="I47" i="40"/>
  <c r="I48" i="40"/>
  <c r="I49" i="40"/>
  <c r="I50" i="40"/>
  <c r="I51" i="40"/>
  <c r="I52" i="40"/>
  <c r="I54" i="40"/>
  <c r="I55" i="40"/>
  <c r="I56" i="40"/>
  <c r="I61" i="40"/>
  <c r="P156" i="22"/>
  <c r="P157" i="22"/>
  <c r="M160" i="22"/>
  <c r="O160" i="22"/>
  <c r="O161" i="22"/>
  <c r="O162" i="22"/>
  <c r="O163" i="22"/>
  <c r="M157" i="22"/>
  <c r="E9" i="41"/>
  <c r="D9" i="41"/>
  <c r="F9" i="41"/>
  <c r="C11" i="41"/>
  <c r="C12" i="41"/>
  <c r="E10" i="41"/>
  <c r="D10" i="41"/>
  <c r="F10" i="41"/>
  <c r="E11" i="41"/>
  <c r="E12" i="41"/>
  <c r="D9" i="44"/>
  <c r="D10" i="44"/>
  <c r="D11" i="44"/>
  <c r="F11" i="44"/>
  <c r="G11" i="44"/>
  <c r="D12" i="44"/>
  <c r="F12" i="44"/>
  <c r="G12" i="44"/>
  <c r="D14" i="44"/>
  <c r="F14" i="44"/>
  <c r="G14" i="44"/>
  <c r="D15" i="44"/>
  <c r="F15" i="44"/>
  <c r="G15" i="44"/>
  <c r="D16" i="44"/>
  <c r="F16" i="44"/>
  <c r="D17" i="44"/>
  <c r="F17" i="44"/>
  <c r="D24" i="44"/>
  <c r="D25" i="44"/>
  <c r="D26" i="44"/>
  <c r="F26" i="44"/>
  <c r="G26" i="44"/>
  <c r="D27" i="44"/>
  <c r="F27" i="44"/>
  <c r="G27" i="44"/>
  <c r="D28" i="44"/>
  <c r="F28" i="44"/>
  <c r="G28" i="44"/>
  <c r="D29" i="44"/>
  <c r="F29" i="44"/>
  <c r="G29" i="44"/>
  <c r="D30" i="44"/>
  <c r="F30" i="44"/>
  <c r="G30" i="44"/>
  <c r="D31" i="44"/>
  <c r="F31" i="44"/>
  <c r="D32" i="44"/>
  <c r="F32" i="44"/>
  <c r="I73" i="21"/>
  <c r="J76" i="9"/>
  <c r="D31" i="20"/>
  <c r="A78" i="20"/>
  <c r="A79" i="20"/>
  <c r="A80" i="20"/>
  <c r="A82" i="20"/>
  <c r="A83" i="20"/>
  <c r="A84" i="20"/>
  <c r="A85" i="20"/>
  <c r="A86" i="20"/>
  <c r="A87" i="20"/>
  <c r="A88" i="20"/>
  <c r="A89" i="20"/>
  <c r="A90" i="20"/>
  <c r="A91" i="20"/>
  <c r="A92" i="20"/>
  <c r="A93" i="20"/>
  <c r="A95" i="20"/>
  <c r="A96" i="20"/>
  <c r="A97" i="20"/>
  <c r="A98" i="20"/>
  <c r="A99" i="20"/>
  <c r="A101" i="20"/>
  <c r="A104" i="20"/>
  <c r="A105" i="20"/>
  <c r="A106" i="20"/>
  <c r="A107" i="20"/>
  <c r="A108" i="20"/>
  <c r="A110" i="20"/>
  <c r="A113" i="20"/>
  <c r="A114" i="20"/>
  <c r="A115" i="20"/>
  <c r="A117" i="20"/>
  <c r="A118" i="20"/>
  <c r="A119" i="20"/>
  <c r="A120" i="20"/>
  <c r="A121" i="20"/>
  <c r="A122" i="20"/>
  <c r="A123" i="20"/>
  <c r="A124" i="20"/>
  <c r="A125" i="20"/>
  <c r="A126" i="20"/>
  <c r="A127" i="20"/>
  <c r="A128" i="20"/>
  <c r="A129" i="20"/>
  <c r="A131" i="20"/>
  <c r="A132" i="20"/>
  <c r="A133" i="20"/>
  <c r="A134" i="20"/>
  <c r="A135" i="20"/>
  <c r="A137" i="20"/>
  <c r="A138" i="20"/>
  <c r="A139" i="20"/>
  <c r="A141" i="20"/>
  <c r="I23" i="20"/>
  <c r="I25" i="9"/>
  <c r="I38" i="20"/>
  <c r="I41" i="9"/>
  <c r="I235" i="9"/>
  <c r="I59" i="20"/>
  <c r="I64" i="9"/>
  <c r="I21" i="20"/>
  <c r="I23" i="9"/>
  <c r="I36" i="20"/>
  <c r="I39" i="9"/>
  <c r="I233" i="9"/>
  <c r="I20" i="20"/>
  <c r="I22" i="9"/>
  <c r="I35" i="20"/>
  <c r="I38" i="9"/>
  <c r="I232" i="9"/>
  <c r="I19" i="20"/>
  <c r="I21" i="9"/>
  <c r="I34" i="20"/>
  <c r="I37" i="9"/>
  <c r="I231" i="9"/>
  <c r="I22" i="20"/>
  <c r="I24" i="9"/>
  <c r="I37" i="20"/>
  <c r="I40" i="9"/>
  <c r="I234" i="9"/>
  <c r="C408" i="22"/>
  <c r="D408" i="22"/>
  <c r="C407" i="22"/>
  <c r="D407" i="22"/>
  <c r="G407" i="22"/>
  <c r="C365" i="22"/>
  <c r="D365" i="22"/>
  <c r="C364" i="22"/>
  <c r="D364" i="22"/>
  <c r="H67" i="21"/>
  <c r="H66" i="21"/>
  <c r="H65" i="21"/>
  <c r="H64" i="21"/>
  <c r="H25" i="32"/>
  <c r="Q65" i="32"/>
  <c r="M109" i="32"/>
  <c r="H89" i="32"/>
  <c r="H116" i="32"/>
  <c r="I25" i="32"/>
  <c r="I38" i="32"/>
  <c r="N25" i="32"/>
  <c r="N38" i="32"/>
  <c r="N51" i="32"/>
  <c r="L65" i="32"/>
  <c r="L89" i="32"/>
  <c r="L95" i="32"/>
  <c r="M89" i="32"/>
  <c r="M92" i="32"/>
  <c r="M91" i="32"/>
  <c r="Q68" i="32"/>
  <c r="Q92" i="32"/>
  <c r="Q98" i="32"/>
  <c r="P68" i="32"/>
  <c r="E68" i="32"/>
  <c r="Q67" i="32"/>
  <c r="Q91" i="32"/>
  <c r="Q97" i="32"/>
  <c r="P67" i="32"/>
  <c r="E67" i="32"/>
  <c r="P18" i="32"/>
  <c r="P30" i="32"/>
  <c r="O43" i="32"/>
  <c r="K18" i="32"/>
  <c r="K30" i="32"/>
  <c r="J43" i="32"/>
  <c r="E43" i="32"/>
  <c r="C18" i="32"/>
  <c r="D18" i="32"/>
  <c r="F18" i="32"/>
  <c r="C30" i="32"/>
  <c r="F30" i="32"/>
  <c r="D30" i="32"/>
  <c r="E30" i="32"/>
  <c r="P17" i="32"/>
  <c r="P29" i="32"/>
  <c r="O42" i="32"/>
  <c r="E42" i="32"/>
  <c r="K17" i="32"/>
  <c r="K29" i="32"/>
  <c r="J42" i="32"/>
  <c r="C17" i="32"/>
  <c r="F17" i="32"/>
  <c r="F42" i="32"/>
  <c r="D17" i="32"/>
  <c r="G17" i="32"/>
  <c r="C29" i="32"/>
  <c r="D29" i="32"/>
  <c r="E29" i="32"/>
  <c r="F29" i="32"/>
  <c r="Q30" i="32"/>
  <c r="L30" i="32"/>
  <c r="Q29" i="32"/>
  <c r="L29" i="32"/>
  <c r="G29" i="32"/>
  <c r="Q18" i="32"/>
  <c r="L18" i="32"/>
  <c r="E18" i="32"/>
  <c r="Q17" i="32"/>
  <c r="L17" i="32"/>
  <c r="E17" i="32"/>
  <c r="C16" i="32"/>
  <c r="I29" i="20"/>
  <c r="M158" i="22"/>
  <c r="G158" i="22"/>
  <c r="G144" i="22"/>
  <c r="G159" i="22"/>
  <c r="G145" i="22"/>
  <c r="G160" i="22"/>
  <c r="G146" i="22"/>
  <c r="G161" i="22"/>
  <c r="G147" i="22"/>
  <c r="G157" i="22"/>
  <c r="G143" i="22"/>
  <c r="L157" i="22"/>
  <c r="K160" i="22"/>
  <c r="K159" i="22"/>
  <c r="K158" i="22"/>
  <c r="E56" i="39"/>
  <c r="G176" i="30"/>
  <c r="B16" i="23"/>
  <c r="H4" i="25"/>
  <c r="H13" i="25"/>
  <c r="G4" i="25"/>
  <c r="G5" i="25"/>
  <c r="G17" i="25"/>
  <c r="G6" i="25"/>
  <c r="G13" i="25"/>
  <c r="G14" i="25"/>
  <c r="H5" i="25"/>
  <c r="H17" i="25"/>
  <c r="H6" i="25"/>
  <c r="H9" i="25"/>
  <c r="H14" i="25"/>
  <c r="F4" i="25"/>
  <c r="F13" i="25"/>
  <c r="N158" i="33"/>
  <c r="M158" i="33"/>
  <c r="D75" i="40"/>
  <c r="F75" i="40"/>
  <c r="F145" i="40"/>
  <c r="G75" i="40"/>
  <c r="G145" i="40"/>
  <c r="D64" i="40"/>
  <c r="G64" i="40"/>
  <c r="D63" i="40"/>
  <c r="G63" i="40"/>
  <c r="D62" i="40"/>
  <c r="G62" i="40"/>
  <c r="D61" i="40"/>
  <c r="F61" i="40"/>
  <c r="G61" i="40"/>
  <c r="D75" i="39"/>
  <c r="F75" i="39"/>
  <c r="F145" i="39"/>
  <c r="G75" i="39"/>
  <c r="D64" i="39"/>
  <c r="G64" i="39"/>
  <c r="G204" i="39"/>
  <c r="D63" i="39"/>
  <c r="G63" i="39"/>
  <c r="D62" i="39"/>
  <c r="G62" i="39"/>
  <c r="F61" i="39"/>
  <c r="G61" i="39"/>
  <c r="N47" i="9"/>
  <c r="N120" i="9"/>
  <c r="N121" i="9"/>
  <c r="N195" i="9"/>
  <c r="N122" i="9"/>
  <c r="N123" i="9"/>
  <c r="N125" i="9"/>
  <c r="N126" i="9"/>
  <c r="N127" i="9"/>
  <c r="N128" i="9"/>
  <c r="N129" i="9"/>
  <c r="N130" i="9"/>
  <c r="N131" i="9"/>
  <c r="N133" i="9"/>
  <c r="N134" i="9"/>
  <c r="N135" i="9"/>
  <c r="N136" i="9"/>
  <c r="N137" i="9"/>
  <c r="M47" i="9"/>
  <c r="M195" i="9"/>
  <c r="M120" i="9"/>
  <c r="M121" i="9"/>
  <c r="M122" i="9"/>
  <c r="M123" i="9"/>
  <c r="M125" i="9"/>
  <c r="M126" i="9"/>
  <c r="M127" i="9"/>
  <c r="M128" i="9"/>
  <c r="M129" i="9"/>
  <c r="M130" i="9"/>
  <c r="M131" i="9"/>
  <c r="M133" i="9"/>
  <c r="M134" i="9"/>
  <c r="M135" i="9"/>
  <c r="M137" i="9"/>
  <c r="N117" i="9"/>
  <c r="N108" i="9"/>
  <c r="N178" i="9"/>
  <c r="M178" i="9"/>
  <c r="M176" i="9"/>
  <c r="N158" i="9"/>
  <c r="M158" i="9"/>
  <c r="A8" i="40"/>
  <c r="A9" i="40"/>
  <c r="A10" i="40"/>
  <c r="A12" i="40"/>
  <c r="A13" i="40"/>
  <c r="A14" i="40"/>
  <c r="A15" i="40"/>
  <c r="A16" i="40"/>
  <c r="A17" i="40"/>
  <c r="A18" i="40"/>
  <c r="A19" i="40"/>
  <c r="A20" i="40"/>
  <c r="A21" i="40"/>
  <c r="A22" i="40"/>
  <c r="A23" i="40"/>
  <c r="A25" i="40"/>
  <c r="A26" i="40"/>
  <c r="A27" i="40"/>
  <c r="A28" i="40"/>
  <c r="A29" i="40"/>
  <c r="A31" i="40"/>
  <c r="A34" i="40"/>
  <c r="A35" i="40"/>
  <c r="A36" i="40"/>
  <c r="A37" i="40"/>
  <c r="A38" i="40"/>
  <c r="A40" i="40"/>
  <c r="A43" i="40"/>
  <c r="A44" i="40"/>
  <c r="A45" i="40"/>
  <c r="A47" i="40"/>
  <c r="A48" i="40"/>
  <c r="A49" i="40"/>
  <c r="A50" i="40"/>
  <c r="A51" i="40"/>
  <c r="A52" i="40"/>
  <c r="A53" i="40"/>
  <c r="A54" i="40"/>
  <c r="A55" i="40"/>
  <c r="A56" i="40"/>
  <c r="A57" i="40"/>
  <c r="A58" i="40"/>
  <c r="A59" i="40"/>
  <c r="A61" i="40"/>
  <c r="A62" i="40"/>
  <c r="A63" i="40"/>
  <c r="A64" i="40"/>
  <c r="A65" i="40"/>
  <c r="A67" i="40"/>
  <c r="A68" i="40"/>
  <c r="A69" i="40"/>
  <c r="A71" i="40"/>
  <c r="D31" i="40"/>
  <c r="D171" i="40"/>
  <c r="E31" i="40"/>
  <c r="E171" i="40"/>
  <c r="F31" i="40"/>
  <c r="G31" i="40"/>
  <c r="G171" i="40"/>
  <c r="I31" i="40"/>
  <c r="D40" i="40"/>
  <c r="D180" i="40"/>
  <c r="E40" i="40"/>
  <c r="E180" i="40"/>
  <c r="F40" i="40"/>
  <c r="G40" i="40"/>
  <c r="G180" i="40"/>
  <c r="I40" i="40"/>
  <c r="D43" i="40"/>
  <c r="E43" i="40"/>
  <c r="F43" i="40"/>
  <c r="G43" i="40"/>
  <c r="D44" i="40"/>
  <c r="J44" i="40"/>
  <c r="J184" i="40"/>
  <c r="E44" i="40"/>
  <c r="F44" i="40"/>
  <c r="F184" i="40"/>
  <c r="G44" i="40"/>
  <c r="G184" i="40"/>
  <c r="D45" i="40"/>
  <c r="E45" i="40"/>
  <c r="F45" i="40"/>
  <c r="G45" i="40"/>
  <c r="D47" i="40"/>
  <c r="E47" i="40"/>
  <c r="E187" i="40"/>
  <c r="F47" i="40"/>
  <c r="G47" i="40"/>
  <c r="G187" i="40"/>
  <c r="D48" i="40"/>
  <c r="E48" i="40"/>
  <c r="F48" i="40"/>
  <c r="G48" i="40"/>
  <c r="D49" i="40"/>
  <c r="E49" i="40"/>
  <c r="J49" i="40"/>
  <c r="J189" i="40"/>
  <c r="F49" i="40"/>
  <c r="G49" i="40"/>
  <c r="G189" i="40"/>
  <c r="D50" i="40"/>
  <c r="E50" i="40"/>
  <c r="J50" i="40"/>
  <c r="J190" i="40"/>
  <c r="F50" i="40"/>
  <c r="G50" i="40"/>
  <c r="D51" i="40"/>
  <c r="E51" i="40"/>
  <c r="J51" i="40"/>
  <c r="J191" i="40"/>
  <c r="F51" i="40"/>
  <c r="G51" i="40"/>
  <c r="G191" i="40"/>
  <c r="D52" i="40"/>
  <c r="E52" i="40"/>
  <c r="J52" i="40"/>
  <c r="J192" i="40"/>
  <c r="F52" i="40"/>
  <c r="G52" i="40"/>
  <c r="D53" i="40"/>
  <c r="E53" i="40"/>
  <c r="E193" i="40"/>
  <c r="F53" i="40"/>
  <c r="G53" i="40"/>
  <c r="G193" i="40"/>
  <c r="I53" i="40"/>
  <c r="J53" i="40"/>
  <c r="J193" i="40"/>
  <c r="D54" i="40"/>
  <c r="E54" i="40"/>
  <c r="F54" i="40"/>
  <c r="F194" i="40"/>
  <c r="G54" i="40"/>
  <c r="J54" i="40"/>
  <c r="J194" i="40"/>
  <c r="D55" i="40"/>
  <c r="D67" i="40"/>
  <c r="E55" i="40"/>
  <c r="E195" i="40"/>
  <c r="F55" i="40"/>
  <c r="G55" i="40"/>
  <c r="D56" i="40"/>
  <c r="E56" i="40"/>
  <c r="J56" i="40"/>
  <c r="J196" i="40"/>
  <c r="F56" i="40"/>
  <c r="G56" i="40"/>
  <c r="G196" i="40"/>
  <c r="D57" i="40"/>
  <c r="E57" i="40"/>
  <c r="E197" i="40"/>
  <c r="F57" i="40"/>
  <c r="G57" i="40"/>
  <c r="I57" i="40"/>
  <c r="I67" i="40"/>
  <c r="I68" i="40"/>
  <c r="I208" i="40"/>
  <c r="E58" i="40"/>
  <c r="G58" i="40"/>
  <c r="I58" i="40"/>
  <c r="I198" i="40"/>
  <c r="E61" i="40"/>
  <c r="E62" i="40"/>
  <c r="J62" i="40"/>
  <c r="F62" i="40"/>
  <c r="I62" i="40"/>
  <c r="I202" i="40"/>
  <c r="E63" i="40"/>
  <c r="F63" i="40"/>
  <c r="I63" i="40"/>
  <c r="J63" i="40"/>
  <c r="E64" i="40"/>
  <c r="F64" i="40"/>
  <c r="F204" i="40"/>
  <c r="I64" i="40"/>
  <c r="E65" i="40"/>
  <c r="J65" i="40"/>
  <c r="F65" i="40"/>
  <c r="F205" i="40"/>
  <c r="G65" i="40"/>
  <c r="I65" i="40"/>
  <c r="I205" i="40"/>
  <c r="D145" i="40"/>
  <c r="E145" i="40"/>
  <c r="I145" i="40"/>
  <c r="A148" i="40"/>
  <c r="D148" i="40"/>
  <c r="E148" i="40"/>
  <c r="F148" i="40"/>
  <c r="G148" i="40"/>
  <c r="I148" i="40"/>
  <c r="A149" i="40"/>
  <c r="A150" i="40"/>
  <c r="A152" i="40"/>
  <c r="A153" i="40"/>
  <c r="A154" i="40"/>
  <c r="A155" i="40"/>
  <c r="A156" i="40"/>
  <c r="A157" i="40"/>
  <c r="A158" i="40"/>
  <c r="A159" i="40"/>
  <c r="A160" i="40"/>
  <c r="A161" i="40"/>
  <c r="A162" i="40"/>
  <c r="A163" i="40"/>
  <c r="A165" i="40"/>
  <c r="A166" i="40"/>
  <c r="A167" i="40"/>
  <c r="A168" i="40"/>
  <c r="A169" i="40"/>
  <c r="A171" i="40"/>
  <c r="A174" i="40"/>
  <c r="A175" i="40"/>
  <c r="A176" i="40"/>
  <c r="A177" i="40"/>
  <c r="A178" i="40"/>
  <c r="A180" i="40"/>
  <c r="A183" i="40"/>
  <c r="A184" i="40"/>
  <c r="A185" i="40"/>
  <c r="A187" i="40"/>
  <c r="A188" i="40"/>
  <c r="A189" i="40"/>
  <c r="A190" i="40"/>
  <c r="A191" i="40"/>
  <c r="A192" i="40"/>
  <c r="A193" i="40"/>
  <c r="A194" i="40"/>
  <c r="A195" i="40"/>
  <c r="A196" i="40"/>
  <c r="A197" i="40"/>
  <c r="A198" i="40"/>
  <c r="A199" i="40"/>
  <c r="A201" i="40"/>
  <c r="A202" i="40"/>
  <c r="A203" i="40"/>
  <c r="A204" i="40"/>
  <c r="A205" i="40"/>
  <c r="A207" i="40"/>
  <c r="A208" i="40"/>
  <c r="A209" i="40"/>
  <c r="A211" i="40"/>
  <c r="D149" i="40"/>
  <c r="E149" i="40"/>
  <c r="F149" i="40"/>
  <c r="G149" i="40"/>
  <c r="I149" i="40"/>
  <c r="D150" i="40"/>
  <c r="E150" i="40"/>
  <c r="F150" i="40"/>
  <c r="G150" i="40"/>
  <c r="I150" i="40"/>
  <c r="J150" i="40"/>
  <c r="D152" i="40"/>
  <c r="E152" i="40"/>
  <c r="F152" i="40"/>
  <c r="G152" i="40"/>
  <c r="I152" i="40"/>
  <c r="J152" i="40"/>
  <c r="D153" i="40"/>
  <c r="E153" i="40"/>
  <c r="F153" i="40"/>
  <c r="G153" i="40"/>
  <c r="I153" i="40"/>
  <c r="D154" i="40"/>
  <c r="E154" i="40"/>
  <c r="F154" i="40"/>
  <c r="G154" i="40"/>
  <c r="I154" i="40"/>
  <c r="J154" i="40"/>
  <c r="D155" i="40"/>
  <c r="E155" i="40"/>
  <c r="F155" i="40"/>
  <c r="G155" i="40"/>
  <c r="I155" i="40"/>
  <c r="J155" i="40"/>
  <c r="D156" i="40"/>
  <c r="E156" i="40"/>
  <c r="F156" i="40"/>
  <c r="G156" i="40"/>
  <c r="I156" i="40"/>
  <c r="J156" i="40"/>
  <c r="D157" i="40"/>
  <c r="E157" i="40"/>
  <c r="F157" i="40"/>
  <c r="G157" i="40"/>
  <c r="I157" i="40"/>
  <c r="J157" i="40"/>
  <c r="D158" i="40"/>
  <c r="E158" i="40"/>
  <c r="F158" i="40"/>
  <c r="G158" i="40"/>
  <c r="I158" i="40"/>
  <c r="J158" i="40"/>
  <c r="D159" i="40"/>
  <c r="E159" i="40"/>
  <c r="F159" i="40"/>
  <c r="G159" i="40"/>
  <c r="I159" i="40"/>
  <c r="J159" i="40"/>
  <c r="D160" i="40"/>
  <c r="E160" i="40"/>
  <c r="F160" i="40"/>
  <c r="G160" i="40"/>
  <c r="I160" i="40"/>
  <c r="J160" i="40"/>
  <c r="D161" i="40"/>
  <c r="E161" i="40"/>
  <c r="F161" i="40"/>
  <c r="G161" i="40"/>
  <c r="I161" i="40"/>
  <c r="J161" i="40"/>
  <c r="D162" i="40"/>
  <c r="E162" i="40"/>
  <c r="F162" i="40"/>
  <c r="G162" i="40"/>
  <c r="I162" i="40"/>
  <c r="D163" i="40"/>
  <c r="E163" i="40"/>
  <c r="F163" i="40"/>
  <c r="G163" i="40"/>
  <c r="I163" i="40"/>
  <c r="J163" i="40"/>
  <c r="D165" i="40"/>
  <c r="E165" i="40"/>
  <c r="F165" i="40"/>
  <c r="G165" i="40"/>
  <c r="I165" i="40"/>
  <c r="J165" i="40"/>
  <c r="D166" i="40"/>
  <c r="E166" i="40"/>
  <c r="F166" i="40"/>
  <c r="G166" i="40"/>
  <c r="I166" i="40"/>
  <c r="J166" i="40"/>
  <c r="D167" i="40"/>
  <c r="E167" i="40"/>
  <c r="F167" i="40"/>
  <c r="G167" i="40"/>
  <c r="I167" i="40"/>
  <c r="J167" i="40"/>
  <c r="D168" i="40"/>
  <c r="E168" i="40"/>
  <c r="F168" i="40"/>
  <c r="G168" i="40"/>
  <c r="I168" i="40"/>
  <c r="J168" i="40"/>
  <c r="D169" i="40"/>
  <c r="E169" i="40"/>
  <c r="F169" i="40"/>
  <c r="G169" i="40"/>
  <c r="I169" i="40"/>
  <c r="J169" i="40"/>
  <c r="F171" i="40"/>
  <c r="I171" i="40"/>
  <c r="D174" i="40"/>
  <c r="E174" i="40"/>
  <c r="F174" i="40"/>
  <c r="G174" i="40"/>
  <c r="I174" i="40"/>
  <c r="J174" i="40"/>
  <c r="D175" i="40"/>
  <c r="E175" i="40"/>
  <c r="F175" i="40"/>
  <c r="G175" i="40"/>
  <c r="I175" i="40"/>
  <c r="J175" i="40"/>
  <c r="D176" i="40"/>
  <c r="E176" i="40"/>
  <c r="F176" i="40"/>
  <c r="G176" i="40"/>
  <c r="I176" i="40"/>
  <c r="J176" i="40"/>
  <c r="D177" i="40"/>
  <c r="E177" i="40"/>
  <c r="F177" i="40"/>
  <c r="G177" i="40"/>
  <c r="I177" i="40"/>
  <c r="D178" i="40"/>
  <c r="E178" i="40"/>
  <c r="F178" i="40"/>
  <c r="G178" i="40"/>
  <c r="I178" i="40"/>
  <c r="J178" i="40"/>
  <c r="F180" i="40"/>
  <c r="I180" i="40"/>
  <c r="E183" i="40"/>
  <c r="F183" i="40"/>
  <c r="G183" i="40"/>
  <c r="I183" i="40"/>
  <c r="E184" i="40"/>
  <c r="I184" i="40"/>
  <c r="D185" i="40"/>
  <c r="E185" i="40"/>
  <c r="F185" i="40"/>
  <c r="G185" i="40"/>
  <c r="I185" i="40"/>
  <c r="D187" i="40"/>
  <c r="F187" i="40"/>
  <c r="I187" i="40"/>
  <c r="D188" i="40"/>
  <c r="E188" i="40"/>
  <c r="F188" i="40"/>
  <c r="G188" i="40"/>
  <c r="I188" i="40"/>
  <c r="D189" i="40"/>
  <c r="F189" i="40"/>
  <c r="I189" i="40"/>
  <c r="D190" i="40"/>
  <c r="E190" i="40"/>
  <c r="F190" i="40"/>
  <c r="G190" i="40"/>
  <c r="I190" i="40"/>
  <c r="D191" i="40"/>
  <c r="F191" i="40"/>
  <c r="I191" i="40"/>
  <c r="D192" i="40"/>
  <c r="E192" i="40"/>
  <c r="F192" i="40"/>
  <c r="G192" i="40"/>
  <c r="I192" i="40"/>
  <c r="D193" i="40"/>
  <c r="F193" i="40"/>
  <c r="I193" i="40"/>
  <c r="D194" i="40"/>
  <c r="E194" i="40"/>
  <c r="G194" i="40"/>
  <c r="I194" i="40"/>
  <c r="D195" i="40"/>
  <c r="F195" i="40"/>
  <c r="G195" i="40"/>
  <c r="I195" i="40"/>
  <c r="D196" i="40"/>
  <c r="F196" i="40"/>
  <c r="I196" i="40"/>
  <c r="D197" i="40"/>
  <c r="F197" i="40"/>
  <c r="G197" i="40"/>
  <c r="I197" i="40"/>
  <c r="D198" i="40"/>
  <c r="E198" i="40"/>
  <c r="F198" i="40"/>
  <c r="G198" i="40"/>
  <c r="D199" i="40"/>
  <c r="E199" i="40"/>
  <c r="F199" i="40"/>
  <c r="G199" i="40"/>
  <c r="I199" i="40"/>
  <c r="J199" i="40"/>
  <c r="D201" i="40"/>
  <c r="E201" i="40"/>
  <c r="F201" i="40"/>
  <c r="G201" i="40"/>
  <c r="I201" i="40"/>
  <c r="D202" i="40"/>
  <c r="E202" i="40"/>
  <c r="F202" i="40"/>
  <c r="G202" i="40"/>
  <c r="D203" i="40"/>
  <c r="E203" i="40"/>
  <c r="F203" i="40"/>
  <c r="G203" i="40"/>
  <c r="I203" i="40"/>
  <c r="D204" i="40"/>
  <c r="E204" i="40"/>
  <c r="I204" i="40"/>
  <c r="D205" i="40"/>
  <c r="E205" i="40"/>
  <c r="G205" i="40"/>
  <c r="D211" i="40"/>
  <c r="E211" i="40"/>
  <c r="F211" i="40"/>
  <c r="G211" i="40"/>
  <c r="I211" i="40"/>
  <c r="A8" i="39"/>
  <c r="A9" i="39"/>
  <c r="A10" i="39"/>
  <c r="A12" i="39"/>
  <c r="A13" i="39"/>
  <c r="A14" i="39"/>
  <c r="A15" i="39"/>
  <c r="A16" i="39"/>
  <c r="A17" i="39"/>
  <c r="A18" i="39"/>
  <c r="A19" i="39"/>
  <c r="A20" i="39"/>
  <c r="A21" i="39"/>
  <c r="A22" i="39"/>
  <c r="A23" i="39"/>
  <c r="A25" i="39"/>
  <c r="A26" i="39"/>
  <c r="A27" i="39"/>
  <c r="A28" i="39"/>
  <c r="A29" i="39"/>
  <c r="A31" i="39"/>
  <c r="A34" i="39"/>
  <c r="A35" i="39"/>
  <c r="A36" i="39"/>
  <c r="A37" i="39"/>
  <c r="A38" i="39"/>
  <c r="A40" i="39"/>
  <c r="A43" i="39"/>
  <c r="A44" i="39"/>
  <c r="A45" i="39"/>
  <c r="A47" i="39"/>
  <c r="A48" i="39"/>
  <c r="A49" i="39"/>
  <c r="A50" i="39"/>
  <c r="A51" i="39"/>
  <c r="A52" i="39"/>
  <c r="A53" i="39"/>
  <c r="A54" i="39"/>
  <c r="A55" i="39"/>
  <c r="A56" i="39"/>
  <c r="A57" i="39"/>
  <c r="A58" i="39"/>
  <c r="A59" i="39"/>
  <c r="A61" i="39"/>
  <c r="A62" i="39"/>
  <c r="A63" i="39"/>
  <c r="A64" i="39"/>
  <c r="A65" i="39"/>
  <c r="A67" i="39"/>
  <c r="A68" i="39"/>
  <c r="A69" i="39"/>
  <c r="A71" i="39"/>
  <c r="E31" i="39"/>
  <c r="E171" i="39"/>
  <c r="F31" i="39"/>
  <c r="F171" i="39"/>
  <c r="G31" i="39"/>
  <c r="G171" i="39"/>
  <c r="D40" i="39"/>
  <c r="D180" i="39"/>
  <c r="F40" i="39"/>
  <c r="G40" i="39"/>
  <c r="D43" i="39"/>
  <c r="E43" i="39"/>
  <c r="E183" i="39"/>
  <c r="F43" i="39"/>
  <c r="F183" i="39"/>
  <c r="G43" i="39"/>
  <c r="D44" i="39"/>
  <c r="E44" i="39"/>
  <c r="F44" i="39"/>
  <c r="G44" i="39"/>
  <c r="J44" i="39"/>
  <c r="J184" i="39"/>
  <c r="D45" i="39"/>
  <c r="E45" i="39"/>
  <c r="F45" i="39"/>
  <c r="G45" i="39"/>
  <c r="J45" i="39"/>
  <c r="J185" i="39"/>
  <c r="D47" i="39"/>
  <c r="E47" i="39"/>
  <c r="F47" i="39"/>
  <c r="G47" i="39"/>
  <c r="J47" i="39"/>
  <c r="J187" i="39"/>
  <c r="D48" i="39"/>
  <c r="E48" i="39"/>
  <c r="F48" i="39"/>
  <c r="G48" i="39"/>
  <c r="D49" i="39"/>
  <c r="D189" i="39"/>
  <c r="E49" i="39"/>
  <c r="F49" i="39"/>
  <c r="F189" i="39"/>
  <c r="G49" i="39"/>
  <c r="G189" i="39"/>
  <c r="D50" i="39"/>
  <c r="E50" i="39"/>
  <c r="F50" i="39"/>
  <c r="G50" i="39"/>
  <c r="D51" i="39"/>
  <c r="E51" i="39"/>
  <c r="F51" i="39"/>
  <c r="G51" i="39"/>
  <c r="D52" i="39"/>
  <c r="D192" i="39"/>
  <c r="E52" i="39"/>
  <c r="F52" i="39"/>
  <c r="G52" i="39"/>
  <c r="D53" i="39"/>
  <c r="D193" i="39"/>
  <c r="E53" i="39"/>
  <c r="J53" i="39"/>
  <c r="J193" i="39"/>
  <c r="F53" i="39"/>
  <c r="G53" i="39"/>
  <c r="D54" i="39"/>
  <c r="E54" i="39"/>
  <c r="F54" i="39"/>
  <c r="F194" i="39"/>
  <c r="G54" i="39"/>
  <c r="F55" i="39"/>
  <c r="G55" i="39"/>
  <c r="D56" i="39"/>
  <c r="F56" i="39"/>
  <c r="F196" i="39"/>
  <c r="G56" i="39"/>
  <c r="G196" i="39"/>
  <c r="D57" i="39"/>
  <c r="F57" i="39"/>
  <c r="G57" i="39"/>
  <c r="E58" i="39"/>
  <c r="G58" i="39"/>
  <c r="J58" i="39"/>
  <c r="E61" i="39"/>
  <c r="E62" i="39"/>
  <c r="J62" i="39"/>
  <c r="F62" i="39"/>
  <c r="E63" i="39"/>
  <c r="J63" i="39"/>
  <c r="F63" i="39"/>
  <c r="E64" i="39"/>
  <c r="J64" i="39"/>
  <c r="M69" i="9"/>
  <c r="F64" i="39"/>
  <c r="E65" i="39"/>
  <c r="J65" i="39"/>
  <c r="F65" i="39"/>
  <c r="G65" i="39"/>
  <c r="E145" i="39"/>
  <c r="G145" i="39"/>
  <c r="I145" i="39"/>
  <c r="A148" i="39"/>
  <c r="D148" i="39"/>
  <c r="E148" i="39"/>
  <c r="F148" i="39"/>
  <c r="G148" i="39"/>
  <c r="I148" i="39"/>
  <c r="J148" i="39"/>
  <c r="A149" i="39"/>
  <c r="A150" i="39"/>
  <c r="A152" i="39"/>
  <c r="A153" i="39"/>
  <c r="A154" i="39"/>
  <c r="A155" i="39"/>
  <c r="A156" i="39"/>
  <c r="A157" i="39"/>
  <c r="A158" i="39"/>
  <c r="A159" i="39"/>
  <c r="A160" i="39"/>
  <c r="A161" i="39"/>
  <c r="A162" i="39"/>
  <c r="A163" i="39"/>
  <c r="A165" i="39"/>
  <c r="A166" i="39"/>
  <c r="A167" i="39"/>
  <c r="A168" i="39"/>
  <c r="A169" i="39"/>
  <c r="A171" i="39"/>
  <c r="A174" i="39"/>
  <c r="A175" i="39"/>
  <c r="A176" i="39"/>
  <c r="A177" i="39"/>
  <c r="A178" i="39"/>
  <c r="A180" i="39"/>
  <c r="A183" i="39"/>
  <c r="A184" i="39"/>
  <c r="A185" i="39"/>
  <c r="A187" i="39"/>
  <c r="A188" i="39"/>
  <c r="A189" i="39"/>
  <c r="A190" i="39"/>
  <c r="A191" i="39"/>
  <c r="A192" i="39"/>
  <c r="A193" i="39"/>
  <c r="A194" i="39"/>
  <c r="A195" i="39"/>
  <c r="A196" i="39"/>
  <c r="A197" i="39"/>
  <c r="A198" i="39"/>
  <c r="A199" i="39"/>
  <c r="A201" i="39"/>
  <c r="A202" i="39"/>
  <c r="A203" i="39"/>
  <c r="A204" i="39"/>
  <c r="A205" i="39"/>
  <c r="A207" i="39"/>
  <c r="A208" i="39"/>
  <c r="A209" i="39"/>
  <c r="A211" i="39"/>
  <c r="D149" i="39"/>
  <c r="E149" i="39"/>
  <c r="F149" i="39"/>
  <c r="G149" i="39"/>
  <c r="I149" i="39"/>
  <c r="J149" i="39"/>
  <c r="D150" i="39"/>
  <c r="E150" i="39"/>
  <c r="F150" i="39"/>
  <c r="G150" i="39"/>
  <c r="I150" i="39"/>
  <c r="J150" i="39"/>
  <c r="D152" i="39"/>
  <c r="E152" i="39"/>
  <c r="F152" i="39"/>
  <c r="G152" i="39"/>
  <c r="I152" i="39"/>
  <c r="J152" i="39"/>
  <c r="D153" i="39"/>
  <c r="E153" i="39"/>
  <c r="F153" i="39"/>
  <c r="G153" i="39"/>
  <c r="I153" i="39"/>
  <c r="D154" i="39"/>
  <c r="E154" i="39"/>
  <c r="F154" i="39"/>
  <c r="G154" i="39"/>
  <c r="I154" i="39"/>
  <c r="D155" i="39"/>
  <c r="E155" i="39"/>
  <c r="F155" i="39"/>
  <c r="G155" i="39"/>
  <c r="I155" i="39"/>
  <c r="D156" i="39"/>
  <c r="E156" i="39"/>
  <c r="F156" i="39"/>
  <c r="G156" i="39"/>
  <c r="I156" i="39"/>
  <c r="J156" i="39"/>
  <c r="D157" i="39"/>
  <c r="E157" i="39"/>
  <c r="F157" i="39"/>
  <c r="G157" i="39"/>
  <c r="I157" i="39"/>
  <c r="D158" i="39"/>
  <c r="E158" i="39"/>
  <c r="F158" i="39"/>
  <c r="G158" i="39"/>
  <c r="I158" i="39"/>
  <c r="J158" i="39"/>
  <c r="D159" i="39"/>
  <c r="E159" i="39"/>
  <c r="F159" i="39"/>
  <c r="G159" i="39"/>
  <c r="I159" i="39"/>
  <c r="D160" i="39"/>
  <c r="E160" i="39"/>
  <c r="F160" i="39"/>
  <c r="G160" i="39"/>
  <c r="I160" i="39"/>
  <c r="J160" i="39"/>
  <c r="D161" i="39"/>
  <c r="E161" i="39"/>
  <c r="F161" i="39"/>
  <c r="G161" i="39"/>
  <c r="I161" i="39"/>
  <c r="D162" i="39"/>
  <c r="E162" i="39"/>
  <c r="F162" i="39"/>
  <c r="G162" i="39"/>
  <c r="I162" i="39"/>
  <c r="D163" i="39"/>
  <c r="E163" i="39"/>
  <c r="F163" i="39"/>
  <c r="G163" i="39"/>
  <c r="I163" i="39"/>
  <c r="J163" i="39"/>
  <c r="D165" i="39"/>
  <c r="E165" i="39"/>
  <c r="F165" i="39"/>
  <c r="G165" i="39"/>
  <c r="I165" i="39"/>
  <c r="J165" i="39"/>
  <c r="D166" i="39"/>
  <c r="E166" i="39"/>
  <c r="F166" i="39"/>
  <c r="G166" i="39"/>
  <c r="I166" i="39"/>
  <c r="J166" i="39"/>
  <c r="D167" i="39"/>
  <c r="E167" i="39"/>
  <c r="F167" i="39"/>
  <c r="G167" i="39"/>
  <c r="I167" i="39"/>
  <c r="J167" i="39"/>
  <c r="D168" i="39"/>
  <c r="E168" i="39"/>
  <c r="F168" i="39"/>
  <c r="G168" i="39"/>
  <c r="I168" i="39"/>
  <c r="D169" i="39"/>
  <c r="E169" i="39"/>
  <c r="F169" i="39"/>
  <c r="G169" i="39"/>
  <c r="I169" i="39"/>
  <c r="J169" i="39"/>
  <c r="D171" i="39"/>
  <c r="I171" i="39"/>
  <c r="D174" i="39"/>
  <c r="E174" i="39"/>
  <c r="F174" i="39"/>
  <c r="G174" i="39"/>
  <c r="I174" i="39"/>
  <c r="J174" i="39"/>
  <c r="D175" i="39"/>
  <c r="F175" i="39"/>
  <c r="G175" i="39"/>
  <c r="I175" i="39"/>
  <c r="D176" i="39"/>
  <c r="E176" i="39"/>
  <c r="F176" i="39"/>
  <c r="G176" i="39"/>
  <c r="I176" i="39"/>
  <c r="J176" i="39"/>
  <c r="D177" i="39"/>
  <c r="E177" i="39"/>
  <c r="F177" i="39"/>
  <c r="G177" i="39"/>
  <c r="I177" i="39"/>
  <c r="D178" i="39"/>
  <c r="E178" i="39"/>
  <c r="F178" i="39"/>
  <c r="G178" i="39"/>
  <c r="I178" i="39"/>
  <c r="J178" i="39"/>
  <c r="F180" i="39"/>
  <c r="G180" i="39"/>
  <c r="I180" i="39"/>
  <c r="D183" i="39"/>
  <c r="G183" i="39"/>
  <c r="I183" i="39"/>
  <c r="D184" i="39"/>
  <c r="E184" i="39"/>
  <c r="F184" i="39"/>
  <c r="G184" i="39"/>
  <c r="I184" i="39"/>
  <c r="D185" i="39"/>
  <c r="E185" i="39"/>
  <c r="F185" i="39"/>
  <c r="G185" i="39"/>
  <c r="I185" i="39"/>
  <c r="D187" i="39"/>
  <c r="E187" i="39"/>
  <c r="F187" i="39"/>
  <c r="G187" i="39"/>
  <c r="I187" i="39"/>
  <c r="D188" i="39"/>
  <c r="E188" i="39"/>
  <c r="G188" i="39"/>
  <c r="I188" i="39"/>
  <c r="E189" i="39"/>
  <c r="I189" i="39"/>
  <c r="D190" i="39"/>
  <c r="E190" i="39"/>
  <c r="F190" i="39"/>
  <c r="G190" i="39"/>
  <c r="I190" i="39"/>
  <c r="D191" i="39"/>
  <c r="E191" i="39"/>
  <c r="F191" i="39"/>
  <c r="G191" i="39"/>
  <c r="I191" i="39"/>
  <c r="E192" i="39"/>
  <c r="F192" i="39"/>
  <c r="G192" i="39"/>
  <c r="I192" i="39"/>
  <c r="E193" i="39"/>
  <c r="F193" i="39"/>
  <c r="G193" i="39"/>
  <c r="I193" i="39"/>
  <c r="D194" i="39"/>
  <c r="E194" i="39"/>
  <c r="I194" i="39"/>
  <c r="D195" i="39"/>
  <c r="G195" i="39"/>
  <c r="I195" i="39"/>
  <c r="E196" i="39"/>
  <c r="I196" i="39"/>
  <c r="D197" i="39"/>
  <c r="F197" i="39"/>
  <c r="G197" i="39"/>
  <c r="I197" i="39"/>
  <c r="D198" i="39"/>
  <c r="E198" i="39"/>
  <c r="F198" i="39"/>
  <c r="I198" i="39"/>
  <c r="D199" i="39"/>
  <c r="E199" i="39"/>
  <c r="F199" i="39"/>
  <c r="G199" i="39"/>
  <c r="I199" i="39"/>
  <c r="J199" i="39"/>
  <c r="D201" i="39"/>
  <c r="E201" i="39"/>
  <c r="F201" i="39"/>
  <c r="G201" i="39"/>
  <c r="I201" i="39"/>
  <c r="D202" i="39"/>
  <c r="E202" i="39"/>
  <c r="F202" i="39"/>
  <c r="G202" i="39"/>
  <c r="I202" i="39"/>
  <c r="D203" i="39"/>
  <c r="E203" i="39"/>
  <c r="F203" i="39"/>
  <c r="G203" i="39"/>
  <c r="I203" i="39"/>
  <c r="D204" i="39"/>
  <c r="E204" i="39"/>
  <c r="F204" i="39"/>
  <c r="I204" i="39"/>
  <c r="D205" i="39"/>
  <c r="E205" i="39"/>
  <c r="F205" i="39"/>
  <c r="G205" i="39"/>
  <c r="I205" i="39"/>
  <c r="D211" i="39"/>
  <c r="E211" i="39"/>
  <c r="F211" i="39"/>
  <c r="G211" i="39"/>
  <c r="I211" i="39"/>
  <c r="J211" i="39"/>
  <c r="F5" i="25"/>
  <c r="F6" i="25"/>
  <c r="F40" i="25"/>
  <c r="F35" i="25"/>
  <c r="F42" i="25"/>
  <c r="E33" i="25"/>
  <c r="E35" i="25"/>
  <c r="E42" i="25"/>
  <c r="E38" i="25"/>
  <c r="E40" i="25"/>
  <c r="D33" i="25"/>
  <c r="D35" i="25"/>
  <c r="D42" i="25"/>
  <c r="D40" i="25"/>
  <c r="E59" i="21"/>
  <c r="H31" i="20"/>
  <c r="F40" i="20"/>
  <c r="F31" i="20"/>
  <c r="C17" i="23"/>
  <c r="D17" i="23"/>
  <c r="E17" i="23"/>
  <c r="C16" i="23"/>
  <c r="D16" i="23"/>
  <c r="E16" i="23"/>
  <c r="H129" i="22"/>
  <c r="H450" i="22"/>
  <c r="H128" i="22"/>
  <c r="H127" i="22"/>
  <c r="H126" i="22"/>
  <c r="G30" i="22"/>
  <c r="G31" i="22"/>
  <c r="G32" i="22"/>
  <c r="G22" i="22"/>
  <c r="J22" i="22"/>
  <c r="G23" i="22"/>
  <c r="J23" i="22"/>
  <c r="G24" i="22"/>
  <c r="J24" i="22"/>
  <c r="G25" i="22"/>
  <c r="J25" i="22"/>
  <c r="G26" i="22"/>
  <c r="J26" i="22"/>
  <c r="G27" i="22"/>
  <c r="J27" i="22"/>
  <c r="G28" i="22"/>
  <c r="J28" i="22"/>
  <c r="G29" i="22"/>
  <c r="J29" i="22"/>
  <c r="G16" i="22"/>
  <c r="G17" i="22"/>
  <c r="G18" i="22"/>
  <c r="G8" i="22"/>
  <c r="J8" i="22"/>
  <c r="G9" i="22"/>
  <c r="J9" i="22"/>
  <c r="G10" i="22"/>
  <c r="J10" i="22"/>
  <c r="G11" i="22"/>
  <c r="J11" i="22"/>
  <c r="G12" i="22"/>
  <c r="J12" i="22"/>
  <c r="G13" i="22"/>
  <c r="J13" i="22"/>
  <c r="G14" i="22"/>
  <c r="J14" i="22"/>
  <c r="G15" i="22"/>
  <c r="J15" i="22"/>
  <c r="G51" i="22"/>
  <c r="J51" i="22"/>
  <c r="G52" i="22"/>
  <c r="J52" i="22"/>
  <c r="G53" i="22"/>
  <c r="J53" i="22"/>
  <c r="G54" i="22"/>
  <c r="J54" i="22"/>
  <c r="G55" i="22"/>
  <c r="J55" i="22"/>
  <c r="G56" i="22"/>
  <c r="J56" i="22"/>
  <c r="H56" i="22"/>
  <c r="I56" i="22"/>
  <c r="G57" i="22"/>
  <c r="H57" i="22"/>
  <c r="I57" i="22"/>
  <c r="H58" i="22"/>
  <c r="I58" i="22"/>
  <c r="G59" i="22"/>
  <c r="H59" i="22"/>
  <c r="G60" i="22"/>
  <c r="G11" i="29"/>
  <c r="G61" i="22"/>
  <c r="G12" i="29"/>
  <c r="G65" i="22"/>
  <c r="J65" i="22"/>
  <c r="G66" i="22"/>
  <c r="J66" i="22"/>
  <c r="G67" i="22"/>
  <c r="J67" i="22"/>
  <c r="G68" i="22"/>
  <c r="C5" i="29"/>
  <c r="G69" i="22"/>
  <c r="C6" i="29"/>
  <c r="G70" i="22"/>
  <c r="C7" i="29"/>
  <c r="H70" i="22"/>
  <c r="H84" i="22"/>
  <c r="I70" i="22"/>
  <c r="I84" i="22"/>
  <c r="I405" i="22"/>
  <c r="G71" i="22"/>
  <c r="C8" i="29"/>
  <c r="H71" i="22"/>
  <c r="H85" i="22"/>
  <c r="I71" i="22"/>
  <c r="I85" i="22"/>
  <c r="G72" i="22"/>
  <c r="C9" i="29"/>
  <c r="H72" i="22"/>
  <c r="H86" i="22"/>
  <c r="I72" i="22"/>
  <c r="I86" i="22"/>
  <c r="G73" i="22"/>
  <c r="C10" i="29"/>
  <c r="H73" i="22"/>
  <c r="H87" i="22"/>
  <c r="G74" i="22"/>
  <c r="C11" i="29"/>
  <c r="G75" i="22"/>
  <c r="C12" i="29"/>
  <c r="H44" i="22"/>
  <c r="I43" i="22"/>
  <c r="H43" i="22"/>
  <c r="I42" i="22"/>
  <c r="H42" i="22"/>
  <c r="H41" i="22"/>
  <c r="I158" i="33"/>
  <c r="H158" i="33"/>
  <c r="L158" i="33"/>
  <c r="K158" i="33"/>
  <c r="I47" i="9"/>
  <c r="I121" i="9"/>
  <c r="I195" i="9"/>
  <c r="H47" i="9"/>
  <c r="H121" i="9"/>
  <c r="H195" i="9"/>
  <c r="G47" i="9"/>
  <c r="G121" i="9"/>
  <c r="G195" i="9"/>
  <c r="F121" i="9"/>
  <c r="E121" i="9"/>
  <c r="D121" i="9"/>
  <c r="L121" i="9"/>
  <c r="J121" i="9"/>
  <c r="L47" i="9"/>
  <c r="L195" i="9"/>
  <c r="L158" i="9"/>
  <c r="K158" i="9"/>
  <c r="G189" i="21"/>
  <c r="D189" i="21"/>
  <c r="G153" i="21"/>
  <c r="E153" i="21"/>
  <c r="D153" i="21"/>
  <c r="I12" i="20"/>
  <c r="I13" i="9"/>
  <c r="I12" i="19"/>
  <c r="H13" i="9"/>
  <c r="I61" i="21"/>
  <c r="J64" i="9"/>
  <c r="I8" i="20"/>
  <c r="I8" i="9"/>
  <c r="I46" i="9"/>
  <c r="I9" i="20"/>
  <c r="I10" i="9"/>
  <c r="I10" i="20"/>
  <c r="I11" i="9"/>
  <c r="I49" i="9"/>
  <c r="I197" i="9"/>
  <c r="I13" i="20"/>
  <c r="I14" i="9"/>
  <c r="I14" i="20"/>
  <c r="I15" i="9"/>
  <c r="I53" i="9"/>
  <c r="I201" i="9"/>
  <c r="I15" i="20"/>
  <c r="I16" i="9"/>
  <c r="I54" i="9"/>
  <c r="I16" i="20"/>
  <c r="I17" i="9"/>
  <c r="I55" i="9"/>
  <c r="I203" i="9"/>
  <c r="I17" i="20"/>
  <c r="I18" i="9"/>
  <c r="I18" i="20"/>
  <c r="I19" i="9"/>
  <c r="I57" i="9"/>
  <c r="I205" i="9"/>
  <c r="I25" i="20"/>
  <c r="I27" i="9"/>
  <c r="I26" i="20"/>
  <c r="I28" i="9"/>
  <c r="I27" i="20"/>
  <c r="I29" i="9"/>
  <c r="I28" i="20"/>
  <c r="I30" i="9"/>
  <c r="L120" i="9"/>
  <c r="L122" i="9"/>
  <c r="L123" i="9"/>
  <c r="L125" i="9"/>
  <c r="L126" i="9"/>
  <c r="L127" i="9"/>
  <c r="L128" i="9"/>
  <c r="L129" i="9"/>
  <c r="L130" i="9"/>
  <c r="L131" i="9"/>
  <c r="L133" i="9"/>
  <c r="L134" i="9"/>
  <c r="L135" i="9"/>
  <c r="L137" i="9"/>
  <c r="J120" i="9"/>
  <c r="J122" i="9"/>
  <c r="J123" i="9"/>
  <c r="J125" i="9"/>
  <c r="J126" i="9"/>
  <c r="J127" i="9"/>
  <c r="J128" i="9"/>
  <c r="J129" i="9"/>
  <c r="J130" i="9"/>
  <c r="J131" i="9"/>
  <c r="J133" i="9"/>
  <c r="J134" i="9"/>
  <c r="J135" i="9"/>
  <c r="J136" i="9"/>
  <c r="J137" i="9"/>
  <c r="I120" i="9"/>
  <c r="I122" i="9"/>
  <c r="I123" i="9"/>
  <c r="I125" i="9"/>
  <c r="I126" i="9"/>
  <c r="I127" i="9"/>
  <c r="I128" i="9"/>
  <c r="I129" i="9"/>
  <c r="I130" i="9"/>
  <c r="I131" i="9"/>
  <c r="I133" i="9"/>
  <c r="I134" i="9"/>
  <c r="I135" i="9"/>
  <c r="I136" i="9"/>
  <c r="I137" i="9"/>
  <c r="I140" i="9"/>
  <c r="I141" i="9"/>
  <c r="I142" i="9"/>
  <c r="I143" i="9"/>
  <c r="I144" i="9"/>
  <c r="L46" i="9"/>
  <c r="L49" i="9"/>
  <c r="L51" i="9"/>
  <c r="L52" i="9"/>
  <c r="L200" i="9"/>
  <c r="L53" i="9"/>
  <c r="L54" i="9"/>
  <c r="L55" i="9"/>
  <c r="L56" i="9"/>
  <c r="L57" i="9"/>
  <c r="L59" i="9"/>
  <c r="L207" i="9"/>
  <c r="L61" i="9"/>
  <c r="L62" i="9"/>
  <c r="L63" i="9"/>
  <c r="L70" i="9"/>
  <c r="I52" i="9"/>
  <c r="I56" i="9"/>
  <c r="I59" i="9"/>
  <c r="I60" i="9"/>
  <c r="I61" i="9"/>
  <c r="I62" i="9"/>
  <c r="I63" i="9"/>
  <c r="F61" i="20"/>
  <c r="H61" i="20"/>
  <c r="D61" i="20"/>
  <c r="G61" i="20"/>
  <c r="F62" i="20"/>
  <c r="H62" i="20"/>
  <c r="D62" i="20"/>
  <c r="G62" i="20"/>
  <c r="F63" i="20"/>
  <c r="H63" i="20"/>
  <c r="D63" i="20"/>
  <c r="G63" i="20"/>
  <c r="F64" i="20"/>
  <c r="H64" i="20"/>
  <c r="D64" i="20"/>
  <c r="G64" i="20"/>
  <c r="F65" i="20"/>
  <c r="H65" i="20"/>
  <c r="D65" i="20"/>
  <c r="D44" i="30"/>
  <c r="G44" i="30"/>
  <c r="I44" i="30"/>
  <c r="E44" i="30"/>
  <c r="D45" i="30"/>
  <c r="G45" i="30"/>
  <c r="I45" i="30"/>
  <c r="E45" i="30"/>
  <c r="D46" i="30"/>
  <c r="F46" i="30"/>
  <c r="G46" i="30"/>
  <c r="I46" i="30"/>
  <c r="E46" i="30"/>
  <c r="D48" i="30"/>
  <c r="F48" i="30"/>
  <c r="G48" i="30"/>
  <c r="I48" i="30"/>
  <c r="E48" i="30"/>
  <c r="D49" i="30"/>
  <c r="F49" i="30"/>
  <c r="G49" i="30"/>
  <c r="I49" i="30"/>
  <c r="E49" i="30"/>
  <c r="D50" i="30"/>
  <c r="F50" i="30"/>
  <c r="G50" i="30"/>
  <c r="I50" i="30"/>
  <c r="E50" i="30"/>
  <c r="D51" i="30"/>
  <c r="G51" i="30"/>
  <c r="I51" i="30"/>
  <c r="E51" i="30"/>
  <c r="D52" i="30"/>
  <c r="G52" i="30"/>
  <c r="I52" i="30"/>
  <c r="E52" i="30"/>
  <c r="D53" i="30"/>
  <c r="G53" i="30"/>
  <c r="I53" i="30"/>
  <c r="E53" i="30"/>
  <c r="D56" i="30"/>
  <c r="G56" i="30"/>
  <c r="I56" i="30"/>
  <c r="E56" i="30"/>
  <c r="D57" i="30"/>
  <c r="G57" i="30"/>
  <c r="I57" i="30"/>
  <c r="E57" i="30"/>
  <c r="D58" i="30"/>
  <c r="G58" i="30"/>
  <c r="I58" i="30"/>
  <c r="E58" i="30"/>
  <c r="D59" i="30"/>
  <c r="E59" i="30"/>
  <c r="F59" i="30"/>
  <c r="I59" i="30"/>
  <c r="D60" i="30"/>
  <c r="E60" i="30"/>
  <c r="G60" i="30"/>
  <c r="I60" i="30"/>
  <c r="D54" i="30"/>
  <c r="E54" i="30"/>
  <c r="F54" i="30"/>
  <c r="G54" i="30"/>
  <c r="I54" i="30"/>
  <c r="E69" i="30"/>
  <c r="E70" i="30"/>
  <c r="E214" i="30"/>
  <c r="F43" i="20"/>
  <c r="H43" i="20"/>
  <c r="H67" i="20"/>
  <c r="D43" i="20"/>
  <c r="G43" i="20"/>
  <c r="F44" i="20"/>
  <c r="F67" i="20"/>
  <c r="H44" i="20"/>
  <c r="D44" i="20"/>
  <c r="G44" i="20"/>
  <c r="F45" i="20"/>
  <c r="H45" i="20"/>
  <c r="D45" i="20"/>
  <c r="D67" i="20"/>
  <c r="G45" i="20"/>
  <c r="F47" i="20"/>
  <c r="H47" i="20"/>
  <c r="D47" i="20"/>
  <c r="G47" i="20"/>
  <c r="F48" i="20"/>
  <c r="H48" i="20"/>
  <c r="D48" i="20"/>
  <c r="G48" i="20"/>
  <c r="F49" i="20"/>
  <c r="H49" i="20"/>
  <c r="D49" i="20"/>
  <c r="G49" i="20"/>
  <c r="F50" i="20"/>
  <c r="H50" i="20"/>
  <c r="D50" i="20"/>
  <c r="G50" i="20"/>
  <c r="F51" i="20"/>
  <c r="H51" i="20"/>
  <c r="D51" i="20"/>
  <c r="G51" i="20"/>
  <c r="F52" i="20"/>
  <c r="H52" i="20"/>
  <c r="D52" i="20"/>
  <c r="G52" i="20"/>
  <c r="F53" i="20"/>
  <c r="H53" i="20"/>
  <c r="E53" i="20"/>
  <c r="D53" i="20"/>
  <c r="F54" i="20"/>
  <c r="H54" i="20"/>
  <c r="D54" i="20"/>
  <c r="G54" i="20"/>
  <c r="F55" i="20"/>
  <c r="H55" i="20"/>
  <c r="D55" i="20"/>
  <c r="G55" i="20"/>
  <c r="F56" i="20"/>
  <c r="H56" i="20"/>
  <c r="D56" i="20"/>
  <c r="G56" i="20"/>
  <c r="F57" i="20"/>
  <c r="H57" i="20"/>
  <c r="D57" i="20"/>
  <c r="G57" i="20"/>
  <c r="F58" i="20"/>
  <c r="H58" i="20"/>
  <c r="D58" i="20"/>
  <c r="G89" i="22"/>
  <c r="E12" i="29"/>
  <c r="G88" i="22"/>
  <c r="E11" i="29"/>
  <c r="C482" i="22"/>
  <c r="D482" i="22"/>
  <c r="E482" i="22"/>
  <c r="F482" i="22"/>
  <c r="H482" i="22"/>
  <c r="I482" i="22"/>
  <c r="C481" i="22"/>
  <c r="D481" i="22"/>
  <c r="E481" i="22"/>
  <c r="F481" i="22"/>
  <c r="H481" i="22"/>
  <c r="I481" i="22"/>
  <c r="C468" i="22"/>
  <c r="D468" i="22"/>
  <c r="E468" i="22"/>
  <c r="F468" i="22"/>
  <c r="H468" i="22"/>
  <c r="I468" i="22"/>
  <c r="C467" i="22"/>
  <c r="D467" i="22"/>
  <c r="E467" i="22"/>
  <c r="F467" i="22"/>
  <c r="H467" i="22"/>
  <c r="I467" i="22"/>
  <c r="C453" i="22"/>
  <c r="D453" i="22"/>
  <c r="E453" i="22"/>
  <c r="F453" i="22"/>
  <c r="I453" i="22"/>
  <c r="C452" i="22"/>
  <c r="D452" i="22"/>
  <c r="E452" i="22"/>
  <c r="F452" i="22"/>
  <c r="I452" i="22"/>
  <c r="C439" i="22"/>
  <c r="D439" i="22"/>
  <c r="E439" i="22"/>
  <c r="F439" i="22"/>
  <c r="I439" i="22"/>
  <c r="C438" i="22"/>
  <c r="D438" i="22"/>
  <c r="E438" i="22"/>
  <c r="F438" i="22"/>
  <c r="I438" i="22"/>
  <c r="C425" i="22"/>
  <c r="D425" i="22"/>
  <c r="E425" i="22"/>
  <c r="F425" i="22"/>
  <c r="I425" i="22"/>
  <c r="C424" i="22"/>
  <c r="D424" i="22"/>
  <c r="E424" i="22"/>
  <c r="F424" i="22"/>
  <c r="I424" i="22"/>
  <c r="C410" i="22"/>
  <c r="D410" i="22"/>
  <c r="G410" i="22"/>
  <c r="C409" i="22"/>
  <c r="D409" i="22"/>
  <c r="C396" i="22"/>
  <c r="D396" i="22"/>
  <c r="G396" i="22"/>
  <c r="C395" i="22"/>
  <c r="D395" i="22"/>
  <c r="G395" i="22"/>
  <c r="C382" i="22"/>
  <c r="D382" i="22"/>
  <c r="G382" i="22"/>
  <c r="C381" i="22"/>
  <c r="D381" i="22"/>
  <c r="G381" i="22"/>
  <c r="C367" i="22"/>
  <c r="D367" i="22"/>
  <c r="E367" i="22"/>
  <c r="F367" i="22"/>
  <c r="C366" i="22"/>
  <c r="D366" i="22"/>
  <c r="E366" i="22"/>
  <c r="F366" i="22"/>
  <c r="C353" i="22"/>
  <c r="D353" i="22"/>
  <c r="E353" i="22"/>
  <c r="F353" i="22"/>
  <c r="C352" i="22"/>
  <c r="D352" i="22"/>
  <c r="E352" i="22"/>
  <c r="F352" i="22"/>
  <c r="C339" i="22"/>
  <c r="D339" i="22"/>
  <c r="E339" i="22"/>
  <c r="F339" i="22"/>
  <c r="C338" i="22"/>
  <c r="D338" i="22"/>
  <c r="E338" i="22"/>
  <c r="F338" i="22"/>
  <c r="J161" i="22"/>
  <c r="J160" i="22"/>
  <c r="J147" i="22"/>
  <c r="J146" i="22"/>
  <c r="G132" i="22"/>
  <c r="G131" i="22"/>
  <c r="G118" i="22"/>
  <c r="G117" i="22"/>
  <c r="G104" i="22"/>
  <c r="G103" i="22"/>
  <c r="G46" i="22"/>
  <c r="G45" i="22"/>
  <c r="F195" i="33"/>
  <c r="I141" i="19"/>
  <c r="H150" i="9"/>
  <c r="I129" i="19"/>
  <c r="H138" i="9"/>
  <c r="I139" i="19"/>
  <c r="H139" i="19"/>
  <c r="G139" i="19"/>
  <c r="F139" i="19"/>
  <c r="E139" i="19"/>
  <c r="D139" i="19"/>
  <c r="D113" i="19"/>
  <c r="I113" i="19"/>
  <c r="E113" i="19"/>
  <c r="E137" i="19"/>
  <c r="E138" i="19"/>
  <c r="F113" i="19"/>
  <c r="G113" i="19"/>
  <c r="H113" i="19"/>
  <c r="D114" i="19"/>
  <c r="I114" i="19"/>
  <c r="E114" i="19"/>
  <c r="F114" i="19"/>
  <c r="G114" i="19"/>
  <c r="H114" i="19"/>
  <c r="D115" i="19"/>
  <c r="I115" i="19"/>
  <c r="E115" i="19"/>
  <c r="F115" i="19"/>
  <c r="G115" i="19"/>
  <c r="H115" i="19"/>
  <c r="H117" i="19"/>
  <c r="H137" i="19"/>
  <c r="H138" i="19"/>
  <c r="H118" i="19"/>
  <c r="H119" i="19"/>
  <c r="H120" i="19"/>
  <c r="H121" i="19"/>
  <c r="H122" i="19"/>
  <c r="H123" i="19"/>
  <c r="H124" i="19"/>
  <c r="H125" i="19"/>
  <c r="H126" i="19"/>
  <c r="H127" i="19"/>
  <c r="H128" i="19"/>
  <c r="H131" i="19"/>
  <c r="H132" i="19"/>
  <c r="H133" i="19"/>
  <c r="H134" i="19"/>
  <c r="H135" i="19"/>
  <c r="G117" i="19"/>
  <c r="G118" i="19"/>
  <c r="G137" i="19"/>
  <c r="G138" i="19"/>
  <c r="G119" i="19"/>
  <c r="G120" i="19"/>
  <c r="G121" i="19"/>
  <c r="G122" i="19"/>
  <c r="G123" i="19"/>
  <c r="G124" i="19"/>
  <c r="G125" i="19"/>
  <c r="G126" i="19"/>
  <c r="G127" i="19"/>
  <c r="G128" i="19"/>
  <c r="G131" i="19"/>
  <c r="G132" i="19"/>
  <c r="G133" i="19"/>
  <c r="G134" i="19"/>
  <c r="G135" i="19"/>
  <c r="F117" i="19"/>
  <c r="F137" i="19"/>
  <c r="F138" i="19"/>
  <c r="F118" i="19"/>
  <c r="F119" i="19"/>
  <c r="F120" i="19"/>
  <c r="F121" i="19"/>
  <c r="F122" i="19"/>
  <c r="F123" i="19"/>
  <c r="F124" i="19"/>
  <c r="F125" i="19"/>
  <c r="F126" i="19"/>
  <c r="F127" i="19"/>
  <c r="F128" i="19"/>
  <c r="F131" i="19"/>
  <c r="F132" i="19"/>
  <c r="F133" i="19"/>
  <c r="F134" i="19"/>
  <c r="F135" i="19"/>
  <c r="E117" i="19"/>
  <c r="E118" i="19"/>
  <c r="E119" i="19"/>
  <c r="E120" i="19"/>
  <c r="E121" i="19"/>
  <c r="E122" i="19"/>
  <c r="E123" i="19"/>
  <c r="E124" i="19"/>
  <c r="E125" i="19"/>
  <c r="E126" i="19"/>
  <c r="E127" i="19"/>
  <c r="E131" i="19"/>
  <c r="E132" i="19"/>
  <c r="E133" i="19"/>
  <c r="E134" i="19"/>
  <c r="E135" i="19"/>
  <c r="D117" i="19"/>
  <c r="I117" i="19"/>
  <c r="D118" i="19"/>
  <c r="I118" i="19"/>
  <c r="D119" i="19"/>
  <c r="I119" i="19"/>
  <c r="D120" i="19"/>
  <c r="I120" i="19"/>
  <c r="D121" i="19"/>
  <c r="I121" i="19"/>
  <c r="D122" i="19"/>
  <c r="I122" i="19"/>
  <c r="D123" i="19"/>
  <c r="I123" i="19"/>
  <c r="D124" i="19"/>
  <c r="I124" i="19"/>
  <c r="D125" i="19"/>
  <c r="I125" i="19"/>
  <c r="D126" i="19"/>
  <c r="I126" i="19"/>
  <c r="D127" i="19"/>
  <c r="I127" i="19"/>
  <c r="D128" i="19"/>
  <c r="I128" i="19"/>
  <c r="D131" i="19"/>
  <c r="I131" i="19"/>
  <c r="D132" i="19"/>
  <c r="I132" i="19"/>
  <c r="D133" i="19"/>
  <c r="I133" i="19"/>
  <c r="D134" i="19"/>
  <c r="I134" i="19"/>
  <c r="D99" i="19"/>
  <c r="D135" i="19"/>
  <c r="I104" i="19"/>
  <c r="H111" i="9"/>
  <c r="I105" i="19"/>
  <c r="H112" i="9"/>
  <c r="I106" i="19"/>
  <c r="H113" i="9"/>
  <c r="H126" i="49"/>
  <c r="I107" i="19"/>
  <c r="H114" i="9"/>
  <c r="I108" i="19"/>
  <c r="H115" i="9"/>
  <c r="H128" i="49"/>
  <c r="H110" i="19"/>
  <c r="G110" i="19"/>
  <c r="F110" i="19"/>
  <c r="E110" i="19"/>
  <c r="D110" i="19"/>
  <c r="I78" i="19"/>
  <c r="H83" i="9"/>
  <c r="I79" i="19"/>
  <c r="H85" i="9"/>
  <c r="H122" i="9"/>
  <c r="I80" i="19"/>
  <c r="H86" i="9"/>
  <c r="I82" i="19"/>
  <c r="H88" i="9"/>
  <c r="H125" i="9"/>
  <c r="I83" i="19"/>
  <c r="H89" i="9"/>
  <c r="H126" i="9"/>
  <c r="I84" i="19"/>
  <c r="H90" i="9"/>
  <c r="H127" i="9"/>
  <c r="I85" i="19"/>
  <c r="H91" i="9"/>
  <c r="I86" i="19"/>
  <c r="H92" i="9"/>
  <c r="H129" i="9"/>
  <c r="I87" i="19"/>
  <c r="H93" i="9"/>
  <c r="H130" i="9"/>
  <c r="I88" i="19"/>
  <c r="H94" i="9"/>
  <c r="H131" i="9"/>
  <c r="I89" i="19"/>
  <c r="H96" i="9"/>
  <c r="I90" i="19"/>
  <c r="H97" i="9"/>
  <c r="H134" i="9"/>
  <c r="I91" i="19"/>
  <c r="H98" i="9"/>
  <c r="I92" i="19"/>
  <c r="H99" i="9"/>
  <c r="H136" i="9"/>
  <c r="I95" i="19"/>
  <c r="H102" i="9"/>
  <c r="I96" i="19"/>
  <c r="H103" i="9"/>
  <c r="I97" i="19"/>
  <c r="H104" i="9"/>
  <c r="I98" i="19"/>
  <c r="H105" i="9"/>
  <c r="I99" i="19"/>
  <c r="H106" i="9"/>
  <c r="H101" i="19"/>
  <c r="G101" i="19"/>
  <c r="F101" i="19"/>
  <c r="E93" i="19"/>
  <c r="I93" i="19"/>
  <c r="H100" i="9"/>
  <c r="H137" i="9"/>
  <c r="F47" i="9"/>
  <c r="E45" i="21"/>
  <c r="E189" i="21"/>
  <c r="K21" i="38"/>
  <c r="K8" i="38"/>
  <c r="K10" i="38"/>
  <c r="K45" i="38"/>
  <c r="K12" i="38"/>
  <c r="K13" i="38"/>
  <c r="K48" i="38"/>
  <c r="K14" i="38"/>
  <c r="K15" i="38"/>
  <c r="K16" i="38"/>
  <c r="K51" i="38"/>
  <c r="K17" i="38"/>
  <c r="K19" i="38"/>
  <c r="K54" i="38"/>
  <c r="K20" i="38"/>
  <c r="K22" i="38"/>
  <c r="K57" i="38"/>
  <c r="K23" i="38"/>
  <c r="K25" i="38"/>
  <c r="K26" i="38"/>
  <c r="K27" i="38"/>
  <c r="K28" i="38"/>
  <c r="K29" i="38"/>
  <c r="K18" i="38"/>
  <c r="K71" i="38"/>
  <c r="K36" i="38"/>
  <c r="K34" i="38"/>
  <c r="K35" i="38"/>
  <c r="K37" i="38"/>
  <c r="K38" i="38"/>
  <c r="K76" i="38"/>
  <c r="J22" i="38"/>
  <c r="J10" i="38"/>
  <c r="J12" i="38"/>
  <c r="J47" i="38"/>
  <c r="J13" i="38"/>
  <c r="J14" i="38"/>
  <c r="J49" i="38"/>
  <c r="J25" i="38"/>
  <c r="J26" i="38"/>
  <c r="J27" i="38"/>
  <c r="J28" i="38"/>
  <c r="J29" i="38"/>
  <c r="J18" i="38"/>
  <c r="J71" i="38"/>
  <c r="J37" i="38"/>
  <c r="J76" i="38"/>
  <c r="I10" i="38"/>
  <c r="I45" i="38"/>
  <c r="I12" i="38"/>
  <c r="I13" i="38"/>
  <c r="I14" i="38"/>
  <c r="I18" i="38"/>
  <c r="I22" i="38"/>
  <c r="I23" i="38"/>
  <c r="I58" i="38"/>
  <c r="I26" i="38"/>
  <c r="I27" i="38"/>
  <c r="I28" i="38"/>
  <c r="I29" i="38"/>
  <c r="I71" i="38"/>
  <c r="I37" i="38"/>
  <c r="I57" i="38"/>
  <c r="I38" i="38"/>
  <c r="I76" i="38"/>
  <c r="H76" i="38"/>
  <c r="H8" i="38"/>
  <c r="H31" i="38"/>
  <c r="H73" i="38"/>
  <c r="H9" i="38"/>
  <c r="H10" i="38"/>
  <c r="H12" i="38"/>
  <c r="H13" i="38"/>
  <c r="H48" i="38"/>
  <c r="H14" i="38"/>
  <c r="H15" i="38"/>
  <c r="H50" i="38"/>
  <c r="H16" i="38"/>
  <c r="H17" i="38"/>
  <c r="H52" i="38"/>
  <c r="H18" i="38"/>
  <c r="H53" i="38"/>
  <c r="H19" i="38"/>
  <c r="H54" i="38"/>
  <c r="H20" i="38"/>
  <c r="H21" i="38"/>
  <c r="H56" i="38"/>
  <c r="H22" i="38"/>
  <c r="H57" i="38"/>
  <c r="H23" i="38"/>
  <c r="H25" i="38"/>
  <c r="H26" i="38"/>
  <c r="H27" i="38"/>
  <c r="H28" i="38"/>
  <c r="H29" i="38"/>
  <c r="I71" i="20"/>
  <c r="I76" i="9"/>
  <c r="H71" i="38"/>
  <c r="H34" i="38"/>
  <c r="H35" i="38"/>
  <c r="H55" i="38"/>
  <c r="H36" i="38"/>
  <c r="H37" i="38"/>
  <c r="H38" i="38"/>
  <c r="H58" i="38"/>
  <c r="G12" i="38"/>
  <c r="G47" i="38"/>
  <c r="I71" i="19"/>
  <c r="G71" i="38"/>
  <c r="G76" i="38"/>
  <c r="F76" i="38"/>
  <c r="A8" i="38"/>
  <c r="A9" i="38"/>
  <c r="A10" i="38"/>
  <c r="A12" i="38"/>
  <c r="A13" i="38"/>
  <c r="A14" i="38"/>
  <c r="A15" i="38"/>
  <c r="A16" i="38"/>
  <c r="A17" i="38"/>
  <c r="A18" i="38"/>
  <c r="A19" i="38"/>
  <c r="A20" i="38"/>
  <c r="A21" i="38"/>
  <c r="A22" i="38"/>
  <c r="A23" i="38"/>
  <c r="A25" i="38"/>
  <c r="A26" i="38"/>
  <c r="A27" i="38"/>
  <c r="A28" i="38"/>
  <c r="A29" i="38"/>
  <c r="A31" i="38"/>
  <c r="A34" i="38"/>
  <c r="A35" i="38"/>
  <c r="A36" i="38"/>
  <c r="A37" i="38"/>
  <c r="A38" i="38"/>
  <c r="A40" i="38"/>
  <c r="A43" i="38"/>
  <c r="A44" i="38"/>
  <c r="A45" i="38"/>
  <c r="A47" i="38"/>
  <c r="A48" i="38"/>
  <c r="A49" i="38"/>
  <c r="A50" i="38"/>
  <c r="A51" i="38"/>
  <c r="A52" i="38"/>
  <c r="A53" i="38"/>
  <c r="A54" i="38"/>
  <c r="A55" i="38"/>
  <c r="A56" i="38"/>
  <c r="A57" i="38"/>
  <c r="A58" i="38"/>
  <c r="A59" i="38"/>
  <c r="A61" i="38"/>
  <c r="A62" i="38"/>
  <c r="A63" i="38"/>
  <c r="A64" i="38"/>
  <c r="A65" i="38"/>
  <c r="A67" i="38"/>
  <c r="A68" i="38"/>
  <c r="A69" i="38"/>
  <c r="A71" i="38"/>
  <c r="A73" i="38"/>
  <c r="A74" i="38"/>
  <c r="A76" i="38"/>
  <c r="A78" i="38"/>
  <c r="K43" i="38"/>
  <c r="H44" i="38"/>
  <c r="J45" i="38"/>
  <c r="H47" i="38"/>
  <c r="I47" i="38"/>
  <c r="K47" i="38"/>
  <c r="I48" i="38"/>
  <c r="J48" i="38"/>
  <c r="H49" i="38"/>
  <c r="I49" i="38"/>
  <c r="K49" i="38"/>
  <c r="K50" i="38"/>
  <c r="H51" i="38"/>
  <c r="K52" i="38"/>
  <c r="I53" i="38"/>
  <c r="J53" i="38"/>
  <c r="K53" i="38"/>
  <c r="K55" i="38"/>
  <c r="J57" i="38"/>
  <c r="H59" i="38"/>
  <c r="H69" i="38"/>
  <c r="I59" i="38"/>
  <c r="I69" i="38"/>
  <c r="J59" i="38"/>
  <c r="K59" i="38"/>
  <c r="K58" i="38"/>
  <c r="K65" i="38"/>
  <c r="J69" i="38"/>
  <c r="E6" i="25"/>
  <c r="E4" i="25"/>
  <c r="E5" i="25"/>
  <c r="F76" i="37"/>
  <c r="L8" i="37"/>
  <c r="L43" i="37"/>
  <c r="L10" i="37"/>
  <c r="L45" i="37"/>
  <c r="L12" i="37"/>
  <c r="L47" i="37"/>
  <c r="L13" i="37"/>
  <c r="L48" i="37"/>
  <c r="L14" i="37"/>
  <c r="L15" i="37"/>
  <c r="L16" i="37"/>
  <c r="L17" i="37"/>
  <c r="L52" i="37"/>
  <c r="L18" i="37"/>
  <c r="L19" i="37"/>
  <c r="L20" i="37"/>
  <c r="L21" i="37"/>
  <c r="L22" i="37"/>
  <c r="L23" i="37"/>
  <c r="L25" i="37"/>
  <c r="L26" i="37"/>
  <c r="L27" i="37"/>
  <c r="L28" i="37"/>
  <c r="L29" i="37"/>
  <c r="L71" i="37"/>
  <c r="L34" i="37"/>
  <c r="L35" i="37"/>
  <c r="L55" i="37"/>
  <c r="L36" i="37"/>
  <c r="L37" i="37"/>
  <c r="L38" i="37"/>
  <c r="K10" i="37"/>
  <c r="K45" i="37"/>
  <c r="K12" i="37"/>
  <c r="K13" i="37"/>
  <c r="K14" i="37"/>
  <c r="K49" i="37"/>
  <c r="K18" i="37"/>
  <c r="K22" i="37"/>
  <c r="K25" i="37"/>
  <c r="K26" i="37"/>
  <c r="K27" i="37"/>
  <c r="K28" i="37"/>
  <c r="K29" i="37"/>
  <c r="K71" i="37"/>
  <c r="K37" i="37"/>
  <c r="J10" i="37"/>
  <c r="J12" i="37"/>
  <c r="J13" i="37"/>
  <c r="J48" i="37"/>
  <c r="J14" i="37"/>
  <c r="J18" i="37"/>
  <c r="J22" i="37"/>
  <c r="J23" i="37"/>
  <c r="J26" i="37"/>
  <c r="J27" i="37"/>
  <c r="J28" i="37"/>
  <c r="J29" i="37"/>
  <c r="J71" i="37"/>
  <c r="J37" i="37"/>
  <c r="J57" i="37"/>
  <c r="J38" i="37"/>
  <c r="I8" i="37"/>
  <c r="I43" i="37"/>
  <c r="I9" i="37"/>
  <c r="I10" i="37"/>
  <c r="I12" i="37"/>
  <c r="I47" i="37"/>
  <c r="I13" i="37"/>
  <c r="I48" i="37"/>
  <c r="I14" i="37"/>
  <c r="I49" i="37"/>
  <c r="I15" i="37"/>
  <c r="I50" i="37"/>
  <c r="I16" i="37"/>
  <c r="I17" i="37"/>
  <c r="I52" i="37"/>
  <c r="I18" i="37"/>
  <c r="I19" i="37"/>
  <c r="I54" i="37"/>
  <c r="I20" i="37"/>
  <c r="I21" i="37"/>
  <c r="I56" i="37"/>
  <c r="I22" i="37"/>
  <c r="I23" i="37"/>
  <c r="I25" i="37"/>
  <c r="I26" i="37"/>
  <c r="I27" i="37"/>
  <c r="I28" i="37"/>
  <c r="I29" i="37"/>
  <c r="I31" i="37"/>
  <c r="I34" i="37"/>
  <c r="I35" i="37"/>
  <c r="I55" i="37"/>
  <c r="I36" i="37"/>
  <c r="I37" i="37"/>
  <c r="I38" i="37"/>
  <c r="H12" i="37"/>
  <c r="H71" i="37"/>
  <c r="L76" i="37"/>
  <c r="K76" i="37"/>
  <c r="J76" i="37"/>
  <c r="I76" i="37"/>
  <c r="H76" i="37"/>
  <c r="G76" i="37"/>
  <c r="A8" i="37"/>
  <c r="A9" i="37"/>
  <c r="A10" i="37"/>
  <c r="A12" i="37"/>
  <c r="A13" i="37"/>
  <c r="A14" i="37"/>
  <c r="A15" i="37"/>
  <c r="A16" i="37"/>
  <c r="A17" i="37"/>
  <c r="A18" i="37"/>
  <c r="A19" i="37"/>
  <c r="A20" i="37"/>
  <c r="A21" i="37"/>
  <c r="A22" i="37"/>
  <c r="A23" i="37"/>
  <c r="A25" i="37"/>
  <c r="A26" i="37"/>
  <c r="A27" i="37"/>
  <c r="A28" i="37"/>
  <c r="A29" i="37"/>
  <c r="A31" i="37"/>
  <c r="A34" i="37"/>
  <c r="A35" i="37"/>
  <c r="A36" i="37"/>
  <c r="A37" i="37"/>
  <c r="A38" i="37"/>
  <c r="A40" i="37"/>
  <c r="A43" i="37"/>
  <c r="A44" i="37"/>
  <c r="A45" i="37"/>
  <c r="A47" i="37"/>
  <c r="A48" i="37"/>
  <c r="A49" i="37"/>
  <c r="A50" i="37"/>
  <c r="A51" i="37"/>
  <c r="A52" i="37"/>
  <c r="A53" i="37"/>
  <c r="A54" i="37"/>
  <c r="A55" i="37"/>
  <c r="A56" i="37"/>
  <c r="A57" i="37"/>
  <c r="A58" i="37"/>
  <c r="A59" i="37"/>
  <c r="A61" i="37"/>
  <c r="A62" i="37"/>
  <c r="A63" i="37"/>
  <c r="A64" i="37"/>
  <c r="A65" i="37"/>
  <c r="A67" i="37"/>
  <c r="A68" i="37"/>
  <c r="A69" i="37"/>
  <c r="A71" i="37"/>
  <c r="A73" i="37"/>
  <c r="A74" i="37"/>
  <c r="A76" i="37"/>
  <c r="A78" i="37"/>
  <c r="I44" i="37"/>
  <c r="I45" i="37"/>
  <c r="J45" i="37"/>
  <c r="H47" i="37"/>
  <c r="J47" i="37"/>
  <c r="K48" i="37"/>
  <c r="J49" i="37"/>
  <c r="L49" i="37"/>
  <c r="L50" i="37"/>
  <c r="I51" i="37"/>
  <c r="L51" i="37"/>
  <c r="I53" i="37"/>
  <c r="J53" i="37"/>
  <c r="K53" i="37"/>
  <c r="L53" i="37"/>
  <c r="L54" i="37"/>
  <c r="L56" i="37"/>
  <c r="I57" i="37"/>
  <c r="L57" i="37"/>
  <c r="I59" i="37"/>
  <c r="I58" i="37"/>
  <c r="J59" i="37"/>
  <c r="J58" i="37"/>
  <c r="K59" i="37"/>
  <c r="K69" i="37"/>
  <c r="L59" i="37"/>
  <c r="L58" i="37"/>
  <c r="L65" i="37"/>
  <c r="I69" i="37"/>
  <c r="D41" i="30"/>
  <c r="D29" i="19"/>
  <c r="G41" i="22"/>
  <c r="K42" i="22"/>
  <c r="I141" i="18"/>
  <c r="G150" i="9"/>
  <c r="I129" i="18"/>
  <c r="G138" i="9"/>
  <c r="I139" i="18"/>
  <c r="H139" i="18"/>
  <c r="G139" i="18"/>
  <c r="F139" i="18"/>
  <c r="E139" i="18"/>
  <c r="D139" i="18"/>
  <c r="D113" i="18"/>
  <c r="E113" i="18"/>
  <c r="F113" i="18"/>
  <c r="I113" i="18"/>
  <c r="G113" i="18"/>
  <c r="H113" i="18"/>
  <c r="H137" i="18"/>
  <c r="H138" i="18"/>
  <c r="D114" i="18"/>
  <c r="E114" i="18"/>
  <c r="F114" i="18"/>
  <c r="I114" i="18"/>
  <c r="G114" i="18"/>
  <c r="H114" i="18"/>
  <c r="D115" i="18"/>
  <c r="E115" i="18"/>
  <c r="F115" i="18"/>
  <c r="I115" i="18"/>
  <c r="G115" i="18"/>
  <c r="H115" i="18"/>
  <c r="D117" i="18"/>
  <c r="E117" i="18"/>
  <c r="F117" i="18"/>
  <c r="I117" i="18"/>
  <c r="G117" i="18"/>
  <c r="H117" i="18"/>
  <c r="D118" i="18"/>
  <c r="E118" i="18"/>
  <c r="F118" i="18"/>
  <c r="I118" i="18"/>
  <c r="G118" i="18"/>
  <c r="H118" i="18"/>
  <c r="D119" i="18"/>
  <c r="E119" i="18"/>
  <c r="F119" i="18"/>
  <c r="I119" i="18"/>
  <c r="G119" i="18"/>
  <c r="H119" i="18"/>
  <c r="D120" i="18"/>
  <c r="E120" i="18"/>
  <c r="F120" i="18"/>
  <c r="I120" i="18"/>
  <c r="G120" i="18"/>
  <c r="H120" i="18"/>
  <c r="D121" i="18"/>
  <c r="E121" i="18"/>
  <c r="F121" i="18"/>
  <c r="I121" i="18"/>
  <c r="G121" i="18"/>
  <c r="H121" i="18"/>
  <c r="D122" i="18"/>
  <c r="E122" i="18"/>
  <c r="F122" i="18"/>
  <c r="I122" i="18"/>
  <c r="G122" i="18"/>
  <c r="H122" i="18"/>
  <c r="D123" i="18"/>
  <c r="E123" i="18"/>
  <c r="F123" i="18"/>
  <c r="I123" i="18"/>
  <c r="G123" i="18"/>
  <c r="H123" i="18"/>
  <c r="D124" i="18"/>
  <c r="E124" i="18"/>
  <c r="F124" i="18"/>
  <c r="I124" i="18"/>
  <c r="G124" i="18"/>
  <c r="H124" i="18"/>
  <c r="D125" i="18"/>
  <c r="E125" i="18"/>
  <c r="F125" i="18"/>
  <c r="I125" i="18"/>
  <c r="G125" i="18"/>
  <c r="H125" i="18"/>
  <c r="D126" i="18"/>
  <c r="E126" i="18"/>
  <c r="F126" i="18"/>
  <c r="I126" i="18"/>
  <c r="G126" i="18"/>
  <c r="H126" i="18"/>
  <c r="D127" i="18"/>
  <c r="E127" i="18"/>
  <c r="F127" i="18"/>
  <c r="I127" i="18"/>
  <c r="G127" i="18"/>
  <c r="H127" i="18"/>
  <c r="D128" i="18"/>
  <c r="E128" i="18"/>
  <c r="F128" i="18"/>
  <c r="I128" i="18"/>
  <c r="G128" i="18"/>
  <c r="H128" i="18"/>
  <c r="D131" i="18"/>
  <c r="E131" i="18"/>
  <c r="F131" i="18"/>
  <c r="I131" i="18"/>
  <c r="G140" i="9"/>
  <c r="G131" i="18"/>
  <c r="H131" i="18"/>
  <c r="D132" i="18"/>
  <c r="E132" i="18"/>
  <c r="F132" i="18"/>
  <c r="I132" i="18"/>
  <c r="G141" i="9"/>
  <c r="G132" i="18"/>
  <c r="H132" i="18"/>
  <c r="D133" i="18"/>
  <c r="E133" i="18"/>
  <c r="F133" i="18"/>
  <c r="I133" i="18"/>
  <c r="G142" i="9"/>
  <c r="G133" i="18"/>
  <c r="H133" i="18"/>
  <c r="D134" i="18"/>
  <c r="E134" i="18"/>
  <c r="F134" i="18"/>
  <c r="I134" i="18"/>
  <c r="G143" i="9"/>
  <c r="G134" i="18"/>
  <c r="H134" i="18"/>
  <c r="D135" i="18"/>
  <c r="E135" i="18"/>
  <c r="F135" i="18"/>
  <c r="I135" i="18"/>
  <c r="G144" i="9"/>
  <c r="G135" i="18"/>
  <c r="H135" i="18"/>
  <c r="G137" i="18"/>
  <c r="G138" i="18"/>
  <c r="E137" i="18"/>
  <c r="E138" i="18"/>
  <c r="D137" i="18"/>
  <c r="D138" i="18"/>
  <c r="I104" i="18"/>
  <c r="G111" i="9"/>
  <c r="I105" i="18"/>
  <c r="G112" i="9"/>
  <c r="I106" i="18"/>
  <c r="G113" i="9"/>
  <c r="I107" i="18"/>
  <c r="G114" i="9"/>
  <c r="I108" i="18"/>
  <c r="G115" i="9"/>
  <c r="G137" i="9"/>
  <c r="H110" i="18"/>
  <c r="G110" i="18"/>
  <c r="F110" i="18"/>
  <c r="E110" i="18"/>
  <c r="D110" i="18"/>
  <c r="I78" i="18"/>
  <c r="G83" i="9"/>
  <c r="I79" i="18"/>
  <c r="I101" i="18"/>
  <c r="I80" i="18"/>
  <c r="G86" i="9"/>
  <c r="I82" i="18"/>
  <c r="G88" i="9"/>
  <c r="I83" i="18"/>
  <c r="G89" i="9"/>
  <c r="I84" i="18"/>
  <c r="G90" i="9"/>
  <c r="I85" i="18"/>
  <c r="G91" i="9"/>
  <c r="I86" i="18"/>
  <c r="G92" i="9"/>
  <c r="I87" i="18"/>
  <c r="G93" i="9"/>
  <c r="I88" i="18"/>
  <c r="G94" i="9"/>
  <c r="I89" i="18"/>
  <c r="G96" i="9"/>
  <c r="I90" i="18"/>
  <c r="G97" i="9"/>
  <c r="G134" i="9"/>
  <c r="I91" i="18"/>
  <c r="G98" i="9"/>
  <c r="I92" i="18"/>
  <c r="G99" i="9"/>
  <c r="G136" i="9"/>
  <c r="I93" i="18"/>
  <c r="G100" i="9"/>
  <c r="I95" i="18"/>
  <c r="G102" i="9"/>
  <c r="I96" i="18"/>
  <c r="G103" i="9"/>
  <c r="I97" i="18"/>
  <c r="G104" i="9"/>
  <c r="I98" i="18"/>
  <c r="G105" i="9"/>
  <c r="I99" i="18"/>
  <c r="G106" i="9"/>
  <c r="H101" i="18"/>
  <c r="G101" i="18"/>
  <c r="F101" i="18"/>
  <c r="E101" i="18"/>
  <c r="D101" i="18"/>
  <c r="O41" i="32"/>
  <c r="M88" i="32"/>
  <c r="M94" i="32"/>
  <c r="Q89" i="32"/>
  <c r="Q95" i="32"/>
  <c r="O40" i="32"/>
  <c r="Q64" i="32"/>
  <c r="Q88" i="32"/>
  <c r="Q94" i="32"/>
  <c r="J41" i="32"/>
  <c r="H88" i="32"/>
  <c r="H94" i="32"/>
  <c r="L94" i="32"/>
  <c r="J40" i="32"/>
  <c r="E60" i="21"/>
  <c r="G60" i="21"/>
  <c r="P114" i="32"/>
  <c r="K114" i="32"/>
  <c r="K115" i="32"/>
  <c r="K116" i="32"/>
  <c r="C63" i="32"/>
  <c r="F63" i="32"/>
  <c r="D63" i="32"/>
  <c r="E63" i="32"/>
  <c r="C107" i="32"/>
  <c r="C109" i="32"/>
  <c r="D107" i="32"/>
  <c r="D109" i="32"/>
  <c r="E107" i="32"/>
  <c r="Q66" i="32"/>
  <c r="Q90" i="32"/>
  <c r="Q96" i="32"/>
  <c r="M116" i="32"/>
  <c r="M117" i="32"/>
  <c r="N116" i="32"/>
  <c r="Q116" i="32"/>
  <c r="L87" i="32"/>
  <c r="L86" i="32"/>
  <c r="L85" i="32"/>
  <c r="L84" i="32"/>
  <c r="L63" i="32"/>
  <c r="H39" i="32"/>
  <c r="C39" i="32"/>
  <c r="H38" i="32"/>
  <c r="L64" i="32"/>
  <c r="G61" i="32"/>
  <c r="L61" i="32"/>
  <c r="Q61" i="32"/>
  <c r="G62" i="32"/>
  <c r="L62" i="32"/>
  <c r="Q62" i="32"/>
  <c r="Q63" i="32"/>
  <c r="D108" i="32"/>
  <c r="C108" i="32"/>
  <c r="G63" i="32"/>
  <c r="I39" i="32"/>
  <c r="I52" i="32"/>
  <c r="P14" i="32"/>
  <c r="P26" i="32"/>
  <c r="P39" i="32"/>
  <c r="O39" i="32"/>
  <c r="N39" i="32"/>
  <c r="N52" i="32"/>
  <c r="M39" i="32"/>
  <c r="K14" i="32"/>
  <c r="K26" i="32"/>
  <c r="K39" i="32"/>
  <c r="J39" i="32"/>
  <c r="C65" i="32"/>
  <c r="M52" i="32"/>
  <c r="C64" i="32"/>
  <c r="B15" i="23"/>
  <c r="B13" i="23"/>
  <c r="B14" i="23"/>
  <c r="B12" i="23"/>
  <c r="B11" i="23"/>
  <c r="D69" i="19"/>
  <c r="D31" i="19"/>
  <c r="J89" i="18"/>
  <c r="I41" i="30"/>
  <c r="G41" i="30"/>
  <c r="E41" i="30"/>
  <c r="I32" i="30"/>
  <c r="G145" i="20"/>
  <c r="G148" i="20"/>
  <c r="H148" i="20"/>
  <c r="I148" i="20"/>
  <c r="G149" i="20"/>
  <c r="H149" i="20"/>
  <c r="I149" i="20"/>
  <c r="G150" i="20"/>
  <c r="H150" i="20"/>
  <c r="I150" i="20"/>
  <c r="G152" i="20"/>
  <c r="H152" i="20"/>
  <c r="I152" i="20"/>
  <c r="G153" i="20"/>
  <c r="H153" i="20"/>
  <c r="I153" i="20"/>
  <c r="G154" i="20"/>
  <c r="H154" i="20"/>
  <c r="I154" i="20"/>
  <c r="G155" i="20"/>
  <c r="H155" i="20"/>
  <c r="I155" i="20"/>
  <c r="G156" i="20"/>
  <c r="H156" i="20"/>
  <c r="I156" i="20"/>
  <c r="G157" i="20"/>
  <c r="H157" i="20"/>
  <c r="I157" i="20"/>
  <c r="G158" i="20"/>
  <c r="H158" i="20"/>
  <c r="I158" i="20"/>
  <c r="G159" i="20"/>
  <c r="H159" i="20"/>
  <c r="I159" i="20"/>
  <c r="G160" i="20"/>
  <c r="H160" i="20"/>
  <c r="I160" i="20"/>
  <c r="G161" i="20"/>
  <c r="H161" i="20"/>
  <c r="I161" i="20"/>
  <c r="G162" i="20"/>
  <c r="H162" i="20"/>
  <c r="I162" i="20"/>
  <c r="G163" i="20"/>
  <c r="H163" i="20"/>
  <c r="I163" i="20"/>
  <c r="G165" i="20"/>
  <c r="H165" i="20"/>
  <c r="I165" i="20"/>
  <c r="G166" i="20"/>
  <c r="H166" i="20"/>
  <c r="I166" i="20"/>
  <c r="G167" i="20"/>
  <c r="H167" i="20"/>
  <c r="I167" i="20"/>
  <c r="G168" i="20"/>
  <c r="H168" i="20"/>
  <c r="I168" i="20"/>
  <c r="G169" i="20"/>
  <c r="H169" i="20"/>
  <c r="I169" i="20"/>
  <c r="G31" i="20"/>
  <c r="G171" i="20"/>
  <c r="H171" i="20"/>
  <c r="I31" i="20"/>
  <c r="I171" i="20"/>
  <c r="G174" i="20"/>
  <c r="H174" i="20"/>
  <c r="I174" i="20"/>
  <c r="G175" i="20"/>
  <c r="H175" i="20"/>
  <c r="I175" i="20"/>
  <c r="G176" i="20"/>
  <c r="H176" i="20"/>
  <c r="I176" i="20"/>
  <c r="G177" i="20"/>
  <c r="H177" i="20"/>
  <c r="I177" i="20"/>
  <c r="G178" i="20"/>
  <c r="H178" i="20"/>
  <c r="I178" i="20"/>
  <c r="I40" i="20"/>
  <c r="I180" i="20"/>
  <c r="G183" i="20"/>
  <c r="H183" i="20"/>
  <c r="E43" i="20"/>
  <c r="I43" i="20"/>
  <c r="G184" i="20"/>
  <c r="H184" i="20"/>
  <c r="E44" i="20"/>
  <c r="I44" i="20"/>
  <c r="G185" i="20"/>
  <c r="H185" i="20"/>
  <c r="G187" i="20"/>
  <c r="H187" i="20"/>
  <c r="G188" i="20"/>
  <c r="H188" i="20"/>
  <c r="G189" i="20"/>
  <c r="H189" i="20"/>
  <c r="G190" i="20"/>
  <c r="H190" i="20"/>
  <c r="G191" i="20"/>
  <c r="H191" i="20"/>
  <c r="G192" i="20"/>
  <c r="H192" i="20"/>
  <c r="E52" i="20"/>
  <c r="I52" i="20"/>
  <c r="H193" i="20"/>
  <c r="G194" i="20"/>
  <c r="H194" i="20"/>
  <c r="E54" i="20"/>
  <c r="I54" i="20"/>
  <c r="G195" i="20"/>
  <c r="H195" i="20"/>
  <c r="E55" i="20"/>
  <c r="I55" i="20"/>
  <c r="G196" i="20"/>
  <c r="H196" i="20"/>
  <c r="E56" i="20"/>
  <c r="I56" i="20"/>
  <c r="G197" i="20"/>
  <c r="H197" i="20"/>
  <c r="E57" i="20"/>
  <c r="I57" i="20"/>
  <c r="H198" i="20"/>
  <c r="E58" i="20"/>
  <c r="I58" i="20"/>
  <c r="I198" i="20"/>
  <c r="G199" i="20"/>
  <c r="H199" i="20"/>
  <c r="I199" i="20"/>
  <c r="G201" i="20"/>
  <c r="H201" i="20"/>
  <c r="G202" i="20"/>
  <c r="H202" i="20"/>
  <c r="G203" i="20"/>
  <c r="H203" i="20"/>
  <c r="G204" i="20"/>
  <c r="H204" i="20"/>
  <c r="H205" i="20"/>
  <c r="G211" i="20"/>
  <c r="H211" i="20"/>
  <c r="I211" i="20"/>
  <c r="C21" i="29"/>
  <c r="C19" i="29"/>
  <c r="A78" i="19"/>
  <c r="A79" i="19"/>
  <c r="A80" i="19"/>
  <c r="A82" i="19"/>
  <c r="A83" i="19"/>
  <c r="A84" i="19"/>
  <c r="A85" i="19"/>
  <c r="A86" i="19"/>
  <c r="A87" i="19"/>
  <c r="A88" i="19"/>
  <c r="A89" i="19"/>
  <c r="A90" i="19"/>
  <c r="A91" i="19"/>
  <c r="A92" i="19"/>
  <c r="A93" i="19"/>
  <c r="A95" i="19"/>
  <c r="A96" i="19"/>
  <c r="A97" i="19"/>
  <c r="A98" i="19"/>
  <c r="A99" i="19"/>
  <c r="A101" i="19"/>
  <c r="A104" i="19"/>
  <c r="A105" i="19"/>
  <c r="A106" i="19"/>
  <c r="A107" i="19"/>
  <c r="A108" i="19"/>
  <c r="A110" i="19"/>
  <c r="A113" i="19"/>
  <c r="A114" i="19"/>
  <c r="A115" i="19"/>
  <c r="A117" i="19"/>
  <c r="A118" i="19"/>
  <c r="A119" i="19"/>
  <c r="A120" i="19"/>
  <c r="A121" i="19"/>
  <c r="A122" i="19"/>
  <c r="A123" i="19"/>
  <c r="A124" i="19"/>
  <c r="A125" i="19"/>
  <c r="A126" i="19"/>
  <c r="A127" i="19"/>
  <c r="A128" i="19"/>
  <c r="A129" i="19"/>
  <c r="A131" i="19"/>
  <c r="A132" i="19"/>
  <c r="A133" i="19"/>
  <c r="A134" i="19"/>
  <c r="A135" i="19"/>
  <c r="A137" i="19"/>
  <c r="A138" i="19"/>
  <c r="A139" i="19"/>
  <c r="A141" i="19"/>
  <c r="A78" i="18"/>
  <c r="A79" i="18"/>
  <c r="A80" i="18"/>
  <c r="A82" i="18"/>
  <c r="A83" i="18"/>
  <c r="A84" i="18"/>
  <c r="A85" i="18"/>
  <c r="A86" i="18"/>
  <c r="A87" i="18"/>
  <c r="A88" i="18"/>
  <c r="A89" i="18"/>
  <c r="A90" i="18"/>
  <c r="A91" i="18"/>
  <c r="A92" i="18"/>
  <c r="A93" i="18"/>
  <c r="A95" i="18"/>
  <c r="A96" i="18"/>
  <c r="A97" i="18"/>
  <c r="A98" i="18"/>
  <c r="A99" i="18"/>
  <c r="A101" i="18"/>
  <c r="A104" i="18"/>
  <c r="A105" i="18"/>
  <c r="A106" i="18"/>
  <c r="A107" i="18"/>
  <c r="A108" i="18"/>
  <c r="A110" i="18"/>
  <c r="A113" i="18"/>
  <c r="A114" i="18"/>
  <c r="A115" i="18"/>
  <c r="A117" i="18"/>
  <c r="A118" i="18"/>
  <c r="A119" i="18"/>
  <c r="A120" i="18"/>
  <c r="A121" i="18"/>
  <c r="A122" i="18"/>
  <c r="A123" i="18"/>
  <c r="A124" i="18"/>
  <c r="A125" i="18"/>
  <c r="A126" i="18"/>
  <c r="A127" i="18"/>
  <c r="A128" i="18"/>
  <c r="A129" i="18"/>
  <c r="A131" i="18"/>
  <c r="A132" i="18"/>
  <c r="A133" i="18"/>
  <c r="A134" i="18"/>
  <c r="A135" i="18"/>
  <c r="A137" i="18"/>
  <c r="A138" i="18"/>
  <c r="A139" i="18"/>
  <c r="A141" i="18"/>
  <c r="I137" i="17"/>
  <c r="F150" i="9"/>
  <c r="A76" i="17"/>
  <c r="A77" i="17"/>
  <c r="A78" i="17"/>
  <c r="A80" i="17"/>
  <c r="A81" i="17"/>
  <c r="A82" i="17"/>
  <c r="A83" i="17"/>
  <c r="A84" i="17"/>
  <c r="A85" i="17"/>
  <c r="A86" i="17"/>
  <c r="A87" i="17"/>
  <c r="A88" i="17"/>
  <c r="A89" i="17"/>
  <c r="A90" i="17"/>
  <c r="A91" i="17"/>
  <c r="A93" i="17"/>
  <c r="A94" i="17"/>
  <c r="A95" i="17"/>
  <c r="A96" i="17"/>
  <c r="A98" i="17"/>
  <c r="A101" i="17"/>
  <c r="A102" i="17"/>
  <c r="A103" i="17"/>
  <c r="A104" i="17"/>
  <c r="A105" i="17"/>
  <c r="A107" i="17"/>
  <c r="A110" i="17"/>
  <c r="A111" i="17"/>
  <c r="A112" i="17"/>
  <c r="A114" i="17"/>
  <c r="A115" i="17"/>
  <c r="A116" i="17"/>
  <c r="A117" i="17"/>
  <c r="A118" i="17"/>
  <c r="A119" i="17"/>
  <c r="A120" i="17"/>
  <c r="A121" i="17"/>
  <c r="A122" i="17"/>
  <c r="A123" i="17"/>
  <c r="A124" i="17"/>
  <c r="A125" i="17"/>
  <c r="A126" i="17"/>
  <c r="A128" i="17"/>
  <c r="A129" i="17"/>
  <c r="A130" i="17"/>
  <c r="A131" i="17"/>
  <c r="A133" i="17"/>
  <c r="A134" i="17"/>
  <c r="A135" i="17"/>
  <c r="A137" i="17"/>
  <c r="I126" i="17"/>
  <c r="F138" i="9"/>
  <c r="H135" i="17"/>
  <c r="G135" i="17"/>
  <c r="F135" i="17"/>
  <c r="E135" i="17"/>
  <c r="D135" i="17"/>
  <c r="D110" i="17"/>
  <c r="I110" i="17"/>
  <c r="E110" i="17"/>
  <c r="F110" i="17"/>
  <c r="F133" i="17"/>
  <c r="F134" i="17"/>
  <c r="G110" i="17"/>
  <c r="H110" i="17"/>
  <c r="H133" i="17"/>
  <c r="H134" i="17"/>
  <c r="D111" i="17"/>
  <c r="I111" i="17"/>
  <c r="E111" i="17"/>
  <c r="F111" i="17"/>
  <c r="G111" i="17"/>
  <c r="H111" i="17"/>
  <c r="D112" i="17"/>
  <c r="I112" i="17"/>
  <c r="E112" i="17"/>
  <c r="F112" i="17"/>
  <c r="G112" i="17"/>
  <c r="H112" i="17"/>
  <c r="D114" i="17"/>
  <c r="I114" i="17"/>
  <c r="E114" i="17"/>
  <c r="F114" i="17"/>
  <c r="G114" i="17"/>
  <c r="H114" i="17"/>
  <c r="D115" i="17"/>
  <c r="I115" i="17"/>
  <c r="E115" i="17"/>
  <c r="F115" i="17"/>
  <c r="G115" i="17"/>
  <c r="H115" i="17"/>
  <c r="D116" i="17"/>
  <c r="I116" i="17"/>
  <c r="E116" i="17"/>
  <c r="F116" i="17"/>
  <c r="G116" i="17"/>
  <c r="H116" i="17"/>
  <c r="D117" i="17"/>
  <c r="I117" i="17"/>
  <c r="E117" i="17"/>
  <c r="F117" i="17"/>
  <c r="G117" i="17"/>
  <c r="H117" i="17"/>
  <c r="D118" i="17"/>
  <c r="I118" i="17"/>
  <c r="E118" i="17"/>
  <c r="F118" i="17"/>
  <c r="G118" i="17"/>
  <c r="H118" i="17"/>
  <c r="D119" i="17"/>
  <c r="I119" i="17"/>
  <c r="E119" i="17"/>
  <c r="F119" i="17"/>
  <c r="G119" i="17"/>
  <c r="H119" i="17"/>
  <c r="D120" i="17"/>
  <c r="I120" i="17"/>
  <c r="E120" i="17"/>
  <c r="F120" i="17"/>
  <c r="G120" i="17"/>
  <c r="H120" i="17"/>
  <c r="D121" i="17"/>
  <c r="I121" i="17"/>
  <c r="E121" i="17"/>
  <c r="F121" i="17"/>
  <c r="G121" i="17"/>
  <c r="H121" i="17"/>
  <c r="D122" i="17"/>
  <c r="I122" i="17"/>
  <c r="E122" i="17"/>
  <c r="F122" i="17"/>
  <c r="G122" i="17"/>
  <c r="H122" i="17"/>
  <c r="D123" i="17"/>
  <c r="I123" i="17"/>
  <c r="E123" i="17"/>
  <c r="F123" i="17"/>
  <c r="G123" i="17"/>
  <c r="H123" i="17"/>
  <c r="D124" i="17"/>
  <c r="I124" i="17"/>
  <c r="E124" i="17"/>
  <c r="F124" i="17"/>
  <c r="G124" i="17"/>
  <c r="H124" i="17"/>
  <c r="D125" i="17"/>
  <c r="I125" i="17"/>
  <c r="E91" i="17"/>
  <c r="E125" i="17"/>
  <c r="F125" i="17"/>
  <c r="G125" i="17"/>
  <c r="H125" i="17"/>
  <c r="D128" i="17"/>
  <c r="E128" i="17"/>
  <c r="I128" i="17"/>
  <c r="F140" i="9"/>
  <c r="F128" i="17"/>
  <c r="G128" i="17"/>
  <c r="G133" i="17"/>
  <c r="G134" i="17"/>
  <c r="H128" i="17"/>
  <c r="D94" i="17"/>
  <c r="D129" i="17"/>
  <c r="I129" i="17"/>
  <c r="F141" i="9"/>
  <c r="E129" i="17"/>
  <c r="F129" i="17"/>
  <c r="G129" i="17"/>
  <c r="H129" i="17"/>
  <c r="D130" i="17"/>
  <c r="I130" i="17"/>
  <c r="F142" i="9"/>
  <c r="E130" i="17"/>
  <c r="F130" i="17"/>
  <c r="G130" i="17"/>
  <c r="H130" i="17"/>
  <c r="D131" i="17"/>
  <c r="E131" i="17"/>
  <c r="F131" i="17"/>
  <c r="G131" i="17"/>
  <c r="H131" i="17"/>
  <c r="I131" i="17"/>
  <c r="F143" i="9"/>
  <c r="I101" i="17"/>
  <c r="F111" i="9"/>
  <c r="I102" i="17"/>
  <c r="F112" i="9"/>
  <c r="I103" i="17"/>
  <c r="F113" i="9"/>
  <c r="I104" i="17"/>
  <c r="F114" i="9"/>
  <c r="I105" i="17"/>
  <c r="F115" i="9"/>
  <c r="I107" i="17"/>
  <c r="H107" i="17"/>
  <c r="G107" i="17"/>
  <c r="F107" i="17"/>
  <c r="E107" i="17"/>
  <c r="D107" i="17"/>
  <c r="I76" i="17"/>
  <c r="F83" i="9"/>
  <c r="I77" i="17"/>
  <c r="F85" i="9"/>
  <c r="F122" i="9"/>
  <c r="I78" i="17"/>
  <c r="F86" i="9"/>
  <c r="F123" i="9"/>
  <c r="I80" i="17"/>
  <c r="F88" i="9"/>
  <c r="F125" i="9"/>
  <c r="I81" i="17"/>
  <c r="F89" i="9"/>
  <c r="F126" i="9"/>
  <c r="I82" i="17"/>
  <c r="F90" i="9"/>
  <c r="F127" i="9"/>
  <c r="I83" i="17"/>
  <c r="F91" i="9"/>
  <c r="F128" i="9"/>
  <c r="I84" i="17"/>
  <c r="F92" i="9"/>
  <c r="F129" i="9"/>
  <c r="I85" i="17"/>
  <c r="F93" i="9"/>
  <c r="F130" i="9"/>
  <c r="I86" i="17"/>
  <c r="F94" i="9"/>
  <c r="F131" i="9"/>
  <c r="I87" i="17"/>
  <c r="F96" i="9"/>
  <c r="I88" i="17"/>
  <c r="F97" i="9"/>
  <c r="F134" i="9"/>
  <c r="I89" i="17"/>
  <c r="F98" i="9"/>
  <c r="I90" i="17"/>
  <c r="F99" i="9"/>
  <c r="F136" i="9"/>
  <c r="I91" i="17"/>
  <c r="F100" i="9"/>
  <c r="I93" i="17"/>
  <c r="F115" i="49"/>
  <c r="I94" i="17"/>
  <c r="F116" i="49"/>
  <c r="I95" i="17"/>
  <c r="F117" i="49"/>
  <c r="I96" i="17"/>
  <c r="F118" i="49"/>
  <c r="H98" i="17"/>
  <c r="G98" i="17"/>
  <c r="F98" i="17"/>
  <c r="G58" i="20"/>
  <c r="G198" i="20"/>
  <c r="C475" i="22"/>
  <c r="D64" i="18"/>
  <c r="D63" i="18"/>
  <c r="D62" i="18"/>
  <c r="H76" i="9"/>
  <c r="I26" i="19"/>
  <c r="H28" i="9"/>
  <c r="I27" i="19"/>
  <c r="H29" i="9"/>
  <c r="I28" i="19"/>
  <c r="H30" i="9"/>
  <c r="I29" i="19"/>
  <c r="H31" i="9"/>
  <c r="I59" i="19"/>
  <c r="H64" i="9"/>
  <c r="I37" i="19"/>
  <c r="H40" i="9"/>
  <c r="H234" i="9"/>
  <c r="H40" i="49"/>
  <c r="E23" i="19"/>
  <c r="I23" i="19"/>
  <c r="I22" i="19"/>
  <c r="H24" i="9"/>
  <c r="H24" i="49"/>
  <c r="I18" i="19"/>
  <c r="H19" i="9"/>
  <c r="C4" i="25"/>
  <c r="C5" i="25"/>
  <c r="C6" i="25"/>
  <c r="D4" i="25"/>
  <c r="D13" i="25"/>
  <c r="D14" i="25"/>
  <c r="C337" i="22"/>
  <c r="E337" i="22"/>
  <c r="F337" i="22"/>
  <c r="C336" i="22"/>
  <c r="D336" i="22"/>
  <c r="E336" i="22"/>
  <c r="F336" i="22"/>
  <c r="H336" i="22"/>
  <c r="I336" i="22"/>
  <c r="C351" i="22"/>
  <c r="D351" i="22"/>
  <c r="E351" i="22"/>
  <c r="F351" i="22"/>
  <c r="C350" i="22"/>
  <c r="D350" i="22"/>
  <c r="E350" i="22"/>
  <c r="F350" i="22"/>
  <c r="H350" i="22"/>
  <c r="I350" i="22"/>
  <c r="E365" i="22"/>
  <c r="F365" i="22"/>
  <c r="G365" i="22"/>
  <c r="E364" i="22"/>
  <c r="F364" i="22"/>
  <c r="G364" i="22"/>
  <c r="C380" i="22"/>
  <c r="D380" i="22"/>
  <c r="C379" i="22"/>
  <c r="D379" i="22"/>
  <c r="G379" i="22"/>
  <c r="C394" i="22"/>
  <c r="D394" i="22"/>
  <c r="C393" i="22"/>
  <c r="D393" i="22"/>
  <c r="G393" i="22"/>
  <c r="C480" i="22"/>
  <c r="D480" i="22"/>
  <c r="E480" i="22"/>
  <c r="F480" i="22"/>
  <c r="H480" i="22"/>
  <c r="I480" i="22"/>
  <c r="C479" i="22"/>
  <c r="D479" i="22"/>
  <c r="E479" i="22"/>
  <c r="F479" i="22"/>
  <c r="H479" i="22"/>
  <c r="I479" i="22"/>
  <c r="C466" i="22"/>
  <c r="D466" i="22"/>
  <c r="E466" i="22"/>
  <c r="F466" i="22"/>
  <c r="H466" i="22"/>
  <c r="I466" i="22"/>
  <c r="C465" i="22"/>
  <c r="D465" i="22"/>
  <c r="E465" i="22"/>
  <c r="F465" i="22"/>
  <c r="H465" i="22"/>
  <c r="I465" i="22"/>
  <c r="C451" i="22"/>
  <c r="D451" i="22"/>
  <c r="E451" i="22"/>
  <c r="F451" i="22"/>
  <c r="I451" i="22"/>
  <c r="C450" i="22"/>
  <c r="D450" i="22"/>
  <c r="E450" i="22"/>
  <c r="F450" i="22"/>
  <c r="I450" i="22"/>
  <c r="C437" i="22"/>
  <c r="D437" i="22"/>
  <c r="E437" i="22"/>
  <c r="F437" i="22"/>
  <c r="I437" i="22"/>
  <c r="C436" i="22"/>
  <c r="D436" i="22"/>
  <c r="E436" i="22"/>
  <c r="F436" i="22"/>
  <c r="H436" i="22"/>
  <c r="I436" i="22"/>
  <c r="C423" i="22"/>
  <c r="D423" i="22"/>
  <c r="E423" i="22"/>
  <c r="F423" i="22"/>
  <c r="I423" i="22"/>
  <c r="C422" i="22"/>
  <c r="D422" i="22"/>
  <c r="E422" i="22"/>
  <c r="F422" i="22"/>
  <c r="H422" i="22"/>
  <c r="I422" i="22"/>
  <c r="G408" i="22"/>
  <c r="F60" i="20"/>
  <c r="G31" i="18"/>
  <c r="G83" i="22"/>
  <c r="E6" i="29"/>
  <c r="G84" i="22"/>
  <c r="E7" i="29"/>
  <c r="G85" i="22"/>
  <c r="J85" i="22"/>
  <c r="G86" i="22"/>
  <c r="E9" i="29"/>
  <c r="G87" i="22"/>
  <c r="E10" i="29"/>
  <c r="G82" i="22"/>
  <c r="E5" i="29"/>
  <c r="L108" i="9"/>
  <c r="J108" i="9"/>
  <c r="I108" i="9"/>
  <c r="F102" i="9"/>
  <c r="F103" i="9"/>
  <c r="F104" i="9"/>
  <c r="F105" i="9"/>
  <c r="I137" i="16"/>
  <c r="E163" i="49"/>
  <c r="A76" i="16"/>
  <c r="A77" i="16"/>
  <c r="A78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3" i="16"/>
  <c r="A94" i="16"/>
  <c r="A95" i="16"/>
  <c r="A96" i="16"/>
  <c r="A98" i="16"/>
  <c r="A101" i="16"/>
  <c r="A102" i="16"/>
  <c r="A103" i="16"/>
  <c r="A104" i="16"/>
  <c r="A105" i="16"/>
  <c r="A107" i="16"/>
  <c r="A110" i="16"/>
  <c r="A111" i="16"/>
  <c r="A112" i="16"/>
  <c r="A114" i="16"/>
  <c r="A115" i="16"/>
  <c r="A116" i="16"/>
  <c r="A117" i="16"/>
  <c r="A118" i="16"/>
  <c r="A119" i="16"/>
  <c r="A120" i="16"/>
  <c r="A121" i="16"/>
  <c r="A122" i="16"/>
  <c r="A123" i="16"/>
  <c r="A124" i="16"/>
  <c r="A125" i="16"/>
  <c r="A126" i="16"/>
  <c r="A128" i="16"/>
  <c r="A129" i="16"/>
  <c r="A130" i="16"/>
  <c r="A131" i="16"/>
  <c r="A133" i="16"/>
  <c r="A134" i="16"/>
  <c r="A135" i="16"/>
  <c r="A137" i="16"/>
  <c r="I126" i="16"/>
  <c r="H135" i="16"/>
  <c r="G135" i="16"/>
  <c r="F135" i="16"/>
  <c r="E135" i="16"/>
  <c r="D135" i="16"/>
  <c r="D110" i="16"/>
  <c r="I110" i="16"/>
  <c r="I133" i="16"/>
  <c r="E110" i="16"/>
  <c r="F110" i="16"/>
  <c r="F133" i="16"/>
  <c r="F134" i="16"/>
  <c r="G110" i="16"/>
  <c r="H110" i="16"/>
  <c r="H133" i="16"/>
  <c r="H134" i="16"/>
  <c r="D111" i="16"/>
  <c r="E111" i="16"/>
  <c r="E133" i="16"/>
  <c r="E134" i="16"/>
  <c r="F111" i="16"/>
  <c r="G111" i="16"/>
  <c r="G133" i="16"/>
  <c r="G134" i="16"/>
  <c r="H111" i="16"/>
  <c r="I111" i="16"/>
  <c r="D112" i="16"/>
  <c r="E112" i="16"/>
  <c r="F112" i="16"/>
  <c r="G112" i="16"/>
  <c r="H112" i="16"/>
  <c r="I112" i="16"/>
  <c r="D114" i="16"/>
  <c r="E114" i="16"/>
  <c r="F114" i="16"/>
  <c r="G114" i="16"/>
  <c r="H114" i="16"/>
  <c r="I114" i="16"/>
  <c r="D115" i="16"/>
  <c r="E115" i="16"/>
  <c r="F115" i="16"/>
  <c r="G115" i="16"/>
  <c r="H115" i="16"/>
  <c r="I115" i="16"/>
  <c r="D116" i="16"/>
  <c r="E116" i="16"/>
  <c r="F116" i="16"/>
  <c r="G116" i="16"/>
  <c r="H116" i="16"/>
  <c r="I116" i="16"/>
  <c r="D117" i="16"/>
  <c r="E117" i="16"/>
  <c r="F117" i="16"/>
  <c r="G117" i="16"/>
  <c r="H117" i="16"/>
  <c r="I117" i="16"/>
  <c r="D118" i="16"/>
  <c r="E118" i="16"/>
  <c r="F118" i="16"/>
  <c r="G118" i="16"/>
  <c r="H118" i="16"/>
  <c r="I118" i="16"/>
  <c r="D119" i="16"/>
  <c r="E119" i="16"/>
  <c r="F119" i="16"/>
  <c r="G119" i="16"/>
  <c r="H119" i="16"/>
  <c r="I119" i="16"/>
  <c r="D120" i="16"/>
  <c r="E120" i="16"/>
  <c r="F120" i="16"/>
  <c r="G120" i="16"/>
  <c r="H120" i="16"/>
  <c r="I120" i="16"/>
  <c r="D121" i="16"/>
  <c r="E121" i="16"/>
  <c r="F121" i="16"/>
  <c r="G121" i="16"/>
  <c r="H121" i="16"/>
  <c r="I121" i="16"/>
  <c r="D122" i="16"/>
  <c r="E122" i="16"/>
  <c r="F122" i="16"/>
  <c r="G122" i="16"/>
  <c r="H122" i="16"/>
  <c r="I122" i="16"/>
  <c r="D123" i="16"/>
  <c r="E123" i="16"/>
  <c r="F123" i="16"/>
  <c r="G123" i="16"/>
  <c r="H123" i="16"/>
  <c r="I123" i="16"/>
  <c r="D124" i="16"/>
  <c r="E124" i="16"/>
  <c r="F124" i="16"/>
  <c r="G124" i="16"/>
  <c r="H124" i="16"/>
  <c r="I124" i="16"/>
  <c r="D125" i="16"/>
  <c r="E125" i="16"/>
  <c r="F125" i="16"/>
  <c r="G125" i="16"/>
  <c r="H125" i="16"/>
  <c r="I125" i="16"/>
  <c r="D128" i="16"/>
  <c r="E128" i="16"/>
  <c r="F128" i="16"/>
  <c r="G128" i="16"/>
  <c r="H128" i="16"/>
  <c r="I128" i="16"/>
  <c r="D129" i="16"/>
  <c r="E129" i="16"/>
  <c r="F129" i="16"/>
  <c r="G129" i="16"/>
  <c r="H129" i="16"/>
  <c r="I129" i="16"/>
  <c r="D130" i="16"/>
  <c r="E130" i="16"/>
  <c r="F130" i="16"/>
  <c r="G130" i="16"/>
  <c r="H130" i="16"/>
  <c r="I130" i="16"/>
  <c r="D131" i="16"/>
  <c r="E131" i="16"/>
  <c r="F131" i="16"/>
  <c r="G131" i="16"/>
  <c r="H131" i="16"/>
  <c r="I131" i="16"/>
  <c r="I101" i="16"/>
  <c r="I102" i="16"/>
  <c r="I103" i="16"/>
  <c r="I104" i="16"/>
  <c r="I105" i="16"/>
  <c r="I107" i="16"/>
  <c r="H107" i="16"/>
  <c r="G107" i="16"/>
  <c r="F107" i="16"/>
  <c r="E107" i="16"/>
  <c r="D107" i="16"/>
  <c r="I76" i="16"/>
  <c r="I77" i="16"/>
  <c r="I78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3" i="16"/>
  <c r="I94" i="16"/>
  <c r="I95" i="16"/>
  <c r="I96" i="16"/>
  <c r="H98" i="16"/>
  <c r="G98" i="16"/>
  <c r="F98" i="16"/>
  <c r="E98" i="16"/>
  <c r="D98" i="16"/>
  <c r="G137" i="15"/>
  <c r="I137" i="15"/>
  <c r="A76" i="15"/>
  <c r="A77" i="15"/>
  <c r="A78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3" i="15"/>
  <c r="A94" i="15"/>
  <c r="A95" i="15"/>
  <c r="A96" i="15"/>
  <c r="A98" i="15"/>
  <c r="A101" i="15"/>
  <c r="A102" i="15"/>
  <c r="A103" i="15"/>
  <c r="A104" i="15"/>
  <c r="A105" i="15"/>
  <c r="A107" i="15"/>
  <c r="A110" i="15"/>
  <c r="A111" i="15"/>
  <c r="A112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8" i="15"/>
  <c r="A129" i="15"/>
  <c r="A130" i="15"/>
  <c r="A131" i="15"/>
  <c r="A133" i="15"/>
  <c r="A134" i="15"/>
  <c r="A135" i="15"/>
  <c r="A137" i="15"/>
  <c r="I126" i="15"/>
  <c r="I135" i="15"/>
  <c r="H135" i="15"/>
  <c r="G135" i="15"/>
  <c r="F135" i="15"/>
  <c r="E135" i="15"/>
  <c r="D135" i="15"/>
  <c r="D110" i="15"/>
  <c r="E110" i="15"/>
  <c r="F110" i="15"/>
  <c r="I110" i="15"/>
  <c r="G110" i="15"/>
  <c r="H110" i="15"/>
  <c r="H133" i="15"/>
  <c r="H134" i="15"/>
  <c r="D111" i="15"/>
  <c r="E111" i="15"/>
  <c r="F111" i="15"/>
  <c r="I111" i="15"/>
  <c r="G111" i="15"/>
  <c r="H111" i="15"/>
  <c r="D112" i="15"/>
  <c r="E112" i="15"/>
  <c r="F112" i="15"/>
  <c r="I112" i="15"/>
  <c r="G112" i="15"/>
  <c r="H112" i="15"/>
  <c r="D114" i="15"/>
  <c r="E114" i="15"/>
  <c r="F114" i="15"/>
  <c r="I114" i="15"/>
  <c r="G114" i="15"/>
  <c r="H114" i="15"/>
  <c r="D115" i="15"/>
  <c r="E115" i="15"/>
  <c r="F115" i="15"/>
  <c r="I115" i="15"/>
  <c r="G115" i="15"/>
  <c r="H115" i="15"/>
  <c r="D116" i="15"/>
  <c r="E116" i="15"/>
  <c r="F116" i="15"/>
  <c r="I116" i="15"/>
  <c r="G116" i="15"/>
  <c r="H116" i="15"/>
  <c r="D117" i="15"/>
  <c r="E117" i="15"/>
  <c r="F117" i="15"/>
  <c r="I117" i="15"/>
  <c r="G117" i="15"/>
  <c r="H117" i="15"/>
  <c r="D118" i="15"/>
  <c r="E118" i="15"/>
  <c r="F118" i="15"/>
  <c r="I118" i="15"/>
  <c r="G118" i="15"/>
  <c r="H118" i="15"/>
  <c r="D119" i="15"/>
  <c r="E119" i="15"/>
  <c r="I119" i="15"/>
  <c r="F119" i="15"/>
  <c r="G119" i="15"/>
  <c r="G133" i="15"/>
  <c r="G134" i="15"/>
  <c r="H119" i="15"/>
  <c r="D120" i="15"/>
  <c r="I120" i="15"/>
  <c r="E120" i="15"/>
  <c r="F120" i="15"/>
  <c r="G120" i="15"/>
  <c r="H120" i="15"/>
  <c r="D121" i="15"/>
  <c r="I121" i="15"/>
  <c r="E121" i="15"/>
  <c r="F121" i="15"/>
  <c r="G121" i="15"/>
  <c r="H121" i="15"/>
  <c r="D122" i="15"/>
  <c r="I122" i="15"/>
  <c r="E122" i="15"/>
  <c r="F122" i="15"/>
  <c r="G122" i="15"/>
  <c r="H122" i="15"/>
  <c r="D123" i="15"/>
  <c r="E123" i="15"/>
  <c r="F123" i="15"/>
  <c r="I123" i="15"/>
  <c r="G123" i="15"/>
  <c r="H123" i="15"/>
  <c r="D124" i="15"/>
  <c r="E124" i="15"/>
  <c r="I124" i="15"/>
  <c r="F124" i="15"/>
  <c r="G124" i="15"/>
  <c r="H124" i="15"/>
  <c r="D125" i="15"/>
  <c r="I125" i="15"/>
  <c r="E125" i="15"/>
  <c r="F125" i="15"/>
  <c r="G125" i="15"/>
  <c r="H125" i="15"/>
  <c r="D128" i="15"/>
  <c r="I128" i="15"/>
  <c r="D140" i="9"/>
  <c r="E128" i="15"/>
  <c r="F128" i="15"/>
  <c r="G128" i="15"/>
  <c r="H128" i="15"/>
  <c r="D129" i="15"/>
  <c r="E129" i="15"/>
  <c r="I129" i="15"/>
  <c r="D141" i="9"/>
  <c r="F129" i="15"/>
  <c r="G129" i="15"/>
  <c r="H129" i="15"/>
  <c r="D130" i="15"/>
  <c r="I130" i="15"/>
  <c r="D142" i="9"/>
  <c r="E130" i="15"/>
  <c r="F130" i="15"/>
  <c r="G130" i="15"/>
  <c r="H130" i="15"/>
  <c r="D131" i="15"/>
  <c r="E131" i="15"/>
  <c r="F131" i="15"/>
  <c r="I131" i="15"/>
  <c r="G131" i="15"/>
  <c r="H131" i="15"/>
  <c r="I101" i="15"/>
  <c r="I102" i="15"/>
  <c r="I103" i="15"/>
  <c r="I104" i="15"/>
  <c r="I105" i="15"/>
  <c r="H107" i="15"/>
  <c r="G107" i="15"/>
  <c r="F107" i="15"/>
  <c r="E107" i="15"/>
  <c r="D107" i="15"/>
  <c r="I76" i="15"/>
  <c r="I77" i="15"/>
  <c r="I78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3" i="15"/>
  <c r="I94" i="15"/>
  <c r="I95" i="15"/>
  <c r="I96" i="15"/>
  <c r="I98" i="15"/>
  <c r="H98" i="15"/>
  <c r="G98" i="15"/>
  <c r="F98" i="15"/>
  <c r="E98" i="15"/>
  <c r="D98" i="15"/>
  <c r="D57" i="19"/>
  <c r="P16" i="32"/>
  <c r="P28" i="32"/>
  <c r="K16" i="32"/>
  <c r="K28" i="32"/>
  <c r="N89" i="32"/>
  <c r="I89" i="32"/>
  <c r="M25" i="32"/>
  <c r="O25" i="32"/>
  <c r="P25" i="32"/>
  <c r="J25" i="32"/>
  <c r="K25" i="32"/>
  <c r="Q25" i="32"/>
  <c r="L25" i="32"/>
  <c r="I109" i="32"/>
  <c r="H109" i="32"/>
  <c r="N109" i="32"/>
  <c r="Q39" i="32"/>
  <c r="G87" i="32"/>
  <c r="C114" i="32"/>
  <c r="F8" i="32"/>
  <c r="K8" i="32"/>
  <c r="P8" i="32"/>
  <c r="F9" i="32"/>
  <c r="K9" i="32"/>
  <c r="P9" i="32"/>
  <c r="F10" i="32"/>
  <c r="G10" i="32"/>
  <c r="K10" i="32"/>
  <c r="K35" i="32"/>
  <c r="L10" i="32"/>
  <c r="P10" i="32"/>
  <c r="Q10" i="32"/>
  <c r="F11" i="32"/>
  <c r="G11" i="32"/>
  <c r="K11" i="32"/>
  <c r="L11" i="32"/>
  <c r="P11" i="32"/>
  <c r="P36" i="32"/>
  <c r="Q11" i="32"/>
  <c r="C12" i="32"/>
  <c r="F12" i="32"/>
  <c r="D12" i="32"/>
  <c r="E12" i="32"/>
  <c r="G12" i="32"/>
  <c r="K12" i="32"/>
  <c r="L12" i="32"/>
  <c r="P12" i="32"/>
  <c r="Q12" i="32"/>
  <c r="C13" i="32"/>
  <c r="D13" i="32"/>
  <c r="G13" i="32"/>
  <c r="E13" i="32"/>
  <c r="K13" i="32"/>
  <c r="K38" i="32"/>
  <c r="L13" i="32"/>
  <c r="P13" i="32"/>
  <c r="P38" i="32"/>
  <c r="Q13" i="32"/>
  <c r="C14" i="32"/>
  <c r="F14" i="32"/>
  <c r="D14" i="32"/>
  <c r="E14" i="32"/>
  <c r="G14" i="32"/>
  <c r="L14" i="32"/>
  <c r="Q14" i="32"/>
  <c r="C15" i="32"/>
  <c r="D15" i="32"/>
  <c r="G15" i="32"/>
  <c r="E15" i="32"/>
  <c r="K15" i="32"/>
  <c r="L15" i="32"/>
  <c r="P15" i="32"/>
  <c r="Q15" i="32"/>
  <c r="D16" i="32"/>
  <c r="G16" i="32"/>
  <c r="E16" i="32"/>
  <c r="L16" i="32"/>
  <c r="Q16" i="32"/>
  <c r="F20" i="32"/>
  <c r="K20" i="32"/>
  <c r="P20" i="32"/>
  <c r="F21" i="32"/>
  <c r="K21" i="32"/>
  <c r="P21" i="32"/>
  <c r="F22" i="32"/>
  <c r="F35" i="32"/>
  <c r="G22" i="32"/>
  <c r="K22" i="32"/>
  <c r="L22" i="32"/>
  <c r="P22" i="32"/>
  <c r="Q22" i="32"/>
  <c r="F23" i="32"/>
  <c r="F36" i="32"/>
  <c r="G23" i="32"/>
  <c r="K23" i="32"/>
  <c r="K36" i="32"/>
  <c r="L23" i="32"/>
  <c r="P23" i="32"/>
  <c r="Q23" i="32"/>
  <c r="C24" i="32"/>
  <c r="D24" i="32"/>
  <c r="E24" i="32"/>
  <c r="F24" i="32"/>
  <c r="G24" i="32"/>
  <c r="K24" i="32"/>
  <c r="K37" i="32"/>
  <c r="L24" i="32"/>
  <c r="P24" i="32"/>
  <c r="Q24" i="32"/>
  <c r="C25" i="32"/>
  <c r="D25" i="32"/>
  <c r="G25" i="32"/>
  <c r="E25" i="32"/>
  <c r="F25" i="32"/>
  <c r="C26" i="32"/>
  <c r="F26" i="32"/>
  <c r="D26" i="32"/>
  <c r="E26" i="32"/>
  <c r="G26" i="32"/>
  <c r="L26" i="32"/>
  <c r="Q26" i="32"/>
  <c r="C27" i="32"/>
  <c r="D27" i="32"/>
  <c r="G27" i="32"/>
  <c r="E27" i="32"/>
  <c r="K27" i="32"/>
  <c r="L27" i="32"/>
  <c r="P27" i="32"/>
  <c r="Q27" i="32"/>
  <c r="C28" i="32"/>
  <c r="D28" i="32"/>
  <c r="F28" i="32"/>
  <c r="E28" i="32"/>
  <c r="G28" i="32"/>
  <c r="L28" i="32"/>
  <c r="Q28" i="32"/>
  <c r="C35" i="32"/>
  <c r="D35" i="32"/>
  <c r="G35" i="32"/>
  <c r="E35" i="32"/>
  <c r="H35" i="32"/>
  <c r="H48" i="32"/>
  <c r="I35" i="32"/>
  <c r="J35" i="32"/>
  <c r="L35" i="32"/>
  <c r="M35" i="32"/>
  <c r="N35" i="32"/>
  <c r="Q35" i="32"/>
  <c r="O35" i="32"/>
  <c r="P35" i="32"/>
  <c r="C36" i="32"/>
  <c r="C49" i="32"/>
  <c r="D36" i="32"/>
  <c r="E36" i="32"/>
  <c r="G36" i="32"/>
  <c r="H36" i="32"/>
  <c r="I36" i="32"/>
  <c r="L36" i="32"/>
  <c r="J36" i="32"/>
  <c r="M36" i="32"/>
  <c r="M49" i="32"/>
  <c r="N36" i="32"/>
  <c r="O36" i="32"/>
  <c r="Q36" i="32"/>
  <c r="H37" i="32"/>
  <c r="M37" i="32"/>
  <c r="C37" i="32"/>
  <c r="C50" i="32"/>
  <c r="I37" i="32"/>
  <c r="L37" i="32"/>
  <c r="N37" i="32"/>
  <c r="D37" i="32"/>
  <c r="G37" i="32"/>
  <c r="J37" i="32"/>
  <c r="O37" i="32"/>
  <c r="E37" i="32"/>
  <c r="P37" i="32"/>
  <c r="M38" i="32"/>
  <c r="C38" i="32"/>
  <c r="J38" i="32"/>
  <c r="O38" i="32"/>
  <c r="E38" i="32"/>
  <c r="L38" i="32"/>
  <c r="Q38" i="32"/>
  <c r="D39" i="32"/>
  <c r="E39" i="32"/>
  <c r="L39" i="32"/>
  <c r="E40" i="32"/>
  <c r="E41" i="32"/>
  <c r="K89" i="32"/>
  <c r="P89" i="32"/>
  <c r="M48" i="32"/>
  <c r="H49" i="32"/>
  <c r="H50" i="32"/>
  <c r="F60" i="32"/>
  <c r="G60" i="32"/>
  <c r="K60" i="32"/>
  <c r="L60" i="32"/>
  <c r="P60" i="32"/>
  <c r="Q60" i="32"/>
  <c r="F61" i="32"/>
  <c r="K61" i="32"/>
  <c r="P61" i="32"/>
  <c r="F62" i="32"/>
  <c r="K62" i="32"/>
  <c r="P62" i="32"/>
  <c r="E108" i="32"/>
  <c r="E109" i="32"/>
  <c r="J109" i="32"/>
  <c r="K63" i="32"/>
  <c r="O109" i="32"/>
  <c r="P63" i="32"/>
  <c r="D64" i="32"/>
  <c r="G64" i="32"/>
  <c r="G94" i="32"/>
  <c r="E64" i="32"/>
  <c r="F64" i="32"/>
  <c r="K64" i="32"/>
  <c r="P64" i="32"/>
  <c r="D65" i="32"/>
  <c r="G65" i="32"/>
  <c r="G95" i="32"/>
  <c r="E65" i="32"/>
  <c r="F65" i="32"/>
  <c r="K65" i="32"/>
  <c r="P65" i="32"/>
  <c r="E66" i="32"/>
  <c r="P66" i="32"/>
  <c r="H72" i="32"/>
  <c r="M72" i="32"/>
  <c r="C73" i="32"/>
  <c r="H73" i="32"/>
  <c r="M73" i="32"/>
  <c r="F85" i="32"/>
  <c r="G85" i="32"/>
  <c r="K85" i="32"/>
  <c r="P85" i="32"/>
  <c r="Q85" i="32"/>
  <c r="C86" i="32"/>
  <c r="F86" i="32"/>
  <c r="D86" i="32"/>
  <c r="E86" i="32"/>
  <c r="G86" i="32"/>
  <c r="K86" i="32"/>
  <c r="P86" i="32"/>
  <c r="Q86" i="32"/>
  <c r="C87" i="32"/>
  <c r="C88" i="32"/>
  <c r="C89" i="32"/>
  <c r="G89" i="32"/>
  <c r="D89" i="32"/>
  <c r="F89" i="32"/>
  <c r="M90" i="32"/>
  <c r="N90" i="32"/>
  <c r="P90" i="32"/>
  <c r="F107" i="32"/>
  <c r="G107" i="32"/>
  <c r="K107" i="32"/>
  <c r="L107" i="32"/>
  <c r="P107" i="32"/>
  <c r="Q107" i="32"/>
  <c r="G108" i="32"/>
  <c r="K108" i="32"/>
  <c r="K109" i="32"/>
  <c r="L108" i="32"/>
  <c r="P108" i="32"/>
  <c r="P109" i="32"/>
  <c r="Q108" i="32"/>
  <c r="L109" i="32"/>
  <c r="Q109" i="32"/>
  <c r="D114" i="32"/>
  <c r="E114" i="32"/>
  <c r="F114" i="32"/>
  <c r="F116" i="32"/>
  <c r="G114" i="32"/>
  <c r="L114" i="32"/>
  <c r="Q114" i="32"/>
  <c r="C115" i="32"/>
  <c r="D115" i="32"/>
  <c r="G115" i="32"/>
  <c r="E115" i="32"/>
  <c r="F115" i="32"/>
  <c r="L115" i="32"/>
  <c r="P115" i="32"/>
  <c r="P116" i="32"/>
  <c r="Q115" i="32"/>
  <c r="C116" i="32"/>
  <c r="D116" i="32"/>
  <c r="G116" i="32"/>
  <c r="I116" i="32"/>
  <c r="J116" i="32"/>
  <c r="L116" i="32"/>
  <c r="O116" i="32"/>
  <c r="H117" i="32"/>
  <c r="C15" i="23"/>
  <c r="D15" i="23"/>
  <c r="E15" i="23"/>
  <c r="C14" i="23"/>
  <c r="E14" i="23"/>
  <c r="E65" i="20"/>
  <c r="G65" i="20"/>
  <c r="G205" i="20"/>
  <c r="D65" i="19"/>
  <c r="F205" i="20"/>
  <c r="E205" i="20"/>
  <c r="D205" i="20"/>
  <c r="H211" i="21"/>
  <c r="D211" i="21"/>
  <c r="I211" i="30"/>
  <c r="G211" i="30"/>
  <c r="F211" i="30"/>
  <c r="E211" i="30"/>
  <c r="J169" i="31"/>
  <c r="I169" i="31"/>
  <c r="G169" i="31"/>
  <c r="F169" i="31"/>
  <c r="E169" i="31"/>
  <c r="D169" i="31"/>
  <c r="I205" i="31"/>
  <c r="G205" i="31"/>
  <c r="F205" i="31"/>
  <c r="E205" i="31"/>
  <c r="D205" i="31"/>
  <c r="J174" i="30"/>
  <c r="I174" i="30"/>
  <c r="G174" i="30"/>
  <c r="F174" i="30"/>
  <c r="E174" i="30"/>
  <c r="D174" i="30"/>
  <c r="I174" i="21"/>
  <c r="H174" i="21"/>
  <c r="G174" i="21"/>
  <c r="F174" i="21"/>
  <c r="E174" i="21"/>
  <c r="D174" i="21"/>
  <c r="F169" i="20"/>
  <c r="E169" i="20"/>
  <c r="D169" i="20"/>
  <c r="E44" i="21"/>
  <c r="E46" i="21"/>
  <c r="E47" i="21"/>
  <c r="F49" i="21"/>
  <c r="E52" i="21"/>
  <c r="F55" i="21"/>
  <c r="E45" i="20"/>
  <c r="I45" i="20"/>
  <c r="E47" i="20"/>
  <c r="I47" i="20"/>
  <c r="E48" i="20"/>
  <c r="I48" i="20"/>
  <c r="E49" i="20"/>
  <c r="I49" i="20"/>
  <c r="E50" i="20"/>
  <c r="I50" i="20"/>
  <c r="E51" i="20"/>
  <c r="I51" i="20"/>
  <c r="E61" i="20"/>
  <c r="I61" i="20"/>
  <c r="E62" i="20"/>
  <c r="I62" i="20"/>
  <c r="E63" i="20"/>
  <c r="I63" i="20"/>
  <c r="E64" i="20"/>
  <c r="I64" i="20"/>
  <c r="G53" i="20"/>
  <c r="D62" i="19"/>
  <c r="D63" i="19"/>
  <c r="D64" i="19"/>
  <c r="D54" i="19"/>
  <c r="D55" i="19"/>
  <c r="D56" i="19"/>
  <c r="D58" i="19"/>
  <c r="D43" i="19"/>
  <c r="D44" i="19"/>
  <c r="D45" i="19"/>
  <c r="D48" i="19"/>
  <c r="D49" i="19"/>
  <c r="D50" i="19"/>
  <c r="D51" i="19"/>
  <c r="D52" i="19"/>
  <c r="D61" i="19"/>
  <c r="D47" i="19"/>
  <c r="E67" i="21"/>
  <c r="F67" i="21"/>
  <c r="F211" i="21"/>
  <c r="G67" i="21"/>
  <c r="G211" i="21"/>
  <c r="G32" i="21"/>
  <c r="E32" i="21"/>
  <c r="A8" i="20"/>
  <c r="A9" i="20"/>
  <c r="A10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A25" i="20"/>
  <c r="A26" i="20"/>
  <c r="A27" i="20"/>
  <c r="A28" i="20"/>
  <c r="A29" i="20"/>
  <c r="A31" i="20"/>
  <c r="A34" i="20"/>
  <c r="A35" i="20"/>
  <c r="A36" i="20"/>
  <c r="A37" i="20"/>
  <c r="A38" i="20"/>
  <c r="A40" i="20"/>
  <c r="A43" i="20"/>
  <c r="A44" i="20"/>
  <c r="A45" i="20"/>
  <c r="A47" i="20"/>
  <c r="A48" i="20"/>
  <c r="A49" i="20"/>
  <c r="A50" i="20"/>
  <c r="A51" i="20"/>
  <c r="A52" i="20"/>
  <c r="A53" i="20"/>
  <c r="A54" i="20"/>
  <c r="A55" i="20"/>
  <c r="A56" i="20"/>
  <c r="A57" i="20"/>
  <c r="A58" i="20"/>
  <c r="A59" i="20"/>
  <c r="A61" i="20"/>
  <c r="A62" i="20"/>
  <c r="A63" i="20"/>
  <c r="A64" i="20"/>
  <c r="A65" i="20"/>
  <c r="A67" i="20"/>
  <c r="A68" i="20"/>
  <c r="A69" i="20"/>
  <c r="A71" i="20"/>
  <c r="A148" i="20"/>
  <c r="A149" i="20"/>
  <c r="A150" i="20"/>
  <c r="A152" i="20"/>
  <c r="A153" i="20"/>
  <c r="A154" i="20"/>
  <c r="A155" i="20"/>
  <c r="A156" i="20"/>
  <c r="A157" i="20"/>
  <c r="A158" i="20"/>
  <c r="A159" i="20"/>
  <c r="A160" i="20"/>
  <c r="A161" i="20"/>
  <c r="A162" i="20"/>
  <c r="A163" i="20"/>
  <c r="A165" i="20"/>
  <c r="A166" i="20"/>
  <c r="A167" i="20"/>
  <c r="A168" i="20"/>
  <c r="A169" i="20"/>
  <c r="A171" i="20"/>
  <c r="A174" i="20"/>
  <c r="A175" i="20"/>
  <c r="A176" i="20"/>
  <c r="A177" i="20"/>
  <c r="A178" i="20"/>
  <c r="A180" i="20"/>
  <c r="A183" i="20"/>
  <c r="A184" i="20"/>
  <c r="A185" i="20"/>
  <c r="A187" i="20"/>
  <c r="A188" i="20"/>
  <c r="A189" i="20"/>
  <c r="A190" i="20"/>
  <c r="A191" i="20"/>
  <c r="A192" i="20"/>
  <c r="A193" i="20"/>
  <c r="A194" i="20"/>
  <c r="A195" i="20"/>
  <c r="A196" i="20"/>
  <c r="A197" i="20"/>
  <c r="A198" i="20"/>
  <c r="A199" i="20"/>
  <c r="A201" i="20"/>
  <c r="A202" i="20"/>
  <c r="A203" i="20"/>
  <c r="A204" i="20"/>
  <c r="A205" i="20"/>
  <c r="A207" i="20"/>
  <c r="A208" i="20"/>
  <c r="A209" i="20"/>
  <c r="A211" i="20"/>
  <c r="A201" i="30"/>
  <c r="A202" i="30"/>
  <c r="A203" i="30"/>
  <c r="A204" i="30"/>
  <c r="A205" i="30"/>
  <c r="A207" i="30"/>
  <c r="A208" i="30"/>
  <c r="A209" i="30"/>
  <c r="A210" i="30"/>
  <c r="A211" i="30"/>
  <c r="A213" i="30"/>
  <c r="A214" i="30"/>
  <c r="A215" i="30"/>
  <c r="A217" i="30"/>
  <c r="A148" i="31"/>
  <c r="A149" i="31"/>
  <c r="A150" i="31"/>
  <c r="A152" i="31"/>
  <c r="A153" i="31"/>
  <c r="A154" i="31"/>
  <c r="A155" i="31"/>
  <c r="A156" i="31"/>
  <c r="A157" i="31"/>
  <c r="A158" i="31"/>
  <c r="A159" i="31"/>
  <c r="A160" i="31"/>
  <c r="A161" i="31"/>
  <c r="A162" i="31"/>
  <c r="A163" i="31"/>
  <c r="A165" i="31"/>
  <c r="A166" i="31"/>
  <c r="A167" i="31"/>
  <c r="A168" i="31"/>
  <c r="A169" i="31"/>
  <c r="A171" i="31"/>
  <c r="A174" i="31"/>
  <c r="A175" i="31"/>
  <c r="A176" i="31"/>
  <c r="A177" i="31"/>
  <c r="A178" i="31"/>
  <c r="A180" i="31"/>
  <c r="A183" i="31"/>
  <c r="A184" i="31"/>
  <c r="A185" i="31"/>
  <c r="A187" i="31"/>
  <c r="A188" i="31"/>
  <c r="A189" i="31"/>
  <c r="A190" i="31"/>
  <c r="A191" i="31"/>
  <c r="A192" i="31"/>
  <c r="A193" i="31"/>
  <c r="A194" i="31"/>
  <c r="A195" i="31"/>
  <c r="A196" i="31"/>
  <c r="A197" i="31"/>
  <c r="A198" i="31"/>
  <c r="A199" i="31"/>
  <c r="A201" i="31"/>
  <c r="A202" i="31"/>
  <c r="A203" i="31"/>
  <c r="A204" i="31"/>
  <c r="A205" i="31"/>
  <c r="A207" i="31"/>
  <c r="A208" i="31"/>
  <c r="A209" i="31"/>
  <c r="A211" i="31"/>
  <c r="A8" i="31"/>
  <c r="A9" i="31"/>
  <c r="A10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5" i="31"/>
  <c r="A26" i="31"/>
  <c r="A27" i="31"/>
  <c r="A28" i="31"/>
  <c r="A29" i="31"/>
  <c r="A31" i="31"/>
  <c r="A34" i="31"/>
  <c r="A35" i="31"/>
  <c r="A36" i="31"/>
  <c r="A37" i="31"/>
  <c r="A38" i="31"/>
  <c r="A40" i="31"/>
  <c r="A43" i="31"/>
  <c r="A44" i="31"/>
  <c r="A45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1" i="31"/>
  <c r="A62" i="31"/>
  <c r="A63" i="31"/>
  <c r="A64" i="31"/>
  <c r="A65" i="31"/>
  <c r="A67" i="31"/>
  <c r="A68" i="31"/>
  <c r="A69" i="31"/>
  <c r="A71" i="31"/>
  <c r="L224" i="9"/>
  <c r="L212" i="9"/>
  <c r="L211" i="9"/>
  <c r="L209" i="9"/>
  <c r="L205" i="9"/>
  <c r="L204" i="9"/>
  <c r="L203" i="9"/>
  <c r="L202" i="9"/>
  <c r="L201" i="9"/>
  <c r="L199" i="9"/>
  <c r="L197" i="9"/>
  <c r="L194" i="9"/>
  <c r="K117" i="9"/>
  <c r="L189" i="9"/>
  <c r="L187" i="9"/>
  <c r="L185" i="9"/>
  <c r="L180" i="9"/>
  <c r="L179" i="9"/>
  <c r="L178" i="9"/>
  <c r="L177" i="9"/>
  <c r="L176" i="9"/>
  <c r="L174" i="9"/>
  <c r="L172" i="9"/>
  <c r="L170" i="9"/>
  <c r="L168" i="9"/>
  <c r="L167" i="9"/>
  <c r="L166" i="9"/>
  <c r="L165" i="9"/>
  <c r="L164" i="9"/>
  <c r="L162" i="9"/>
  <c r="L160" i="9"/>
  <c r="L157" i="9"/>
  <c r="F14" i="25"/>
  <c r="D83" i="9"/>
  <c r="D120" i="9"/>
  <c r="D85" i="9"/>
  <c r="D122" i="9"/>
  <c r="D86" i="9"/>
  <c r="D123" i="9"/>
  <c r="D88" i="9"/>
  <c r="D125" i="9"/>
  <c r="D89" i="9"/>
  <c r="D126" i="9"/>
  <c r="D90" i="9"/>
  <c r="D127" i="9"/>
  <c r="D91" i="9"/>
  <c r="D128" i="9"/>
  <c r="D92" i="9"/>
  <c r="D129" i="9"/>
  <c r="D93" i="9"/>
  <c r="D130" i="9"/>
  <c r="D94" i="9"/>
  <c r="D131" i="9"/>
  <c r="D96" i="9"/>
  <c r="D111" i="9"/>
  <c r="D133" i="9"/>
  <c r="D97" i="9"/>
  <c r="D112" i="9"/>
  <c r="D134" i="9"/>
  <c r="D98" i="9"/>
  <c r="D113" i="9"/>
  <c r="D135" i="9"/>
  <c r="D99" i="9"/>
  <c r="D114" i="9"/>
  <c r="D136" i="9"/>
  <c r="D100" i="9"/>
  <c r="D115" i="9"/>
  <c r="D138" i="9"/>
  <c r="D65" i="18"/>
  <c r="F218" i="9"/>
  <c r="E218" i="9"/>
  <c r="D218" i="9"/>
  <c r="D102" i="9"/>
  <c r="D103" i="9"/>
  <c r="D104" i="9"/>
  <c r="D105" i="9"/>
  <c r="H180" i="9"/>
  <c r="I29" i="18"/>
  <c r="F180" i="9"/>
  <c r="E180" i="9"/>
  <c r="D180" i="9"/>
  <c r="H120" i="9"/>
  <c r="H123" i="9"/>
  <c r="H128" i="9"/>
  <c r="H133" i="9"/>
  <c r="H140" i="9"/>
  <c r="H141" i="9"/>
  <c r="H142" i="9"/>
  <c r="H143" i="9"/>
  <c r="G120" i="9"/>
  <c r="G123" i="9"/>
  <c r="G125" i="9"/>
  <c r="G126" i="9"/>
  <c r="G127" i="9"/>
  <c r="G128" i="9"/>
  <c r="G129" i="9"/>
  <c r="G130" i="9"/>
  <c r="G131" i="9"/>
  <c r="G133" i="9"/>
  <c r="G135" i="9"/>
  <c r="E83" i="9"/>
  <c r="E85" i="9"/>
  <c r="E122" i="9"/>
  <c r="E86" i="9"/>
  <c r="E123" i="9"/>
  <c r="E88" i="9"/>
  <c r="E125" i="9"/>
  <c r="E89" i="9"/>
  <c r="E126" i="9"/>
  <c r="E90" i="9"/>
  <c r="E127" i="9"/>
  <c r="E91" i="9"/>
  <c r="E92" i="9"/>
  <c r="E129" i="9"/>
  <c r="E93" i="9"/>
  <c r="E94" i="9"/>
  <c r="E131" i="9"/>
  <c r="E96" i="9"/>
  <c r="E111" i="9"/>
  <c r="E97" i="9"/>
  <c r="E112" i="9"/>
  <c r="E98" i="9"/>
  <c r="E113" i="9"/>
  <c r="E135" i="9"/>
  <c r="E99" i="9"/>
  <c r="E114" i="9"/>
  <c r="E100" i="9"/>
  <c r="E115" i="9"/>
  <c r="E138" i="9"/>
  <c r="E140" i="9"/>
  <c r="E141" i="9"/>
  <c r="E142" i="9"/>
  <c r="E143" i="9"/>
  <c r="E61" i="19"/>
  <c r="F61" i="19"/>
  <c r="G61" i="19"/>
  <c r="G62" i="19"/>
  <c r="G63" i="19"/>
  <c r="G64" i="19"/>
  <c r="H62" i="9"/>
  <c r="I8" i="18"/>
  <c r="I9" i="18"/>
  <c r="I10" i="18"/>
  <c r="I12" i="18"/>
  <c r="I13" i="18"/>
  <c r="I14" i="18"/>
  <c r="I15" i="18"/>
  <c r="I16" i="18"/>
  <c r="I17" i="18"/>
  <c r="I18" i="18"/>
  <c r="I19" i="18"/>
  <c r="I34" i="18"/>
  <c r="I20" i="18"/>
  <c r="I35" i="18"/>
  <c r="I21" i="18"/>
  <c r="I36" i="18"/>
  <c r="I22" i="18"/>
  <c r="I37" i="18"/>
  <c r="I23" i="18"/>
  <c r="I38" i="18"/>
  <c r="I59" i="18"/>
  <c r="D61" i="18"/>
  <c r="G61" i="18"/>
  <c r="H61" i="18"/>
  <c r="F61" i="18"/>
  <c r="G62" i="18"/>
  <c r="G63" i="18"/>
  <c r="G64" i="18"/>
  <c r="E64" i="18"/>
  <c r="I25" i="18"/>
  <c r="I26" i="18"/>
  <c r="I27" i="18"/>
  <c r="I28" i="18"/>
  <c r="D145" i="31"/>
  <c r="E145" i="31"/>
  <c r="F145" i="31"/>
  <c r="I145" i="31"/>
  <c r="D148" i="31"/>
  <c r="E148" i="31"/>
  <c r="F148" i="31"/>
  <c r="G148" i="31"/>
  <c r="I148" i="31"/>
  <c r="J148" i="31"/>
  <c r="D149" i="31"/>
  <c r="E149" i="31"/>
  <c r="F149" i="31"/>
  <c r="G149" i="31"/>
  <c r="I149" i="31"/>
  <c r="J149" i="31"/>
  <c r="D150" i="31"/>
  <c r="E150" i="31"/>
  <c r="F150" i="31"/>
  <c r="G150" i="31"/>
  <c r="I150" i="31"/>
  <c r="J150" i="31"/>
  <c r="D152" i="31"/>
  <c r="E152" i="31"/>
  <c r="F152" i="31"/>
  <c r="G152" i="31"/>
  <c r="I152" i="31"/>
  <c r="J152" i="31"/>
  <c r="D153" i="31"/>
  <c r="E153" i="31"/>
  <c r="F153" i="31"/>
  <c r="G153" i="31"/>
  <c r="I153" i="31"/>
  <c r="J153" i="31"/>
  <c r="D154" i="31"/>
  <c r="E154" i="31"/>
  <c r="F154" i="31"/>
  <c r="G154" i="31"/>
  <c r="I154" i="31"/>
  <c r="J154" i="31"/>
  <c r="D155" i="31"/>
  <c r="E155" i="31"/>
  <c r="F155" i="31"/>
  <c r="G155" i="31"/>
  <c r="I155" i="31"/>
  <c r="J155" i="31"/>
  <c r="D156" i="31"/>
  <c r="E156" i="31"/>
  <c r="F156" i="31"/>
  <c r="G156" i="31"/>
  <c r="I156" i="31"/>
  <c r="J156" i="31"/>
  <c r="D157" i="31"/>
  <c r="E157" i="31"/>
  <c r="F157" i="31"/>
  <c r="G157" i="31"/>
  <c r="I157" i="31"/>
  <c r="J157" i="31"/>
  <c r="D158" i="31"/>
  <c r="E158" i="31"/>
  <c r="F158" i="31"/>
  <c r="G158" i="31"/>
  <c r="I158" i="31"/>
  <c r="J158" i="31"/>
  <c r="D159" i="31"/>
  <c r="E159" i="31"/>
  <c r="F159" i="31"/>
  <c r="G159" i="31"/>
  <c r="I159" i="31"/>
  <c r="J159" i="31"/>
  <c r="D160" i="31"/>
  <c r="E160" i="31"/>
  <c r="F160" i="31"/>
  <c r="G160" i="31"/>
  <c r="I160" i="31"/>
  <c r="J160" i="31"/>
  <c r="D161" i="31"/>
  <c r="E161" i="31"/>
  <c r="F161" i="31"/>
  <c r="G161" i="31"/>
  <c r="I161" i="31"/>
  <c r="J161" i="31"/>
  <c r="D162" i="31"/>
  <c r="F162" i="31"/>
  <c r="G162" i="31"/>
  <c r="I162" i="31"/>
  <c r="D163" i="31"/>
  <c r="E163" i="31"/>
  <c r="F163" i="31"/>
  <c r="G163" i="31"/>
  <c r="I163" i="31"/>
  <c r="J163" i="31"/>
  <c r="D165" i="31"/>
  <c r="E165" i="31"/>
  <c r="F165" i="31"/>
  <c r="G165" i="31"/>
  <c r="I165" i="31"/>
  <c r="J165" i="31"/>
  <c r="D166" i="31"/>
  <c r="E166" i="31"/>
  <c r="F166" i="31"/>
  <c r="G166" i="31"/>
  <c r="I166" i="31"/>
  <c r="J166" i="31"/>
  <c r="D167" i="31"/>
  <c r="E167" i="31"/>
  <c r="F167" i="31"/>
  <c r="G167" i="31"/>
  <c r="I167" i="31"/>
  <c r="J167" i="31"/>
  <c r="D168" i="31"/>
  <c r="E168" i="31"/>
  <c r="F168" i="31"/>
  <c r="G168" i="31"/>
  <c r="I168" i="31"/>
  <c r="J168" i="31"/>
  <c r="D171" i="31"/>
  <c r="F171" i="31"/>
  <c r="G171" i="31"/>
  <c r="I171" i="31"/>
  <c r="D174" i="31"/>
  <c r="E174" i="31"/>
  <c r="F174" i="31"/>
  <c r="G174" i="31"/>
  <c r="I174" i="31"/>
  <c r="J174" i="31"/>
  <c r="D175" i="31"/>
  <c r="E175" i="31"/>
  <c r="F175" i="31"/>
  <c r="G175" i="31"/>
  <c r="I175" i="31"/>
  <c r="J175" i="31"/>
  <c r="D176" i="31"/>
  <c r="E176" i="31"/>
  <c r="F176" i="31"/>
  <c r="G176" i="31"/>
  <c r="I176" i="31"/>
  <c r="J176" i="31"/>
  <c r="D177" i="31"/>
  <c r="E177" i="31"/>
  <c r="F177" i="31"/>
  <c r="G177" i="31"/>
  <c r="I177" i="31"/>
  <c r="D178" i="31"/>
  <c r="E178" i="31"/>
  <c r="F178" i="31"/>
  <c r="G178" i="31"/>
  <c r="I178" i="31"/>
  <c r="J178" i="31"/>
  <c r="D180" i="31"/>
  <c r="F180" i="31"/>
  <c r="G180" i="31"/>
  <c r="I180" i="31"/>
  <c r="D183" i="31"/>
  <c r="E183" i="31"/>
  <c r="F183" i="31"/>
  <c r="G183" i="31"/>
  <c r="I183" i="31"/>
  <c r="D184" i="31"/>
  <c r="E184" i="31"/>
  <c r="F184" i="31"/>
  <c r="G184" i="31"/>
  <c r="I184" i="31"/>
  <c r="D185" i="31"/>
  <c r="E185" i="31"/>
  <c r="F185" i="31"/>
  <c r="G185" i="31"/>
  <c r="I185" i="31"/>
  <c r="D187" i="31"/>
  <c r="E187" i="31"/>
  <c r="F187" i="31"/>
  <c r="G187" i="31"/>
  <c r="I187" i="31"/>
  <c r="E188" i="31"/>
  <c r="F188" i="31"/>
  <c r="G188" i="31"/>
  <c r="I188" i="31"/>
  <c r="D189" i="31"/>
  <c r="E189" i="31"/>
  <c r="F189" i="31"/>
  <c r="G189" i="31"/>
  <c r="I189" i="31"/>
  <c r="D190" i="31"/>
  <c r="E190" i="31"/>
  <c r="F190" i="31"/>
  <c r="G190" i="31"/>
  <c r="I190" i="31"/>
  <c r="D191" i="31"/>
  <c r="E191" i="31"/>
  <c r="F191" i="31"/>
  <c r="G191" i="31"/>
  <c r="I191" i="31"/>
  <c r="D192" i="31"/>
  <c r="E192" i="31"/>
  <c r="F192" i="31"/>
  <c r="G192" i="31"/>
  <c r="I192" i="31"/>
  <c r="D193" i="31"/>
  <c r="E193" i="31"/>
  <c r="F193" i="31"/>
  <c r="G193" i="31"/>
  <c r="I193" i="31"/>
  <c r="D194" i="31"/>
  <c r="E194" i="31"/>
  <c r="F194" i="31"/>
  <c r="G194" i="31"/>
  <c r="I194" i="31"/>
  <c r="D195" i="31"/>
  <c r="E195" i="31"/>
  <c r="F195" i="31"/>
  <c r="G195" i="31"/>
  <c r="I195" i="31"/>
  <c r="D196" i="31"/>
  <c r="E196" i="31"/>
  <c r="F196" i="31"/>
  <c r="G196" i="31"/>
  <c r="I196" i="31"/>
  <c r="D197" i="31"/>
  <c r="F197" i="31"/>
  <c r="G197" i="31"/>
  <c r="I197" i="31"/>
  <c r="D198" i="31"/>
  <c r="E198" i="31"/>
  <c r="F198" i="31"/>
  <c r="G198" i="31"/>
  <c r="I198" i="31"/>
  <c r="D199" i="31"/>
  <c r="E199" i="31"/>
  <c r="F199" i="31"/>
  <c r="G199" i="31"/>
  <c r="I199" i="31"/>
  <c r="J199" i="31"/>
  <c r="D201" i="31"/>
  <c r="E201" i="31"/>
  <c r="F201" i="31"/>
  <c r="G201" i="31"/>
  <c r="I201" i="31"/>
  <c r="D202" i="31"/>
  <c r="E202" i="31"/>
  <c r="F202" i="31"/>
  <c r="G202" i="31"/>
  <c r="I202" i="31"/>
  <c r="D203" i="31"/>
  <c r="E203" i="31"/>
  <c r="F203" i="31"/>
  <c r="G203" i="31"/>
  <c r="I203" i="31"/>
  <c r="D204" i="31"/>
  <c r="E204" i="31"/>
  <c r="F204" i="31"/>
  <c r="G204" i="31"/>
  <c r="I204" i="31"/>
  <c r="D211" i="31"/>
  <c r="E211" i="31"/>
  <c r="F211" i="31"/>
  <c r="G211" i="31"/>
  <c r="I211" i="31"/>
  <c r="J211" i="31"/>
  <c r="D149" i="30"/>
  <c r="E149" i="30"/>
  <c r="F149" i="30"/>
  <c r="I149" i="30"/>
  <c r="D152" i="30"/>
  <c r="E152" i="30"/>
  <c r="G152" i="30"/>
  <c r="I152" i="30"/>
  <c r="D153" i="30"/>
  <c r="E153" i="30"/>
  <c r="G153" i="30"/>
  <c r="I153" i="30"/>
  <c r="D154" i="30"/>
  <c r="E154" i="30"/>
  <c r="F154" i="30"/>
  <c r="G154" i="30"/>
  <c r="I154" i="30"/>
  <c r="J154" i="30"/>
  <c r="D156" i="30"/>
  <c r="E156" i="30"/>
  <c r="F156" i="30"/>
  <c r="G156" i="30"/>
  <c r="I156" i="30"/>
  <c r="J156" i="30"/>
  <c r="D157" i="30"/>
  <c r="E157" i="30"/>
  <c r="F157" i="30"/>
  <c r="G157" i="30"/>
  <c r="I157" i="30"/>
  <c r="J157" i="30"/>
  <c r="D158" i="30"/>
  <c r="E158" i="30"/>
  <c r="F158" i="30"/>
  <c r="G158" i="30"/>
  <c r="I158" i="30"/>
  <c r="J158" i="30"/>
  <c r="D159" i="30"/>
  <c r="E159" i="30"/>
  <c r="G159" i="30"/>
  <c r="I159" i="30"/>
  <c r="D160" i="30"/>
  <c r="E160" i="30"/>
  <c r="G160" i="30"/>
  <c r="I160" i="30"/>
  <c r="D161" i="30"/>
  <c r="E161" i="30"/>
  <c r="G161" i="30"/>
  <c r="I161" i="30"/>
  <c r="D162" i="30"/>
  <c r="E162" i="30"/>
  <c r="F162" i="30"/>
  <c r="G162" i="30"/>
  <c r="I162" i="30"/>
  <c r="J162" i="30"/>
  <c r="D164" i="30"/>
  <c r="E164" i="30"/>
  <c r="G164" i="30"/>
  <c r="I164" i="30"/>
  <c r="D165" i="30"/>
  <c r="E165" i="30"/>
  <c r="G165" i="30"/>
  <c r="I165" i="30"/>
  <c r="D166" i="30"/>
  <c r="E166" i="30"/>
  <c r="G166" i="30"/>
  <c r="I166" i="30"/>
  <c r="D167" i="30"/>
  <c r="F167" i="30"/>
  <c r="G167" i="30"/>
  <c r="I167" i="30"/>
  <c r="D168" i="30"/>
  <c r="E168" i="30"/>
  <c r="F168" i="30"/>
  <c r="G168" i="30"/>
  <c r="I168" i="30"/>
  <c r="D170" i="30"/>
  <c r="E170" i="30"/>
  <c r="F170" i="30"/>
  <c r="G170" i="30"/>
  <c r="I170" i="30"/>
  <c r="J170" i="30"/>
  <c r="D171" i="30"/>
  <c r="E171" i="30"/>
  <c r="F171" i="30"/>
  <c r="G171" i="30"/>
  <c r="I171" i="30"/>
  <c r="J171" i="30"/>
  <c r="D172" i="30"/>
  <c r="E172" i="30"/>
  <c r="F172" i="30"/>
  <c r="G172" i="30"/>
  <c r="I172" i="30"/>
  <c r="J172" i="30"/>
  <c r="D173" i="30"/>
  <c r="E173" i="30"/>
  <c r="F173" i="30"/>
  <c r="G173" i="30"/>
  <c r="I173" i="30"/>
  <c r="J173" i="30"/>
  <c r="I176" i="30"/>
  <c r="D179" i="30"/>
  <c r="E179" i="30"/>
  <c r="G179" i="30"/>
  <c r="I179" i="30"/>
  <c r="D180" i="30"/>
  <c r="E180" i="30"/>
  <c r="G180" i="30"/>
  <c r="I180" i="30"/>
  <c r="D181" i="30"/>
  <c r="E181" i="30"/>
  <c r="G181" i="30"/>
  <c r="I181" i="30"/>
  <c r="D182" i="30"/>
  <c r="E182" i="30"/>
  <c r="F182" i="30"/>
  <c r="G182" i="30"/>
  <c r="I182" i="30"/>
  <c r="J182" i="30"/>
  <c r="D183" i="30"/>
  <c r="E183" i="30"/>
  <c r="G183" i="30"/>
  <c r="I183" i="30"/>
  <c r="D185" i="30"/>
  <c r="E185" i="30"/>
  <c r="G185" i="30"/>
  <c r="I185" i="30"/>
  <c r="D188" i="30"/>
  <c r="E188" i="30"/>
  <c r="G188" i="30"/>
  <c r="I188" i="30"/>
  <c r="D189" i="30"/>
  <c r="E189" i="30"/>
  <c r="G189" i="30"/>
  <c r="I189" i="30"/>
  <c r="D190" i="30"/>
  <c r="E190" i="30"/>
  <c r="F190" i="30"/>
  <c r="G190" i="30"/>
  <c r="I190" i="30"/>
  <c r="D192" i="30"/>
  <c r="E192" i="30"/>
  <c r="F192" i="30"/>
  <c r="G192" i="30"/>
  <c r="I192" i="30"/>
  <c r="D193" i="30"/>
  <c r="E193" i="30"/>
  <c r="F193" i="30"/>
  <c r="G193" i="30"/>
  <c r="I193" i="30"/>
  <c r="E194" i="30"/>
  <c r="F194" i="30"/>
  <c r="G194" i="30"/>
  <c r="I194" i="30"/>
  <c r="D195" i="30"/>
  <c r="E195" i="30"/>
  <c r="G195" i="30"/>
  <c r="I195" i="30"/>
  <c r="D196" i="30"/>
  <c r="E196" i="30"/>
  <c r="G196" i="30"/>
  <c r="I196" i="30"/>
  <c r="D197" i="30"/>
  <c r="E197" i="30"/>
  <c r="G197" i="30"/>
  <c r="I197" i="30"/>
  <c r="E198" i="30"/>
  <c r="F198" i="30"/>
  <c r="G198" i="30"/>
  <c r="I198" i="30"/>
  <c r="D200" i="30"/>
  <c r="E200" i="30"/>
  <c r="G200" i="30"/>
  <c r="I200" i="30"/>
  <c r="D201" i="30"/>
  <c r="E201" i="30"/>
  <c r="G201" i="30"/>
  <c r="I201" i="30"/>
  <c r="D202" i="30"/>
  <c r="E202" i="30"/>
  <c r="G202" i="30"/>
  <c r="I202" i="30"/>
  <c r="D203" i="30"/>
  <c r="F203" i="30"/>
  <c r="G203" i="30"/>
  <c r="I203" i="30"/>
  <c r="D204" i="30"/>
  <c r="E204" i="30"/>
  <c r="G204" i="30"/>
  <c r="I204" i="30"/>
  <c r="D205" i="30"/>
  <c r="E205" i="30"/>
  <c r="F205" i="30"/>
  <c r="G205" i="30"/>
  <c r="I205" i="30"/>
  <c r="J205" i="30"/>
  <c r="D207" i="30"/>
  <c r="E207" i="30"/>
  <c r="F207" i="30"/>
  <c r="G207" i="30"/>
  <c r="I207" i="30"/>
  <c r="D208" i="30"/>
  <c r="E208" i="30"/>
  <c r="F208" i="30"/>
  <c r="G208" i="30"/>
  <c r="I208" i="30"/>
  <c r="D209" i="30"/>
  <c r="E209" i="30"/>
  <c r="F209" i="30"/>
  <c r="G209" i="30"/>
  <c r="I209" i="30"/>
  <c r="D210" i="30"/>
  <c r="E210" i="30"/>
  <c r="F210" i="30"/>
  <c r="G210" i="30"/>
  <c r="I210" i="30"/>
  <c r="D217" i="30"/>
  <c r="E217" i="30"/>
  <c r="F217" i="30"/>
  <c r="G217" i="30"/>
  <c r="I217" i="30"/>
  <c r="J217" i="30"/>
  <c r="G205" i="19"/>
  <c r="D205" i="19"/>
  <c r="I169" i="19"/>
  <c r="H169" i="19"/>
  <c r="G169" i="19"/>
  <c r="F169" i="19"/>
  <c r="E169" i="19"/>
  <c r="D169" i="19"/>
  <c r="G43" i="19"/>
  <c r="F44" i="19"/>
  <c r="F184" i="19"/>
  <c r="G44" i="19"/>
  <c r="G45" i="19"/>
  <c r="H45" i="19"/>
  <c r="H185" i="19"/>
  <c r="F47" i="19"/>
  <c r="G47" i="19"/>
  <c r="H47" i="19"/>
  <c r="G48" i="19"/>
  <c r="H48" i="19"/>
  <c r="H188" i="19"/>
  <c r="F49" i="19"/>
  <c r="G49" i="19"/>
  <c r="H49" i="19"/>
  <c r="G50" i="19"/>
  <c r="G51" i="19"/>
  <c r="G52" i="19"/>
  <c r="G54" i="19"/>
  <c r="G55" i="19"/>
  <c r="G56" i="19"/>
  <c r="E57" i="19"/>
  <c r="G57" i="19"/>
  <c r="H57" i="19"/>
  <c r="F57" i="19"/>
  <c r="I57" i="19"/>
  <c r="H58" i="19"/>
  <c r="F53" i="19"/>
  <c r="G67" i="19"/>
  <c r="G68" i="19"/>
  <c r="G208" i="19"/>
  <c r="E65" i="19"/>
  <c r="E205" i="19"/>
  <c r="F65" i="19"/>
  <c r="F205" i="19"/>
  <c r="G65" i="19"/>
  <c r="H65" i="19"/>
  <c r="H205" i="19"/>
  <c r="G31" i="19"/>
  <c r="E31" i="19"/>
  <c r="D43" i="18"/>
  <c r="D44" i="18"/>
  <c r="D45" i="18"/>
  <c r="I45" i="18"/>
  <c r="I185" i="18"/>
  <c r="D47" i="18"/>
  <c r="D48" i="18"/>
  <c r="I48" i="18"/>
  <c r="I188" i="18"/>
  <c r="D49" i="18"/>
  <c r="D50" i="18"/>
  <c r="I50" i="18"/>
  <c r="I190" i="18"/>
  <c r="D51" i="18"/>
  <c r="D52" i="18"/>
  <c r="I52" i="18"/>
  <c r="I192" i="18"/>
  <c r="D53" i="18"/>
  <c r="D54" i="18"/>
  <c r="D55" i="18"/>
  <c r="D56" i="18"/>
  <c r="D57" i="18"/>
  <c r="D58" i="18"/>
  <c r="D205" i="18"/>
  <c r="I169" i="18"/>
  <c r="H169" i="18"/>
  <c r="G169" i="18"/>
  <c r="F169" i="18"/>
  <c r="E169" i="18"/>
  <c r="D169" i="18"/>
  <c r="G43" i="18"/>
  <c r="G67" i="18"/>
  <c r="H43" i="18"/>
  <c r="F43" i="18"/>
  <c r="G44" i="18"/>
  <c r="H44" i="18"/>
  <c r="F44" i="18"/>
  <c r="G45" i="18"/>
  <c r="H45" i="18"/>
  <c r="F45" i="18"/>
  <c r="G47" i="18"/>
  <c r="F47" i="18"/>
  <c r="G48" i="18"/>
  <c r="H48" i="18"/>
  <c r="F48" i="18"/>
  <c r="G49" i="18"/>
  <c r="H49" i="18"/>
  <c r="F49" i="18"/>
  <c r="G50" i="18"/>
  <c r="H50" i="18"/>
  <c r="F50" i="18"/>
  <c r="G51" i="18"/>
  <c r="H51" i="18"/>
  <c r="F51" i="18"/>
  <c r="G52" i="18"/>
  <c r="H52" i="18"/>
  <c r="F52" i="18"/>
  <c r="E53" i="18"/>
  <c r="F53" i="18"/>
  <c r="G54" i="18"/>
  <c r="H54" i="18"/>
  <c r="F54" i="18"/>
  <c r="G55" i="18"/>
  <c r="H55" i="18"/>
  <c r="F55" i="18"/>
  <c r="G56" i="18"/>
  <c r="H56" i="18"/>
  <c r="F56" i="18"/>
  <c r="E57" i="18"/>
  <c r="G57" i="18"/>
  <c r="F57" i="18"/>
  <c r="E58" i="18"/>
  <c r="F58" i="18"/>
  <c r="E65" i="18"/>
  <c r="I65" i="18"/>
  <c r="F65" i="18"/>
  <c r="F205" i="18"/>
  <c r="G65" i="18"/>
  <c r="G205" i="18"/>
  <c r="H65" i="18"/>
  <c r="H205" i="18"/>
  <c r="I31" i="18"/>
  <c r="H31" i="18"/>
  <c r="F31" i="18"/>
  <c r="E31" i="18"/>
  <c r="D31" i="18"/>
  <c r="J159" i="22"/>
  <c r="J158" i="22"/>
  <c r="J145" i="22"/>
  <c r="J144" i="22"/>
  <c r="G130" i="22"/>
  <c r="G129" i="22"/>
  <c r="J129" i="22"/>
  <c r="G116" i="22"/>
  <c r="G115" i="22"/>
  <c r="J115" i="22"/>
  <c r="G102" i="22"/>
  <c r="J102" i="22"/>
  <c r="G101" i="22"/>
  <c r="J101" i="22"/>
  <c r="G44" i="22"/>
  <c r="G43" i="22"/>
  <c r="J43" i="22"/>
  <c r="E13" i="25"/>
  <c r="J19" i="18"/>
  <c r="G58" i="19"/>
  <c r="E43" i="19"/>
  <c r="E44" i="19"/>
  <c r="E45" i="19"/>
  <c r="E47" i="19"/>
  <c r="I47" i="19"/>
  <c r="I187" i="19"/>
  <c r="E48" i="19"/>
  <c r="E49" i="19"/>
  <c r="E50" i="19"/>
  <c r="E51" i="19"/>
  <c r="E52" i="19"/>
  <c r="D53" i="19"/>
  <c r="E53" i="19"/>
  <c r="E193" i="19"/>
  <c r="G53" i="19"/>
  <c r="H53" i="19"/>
  <c r="H193" i="19"/>
  <c r="E54" i="19"/>
  <c r="E55" i="19"/>
  <c r="E56" i="19"/>
  <c r="E62" i="19"/>
  <c r="F62" i="19"/>
  <c r="H62" i="19"/>
  <c r="I62" i="19"/>
  <c r="E63" i="19"/>
  <c r="F63" i="19"/>
  <c r="H63" i="19"/>
  <c r="I63" i="19"/>
  <c r="E64" i="19"/>
  <c r="F64" i="19"/>
  <c r="H64" i="19"/>
  <c r="I64" i="19"/>
  <c r="G61" i="17"/>
  <c r="D26" i="17"/>
  <c r="I168" i="9"/>
  <c r="D52" i="16"/>
  <c r="E52" i="16"/>
  <c r="E188" i="16"/>
  <c r="F52" i="16"/>
  <c r="G52" i="16"/>
  <c r="G188" i="16"/>
  <c r="H52" i="16"/>
  <c r="I52" i="16"/>
  <c r="I188" i="16"/>
  <c r="D52" i="17"/>
  <c r="E52" i="17"/>
  <c r="E188" i="17"/>
  <c r="F52" i="17"/>
  <c r="G52" i="17"/>
  <c r="G188" i="17"/>
  <c r="H52" i="17"/>
  <c r="I52" i="17"/>
  <c r="I188" i="17"/>
  <c r="G53" i="18"/>
  <c r="H53" i="18"/>
  <c r="H193" i="18"/>
  <c r="D55" i="21"/>
  <c r="D199" i="21"/>
  <c r="E55" i="21"/>
  <c r="E199" i="21"/>
  <c r="G55" i="21"/>
  <c r="G69" i="21"/>
  <c r="G70" i="21"/>
  <c r="G214" i="21"/>
  <c r="D52" i="15"/>
  <c r="I52" i="15"/>
  <c r="I188" i="15"/>
  <c r="E52" i="15"/>
  <c r="E188" i="15"/>
  <c r="F52" i="15"/>
  <c r="G52" i="15"/>
  <c r="G188" i="15"/>
  <c r="H52" i="15"/>
  <c r="I18" i="16"/>
  <c r="H154" i="16"/>
  <c r="G154" i="16"/>
  <c r="F154" i="16"/>
  <c r="E154" i="16"/>
  <c r="D154" i="16"/>
  <c r="I18" i="17"/>
  <c r="I154" i="17"/>
  <c r="H154" i="17"/>
  <c r="G154" i="17"/>
  <c r="F154" i="17"/>
  <c r="E154" i="17"/>
  <c r="D154" i="17"/>
  <c r="I158" i="18"/>
  <c r="H158" i="18"/>
  <c r="G158" i="18"/>
  <c r="F158" i="18"/>
  <c r="E158" i="18"/>
  <c r="D158" i="18"/>
  <c r="I158" i="19"/>
  <c r="H158" i="19"/>
  <c r="G158" i="19"/>
  <c r="F158" i="19"/>
  <c r="E158" i="19"/>
  <c r="D158" i="19"/>
  <c r="F158" i="20"/>
  <c r="E158" i="20"/>
  <c r="D158" i="20"/>
  <c r="I163" i="21"/>
  <c r="H163" i="21"/>
  <c r="G163" i="21"/>
  <c r="F163" i="21"/>
  <c r="E163" i="21"/>
  <c r="D163" i="21"/>
  <c r="I18" i="15"/>
  <c r="I154" i="15"/>
  <c r="H154" i="15"/>
  <c r="G154" i="15"/>
  <c r="F154" i="15"/>
  <c r="E154" i="15"/>
  <c r="D154" i="15"/>
  <c r="H188" i="16"/>
  <c r="F188" i="16"/>
  <c r="D188" i="16"/>
  <c r="H188" i="17"/>
  <c r="F188" i="17"/>
  <c r="D188" i="17"/>
  <c r="G193" i="18"/>
  <c r="F193" i="18"/>
  <c r="E193" i="18"/>
  <c r="D193" i="18"/>
  <c r="G193" i="19"/>
  <c r="F193" i="19"/>
  <c r="D193" i="19"/>
  <c r="F193" i="20"/>
  <c r="E193" i="20"/>
  <c r="D193" i="20"/>
  <c r="H199" i="21"/>
  <c r="G199" i="21"/>
  <c r="F199" i="21"/>
  <c r="H188" i="15"/>
  <c r="F188" i="15"/>
  <c r="D188" i="15"/>
  <c r="A148" i="19"/>
  <c r="A149" i="19"/>
  <c r="A150" i="19"/>
  <c r="A152" i="19"/>
  <c r="A153" i="19"/>
  <c r="A154" i="19"/>
  <c r="A155" i="19"/>
  <c r="A156" i="19"/>
  <c r="A157" i="19"/>
  <c r="A158" i="19"/>
  <c r="A159" i="19"/>
  <c r="A160" i="19"/>
  <c r="A161" i="19"/>
  <c r="A162" i="19"/>
  <c r="A163" i="19"/>
  <c r="A165" i="19"/>
  <c r="A166" i="19"/>
  <c r="A167" i="19"/>
  <c r="A168" i="19"/>
  <c r="A169" i="19"/>
  <c r="A171" i="19"/>
  <c r="A174" i="19"/>
  <c r="A175" i="19"/>
  <c r="A176" i="19"/>
  <c r="A177" i="19"/>
  <c r="A178" i="19"/>
  <c r="A180" i="19"/>
  <c r="A183" i="19"/>
  <c r="A184" i="19"/>
  <c r="A185" i="19"/>
  <c r="A187" i="19"/>
  <c r="A188" i="19"/>
  <c r="A189" i="19"/>
  <c r="A190" i="19"/>
  <c r="A191" i="19"/>
  <c r="A192" i="19"/>
  <c r="A193" i="19"/>
  <c r="A194" i="19"/>
  <c r="A195" i="19"/>
  <c r="A196" i="19"/>
  <c r="A197" i="19"/>
  <c r="A198" i="19"/>
  <c r="A199" i="19"/>
  <c r="A201" i="19"/>
  <c r="A202" i="19"/>
  <c r="A203" i="19"/>
  <c r="A204" i="19"/>
  <c r="A205" i="19"/>
  <c r="A207" i="19"/>
  <c r="A208" i="19"/>
  <c r="A209" i="19"/>
  <c r="A211" i="19"/>
  <c r="A8" i="19"/>
  <c r="A9" i="19"/>
  <c r="A10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5" i="19"/>
  <c r="A26" i="19"/>
  <c r="A27" i="19"/>
  <c r="A28" i="19"/>
  <c r="A29" i="19"/>
  <c r="A31" i="19"/>
  <c r="A34" i="19"/>
  <c r="A35" i="19"/>
  <c r="A36" i="19"/>
  <c r="A37" i="19"/>
  <c r="A38" i="19"/>
  <c r="A40" i="19"/>
  <c r="A43" i="19"/>
  <c r="A44" i="19"/>
  <c r="A45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1" i="19"/>
  <c r="A62" i="19"/>
  <c r="A63" i="19"/>
  <c r="A64" i="19"/>
  <c r="A65" i="19"/>
  <c r="A67" i="19"/>
  <c r="A68" i="19"/>
  <c r="A69" i="19"/>
  <c r="A71" i="19"/>
  <c r="I69" i="17"/>
  <c r="I58" i="17"/>
  <c r="H67" i="17"/>
  <c r="G67" i="17"/>
  <c r="F67" i="17"/>
  <c r="E67" i="17"/>
  <c r="D67" i="17"/>
  <c r="D42" i="17"/>
  <c r="E42" i="17"/>
  <c r="F42" i="17"/>
  <c r="G42" i="17"/>
  <c r="H42" i="17"/>
  <c r="I42" i="17"/>
  <c r="D43" i="17"/>
  <c r="E43" i="17"/>
  <c r="F43" i="17"/>
  <c r="G43" i="17"/>
  <c r="H43" i="17"/>
  <c r="I43" i="17"/>
  <c r="D44" i="17"/>
  <c r="E44" i="17"/>
  <c r="F44" i="17"/>
  <c r="G44" i="17"/>
  <c r="H44" i="17"/>
  <c r="I44" i="17"/>
  <c r="D46" i="17"/>
  <c r="E46" i="17"/>
  <c r="F46" i="17"/>
  <c r="G46" i="17"/>
  <c r="H46" i="17"/>
  <c r="I46" i="17"/>
  <c r="D47" i="17"/>
  <c r="E47" i="17"/>
  <c r="F47" i="17"/>
  <c r="G47" i="17"/>
  <c r="H47" i="17"/>
  <c r="I47" i="17"/>
  <c r="D48" i="17"/>
  <c r="E48" i="17"/>
  <c r="F48" i="17"/>
  <c r="G48" i="17"/>
  <c r="H48" i="17"/>
  <c r="I48" i="17"/>
  <c r="D49" i="17"/>
  <c r="E49" i="17"/>
  <c r="F49" i="17"/>
  <c r="G49" i="17"/>
  <c r="H49" i="17"/>
  <c r="I49" i="17"/>
  <c r="D50" i="17"/>
  <c r="E50" i="17"/>
  <c r="F50" i="17"/>
  <c r="G50" i="17"/>
  <c r="H50" i="17"/>
  <c r="I50" i="17"/>
  <c r="D51" i="17"/>
  <c r="E51" i="17"/>
  <c r="F51" i="17"/>
  <c r="G51" i="17"/>
  <c r="H51" i="17"/>
  <c r="I51" i="17"/>
  <c r="D53" i="17"/>
  <c r="E53" i="17"/>
  <c r="F53" i="17"/>
  <c r="G53" i="17"/>
  <c r="H53" i="17"/>
  <c r="I53" i="17"/>
  <c r="D54" i="17"/>
  <c r="E54" i="17"/>
  <c r="F54" i="17"/>
  <c r="G54" i="17"/>
  <c r="H54" i="17"/>
  <c r="I54" i="17"/>
  <c r="D55" i="17"/>
  <c r="E55" i="17"/>
  <c r="F55" i="17"/>
  <c r="G55" i="17"/>
  <c r="H55" i="17"/>
  <c r="I55" i="17"/>
  <c r="D56" i="17"/>
  <c r="E56" i="17"/>
  <c r="F56" i="17"/>
  <c r="G56" i="17"/>
  <c r="H56" i="17"/>
  <c r="I56" i="17"/>
  <c r="D57" i="17"/>
  <c r="E23" i="17"/>
  <c r="E57" i="17"/>
  <c r="F57" i="17"/>
  <c r="F65" i="17"/>
  <c r="G57" i="17"/>
  <c r="H57" i="17"/>
  <c r="D60" i="17"/>
  <c r="E60" i="17"/>
  <c r="F60" i="17"/>
  <c r="I60" i="17"/>
  <c r="G60" i="17"/>
  <c r="H60" i="17"/>
  <c r="H65" i="17"/>
  <c r="D61" i="17"/>
  <c r="E61" i="17"/>
  <c r="I61" i="17"/>
  <c r="F61" i="17"/>
  <c r="H61" i="17"/>
  <c r="D62" i="17"/>
  <c r="I62" i="17"/>
  <c r="E62" i="17"/>
  <c r="F62" i="17"/>
  <c r="G62" i="17"/>
  <c r="H62" i="17"/>
  <c r="D63" i="17"/>
  <c r="E63" i="17"/>
  <c r="F63" i="17"/>
  <c r="H63" i="17"/>
  <c r="I33" i="17"/>
  <c r="I39" i="17"/>
  <c r="I175" i="17"/>
  <c r="I34" i="17"/>
  <c r="I35" i="17"/>
  <c r="I36" i="17"/>
  <c r="I37" i="17"/>
  <c r="H39" i="17"/>
  <c r="G39" i="17"/>
  <c r="F39" i="17"/>
  <c r="E39" i="17"/>
  <c r="D39" i="17"/>
  <c r="I8" i="17"/>
  <c r="I9" i="17"/>
  <c r="I10" i="17"/>
  <c r="I12" i="17"/>
  <c r="I13" i="17"/>
  <c r="I14" i="17"/>
  <c r="I15" i="17"/>
  <c r="I16" i="17"/>
  <c r="I17" i="17"/>
  <c r="I19" i="17"/>
  <c r="I20" i="17"/>
  <c r="I21" i="17"/>
  <c r="I22" i="17"/>
  <c r="I25" i="17"/>
  <c r="I26" i="17"/>
  <c r="I27" i="17"/>
  <c r="H30" i="17"/>
  <c r="F30" i="17"/>
  <c r="D30" i="17"/>
  <c r="F59" i="21"/>
  <c r="F64" i="21"/>
  <c r="F65" i="21"/>
  <c r="F66" i="21"/>
  <c r="E49" i="21"/>
  <c r="I49" i="21"/>
  <c r="E50" i="21"/>
  <c r="I50" i="21"/>
  <c r="I194" i="21"/>
  <c r="E51" i="21"/>
  <c r="I51" i="21"/>
  <c r="I195" i="21"/>
  <c r="E53" i="21"/>
  <c r="E54" i="21"/>
  <c r="E56" i="21"/>
  <c r="E57" i="21"/>
  <c r="E58" i="21"/>
  <c r="E63" i="21"/>
  <c r="E64" i="21"/>
  <c r="I64" i="21"/>
  <c r="E65" i="21"/>
  <c r="I65" i="21"/>
  <c r="E66" i="21"/>
  <c r="I66" i="21"/>
  <c r="I64" i="38"/>
  <c r="H41" i="21"/>
  <c r="G41" i="21"/>
  <c r="D41" i="21"/>
  <c r="H40" i="20"/>
  <c r="H180" i="20"/>
  <c r="G40" i="20"/>
  <c r="G180" i="20"/>
  <c r="E40" i="20"/>
  <c r="D40" i="20"/>
  <c r="H69" i="19"/>
  <c r="G69" i="19"/>
  <c r="F69" i="19"/>
  <c r="E69" i="19"/>
  <c r="H40" i="19"/>
  <c r="G40" i="19"/>
  <c r="E40" i="19"/>
  <c r="D40" i="19"/>
  <c r="H47" i="18"/>
  <c r="H67" i="18"/>
  <c r="H57" i="18"/>
  <c r="I57" i="18"/>
  <c r="I197" i="18"/>
  <c r="H58" i="18"/>
  <c r="H62" i="18"/>
  <c r="H63" i="18"/>
  <c r="H64" i="18"/>
  <c r="G58" i="18"/>
  <c r="I58" i="18"/>
  <c r="I198" i="18"/>
  <c r="F62" i="18"/>
  <c r="F67" i="18"/>
  <c r="F63" i="18"/>
  <c r="F64" i="18"/>
  <c r="I64" i="18"/>
  <c r="E43" i="18"/>
  <c r="I43" i="18"/>
  <c r="E44" i="18"/>
  <c r="I44" i="18"/>
  <c r="E45" i="18"/>
  <c r="E47" i="18"/>
  <c r="I47" i="18"/>
  <c r="I187" i="18"/>
  <c r="E48" i="18"/>
  <c r="E49" i="18"/>
  <c r="I49" i="18"/>
  <c r="I189" i="18"/>
  <c r="E50" i="18"/>
  <c r="E51" i="18"/>
  <c r="I51" i="18"/>
  <c r="I191" i="18"/>
  <c r="E52" i="18"/>
  <c r="E54" i="18"/>
  <c r="I54" i="18"/>
  <c r="I194" i="18"/>
  <c r="E55" i="18"/>
  <c r="I55" i="18"/>
  <c r="I195" i="18"/>
  <c r="E56" i="18"/>
  <c r="I56" i="18"/>
  <c r="I196" i="18"/>
  <c r="E61" i="18"/>
  <c r="I61" i="18"/>
  <c r="E62" i="18"/>
  <c r="I62" i="18"/>
  <c r="E63" i="18"/>
  <c r="I63" i="18"/>
  <c r="H69" i="18"/>
  <c r="G69" i="18"/>
  <c r="F69" i="18"/>
  <c r="E69" i="18"/>
  <c r="D69" i="18"/>
  <c r="H40" i="18"/>
  <c r="G40" i="18"/>
  <c r="F40" i="18"/>
  <c r="E40" i="18"/>
  <c r="D40" i="18"/>
  <c r="C14" i="25"/>
  <c r="E14" i="25"/>
  <c r="C13" i="25"/>
  <c r="C15" i="25"/>
  <c r="I40" i="18"/>
  <c r="E13" i="23"/>
  <c r="E12" i="23"/>
  <c r="E11" i="23"/>
  <c r="E10" i="23"/>
  <c r="E9" i="23"/>
  <c r="C13" i="23"/>
  <c r="D13" i="23"/>
  <c r="C12" i="23"/>
  <c r="D12" i="23"/>
  <c r="F12" i="23"/>
  <c r="H12" i="23"/>
  <c r="C11" i="23"/>
  <c r="D11" i="23"/>
  <c r="C10" i="23"/>
  <c r="D10" i="23"/>
  <c r="C9" i="23"/>
  <c r="D9" i="23"/>
  <c r="E8" i="23"/>
  <c r="C8" i="23"/>
  <c r="A4" i="23"/>
  <c r="D8" i="23"/>
  <c r="F478" i="22"/>
  <c r="E478" i="22"/>
  <c r="D478" i="22"/>
  <c r="C478" i="22"/>
  <c r="G478" i="22"/>
  <c r="J478" i="22"/>
  <c r="F477" i="22"/>
  <c r="E477" i="22"/>
  <c r="D477" i="22"/>
  <c r="C477" i="22"/>
  <c r="G477" i="22"/>
  <c r="J477" i="22"/>
  <c r="F476" i="22"/>
  <c r="E476" i="22"/>
  <c r="D476" i="22"/>
  <c r="C476" i="22"/>
  <c r="G476" i="22"/>
  <c r="J476" i="22"/>
  <c r="F475" i="22"/>
  <c r="E475" i="22"/>
  <c r="G475" i="22"/>
  <c r="J475" i="22"/>
  <c r="D475" i="22"/>
  <c r="F474" i="22"/>
  <c r="E474" i="22"/>
  <c r="D474" i="22"/>
  <c r="G474" i="22"/>
  <c r="J474" i="22"/>
  <c r="C474" i="22"/>
  <c r="F473" i="22"/>
  <c r="E473" i="22"/>
  <c r="D473" i="22"/>
  <c r="G473" i="22"/>
  <c r="J473" i="22"/>
  <c r="C473" i="22"/>
  <c r="F472" i="22"/>
  <c r="E472" i="22"/>
  <c r="D472" i="22"/>
  <c r="G472" i="22"/>
  <c r="J472" i="22"/>
  <c r="C472" i="22"/>
  <c r="F464" i="22"/>
  <c r="E464" i="22"/>
  <c r="D464" i="22"/>
  <c r="G464" i="22"/>
  <c r="J464" i="22"/>
  <c r="C464" i="22"/>
  <c r="F463" i="22"/>
  <c r="E463" i="22"/>
  <c r="D463" i="22"/>
  <c r="G463" i="22"/>
  <c r="J463" i="22"/>
  <c r="C463" i="22"/>
  <c r="F462" i="22"/>
  <c r="E462" i="22"/>
  <c r="D462" i="22"/>
  <c r="G462" i="22"/>
  <c r="J462" i="22"/>
  <c r="C462" i="22"/>
  <c r="F461" i="22"/>
  <c r="E461" i="22"/>
  <c r="D461" i="22"/>
  <c r="G461" i="22"/>
  <c r="J461" i="22"/>
  <c r="C461" i="22"/>
  <c r="F460" i="22"/>
  <c r="E460" i="22"/>
  <c r="D460" i="22"/>
  <c r="G460" i="22"/>
  <c r="J460" i="22"/>
  <c r="C460" i="22"/>
  <c r="F459" i="22"/>
  <c r="E459" i="22"/>
  <c r="D459" i="22"/>
  <c r="G459" i="22"/>
  <c r="J459" i="22"/>
  <c r="C459" i="22"/>
  <c r="F458" i="22"/>
  <c r="E458" i="22"/>
  <c r="D458" i="22"/>
  <c r="G458" i="22"/>
  <c r="J458" i="22"/>
  <c r="C458" i="22"/>
  <c r="F449" i="22"/>
  <c r="E449" i="22"/>
  <c r="D449" i="22"/>
  <c r="G449" i="22"/>
  <c r="J449" i="22"/>
  <c r="C449" i="22"/>
  <c r="F448" i="22"/>
  <c r="E448" i="22"/>
  <c r="D448" i="22"/>
  <c r="G448" i="22"/>
  <c r="J448" i="22"/>
  <c r="C448" i="22"/>
  <c r="F447" i="22"/>
  <c r="E447" i="22"/>
  <c r="D447" i="22"/>
  <c r="G447" i="22"/>
  <c r="J447" i="22"/>
  <c r="C447" i="22"/>
  <c r="F446" i="22"/>
  <c r="E446" i="22"/>
  <c r="D446" i="22"/>
  <c r="G446" i="22"/>
  <c r="J446" i="22"/>
  <c r="C446" i="22"/>
  <c r="F445" i="22"/>
  <c r="E445" i="22"/>
  <c r="D445" i="22"/>
  <c r="G445" i="22"/>
  <c r="J445" i="22"/>
  <c r="C445" i="22"/>
  <c r="F444" i="22"/>
  <c r="E444" i="22"/>
  <c r="D444" i="22"/>
  <c r="G444" i="22"/>
  <c r="J444" i="22"/>
  <c r="C444" i="22"/>
  <c r="F443" i="22"/>
  <c r="E443" i="22"/>
  <c r="D443" i="22"/>
  <c r="G443" i="22"/>
  <c r="J443" i="22"/>
  <c r="C443" i="22"/>
  <c r="F435" i="22"/>
  <c r="E435" i="22"/>
  <c r="D435" i="22"/>
  <c r="G435" i="22"/>
  <c r="J435" i="22"/>
  <c r="C435" i="22"/>
  <c r="F434" i="22"/>
  <c r="E434" i="22"/>
  <c r="D434" i="22"/>
  <c r="G434" i="22"/>
  <c r="J434" i="22"/>
  <c r="C434" i="22"/>
  <c r="F433" i="22"/>
  <c r="E433" i="22"/>
  <c r="D433" i="22"/>
  <c r="G433" i="22"/>
  <c r="J433" i="22"/>
  <c r="C433" i="22"/>
  <c r="F432" i="22"/>
  <c r="E432" i="22"/>
  <c r="D432" i="22"/>
  <c r="G432" i="22"/>
  <c r="J432" i="22"/>
  <c r="C432" i="22"/>
  <c r="F431" i="22"/>
  <c r="E431" i="22"/>
  <c r="D431" i="22"/>
  <c r="G431" i="22"/>
  <c r="J431" i="22"/>
  <c r="C431" i="22"/>
  <c r="F430" i="22"/>
  <c r="E430" i="22"/>
  <c r="D430" i="22"/>
  <c r="G430" i="22"/>
  <c r="J430" i="22"/>
  <c r="C430" i="22"/>
  <c r="F429" i="22"/>
  <c r="E429" i="22"/>
  <c r="D429" i="22"/>
  <c r="G429" i="22"/>
  <c r="J429" i="22"/>
  <c r="C429" i="22"/>
  <c r="F421" i="22"/>
  <c r="E421" i="22"/>
  <c r="D421" i="22"/>
  <c r="G421" i="22"/>
  <c r="J421" i="22"/>
  <c r="C421" i="22"/>
  <c r="F420" i="22"/>
  <c r="E420" i="22"/>
  <c r="D420" i="22"/>
  <c r="G420" i="22"/>
  <c r="J420" i="22"/>
  <c r="C420" i="22"/>
  <c r="F419" i="22"/>
  <c r="E419" i="22"/>
  <c r="D419" i="22"/>
  <c r="G419" i="22"/>
  <c r="J419" i="22"/>
  <c r="C419" i="22"/>
  <c r="F418" i="22"/>
  <c r="E418" i="22"/>
  <c r="D418" i="22"/>
  <c r="G418" i="22"/>
  <c r="J418" i="22"/>
  <c r="C418" i="22"/>
  <c r="F417" i="22"/>
  <c r="E417" i="22"/>
  <c r="D417" i="22"/>
  <c r="G417" i="22"/>
  <c r="J417" i="22"/>
  <c r="C417" i="22"/>
  <c r="F416" i="22"/>
  <c r="E416" i="22"/>
  <c r="D416" i="22"/>
  <c r="G416" i="22"/>
  <c r="J416" i="22"/>
  <c r="C416" i="22"/>
  <c r="F415" i="22"/>
  <c r="E415" i="22"/>
  <c r="D415" i="22"/>
  <c r="G415" i="22"/>
  <c r="J415" i="22"/>
  <c r="C415" i="22"/>
  <c r="D406" i="22"/>
  <c r="G406" i="22"/>
  <c r="C406" i="22"/>
  <c r="D405" i="22"/>
  <c r="C405" i="22"/>
  <c r="G405" i="22"/>
  <c r="D404" i="22"/>
  <c r="C404" i="22"/>
  <c r="D403" i="22"/>
  <c r="C403" i="22"/>
  <c r="D402" i="22"/>
  <c r="C402" i="22"/>
  <c r="D401" i="22"/>
  <c r="C401" i="22"/>
  <c r="D400" i="22"/>
  <c r="C400" i="22"/>
  <c r="D392" i="22"/>
  <c r="C392" i="22"/>
  <c r="D391" i="22"/>
  <c r="C391" i="22"/>
  <c r="D390" i="22"/>
  <c r="C390" i="22"/>
  <c r="D389" i="22"/>
  <c r="C389" i="22"/>
  <c r="D388" i="22"/>
  <c r="C388" i="22"/>
  <c r="D387" i="22"/>
  <c r="C387" i="22"/>
  <c r="D386" i="22"/>
  <c r="C386" i="22"/>
  <c r="D378" i="22"/>
  <c r="C378" i="22"/>
  <c r="D377" i="22"/>
  <c r="C377" i="22"/>
  <c r="D376" i="22"/>
  <c r="C376" i="22"/>
  <c r="D375" i="22"/>
  <c r="C375" i="22"/>
  <c r="D374" i="22"/>
  <c r="C374" i="22"/>
  <c r="D373" i="22"/>
  <c r="C373" i="22"/>
  <c r="D372" i="22"/>
  <c r="C372" i="22"/>
  <c r="F363" i="22"/>
  <c r="E363" i="22"/>
  <c r="D363" i="22"/>
  <c r="C363" i="22"/>
  <c r="F362" i="22"/>
  <c r="E362" i="22"/>
  <c r="D362" i="22"/>
  <c r="C362" i="22"/>
  <c r="F361" i="22"/>
  <c r="E361" i="22"/>
  <c r="D361" i="22"/>
  <c r="C361" i="22"/>
  <c r="F360" i="22"/>
  <c r="E360" i="22"/>
  <c r="D360" i="22"/>
  <c r="C360" i="22"/>
  <c r="F359" i="22"/>
  <c r="E359" i="22"/>
  <c r="D359" i="22"/>
  <c r="C359" i="22"/>
  <c r="F358" i="22"/>
  <c r="E358" i="22"/>
  <c r="D358" i="22"/>
  <c r="C358" i="22"/>
  <c r="F357" i="22"/>
  <c r="E357" i="22"/>
  <c r="D357" i="22"/>
  <c r="C357" i="22"/>
  <c r="I478" i="22"/>
  <c r="H478" i="22"/>
  <c r="I477" i="22"/>
  <c r="H477" i="22"/>
  <c r="I476" i="22"/>
  <c r="H476" i="22"/>
  <c r="I475" i="22"/>
  <c r="H475" i="22"/>
  <c r="I474" i="22"/>
  <c r="H474" i="22"/>
  <c r="I473" i="22"/>
  <c r="H473" i="22"/>
  <c r="I472" i="22"/>
  <c r="H472" i="22"/>
  <c r="I464" i="22"/>
  <c r="H464" i="22"/>
  <c r="I463" i="22"/>
  <c r="H463" i="22"/>
  <c r="I462" i="22"/>
  <c r="H462" i="22"/>
  <c r="I461" i="22"/>
  <c r="H461" i="22"/>
  <c r="I460" i="22"/>
  <c r="H460" i="22"/>
  <c r="I459" i="22"/>
  <c r="H459" i="22"/>
  <c r="I458" i="22"/>
  <c r="H458" i="22"/>
  <c r="I449" i="22"/>
  <c r="H449" i="22"/>
  <c r="I448" i="22"/>
  <c r="H448" i="22"/>
  <c r="I447" i="22"/>
  <c r="H447" i="22"/>
  <c r="I446" i="22"/>
  <c r="H446" i="22"/>
  <c r="I445" i="22"/>
  <c r="H445" i="22"/>
  <c r="I444" i="22"/>
  <c r="H444" i="22"/>
  <c r="I435" i="22"/>
  <c r="H435" i="22"/>
  <c r="I434" i="22"/>
  <c r="H434" i="22"/>
  <c r="I433" i="22"/>
  <c r="H433" i="22"/>
  <c r="I432" i="22"/>
  <c r="H432" i="22"/>
  <c r="I431" i="22"/>
  <c r="H431" i="22"/>
  <c r="I430" i="22"/>
  <c r="H430" i="22"/>
  <c r="I429" i="22"/>
  <c r="H429" i="22"/>
  <c r="I421" i="22"/>
  <c r="H421" i="22"/>
  <c r="I420" i="22"/>
  <c r="H420" i="22"/>
  <c r="I419" i="22"/>
  <c r="H419" i="22"/>
  <c r="I418" i="22"/>
  <c r="H418" i="22"/>
  <c r="I417" i="22"/>
  <c r="H417" i="22"/>
  <c r="I416" i="22"/>
  <c r="H416" i="22"/>
  <c r="I415" i="22"/>
  <c r="H415" i="22"/>
  <c r="I404" i="22"/>
  <c r="H404" i="22"/>
  <c r="I403" i="22"/>
  <c r="H403" i="22"/>
  <c r="I402" i="22"/>
  <c r="H402" i="22"/>
  <c r="I401" i="22"/>
  <c r="H401" i="22"/>
  <c r="I400" i="22"/>
  <c r="H400" i="22"/>
  <c r="I392" i="22"/>
  <c r="H392" i="22"/>
  <c r="I391" i="22"/>
  <c r="H391" i="22"/>
  <c r="I390" i="22"/>
  <c r="H390" i="22"/>
  <c r="I389" i="22"/>
  <c r="H389" i="22"/>
  <c r="I388" i="22"/>
  <c r="H388" i="22"/>
  <c r="I387" i="22"/>
  <c r="H387" i="22"/>
  <c r="I386" i="22"/>
  <c r="H386" i="22"/>
  <c r="I378" i="22"/>
  <c r="H378" i="22"/>
  <c r="I377" i="22"/>
  <c r="H377" i="22"/>
  <c r="I376" i="22"/>
  <c r="H376" i="22"/>
  <c r="I375" i="22"/>
  <c r="H375" i="22"/>
  <c r="I374" i="22"/>
  <c r="H374" i="22"/>
  <c r="I373" i="22"/>
  <c r="H373" i="22"/>
  <c r="I372" i="22"/>
  <c r="H372" i="22"/>
  <c r="I363" i="22"/>
  <c r="H363" i="22"/>
  <c r="I362" i="22"/>
  <c r="H362" i="22"/>
  <c r="I361" i="22"/>
  <c r="H361" i="22"/>
  <c r="I360" i="22"/>
  <c r="H360" i="22"/>
  <c r="I359" i="22"/>
  <c r="H359" i="22"/>
  <c r="I358" i="22"/>
  <c r="H358" i="22"/>
  <c r="I357" i="22"/>
  <c r="H357" i="22"/>
  <c r="I349" i="22"/>
  <c r="H349" i="22"/>
  <c r="I348" i="22"/>
  <c r="H348" i="22"/>
  <c r="I347" i="22"/>
  <c r="H347" i="22"/>
  <c r="I346" i="22"/>
  <c r="H346" i="22"/>
  <c r="I345" i="22"/>
  <c r="H345" i="22"/>
  <c r="I344" i="22"/>
  <c r="H344" i="22"/>
  <c r="I343" i="22"/>
  <c r="H343" i="22"/>
  <c r="F349" i="22"/>
  <c r="E349" i="22"/>
  <c r="D349" i="22"/>
  <c r="C349" i="22"/>
  <c r="F348" i="22"/>
  <c r="E348" i="22"/>
  <c r="D348" i="22"/>
  <c r="C348" i="22"/>
  <c r="F347" i="22"/>
  <c r="E347" i="22"/>
  <c r="D347" i="22"/>
  <c r="C347" i="22"/>
  <c r="F346" i="22"/>
  <c r="E346" i="22"/>
  <c r="D346" i="22"/>
  <c r="C346" i="22"/>
  <c r="F345" i="22"/>
  <c r="E345" i="22"/>
  <c r="D345" i="22"/>
  <c r="C345" i="22"/>
  <c r="F344" i="22"/>
  <c r="E344" i="22"/>
  <c r="D344" i="22"/>
  <c r="C344" i="22"/>
  <c r="F343" i="22"/>
  <c r="E343" i="22"/>
  <c r="D343" i="22"/>
  <c r="C343" i="22"/>
  <c r="I335" i="22"/>
  <c r="H335" i="22"/>
  <c r="I334" i="22"/>
  <c r="H334" i="22"/>
  <c r="I333" i="22"/>
  <c r="H333" i="22"/>
  <c r="I332" i="22"/>
  <c r="H332" i="22"/>
  <c r="I331" i="22"/>
  <c r="H331" i="22"/>
  <c r="I330" i="22"/>
  <c r="H330" i="22"/>
  <c r="I329" i="22"/>
  <c r="H329" i="22"/>
  <c r="F335" i="22"/>
  <c r="E335" i="22"/>
  <c r="D335" i="22"/>
  <c r="F334" i="22"/>
  <c r="E334" i="22"/>
  <c r="D334" i="22"/>
  <c r="F333" i="22"/>
  <c r="E333" i="22"/>
  <c r="D333" i="22"/>
  <c r="F332" i="22"/>
  <c r="E332" i="22"/>
  <c r="D332" i="22"/>
  <c r="F331" i="22"/>
  <c r="E331" i="22"/>
  <c r="D331" i="22"/>
  <c r="F330" i="22"/>
  <c r="E330" i="22"/>
  <c r="D330" i="22"/>
  <c r="F329" i="22"/>
  <c r="E329" i="22"/>
  <c r="D329" i="22"/>
  <c r="C335" i="22"/>
  <c r="C334" i="22"/>
  <c r="C333" i="22"/>
  <c r="C332" i="22"/>
  <c r="C331" i="22"/>
  <c r="C330" i="22"/>
  <c r="C329" i="22"/>
  <c r="G404" i="22"/>
  <c r="J404" i="22"/>
  <c r="G403" i="22"/>
  <c r="J403" i="22"/>
  <c r="G402" i="22"/>
  <c r="J402" i="22"/>
  <c r="G401" i="22"/>
  <c r="J401" i="22"/>
  <c r="G400" i="22"/>
  <c r="J400" i="22"/>
  <c r="G392" i="22"/>
  <c r="J392" i="22"/>
  <c r="G391" i="22"/>
  <c r="J391" i="22"/>
  <c r="G390" i="22"/>
  <c r="J390" i="22"/>
  <c r="G389" i="22"/>
  <c r="J389" i="22"/>
  <c r="G388" i="22"/>
  <c r="J388" i="22"/>
  <c r="G387" i="22"/>
  <c r="J387" i="22"/>
  <c r="G386" i="22"/>
  <c r="J386" i="22"/>
  <c r="G378" i="22"/>
  <c r="J378" i="22"/>
  <c r="G377" i="22"/>
  <c r="J377" i="22"/>
  <c r="G376" i="22"/>
  <c r="J376" i="22"/>
  <c r="G375" i="22"/>
  <c r="J375" i="22"/>
  <c r="G374" i="22"/>
  <c r="J374" i="22"/>
  <c r="G373" i="22"/>
  <c r="J373" i="22"/>
  <c r="G372" i="22"/>
  <c r="J372" i="22"/>
  <c r="G363" i="22"/>
  <c r="J363" i="22"/>
  <c r="G362" i="22"/>
  <c r="J362" i="22"/>
  <c r="G361" i="22"/>
  <c r="J361" i="22"/>
  <c r="G360" i="22"/>
  <c r="J360" i="22"/>
  <c r="G359" i="22"/>
  <c r="J359" i="22"/>
  <c r="G358" i="22"/>
  <c r="J358" i="22"/>
  <c r="G357" i="22"/>
  <c r="J357" i="22"/>
  <c r="G348" i="22"/>
  <c r="J348" i="22"/>
  <c r="G347" i="22"/>
  <c r="J347" i="22"/>
  <c r="G346" i="22"/>
  <c r="J346" i="22"/>
  <c r="G345" i="22"/>
  <c r="J345" i="22"/>
  <c r="G344" i="22"/>
  <c r="J344" i="22"/>
  <c r="G343" i="22"/>
  <c r="J343" i="22"/>
  <c r="G335" i="22"/>
  <c r="J335" i="22"/>
  <c r="G334" i="22"/>
  <c r="J334" i="22"/>
  <c r="G333" i="22"/>
  <c r="J333" i="22"/>
  <c r="G332" i="22"/>
  <c r="J332" i="22"/>
  <c r="G331" i="22"/>
  <c r="J331" i="22"/>
  <c r="G330" i="22"/>
  <c r="J330" i="22"/>
  <c r="G329" i="22"/>
  <c r="J329" i="22"/>
  <c r="J157" i="22"/>
  <c r="G156" i="22"/>
  <c r="J156" i="22"/>
  <c r="G155" i="22"/>
  <c r="J155" i="22"/>
  <c r="G154" i="22"/>
  <c r="J154" i="22"/>
  <c r="G153" i="22"/>
  <c r="J153" i="22"/>
  <c r="G152" i="22"/>
  <c r="J152" i="22"/>
  <c r="G151" i="22"/>
  <c r="J151" i="22"/>
  <c r="G142" i="22"/>
  <c r="J142" i="22"/>
  <c r="G141" i="22"/>
  <c r="J141" i="22"/>
  <c r="G140" i="22"/>
  <c r="J140" i="22"/>
  <c r="G139" i="22"/>
  <c r="J139" i="22"/>
  <c r="G138" i="22"/>
  <c r="J138" i="22"/>
  <c r="G137" i="22"/>
  <c r="J137" i="22"/>
  <c r="G128" i="22"/>
  <c r="J128" i="22"/>
  <c r="G127" i="22"/>
  <c r="J127" i="22"/>
  <c r="G126" i="22"/>
  <c r="J126" i="22"/>
  <c r="G125" i="22"/>
  <c r="J125" i="22"/>
  <c r="G124" i="22"/>
  <c r="J124" i="22"/>
  <c r="G123" i="22"/>
  <c r="J123" i="22"/>
  <c r="G122" i="22"/>
  <c r="J122" i="22"/>
  <c r="G114" i="22"/>
  <c r="J114" i="22"/>
  <c r="G113" i="22"/>
  <c r="J113" i="22"/>
  <c r="G112" i="22"/>
  <c r="J112" i="22"/>
  <c r="G111" i="22"/>
  <c r="J111" i="22"/>
  <c r="G110" i="22"/>
  <c r="J110" i="22"/>
  <c r="G109" i="22"/>
  <c r="J109" i="22"/>
  <c r="G108" i="22"/>
  <c r="J108" i="22"/>
  <c r="J100" i="22"/>
  <c r="G99" i="22"/>
  <c r="J99" i="22"/>
  <c r="G98" i="22"/>
  <c r="J98" i="22"/>
  <c r="G97" i="22"/>
  <c r="J97" i="22"/>
  <c r="G96" i="22"/>
  <c r="J96" i="22"/>
  <c r="G95" i="22"/>
  <c r="J95" i="22"/>
  <c r="G94" i="22"/>
  <c r="J94" i="22"/>
  <c r="G42" i="22"/>
  <c r="J42" i="22"/>
  <c r="J41" i="22"/>
  <c r="G40" i="22"/>
  <c r="J40" i="22"/>
  <c r="G39" i="22"/>
  <c r="J39" i="22"/>
  <c r="G38" i="22"/>
  <c r="J38" i="22"/>
  <c r="G37" i="22"/>
  <c r="J37" i="22"/>
  <c r="G36" i="22"/>
  <c r="J36" i="22"/>
  <c r="J84" i="22"/>
  <c r="J83" i="22"/>
  <c r="J82" i="22"/>
  <c r="G81" i="22"/>
  <c r="J81" i="22"/>
  <c r="G80" i="22"/>
  <c r="J80" i="22"/>
  <c r="G79" i="22"/>
  <c r="J79" i="22"/>
  <c r="E150" i="9"/>
  <c r="D150" i="9"/>
  <c r="H148" i="9"/>
  <c r="G148" i="9"/>
  <c r="E148" i="9"/>
  <c r="D148" i="9"/>
  <c r="J117" i="9"/>
  <c r="I117" i="9"/>
  <c r="H117" i="9"/>
  <c r="F117" i="9"/>
  <c r="D117" i="9"/>
  <c r="E102" i="9"/>
  <c r="E103" i="9"/>
  <c r="E104" i="9"/>
  <c r="E105" i="9"/>
  <c r="I71" i="18"/>
  <c r="I69" i="16"/>
  <c r="E76" i="9"/>
  <c r="G69" i="15"/>
  <c r="I69" i="15"/>
  <c r="I8" i="15"/>
  <c r="I12" i="15"/>
  <c r="I15" i="15"/>
  <c r="I16" i="15"/>
  <c r="I17" i="15"/>
  <c r="I19" i="15"/>
  <c r="I20" i="15"/>
  <c r="G60" i="15"/>
  <c r="G61" i="15"/>
  <c r="D61" i="16"/>
  <c r="G61" i="16"/>
  <c r="D60" i="16"/>
  <c r="G60" i="16"/>
  <c r="I21" i="16"/>
  <c r="I20" i="16"/>
  <c r="I19" i="16"/>
  <c r="I8" i="16"/>
  <c r="I43" i="9"/>
  <c r="I25" i="15"/>
  <c r="D27" i="9"/>
  <c r="D176" i="9"/>
  <c r="I26" i="15"/>
  <c r="I26" i="16"/>
  <c r="E28" i="9"/>
  <c r="E177" i="9"/>
  <c r="I25" i="16"/>
  <c r="I23" i="16"/>
  <c r="I17" i="16"/>
  <c r="I16" i="16"/>
  <c r="I15" i="16"/>
  <c r="I12" i="16"/>
  <c r="A8" i="21"/>
  <c r="A9" i="21"/>
  <c r="A10" i="21"/>
  <c r="A11" i="21"/>
  <c r="A13" i="21"/>
  <c r="A14" i="21"/>
  <c r="A15" i="21"/>
  <c r="A16" i="21"/>
  <c r="A17" i="21"/>
  <c r="A18" i="21"/>
  <c r="A19" i="21"/>
  <c r="A20" i="21"/>
  <c r="A21" i="21"/>
  <c r="A22" i="21"/>
  <c r="A23" i="21"/>
  <c r="A24" i="21"/>
  <c r="A26" i="21"/>
  <c r="A27" i="21"/>
  <c r="A28" i="21"/>
  <c r="A29" i="21"/>
  <c r="A30" i="21"/>
  <c r="A32" i="21"/>
  <c r="A35" i="21"/>
  <c r="A36" i="21"/>
  <c r="A37" i="21"/>
  <c r="A38" i="21"/>
  <c r="A39" i="21"/>
  <c r="A41" i="21"/>
  <c r="A44" i="21"/>
  <c r="A45" i="21"/>
  <c r="A46" i="21"/>
  <c r="A47" i="21"/>
  <c r="A49" i="21"/>
  <c r="A50" i="21"/>
  <c r="A51" i="21"/>
  <c r="A52" i="21"/>
  <c r="A53" i="21"/>
  <c r="A54" i="21"/>
  <c r="A55" i="21"/>
  <c r="A56" i="21"/>
  <c r="A57" i="21"/>
  <c r="A58" i="21"/>
  <c r="A59" i="21"/>
  <c r="A60" i="21"/>
  <c r="A61" i="21"/>
  <c r="A63" i="21"/>
  <c r="A64" i="21"/>
  <c r="A65" i="21"/>
  <c r="A66" i="21"/>
  <c r="A67" i="21"/>
  <c r="A69" i="21"/>
  <c r="A70" i="21"/>
  <c r="A71" i="21"/>
  <c r="A73" i="21"/>
  <c r="E149" i="21"/>
  <c r="F149" i="21"/>
  <c r="G149" i="21"/>
  <c r="H149" i="21"/>
  <c r="A152" i="21"/>
  <c r="A153" i="21"/>
  <c r="A154" i="21"/>
  <c r="A155" i="21"/>
  <c r="A157" i="21"/>
  <c r="A158" i="21"/>
  <c r="A159" i="21"/>
  <c r="A160" i="21"/>
  <c r="A161" i="21"/>
  <c r="A162" i="21"/>
  <c r="A163" i="21"/>
  <c r="A164" i="21"/>
  <c r="A165" i="21"/>
  <c r="A166" i="21"/>
  <c r="A167" i="21"/>
  <c r="A168" i="21"/>
  <c r="A170" i="21"/>
  <c r="A171" i="21"/>
  <c r="A172" i="21"/>
  <c r="A173" i="21"/>
  <c r="A174" i="21"/>
  <c r="A176" i="21"/>
  <c r="A179" i="21"/>
  <c r="A180" i="21"/>
  <c r="A181" i="21"/>
  <c r="A182" i="21"/>
  <c r="A183" i="21"/>
  <c r="A185" i="21"/>
  <c r="A188" i="21"/>
  <c r="A189" i="21"/>
  <c r="A190" i="21"/>
  <c r="A191" i="21"/>
  <c r="A193" i="21"/>
  <c r="A194" i="21"/>
  <c r="A195" i="21"/>
  <c r="A196" i="21"/>
  <c r="A197" i="21"/>
  <c r="A198" i="21"/>
  <c r="A199" i="21"/>
  <c r="A200" i="21"/>
  <c r="A201" i="21"/>
  <c r="A202" i="21"/>
  <c r="A203" i="21"/>
  <c r="A204" i="21"/>
  <c r="A205" i="21"/>
  <c r="A207" i="21"/>
  <c r="A208" i="21"/>
  <c r="A209" i="21"/>
  <c r="A210" i="21"/>
  <c r="A211" i="21"/>
  <c r="A213" i="21"/>
  <c r="A214" i="21"/>
  <c r="A215" i="21"/>
  <c r="A217" i="21"/>
  <c r="D152" i="21"/>
  <c r="E152" i="21"/>
  <c r="G152" i="21"/>
  <c r="D154" i="21"/>
  <c r="E154" i="21"/>
  <c r="G154" i="21"/>
  <c r="D155" i="21"/>
  <c r="E155" i="21"/>
  <c r="F155" i="21"/>
  <c r="G155" i="21"/>
  <c r="H155" i="21"/>
  <c r="I155" i="21"/>
  <c r="D157" i="21"/>
  <c r="E157" i="21"/>
  <c r="F157" i="21"/>
  <c r="G157" i="21"/>
  <c r="H157" i="21"/>
  <c r="I157" i="21"/>
  <c r="D158" i="21"/>
  <c r="E158" i="21"/>
  <c r="F158" i="21"/>
  <c r="G158" i="21"/>
  <c r="H158" i="21"/>
  <c r="I158" i="21"/>
  <c r="D159" i="21"/>
  <c r="E159" i="21"/>
  <c r="F159" i="21"/>
  <c r="G159" i="21"/>
  <c r="H159" i="21"/>
  <c r="I159" i="21"/>
  <c r="D160" i="21"/>
  <c r="G160" i="21"/>
  <c r="D161" i="21"/>
  <c r="E161" i="21"/>
  <c r="G161" i="21"/>
  <c r="D162" i="21"/>
  <c r="E162" i="21"/>
  <c r="G162" i="21"/>
  <c r="D164" i="21"/>
  <c r="E164" i="21"/>
  <c r="G164" i="21"/>
  <c r="D165" i="21"/>
  <c r="E165" i="21"/>
  <c r="G165" i="21"/>
  <c r="D166" i="21"/>
  <c r="E166" i="21"/>
  <c r="G166" i="21"/>
  <c r="D167" i="21"/>
  <c r="E167" i="21"/>
  <c r="F167" i="21"/>
  <c r="G167" i="21"/>
  <c r="H167" i="21"/>
  <c r="I167" i="21"/>
  <c r="D168" i="21"/>
  <c r="E168" i="21"/>
  <c r="F168" i="21"/>
  <c r="G168" i="21"/>
  <c r="H168" i="21"/>
  <c r="I168" i="21"/>
  <c r="D170" i="21"/>
  <c r="E170" i="21"/>
  <c r="F170" i="21"/>
  <c r="G170" i="21"/>
  <c r="D171" i="21"/>
  <c r="E171" i="21"/>
  <c r="F171" i="21"/>
  <c r="G171" i="21"/>
  <c r="H171" i="21"/>
  <c r="I171" i="21"/>
  <c r="D172" i="21"/>
  <c r="E172" i="21"/>
  <c r="F172" i="21"/>
  <c r="G172" i="21"/>
  <c r="H172" i="21"/>
  <c r="I172" i="21"/>
  <c r="D173" i="21"/>
  <c r="E173" i="21"/>
  <c r="F173" i="21"/>
  <c r="G173" i="21"/>
  <c r="H173" i="21"/>
  <c r="I173" i="21"/>
  <c r="D176" i="21"/>
  <c r="G176" i="21"/>
  <c r="D179" i="21"/>
  <c r="E179" i="21"/>
  <c r="G179" i="21"/>
  <c r="H179" i="21"/>
  <c r="D180" i="21"/>
  <c r="E180" i="21"/>
  <c r="G180" i="21"/>
  <c r="H180" i="21"/>
  <c r="D181" i="21"/>
  <c r="E181" i="21"/>
  <c r="G181" i="21"/>
  <c r="H181" i="21"/>
  <c r="D182" i="21"/>
  <c r="F182" i="21"/>
  <c r="G182" i="21"/>
  <c r="H182" i="21"/>
  <c r="D183" i="21"/>
  <c r="F183" i="21"/>
  <c r="G183" i="21"/>
  <c r="H183" i="21"/>
  <c r="D185" i="21"/>
  <c r="G185" i="21"/>
  <c r="H185" i="21"/>
  <c r="D188" i="21"/>
  <c r="E188" i="21"/>
  <c r="G188" i="21"/>
  <c r="D190" i="21"/>
  <c r="E190" i="21"/>
  <c r="G190" i="21"/>
  <c r="D191" i="21"/>
  <c r="E191" i="21"/>
  <c r="F191" i="21"/>
  <c r="G191" i="21"/>
  <c r="H191" i="21"/>
  <c r="D193" i="21"/>
  <c r="E193" i="21"/>
  <c r="F193" i="21"/>
  <c r="G193" i="21"/>
  <c r="H193" i="21"/>
  <c r="D194" i="21"/>
  <c r="E194" i="21"/>
  <c r="F194" i="21"/>
  <c r="G194" i="21"/>
  <c r="H194" i="21"/>
  <c r="D195" i="21"/>
  <c r="E195" i="21"/>
  <c r="F195" i="21"/>
  <c r="G195" i="21"/>
  <c r="H195" i="21"/>
  <c r="D196" i="21"/>
  <c r="G196" i="21"/>
  <c r="D197" i="21"/>
  <c r="E197" i="21"/>
  <c r="G197" i="21"/>
  <c r="D198" i="21"/>
  <c r="E198" i="21"/>
  <c r="G198" i="21"/>
  <c r="D200" i="21"/>
  <c r="E200" i="21"/>
  <c r="G200" i="21"/>
  <c r="D201" i="21"/>
  <c r="E201" i="21"/>
  <c r="G201" i="21"/>
  <c r="D202" i="21"/>
  <c r="E202" i="21"/>
  <c r="G202" i="21"/>
  <c r="D203" i="21"/>
  <c r="F203" i="21"/>
  <c r="G203" i="21"/>
  <c r="H203" i="21"/>
  <c r="D204" i="21"/>
  <c r="F204" i="21"/>
  <c r="G204" i="21"/>
  <c r="H204" i="21"/>
  <c r="D205" i="21"/>
  <c r="E205" i="21"/>
  <c r="F205" i="21"/>
  <c r="G205" i="21"/>
  <c r="H205" i="21"/>
  <c r="I205" i="21"/>
  <c r="D207" i="21"/>
  <c r="E207" i="21"/>
  <c r="F207" i="21"/>
  <c r="G207" i="21"/>
  <c r="D208" i="21"/>
  <c r="E208" i="21"/>
  <c r="F208" i="21"/>
  <c r="G208" i="21"/>
  <c r="H208" i="21"/>
  <c r="D209" i="21"/>
  <c r="E209" i="21"/>
  <c r="F209" i="21"/>
  <c r="G209" i="21"/>
  <c r="H209" i="21"/>
  <c r="D210" i="21"/>
  <c r="E210" i="21"/>
  <c r="F210" i="21"/>
  <c r="G210" i="21"/>
  <c r="H210" i="21"/>
  <c r="D217" i="21"/>
  <c r="E217" i="21"/>
  <c r="F217" i="21"/>
  <c r="G217" i="21"/>
  <c r="H217" i="21"/>
  <c r="I217" i="21"/>
  <c r="D145" i="20"/>
  <c r="E145" i="20"/>
  <c r="D148" i="20"/>
  <c r="F148" i="20"/>
  <c r="D149" i="20"/>
  <c r="E149" i="20"/>
  <c r="F149" i="20"/>
  <c r="D150" i="20"/>
  <c r="E150" i="20"/>
  <c r="F150" i="20"/>
  <c r="D152" i="20"/>
  <c r="E152" i="20"/>
  <c r="F152" i="20"/>
  <c r="D153" i="20"/>
  <c r="E153" i="20"/>
  <c r="F153" i="20"/>
  <c r="D154" i="20"/>
  <c r="E154" i="20"/>
  <c r="F154" i="20"/>
  <c r="D155" i="20"/>
  <c r="E155" i="20"/>
  <c r="F155" i="20"/>
  <c r="D156" i="20"/>
  <c r="E156" i="20"/>
  <c r="F156" i="20"/>
  <c r="D157" i="20"/>
  <c r="E157" i="20"/>
  <c r="F157" i="20"/>
  <c r="D159" i="20"/>
  <c r="E159" i="20"/>
  <c r="F159" i="20"/>
  <c r="D160" i="20"/>
  <c r="E160" i="20"/>
  <c r="F160" i="20"/>
  <c r="D161" i="20"/>
  <c r="E161" i="20"/>
  <c r="F161" i="20"/>
  <c r="D162" i="20"/>
  <c r="F162" i="20"/>
  <c r="D163" i="20"/>
  <c r="E163" i="20"/>
  <c r="F163" i="20"/>
  <c r="D165" i="20"/>
  <c r="E165" i="20"/>
  <c r="F165" i="20"/>
  <c r="D166" i="20"/>
  <c r="E166" i="20"/>
  <c r="F166" i="20"/>
  <c r="D167" i="20"/>
  <c r="E167" i="20"/>
  <c r="F167" i="20"/>
  <c r="D168" i="20"/>
  <c r="E168" i="20"/>
  <c r="F168" i="20"/>
  <c r="D171" i="20"/>
  <c r="F171" i="20"/>
  <c r="D174" i="20"/>
  <c r="E174" i="20"/>
  <c r="F174" i="20"/>
  <c r="D175" i="20"/>
  <c r="E175" i="20"/>
  <c r="F175" i="20"/>
  <c r="D176" i="20"/>
  <c r="E176" i="20"/>
  <c r="F176" i="20"/>
  <c r="D177" i="20"/>
  <c r="E177" i="20"/>
  <c r="F177" i="20"/>
  <c r="D178" i="20"/>
  <c r="E178" i="20"/>
  <c r="F178" i="20"/>
  <c r="D180" i="20"/>
  <c r="E180" i="20"/>
  <c r="F180" i="20"/>
  <c r="D183" i="20"/>
  <c r="F183" i="20"/>
  <c r="D184" i="20"/>
  <c r="E184" i="20"/>
  <c r="F184" i="20"/>
  <c r="D185" i="20"/>
  <c r="E185" i="20"/>
  <c r="F185" i="20"/>
  <c r="D187" i="20"/>
  <c r="E187" i="20"/>
  <c r="F187" i="20"/>
  <c r="D188" i="20"/>
  <c r="E188" i="20"/>
  <c r="F188" i="20"/>
  <c r="D189" i="20"/>
  <c r="E189" i="20"/>
  <c r="F189" i="20"/>
  <c r="D190" i="20"/>
  <c r="E190" i="20"/>
  <c r="F190" i="20"/>
  <c r="D191" i="20"/>
  <c r="E191" i="20"/>
  <c r="F191" i="20"/>
  <c r="D192" i="20"/>
  <c r="E192" i="20"/>
  <c r="F192" i="20"/>
  <c r="D194" i="20"/>
  <c r="E194" i="20"/>
  <c r="F194" i="20"/>
  <c r="D195" i="20"/>
  <c r="E195" i="20"/>
  <c r="F195" i="20"/>
  <c r="D196" i="20"/>
  <c r="E196" i="20"/>
  <c r="F196" i="20"/>
  <c r="D197" i="20"/>
  <c r="F197" i="20"/>
  <c r="D198" i="20"/>
  <c r="E198" i="20"/>
  <c r="F198" i="20"/>
  <c r="D199" i="20"/>
  <c r="E199" i="20"/>
  <c r="F199" i="20"/>
  <c r="D201" i="20"/>
  <c r="E201" i="20"/>
  <c r="F201" i="20"/>
  <c r="D202" i="20"/>
  <c r="E202" i="20"/>
  <c r="F202" i="20"/>
  <c r="D203" i="20"/>
  <c r="E203" i="20"/>
  <c r="F203" i="20"/>
  <c r="D204" i="20"/>
  <c r="E204" i="20"/>
  <c r="F204" i="20"/>
  <c r="D211" i="20"/>
  <c r="E211" i="20"/>
  <c r="F211" i="20"/>
  <c r="I69" i="19"/>
  <c r="D145" i="19"/>
  <c r="E145" i="19"/>
  <c r="G145" i="19"/>
  <c r="D148" i="19"/>
  <c r="E148" i="19"/>
  <c r="G148" i="19"/>
  <c r="D149" i="19"/>
  <c r="E149" i="19"/>
  <c r="F149" i="19"/>
  <c r="G149" i="19"/>
  <c r="D150" i="19"/>
  <c r="E150" i="19"/>
  <c r="G150" i="19"/>
  <c r="H150" i="19"/>
  <c r="D152" i="19"/>
  <c r="E152" i="19"/>
  <c r="F152" i="19"/>
  <c r="G152" i="19"/>
  <c r="H152" i="19"/>
  <c r="I152" i="19"/>
  <c r="D153" i="19"/>
  <c r="E153" i="19"/>
  <c r="F153" i="19"/>
  <c r="G153" i="19"/>
  <c r="H153" i="19"/>
  <c r="D154" i="19"/>
  <c r="E154" i="19"/>
  <c r="G154" i="19"/>
  <c r="H154" i="19"/>
  <c r="D155" i="19"/>
  <c r="E155" i="19"/>
  <c r="G155" i="19"/>
  <c r="D156" i="19"/>
  <c r="E156" i="19"/>
  <c r="G156" i="19"/>
  <c r="D157" i="19"/>
  <c r="E157" i="19"/>
  <c r="G157" i="19"/>
  <c r="D159" i="19"/>
  <c r="E159" i="19"/>
  <c r="G159" i="19"/>
  <c r="D160" i="19"/>
  <c r="E160" i="19"/>
  <c r="G160" i="19"/>
  <c r="D161" i="19"/>
  <c r="E161" i="19"/>
  <c r="G161" i="19"/>
  <c r="D162" i="19"/>
  <c r="E162" i="19"/>
  <c r="F162" i="19"/>
  <c r="G162" i="19"/>
  <c r="H162" i="19"/>
  <c r="I162" i="19"/>
  <c r="D163" i="19"/>
  <c r="E163" i="19"/>
  <c r="G163" i="19"/>
  <c r="H163" i="19"/>
  <c r="D165" i="19"/>
  <c r="E165" i="19"/>
  <c r="F165" i="19"/>
  <c r="G165" i="19"/>
  <c r="D166" i="19"/>
  <c r="E166" i="19"/>
  <c r="F166" i="19"/>
  <c r="G166" i="19"/>
  <c r="H166" i="19"/>
  <c r="I166" i="19"/>
  <c r="D167" i="19"/>
  <c r="E167" i="19"/>
  <c r="F167" i="19"/>
  <c r="G167" i="19"/>
  <c r="H167" i="19"/>
  <c r="I167" i="19"/>
  <c r="D168" i="19"/>
  <c r="E168" i="19"/>
  <c r="F168" i="19"/>
  <c r="G168" i="19"/>
  <c r="H168" i="19"/>
  <c r="I168" i="19"/>
  <c r="G171" i="19"/>
  <c r="D174" i="19"/>
  <c r="E174" i="19"/>
  <c r="G174" i="19"/>
  <c r="H174" i="19"/>
  <c r="D175" i="19"/>
  <c r="E175" i="19"/>
  <c r="G175" i="19"/>
  <c r="H175" i="19"/>
  <c r="D176" i="19"/>
  <c r="E176" i="19"/>
  <c r="G176" i="19"/>
  <c r="H176" i="19"/>
  <c r="D177" i="19"/>
  <c r="E177" i="19"/>
  <c r="F177" i="19"/>
  <c r="G177" i="19"/>
  <c r="H177" i="19"/>
  <c r="I177" i="19"/>
  <c r="D178" i="19"/>
  <c r="E178" i="19"/>
  <c r="G178" i="19"/>
  <c r="H178" i="19"/>
  <c r="D180" i="19"/>
  <c r="E180" i="19"/>
  <c r="G180" i="19"/>
  <c r="H180" i="19"/>
  <c r="D183" i="19"/>
  <c r="E183" i="19"/>
  <c r="G183" i="19"/>
  <c r="D184" i="19"/>
  <c r="E184" i="19"/>
  <c r="G184" i="19"/>
  <c r="D185" i="19"/>
  <c r="E185" i="19"/>
  <c r="G185" i="19"/>
  <c r="D187" i="19"/>
  <c r="E187" i="19"/>
  <c r="F187" i="19"/>
  <c r="G187" i="19"/>
  <c r="H187" i="19"/>
  <c r="D188" i="19"/>
  <c r="E188" i="19"/>
  <c r="G188" i="19"/>
  <c r="D189" i="19"/>
  <c r="E189" i="19"/>
  <c r="F189" i="19"/>
  <c r="G189" i="19"/>
  <c r="H189" i="19"/>
  <c r="D190" i="19"/>
  <c r="E190" i="19"/>
  <c r="G190" i="19"/>
  <c r="D191" i="19"/>
  <c r="E191" i="19"/>
  <c r="G191" i="19"/>
  <c r="D192" i="19"/>
  <c r="E192" i="19"/>
  <c r="G192" i="19"/>
  <c r="D194" i="19"/>
  <c r="E194" i="19"/>
  <c r="G194" i="19"/>
  <c r="D195" i="19"/>
  <c r="E195" i="19"/>
  <c r="G195" i="19"/>
  <c r="D196" i="19"/>
  <c r="E196" i="19"/>
  <c r="G196" i="19"/>
  <c r="D197" i="19"/>
  <c r="E197" i="19"/>
  <c r="F197" i="19"/>
  <c r="G197" i="19"/>
  <c r="H197" i="19"/>
  <c r="I197" i="19"/>
  <c r="D198" i="19"/>
  <c r="E198" i="19"/>
  <c r="G198" i="19"/>
  <c r="H198" i="19"/>
  <c r="D199" i="19"/>
  <c r="E199" i="19"/>
  <c r="F199" i="19"/>
  <c r="G199" i="19"/>
  <c r="H199" i="19"/>
  <c r="I199" i="19"/>
  <c r="D201" i="19"/>
  <c r="E201" i="19"/>
  <c r="F201" i="19"/>
  <c r="G201" i="19"/>
  <c r="D202" i="19"/>
  <c r="E202" i="19"/>
  <c r="F202" i="19"/>
  <c r="G202" i="19"/>
  <c r="H202" i="19"/>
  <c r="D203" i="19"/>
  <c r="E203" i="19"/>
  <c r="F203" i="19"/>
  <c r="G203" i="19"/>
  <c r="H203" i="19"/>
  <c r="D204" i="19"/>
  <c r="E204" i="19"/>
  <c r="F204" i="19"/>
  <c r="G204" i="19"/>
  <c r="H204" i="19"/>
  <c r="G207" i="19"/>
  <c r="D209" i="19"/>
  <c r="E209" i="19"/>
  <c r="F209" i="19"/>
  <c r="G209" i="19"/>
  <c r="H209" i="19"/>
  <c r="I209" i="19"/>
  <c r="D211" i="19"/>
  <c r="E211" i="19"/>
  <c r="F211" i="19"/>
  <c r="G211" i="19"/>
  <c r="H211" i="19"/>
  <c r="I211" i="19"/>
  <c r="A8" i="18"/>
  <c r="A9" i="18"/>
  <c r="A10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5" i="18"/>
  <c r="A26" i="18"/>
  <c r="A27" i="18"/>
  <c r="A28" i="18"/>
  <c r="A29" i="18"/>
  <c r="A31" i="18"/>
  <c r="A34" i="18"/>
  <c r="A35" i="18"/>
  <c r="A36" i="18"/>
  <c r="A37" i="18"/>
  <c r="A38" i="18"/>
  <c r="A40" i="18"/>
  <c r="A43" i="18"/>
  <c r="A44" i="18"/>
  <c r="A45" i="18"/>
  <c r="A47" i="18"/>
  <c r="A48" i="18"/>
  <c r="A49" i="18"/>
  <c r="A50" i="18"/>
  <c r="A51" i="18"/>
  <c r="A52" i="18"/>
  <c r="A53" i="18"/>
  <c r="A54" i="18"/>
  <c r="A55" i="18"/>
  <c r="A56" i="18"/>
  <c r="A57" i="18"/>
  <c r="A58" i="18"/>
  <c r="A59" i="18"/>
  <c r="A61" i="18"/>
  <c r="A62" i="18"/>
  <c r="A63" i="18"/>
  <c r="A64" i="18"/>
  <c r="A65" i="18"/>
  <c r="A67" i="18"/>
  <c r="A68" i="18"/>
  <c r="A69" i="18"/>
  <c r="A71" i="18"/>
  <c r="I69" i="18"/>
  <c r="D145" i="18"/>
  <c r="E145" i="18"/>
  <c r="G145" i="18"/>
  <c r="A148" i="18"/>
  <c r="A149" i="18"/>
  <c r="A150" i="18"/>
  <c r="A152" i="18"/>
  <c r="A153" i="18"/>
  <c r="A154" i="18"/>
  <c r="A155" i="18"/>
  <c r="A156" i="18"/>
  <c r="A157" i="18"/>
  <c r="A158" i="18"/>
  <c r="A159" i="18"/>
  <c r="A160" i="18"/>
  <c r="A161" i="18"/>
  <c r="A162" i="18"/>
  <c r="A163" i="18"/>
  <c r="A165" i="18"/>
  <c r="A166" i="18"/>
  <c r="A167" i="18"/>
  <c r="A168" i="18"/>
  <c r="A169" i="18"/>
  <c r="A171" i="18"/>
  <c r="A174" i="18"/>
  <c r="A175" i="18"/>
  <c r="A176" i="18"/>
  <c r="A177" i="18"/>
  <c r="A178" i="18"/>
  <c r="A180" i="18"/>
  <c r="A183" i="18"/>
  <c r="A184" i="18"/>
  <c r="A185" i="18"/>
  <c r="A187" i="18"/>
  <c r="A188" i="18"/>
  <c r="A189" i="18"/>
  <c r="A190" i="18"/>
  <c r="A191" i="18"/>
  <c r="A192" i="18"/>
  <c r="A193" i="18"/>
  <c r="A194" i="18"/>
  <c r="A195" i="18"/>
  <c r="A196" i="18"/>
  <c r="A197" i="18"/>
  <c r="A198" i="18"/>
  <c r="A199" i="18"/>
  <c r="A201" i="18"/>
  <c r="A202" i="18"/>
  <c r="A203" i="18"/>
  <c r="A204" i="18"/>
  <c r="A205" i="18"/>
  <c r="A207" i="18"/>
  <c r="A208" i="18"/>
  <c r="A209" i="18"/>
  <c r="A211" i="18"/>
  <c r="D148" i="18"/>
  <c r="E148" i="18"/>
  <c r="F148" i="18"/>
  <c r="G148" i="18"/>
  <c r="H148" i="18"/>
  <c r="I148" i="18"/>
  <c r="D149" i="18"/>
  <c r="E149" i="18"/>
  <c r="F149" i="18"/>
  <c r="G149" i="18"/>
  <c r="H149" i="18"/>
  <c r="I149" i="18"/>
  <c r="D150" i="18"/>
  <c r="E150" i="18"/>
  <c r="F150" i="18"/>
  <c r="G150" i="18"/>
  <c r="H150" i="18"/>
  <c r="I150" i="18"/>
  <c r="D152" i="18"/>
  <c r="E152" i="18"/>
  <c r="F152" i="18"/>
  <c r="G152" i="18"/>
  <c r="H152" i="18"/>
  <c r="I152" i="18"/>
  <c r="D153" i="18"/>
  <c r="E153" i="18"/>
  <c r="F153" i="18"/>
  <c r="G153" i="18"/>
  <c r="H153" i="18"/>
  <c r="I153" i="18"/>
  <c r="D154" i="18"/>
  <c r="E154" i="18"/>
  <c r="F154" i="18"/>
  <c r="G154" i="18"/>
  <c r="H154" i="18"/>
  <c r="I154" i="18"/>
  <c r="D155" i="18"/>
  <c r="E155" i="18"/>
  <c r="F155" i="18"/>
  <c r="G155" i="18"/>
  <c r="H155" i="18"/>
  <c r="I155" i="18"/>
  <c r="D156" i="18"/>
  <c r="E156" i="18"/>
  <c r="F156" i="18"/>
  <c r="G156" i="18"/>
  <c r="H156" i="18"/>
  <c r="I156" i="18"/>
  <c r="D157" i="18"/>
  <c r="E157" i="18"/>
  <c r="F157" i="18"/>
  <c r="G157" i="18"/>
  <c r="H157" i="18"/>
  <c r="I157" i="18"/>
  <c r="D159" i="18"/>
  <c r="E159" i="18"/>
  <c r="F159" i="18"/>
  <c r="G159" i="18"/>
  <c r="H159" i="18"/>
  <c r="I159" i="18"/>
  <c r="D160" i="18"/>
  <c r="E160" i="18"/>
  <c r="F160" i="18"/>
  <c r="G160" i="18"/>
  <c r="H160" i="18"/>
  <c r="I160" i="18"/>
  <c r="D161" i="18"/>
  <c r="E161" i="18"/>
  <c r="F161" i="18"/>
  <c r="G161" i="18"/>
  <c r="H161" i="18"/>
  <c r="I161" i="18"/>
  <c r="D162" i="18"/>
  <c r="E162" i="18"/>
  <c r="F162" i="18"/>
  <c r="G162" i="18"/>
  <c r="H162" i="18"/>
  <c r="I162" i="18"/>
  <c r="D163" i="18"/>
  <c r="E163" i="18"/>
  <c r="F163" i="18"/>
  <c r="G163" i="18"/>
  <c r="H163" i="18"/>
  <c r="I163" i="18"/>
  <c r="D165" i="18"/>
  <c r="E165" i="18"/>
  <c r="F165" i="18"/>
  <c r="G165" i="18"/>
  <c r="H165" i="18"/>
  <c r="I165" i="18"/>
  <c r="D166" i="18"/>
  <c r="E166" i="18"/>
  <c r="F166" i="18"/>
  <c r="G166" i="18"/>
  <c r="H166" i="18"/>
  <c r="I166" i="18"/>
  <c r="D167" i="18"/>
  <c r="E167" i="18"/>
  <c r="F167" i="18"/>
  <c r="G167" i="18"/>
  <c r="H167" i="18"/>
  <c r="I167" i="18"/>
  <c r="D168" i="18"/>
  <c r="E168" i="18"/>
  <c r="F168" i="18"/>
  <c r="G168" i="18"/>
  <c r="H168" i="18"/>
  <c r="I168" i="18"/>
  <c r="D171" i="18"/>
  <c r="E171" i="18"/>
  <c r="F171" i="18"/>
  <c r="G171" i="18"/>
  <c r="H171" i="18"/>
  <c r="I171" i="18"/>
  <c r="D174" i="18"/>
  <c r="E174" i="18"/>
  <c r="F174" i="18"/>
  <c r="G174" i="18"/>
  <c r="H174" i="18"/>
  <c r="I174" i="18"/>
  <c r="D175" i="18"/>
  <c r="E175" i="18"/>
  <c r="F175" i="18"/>
  <c r="G175" i="18"/>
  <c r="H175" i="18"/>
  <c r="I175" i="18"/>
  <c r="D176" i="18"/>
  <c r="E176" i="18"/>
  <c r="F176" i="18"/>
  <c r="G176" i="18"/>
  <c r="H176" i="18"/>
  <c r="I176" i="18"/>
  <c r="D177" i="18"/>
  <c r="E177" i="18"/>
  <c r="F177" i="18"/>
  <c r="G177" i="18"/>
  <c r="H177" i="18"/>
  <c r="I177" i="18"/>
  <c r="D178" i="18"/>
  <c r="E178" i="18"/>
  <c r="F178" i="18"/>
  <c r="G178" i="18"/>
  <c r="H178" i="18"/>
  <c r="I178" i="18"/>
  <c r="D180" i="18"/>
  <c r="E180" i="18"/>
  <c r="F180" i="18"/>
  <c r="G180" i="18"/>
  <c r="H180" i="18"/>
  <c r="D183" i="18"/>
  <c r="E183" i="18"/>
  <c r="F183" i="18"/>
  <c r="G183" i="18"/>
  <c r="H183" i="18"/>
  <c r="D184" i="18"/>
  <c r="E184" i="18"/>
  <c r="F184" i="18"/>
  <c r="G184" i="18"/>
  <c r="H184" i="18"/>
  <c r="D185" i="18"/>
  <c r="E185" i="18"/>
  <c r="F185" i="18"/>
  <c r="G185" i="18"/>
  <c r="H185" i="18"/>
  <c r="D187" i="18"/>
  <c r="E187" i="18"/>
  <c r="F187" i="18"/>
  <c r="G187" i="18"/>
  <c r="H187" i="18"/>
  <c r="D188" i="18"/>
  <c r="E188" i="18"/>
  <c r="F188" i="18"/>
  <c r="G188" i="18"/>
  <c r="H188" i="18"/>
  <c r="D189" i="18"/>
  <c r="E189" i="18"/>
  <c r="F189" i="18"/>
  <c r="G189" i="18"/>
  <c r="H189" i="18"/>
  <c r="D190" i="18"/>
  <c r="E190" i="18"/>
  <c r="F190" i="18"/>
  <c r="G190" i="18"/>
  <c r="H190" i="18"/>
  <c r="D191" i="18"/>
  <c r="E191" i="18"/>
  <c r="F191" i="18"/>
  <c r="G191" i="18"/>
  <c r="H191" i="18"/>
  <c r="D192" i="18"/>
  <c r="E192" i="18"/>
  <c r="F192" i="18"/>
  <c r="G192" i="18"/>
  <c r="H192" i="18"/>
  <c r="D194" i="18"/>
  <c r="E194" i="18"/>
  <c r="F194" i="18"/>
  <c r="G194" i="18"/>
  <c r="H194" i="18"/>
  <c r="D195" i="18"/>
  <c r="E195" i="18"/>
  <c r="F195" i="18"/>
  <c r="G195" i="18"/>
  <c r="H195" i="18"/>
  <c r="D196" i="18"/>
  <c r="E196" i="18"/>
  <c r="F196" i="18"/>
  <c r="G196" i="18"/>
  <c r="H196" i="18"/>
  <c r="D197" i="18"/>
  <c r="E197" i="18"/>
  <c r="F197" i="18"/>
  <c r="G197" i="18"/>
  <c r="H197" i="18"/>
  <c r="D198" i="18"/>
  <c r="E198" i="18"/>
  <c r="F198" i="18"/>
  <c r="G198" i="18"/>
  <c r="H198" i="18"/>
  <c r="D199" i="18"/>
  <c r="E199" i="18"/>
  <c r="F199" i="18"/>
  <c r="G199" i="18"/>
  <c r="H199" i="18"/>
  <c r="I199" i="18"/>
  <c r="D201" i="18"/>
  <c r="E201" i="18"/>
  <c r="F201" i="18"/>
  <c r="G201" i="18"/>
  <c r="H201" i="18"/>
  <c r="D202" i="18"/>
  <c r="E202" i="18"/>
  <c r="F202" i="18"/>
  <c r="G202" i="18"/>
  <c r="H202" i="18"/>
  <c r="D203" i="18"/>
  <c r="E203" i="18"/>
  <c r="F203" i="18"/>
  <c r="G203" i="18"/>
  <c r="H203" i="18"/>
  <c r="D204" i="18"/>
  <c r="E204" i="18"/>
  <c r="F204" i="18"/>
  <c r="G204" i="18"/>
  <c r="H204" i="18"/>
  <c r="D209" i="18"/>
  <c r="E209" i="18"/>
  <c r="F209" i="18"/>
  <c r="G209" i="18"/>
  <c r="H209" i="18"/>
  <c r="I209" i="18"/>
  <c r="D211" i="18"/>
  <c r="E211" i="18"/>
  <c r="F211" i="18"/>
  <c r="G211" i="18"/>
  <c r="H211" i="18"/>
  <c r="I211" i="18"/>
  <c r="A8" i="17"/>
  <c r="A9" i="17"/>
  <c r="A10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5" i="17"/>
  <c r="A26" i="17"/>
  <c r="A27" i="17"/>
  <c r="A28" i="17"/>
  <c r="A30" i="17"/>
  <c r="A33" i="17"/>
  <c r="A34" i="17"/>
  <c r="A35" i="17"/>
  <c r="A36" i="17"/>
  <c r="A37" i="17"/>
  <c r="A39" i="17"/>
  <c r="A42" i="17"/>
  <c r="A43" i="17"/>
  <c r="A44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60" i="17"/>
  <c r="A61" i="17"/>
  <c r="A62" i="17"/>
  <c r="A63" i="17"/>
  <c r="A65" i="17"/>
  <c r="A66" i="17"/>
  <c r="A67" i="17"/>
  <c r="A69" i="17"/>
  <c r="D141" i="17"/>
  <c r="E141" i="17"/>
  <c r="F141" i="17"/>
  <c r="G141" i="17"/>
  <c r="H141" i="17"/>
  <c r="A144" i="17"/>
  <c r="A145" i="17"/>
  <c r="A146" i="17"/>
  <c r="A148" i="17"/>
  <c r="A149" i="17"/>
  <c r="A150" i="17"/>
  <c r="A151" i="17"/>
  <c r="A152" i="17"/>
  <c r="A153" i="17"/>
  <c r="A154" i="17"/>
  <c r="A155" i="17"/>
  <c r="A156" i="17"/>
  <c r="A157" i="17"/>
  <c r="A158" i="17"/>
  <c r="A159" i="17"/>
  <c r="A161" i="17"/>
  <c r="A162" i="17"/>
  <c r="A163" i="17"/>
  <c r="A164" i="17"/>
  <c r="A166" i="17"/>
  <c r="A169" i="17"/>
  <c r="A170" i="17"/>
  <c r="A171" i="17"/>
  <c r="A172" i="17"/>
  <c r="A173" i="17"/>
  <c r="A175" i="17"/>
  <c r="A178" i="17"/>
  <c r="A179" i="17"/>
  <c r="A180" i="17"/>
  <c r="A182" i="17"/>
  <c r="A183" i="17"/>
  <c r="A184" i="17"/>
  <c r="A185" i="17"/>
  <c r="A186" i="17"/>
  <c r="A187" i="17"/>
  <c r="A188" i="17"/>
  <c r="A189" i="17"/>
  <c r="A190" i="17"/>
  <c r="A191" i="17"/>
  <c r="A192" i="17"/>
  <c r="A193" i="17"/>
  <c r="A194" i="17"/>
  <c r="A196" i="17"/>
  <c r="A197" i="17"/>
  <c r="A198" i="17"/>
  <c r="A199" i="17"/>
  <c r="A201" i="17"/>
  <c r="A202" i="17"/>
  <c r="A203" i="17"/>
  <c r="A205" i="17"/>
  <c r="D144" i="17"/>
  <c r="E144" i="17"/>
  <c r="F144" i="17"/>
  <c r="G144" i="17"/>
  <c r="H144" i="17"/>
  <c r="I144" i="17"/>
  <c r="D145" i="17"/>
  <c r="E145" i="17"/>
  <c r="F145" i="17"/>
  <c r="G145" i="17"/>
  <c r="H145" i="17"/>
  <c r="I145" i="17"/>
  <c r="D146" i="17"/>
  <c r="E146" i="17"/>
  <c r="F146" i="17"/>
  <c r="G146" i="17"/>
  <c r="H146" i="17"/>
  <c r="I146" i="17"/>
  <c r="D148" i="17"/>
  <c r="E148" i="17"/>
  <c r="F148" i="17"/>
  <c r="G148" i="17"/>
  <c r="H148" i="17"/>
  <c r="I148" i="17"/>
  <c r="D149" i="17"/>
  <c r="E149" i="17"/>
  <c r="F149" i="17"/>
  <c r="G149" i="17"/>
  <c r="H149" i="17"/>
  <c r="I149" i="17"/>
  <c r="D150" i="17"/>
  <c r="E150" i="17"/>
  <c r="F150" i="17"/>
  <c r="G150" i="17"/>
  <c r="H150" i="17"/>
  <c r="I150" i="17"/>
  <c r="D151" i="17"/>
  <c r="E151" i="17"/>
  <c r="F151" i="17"/>
  <c r="G151" i="17"/>
  <c r="H151" i="17"/>
  <c r="I151" i="17"/>
  <c r="D152" i="17"/>
  <c r="E152" i="17"/>
  <c r="F152" i="17"/>
  <c r="G152" i="17"/>
  <c r="H152" i="17"/>
  <c r="I152" i="17"/>
  <c r="D153" i="17"/>
  <c r="E153" i="17"/>
  <c r="F153" i="17"/>
  <c r="G153" i="17"/>
  <c r="H153" i="17"/>
  <c r="I153" i="17"/>
  <c r="D155" i="17"/>
  <c r="E155" i="17"/>
  <c r="F155" i="17"/>
  <c r="G155" i="17"/>
  <c r="H155" i="17"/>
  <c r="I155" i="17"/>
  <c r="D156" i="17"/>
  <c r="E156" i="17"/>
  <c r="F156" i="17"/>
  <c r="G156" i="17"/>
  <c r="H156" i="17"/>
  <c r="I156" i="17"/>
  <c r="D157" i="17"/>
  <c r="E157" i="17"/>
  <c r="F157" i="17"/>
  <c r="G157" i="17"/>
  <c r="H157" i="17"/>
  <c r="I157" i="17"/>
  <c r="D158" i="17"/>
  <c r="E158" i="17"/>
  <c r="F158" i="17"/>
  <c r="G158" i="17"/>
  <c r="H158" i="17"/>
  <c r="I158" i="17"/>
  <c r="D159" i="17"/>
  <c r="E159" i="17"/>
  <c r="F159" i="17"/>
  <c r="G159" i="17"/>
  <c r="H159" i="17"/>
  <c r="D161" i="17"/>
  <c r="E161" i="17"/>
  <c r="F161" i="17"/>
  <c r="G161" i="17"/>
  <c r="H161" i="17"/>
  <c r="I161" i="17"/>
  <c r="D162" i="17"/>
  <c r="E162" i="17"/>
  <c r="F162" i="17"/>
  <c r="H162" i="17"/>
  <c r="D163" i="17"/>
  <c r="E163" i="17"/>
  <c r="F163" i="17"/>
  <c r="G163" i="17"/>
  <c r="H163" i="17"/>
  <c r="I163" i="17"/>
  <c r="D164" i="17"/>
  <c r="E164" i="17"/>
  <c r="F164" i="17"/>
  <c r="H164" i="17"/>
  <c r="F166" i="17"/>
  <c r="H166" i="17"/>
  <c r="D169" i="17"/>
  <c r="E169" i="17"/>
  <c r="F169" i="17"/>
  <c r="G169" i="17"/>
  <c r="H169" i="17"/>
  <c r="I169" i="17"/>
  <c r="D170" i="17"/>
  <c r="E170" i="17"/>
  <c r="F170" i="17"/>
  <c r="G170" i="17"/>
  <c r="H170" i="17"/>
  <c r="I170" i="17"/>
  <c r="D171" i="17"/>
  <c r="E171" i="17"/>
  <c r="F171" i="17"/>
  <c r="G171" i="17"/>
  <c r="H171" i="17"/>
  <c r="I171" i="17"/>
  <c r="D172" i="17"/>
  <c r="E172" i="17"/>
  <c r="F172" i="17"/>
  <c r="G172" i="17"/>
  <c r="H172" i="17"/>
  <c r="I172" i="17"/>
  <c r="D173" i="17"/>
  <c r="E173" i="17"/>
  <c r="F173" i="17"/>
  <c r="G173" i="17"/>
  <c r="H173" i="17"/>
  <c r="I173" i="17"/>
  <c r="D175" i="17"/>
  <c r="E175" i="17"/>
  <c r="F175" i="17"/>
  <c r="G175" i="17"/>
  <c r="H175" i="17"/>
  <c r="D178" i="17"/>
  <c r="E178" i="17"/>
  <c r="F178" i="17"/>
  <c r="G178" i="17"/>
  <c r="H178" i="17"/>
  <c r="I178" i="17"/>
  <c r="D179" i="17"/>
  <c r="E179" i="17"/>
  <c r="F179" i="17"/>
  <c r="G179" i="17"/>
  <c r="H179" i="17"/>
  <c r="I179" i="17"/>
  <c r="D180" i="17"/>
  <c r="E180" i="17"/>
  <c r="F180" i="17"/>
  <c r="G180" i="17"/>
  <c r="H180" i="17"/>
  <c r="I180" i="17"/>
  <c r="D182" i="17"/>
  <c r="E182" i="17"/>
  <c r="F182" i="17"/>
  <c r="G182" i="17"/>
  <c r="H182" i="17"/>
  <c r="I182" i="17"/>
  <c r="D183" i="17"/>
  <c r="E183" i="17"/>
  <c r="F183" i="17"/>
  <c r="G183" i="17"/>
  <c r="H183" i="17"/>
  <c r="I183" i="17"/>
  <c r="D184" i="17"/>
  <c r="E184" i="17"/>
  <c r="F184" i="17"/>
  <c r="G184" i="17"/>
  <c r="H184" i="17"/>
  <c r="I184" i="17"/>
  <c r="D185" i="17"/>
  <c r="E185" i="17"/>
  <c r="F185" i="17"/>
  <c r="G185" i="17"/>
  <c r="H185" i="17"/>
  <c r="I185" i="17"/>
  <c r="D186" i="17"/>
  <c r="E186" i="17"/>
  <c r="F186" i="17"/>
  <c r="G186" i="17"/>
  <c r="H186" i="17"/>
  <c r="I186" i="17"/>
  <c r="D187" i="17"/>
  <c r="E187" i="17"/>
  <c r="F187" i="17"/>
  <c r="G187" i="17"/>
  <c r="H187" i="17"/>
  <c r="I187" i="17"/>
  <c r="D189" i="17"/>
  <c r="E189" i="17"/>
  <c r="F189" i="17"/>
  <c r="G189" i="17"/>
  <c r="H189" i="17"/>
  <c r="I189" i="17"/>
  <c r="D190" i="17"/>
  <c r="E190" i="17"/>
  <c r="F190" i="17"/>
  <c r="G190" i="17"/>
  <c r="H190" i="17"/>
  <c r="I190" i="17"/>
  <c r="D191" i="17"/>
  <c r="E191" i="17"/>
  <c r="F191" i="17"/>
  <c r="G191" i="17"/>
  <c r="H191" i="17"/>
  <c r="I191" i="17"/>
  <c r="D192" i="17"/>
  <c r="E192" i="17"/>
  <c r="F192" i="17"/>
  <c r="G192" i="17"/>
  <c r="H192" i="17"/>
  <c r="I192" i="17"/>
  <c r="D193" i="17"/>
  <c r="F193" i="17"/>
  <c r="G193" i="17"/>
  <c r="H193" i="17"/>
  <c r="D194" i="17"/>
  <c r="E194" i="17"/>
  <c r="F194" i="17"/>
  <c r="G194" i="17"/>
  <c r="H194" i="17"/>
  <c r="I194" i="17"/>
  <c r="D196" i="17"/>
  <c r="E196" i="17"/>
  <c r="F196" i="17"/>
  <c r="G196" i="17"/>
  <c r="H196" i="17"/>
  <c r="D197" i="17"/>
  <c r="E197" i="17"/>
  <c r="F197" i="17"/>
  <c r="H197" i="17"/>
  <c r="D198" i="17"/>
  <c r="E198" i="17"/>
  <c r="F198" i="17"/>
  <c r="G198" i="17"/>
  <c r="H198" i="17"/>
  <c r="D199" i="17"/>
  <c r="E199" i="17"/>
  <c r="F199" i="17"/>
  <c r="H199" i="17"/>
  <c r="D203" i="17"/>
  <c r="E203" i="17"/>
  <c r="F203" i="17"/>
  <c r="G203" i="17"/>
  <c r="H203" i="17"/>
  <c r="D205" i="17"/>
  <c r="E205" i="17"/>
  <c r="F205" i="17"/>
  <c r="G205" i="17"/>
  <c r="H205" i="17"/>
  <c r="I205" i="17"/>
  <c r="A8" i="16"/>
  <c r="A9" i="16"/>
  <c r="A10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5" i="16"/>
  <c r="A26" i="16"/>
  <c r="A27" i="16"/>
  <c r="A28" i="16"/>
  <c r="A30" i="16"/>
  <c r="A33" i="16"/>
  <c r="A34" i="16"/>
  <c r="A35" i="16"/>
  <c r="A36" i="16"/>
  <c r="A37" i="16"/>
  <c r="A39" i="16"/>
  <c r="A42" i="16"/>
  <c r="A43" i="16"/>
  <c r="A44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60" i="16"/>
  <c r="A61" i="16"/>
  <c r="A62" i="16"/>
  <c r="A63" i="16"/>
  <c r="A65" i="16"/>
  <c r="A66" i="16"/>
  <c r="A67" i="16"/>
  <c r="A69" i="16"/>
  <c r="I9" i="16"/>
  <c r="I30" i="16"/>
  <c r="I166" i="16"/>
  <c r="I10" i="16"/>
  <c r="I13" i="16"/>
  <c r="I14" i="16"/>
  <c r="I22" i="16"/>
  <c r="I27" i="16"/>
  <c r="I28" i="16"/>
  <c r="E30" i="9"/>
  <c r="D30" i="16"/>
  <c r="D166" i="16"/>
  <c r="E30" i="16"/>
  <c r="F30" i="16"/>
  <c r="F166" i="16"/>
  <c r="G30" i="16"/>
  <c r="H30" i="16"/>
  <c r="H166" i="16"/>
  <c r="I33" i="16"/>
  <c r="I169" i="16"/>
  <c r="I34" i="16"/>
  <c r="I35" i="16"/>
  <c r="I171" i="16"/>
  <c r="I36" i="16"/>
  <c r="I37" i="16"/>
  <c r="I173" i="16"/>
  <c r="D39" i="16"/>
  <c r="E39" i="16"/>
  <c r="E175" i="16"/>
  <c r="F39" i="16"/>
  <c r="G39" i="16"/>
  <c r="G175" i="16"/>
  <c r="H39" i="16"/>
  <c r="D42" i="16"/>
  <c r="I42" i="16"/>
  <c r="E42" i="16"/>
  <c r="F42" i="16"/>
  <c r="G42" i="16"/>
  <c r="G65" i="16"/>
  <c r="H42" i="16"/>
  <c r="H65" i="16"/>
  <c r="D43" i="16"/>
  <c r="I43" i="16"/>
  <c r="I179" i="16"/>
  <c r="E43" i="16"/>
  <c r="F43" i="16"/>
  <c r="F179" i="16"/>
  <c r="G43" i="16"/>
  <c r="H43" i="16"/>
  <c r="H179" i="16"/>
  <c r="D44" i="16"/>
  <c r="E44" i="16"/>
  <c r="E65" i="16"/>
  <c r="F44" i="16"/>
  <c r="G44" i="16"/>
  <c r="G180" i="16"/>
  <c r="H44" i="16"/>
  <c r="I44" i="16"/>
  <c r="I180" i="16"/>
  <c r="D46" i="16"/>
  <c r="E46" i="16"/>
  <c r="I46" i="16"/>
  <c r="I182" i="16"/>
  <c r="F46" i="16"/>
  <c r="G46" i="16"/>
  <c r="G182" i="16"/>
  <c r="H46" i="16"/>
  <c r="D47" i="16"/>
  <c r="I47" i="16"/>
  <c r="I183" i="16"/>
  <c r="E47" i="16"/>
  <c r="F47" i="16"/>
  <c r="F183" i="16"/>
  <c r="G47" i="16"/>
  <c r="H47" i="16"/>
  <c r="H183" i="16"/>
  <c r="D48" i="16"/>
  <c r="I48" i="16"/>
  <c r="I184" i="16"/>
  <c r="E48" i="16"/>
  <c r="F48" i="16"/>
  <c r="F184" i="16"/>
  <c r="G48" i="16"/>
  <c r="H48" i="16"/>
  <c r="H184" i="16"/>
  <c r="D49" i="16"/>
  <c r="E49" i="16"/>
  <c r="E185" i="16"/>
  <c r="F49" i="16"/>
  <c r="G49" i="16"/>
  <c r="G185" i="16"/>
  <c r="H49" i="16"/>
  <c r="I49" i="16"/>
  <c r="I185" i="16"/>
  <c r="D50" i="16"/>
  <c r="E50" i="16"/>
  <c r="I50" i="16"/>
  <c r="I186" i="16"/>
  <c r="F50" i="16"/>
  <c r="G50" i="16"/>
  <c r="G186" i="16"/>
  <c r="H50" i="16"/>
  <c r="D51" i="16"/>
  <c r="I51" i="16"/>
  <c r="I187" i="16"/>
  <c r="E51" i="16"/>
  <c r="F51" i="16"/>
  <c r="F187" i="16"/>
  <c r="G51" i="16"/>
  <c r="H51" i="16"/>
  <c r="H187" i="16"/>
  <c r="D53" i="16"/>
  <c r="I53" i="16"/>
  <c r="I189" i="16"/>
  <c r="E53" i="16"/>
  <c r="F53" i="16"/>
  <c r="F189" i="16"/>
  <c r="G53" i="16"/>
  <c r="H53" i="16"/>
  <c r="H189" i="16"/>
  <c r="D54" i="16"/>
  <c r="I54" i="16"/>
  <c r="I190" i="16"/>
  <c r="E54" i="16"/>
  <c r="F54" i="16"/>
  <c r="F190" i="16"/>
  <c r="G54" i="16"/>
  <c r="H54" i="16"/>
  <c r="H190" i="16"/>
  <c r="D55" i="16"/>
  <c r="E55" i="16"/>
  <c r="E191" i="16"/>
  <c r="F55" i="16"/>
  <c r="G55" i="16"/>
  <c r="G191" i="16"/>
  <c r="H55" i="16"/>
  <c r="I55" i="16"/>
  <c r="I191" i="16"/>
  <c r="D56" i="16"/>
  <c r="E56" i="16"/>
  <c r="I56" i="16"/>
  <c r="I192" i="16"/>
  <c r="F56" i="16"/>
  <c r="G56" i="16"/>
  <c r="G192" i="16"/>
  <c r="H56" i="16"/>
  <c r="D57" i="16"/>
  <c r="I57" i="16"/>
  <c r="I193" i="16"/>
  <c r="E57" i="16"/>
  <c r="F57" i="16"/>
  <c r="F193" i="16"/>
  <c r="G57" i="16"/>
  <c r="H57" i="16"/>
  <c r="H193" i="16"/>
  <c r="I58" i="16"/>
  <c r="E60" i="16"/>
  <c r="F60" i="16"/>
  <c r="H60" i="16"/>
  <c r="I60" i="16"/>
  <c r="E61" i="16"/>
  <c r="F61" i="16"/>
  <c r="H61" i="16"/>
  <c r="I61" i="16"/>
  <c r="D62" i="16"/>
  <c r="E62" i="16"/>
  <c r="F62" i="16"/>
  <c r="I62" i="16"/>
  <c r="G62" i="16"/>
  <c r="H62" i="16"/>
  <c r="H198" i="16"/>
  <c r="D63" i="16"/>
  <c r="E63" i="16"/>
  <c r="E199" i="16"/>
  <c r="F63" i="16"/>
  <c r="G63" i="16"/>
  <c r="G199" i="16"/>
  <c r="H63" i="16"/>
  <c r="I63" i="16"/>
  <c r="I199" i="16"/>
  <c r="F65" i="16"/>
  <c r="F66" i="16"/>
  <c r="F202" i="16"/>
  <c r="D67" i="16"/>
  <c r="D203" i="16"/>
  <c r="E67" i="16"/>
  <c r="F67" i="16"/>
  <c r="F203" i="16"/>
  <c r="G67" i="16"/>
  <c r="H67" i="16"/>
  <c r="H203" i="16"/>
  <c r="D141" i="16"/>
  <c r="E141" i="16"/>
  <c r="G141" i="16"/>
  <c r="A144" i="16"/>
  <c r="A145" i="16"/>
  <c r="A146" i="16"/>
  <c r="A148" i="16"/>
  <c r="A149" i="16"/>
  <c r="A150" i="16"/>
  <c r="A151" i="16"/>
  <c r="A152" i="16"/>
  <c r="A153" i="16"/>
  <c r="A154" i="16"/>
  <c r="A155" i="16"/>
  <c r="A156" i="16"/>
  <c r="A157" i="16"/>
  <c r="A158" i="16"/>
  <c r="A159" i="16"/>
  <c r="A161" i="16"/>
  <c r="A162" i="16"/>
  <c r="A163" i="16"/>
  <c r="A164" i="16"/>
  <c r="A166" i="16"/>
  <c r="A169" i="16"/>
  <c r="A170" i="16"/>
  <c r="A171" i="16"/>
  <c r="A172" i="16"/>
  <c r="A173" i="16"/>
  <c r="A175" i="16"/>
  <c r="A178" i="16"/>
  <c r="A179" i="16"/>
  <c r="A180" i="16"/>
  <c r="A182" i="16"/>
  <c r="A183" i="16"/>
  <c r="A184" i="16"/>
  <c r="A185" i="16"/>
  <c r="A186" i="16"/>
  <c r="A187" i="16"/>
  <c r="A188" i="16"/>
  <c r="A189" i="16"/>
  <c r="A190" i="16"/>
  <c r="A191" i="16"/>
  <c r="A192" i="16"/>
  <c r="A193" i="16"/>
  <c r="A194" i="16"/>
  <c r="A196" i="16"/>
  <c r="A197" i="16"/>
  <c r="A198" i="16"/>
  <c r="A199" i="16"/>
  <c r="A201" i="16"/>
  <c r="A202" i="16"/>
  <c r="A203" i="16"/>
  <c r="A205" i="16"/>
  <c r="D144" i="16"/>
  <c r="E144" i="16"/>
  <c r="F144" i="16"/>
  <c r="G144" i="16"/>
  <c r="H144" i="16"/>
  <c r="I144" i="16"/>
  <c r="D145" i="16"/>
  <c r="E145" i="16"/>
  <c r="F145" i="16"/>
  <c r="G145" i="16"/>
  <c r="H145" i="16"/>
  <c r="D146" i="16"/>
  <c r="E146" i="16"/>
  <c r="F146" i="16"/>
  <c r="G146" i="16"/>
  <c r="H146" i="16"/>
  <c r="D148" i="16"/>
  <c r="E148" i="16"/>
  <c r="F148" i="16"/>
  <c r="G148" i="16"/>
  <c r="H148" i="16"/>
  <c r="I148" i="16"/>
  <c r="D149" i="16"/>
  <c r="E149" i="16"/>
  <c r="F149" i="16"/>
  <c r="G149" i="16"/>
  <c r="H149" i="16"/>
  <c r="I149" i="16"/>
  <c r="D150" i="16"/>
  <c r="E150" i="16"/>
  <c r="F150" i="16"/>
  <c r="G150" i="16"/>
  <c r="H150" i="16"/>
  <c r="I150" i="16"/>
  <c r="D151" i="16"/>
  <c r="E151" i="16"/>
  <c r="F151" i="16"/>
  <c r="G151" i="16"/>
  <c r="H151" i="16"/>
  <c r="I151" i="16"/>
  <c r="D152" i="16"/>
  <c r="E152" i="16"/>
  <c r="F152" i="16"/>
  <c r="G152" i="16"/>
  <c r="H152" i="16"/>
  <c r="I152" i="16"/>
  <c r="D153" i="16"/>
  <c r="E153" i="16"/>
  <c r="F153" i="16"/>
  <c r="G153" i="16"/>
  <c r="H153" i="16"/>
  <c r="I153" i="16"/>
  <c r="D155" i="16"/>
  <c r="E155" i="16"/>
  <c r="F155" i="16"/>
  <c r="G155" i="16"/>
  <c r="H155" i="16"/>
  <c r="I155" i="16"/>
  <c r="D156" i="16"/>
  <c r="E156" i="16"/>
  <c r="F156" i="16"/>
  <c r="G156" i="16"/>
  <c r="H156" i="16"/>
  <c r="I156" i="16"/>
  <c r="D157" i="16"/>
  <c r="E157" i="16"/>
  <c r="F157" i="16"/>
  <c r="G157" i="16"/>
  <c r="H157" i="16"/>
  <c r="I157" i="16"/>
  <c r="D158" i="16"/>
  <c r="E158" i="16"/>
  <c r="F158" i="16"/>
  <c r="G158" i="16"/>
  <c r="H158" i="16"/>
  <c r="I158" i="16"/>
  <c r="D159" i="16"/>
  <c r="E159" i="16"/>
  <c r="F159" i="16"/>
  <c r="G159" i="16"/>
  <c r="H159" i="16"/>
  <c r="I159" i="16"/>
  <c r="D161" i="16"/>
  <c r="E161" i="16"/>
  <c r="F161" i="16"/>
  <c r="G161" i="16"/>
  <c r="H161" i="16"/>
  <c r="I161" i="16"/>
  <c r="D162" i="16"/>
  <c r="E162" i="16"/>
  <c r="F162" i="16"/>
  <c r="G162" i="16"/>
  <c r="H162" i="16"/>
  <c r="I162" i="16"/>
  <c r="D163" i="16"/>
  <c r="E163" i="16"/>
  <c r="F163" i="16"/>
  <c r="G163" i="16"/>
  <c r="H163" i="16"/>
  <c r="I163" i="16"/>
  <c r="D164" i="16"/>
  <c r="E164" i="16"/>
  <c r="F164" i="16"/>
  <c r="G164" i="16"/>
  <c r="H164" i="16"/>
  <c r="I164" i="16"/>
  <c r="E166" i="16"/>
  <c r="G166" i="16"/>
  <c r="D169" i="16"/>
  <c r="E169" i="16"/>
  <c r="F169" i="16"/>
  <c r="G169" i="16"/>
  <c r="H169" i="16"/>
  <c r="D170" i="16"/>
  <c r="E170" i="16"/>
  <c r="F170" i="16"/>
  <c r="G170" i="16"/>
  <c r="H170" i="16"/>
  <c r="I170" i="16"/>
  <c r="D171" i="16"/>
  <c r="E171" i="16"/>
  <c r="F171" i="16"/>
  <c r="G171" i="16"/>
  <c r="H171" i="16"/>
  <c r="D172" i="16"/>
  <c r="E172" i="16"/>
  <c r="F172" i="16"/>
  <c r="G172" i="16"/>
  <c r="H172" i="16"/>
  <c r="I172" i="16"/>
  <c r="D173" i="16"/>
  <c r="E173" i="16"/>
  <c r="F173" i="16"/>
  <c r="G173" i="16"/>
  <c r="H173" i="16"/>
  <c r="D175" i="16"/>
  <c r="F175" i="16"/>
  <c r="H175" i="16"/>
  <c r="E178" i="16"/>
  <c r="F178" i="16"/>
  <c r="G178" i="16"/>
  <c r="E179" i="16"/>
  <c r="G179" i="16"/>
  <c r="D180" i="16"/>
  <c r="F180" i="16"/>
  <c r="H180" i="16"/>
  <c r="D182" i="16"/>
  <c r="F182" i="16"/>
  <c r="H182" i="16"/>
  <c r="E183" i="16"/>
  <c r="G183" i="16"/>
  <c r="E184" i="16"/>
  <c r="G184" i="16"/>
  <c r="D185" i="16"/>
  <c r="F185" i="16"/>
  <c r="H185" i="16"/>
  <c r="D186" i="16"/>
  <c r="F186" i="16"/>
  <c r="H186" i="16"/>
  <c r="E187" i="16"/>
  <c r="G187" i="16"/>
  <c r="E189" i="16"/>
  <c r="G189" i="16"/>
  <c r="E190" i="16"/>
  <c r="G190" i="16"/>
  <c r="D191" i="16"/>
  <c r="F191" i="16"/>
  <c r="H191" i="16"/>
  <c r="D192" i="16"/>
  <c r="F192" i="16"/>
  <c r="H192" i="16"/>
  <c r="E193" i="16"/>
  <c r="G193" i="16"/>
  <c r="D194" i="16"/>
  <c r="E194" i="16"/>
  <c r="F194" i="16"/>
  <c r="G194" i="16"/>
  <c r="H194" i="16"/>
  <c r="I194" i="16"/>
  <c r="D196" i="16"/>
  <c r="E196" i="16"/>
  <c r="F196" i="16"/>
  <c r="G196" i="16"/>
  <c r="D197" i="16"/>
  <c r="E197" i="16"/>
  <c r="F197" i="16"/>
  <c r="G197" i="16"/>
  <c r="H197" i="16"/>
  <c r="D198" i="16"/>
  <c r="E198" i="16"/>
  <c r="G198" i="16"/>
  <c r="D199" i="16"/>
  <c r="F199" i="16"/>
  <c r="H199" i="16"/>
  <c r="E203" i="16"/>
  <c r="G203" i="16"/>
  <c r="D205" i="16"/>
  <c r="E205" i="16"/>
  <c r="F205" i="16"/>
  <c r="G205" i="16"/>
  <c r="H205" i="16"/>
  <c r="I205" i="16"/>
  <c r="H67" i="15"/>
  <c r="H42" i="15"/>
  <c r="H43" i="15"/>
  <c r="H65" i="15"/>
  <c r="H44" i="15"/>
  <c r="H46" i="15"/>
  <c r="H47" i="15"/>
  <c r="H48" i="15"/>
  <c r="H49" i="15"/>
  <c r="H50" i="15"/>
  <c r="H51" i="15"/>
  <c r="H53" i="15"/>
  <c r="H54" i="15"/>
  <c r="H55" i="15"/>
  <c r="H56" i="15"/>
  <c r="H57" i="15"/>
  <c r="H60" i="15"/>
  <c r="H61" i="15"/>
  <c r="H62" i="15"/>
  <c r="H63" i="15"/>
  <c r="H39" i="15"/>
  <c r="H30" i="15"/>
  <c r="I58" i="15"/>
  <c r="I67" i="15"/>
  <c r="I203" i="15"/>
  <c r="G67" i="15"/>
  <c r="G42" i="15"/>
  <c r="G43" i="15"/>
  <c r="G44" i="15"/>
  <c r="G46" i="15"/>
  <c r="G47" i="15"/>
  <c r="G48" i="15"/>
  <c r="G49" i="15"/>
  <c r="G50" i="15"/>
  <c r="G51" i="15"/>
  <c r="G53" i="15"/>
  <c r="G54" i="15"/>
  <c r="G55" i="15"/>
  <c r="G56" i="15"/>
  <c r="G57" i="15"/>
  <c r="G62" i="15"/>
  <c r="G198" i="15"/>
  <c r="G63" i="15"/>
  <c r="G65" i="15"/>
  <c r="G66" i="15"/>
  <c r="G202" i="15"/>
  <c r="F67" i="15"/>
  <c r="F42" i="15"/>
  <c r="F43" i="15"/>
  <c r="F44" i="15"/>
  <c r="F46" i="15"/>
  <c r="F65" i="15"/>
  <c r="F47" i="15"/>
  <c r="F48" i="15"/>
  <c r="F49" i="15"/>
  <c r="F50" i="15"/>
  <c r="F51" i="15"/>
  <c r="F53" i="15"/>
  <c r="F54" i="15"/>
  <c r="F55" i="15"/>
  <c r="F56" i="15"/>
  <c r="F57" i="15"/>
  <c r="F60" i="15"/>
  <c r="F61" i="15"/>
  <c r="F62" i="15"/>
  <c r="F63" i="15"/>
  <c r="F199" i="15"/>
  <c r="F39" i="15"/>
  <c r="F175" i="15"/>
  <c r="F30" i="15"/>
  <c r="E67" i="15"/>
  <c r="E42" i="15"/>
  <c r="E43" i="15"/>
  <c r="E65" i="15"/>
  <c r="E44" i="15"/>
  <c r="E46" i="15"/>
  <c r="E47" i="15"/>
  <c r="E48" i="15"/>
  <c r="E49" i="15"/>
  <c r="E50" i="15"/>
  <c r="E51" i="15"/>
  <c r="E53" i="15"/>
  <c r="E54" i="15"/>
  <c r="E55" i="15"/>
  <c r="E56" i="15"/>
  <c r="E57" i="15"/>
  <c r="E60" i="15"/>
  <c r="E196" i="15"/>
  <c r="E61" i="15"/>
  <c r="E62" i="15"/>
  <c r="E198" i="15"/>
  <c r="E63" i="15"/>
  <c r="E39" i="15"/>
  <c r="E30" i="15"/>
  <c r="D173" i="15"/>
  <c r="D67" i="15"/>
  <c r="D57" i="15"/>
  <c r="I57" i="15"/>
  <c r="I193" i="15"/>
  <c r="D63" i="15"/>
  <c r="D62" i="15"/>
  <c r="D198" i="15"/>
  <c r="D61" i="15"/>
  <c r="I61" i="15"/>
  <c r="D60" i="15"/>
  <c r="I60" i="15"/>
  <c r="D56" i="15"/>
  <c r="D55" i="15"/>
  <c r="I55" i="15"/>
  <c r="I191" i="15"/>
  <c r="D54" i="15"/>
  <c r="D53" i="15"/>
  <c r="I53" i="15"/>
  <c r="I189" i="15"/>
  <c r="D51" i="15"/>
  <c r="D50" i="15"/>
  <c r="I50" i="15"/>
  <c r="I186" i="15"/>
  <c r="D49" i="15"/>
  <c r="D48" i="15"/>
  <c r="I48" i="15"/>
  <c r="I184" i="15"/>
  <c r="D47" i="15"/>
  <c r="D46" i="15"/>
  <c r="I46" i="15"/>
  <c r="I182" i="15"/>
  <c r="D44" i="15"/>
  <c r="D43" i="15"/>
  <c r="I43" i="15"/>
  <c r="I179" i="15"/>
  <c r="D42" i="15"/>
  <c r="D65" i="15"/>
  <c r="H199" i="15"/>
  <c r="G199" i="15"/>
  <c r="E199" i="15"/>
  <c r="D199" i="15"/>
  <c r="I62" i="15"/>
  <c r="H198" i="15"/>
  <c r="F198" i="15"/>
  <c r="H197" i="15"/>
  <c r="G197" i="15"/>
  <c r="F197" i="15"/>
  <c r="E197" i="15"/>
  <c r="D197" i="15"/>
  <c r="H196" i="15"/>
  <c r="G196" i="15"/>
  <c r="F196" i="15"/>
  <c r="D196" i="15"/>
  <c r="I28" i="15"/>
  <c r="I164" i="15"/>
  <c r="H164" i="15"/>
  <c r="G164" i="15"/>
  <c r="F164" i="15"/>
  <c r="E164" i="15"/>
  <c r="D164" i="15"/>
  <c r="I27" i="15"/>
  <c r="H163" i="15"/>
  <c r="G163" i="15"/>
  <c r="F163" i="15"/>
  <c r="E163" i="15"/>
  <c r="D163" i="15"/>
  <c r="I162" i="15"/>
  <c r="H162" i="15"/>
  <c r="G162" i="15"/>
  <c r="F162" i="15"/>
  <c r="E162" i="15"/>
  <c r="D162" i="15"/>
  <c r="I13" i="15"/>
  <c r="I14" i="15"/>
  <c r="I9" i="15"/>
  <c r="I30" i="15"/>
  <c r="I166" i="15"/>
  <c r="I10" i="15"/>
  <c r="I21" i="15"/>
  <c r="I22" i="15"/>
  <c r="I23" i="15"/>
  <c r="I179" i="9"/>
  <c r="H179" i="9"/>
  <c r="I178" i="9"/>
  <c r="H178" i="9"/>
  <c r="I177" i="9"/>
  <c r="H177" i="9"/>
  <c r="I176" i="9"/>
  <c r="A144" i="15"/>
  <c r="A145" i="15"/>
  <c r="A146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1" i="15"/>
  <c r="A162" i="15"/>
  <c r="A163" i="15"/>
  <c r="A164" i="15"/>
  <c r="A166" i="15"/>
  <c r="A169" i="15"/>
  <c r="A170" i="15"/>
  <c r="A171" i="15"/>
  <c r="A172" i="15"/>
  <c r="A173" i="15"/>
  <c r="A175" i="15"/>
  <c r="A178" i="15"/>
  <c r="A179" i="15"/>
  <c r="A180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6" i="15"/>
  <c r="A197" i="15"/>
  <c r="A198" i="15"/>
  <c r="A199" i="15"/>
  <c r="A201" i="15"/>
  <c r="A202" i="15"/>
  <c r="A203" i="15"/>
  <c r="A205" i="15"/>
  <c r="I161" i="15"/>
  <c r="H161" i="15"/>
  <c r="G161" i="15"/>
  <c r="F161" i="15"/>
  <c r="E161" i="15"/>
  <c r="D161" i="15"/>
  <c r="A8" i="15"/>
  <c r="A9" i="15"/>
  <c r="A10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5" i="15"/>
  <c r="A26" i="15"/>
  <c r="A27" i="15"/>
  <c r="A28" i="15"/>
  <c r="A30" i="15"/>
  <c r="A33" i="15"/>
  <c r="A34" i="15"/>
  <c r="A35" i="15"/>
  <c r="A36" i="15"/>
  <c r="A37" i="15"/>
  <c r="A39" i="15"/>
  <c r="A42" i="15"/>
  <c r="A43" i="15"/>
  <c r="A44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60" i="15"/>
  <c r="A61" i="15"/>
  <c r="A62" i="15"/>
  <c r="A63" i="15"/>
  <c r="A65" i="15"/>
  <c r="A66" i="15"/>
  <c r="A67" i="15"/>
  <c r="A69" i="15"/>
  <c r="I56" i="15"/>
  <c r="I192" i="15"/>
  <c r="I54" i="15"/>
  <c r="I190" i="15"/>
  <c r="I51" i="15"/>
  <c r="I187" i="15"/>
  <c r="I49" i="15"/>
  <c r="I185" i="15"/>
  <c r="I47" i="15"/>
  <c r="I183" i="15"/>
  <c r="I44" i="15"/>
  <c r="I180" i="15"/>
  <c r="I37" i="15"/>
  <c r="D41" i="9"/>
  <c r="I36" i="15"/>
  <c r="I35" i="15"/>
  <c r="D39" i="9"/>
  <c r="I34" i="15"/>
  <c r="I33" i="15"/>
  <c r="D37" i="9"/>
  <c r="D30" i="15"/>
  <c r="D166" i="15"/>
  <c r="G30" i="15"/>
  <c r="G166" i="15"/>
  <c r="D39" i="15"/>
  <c r="G39" i="15"/>
  <c r="D141" i="15"/>
  <c r="E141" i="15"/>
  <c r="G141" i="15"/>
  <c r="D144" i="15"/>
  <c r="E144" i="15"/>
  <c r="F144" i="15"/>
  <c r="G144" i="15"/>
  <c r="H144" i="15"/>
  <c r="I144" i="15"/>
  <c r="D145" i="15"/>
  <c r="E145" i="15"/>
  <c r="F145" i="15"/>
  <c r="G145" i="15"/>
  <c r="H145" i="15"/>
  <c r="I145" i="15"/>
  <c r="D146" i="15"/>
  <c r="E146" i="15"/>
  <c r="F146" i="15"/>
  <c r="G146" i="15"/>
  <c r="H146" i="15"/>
  <c r="I146" i="15"/>
  <c r="D148" i="15"/>
  <c r="E148" i="15"/>
  <c r="F148" i="15"/>
  <c r="G148" i="15"/>
  <c r="H148" i="15"/>
  <c r="I148" i="15"/>
  <c r="D149" i="15"/>
  <c r="E149" i="15"/>
  <c r="F149" i="15"/>
  <c r="G149" i="15"/>
  <c r="H149" i="15"/>
  <c r="I149" i="15"/>
  <c r="D150" i="15"/>
  <c r="E150" i="15"/>
  <c r="F150" i="15"/>
  <c r="G150" i="15"/>
  <c r="H150" i="15"/>
  <c r="I150" i="15"/>
  <c r="D151" i="15"/>
  <c r="E151" i="15"/>
  <c r="F151" i="15"/>
  <c r="G151" i="15"/>
  <c r="H151" i="15"/>
  <c r="I151" i="15"/>
  <c r="D152" i="15"/>
  <c r="E152" i="15"/>
  <c r="F152" i="15"/>
  <c r="G152" i="15"/>
  <c r="H152" i="15"/>
  <c r="I152" i="15"/>
  <c r="D153" i="15"/>
  <c r="E153" i="15"/>
  <c r="F153" i="15"/>
  <c r="G153" i="15"/>
  <c r="H153" i="15"/>
  <c r="I153" i="15"/>
  <c r="D155" i="15"/>
  <c r="E155" i="15"/>
  <c r="F155" i="15"/>
  <c r="G155" i="15"/>
  <c r="H155" i="15"/>
  <c r="I155" i="15"/>
  <c r="D156" i="15"/>
  <c r="E156" i="15"/>
  <c r="F156" i="15"/>
  <c r="G156" i="15"/>
  <c r="H156" i="15"/>
  <c r="I156" i="15"/>
  <c r="D157" i="15"/>
  <c r="E157" i="15"/>
  <c r="F157" i="15"/>
  <c r="G157" i="15"/>
  <c r="H157" i="15"/>
  <c r="I157" i="15"/>
  <c r="D158" i="15"/>
  <c r="E158" i="15"/>
  <c r="F158" i="15"/>
  <c r="G158" i="15"/>
  <c r="H158" i="15"/>
  <c r="I158" i="15"/>
  <c r="D159" i="15"/>
  <c r="E159" i="15"/>
  <c r="F159" i="15"/>
  <c r="G159" i="15"/>
  <c r="H159" i="15"/>
  <c r="I159" i="15"/>
  <c r="E166" i="15"/>
  <c r="F166" i="15"/>
  <c r="H166" i="15"/>
  <c r="D169" i="15"/>
  <c r="E169" i="15"/>
  <c r="F169" i="15"/>
  <c r="G169" i="15"/>
  <c r="H169" i="15"/>
  <c r="D170" i="15"/>
  <c r="E170" i="15"/>
  <c r="F170" i="15"/>
  <c r="G170" i="15"/>
  <c r="H170" i="15"/>
  <c r="I170" i="15"/>
  <c r="D171" i="15"/>
  <c r="E171" i="15"/>
  <c r="F171" i="15"/>
  <c r="G171" i="15"/>
  <c r="H171" i="15"/>
  <c r="D172" i="15"/>
  <c r="E172" i="15"/>
  <c r="F172" i="15"/>
  <c r="G172" i="15"/>
  <c r="H172" i="15"/>
  <c r="I172" i="15"/>
  <c r="E173" i="15"/>
  <c r="F173" i="15"/>
  <c r="G173" i="15"/>
  <c r="H173" i="15"/>
  <c r="I173" i="15"/>
  <c r="D175" i="15"/>
  <c r="E175" i="15"/>
  <c r="G175" i="15"/>
  <c r="H175" i="15"/>
  <c r="D178" i="15"/>
  <c r="E178" i="15"/>
  <c r="F178" i="15"/>
  <c r="G178" i="15"/>
  <c r="H178" i="15"/>
  <c r="E179" i="15"/>
  <c r="F179" i="15"/>
  <c r="G179" i="15"/>
  <c r="H179" i="15"/>
  <c r="D180" i="15"/>
  <c r="E180" i="15"/>
  <c r="F180" i="15"/>
  <c r="G180" i="15"/>
  <c r="H180" i="15"/>
  <c r="E182" i="15"/>
  <c r="F182" i="15"/>
  <c r="G182" i="15"/>
  <c r="H182" i="15"/>
  <c r="D183" i="15"/>
  <c r="E183" i="15"/>
  <c r="F183" i="15"/>
  <c r="G183" i="15"/>
  <c r="H183" i="15"/>
  <c r="E184" i="15"/>
  <c r="F184" i="15"/>
  <c r="G184" i="15"/>
  <c r="H184" i="15"/>
  <c r="D185" i="15"/>
  <c r="E185" i="15"/>
  <c r="F185" i="15"/>
  <c r="G185" i="15"/>
  <c r="H185" i="15"/>
  <c r="E186" i="15"/>
  <c r="F186" i="15"/>
  <c r="G186" i="15"/>
  <c r="H186" i="15"/>
  <c r="D187" i="15"/>
  <c r="E187" i="15"/>
  <c r="F187" i="15"/>
  <c r="G187" i="15"/>
  <c r="H187" i="15"/>
  <c r="D189" i="15"/>
  <c r="E189" i="15"/>
  <c r="F189" i="15"/>
  <c r="G189" i="15"/>
  <c r="H189" i="15"/>
  <c r="D190" i="15"/>
  <c r="E190" i="15"/>
  <c r="F190" i="15"/>
  <c r="G190" i="15"/>
  <c r="H190" i="15"/>
  <c r="D191" i="15"/>
  <c r="E191" i="15"/>
  <c r="F191" i="15"/>
  <c r="G191" i="15"/>
  <c r="H191" i="15"/>
  <c r="D192" i="15"/>
  <c r="E192" i="15"/>
  <c r="F192" i="15"/>
  <c r="G192" i="15"/>
  <c r="H192" i="15"/>
  <c r="D193" i="15"/>
  <c r="E193" i="15"/>
  <c r="F193" i="15"/>
  <c r="G193" i="15"/>
  <c r="H193" i="15"/>
  <c r="D194" i="15"/>
  <c r="E194" i="15"/>
  <c r="F194" i="15"/>
  <c r="G194" i="15"/>
  <c r="H194" i="15"/>
  <c r="I194" i="15"/>
  <c r="G201" i="15"/>
  <c r="D203" i="15"/>
  <c r="E203" i="15"/>
  <c r="F203" i="15"/>
  <c r="G203" i="15"/>
  <c r="H203" i="15"/>
  <c r="D205" i="15"/>
  <c r="E205" i="15"/>
  <c r="F205" i="15"/>
  <c r="G205" i="15"/>
  <c r="H205" i="15"/>
  <c r="I205" i="15"/>
  <c r="F9" i="8"/>
  <c r="F11" i="8"/>
  <c r="F16" i="8"/>
  <c r="F17" i="8"/>
  <c r="F18" i="8"/>
  <c r="F19" i="8"/>
  <c r="F20" i="8"/>
  <c r="F22" i="8"/>
  <c r="F23" i="8"/>
  <c r="F24" i="8"/>
  <c r="F25" i="8"/>
  <c r="F27" i="8"/>
  <c r="C7" i="8"/>
  <c r="E5" i="8"/>
  <c r="F29" i="8"/>
  <c r="D7" i="8"/>
  <c r="F31" i="8"/>
  <c r="F36" i="8"/>
  <c r="F37" i="8"/>
  <c r="F38" i="8"/>
  <c r="F39" i="8"/>
  <c r="F40" i="8"/>
  <c r="F43" i="8"/>
  <c r="F44" i="8"/>
  <c r="F45" i="8"/>
  <c r="F47" i="8"/>
  <c r="F48" i="8"/>
  <c r="F42" i="8"/>
  <c r="F28" i="8"/>
  <c r="E6" i="8"/>
  <c r="E7" i="8"/>
  <c r="I159" i="9"/>
  <c r="H210" i="9"/>
  <c r="I188" i="9"/>
  <c r="H188" i="9"/>
  <c r="H173" i="9"/>
  <c r="I224" i="9"/>
  <c r="E224" i="9"/>
  <c r="I212" i="9"/>
  <c r="I211" i="9"/>
  <c r="I209" i="9"/>
  <c r="I208" i="9"/>
  <c r="I207" i="9"/>
  <c r="I204" i="9"/>
  <c r="I202" i="9"/>
  <c r="I200" i="9"/>
  <c r="I191" i="9"/>
  <c r="I189" i="9"/>
  <c r="I187" i="9"/>
  <c r="I186" i="9"/>
  <c r="I185" i="9"/>
  <c r="I174" i="9"/>
  <c r="I172" i="9"/>
  <c r="I171" i="9"/>
  <c r="I170" i="9"/>
  <c r="I167" i="9"/>
  <c r="I166" i="9"/>
  <c r="I165" i="9"/>
  <c r="I164" i="9"/>
  <c r="I163" i="9"/>
  <c r="I162" i="9"/>
  <c r="I160" i="9"/>
  <c r="H74" i="9"/>
  <c r="H222" i="9"/>
  <c r="H212" i="9"/>
  <c r="H162" i="9"/>
  <c r="G164" i="17"/>
  <c r="I28" i="17"/>
  <c r="I164" i="17"/>
  <c r="G30" i="17"/>
  <c r="G63" i="17"/>
  <c r="G199" i="17"/>
  <c r="I63" i="17"/>
  <c r="I199" i="17"/>
  <c r="G65" i="17"/>
  <c r="G66" i="17"/>
  <c r="G202" i="17"/>
  <c r="G162" i="17"/>
  <c r="I162" i="17"/>
  <c r="G197" i="17"/>
  <c r="G166" i="17"/>
  <c r="E160" i="21"/>
  <c r="E176" i="21"/>
  <c r="E196" i="21"/>
  <c r="E162" i="20"/>
  <c r="E197" i="20"/>
  <c r="I210" i="9"/>
  <c r="I173" i="9"/>
  <c r="E148" i="20"/>
  <c r="E183" i="20"/>
  <c r="I194" i="9"/>
  <c r="I157" i="9"/>
  <c r="E31" i="20"/>
  <c r="E171" i="20"/>
  <c r="L173" i="9"/>
  <c r="E162" i="31"/>
  <c r="J162" i="31"/>
  <c r="E171" i="31"/>
  <c r="E167" i="30"/>
  <c r="E32" i="30"/>
  <c r="E203" i="30"/>
  <c r="E182" i="21"/>
  <c r="I182" i="21"/>
  <c r="E183" i="21"/>
  <c r="I183" i="21"/>
  <c r="E41" i="21"/>
  <c r="E185" i="21"/>
  <c r="E203" i="21"/>
  <c r="E204" i="21"/>
  <c r="Q87" i="32"/>
  <c r="D87" i="32"/>
  <c r="F87" i="32"/>
  <c r="E175" i="39"/>
  <c r="J175" i="39"/>
  <c r="E40" i="39"/>
  <c r="E180" i="39"/>
  <c r="E55" i="39"/>
  <c r="E195" i="39"/>
  <c r="E136" i="9"/>
  <c r="C9" i="25"/>
  <c r="C17" i="25"/>
  <c r="H40" i="38"/>
  <c r="H74" i="38"/>
  <c r="H78" i="38"/>
  <c r="H81" i="38"/>
  <c r="G9" i="25"/>
  <c r="J5" i="40"/>
  <c r="N5" i="33"/>
  <c r="J92" i="33"/>
  <c r="J129" i="33"/>
  <c r="J88" i="33"/>
  <c r="I92" i="33"/>
  <c r="I88" i="33"/>
  <c r="Q88" i="33"/>
  <c r="L113" i="33"/>
  <c r="L98" i="33"/>
  <c r="L96" i="33"/>
  <c r="L91" i="33"/>
  <c r="L86" i="33"/>
  <c r="K135" i="33"/>
  <c r="N114" i="33"/>
  <c r="N99" i="33"/>
  <c r="N136" i="33"/>
  <c r="N112" i="33"/>
  <c r="N97" i="33"/>
  <c r="N94" i="33"/>
  <c r="N90" i="33"/>
  <c r="N127" i="33"/>
  <c r="S127" i="33"/>
  <c r="N85" i="33"/>
  <c r="M112" i="33"/>
  <c r="M97" i="33"/>
  <c r="S97" i="33"/>
  <c r="M94" i="33"/>
  <c r="M90" i="33"/>
  <c r="S90" i="33"/>
  <c r="W90" i="33"/>
  <c r="X90" i="33"/>
  <c r="M85" i="33"/>
  <c r="E137" i="9"/>
  <c r="L69" i="37"/>
  <c r="J69" i="37"/>
  <c r="E9" i="25"/>
  <c r="I146" i="9"/>
  <c r="I147" i="9"/>
  <c r="J75" i="39"/>
  <c r="M80" i="33"/>
  <c r="I60" i="21"/>
  <c r="I136" i="33"/>
  <c r="J9" i="25"/>
  <c r="G338" i="22"/>
  <c r="G339" i="22"/>
  <c r="G352" i="22"/>
  <c r="G353" i="22"/>
  <c r="G366" i="22"/>
  <c r="G424" i="22"/>
  <c r="G425" i="22"/>
  <c r="G438" i="22"/>
  <c r="G439" i="22"/>
  <c r="G453" i="22"/>
  <c r="G467" i="22"/>
  <c r="J467" i="22"/>
  <c r="G468" i="22"/>
  <c r="J468" i="22"/>
  <c r="G481" i="22"/>
  <c r="J481" i="22"/>
  <c r="G482" i="22"/>
  <c r="J482" i="22"/>
  <c r="J77" i="30"/>
  <c r="K93" i="49"/>
  <c r="G350" i="22"/>
  <c r="J350" i="22"/>
  <c r="G351" i="22"/>
  <c r="G336" i="22"/>
  <c r="J336" i="22"/>
  <c r="G337" i="22"/>
  <c r="G409" i="22"/>
  <c r="J75" i="40"/>
  <c r="N80" i="33"/>
  <c r="D67" i="49"/>
  <c r="D66" i="33"/>
  <c r="D61" i="38"/>
  <c r="D61" i="37"/>
  <c r="D66" i="9"/>
  <c r="D214" i="9"/>
  <c r="I196" i="15"/>
  <c r="G64" i="37"/>
  <c r="G69" i="9"/>
  <c r="G217" i="9"/>
  <c r="I204" i="18"/>
  <c r="G65" i="37"/>
  <c r="G70" i="9"/>
  <c r="G218" i="9"/>
  <c r="I205" i="18"/>
  <c r="G68" i="18"/>
  <c r="G208" i="18"/>
  <c r="G207" i="18"/>
  <c r="D153" i="49"/>
  <c r="D140" i="33"/>
  <c r="D143" i="9"/>
  <c r="I133" i="15"/>
  <c r="D68" i="49"/>
  <c r="D229" i="49"/>
  <c r="D315" i="49"/>
  <c r="D62" i="38"/>
  <c r="D62" i="37"/>
  <c r="D67" i="33"/>
  <c r="D216" i="33"/>
  <c r="D290" i="33"/>
  <c r="I197" i="15"/>
  <c r="D67" i="9"/>
  <c r="D215" i="9"/>
  <c r="I183" i="18"/>
  <c r="E155" i="49"/>
  <c r="E142" i="33"/>
  <c r="I134" i="16"/>
  <c r="F39" i="32"/>
  <c r="F37" i="32"/>
  <c r="D38" i="49"/>
  <c r="D35" i="38"/>
  <c r="D38" i="33"/>
  <c r="D35" i="37"/>
  <c r="D40" i="49"/>
  <c r="D37" i="38"/>
  <c r="D40" i="33"/>
  <c r="D37" i="37"/>
  <c r="D24" i="49"/>
  <c r="D24" i="33"/>
  <c r="D22" i="37"/>
  <c r="D57" i="37"/>
  <c r="D22" i="38"/>
  <c r="D57" i="38"/>
  <c r="D11" i="49"/>
  <c r="D10" i="38"/>
  <c r="D45" i="38"/>
  <c r="D11" i="33"/>
  <c r="D10" i="37"/>
  <c r="D45" i="37"/>
  <c r="D15" i="49"/>
  <c r="D14" i="37"/>
  <c r="D49" i="37"/>
  <c r="D15" i="33"/>
  <c r="D14" i="38"/>
  <c r="D49" i="38"/>
  <c r="D30" i="49"/>
  <c r="D30" i="33"/>
  <c r="D27" i="37"/>
  <c r="D27" i="38"/>
  <c r="D69" i="49"/>
  <c r="D68" i="33"/>
  <c r="D63" i="38"/>
  <c r="D63" i="37"/>
  <c r="E70" i="49"/>
  <c r="E69" i="33"/>
  <c r="E64" i="38"/>
  <c r="E64" i="37"/>
  <c r="E64" i="49"/>
  <c r="E64" i="33"/>
  <c r="E59" i="37"/>
  <c r="E69" i="37"/>
  <c r="E59" i="38"/>
  <c r="E69" i="38"/>
  <c r="E41" i="49"/>
  <c r="E41" i="33"/>
  <c r="E38" i="38"/>
  <c r="E38" i="37"/>
  <c r="E40" i="49"/>
  <c r="E37" i="37"/>
  <c r="E40" i="33"/>
  <c r="E37" i="38"/>
  <c r="E39" i="49"/>
  <c r="E39" i="33"/>
  <c r="E36" i="38"/>
  <c r="E36" i="37"/>
  <c r="E38" i="49"/>
  <c r="E35" i="37"/>
  <c r="E38" i="33"/>
  <c r="E35" i="38"/>
  <c r="E37" i="49"/>
  <c r="E37" i="33"/>
  <c r="E34" i="38"/>
  <c r="E40" i="38"/>
  <c r="E34" i="37"/>
  <c r="E40" i="37"/>
  <c r="E24" i="49"/>
  <c r="E24" i="33"/>
  <c r="E22" i="38"/>
  <c r="E57" i="38"/>
  <c r="E22" i="37"/>
  <c r="E57" i="37"/>
  <c r="E11" i="49"/>
  <c r="E10" i="37"/>
  <c r="E45" i="37"/>
  <c r="E11" i="33"/>
  <c r="E10" i="38"/>
  <c r="E45" i="38"/>
  <c r="E10" i="49"/>
  <c r="E9" i="38"/>
  <c r="E44" i="38"/>
  <c r="E10" i="33"/>
  <c r="E9" i="37"/>
  <c r="E44" i="37"/>
  <c r="E16" i="49"/>
  <c r="E15" i="37"/>
  <c r="E50" i="37"/>
  <c r="E16" i="33"/>
  <c r="E15" i="38"/>
  <c r="E50" i="38"/>
  <c r="E18" i="49"/>
  <c r="E17" i="37"/>
  <c r="E52" i="37"/>
  <c r="E18" i="33"/>
  <c r="E17" i="38"/>
  <c r="E52" i="38"/>
  <c r="E28" i="49"/>
  <c r="E28" i="33"/>
  <c r="E25" i="38"/>
  <c r="E25" i="37"/>
  <c r="D29" i="49"/>
  <c r="D26" i="38"/>
  <c r="D29" i="33"/>
  <c r="D26" i="37"/>
  <c r="E8" i="49"/>
  <c r="E8" i="37"/>
  <c r="E8" i="33"/>
  <c r="E8" i="38"/>
  <c r="E22" i="49"/>
  <c r="E22" i="33"/>
  <c r="E20" i="38"/>
  <c r="E55" i="38"/>
  <c r="E20" i="37"/>
  <c r="E55" i="37"/>
  <c r="D22" i="49"/>
  <c r="D22" i="33"/>
  <c r="D20" i="37"/>
  <c r="D55" i="37"/>
  <c r="D20" i="38"/>
  <c r="D55" i="38"/>
  <c r="D18" i="49"/>
  <c r="D17" i="38"/>
  <c r="D52" i="38"/>
  <c r="D18" i="33"/>
  <c r="D17" i="37"/>
  <c r="D52" i="37"/>
  <c r="D16" i="49"/>
  <c r="D15" i="38"/>
  <c r="D50" i="38"/>
  <c r="D16" i="33"/>
  <c r="D15" i="37"/>
  <c r="D50" i="37"/>
  <c r="D8" i="49"/>
  <c r="D8" i="38"/>
  <c r="D8" i="33"/>
  <c r="D8" i="37"/>
  <c r="D77" i="49"/>
  <c r="D76" i="33"/>
  <c r="D71" i="38"/>
  <c r="D71" i="37"/>
  <c r="G76" i="9"/>
  <c r="F71" i="38"/>
  <c r="G71" i="37"/>
  <c r="J64" i="37"/>
  <c r="I62" i="38"/>
  <c r="J62" i="37"/>
  <c r="J67" i="9"/>
  <c r="F29" i="9"/>
  <c r="F178" i="9"/>
  <c r="F27" i="37"/>
  <c r="F27" i="9"/>
  <c r="F25" i="37"/>
  <c r="F24" i="9"/>
  <c r="F22" i="37"/>
  <c r="F22" i="9"/>
  <c r="F20" i="37"/>
  <c r="F18" i="9"/>
  <c r="F17" i="37"/>
  <c r="F52" i="37"/>
  <c r="F16" i="9"/>
  <c r="F15" i="37"/>
  <c r="F50" i="37"/>
  <c r="F14" i="9"/>
  <c r="F13" i="37"/>
  <c r="F48" i="37"/>
  <c r="F11" i="9"/>
  <c r="F10" i="37"/>
  <c r="F45" i="37"/>
  <c r="F8" i="9"/>
  <c r="F8" i="37"/>
  <c r="F40" i="9"/>
  <c r="F40" i="33"/>
  <c r="F37" i="37"/>
  <c r="F38" i="9"/>
  <c r="F35" i="37"/>
  <c r="F59" i="37"/>
  <c r="F69" i="37"/>
  <c r="F64" i="9"/>
  <c r="E19" i="49"/>
  <c r="E18" i="38"/>
  <c r="E53" i="38"/>
  <c r="E19" i="33"/>
  <c r="E168" i="33"/>
  <c r="E243" i="33"/>
  <c r="E18" i="37"/>
  <c r="E53" i="37"/>
  <c r="F27" i="38"/>
  <c r="F63" i="38"/>
  <c r="G27" i="37"/>
  <c r="G29" i="9"/>
  <c r="G178" i="9"/>
  <c r="F25" i="38"/>
  <c r="F61" i="38"/>
  <c r="G25" i="37"/>
  <c r="G27" i="9"/>
  <c r="F59" i="38"/>
  <c r="F69" i="38"/>
  <c r="G59" i="37"/>
  <c r="G69" i="37"/>
  <c r="G64" i="9"/>
  <c r="G25" i="9"/>
  <c r="F23" i="38"/>
  <c r="G23" i="37"/>
  <c r="G40" i="9"/>
  <c r="F37" i="38"/>
  <c r="G37" i="37"/>
  <c r="G23" i="9"/>
  <c r="F21" i="38"/>
  <c r="G21" i="37"/>
  <c r="G38" i="9"/>
  <c r="F35" i="38"/>
  <c r="G35" i="37"/>
  <c r="G21" i="9"/>
  <c r="F19" i="38"/>
  <c r="G19" i="37"/>
  <c r="F18" i="38"/>
  <c r="F53" i="38"/>
  <c r="G18" i="37"/>
  <c r="G53" i="37"/>
  <c r="G19" i="9"/>
  <c r="G19" i="33"/>
  <c r="G18" i="9"/>
  <c r="F17" i="38"/>
  <c r="F52" i="38"/>
  <c r="G17" i="37"/>
  <c r="G52" i="37"/>
  <c r="F16" i="38"/>
  <c r="F51" i="38"/>
  <c r="G16" i="37"/>
  <c r="G51" i="37"/>
  <c r="G17" i="9"/>
  <c r="G16" i="9"/>
  <c r="F15" i="38"/>
  <c r="F50" i="38"/>
  <c r="G15" i="37"/>
  <c r="G50" i="37"/>
  <c r="F14" i="38"/>
  <c r="F49" i="38"/>
  <c r="G14" i="37"/>
  <c r="G49" i="37"/>
  <c r="G15" i="9"/>
  <c r="G15" i="33"/>
  <c r="G14" i="9"/>
  <c r="F13" i="38"/>
  <c r="F48" i="38"/>
  <c r="G13" i="37"/>
  <c r="G48" i="37"/>
  <c r="F12" i="38"/>
  <c r="F47" i="38"/>
  <c r="G12" i="37"/>
  <c r="G47" i="37"/>
  <c r="G13" i="9"/>
  <c r="G11" i="9"/>
  <c r="F10" i="38"/>
  <c r="F45" i="38"/>
  <c r="G10" i="37"/>
  <c r="G45" i="37"/>
  <c r="F9" i="38"/>
  <c r="F44" i="38"/>
  <c r="G9" i="37"/>
  <c r="G44" i="37"/>
  <c r="G10" i="9"/>
  <c r="G10" i="33"/>
  <c r="G8" i="9"/>
  <c r="F8" i="38"/>
  <c r="F43" i="38"/>
  <c r="G8" i="37"/>
  <c r="G193" i="20"/>
  <c r="I53" i="20"/>
  <c r="I203" i="20"/>
  <c r="I68" i="9"/>
  <c r="I216" i="9"/>
  <c r="H63" i="38"/>
  <c r="I63" i="37"/>
  <c r="I201" i="20"/>
  <c r="I66" i="9"/>
  <c r="I214" i="9"/>
  <c r="H61" i="38"/>
  <c r="I61" i="37"/>
  <c r="D117" i="49"/>
  <c r="D104" i="33"/>
  <c r="D115" i="49"/>
  <c r="D102" i="33"/>
  <c r="D112" i="49"/>
  <c r="D99" i="33"/>
  <c r="D110" i="49"/>
  <c r="D97" i="33"/>
  <c r="D107" i="49"/>
  <c r="D94" i="33"/>
  <c r="D105" i="49"/>
  <c r="D92" i="33"/>
  <c r="D103" i="49"/>
  <c r="D90" i="33"/>
  <c r="D101" i="49"/>
  <c r="D88" i="33"/>
  <c r="D98" i="49"/>
  <c r="D85" i="33"/>
  <c r="D128" i="49"/>
  <c r="D115" i="33"/>
  <c r="D126" i="49"/>
  <c r="D113" i="33"/>
  <c r="D124" i="49"/>
  <c r="D111" i="33"/>
  <c r="D163" i="49"/>
  <c r="D150" i="33"/>
  <c r="E118" i="49"/>
  <c r="E105" i="33"/>
  <c r="E116" i="49"/>
  <c r="E103" i="33"/>
  <c r="E252" i="33"/>
  <c r="E113" i="49"/>
  <c r="E100" i="33"/>
  <c r="E111" i="49"/>
  <c r="E98" i="33"/>
  <c r="E109" i="49"/>
  <c r="E96" i="33"/>
  <c r="E106" i="49"/>
  <c r="E93" i="33"/>
  <c r="E104" i="49"/>
  <c r="E91" i="33"/>
  <c r="E102" i="49"/>
  <c r="E89" i="33"/>
  <c r="E99" i="49"/>
  <c r="E86" i="33"/>
  <c r="E96" i="49"/>
  <c r="E83" i="33"/>
  <c r="E127" i="49"/>
  <c r="E114" i="33"/>
  <c r="E125" i="49"/>
  <c r="E112" i="33"/>
  <c r="E153" i="49"/>
  <c r="E140" i="33"/>
  <c r="E151" i="49"/>
  <c r="E138" i="33"/>
  <c r="F112" i="49"/>
  <c r="F99" i="33"/>
  <c r="F110" i="49"/>
  <c r="F97" i="33"/>
  <c r="F107" i="49"/>
  <c r="F94" i="33"/>
  <c r="F105" i="49"/>
  <c r="F92" i="33"/>
  <c r="F103" i="49"/>
  <c r="F90" i="33"/>
  <c r="F101" i="49"/>
  <c r="F88" i="33"/>
  <c r="F98" i="49"/>
  <c r="F85" i="33"/>
  <c r="F128" i="49"/>
  <c r="F115" i="33"/>
  <c r="F126" i="49"/>
  <c r="F113" i="33"/>
  <c r="F124" i="49"/>
  <c r="F111" i="33"/>
  <c r="F153" i="49"/>
  <c r="F140" i="33"/>
  <c r="I183" i="20"/>
  <c r="M95" i="32"/>
  <c r="N94" i="32"/>
  <c r="M40" i="32"/>
  <c r="M53" i="32"/>
  <c r="G113" i="49"/>
  <c r="G100" i="33"/>
  <c r="G111" i="49"/>
  <c r="G98" i="33"/>
  <c r="G109" i="49"/>
  <c r="G96" i="33"/>
  <c r="G106" i="49"/>
  <c r="G93" i="33"/>
  <c r="G104" i="49"/>
  <c r="G91" i="33"/>
  <c r="G102" i="49"/>
  <c r="G89" i="33"/>
  <c r="G99" i="49"/>
  <c r="G86" i="33"/>
  <c r="G96" i="49"/>
  <c r="G83" i="33"/>
  <c r="G128" i="49"/>
  <c r="G115" i="33"/>
  <c r="G126" i="49"/>
  <c r="G113" i="33"/>
  <c r="G124" i="49"/>
  <c r="G111" i="33"/>
  <c r="G151" i="49"/>
  <c r="G161" i="49"/>
  <c r="G138" i="33"/>
  <c r="H113" i="49"/>
  <c r="H100" i="33"/>
  <c r="H115" i="49"/>
  <c r="H102" i="33"/>
  <c r="H207" i="20"/>
  <c r="H68" i="20"/>
  <c r="H208" i="20"/>
  <c r="M70" i="9"/>
  <c r="M68" i="9"/>
  <c r="N70" i="9"/>
  <c r="N68" i="9"/>
  <c r="N93" i="49"/>
  <c r="I51" i="32"/>
  <c r="D38" i="32"/>
  <c r="G38" i="32"/>
  <c r="I63" i="15"/>
  <c r="E205" i="18"/>
  <c r="E67" i="19"/>
  <c r="E69" i="9"/>
  <c r="E217" i="9"/>
  <c r="E41" i="9"/>
  <c r="E24" i="9"/>
  <c r="E39" i="9"/>
  <c r="E187" i="9"/>
  <c r="E22" i="9"/>
  <c r="E171" i="9"/>
  <c r="E37" i="9"/>
  <c r="D29" i="9"/>
  <c r="D178" i="9"/>
  <c r="D24" i="9"/>
  <c r="D22" i="9"/>
  <c r="D67" i="19"/>
  <c r="E69" i="21"/>
  <c r="G423" i="22"/>
  <c r="G437" i="22"/>
  <c r="G451" i="22"/>
  <c r="G466" i="22"/>
  <c r="J466" i="22"/>
  <c r="G480" i="22"/>
  <c r="J480" i="22"/>
  <c r="I133" i="17"/>
  <c r="I134" i="17"/>
  <c r="E133" i="17"/>
  <c r="E134" i="17"/>
  <c r="D51" i="32"/>
  <c r="G67" i="20"/>
  <c r="N92" i="32"/>
  <c r="P92" i="32"/>
  <c r="I59" i="21"/>
  <c r="F70" i="49"/>
  <c r="F231" i="49"/>
  <c r="F317" i="49"/>
  <c r="F64" i="37"/>
  <c r="F69" i="33"/>
  <c r="F218" i="33"/>
  <c r="F292" i="33"/>
  <c r="F30" i="9"/>
  <c r="F179" i="9"/>
  <c r="F28" i="37"/>
  <c r="D37" i="49"/>
  <c r="D37" i="33"/>
  <c r="D34" i="37"/>
  <c r="D34" i="38"/>
  <c r="D39" i="49"/>
  <c r="D200" i="49"/>
  <c r="D39" i="33"/>
  <c r="D187" i="33"/>
  <c r="D36" i="37"/>
  <c r="D36" i="38"/>
  <c r="D41" i="49"/>
  <c r="D202" i="49"/>
  <c r="D41" i="33"/>
  <c r="D38" i="37"/>
  <c r="D38" i="38"/>
  <c r="D25" i="49"/>
  <c r="D187" i="49"/>
  <c r="D274" i="49"/>
  <c r="D23" i="38"/>
  <c r="D25" i="33"/>
  <c r="D23" i="37"/>
  <c r="D23" i="49"/>
  <c r="D21" i="38"/>
  <c r="D56" i="38"/>
  <c r="D23" i="33"/>
  <c r="D21" i="37"/>
  <c r="D10" i="49"/>
  <c r="D172" i="49"/>
  <c r="D259" i="49"/>
  <c r="D9" i="37"/>
  <c r="D44" i="37"/>
  <c r="D10" i="33"/>
  <c r="D9" i="38"/>
  <c r="D44" i="38"/>
  <c r="D14" i="49"/>
  <c r="D13" i="38"/>
  <c r="D48" i="38"/>
  <c r="D14" i="33"/>
  <c r="D13" i="37"/>
  <c r="D48" i="37"/>
  <c r="D31" i="49"/>
  <c r="D28" i="38"/>
  <c r="D31" i="33"/>
  <c r="D28" i="37"/>
  <c r="D64" i="49"/>
  <c r="D75" i="49"/>
  <c r="D236" i="49"/>
  <c r="D322" i="49"/>
  <c r="D64" i="33"/>
  <c r="D59" i="37"/>
  <c r="D69" i="37"/>
  <c r="D59" i="38"/>
  <c r="D69" i="38"/>
  <c r="E31" i="49"/>
  <c r="E192" i="49"/>
  <c r="E28" i="37"/>
  <c r="E31" i="33"/>
  <c r="E179" i="33"/>
  <c r="E28" i="38"/>
  <c r="E30" i="49"/>
  <c r="E30" i="33"/>
  <c r="E27" i="38"/>
  <c r="E27" i="37"/>
  <c r="E15" i="49"/>
  <c r="E14" i="38"/>
  <c r="E49" i="38"/>
  <c r="E15" i="33"/>
  <c r="E164" i="33"/>
  <c r="E239" i="33"/>
  <c r="E14" i="37"/>
  <c r="E49" i="37"/>
  <c r="E14" i="49"/>
  <c r="E13" i="37"/>
  <c r="E48" i="37"/>
  <c r="E14" i="33"/>
  <c r="E163" i="33"/>
  <c r="E13" i="38"/>
  <c r="E48" i="38"/>
  <c r="E13" i="49"/>
  <c r="E12" i="38"/>
  <c r="E47" i="38"/>
  <c r="E13" i="33"/>
  <c r="E51" i="33"/>
  <c r="E199" i="33"/>
  <c r="E274" i="33"/>
  <c r="E12" i="37"/>
  <c r="E47" i="37"/>
  <c r="E17" i="49"/>
  <c r="E16" i="38"/>
  <c r="E51" i="38"/>
  <c r="E17" i="33"/>
  <c r="E16" i="37"/>
  <c r="E51" i="37"/>
  <c r="E25" i="49"/>
  <c r="E23" i="37"/>
  <c r="E58" i="37"/>
  <c r="E25" i="33"/>
  <c r="E174" i="33"/>
  <c r="E249" i="33"/>
  <c r="E23" i="38"/>
  <c r="E58" i="38"/>
  <c r="E29" i="49"/>
  <c r="E190" i="49"/>
  <c r="E277" i="49"/>
  <c r="E26" i="37"/>
  <c r="E29" i="33"/>
  <c r="E177" i="33"/>
  <c r="E26" i="38"/>
  <c r="D28" i="49"/>
  <c r="D189" i="49"/>
  <c r="D28" i="33"/>
  <c r="D176" i="33"/>
  <c r="D251" i="33"/>
  <c r="D25" i="37"/>
  <c r="D25" i="38"/>
  <c r="E21" i="49"/>
  <c r="E19" i="37"/>
  <c r="E54" i="37"/>
  <c r="E21" i="33"/>
  <c r="E170" i="33"/>
  <c r="E19" i="38"/>
  <c r="E54" i="38"/>
  <c r="E23" i="49"/>
  <c r="E21" i="37"/>
  <c r="E56" i="37"/>
  <c r="E23" i="33"/>
  <c r="E172" i="33"/>
  <c r="E247" i="33"/>
  <c r="E21" i="38"/>
  <c r="E56" i="38"/>
  <c r="D21" i="49"/>
  <c r="D19" i="38"/>
  <c r="D54" i="38"/>
  <c r="D21" i="33"/>
  <c r="D19" i="37"/>
  <c r="D54" i="37"/>
  <c r="D17" i="49"/>
  <c r="D16" i="37"/>
  <c r="D51" i="37"/>
  <c r="D17" i="33"/>
  <c r="D166" i="33"/>
  <c r="D16" i="38"/>
  <c r="D51" i="38"/>
  <c r="D13" i="49"/>
  <c r="D12" i="37"/>
  <c r="D47" i="37"/>
  <c r="D67" i="37"/>
  <c r="D68" i="37"/>
  <c r="D13" i="33"/>
  <c r="D162" i="33"/>
  <c r="D237" i="33"/>
  <c r="D12" i="38"/>
  <c r="D47" i="38"/>
  <c r="E77" i="49"/>
  <c r="E238" i="49"/>
  <c r="E324" i="49"/>
  <c r="E71" i="38"/>
  <c r="E71" i="37"/>
  <c r="E76" i="33"/>
  <c r="J68" i="9"/>
  <c r="I63" i="38"/>
  <c r="J63" i="37"/>
  <c r="F28" i="9"/>
  <c r="F177" i="9"/>
  <c r="F26" i="37"/>
  <c r="F23" i="9"/>
  <c r="F21" i="37"/>
  <c r="F21" i="9"/>
  <c r="F19" i="37"/>
  <c r="F17" i="9"/>
  <c r="F16" i="37"/>
  <c r="F51" i="37"/>
  <c r="F15" i="9"/>
  <c r="F14" i="37"/>
  <c r="F49" i="37"/>
  <c r="F13" i="9"/>
  <c r="F12" i="37"/>
  <c r="F47" i="37"/>
  <c r="F10" i="9"/>
  <c r="F9" i="37"/>
  <c r="F44" i="37"/>
  <c r="F41" i="9"/>
  <c r="F38" i="37"/>
  <c r="F39" i="9"/>
  <c r="F233" i="9"/>
  <c r="F36" i="37"/>
  <c r="F37" i="9"/>
  <c r="F231" i="9"/>
  <c r="F34" i="37"/>
  <c r="F40" i="37"/>
  <c r="F76" i="9"/>
  <c r="F71" i="37"/>
  <c r="D19" i="49"/>
  <c r="D18" i="37"/>
  <c r="D53" i="37"/>
  <c r="D19" i="33"/>
  <c r="D18" i="38"/>
  <c r="D53" i="38"/>
  <c r="F19" i="9"/>
  <c r="F18" i="37"/>
  <c r="F53" i="37"/>
  <c r="G30" i="9"/>
  <c r="G179" i="9"/>
  <c r="F28" i="38"/>
  <c r="F64" i="38"/>
  <c r="G28" i="37"/>
  <c r="G28" i="9"/>
  <c r="G177" i="9"/>
  <c r="F26" i="38"/>
  <c r="F62" i="38"/>
  <c r="G26" i="37"/>
  <c r="G41" i="9"/>
  <c r="G235" i="9"/>
  <c r="F38" i="38"/>
  <c r="G38" i="37"/>
  <c r="F22" i="38"/>
  <c r="F57" i="38"/>
  <c r="G22" i="37"/>
  <c r="G57" i="37"/>
  <c r="G24" i="9"/>
  <c r="G39" i="9"/>
  <c r="G233" i="9"/>
  <c r="F36" i="38"/>
  <c r="G36" i="37"/>
  <c r="F20" i="38"/>
  <c r="F55" i="38"/>
  <c r="G20" i="37"/>
  <c r="G55" i="37"/>
  <c r="G22" i="9"/>
  <c r="G37" i="9"/>
  <c r="G231" i="9"/>
  <c r="F34" i="38"/>
  <c r="F40" i="38"/>
  <c r="G34" i="37"/>
  <c r="G40" i="37"/>
  <c r="F29" i="38"/>
  <c r="F65" i="38"/>
  <c r="G29" i="37"/>
  <c r="G31" i="9"/>
  <c r="G180" i="9"/>
  <c r="I69" i="9"/>
  <c r="I217" i="9"/>
  <c r="H64" i="38"/>
  <c r="I64" i="37"/>
  <c r="I204" i="20"/>
  <c r="I67" i="9"/>
  <c r="I215" i="9"/>
  <c r="H62" i="38"/>
  <c r="I62" i="37"/>
  <c r="I202" i="20"/>
  <c r="D118" i="49"/>
  <c r="D105" i="33"/>
  <c r="D116" i="49"/>
  <c r="D103" i="33"/>
  <c r="D113" i="49"/>
  <c r="D100" i="33"/>
  <c r="D137" i="33"/>
  <c r="D111" i="49"/>
  <c r="D98" i="33"/>
  <c r="D172" i="33"/>
  <c r="D247" i="33"/>
  <c r="D109" i="49"/>
  <c r="D183" i="49"/>
  <c r="D96" i="33"/>
  <c r="D106" i="49"/>
  <c r="D93" i="33"/>
  <c r="D104" i="49"/>
  <c r="D91" i="33"/>
  <c r="D102" i="49"/>
  <c r="D89" i="33"/>
  <c r="D99" i="49"/>
  <c r="D86" i="33"/>
  <c r="D96" i="49"/>
  <c r="D83" i="33"/>
  <c r="D127" i="49"/>
  <c r="D149" i="49"/>
  <c r="D114" i="33"/>
  <c r="D125" i="49"/>
  <c r="D112" i="33"/>
  <c r="D151" i="49"/>
  <c r="D138" i="33"/>
  <c r="E117" i="49"/>
  <c r="E104" i="33"/>
  <c r="E115" i="49"/>
  <c r="E102" i="33"/>
  <c r="E112" i="49"/>
  <c r="E99" i="33"/>
  <c r="E110" i="49"/>
  <c r="E97" i="33"/>
  <c r="E107" i="49"/>
  <c r="E94" i="33"/>
  <c r="E105" i="49"/>
  <c r="E92" i="33"/>
  <c r="E166" i="33"/>
  <c r="E241" i="33"/>
  <c r="E103" i="49"/>
  <c r="E90" i="33"/>
  <c r="E101" i="49"/>
  <c r="E175" i="49"/>
  <c r="E88" i="33"/>
  <c r="E98" i="49"/>
  <c r="E121" i="49"/>
  <c r="E85" i="33"/>
  <c r="E128" i="49"/>
  <c r="E115" i="33"/>
  <c r="E126" i="49"/>
  <c r="E113" i="33"/>
  <c r="E124" i="49"/>
  <c r="E111" i="33"/>
  <c r="F113" i="49"/>
  <c r="F100" i="33"/>
  <c r="F111" i="49"/>
  <c r="F98" i="33"/>
  <c r="F135" i="33"/>
  <c r="F109" i="49"/>
  <c r="F96" i="33"/>
  <c r="F106" i="49"/>
  <c r="F93" i="33"/>
  <c r="F104" i="49"/>
  <c r="F91" i="33"/>
  <c r="F102" i="49"/>
  <c r="F89" i="33"/>
  <c r="F99" i="49"/>
  <c r="F86" i="33"/>
  <c r="F96" i="49"/>
  <c r="F83" i="33"/>
  <c r="F127" i="49"/>
  <c r="F149" i="49"/>
  <c r="F114" i="33"/>
  <c r="F125" i="49"/>
  <c r="F112" i="33"/>
  <c r="F151" i="49"/>
  <c r="F138" i="33"/>
  <c r="F163" i="49"/>
  <c r="F150" i="33"/>
  <c r="G115" i="49"/>
  <c r="G102" i="33"/>
  <c r="G112" i="49"/>
  <c r="G99" i="33"/>
  <c r="G110" i="49"/>
  <c r="G97" i="33"/>
  <c r="G107" i="49"/>
  <c r="G94" i="33"/>
  <c r="G105" i="49"/>
  <c r="G92" i="33"/>
  <c r="G103" i="49"/>
  <c r="G90" i="33"/>
  <c r="G101" i="49"/>
  <c r="G88" i="33"/>
  <c r="G127" i="49"/>
  <c r="G114" i="33"/>
  <c r="G125" i="49"/>
  <c r="G112" i="33"/>
  <c r="G163" i="49"/>
  <c r="G150" i="33"/>
  <c r="H112" i="49"/>
  <c r="H99" i="33"/>
  <c r="H110" i="49"/>
  <c r="H97" i="33"/>
  <c r="H127" i="49"/>
  <c r="H114" i="33"/>
  <c r="H125" i="49"/>
  <c r="H112" i="33"/>
  <c r="I135" i="19"/>
  <c r="H144" i="9"/>
  <c r="D137" i="19"/>
  <c r="D138" i="19"/>
  <c r="D68" i="20"/>
  <c r="F207" i="20"/>
  <c r="F68" i="20"/>
  <c r="F208" i="20"/>
  <c r="K80" i="33"/>
  <c r="I163" i="15"/>
  <c r="I198" i="15"/>
  <c r="I146" i="16"/>
  <c r="I67" i="16"/>
  <c r="I39" i="16"/>
  <c r="I175" i="16"/>
  <c r="D76" i="9"/>
  <c r="D224" i="9"/>
  <c r="E30" i="17"/>
  <c r="I23" i="17"/>
  <c r="D65" i="17"/>
  <c r="I67" i="17"/>
  <c r="I154" i="16"/>
  <c r="I55" i="21"/>
  <c r="E67" i="18"/>
  <c r="E29" i="9"/>
  <c r="E178" i="9"/>
  <c r="E27" i="9"/>
  <c r="E176" i="9"/>
  <c r="E64" i="9"/>
  <c r="E25" i="9"/>
  <c r="E40" i="9"/>
  <c r="E188" i="9"/>
  <c r="E23" i="9"/>
  <c r="E38" i="9"/>
  <c r="E232" i="9"/>
  <c r="E186" i="9"/>
  <c r="E21" i="9"/>
  <c r="E170" i="9"/>
  <c r="E19" i="9"/>
  <c r="E18" i="9"/>
  <c r="E17" i="9"/>
  <c r="E16" i="9"/>
  <c r="E15" i="9"/>
  <c r="E14" i="9"/>
  <c r="E13" i="9"/>
  <c r="E11" i="9"/>
  <c r="E10" i="9"/>
  <c r="E8" i="9"/>
  <c r="F69" i="9"/>
  <c r="F217" i="9"/>
  <c r="D30" i="9"/>
  <c r="D179" i="9"/>
  <c r="D28" i="9"/>
  <c r="D177" i="9"/>
  <c r="D108" i="9"/>
  <c r="D68" i="9"/>
  <c r="D216" i="9"/>
  <c r="D64" i="9"/>
  <c r="D25" i="9"/>
  <c r="D174" i="9"/>
  <c r="D40" i="9"/>
  <c r="D188" i="9"/>
  <c r="D23" i="9"/>
  <c r="D38" i="9"/>
  <c r="D21" i="9"/>
  <c r="D19" i="9"/>
  <c r="D18" i="9"/>
  <c r="D56" i="9"/>
  <c r="D17" i="9"/>
  <c r="D16" i="9"/>
  <c r="D165" i="9"/>
  <c r="D15" i="9"/>
  <c r="D14" i="9"/>
  <c r="D163" i="9"/>
  <c r="D13" i="9"/>
  <c r="D11" i="9"/>
  <c r="D49" i="9"/>
  <c r="D10" i="9"/>
  <c r="D8" i="9"/>
  <c r="I67" i="21"/>
  <c r="E211" i="21"/>
  <c r="I65" i="20"/>
  <c r="I67" i="20"/>
  <c r="E116" i="32"/>
  <c r="F108" i="32"/>
  <c r="F109" i="32"/>
  <c r="Q37" i="32"/>
  <c r="I107" i="15"/>
  <c r="I98" i="16"/>
  <c r="I135" i="16"/>
  <c r="G422" i="22"/>
  <c r="J422" i="22"/>
  <c r="G436" i="22"/>
  <c r="J436" i="22"/>
  <c r="G450" i="22"/>
  <c r="G465" i="22"/>
  <c r="J465" i="22"/>
  <c r="G479" i="22"/>
  <c r="J479" i="22"/>
  <c r="I137" i="18"/>
  <c r="I138" i="18"/>
  <c r="F43" i="32"/>
  <c r="N91" i="32"/>
  <c r="P91" i="32"/>
  <c r="I47" i="21"/>
  <c r="H19" i="49"/>
  <c r="H19" i="33"/>
  <c r="H64" i="49"/>
  <c r="H64" i="33"/>
  <c r="H212" i="33"/>
  <c r="F192" i="49"/>
  <c r="F279" i="49"/>
  <c r="F190" i="49"/>
  <c r="F277" i="49"/>
  <c r="H107" i="49"/>
  <c r="H94" i="33"/>
  <c r="H243" i="33"/>
  <c r="H105" i="49"/>
  <c r="H92" i="33"/>
  <c r="H103" i="49"/>
  <c r="H90" i="33"/>
  <c r="H127" i="33"/>
  <c r="H101" i="49"/>
  <c r="H88" i="33"/>
  <c r="H125" i="33"/>
  <c r="H98" i="49"/>
  <c r="H85" i="33"/>
  <c r="H124" i="49"/>
  <c r="H111" i="33"/>
  <c r="H163" i="49"/>
  <c r="H324" i="49"/>
  <c r="H150" i="33"/>
  <c r="H299" i="33"/>
  <c r="I18" i="49"/>
  <c r="I18" i="33"/>
  <c r="I16" i="49"/>
  <c r="I16" i="33"/>
  <c r="I54" i="33"/>
  <c r="I14" i="49"/>
  <c r="I14" i="33"/>
  <c r="I10" i="49"/>
  <c r="I10" i="33"/>
  <c r="I48" i="33"/>
  <c r="I13" i="49"/>
  <c r="I13" i="33"/>
  <c r="I162" i="33"/>
  <c r="I31" i="9"/>
  <c r="I180" i="9"/>
  <c r="E7" i="41"/>
  <c r="I24" i="49"/>
  <c r="I24" i="33"/>
  <c r="I37" i="49"/>
  <c r="I37" i="33"/>
  <c r="I38" i="49"/>
  <c r="I38" i="33"/>
  <c r="I39" i="49"/>
  <c r="I39" i="33"/>
  <c r="I64" i="49"/>
  <c r="I64" i="33"/>
  <c r="I25" i="49"/>
  <c r="I25" i="33"/>
  <c r="H17" i="19"/>
  <c r="H52" i="19"/>
  <c r="H192" i="19"/>
  <c r="H37" i="37"/>
  <c r="H28" i="37"/>
  <c r="H26" i="37"/>
  <c r="G29" i="38"/>
  <c r="G27" i="38"/>
  <c r="G22" i="38"/>
  <c r="H52" i="32"/>
  <c r="D69" i="21"/>
  <c r="F104" i="33"/>
  <c r="F102" i="33"/>
  <c r="G85" i="9"/>
  <c r="H24" i="33"/>
  <c r="H13" i="33"/>
  <c r="H115" i="33"/>
  <c r="H98" i="33"/>
  <c r="F191" i="49"/>
  <c r="F278" i="49"/>
  <c r="I77" i="49"/>
  <c r="I76" i="33"/>
  <c r="H109" i="49"/>
  <c r="H146" i="49"/>
  <c r="H96" i="33"/>
  <c r="H106" i="49"/>
  <c r="H93" i="33"/>
  <c r="H104" i="49"/>
  <c r="H141" i="49"/>
  <c r="H91" i="33"/>
  <c r="H102" i="49"/>
  <c r="H89" i="33"/>
  <c r="H99" i="49"/>
  <c r="H136" i="49"/>
  <c r="H86" i="33"/>
  <c r="H96" i="49"/>
  <c r="H83" i="33"/>
  <c r="H151" i="49"/>
  <c r="H161" i="49"/>
  <c r="H138" i="33"/>
  <c r="I19" i="49"/>
  <c r="I57" i="49"/>
  <c r="I218" i="49"/>
  <c r="I19" i="33"/>
  <c r="I17" i="49"/>
  <c r="I179" i="49"/>
  <c r="I17" i="33"/>
  <c r="I15" i="49"/>
  <c r="I53" i="49"/>
  <c r="I214" i="49"/>
  <c r="I301" i="49"/>
  <c r="I15" i="33"/>
  <c r="I11" i="49"/>
  <c r="I173" i="49"/>
  <c r="I11" i="33"/>
  <c r="I8" i="49"/>
  <c r="I46" i="49"/>
  <c r="I34" i="9"/>
  <c r="I182" i="9"/>
  <c r="I8" i="33"/>
  <c r="I40" i="49"/>
  <c r="I40" i="33"/>
  <c r="I21" i="49"/>
  <c r="I21" i="33"/>
  <c r="I22" i="49"/>
  <c r="I22" i="33"/>
  <c r="I23" i="49"/>
  <c r="I23" i="33"/>
  <c r="I41" i="49"/>
  <c r="I41" i="33"/>
  <c r="F15" i="19"/>
  <c r="F50" i="19"/>
  <c r="F190" i="19"/>
  <c r="F16" i="19"/>
  <c r="F156" i="19"/>
  <c r="F19" i="19"/>
  <c r="F34" i="19"/>
  <c r="F21" i="19"/>
  <c r="I21" i="19"/>
  <c r="I280" i="33"/>
  <c r="D5" i="25"/>
  <c r="H76" i="33"/>
  <c r="H225" i="33"/>
  <c r="E98" i="17"/>
  <c r="I98" i="17"/>
  <c r="D133" i="17"/>
  <c r="D134" i="17"/>
  <c r="I135" i="17"/>
  <c r="N88" i="32"/>
  <c r="I110" i="18"/>
  <c r="I180" i="18"/>
  <c r="H59" i="37"/>
  <c r="H69" i="37"/>
  <c r="H29" i="37"/>
  <c r="H27" i="37"/>
  <c r="H22" i="37"/>
  <c r="H57" i="37"/>
  <c r="H18" i="37"/>
  <c r="H53" i="37"/>
  <c r="G59" i="38"/>
  <c r="G69" i="38"/>
  <c r="G37" i="38"/>
  <c r="G28" i="38"/>
  <c r="G26" i="38"/>
  <c r="G18" i="38"/>
  <c r="G53" i="38"/>
  <c r="D101" i="19"/>
  <c r="D171" i="19"/>
  <c r="I101" i="19"/>
  <c r="I110" i="19"/>
  <c r="E67" i="20"/>
  <c r="I51" i="9"/>
  <c r="I199" i="9"/>
  <c r="I48" i="9"/>
  <c r="I196" i="9"/>
  <c r="J72" i="22"/>
  <c r="J71" i="22"/>
  <c r="J70" i="22"/>
  <c r="J69" i="22"/>
  <c r="J68" i="22"/>
  <c r="G18" i="32"/>
  <c r="G30" i="32"/>
  <c r="H40" i="32"/>
  <c r="B11" i="41"/>
  <c r="F105" i="33"/>
  <c r="F179" i="33"/>
  <c r="F254" i="33"/>
  <c r="F103" i="33"/>
  <c r="F177" i="33"/>
  <c r="F252" i="33"/>
  <c r="E150" i="33"/>
  <c r="H40" i="33"/>
  <c r="H188" i="33"/>
  <c r="H263" i="33"/>
  <c r="H19" i="19"/>
  <c r="H113" i="33"/>
  <c r="I195" i="33"/>
  <c r="I150" i="49"/>
  <c r="I146" i="49"/>
  <c r="I143" i="49"/>
  <c r="I141" i="49"/>
  <c r="I139" i="49"/>
  <c r="I136" i="49"/>
  <c r="K58" i="9"/>
  <c r="L115" i="49"/>
  <c r="I144" i="49"/>
  <c r="I268" i="49"/>
  <c r="I142" i="49"/>
  <c r="I140" i="49"/>
  <c r="I138" i="49"/>
  <c r="I135" i="49"/>
  <c r="W47" i="33"/>
  <c r="X47" i="33"/>
  <c r="L64" i="33"/>
  <c r="L41" i="33"/>
  <c r="L63" i="33"/>
  <c r="L40" i="33"/>
  <c r="L62" i="33"/>
  <c r="L39" i="33"/>
  <c r="L187" i="33"/>
  <c r="L262" i="33"/>
  <c r="J115" i="49"/>
  <c r="J138" i="33"/>
  <c r="J115" i="33"/>
  <c r="J100" i="33"/>
  <c r="J137" i="33"/>
  <c r="J113" i="33"/>
  <c r="J98" i="33"/>
  <c r="J135" i="33"/>
  <c r="J111" i="33"/>
  <c r="J96" i="33"/>
  <c r="J133" i="33"/>
  <c r="J93" i="33"/>
  <c r="J91" i="33"/>
  <c r="J128" i="33"/>
  <c r="J89" i="33"/>
  <c r="J86" i="33"/>
  <c r="I115" i="49"/>
  <c r="I153" i="49"/>
  <c r="I138" i="33"/>
  <c r="I115" i="33"/>
  <c r="I264" i="33"/>
  <c r="I100" i="33"/>
  <c r="I113" i="33"/>
  <c r="Q113" i="33"/>
  <c r="U113" i="33"/>
  <c r="V113" i="33"/>
  <c r="I98" i="33"/>
  <c r="I111" i="33"/>
  <c r="I185" i="33"/>
  <c r="I260" i="33"/>
  <c r="I96" i="33"/>
  <c r="I93" i="33"/>
  <c r="I167" i="33"/>
  <c r="I242" i="33"/>
  <c r="I91" i="33"/>
  <c r="I89" i="33"/>
  <c r="I163" i="33"/>
  <c r="I238" i="33"/>
  <c r="I86" i="33"/>
  <c r="I123" i="33"/>
  <c r="L102" i="33"/>
  <c r="L99" i="33"/>
  <c r="L173" i="33"/>
  <c r="L248" i="33"/>
  <c r="L112" i="33"/>
  <c r="L134" i="33"/>
  <c r="L97" i="33"/>
  <c r="R97" i="33"/>
  <c r="L94" i="33"/>
  <c r="L92" i="33"/>
  <c r="L90" i="33"/>
  <c r="L88" i="33"/>
  <c r="L125" i="33"/>
  <c r="L85" i="33"/>
  <c r="N115" i="49"/>
  <c r="N153" i="49"/>
  <c r="Q153" i="49"/>
  <c r="T153" i="49"/>
  <c r="U153" i="49"/>
  <c r="N138" i="33"/>
  <c r="N115" i="33"/>
  <c r="N100" i="33"/>
  <c r="N137" i="33"/>
  <c r="N113" i="33"/>
  <c r="N98" i="33"/>
  <c r="N111" i="33"/>
  <c r="N96" i="33"/>
  <c r="N133" i="33"/>
  <c r="N93" i="33"/>
  <c r="N130" i="33"/>
  <c r="N91" i="33"/>
  <c r="N89" i="33"/>
  <c r="N126" i="33"/>
  <c r="N86" i="33"/>
  <c r="N83" i="33"/>
  <c r="M115" i="49"/>
  <c r="M138" i="33"/>
  <c r="S138" i="33"/>
  <c r="M115" i="33"/>
  <c r="M100" i="33"/>
  <c r="M137" i="33"/>
  <c r="S137" i="33"/>
  <c r="M113" i="33"/>
  <c r="M98" i="33"/>
  <c r="M135" i="33"/>
  <c r="M111" i="33"/>
  <c r="M96" i="33"/>
  <c r="M133" i="33"/>
  <c r="S133" i="33"/>
  <c r="M93" i="33"/>
  <c r="M130" i="33"/>
  <c r="S130" i="33"/>
  <c r="M91" i="33"/>
  <c r="M128" i="33"/>
  <c r="M89" i="33"/>
  <c r="M86" i="33"/>
  <c r="M123" i="33"/>
  <c r="S123" i="33"/>
  <c r="M83" i="33"/>
  <c r="M120" i="33"/>
  <c r="L150" i="33"/>
  <c r="K150" i="33"/>
  <c r="L37" i="33"/>
  <c r="L111" i="33"/>
  <c r="L133" i="33"/>
  <c r="I199" i="30"/>
  <c r="S244" i="33"/>
  <c r="E194" i="47"/>
  <c r="C194" i="47"/>
  <c r="E192" i="47"/>
  <c r="C192" i="47"/>
  <c r="L28" i="49"/>
  <c r="L67" i="49"/>
  <c r="K136" i="9"/>
  <c r="K135" i="9"/>
  <c r="K134" i="9"/>
  <c r="K133" i="9"/>
  <c r="K130" i="9"/>
  <c r="K128" i="9"/>
  <c r="K126" i="9"/>
  <c r="K123" i="9"/>
  <c r="K120" i="9"/>
  <c r="K115" i="49"/>
  <c r="P115" i="49"/>
  <c r="J84" i="33"/>
  <c r="J121" i="33"/>
  <c r="Q121" i="33"/>
  <c r="D137" i="20"/>
  <c r="D138" i="20"/>
  <c r="D208" i="20"/>
  <c r="E67" i="31"/>
  <c r="E68" i="31"/>
  <c r="E208" i="31"/>
  <c r="D135" i="47"/>
  <c r="D71" i="47"/>
  <c r="L42" i="47"/>
  <c r="K103" i="47"/>
  <c r="Q40" i="47"/>
  <c r="Q39" i="47"/>
  <c r="Q37" i="47"/>
  <c r="G121" i="47"/>
  <c r="M122" i="33"/>
  <c r="S85" i="33"/>
  <c r="M131" i="33"/>
  <c r="M243" i="33"/>
  <c r="S94" i="33"/>
  <c r="S112" i="33"/>
  <c r="N122" i="33"/>
  <c r="N131" i="33"/>
  <c r="N243" i="33"/>
  <c r="L123" i="33"/>
  <c r="R86" i="33"/>
  <c r="R96" i="33"/>
  <c r="L170" i="33"/>
  <c r="L245" i="33"/>
  <c r="R113" i="33"/>
  <c r="I129" i="33"/>
  <c r="Q92" i="33"/>
  <c r="M127" i="33"/>
  <c r="M134" i="33"/>
  <c r="N134" i="33"/>
  <c r="L128" i="33"/>
  <c r="L165" i="33"/>
  <c r="L135" i="33"/>
  <c r="I125" i="33"/>
  <c r="J125" i="33"/>
  <c r="D207" i="20"/>
  <c r="D214" i="20"/>
  <c r="Q84" i="33"/>
  <c r="S91" i="33"/>
  <c r="S98" i="33"/>
  <c r="N117" i="33"/>
  <c r="L129" i="33"/>
  <c r="R102" i="33"/>
  <c r="L140" i="33"/>
  <c r="L176" i="33"/>
  <c r="L251" i="33"/>
  <c r="I126" i="33"/>
  <c r="I130" i="33"/>
  <c r="Q111" i="33"/>
  <c r="Q115" i="33"/>
  <c r="O115" i="49"/>
  <c r="J126" i="33"/>
  <c r="J130" i="33"/>
  <c r="J153" i="49"/>
  <c r="I305" i="49"/>
  <c r="B12" i="41"/>
  <c r="P88" i="32"/>
  <c r="P40" i="32"/>
  <c r="L114" i="9"/>
  <c r="J177" i="31"/>
  <c r="M114" i="9"/>
  <c r="K153" i="49"/>
  <c r="K299" i="33"/>
  <c r="M126" i="33"/>
  <c r="S126" i="33"/>
  <c r="S115" i="33"/>
  <c r="M153" i="49"/>
  <c r="Q115" i="49"/>
  <c r="N123" i="33"/>
  <c r="N128" i="33"/>
  <c r="R85" i="33"/>
  <c r="L122" i="33"/>
  <c r="R90" i="33"/>
  <c r="L127" i="33"/>
  <c r="R94" i="33"/>
  <c r="L131" i="33"/>
  <c r="L243" i="33"/>
  <c r="L168" i="33"/>
  <c r="Q98" i="33"/>
  <c r="J123" i="33"/>
  <c r="L189" i="33"/>
  <c r="L264" i="33"/>
  <c r="L153" i="49"/>
  <c r="H53" i="32"/>
  <c r="C40" i="32"/>
  <c r="C53" i="32"/>
  <c r="E68" i="20"/>
  <c r="E208" i="20"/>
  <c r="E207" i="20"/>
  <c r="I8" i="21"/>
  <c r="F32" i="21"/>
  <c r="F176" i="21"/>
  <c r="F44" i="21"/>
  <c r="F152" i="21"/>
  <c r="I9" i="21"/>
  <c r="F153" i="21"/>
  <c r="F45" i="21"/>
  <c r="H44" i="21"/>
  <c r="H32" i="21"/>
  <c r="H176" i="21"/>
  <c r="H152" i="21"/>
  <c r="I189" i="33"/>
  <c r="I61" i="33"/>
  <c r="I172" i="33"/>
  <c r="I60" i="33"/>
  <c r="I171" i="33"/>
  <c r="I246" i="33"/>
  <c r="I59" i="33"/>
  <c r="I188" i="33"/>
  <c r="I263" i="33"/>
  <c r="I46" i="33"/>
  <c r="I49" i="49"/>
  <c r="I260" i="49"/>
  <c r="I177" i="49"/>
  <c r="I264" i="49"/>
  <c r="I55" i="49"/>
  <c r="I266" i="49"/>
  <c r="I181" i="49"/>
  <c r="H133" i="49"/>
  <c r="H139" i="49"/>
  <c r="H143" i="49"/>
  <c r="H135" i="33"/>
  <c r="H51" i="33"/>
  <c r="H162" i="33"/>
  <c r="G98" i="49"/>
  <c r="G85" i="33"/>
  <c r="G122" i="9"/>
  <c r="G146" i="9"/>
  <c r="G147" i="9"/>
  <c r="F178" i="33"/>
  <c r="F253" i="33"/>
  <c r="D70" i="21"/>
  <c r="I20" i="21"/>
  <c r="F56" i="21"/>
  <c r="F164" i="21"/>
  <c r="I18" i="21"/>
  <c r="F54" i="21"/>
  <c r="F162" i="21"/>
  <c r="I16" i="21"/>
  <c r="F52" i="21"/>
  <c r="F160" i="21"/>
  <c r="H54" i="21"/>
  <c r="H198" i="21"/>
  <c r="H162" i="21"/>
  <c r="I26" i="21"/>
  <c r="H63" i="21"/>
  <c r="H170" i="21"/>
  <c r="H56" i="21"/>
  <c r="H200" i="21"/>
  <c r="H164" i="21"/>
  <c r="I63" i="33"/>
  <c r="I212" i="33"/>
  <c r="I187" i="33"/>
  <c r="I43" i="33"/>
  <c r="I62" i="33"/>
  <c r="I173" i="33"/>
  <c r="I248" i="33"/>
  <c r="D7" i="41"/>
  <c r="F7" i="41"/>
  <c r="I51" i="33"/>
  <c r="I237" i="33"/>
  <c r="I159" i="33"/>
  <c r="I234" i="33"/>
  <c r="I52" i="33"/>
  <c r="I56" i="33"/>
  <c r="H122" i="33"/>
  <c r="H237" i="33"/>
  <c r="H129" i="33"/>
  <c r="H131" i="33"/>
  <c r="H280" i="33"/>
  <c r="H74" i="33"/>
  <c r="H57" i="33"/>
  <c r="D46" i="9"/>
  <c r="D160" i="9"/>
  <c r="D52" i="9"/>
  <c r="D54" i="9"/>
  <c r="D202" i="9"/>
  <c r="D167" i="9"/>
  <c r="D170" i="9"/>
  <c r="D172" i="9"/>
  <c r="D63" i="9"/>
  <c r="E157" i="9"/>
  <c r="E46" i="9"/>
  <c r="E49" i="9"/>
  <c r="E197" i="9"/>
  <c r="E160" i="9"/>
  <c r="E52" i="9"/>
  <c r="E163" i="9"/>
  <c r="E54" i="9"/>
  <c r="E56" i="9"/>
  <c r="E59" i="9"/>
  <c r="E61" i="9"/>
  <c r="E209" i="9"/>
  <c r="E172" i="9"/>
  <c r="E174" i="9"/>
  <c r="E68" i="18"/>
  <c r="E208" i="18"/>
  <c r="E207" i="18"/>
  <c r="D201" i="17"/>
  <c r="D66" i="17"/>
  <c r="D202" i="17"/>
  <c r="H134" i="33"/>
  <c r="H136" i="33"/>
  <c r="G125" i="33"/>
  <c r="G127" i="33"/>
  <c r="G129" i="33"/>
  <c r="G131" i="33"/>
  <c r="G134" i="33"/>
  <c r="G136" i="33"/>
  <c r="G140" i="33"/>
  <c r="F148" i="33"/>
  <c r="F120" i="33"/>
  <c r="F123" i="33"/>
  <c r="F126" i="33"/>
  <c r="F128" i="33"/>
  <c r="F130" i="33"/>
  <c r="F133" i="33"/>
  <c r="F137" i="33"/>
  <c r="E122" i="33"/>
  <c r="E125" i="33"/>
  <c r="E127" i="33"/>
  <c r="E129" i="33"/>
  <c r="E131" i="33"/>
  <c r="E136" i="33"/>
  <c r="D148" i="33"/>
  <c r="D120" i="33"/>
  <c r="D123" i="33"/>
  <c r="D126" i="33"/>
  <c r="D128" i="33"/>
  <c r="D130" i="33"/>
  <c r="D133" i="33"/>
  <c r="D135" i="33"/>
  <c r="G22" i="49"/>
  <c r="G22" i="33"/>
  <c r="G60" i="9"/>
  <c r="G208" i="9"/>
  <c r="G171" i="9"/>
  <c r="G24" i="49"/>
  <c r="G24" i="33"/>
  <c r="G173" i="9"/>
  <c r="D51" i="33"/>
  <c r="D51" i="49"/>
  <c r="D175" i="49"/>
  <c r="D55" i="33"/>
  <c r="D55" i="49"/>
  <c r="D179" i="49"/>
  <c r="D59" i="33"/>
  <c r="D207" i="33"/>
  <c r="D170" i="33"/>
  <c r="D245" i="33"/>
  <c r="D59" i="49"/>
  <c r="E61" i="33"/>
  <c r="E61" i="49"/>
  <c r="E185" i="49"/>
  <c r="E59" i="33"/>
  <c r="E59" i="49"/>
  <c r="E183" i="49"/>
  <c r="E270" i="49"/>
  <c r="E63" i="33"/>
  <c r="E63" i="49"/>
  <c r="E187" i="49"/>
  <c r="E55" i="33"/>
  <c r="E203" i="33"/>
  <c r="E278" i="33"/>
  <c r="E55" i="49"/>
  <c r="E179" i="49"/>
  <c r="E162" i="33"/>
  <c r="E237" i="33"/>
  <c r="E51" i="49"/>
  <c r="E52" i="33"/>
  <c r="E52" i="49"/>
  <c r="E176" i="49"/>
  <c r="E53" i="33"/>
  <c r="E53" i="49"/>
  <c r="E177" i="49"/>
  <c r="D225" i="49"/>
  <c r="D312" i="49"/>
  <c r="D52" i="33"/>
  <c r="D200" i="33"/>
  <c r="D275" i="33"/>
  <c r="D163" i="33"/>
  <c r="D238" i="33"/>
  <c r="D52" i="49"/>
  <c r="D48" i="33"/>
  <c r="D48" i="49"/>
  <c r="D61" i="33"/>
  <c r="D209" i="33"/>
  <c r="D284" i="33"/>
  <c r="D61" i="49"/>
  <c r="D185" i="49"/>
  <c r="D272" i="49"/>
  <c r="D174" i="33"/>
  <c r="D249" i="33"/>
  <c r="D63" i="49"/>
  <c r="D43" i="49"/>
  <c r="D198" i="49"/>
  <c r="G207" i="20"/>
  <c r="G214" i="20"/>
  <c r="G68" i="20"/>
  <c r="G208" i="20"/>
  <c r="D68" i="19"/>
  <c r="D208" i="19"/>
  <c r="D207" i="19"/>
  <c r="D62" i="9"/>
  <c r="D210" i="9"/>
  <c r="D173" i="9"/>
  <c r="E60" i="9"/>
  <c r="E173" i="9"/>
  <c r="D70" i="49"/>
  <c r="D64" i="38"/>
  <c r="D64" i="37"/>
  <c r="D69" i="33"/>
  <c r="D69" i="9"/>
  <c r="D217" i="9"/>
  <c r="I199" i="15"/>
  <c r="H153" i="49"/>
  <c r="H314" i="49"/>
  <c r="H276" i="49"/>
  <c r="G130" i="49"/>
  <c r="G123" i="33"/>
  <c r="G126" i="33"/>
  <c r="G128" i="33"/>
  <c r="G130" i="33"/>
  <c r="G133" i="33"/>
  <c r="G135" i="33"/>
  <c r="G137" i="33"/>
  <c r="M96" i="32"/>
  <c r="N95" i="32"/>
  <c r="N41" i="32"/>
  <c r="M41" i="32"/>
  <c r="P95" i="32"/>
  <c r="P41" i="32"/>
  <c r="F130" i="49"/>
  <c r="F135" i="49"/>
  <c r="F138" i="49"/>
  <c r="F140" i="49"/>
  <c r="F142" i="49"/>
  <c r="F144" i="49"/>
  <c r="F147" i="49"/>
  <c r="E161" i="49"/>
  <c r="E133" i="49"/>
  <c r="E136" i="49"/>
  <c r="E139" i="49"/>
  <c r="E263" i="49"/>
  <c r="E141" i="49"/>
  <c r="E143" i="49"/>
  <c r="E146" i="49"/>
  <c r="E148" i="49"/>
  <c r="E272" i="49"/>
  <c r="E150" i="49"/>
  <c r="E274" i="49"/>
  <c r="D130" i="49"/>
  <c r="D285" i="49"/>
  <c r="D135" i="49"/>
  <c r="D138" i="49"/>
  <c r="D262" i="49"/>
  <c r="D140" i="49"/>
  <c r="D142" i="49"/>
  <c r="D266" i="49"/>
  <c r="D144" i="49"/>
  <c r="D147" i="49"/>
  <c r="F31" i="38"/>
  <c r="F73" i="38"/>
  <c r="F74" i="38"/>
  <c r="F78" i="38"/>
  <c r="F81" i="38"/>
  <c r="G10" i="49"/>
  <c r="G48" i="9"/>
  <c r="G196" i="9"/>
  <c r="G159" i="9"/>
  <c r="G13" i="33"/>
  <c r="G15" i="49"/>
  <c r="G53" i="9"/>
  <c r="G201" i="9"/>
  <c r="G164" i="9"/>
  <c r="G17" i="33"/>
  <c r="G19" i="49"/>
  <c r="G57" i="9"/>
  <c r="G205" i="9"/>
  <c r="G168" i="9"/>
  <c r="G38" i="33"/>
  <c r="G186" i="33"/>
  <c r="G261" i="33"/>
  <c r="G40" i="49"/>
  <c r="G201" i="49"/>
  <c r="G288" i="49"/>
  <c r="G188" i="9"/>
  <c r="G64" i="33"/>
  <c r="E57" i="33"/>
  <c r="E57" i="49"/>
  <c r="E181" i="49"/>
  <c r="E268" i="49"/>
  <c r="F38" i="33"/>
  <c r="F186" i="33"/>
  <c r="F261" i="33"/>
  <c r="F40" i="49"/>
  <c r="F201" i="49"/>
  <c r="F288" i="49"/>
  <c r="F188" i="33"/>
  <c r="F263" i="33"/>
  <c r="F188" i="9"/>
  <c r="F8" i="33"/>
  <c r="F157" i="9"/>
  <c r="F11" i="49"/>
  <c r="F11" i="33"/>
  <c r="F49" i="9"/>
  <c r="F197" i="9"/>
  <c r="F160" i="9"/>
  <c r="F14" i="49"/>
  <c r="F14" i="33"/>
  <c r="F52" i="9"/>
  <c r="F200" i="9"/>
  <c r="F163" i="9"/>
  <c r="F16" i="49"/>
  <c r="F16" i="33"/>
  <c r="F54" i="9"/>
  <c r="F202" i="9"/>
  <c r="F165" i="9"/>
  <c r="F18" i="49"/>
  <c r="F18" i="33"/>
  <c r="F56" i="9"/>
  <c r="F204" i="9"/>
  <c r="F167" i="9"/>
  <c r="F22" i="49"/>
  <c r="F22" i="33"/>
  <c r="F171" i="9"/>
  <c r="F60" i="9"/>
  <c r="F208" i="9"/>
  <c r="F24" i="49"/>
  <c r="F24" i="33"/>
  <c r="F62" i="9"/>
  <c r="F210" i="9"/>
  <c r="F173" i="9"/>
  <c r="F28" i="49"/>
  <c r="F28" i="33"/>
  <c r="F176" i="9"/>
  <c r="D43" i="37"/>
  <c r="D31" i="37"/>
  <c r="D31" i="38"/>
  <c r="D43" i="38"/>
  <c r="D60" i="33"/>
  <c r="D171" i="33"/>
  <c r="E60" i="33"/>
  <c r="E171" i="33"/>
  <c r="E246" i="33"/>
  <c r="E43" i="38"/>
  <c r="E31" i="38"/>
  <c r="E31" i="37"/>
  <c r="E43" i="37"/>
  <c r="E62" i="33"/>
  <c r="E210" i="33"/>
  <c r="E285" i="33"/>
  <c r="E173" i="33"/>
  <c r="E248" i="33"/>
  <c r="E43" i="33"/>
  <c r="E185" i="33"/>
  <c r="E260" i="33"/>
  <c r="E212" i="33"/>
  <c r="E74" i="33"/>
  <c r="D62" i="33"/>
  <c r="D173" i="33"/>
  <c r="G57" i="38"/>
  <c r="I28" i="33"/>
  <c r="E166" i="17"/>
  <c r="I203" i="16"/>
  <c r="F54" i="37"/>
  <c r="F56" i="37"/>
  <c r="E191" i="49"/>
  <c r="D179" i="33"/>
  <c r="D254" i="33"/>
  <c r="D192" i="49"/>
  <c r="D40" i="37"/>
  <c r="I137" i="19"/>
  <c r="I138" i="19"/>
  <c r="G108" i="9"/>
  <c r="E279" i="49"/>
  <c r="D287" i="49"/>
  <c r="D289" i="49"/>
  <c r="D276" i="49"/>
  <c r="F54" i="38"/>
  <c r="F56" i="38"/>
  <c r="F58" i="38"/>
  <c r="D225" i="33"/>
  <c r="E176" i="33"/>
  <c r="E251" i="33"/>
  <c r="E187" i="33"/>
  <c r="E262" i="33"/>
  <c r="E189" i="33"/>
  <c r="E264" i="33"/>
  <c r="D178" i="33"/>
  <c r="D228" i="49"/>
  <c r="F159" i="19"/>
  <c r="F155" i="19"/>
  <c r="I10" i="21"/>
  <c r="F46" i="21"/>
  <c r="F154" i="21"/>
  <c r="H153" i="21"/>
  <c r="H45" i="21"/>
  <c r="H189" i="21"/>
  <c r="H46" i="21"/>
  <c r="H190" i="21"/>
  <c r="H154" i="21"/>
  <c r="I202" i="49"/>
  <c r="I289" i="49"/>
  <c r="I61" i="49"/>
  <c r="I60" i="49"/>
  <c r="I184" i="49"/>
  <c r="I271" i="49"/>
  <c r="I59" i="49"/>
  <c r="I183" i="49"/>
  <c r="I270" i="49"/>
  <c r="I201" i="49"/>
  <c r="I288" i="49"/>
  <c r="I49" i="33"/>
  <c r="I160" i="33"/>
  <c r="I235" i="33"/>
  <c r="I53" i="33"/>
  <c r="I164" i="33"/>
  <c r="I239" i="33"/>
  <c r="I55" i="33"/>
  <c r="I166" i="33"/>
  <c r="I241" i="33"/>
  <c r="I57" i="33"/>
  <c r="I168" i="33"/>
  <c r="H148" i="33"/>
  <c r="H287" i="33"/>
  <c r="H120" i="33"/>
  <c r="H108" i="33"/>
  <c r="H123" i="33"/>
  <c r="H126" i="33"/>
  <c r="H128" i="33"/>
  <c r="H130" i="33"/>
  <c r="H133" i="33"/>
  <c r="H62" i="33"/>
  <c r="H210" i="33"/>
  <c r="H285" i="33"/>
  <c r="H173" i="33"/>
  <c r="H248" i="33"/>
  <c r="I17" i="21"/>
  <c r="F53" i="21"/>
  <c r="F161" i="21"/>
  <c r="I22" i="21"/>
  <c r="F58" i="21"/>
  <c r="F166" i="21"/>
  <c r="I21" i="21"/>
  <c r="F57" i="21"/>
  <c r="F165" i="21"/>
  <c r="H52" i="21"/>
  <c r="H196" i="21"/>
  <c r="H160" i="21"/>
  <c r="H57" i="21"/>
  <c r="H201" i="21"/>
  <c r="H165" i="21"/>
  <c r="H53" i="21"/>
  <c r="H197" i="21"/>
  <c r="H161" i="21"/>
  <c r="H58" i="21"/>
  <c r="H202" i="21"/>
  <c r="H166" i="21"/>
  <c r="I63" i="49"/>
  <c r="I187" i="49"/>
  <c r="I274" i="49"/>
  <c r="I225" i="49"/>
  <c r="I312" i="49"/>
  <c r="I199" i="49"/>
  <c r="I286" i="49"/>
  <c r="I43" i="49"/>
  <c r="I198" i="49"/>
  <c r="I285" i="49"/>
  <c r="I62" i="49"/>
  <c r="I51" i="49"/>
  <c r="I175" i="49"/>
  <c r="I262" i="49"/>
  <c r="I48" i="49"/>
  <c r="I172" i="49"/>
  <c r="I259" i="49"/>
  <c r="I52" i="49"/>
  <c r="I176" i="49"/>
  <c r="I263" i="49"/>
  <c r="I54" i="49"/>
  <c r="I178" i="49"/>
  <c r="I265" i="49"/>
  <c r="I56" i="49"/>
  <c r="I180" i="49"/>
  <c r="I267" i="49"/>
  <c r="H135" i="49"/>
  <c r="H138" i="49"/>
  <c r="H140" i="49"/>
  <c r="H142" i="49"/>
  <c r="H144" i="49"/>
  <c r="H305" i="49"/>
  <c r="H268" i="49"/>
  <c r="H75" i="49"/>
  <c r="H236" i="49"/>
  <c r="H322" i="49"/>
  <c r="H225" i="49"/>
  <c r="H312" i="49"/>
  <c r="H57" i="49"/>
  <c r="H218" i="49"/>
  <c r="H181" i="49"/>
  <c r="I70" i="9"/>
  <c r="I218" i="9"/>
  <c r="I65" i="37"/>
  <c r="I67" i="37"/>
  <c r="I68" i="37"/>
  <c r="I205" i="20"/>
  <c r="H65" i="38"/>
  <c r="J70" i="9"/>
  <c r="I65" i="38"/>
  <c r="J65" i="37"/>
  <c r="D159" i="9"/>
  <c r="D48" i="9"/>
  <c r="D196" i="9"/>
  <c r="D51" i="9"/>
  <c r="D199" i="9"/>
  <c r="D162" i="9"/>
  <c r="D53" i="9"/>
  <c r="D201" i="9"/>
  <c r="D164" i="9"/>
  <c r="D55" i="9"/>
  <c r="D203" i="9"/>
  <c r="D166" i="9"/>
  <c r="D57" i="9"/>
  <c r="D205" i="9"/>
  <c r="D168" i="9"/>
  <c r="D74" i="9"/>
  <c r="D222" i="9"/>
  <c r="D212" i="9"/>
  <c r="E48" i="9"/>
  <c r="E196" i="9"/>
  <c r="E159" i="9"/>
  <c r="E162" i="9"/>
  <c r="E51" i="9"/>
  <c r="E199" i="9"/>
  <c r="E164" i="9"/>
  <c r="E53" i="9"/>
  <c r="E201" i="9"/>
  <c r="E166" i="9"/>
  <c r="E55" i="9"/>
  <c r="E203" i="9"/>
  <c r="E168" i="9"/>
  <c r="E57" i="9"/>
  <c r="E205" i="9"/>
  <c r="E74" i="9"/>
  <c r="E222" i="9"/>
  <c r="E212" i="9"/>
  <c r="F25" i="9"/>
  <c r="F34" i="9"/>
  <c r="F23" i="37"/>
  <c r="F58" i="37"/>
  <c r="I159" i="17"/>
  <c r="I30" i="17"/>
  <c r="I166" i="17"/>
  <c r="H147" i="49"/>
  <c r="H149" i="49"/>
  <c r="G138" i="49"/>
  <c r="G140" i="49"/>
  <c r="G142" i="49"/>
  <c r="G144" i="49"/>
  <c r="G147" i="49"/>
  <c r="G149" i="49"/>
  <c r="G153" i="49"/>
  <c r="F161" i="49"/>
  <c r="F121" i="49"/>
  <c r="F133" i="49"/>
  <c r="F136" i="49"/>
  <c r="F139" i="49"/>
  <c r="F141" i="49"/>
  <c r="F143" i="49"/>
  <c r="F146" i="49"/>
  <c r="F148" i="49"/>
  <c r="F150" i="49"/>
  <c r="E130" i="49"/>
  <c r="E135" i="49"/>
  <c r="E138" i="49"/>
  <c r="E262" i="49"/>
  <c r="E140" i="49"/>
  <c r="E264" i="49"/>
  <c r="E142" i="49"/>
  <c r="E266" i="49"/>
  <c r="E144" i="49"/>
  <c r="E147" i="49"/>
  <c r="E149" i="49"/>
  <c r="D161" i="49"/>
  <c r="D121" i="49"/>
  <c r="D133" i="49"/>
  <c r="D136" i="49"/>
  <c r="D139" i="49"/>
  <c r="D141" i="49"/>
  <c r="D143" i="49"/>
  <c r="D146" i="49"/>
  <c r="D270" i="49"/>
  <c r="D148" i="49"/>
  <c r="D150" i="49"/>
  <c r="G37" i="49"/>
  <c r="G37" i="33"/>
  <c r="G43" i="9"/>
  <c r="G185" i="9"/>
  <c r="G39" i="49"/>
  <c r="G200" i="49"/>
  <c r="G287" i="49"/>
  <c r="G39" i="33"/>
  <c r="G187" i="33"/>
  <c r="G262" i="33"/>
  <c r="G187" i="9"/>
  <c r="G41" i="49"/>
  <c r="G202" i="49"/>
  <c r="G289" i="49"/>
  <c r="G41" i="33"/>
  <c r="G189" i="33"/>
  <c r="G264" i="33"/>
  <c r="G189" i="9"/>
  <c r="F19" i="49"/>
  <c r="F19" i="33"/>
  <c r="F57" i="9"/>
  <c r="F205" i="9"/>
  <c r="F168" i="9"/>
  <c r="D57" i="33"/>
  <c r="D168" i="33"/>
  <c r="D243" i="33"/>
  <c r="D57" i="49"/>
  <c r="D218" i="49"/>
  <c r="D305" i="49"/>
  <c r="D181" i="49"/>
  <c r="D268" i="49"/>
  <c r="F77" i="49"/>
  <c r="F238" i="49"/>
  <c r="F324" i="49"/>
  <c r="F76" i="33"/>
  <c r="F225" i="33"/>
  <c r="F299" i="33"/>
  <c r="F224" i="9"/>
  <c r="F37" i="49"/>
  <c r="F37" i="33"/>
  <c r="F43" i="9"/>
  <c r="F185" i="9"/>
  <c r="F39" i="49"/>
  <c r="F200" i="49"/>
  <c r="F287" i="49"/>
  <c r="F39" i="33"/>
  <c r="F187" i="33"/>
  <c r="F262" i="33"/>
  <c r="F187" i="9"/>
  <c r="F41" i="49"/>
  <c r="F202" i="49"/>
  <c r="F289" i="49"/>
  <c r="F41" i="33"/>
  <c r="F189" i="33"/>
  <c r="F264" i="33"/>
  <c r="F189" i="9"/>
  <c r="F10" i="49"/>
  <c r="F10" i="33"/>
  <c r="F159" i="9"/>
  <c r="F48" i="9"/>
  <c r="F196" i="9"/>
  <c r="F13" i="49"/>
  <c r="F51" i="49"/>
  <c r="F212" i="49"/>
  <c r="F299" i="49"/>
  <c r="F13" i="33"/>
  <c r="F51" i="9"/>
  <c r="F199" i="9"/>
  <c r="F162" i="9"/>
  <c r="F15" i="49"/>
  <c r="F15" i="33"/>
  <c r="F53" i="9"/>
  <c r="F201" i="9"/>
  <c r="F164" i="9"/>
  <c r="F17" i="49"/>
  <c r="F55" i="49"/>
  <c r="F216" i="49"/>
  <c r="F303" i="49"/>
  <c r="F17" i="33"/>
  <c r="F55" i="9"/>
  <c r="F203" i="9"/>
  <c r="F166" i="9"/>
  <c r="F21" i="49"/>
  <c r="F21" i="33"/>
  <c r="F59" i="9"/>
  <c r="F170" i="9"/>
  <c r="F23" i="49"/>
  <c r="F61" i="49"/>
  <c r="F222" i="49"/>
  <c r="F309" i="49"/>
  <c r="F23" i="33"/>
  <c r="F61" i="9"/>
  <c r="F172" i="9"/>
  <c r="D212" i="33"/>
  <c r="D287" i="33"/>
  <c r="D74" i="33"/>
  <c r="D223" i="33"/>
  <c r="D297" i="33"/>
  <c r="D43" i="33"/>
  <c r="D185" i="33"/>
  <c r="E70" i="21"/>
  <c r="D171" i="9"/>
  <c r="D60" i="9"/>
  <c r="D208" i="9"/>
  <c r="E43" i="9"/>
  <c r="E185" i="9"/>
  <c r="E207" i="19"/>
  <c r="E68" i="19"/>
  <c r="E208" i="19"/>
  <c r="H140" i="33"/>
  <c r="H289" i="33"/>
  <c r="H251" i="33"/>
  <c r="H137" i="33"/>
  <c r="G148" i="33"/>
  <c r="G117" i="33"/>
  <c r="G120" i="33"/>
  <c r="G108" i="33"/>
  <c r="G121" i="49"/>
  <c r="G133" i="49"/>
  <c r="G136" i="49"/>
  <c r="G297" i="49"/>
  <c r="G139" i="49"/>
  <c r="G141" i="49"/>
  <c r="G302" i="49"/>
  <c r="G143" i="49"/>
  <c r="G146" i="49"/>
  <c r="G307" i="49"/>
  <c r="G148" i="49"/>
  <c r="G150" i="49"/>
  <c r="N40" i="32"/>
  <c r="P94" i="32"/>
  <c r="F117" i="33"/>
  <c r="F122" i="33"/>
  <c r="F125" i="33"/>
  <c r="F127" i="33"/>
  <c r="F129" i="33"/>
  <c r="F131" i="33"/>
  <c r="F280" i="33"/>
  <c r="F134" i="33"/>
  <c r="F136" i="33"/>
  <c r="E148" i="33"/>
  <c r="E287" i="33"/>
  <c r="E120" i="33"/>
  <c r="E108" i="33"/>
  <c r="E123" i="33"/>
  <c r="E238" i="33"/>
  <c r="E126" i="33"/>
  <c r="E128" i="33"/>
  <c r="E277" i="33"/>
  <c r="E130" i="33"/>
  <c r="E133" i="33"/>
  <c r="E245" i="33"/>
  <c r="E135" i="33"/>
  <c r="E137" i="33"/>
  <c r="D260" i="33"/>
  <c r="D117" i="33"/>
  <c r="D122" i="33"/>
  <c r="D146" i="33"/>
  <c r="D125" i="33"/>
  <c r="D127" i="33"/>
  <c r="D241" i="33"/>
  <c r="D129" i="33"/>
  <c r="D131" i="33"/>
  <c r="D246" i="33"/>
  <c r="D134" i="33"/>
  <c r="D248" i="33"/>
  <c r="D136" i="33"/>
  <c r="G31" i="37"/>
  <c r="G73" i="37"/>
  <c r="G74" i="37"/>
  <c r="G78" i="37"/>
  <c r="G43" i="37"/>
  <c r="G8" i="49"/>
  <c r="G34" i="9"/>
  <c r="G182" i="9"/>
  <c r="G8" i="33"/>
  <c r="G46" i="9"/>
  <c r="G157" i="9"/>
  <c r="G11" i="49"/>
  <c r="G11" i="33"/>
  <c r="G49" i="9"/>
  <c r="G197" i="9"/>
  <c r="G160" i="9"/>
  <c r="G14" i="49"/>
  <c r="G176" i="49"/>
  <c r="G263" i="49"/>
  <c r="G14" i="33"/>
  <c r="G52" i="9"/>
  <c r="G200" i="9"/>
  <c r="G163" i="9"/>
  <c r="G16" i="49"/>
  <c r="G16" i="33"/>
  <c r="G54" i="9"/>
  <c r="G202" i="9"/>
  <c r="G165" i="9"/>
  <c r="G18" i="49"/>
  <c r="G180" i="49"/>
  <c r="G267" i="49"/>
  <c r="G18" i="33"/>
  <c r="G56" i="9"/>
  <c r="G204" i="9"/>
  <c r="G167" i="9"/>
  <c r="G21" i="49"/>
  <c r="G21" i="33"/>
  <c r="G170" i="9"/>
  <c r="G59" i="9"/>
  <c r="G207" i="9"/>
  <c r="G23" i="49"/>
  <c r="G185" i="49"/>
  <c r="G272" i="49"/>
  <c r="G23" i="33"/>
  <c r="G172" i="9"/>
  <c r="G61" i="9"/>
  <c r="G209" i="9"/>
  <c r="G25" i="49"/>
  <c r="G25" i="33"/>
  <c r="G63" i="9"/>
  <c r="G211" i="9"/>
  <c r="G174" i="9"/>
  <c r="G28" i="49"/>
  <c r="G67" i="49"/>
  <c r="G228" i="49"/>
  <c r="G314" i="49"/>
  <c r="G28" i="33"/>
  <c r="G176" i="9"/>
  <c r="F64" i="49"/>
  <c r="F64" i="33"/>
  <c r="F74" i="9"/>
  <c r="F212" i="9"/>
  <c r="F43" i="37"/>
  <c r="F31" i="37"/>
  <c r="F73" i="37"/>
  <c r="F74" i="37"/>
  <c r="F78" i="37"/>
  <c r="G77" i="49"/>
  <c r="G238" i="49"/>
  <c r="G324" i="49"/>
  <c r="G76" i="33"/>
  <c r="G225" i="33"/>
  <c r="G299" i="33"/>
  <c r="G224" i="9"/>
  <c r="D46" i="33"/>
  <c r="D34" i="33"/>
  <c r="D157" i="33"/>
  <c r="D232" i="33"/>
  <c r="D34" i="49"/>
  <c r="D195" i="49"/>
  <c r="D46" i="49"/>
  <c r="D170" i="49"/>
  <c r="D257" i="49"/>
  <c r="D54" i="33"/>
  <c r="D202" i="33"/>
  <c r="D277" i="33"/>
  <c r="D165" i="33"/>
  <c r="D240" i="33"/>
  <c r="D54" i="49"/>
  <c r="D215" i="49"/>
  <c r="D178" i="49"/>
  <c r="D265" i="49"/>
  <c r="D56" i="33"/>
  <c r="D204" i="33"/>
  <c r="D279" i="33"/>
  <c r="D167" i="33"/>
  <c r="D242" i="33"/>
  <c r="D56" i="49"/>
  <c r="D217" i="49"/>
  <c r="D304" i="49"/>
  <c r="D180" i="49"/>
  <c r="D267" i="49"/>
  <c r="D60" i="49"/>
  <c r="D221" i="49"/>
  <c r="D308" i="49"/>
  <c r="D184" i="49"/>
  <c r="D271" i="49"/>
  <c r="E60" i="49"/>
  <c r="E221" i="49"/>
  <c r="E308" i="49"/>
  <c r="E184" i="49"/>
  <c r="E271" i="49"/>
  <c r="E46" i="33"/>
  <c r="E34" i="33"/>
  <c r="E157" i="33"/>
  <c r="E232" i="33"/>
  <c r="E34" i="49"/>
  <c r="E195" i="49"/>
  <c r="E46" i="49"/>
  <c r="E170" i="49"/>
  <c r="E257" i="49"/>
  <c r="E56" i="33"/>
  <c r="E204" i="33"/>
  <c r="E279" i="33"/>
  <c r="E167" i="33"/>
  <c r="E242" i="33"/>
  <c r="E56" i="49"/>
  <c r="E217" i="49"/>
  <c r="E304" i="49"/>
  <c r="E180" i="49"/>
  <c r="E267" i="49"/>
  <c r="E54" i="33"/>
  <c r="E202" i="33"/>
  <c r="E165" i="33"/>
  <c r="E240" i="33"/>
  <c r="E54" i="49"/>
  <c r="E178" i="49"/>
  <c r="E265" i="49"/>
  <c r="E48" i="33"/>
  <c r="E159" i="33"/>
  <c r="E234" i="33"/>
  <c r="E48" i="49"/>
  <c r="E209" i="49"/>
  <c r="E296" i="49"/>
  <c r="E172" i="49"/>
  <c r="E259" i="49"/>
  <c r="E49" i="33"/>
  <c r="E197" i="33"/>
  <c r="E272" i="33"/>
  <c r="E160" i="33"/>
  <c r="E235" i="33"/>
  <c r="E49" i="49"/>
  <c r="E210" i="49"/>
  <c r="E173" i="49"/>
  <c r="E260" i="49"/>
  <c r="E62" i="49"/>
  <c r="E223" i="49"/>
  <c r="E310" i="49"/>
  <c r="E186" i="49"/>
  <c r="E273" i="49"/>
  <c r="E43" i="49"/>
  <c r="E204" i="49"/>
  <c r="E198" i="49"/>
  <c r="E285" i="49"/>
  <c r="E75" i="49"/>
  <c r="E236" i="49"/>
  <c r="E322" i="49"/>
  <c r="E225" i="49"/>
  <c r="E312" i="49"/>
  <c r="D53" i="33"/>
  <c r="D201" i="33"/>
  <c r="D276" i="33"/>
  <c r="D164" i="33"/>
  <c r="D239" i="33"/>
  <c r="D53" i="49"/>
  <c r="D214" i="49"/>
  <c r="D301" i="49"/>
  <c r="D177" i="49"/>
  <c r="D264" i="49"/>
  <c r="D49" i="33"/>
  <c r="D197" i="33"/>
  <c r="D272" i="33"/>
  <c r="D160" i="33"/>
  <c r="D235" i="33"/>
  <c r="D49" i="49"/>
  <c r="D210" i="49"/>
  <c r="D173" i="49"/>
  <c r="D260" i="49"/>
  <c r="D62" i="49"/>
  <c r="D186" i="49"/>
  <c r="D273" i="49"/>
  <c r="E156" i="49"/>
  <c r="E143" i="33"/>
  <c r="E218" i="33"/>
  <c r="E292" i="33"/>
  <c r="D155" i="49"/>
  <c r="D142" i="33"/>
  <c r="I134" i="15"/>
  <c r="I28" i="49"/>
  <c r="I34" i="49"/>
  <c r="I203" i="17"/>
  <c r="E278" i="49"/>
  <c r="D279" i="49"/>
  <c r="E225" i="33"/>
  <c r="E299" i="33"/>
  <c r="E178" i="33"/>
  <c r="E253" i="33"/>
  <c r="D56" i="37"/>
  <c r="D58" i="37"/>
  <c r="D58" i="38"/>
  <c r="D40" i="38"/>
  <c r="D299" i="33"/>
  <c r="D253" i="33"/>
  <c r="G54" i="37"/>
  <c r="G56" i="37"/>
  <c r="G58" i="37"/>
  <c r="F55" i="37"/>
  <c r="F57" i="37"/>
  <c r="D238" i="49"/>
  <c r="D324" i="49"/>
  <c r="D177" i="33"/>
  <c r="D252" i="33"/>
  <c r="D190" i="49"/>
  <c r="D277" i="49"/>
  <c r="E189" i="49"/>
  <c r="E276" i="49"/>
  <c r="E186" i="33"/>
  <c r="E261" i="33"/>
  <c r="E199" i="49"/>
  <c r="E286" i="49"/>
  <c r="E200" i="49"/>
  <c r="E287" i="49"/>
  <c r="E188" i="33"/>
  <c r="E263" i="33"/>
  <c r="E201" i="49"/>
  <c r="E288" i="49"/>
  <c r="E202" i="49"/>
  <c r="E289" i="49"/>
  <c r="D230" i="49"/>
  <c r="D316" i="49"/>
  <c r="D191" i="49"/>
  <c r="D278" i="49"/>
  <c r="D188" i="33"/>
  <c r="D263" i="33"/>
  <c r="D201" i="49"/>
  <c r="D288" i="49"/>
  <c r="D186" i="33"/>
  <c r="D261" i="33"/>
  <c r="D199" i="49"/>
  <c r="D286" i="49"/>
  <c r="D314" i="49"/>
  <c r="D215" i="33"/>
  <c r="D289" i="33"/>
  <c r="Q125" i="33"/>
  <c r="S134" i="33"/>
  <c r="S122" i="33"/>
  <c r="R135" i="33"/>
  <c r="N280" i="33"/>
  <c r="S243" i="33"/>
  <c r="S131" i="33"/>
  <c r="M280" i="33"/>
  <c r="D209" i="49"/>
  <c r="E213" i="49"/>
  <c r="E224" i="49"/>
  <c r="E220" i="49"/>
  <c r="E222" i="49"/>
  <c r="D216" i="49"/>
  <c r="D212" i="49"/>
  <c r="D156" i="49"/>
  <c r="D143" i="33"/>
  <c r="E207" i="49"/>
  <c r="E294" i="49"/>
  <c r="E194" i="33"/>
  <c r="D207" i="49"/>
  <c r="D194" i="33"/>
  <c r="F212" i="33"/>
  <c r="F287" i="33"/>
  <c r="F74" i="33"/>
  <c r="F223" i="33"/>
  <c r="F297" i="33"/>
  <c r="G189" i="49"/>
  <c r="G276" i="49"/>
  <c r="G187" i="49"/>
  <c r="G274" i="49"/>
  <c r="G61" i="49"/>
  <c r="G222" i="49"/>
  <c r="G309" i="49"/>
  <c r="G59" i="49"/>
  <c r="G220" i="49"/>
  <c r="G183" i="49"/>
  <c r="G270" i="49"/>
  <c r="G56" i="49"/>
  <c r="G217" i="49"/>
  <c r="G304" i="49"/>
  <c r="G54" i="49"/>
  <c r="G215" i="49"/>
  <c r="G178" i="49"/>
  <c r="G265" i="49"/>
  <c r="G52" i="49"/>
  <c r="G213" i="49"/>
  <c r="G300" i="49"/>
  <c r="G49" i="49"/>
  <c r="G210" i="49"/>
  <c r="G173" i="49"/>
  <c r="G260" i="49"/>
  <c r="G194" i="9"/>
  <c r="N53" i="32"/>
  <c r="Q40" i="32"/>
  <c r="F185" i="49"/>
  <c r="F272" i="49"/>
  <c r="F59" i="49"/>
  <c r="F220" i="49"/>
  <c r="F307" i="49"/>
  <c r="F183" i="49"/>
  <c r="F270" i="49"/>
  <c r="F179" i="49"/>
  <c r="F266" i="49"/>
  <c r="F53" i="49"/>
  <c r="F214" i="49"/>
  <c r="F301" i="49"/>
  <c r="F177" i="49"/>
  <c r="F264" i="49"/>
  <c r="F175" i="49"/>
  <c r="F262" i="49"/>
  <c r="F48" i="49"/>
  <c r="F209" i="49"/>
  <c r="F296" i="49"/>
  <c r="F172" i="49"/>
  <c r="F259" i="49"/>
  <c r="F198" i="49"/>
  <c r="F285" i="49"/>
  <c r="F57" i="33"/>
  <c r="F205" i="33"/>
  <c r="F168" i="33"/>
  <c r="F243" i="33"/>
  <c r="G185" i="33"/>
  <c r="G260" i="33"/>
  <c r="F159" i="49"/>
  <c r="I217" i="49"/>
  <c r="I304" i="49"/>
  <c r="I213" i="49"/>
  <c r="I300" i="49"/>
  <c r="I212" i="49"/>
  <c r="I299" i="49"/>
  <c r="J22" i="9"/>
  <c r="I20" i="38"/>
  <c r="J20" i="37"/>
  <c r="I165" i="21"/>
  <c r="F202" i="21"/>
  <c r="I58" i="21"/>
  <c r="I37" i="21"/>
  <c r="J39" i="9"/>
  <c r="F181" i="21"/>
  <c r="F197" i="21"/>
  <c r="I53" i="21"/>
  <c r="I220" i="49"/>
  <c r="I307" i="49"/>
  <c r="J10" i="9"/>
  <c r="I9" i="38"/>
  <c r="I44" i="38"/>
  <c r="J9" i="37"/>
  <c r="J44" i="37"/>
  <c r="I154" i="21"/>
  <c r="I66" i="33"/>
  <c r="F67" i="49"/>
  <c r="F228" i="49"/>
  <c r="F314" i="49"/>
  <c r="F189" i="49"/>
  <c r="F276" i="49"/>
  <c r="F62" i="49"/>
  <c r="F223" i="49"/>
  <c r="F310" i="49"/>
  <c r="F186" i="49"/>
  <c r="F273" i="49"/>
  <c r="F184" i="49"/>
  <c r="F271" i="49"/>
  <c r="F56" i="49"/>
  <c r="F217" i="49"/>
  <c r="F304" i="49"/>
  <c r="F180" i="49"/>
  <c r="F267" i="49"/>
  <c r="F54" i="49"/>
  <c r="F215" i="49"/>
  <c r="F302" i="49"/>
  <c r="F178" i="49"/>
  <c r="F265" i="49"/>
  <c r="F52" i="49"/>
  <c r="F213" i="49"/>
  <c r="F300" i="49"/>
  <c r="F176" i="49"/>
  <c r="F263" i="49"/>
  <c r="F49" i="49"/>
  <c r="F210" i="49"/>
  <c r="F297" i="49"/>
  <c r="F173" i="49"/>
  <c r="F260" i="49"/>
  <c r="F46" i="33"/>
  <c r="F157" i="33"/>
  <c r="F232" i="33"/>
  <c r="G212" i="33"/>
  <c r="G287" i="33"/>
  <c r="G74" i="33"/>
  <c r="G223" i="33"/>
  <c r="G297" i="33"/>
  <c r="G57" i="33"/>
  <c r="G205" i="33"/>
  <c r="G280" i="33"/>
  <c r="G168" i="33"/>
  <c r="G243" i="33"/>
  <c r="G55" i="33"/>
  <c r="G203" i="33"/>
  <c r="G278" i="33"/>
  <c r="G166" i="33"/>
  <c r="G241" i="33"/>
  <c r="G51" i="33"/>
  <c r="G199" i="33"/>
  <c r="G274" i="33"/>
  <c r="G162" i="33"/>
  <c r="G237" i="33"/>
  <c r="G48" i="33"/>
  <c r="G159" i="33"/>
  <c r="G234" i="33"/>
  <c r="M97" i="32"/>
  <c r="M42" i="32"/>
  <c r="N96" i="32"/>
  <c r="P96" i="32"/>
  <c r="P42" i="32"/>
  <c r="N42" i="32"/>
  <c r="Q42" i="32"/>
  <c r="G62" i="49"/>
  <c r="G223" i="49"/>
  <c r="G310" i="49"/>
  <c r="G186" i="49"/>
  <c r="G273" i="49"/>
  <c r="G184" i="49"/>
  <c r="G271" i="49"/>
  <c r="D269" i="33"/>
  <c r="D194" i="9"/>
  <c r="I210" i="33"/>
  <c r="I285" i="33"/>
  <c r="J27" i="9"/>
  <c r="I25" i="38"/>
  <c r="J25" i="37"/>
  <c r="I170" i="21"/>
  <c r="F196" i="21"/>
  <c r="I52" i="21"/>
  <c r="J18" i="9"/>
  <c r="I17" i="38"/>
  <c r="I52" i="38"/>
  <c r="J17" i="37"/>
  <c r="J52" i="37"/>
  <c r="I162" i="21"/>
  <c r="F200" i="21"/>
  <c r="I56" i="21"/>
  <c r="I35" i="21"/>
  <c r="F41" i="21"/>
  <c r="F185" i="21"/>
  <c r="F179" i="21"/>
  <c r="G135" i="49"/>
  <c r="I216" i="49"/>
  <c r="I303" i="49"/>
  <c r="I210" i="49"/>
  <c r="I297" i="49"/>
  <c r="F189" i="21"/>
  <c r="I45" i="21"/>
  <c r="J9" i="9"/>
  <c r="J9" i="33"/>
  <c r="I153" i="21"/>
  <c r="F188" i="21"/>
  <c r="I44" i="21"/>
  <c r="J8" i="9"/>
  <c r="J46" i="9"/>
  <c r="J194" i="9"/>
  <c r="I8" i="38"/>
  <c r="J8" i="37"/>
  <c r="J43" i="37"/>
  <c r="I152" i="21"/>
  <c r="I32" i="21"/>
  <c r="I176" i="21"/>
  <c r="Q123" i="33"/>
  <c r="L280" i="33"/>
  <c r="U85" i="33"/>
  <c r="V85" i="33"/>
  <c r="W85" i="33"/>
  <c r="X85" i="33"/>
  <c r="T115" i="49"/>
  <c r="U115" i="49"/>
  <c r="P153" i="49"/>
  <c r="M127" i="49"/>
  <c r="M130" i="49"/>
  <c r="M114" i="33"/>
  <c r="M117" i="9"/>
  <c r="L127" i="49"/>
  <c r="L114" i="33"/>
  <c r="L136" i="9"/>
  <c r="L210" i="9"/>
  <c r="L188" i="9"/>
  <c r="L117" i="9"/>
  <c r="U115" i="33"/>
  <c r="V115" i="33"/>
  <c r="Q130" i="33"/>
  <c r="Q126" i="33"/>
  <c r="W97" i="33"/>
  <c r="X97" i="33"/>
  <c r="D191" i="33"/>
  <c r="D266" i="33"/>
  <c r="D282" i="49"/>
  <c r="E291" i="49"/>
  <c r="E223" i="33"/>
  <c r="E297" i="33"/>
  <c r="D231" i="49"/>
  <c r="D317" i="49"/>
  <c r="D224" i="49"/>
  <c r="D222" i="49"/>
  <c r="D309" i="49"/>
  <c r="D196" i="33"/>
  <c r="D271" i="33"/>
  <c r="D213" i="49"/>
  <c r="E214" i="49"/>
  <c r="E301" i="49"/>
  <c r="E200" i="33"/>
  <c r="E275" i="33"/>
  <c r="E212" i="49"/>
  <c r="E299" i="49"/>
  <c r="E216" i="49"/>
  <c r="E303" i="49"/>
  <c r="E211" i="33"/>
  <c r="E286" i="33"/>
  <c r="E207" i="33"/>
  <c r="E209" i="33"/>
  <c r="D220" i="49"/>
  <c r="D203" i="33"/>
  <c r="D278" i="33"/>
  <c r="D199" i="33"/>
  <c r="D274" i="33"/>
  <c r="H223" i="33"/>
  <c r="H297" i="33"/>
  <c r="I34" i="33"/>
  <c r="I72" i="9"/>
  <c r="I67" i="49"/>
  <c r="F75" i="49"/>
  <c r="F236" i="49"/>
  <c r="F322" i="49"/>
  <c r="F225" i="49"/>
  <c r="F312" i="49"/>
  <c r="G66" i="33"/>
  <c r="G215" i="33"/>
  <c r="G289" i="33"/>
  <c r="G176" i="33"/>
  <c r="G251" i="33"/>
  <c r="G63" i="33"/>
  <c r="G211" i="33"/>
  <c r="G286" i="33"/>
  <c r="G174" i="33"/>
  <c r="G249" i="33"/>
  <c r="G61" i="33"/>
  <c r="G209" i="33"/>
  <c r="G284" i="33"/>
  <c r="G172" i="33"/>
  <c r="G247" i="33"/>
  <c r="G59" i="33"/>
  <c r="G207" i="33"/>
  <c r="G282" i="33"/>
  <c r="G170" i="33"/>
  <c r="G245" i="33"/>
  <c r="G56" i="33"/>
  <c r="G204" i="33"/>
  <c r="G279" i="33"/>
  <c r="G167" i="33"/>
  <c r="G242" i="33"/>
  <c r="G54" i="33"/>
  <c r="G202" i="33"/>
  <c r="G277" i="33"/>
  <c r="G165" i="33"/>
  <c r="G240" i="33"/>
  <c r="G52" i="33"/>
  <c r="G200" i="33"/>
  <c r="G275" i="33"/>
  <c r="G163" i="33"/>
  <c r="G238" i="33"/>
  <c r="G49" i="33"/>
  <c r="G197" i="33"/>
  <c r="G272" i="33"/>
  <c r="G160" i="33"/>
  <c r="G235" i="33"/>
  <c r="G46" i="33"/>
  <c r="G157" i="33"/>
  <c r="G232" i="33"/>
  <c r="G46" i="49"/>
  <c r="G170" i="49"/>
  <c r="G257" i="49"/>
  <c r="E269" i="33"/>
  <c r="F61" i="33"/>
  <c r="F172" i="33"/>
  <c r="F247" i="33"/>
  <c r="F59" i="33"/>
  <c r="F207" i="33"/>
  <c r="F282" i="33"/>
  <c r="F170" i="33"/>
  <c r="F245" i="33"/>
  <c r="F55" i="33"/>
  <c r="F203" i="33"/>
  <c r="F278" i="33"/>
  <c r="F166" i="33"/>
  <c r="F241" i="33"/>
  <c r="F53" i="33"/>
  <c r="F201" i="33"/>
  <c r="F276" i="33"/>
  <c r="F164" i="33"/>
  <c r="F239" i="33"/>
  <c r="F51" i="33"/>
  <c r="F199" i="33"/>
  <c r="F274" i="33"/>
  <c r="F162" i="33"/>
  <c r="F237" i="33"/>
  <c r="F48" i="33"/>
  <c r="F196" i="33"/>
  <c r="F271" i="33"/>
  <c r="F159" i="33"/>
  <c r="F234" i="33"/>
  <c r="F43" i="33"/>
  <c r="F191" i="33"/>
  <c r="F266" i="33"/>
  <c r="F185" i="33"/>
  <c r="F260" i="33"/>
  <c r="F57" i="49"/>
  <c r="F218" i="49"/>
  <c r="F305" i="49"/>
  <c r="F181" i="49"/>
  <c r="F268" i="49"/>
  <c r="G198" i="49"/>
  <c r="G285" i="49"/>
  <c r="D294" i="49"/>
  <c r="F25" i="49"/>
  <c r="F25" i="33"/>
  <c r="F174" i="33"/>
  <c r="F249" i="33"/>
  <c r="F63" i="9"/>
  <c r="F174" i="9"/>
  <c r="I215" i="49"/>
  <c r="I302" i="49"/>
  <c r="I209" i="49"/>
  <c r="I296" i="49"/>
  <c r="I224" i="49"/>
  <c r="I311" i="49"/>
  <c r="I36" i="21"/>
  <c r="I41" i="21"/>
  <c r="I185" i="21"/>
  <c r="F180" i="21"/>
  <c r="J23" i="9"/>
  <c r="J23" i="49"/>
  <c r="I21" i="38"/>
  <c r="J21" i="37"/>
  <c r="I166" i="21"/>
  <c r="J17" i="9"/>
  <c r="J17" i="49"/>
  <c r="I16" i="38"/>
  <c r="I51" i="38"/>
  <c r="J16" i="37"/>
  <c r="J51" i="37"/>
  <c r="I161" i="21"/>
  <c r="I205" i="33"/>
  <c r="I203" i="33"/>
  <c r="I278" i="33"/>
  <c r="I201" i="33"/>
  <c r="I276" i="33"/>
  <c r="I197" i="33"/>
  <c r="I272" i="33"/>
  <c r="F190" i="21"/>
  <c r="I46" i="21"/>
  <c r="I190" i="21"/>
  <c r="F66" i="33"/>
  <c r="F215" i="33"/>
  <c r="F289" i="33"/>
  <c r="F176" i="33"/>
  <c r="F251" i="33"/>
  <c r="F62" i="33"/>
  <c r="F210" i="33"/>
  <c r="F285" i="33"/>
  <c r="F173" i="33"/>
  <c r="F248" i="33"/>
  <c r="F60" i="33"/>
  <c r="F208" i="33"/>
  <c r="F283" i="33"/>
  <c r="F171" i="33"/>
  <c r="F246" i="33"/>
  <c r="F56" i="33"/>
  <c r="F204" i="33"/>
  <c r="F279" i="33"/>
  <c r="F167" i="33"/>
  <c r="F242" i="33"/>
  <c r="F54" i="33"/>
  <c r="F202" i="33"/>
  <c r="F277" i="33"/>
  <c r="F165" i="33"/>
  <c r="F240" i="33"/>
  <c r="F52" i="33"/>
  <c r="F200" i="33"/>
  <c r="F275" i="33"/>
  <c r="F163" i="33"/>
  <c r="F238" i="33"/>
  <c r="F49" i="33"/>
  <c r="F197" i="33"/>
  <c r="F272" i="33"/>
  <c r="F160" i="33"/>
  <c r="F235" i="33"/>
  <c r="G57" i="49"/>
  <c r="G218" i="49"/>
  <c r="G305" i="49"/>
  <c r="G181" i="49"/>
  <c r="G268" i="49"/>
  <c r="G53" i="49"/>
  <c r="G214" i="49"/>
  <c r="G301" i="49"/>
  <c r="G177" i="49"/>
  <c r="G264" i="49"/>
  <c r="G48" i="49"/>
  <c r="G209" i="49"/>
  <c r="G296" i="49"/>
  <c r="G172" i="49"/>
  <c r="G259" i="49"/>
  <c r="E159" i="49"/>
  <c r="E160" i="49"/>
  <c r="G173" i="33"/>
  <c r="G248" i="33"/>
  <c r="G60" i="33"/>
  <c r="G208" i="33"/>
  <c r="G283" i="33"/>
  <c r="G171" i="33"/>
  <c r="G246" i="33"/>
  <c r="I204" i="33"/>
  <c r="I279" i="33"/>
  <c r="I200" i="33"/>
  <c r="I275" i="33"/>
  <c r="I199" i="33"/>
  <c r="I274" i="33"/>
  <c r="H207" i="21"/>
  <c r="I63" i="21"/>
  <c r="I61" i="38"/>
  <c r="J16" i="9"/>
  <c r="J16" i="33"/>
  <c r="I15" i="38"/>
  <c r="I50" i="38"/>
  <c r="J15" i="37"/>
  <c r="J50" i="37"/>
  <c r="I160" i="21"/>
  <c r="F198" i="21"/>
  <c r="I54" i="21"/>
  <c r="J21" i="9"/>
  <c r="J21" i="49"/>
  <c r="I19" i="38"/>
  <c r="I54" i="38"/>
  <c r="J19" i="37"/>
  <c r="I164" i="21"/>
  <c r="G122" i="33"/>
  <c r="G196" i="33"/>
  <c r="G271" i="33"/>
  <c r="H69" i="21"/>
  <c r="H188" i="21"/>
  <c r="W94" i="33"/>
  <c r="X94" i="33"/>
  <c r="W115" i="33"/>
  <c r="X115" i="33"/>
  <c r="R115" i="49"/>
  <c r="S115" i="49"/>
  <c r="S128" i="33"/>
  <c r="E231" i="49"/>
  <c r="E317" i="49"/>
  <c r="E182" i="33"/>
  <c r="E257" i="33"/>
  <c r="E284" i="33"/>
  <c r="E282" i="33"/>
  <c r="D205" i="33"/>
  <c r="D280" i="33"/>
  <c r="D311" i="49"/>
  <c r="D307" i="49"/>
  <c r="D302" i="49"/>
  <c r="D300" i="49"/>
  <c r="D297" i="49"/>
  <c r="D217" i="33"/>
  <c r="D291" i="33"/>
  <c r="D210" i="33"/>
  <c r="D285" i="33"/>
  <c r="D208" i="33"/>
  <c r="D283" i="33"/>
  <c r="E218" i="49"/>
  <c r="E305" i="49"/>
  <c r="E205" i="33"/>
  <c r="E280" i="33"/>
  <c r="D303" i="49"/>
  <c r="D299" i="49"/>
  <c r="D296" i="49"/>
  <c r="E311" i="49"/>
  <c r="E309" i="49"/>
  <c r="E307" i="49"/>
  <c r="E300" i="49"/>
  <c r="E297" i="49"/>
  <c r="Q41" i="32"/>
  <c r="D218" i="33"/>
  <c r="S280" i="33"/>
  <c r="J21" i="33"/>
  <c r="J170" i="33"/>
  <c r="J245" i="33"/>
  <c r="J16" i="49"/>
  <c r="J54" i="9"/>
  <c r="J202" i="9"/>
  <c r="J165" i="9"/>
  <c r="F63" i="33"/>
  <c r="F211" i="33"/>
  <c r="F286" i="33"/>
  <c r="S114" i="33"/>
  <c r="M117" i="33"/>
  <c r="S117" i="33"/>
  <c r="J31" i="37"/>
  <c r="J73" i="37"/>
  <c r="J8" i="49"/>
  <c r="O8" i="49"/>
  <c r="J8" i="33"/>
  <c r="J46" i="33"/>
  <c r="J157" i="9"/>
  <c r="F194" i="33"/>
  <c r="F269" i="33"/>
  <c r="J10" i="49"/>
  <c r="J48" i="49"/>
  <c r="O48" i="49"/>
  <c r="J10" i="33"/>
  <c r="J48" i="9"/>
  <c r="J196" i="9"/>
  <c r="J159" i="9"/>
  <c r="H70" i="21"/>
  <c r="H214" i="21"/>
  <c r="J66" i="9"/>
  <c r="J61" i="37"/>
  <c r="J17" i="33"/>
  <c r="J55" i="33"/>
  <c r="J55" i="9"/>
  <c r="J203" i="9"/>
  <c r="J166" i="9"/>
  <c r="J23" i="33"/>
  <c r="J172" i="33"/>
  <c r="J247" i="33"/>
  <c r="J38" i="9"/>
  <c r="J232" i="9"/>
  <c r="I35" i="38"/>
  <c r="I55" i="38"/>
  <c r="J35" i="37"/>
  <c r="J55" i="37"/>
  <c r="I180" i="21"/>
  <c r="F63" i="49"/>
  <c r="F224" i="49"/>
  <c r="F311" i="49"/>
  <c r="F187" i="49"/>
  <c r="F274" i="49"/>
  <c r="G207" i="49"/>
  <c r="G294" i="49"/>
  <c r="G194" i="33"/>
  <c r="G269" i="33"/>
  <c r="I73" i="9"/>
  <c r="I220" i="9"/>
  <c r="R114" i="33"/>
  <c r="W114" i="33"/>
  <c r="X114" i="33"/>
  <c r="L117" i="33"/>
  <c r="R117" i="33"/>
  <c r="L188" i="33"/>
  <c r="L263" i="33"/>
  <c r="L136" i="33"/>
  <c r="I43" i="38"/>
  <c r="I31" i="38"/>
  <c r="I73" i="38"/>
  <c r="J9" i="49"/>
  <c r="J47" i="49"/>
  <c r="O47" i="49"/>
  <c r="R47" i="49"/>
  <c r="S47" i="49"/>
  <c r="J37" i="9"/>
  <c r="J231" i="9"/>
  <c r="I34" i="38"/>
  <c r="I40" i="38"/>
  <c r="J34" i="37"/>
  <c r="I179" i="21"/>
  <c r="J18" i="49"/>
  <c r="J180" i="49"/>
  <c r="J267" i="49"/>
  <c r="J18" i="33"/>
  <c r="J167" i="33"/>
  <c r="J242" i="33"/>
  <c r="J56" i="9"/>
  <c r="J204" i="9"/>
  <c r="J167" i="9"/>
  <c r="J176" i="9"/>
  <c r="N97" i="32"/>
  <c r="N43" i="32"/>
  <c r="Q43" i="32"/>
  <c r="M43" i="32"/>
  <c r="M98" i="32"/>
  <c r="P97" i="32"/>
  <c r="P43" i="32"/>
  <c r="I36" i="38"/>
  <c r="I56" i="38"/>
  <c r="J36" i="37"/>
  <c r="J22" i="49"/>
  <c r="J184" i="49"/>
  <c r="J22" i="33"/>
  <c r="D22" i="45"/>
  <c r="J171" i="9"/>
  <c r="F160" i="49"/>
  <c r="J56" i="37"/>
  <c r="G159" i="49"/>
  <c r="D292" i="33"/>
  <c r="G160" i="49"/>
  <c r="N98" i="32"/>
  <c r="P98" i="32"/>
  <c r="J185" i="9"/>
  <c r="O9" i="49"/>
  <c r="R9" i="49"/>
  <c r="S9" i="49"/>
  <c r="D23" i="45"/>
  <c r="O10" i="49"/>
  <c r="Q8" i="33"/>
  <c r="J46" i="49"/>
  <c r="J54" i="49"/>
  <c r="O54" i="49"/>
  <c r="O16" i="49"/>
  <c r="Q22" i="33"/>
  <c r="J56" i="49"/>
  <c r="O56" i="49"/>
  <c r="J38" i="33"/>
  <c r="D38" i="45"/>
  <c r="J186" i="9"/>
  <c r="J48" i="33"/>
  <c r="J159" i="33"/>
  <c r="J234" i="33"/>
  <c r="D10" i="45"/>
  <c r="Q10" i="33"/>
  <c r="D21" i="45"/>
  <c r="J54" i="37"/>
  <c r="Q159" i="33"/>
  <c r="Q234" i="33"/>
  <c r="Q38" i="33"/>
  <c r="N140" i="9"/>
  <c r="N146" i="9"/>
  <c r="N147" i="9"/>
  <c r="N141" i="9"/>
  <c r="J203" i="40"/>
  <c r="N142" i="9"/>
  <c r="N216" i="9"/>
  <c r="N143" i="9"/>
  <c r="N144" i="9"/>
  <c r="N218" i="9"/>
  <c r="J205" i="40"/>
  <c r="I207" i="40"/>
  <c r="D194" i="47"/>
  <c r="G194" i="47"/>
  <c r="M140" i="9"/>
  <c r="M141" i="9"/>
  <c r="J203" i="39"/>
  <c r="M142" i="9"/>
  <c r="M216" i="9"/>
  <c r="M143" i="9"/>
  <c r="J204" i="39"/>
  <c r="M144" i="9"/>
  <c r="M218" i="9"/>
  <c r="J205" i="39"/>
  <c r="I207" i="39"/>
  <c r="J198" i="39"/>
  <c r="D193" i="47"/>
  <c r="F193" i="47"/>
  <c r="L225" i="49"/>
  <c r="L312" i="49"/>
  <c r="L149" i="49"/>
  <c r="L148" i="49"/>
  <c r="L147" i="49"/>
  <c r="L144" i="49"/>
  <c r="L268" i="49"/>
  <c r="L181" i="49"/>
  <c r="L143" i="49"/>
  <c r="L141" i="49"/>
  <c r="L138" i="49"/>
  <c r="L135" i="49"/>
  <c r="L133" i="49"/>
  <c r="L121" i="49"/>
  <c r="L324" i="49"/>
  <c r="L140" i="9"/>
  <c r="L141" i="9"/>
  <c r="L146" i="9"/>
  <c r="L147" i="9"/>
  <c r="L142" i="9"/>
  <c r="L143" i="9"/>
  <c r="L144" i="9"/>
  <c r="L218" i="9"/>
  <c r="J205" i="31"/>
  <c r="L187" i="49"/>
  <c r="L274" i="49"/>
  <c r="L142" i="49"/>
  <c r="L140" i="49"/>
  <c r="L139" i="49"/>
  <c r="L136" i="49"/>
  <c r="P99" i="49"/>
  <c r="D192" i="47"/>
  <c r="G192" i="47"/>
  <c r="J198" i="31"/>
  <c r="K140" i="9"/>
  <c r="K141" i="9"/>
  <c r="K142" i="9"/>
  <c r="K143" i="9"/>
  <c r="K144" i="9"/>
  <c r="D191" i="47"/>
  <c r="G191" i="47"/>
  <c r="E176" i="30"/>
  <c r="J324" i="49"/>
  <c r="O163" i="49"/>
  <c r="D213" i="21"/>
  <c r="D214" i="21"/>
  <c r="H213" i="21"/>
  <c r="J141" i="9"/>
  <c r="J215" i="9"/>
  <c r="I208" i="21"/>
  <c r="J143" i="9"/>
  <c r="I210" i="21"/>
  <c r="J130" i="49"/>
  <c r="J147" i="49"/>
  <c r="O125" i="49"/>
  <c r="E214" i="21"/>
  <c r="E213" i="21"/>
  <c r="G213" i="21"/>
  <c r="J140" i="9"/>
  <c r="J214" i="9"/>
  <c r="J144" i="9"/>
  <c r="J218" i="9"/>
  <c r="I211" i="21"/>
  <c r="I198" i="21"/>
  <c r="I189" i="21"/>
  <c r="I191" i="21"/>
  <c r="I203" i="21"/>
  <c r="I204" i="21"/>
  <c r="J150" i="33"/>
  <c r="I200" i="21"/>
  <c r="I196" i="21"/>
  <c r="I197" i="21"/>
  <c r="I202" i="21"/>
  <c r="I199" i="21"/>
  <c r="J19" i="49"/>
  <c r="J57" i="49"/>
  <c r="J19" i="33"/>
  <c r="D19" i="45"/>
  <c r="J57" i="9"/>
  <c r="J205" i="9"/>
  <c r="J168" i="9"/>
  <c r="J31" i="9"/>
  <c r="I57" i="21"/>
  <c r="I201" i="21"/>
  <c r="F69" i="21"/>
  <c r="F70" i="21"/>
  <c r="F214" i="21"/>
  <c r="F201" i="21"/>
  <c r="D8" i="41"/>
  <c r="F8" i="41"/>
  <c r="F192" i="47"/>
  <c r="L305" i="49"/>
  <c r="L218" i="49"/>
  <c r="F191" i="47"/>
  <c r="K95" i="9"/>
  <c r="J163" i="30"/>
  <c r="I188" i="21"/>
  <c r="J299" i="33"/>
  <c r="O324" i="49"/>
  <c r="J57" i="33"/>
  <c r="Q19" i="33"/>
  <c r="F213" i="21"/>
  <c r="K108" i="9"/>
  <c r="Q57" i="33"/>
  <c r="G367" i="22"/>
  <c r="G349" i="22"/>
  <c r="J349" i="22"/>
  <c r="H117" i="22"/>
  <c r="H130" i="22"/>
  <c r="J116" i="22"/>
  <c r="J130" i="22"/>
  <c r="J117" i="22"/>
  <c r="J58" i="22"/>
  <c r="L158" i="22"/>
  <c r="L161" i="22"/>
  <c r="L160" i="22"/>
  <c r="L159" i="22"/>
  <c r="J143" i="22"/>
  <c r="H118" i="22"/>
  <c r="H131" i="22"/>
  <c r="H132" i="22"/>
  <c r="J132" i="22"/>
  <c r="J39" i="33"/>
  <c r="J61" i="9"/>
  <c r="J209" i="9"/>
  <c r="J39" i="49"/>
  <c r="J200" i="49"/>
  <c r="J287" i="49"/>
  <c r="J187" i="9"/>
  <c r="I181" i="21"/>
  <c r="J25" i="49"/>
  <c r="J187" i="49"/>
  <c r="J274" i="49"/>
  <c r="J25" i="33"/>
  <c r="D25" i="45"/>
  <c r="J174" i="9"/>
  <c r="J69" i="9"/>
  <c r="J217" i="9"/>
  <c r="J11" i="49"/>
  <c r="J160" i="9"/>
  <c r="J49" i="9"/>
  <c r="J197" i="9"/>
  <c r="J11" i="33"/>
  <c r="J160" i="33"/>
  <c r="J235" i="33"/>
  <c r="J224" i="9"/>
  <c r="J76" i="33"/>
  <c r="Q76" i="33"/>
  <c r="J77" i="49"/>
  <c r="J238" i="49"/>
  <c r="J177" i="9"/>
  <c r="J28" i="33"/>
  <c r="J24" i="49"/>
  <c r="J24" i="33"/>
  <c r="D24" i="45"/>
  <c r="J173" i="9"/>
  <c r="J14" i="49"/>
  <c r="J52" i="49"/>
  <c r="J14" i="33"/>
  <c r="J52" i="9"/>
  <c r="J200" i="9"/>
  <c r="J163" i="9"/>
  <c r="J13" i="33"/>
  <c r="Q13" i="33"/>
  <c r="J162" i="9"/>
  <c r="J13" i="49"/>
  <c r="J51" i="49"/>
  <c r="O51" i="49"/>
  <c r="J51" i="9"/>
  <c r="J199" i="9"/>
  <c r="J15" i="49"/>
  <c r="J15" i="33"/>
  <c r="J53" i="33"/>
  <c r="J53" i="9"/>
  <c r="J201" i="9"/>
  <c r="J164" i="9"/>
  <c r="I74" i="38"/>
  <c r="I78" i="38"/>
  <c r="I81" i="38"/>
  <c r="J212" i="9"/>
  <c r="J64" i="49"/>
  <c r="O64" i="49"/>
  <c r="J64" i="33"/>
  <c r="Q64" i="33"/>
  <c r="J41" i="49"/>
  <c r="J63" i="49"/>
  <c r="O63" i="49"/>
  <c r="J63" i="9"/>
  <c r="J211" i="9"/>
  <c r="J189" i="9"/>
  <c r="J41" i="33"/>
  <c r="J40" i="49"/>
  <c r="J188" i="9"/>
  <c r="J43" i="9"/>
  <c r="J40" i="33"/>
  <c r="D40" i="45"/>
  <c r="J62" i="9"/>
  <c r="J210" i="9"/>
  <c r="Q11" i="33"/>
  <c r="O77" i="49"/>
  <c r="D76" i="45"/>
  <c r="J186" i="49"/>
  <c r="J273" i="49"/>
  <c r="O24" i="49"/>
  <c r="J175" i="49"/>
  <c r="J262" i="49"/>
  <c r="O13" i="49"/>
  <c r="J162" i="33"/>
  <c r="J237" i="33"/>
  <c r="J51" i="33"/>
  <c r="Q51" i="33"/>
  <c r="Q199" i="33"/>
  <c r="Q274" i="33"/>
  <c r="D13" i="45"/>
  <c r="J53" i="49"/>
  <c r="J225" i="49"/>
  <c r="J312" i="49"/>
  <c r="J202" i="49"/>
  <c r="J289" i="49"/>
  <c r="O41" i="49"/>
  <c r="J62" i="49"/>
  <c r="O62" i="49"/>
  <c r="J201" i="49"/>
  <c r="J288" i="49"/>
  <c r="O40" i="49"/>
  <c r="O238" i="49"/>
  <c r="J199" i="33"/>
  <c r="J274" i="33"/>
  <c r="D51" i="45"/>
  <c r="H67" i="40"/>
  <c r="H68" i="40"/>
  <c r="H208" i="40"/>
  <c r="G204" i="40"/>
  <c r="J61" i="40"/>
  <c r="N66" i="9"/>
  <c r="N214" i="9"/>
  <c r="G67" i="40"/>
  <c r="G68" i="40"/>
  <c r="G208" i="40"/>
  <c r="J43" i="40"/>
  <c r="J183" i="40"/>
  <c r="E67" i="40"/>
  <c r="E68" i="40"/>
  <c r="E208" i="40"/>
  <c r="J57" i="40"/>
  <c r="J148" i="40"/>
  <c r="D183" i="40"/>
  <c r="H67" i="39"/>
  <c r="H68" i="39"/>
  <c r="H208" i="39"/>
  <c r="J52" i="39"/>
  <c r="J192" i="39"/>
  <c r="D196" i="39"/>
  <c r="D67" i="39"/>
  <c r="D68" i="39"/>
  <c r="D208" i="39"/>
  <c r="J157" i="39"/>
  <c r="H67" i="31"/>
  <c r="H68" i="31"/>
  <c r="H208" i="31"/>
  <c r="L160" i="33"/>
  <c r="L235" i="33"/>
  <c r="L159" i="9"/>
  <c r="L9" i="37"/>
  <c r="L48" i="9"/>
  <c r="J40" i="31"/>
  <c r="J180" i="31"/>
  <c r="L48" i="49"/>
  <c r="L209" i="49"/>
  <c r="L296" i="49"/>
  <c r="L172" i="49"/>
  <c r="L259" i="49"/>
  <c r="F67" i="31"/>
  <c r="F68" i="31"/>
  <c r="F208" i="31"/>
  <c r="L10" i="33"/>
  <c r="L48" i="33"/>
  <c r="F207" i="31"/>
  <c r="L40" i="37"/>
  <c r="K40" i="38"/>
  <c r="K56" i="38"/>
  <c r="L14" i="33"/>
  <c r="L52" i="33"/>
  <c r="J31" i="31"/>
  <c r="J171" i="31"/>
  <c r="D67" i="31"/>
  <c r="D68" i="31"/>
  <c r="D208" i="31"/>
  <c r="H69" i="30"/>
  <c r="H70" i="30"/>
  <c r="H214" i="30"/>
  <c r="J63" i="30"/>
  <c r="J61" i="38"/>
  <c r="J59" i="30"/>
  <c r="J203" i="30"/>
  <c r="J50" i="30"/>
  <c r="J194" i="30"/>
  <c r="J46" i="30"/>
  <c r="J190" i="30"/>
  <c r="K20" i="49"/>
  <c r="K58" i="49"/>
  <c r="P58" i="49"/>
  <c r="K20" i="33"/>
  <c r="R20" i="33"/>
  <c r="R169" i="33"/>
  <c r="K169" i="9"/>
  <c r="D194" i="30"/>
  <c r="J48" i="30"/>
  <c r="J192" i="30"/>
  <c r="K47" i="37"/>
  <c r="I69" i="30"/>
  <c r="D207" i="39"/>
  <c r="L196" i="9"/>
  <c r="L31" i="37"/>
  <c r="L73" i="37"/>
  <c r="L74" i="37"/>
  <c r="L78" i="37"/>
  <c r="L44" i="37"/>
  <c r="H213" i="30"/>
  <c r="P20" i="49"/>
  <c r="P219" i="49"/>
  <c r="K58" i="33"/>
  <c r="I70" i="30"/>
  <c r="I214" i="30"/>
  <c r="I213" i="30"/>
  <c r="R58" i="33"/>
  <c r="W58" i="33"/>
  <c r="X58" i="33"/>
  <c r="R20" i="49"/>
  <c r="S20" i="49"/>
  <c r="J54" i="30"/>
  <c r="J198" i="30"/>
  <c r="D69" i="30"/>
  <c r="D213" i="30"/>
  <c r="D198" i="30"/>
  <c r="M19" i="49"/>
  <c r="M19" i="33"/>
  <c r="M168" i="9"/>
  <c r="M57" i="9"/>
  <c r="M205" i="9"/>
  <c r="L76" i="33"/>
  <c r="L225" i="33"/>
  <c r="G67" i="31"/>
  <c r="G207" i="31"/>
  <c r="L15" i="33"/>
  <c r="L164" i="33"/>
  <c r="L239" i="33"/>
  <c r="J57" i="31"/>
  <c r="J197" i="31"/>
  <c r="J167" i="30"/>
  <c r="M57" i="33"/>
  <c r="E57" i="39"/>
  <c r="E67" i="39"/>
  <c r="H233" i="33"/>
  <c r="O128" i="49"/>
  <c r="J114" i="33"/>
  <c r="J99" i="33"/>
  <c r="J112" i="33"/>
  <c r="J97" i="33"/>
  <c r="O124" i="49"/>
  <c r="J94" i="33"/>
  <c r="K136" i="33"/>
  <c r="M150" i="33"/>
  <c r="M299" i="33"/>
  <c r="J83" i="33"/>
  <c r="Q25" i="33"/>
  <c r="D18" i="45"/>
  <c r="K208" i="49"/>
  <c r="K295" i="49"/>
  <c r="I221" i="9"/>
  <c r="E133" i="9"/>
  <c r="E207" i="9"/>
  <c r="L205" i="33"/>
  <c r="O151" i="49"/>
  <c r="O312" i="49"/>
  <c r="J90" i="33"/>
  <c r="L89" i="33"/>
  <c r="L163" i="33"/>
  <c r="N92" i="33"/>
  <c r="I150" i="33"/>
  <c r="Q150" i="33"/>
  <c r="J181" i="49"/>
  <c r="H201" i="49"/>
  <c r="H288" i="49"/>
  <c r="O52" i="49"/>
  <c r="H130" i="49"/>
  <c r="H150" i="49"/>
  <c r="J271" i="49"/>
  <c r="O110" i="49"/>
  <c r="J146" i="49"/>
  <c r="O109" i="49"/>
  <c r="J268" i="49"/>
  <c r="J144" i="49"/>
  <c r="O107" i="49"/>
  <c r="J142" i="49"/>
  <c r="O105" i="49"/>
  <c r="J139" i="49"/>
  <c r="O139" i="49"/>
  <c r="O102" i="49"/>
  <c r="J136" i="49"/>
  <c r="O136" i="49"/>
  <c r="O99" i="49"/>
  <c r="J135" i="49"/>
  <c r="O98" i="49"/>
  <c r="J172" i="49"/>
  <c r="J259" i="49"/>
  <c r="I186" i="49"/>
  <c r="I273" i="49"/>
  <c r="I148" i="49"/>
  <c r="I222" i="49"/>
  <c r="I309" i="49"/>
  <c r="I185" i="49"/>
  <c r="I272" i="49"/>
  <c r="N270" i="33"/>
  <c r="N195" i="33"/>
  <c r="H270" i="33"/>
  <c r="H195" i="33"/>
  <c r="J143" i="49"/>
  <c r="O106" i="49"/>
  <c r="J141" i="49"/>
  <c r="O104" i="49"/>
  <c r="J178" i="49"/>
  <c r="J265" i="49"/>
  <c r="J140" i="49"/>
  <c r="O103" i="49"/>
  <c r="J138" i="49"/>
  <c r="O101" i="49"/>
  <c r="I200" i="49"/>
  <c r="I287" i="49"/>
  <c r="I324" i="49"/>
  <c r="I238" i="49"/>
  <c r="M208" i="49"/>
  <c r="M295" i="49"/>
  <c r="O53" i="49"/>
  <c r="Q15" i="33"/>
  <c r="J225" i="33"/>
  <c r="D11" i="45"/>
  <c r="J174" i="33"/>
  <c r="J249" i="33"/>
  <c r="Q39" i="33"/>
  <c r="D57" i="45"/>
  <c r="O22" i="49"/>
  <c r="O184" i="49"/>
  <c r="O271" i="49"/>
  <c r="D204" i="9"/>
  <c r="D200" i="9"/>
  <c r="I102" i="33"/>
  <c r="I176" i="33"/>
  <c r="I112" i="33"/>
  <c r="I134" i="33"/>
  <c r="L138" i="33"/>
  <c r="L93" i="33"/>
  <c r="L130" i="33"/>
  <c r="L83" i="33"/>
  <c r="K137" i="33"/>
  <c r="K133" i="33"/>
  <c r="N102" i="33"/>
  <c r="N140" i="33"/>
  <c r="J178" i="9"/>
  <c r="E134" i="9"/>
  <c r="E208" i="9"/>
  <c r="E200" i="9"/>
  <c r="O126" i="49"/>
  <c r="N88" i="33"/>
  <c r="N108" i="33"/>
  <c r="M102" i="33"/>
  <c r="M88" i="33"/>
  <c r="S88" i="33"/>
  <c r="I83" i="33"/>
  <c r="I108" i="33"/>
  <c r="O57" i="49"/>
  <c r="J218" i="49"/>
  <c r="M168" i="33"/>
  <c r="O39" i="49"/>
  <c r="O19" i="49"/>
  <c r="O181" i="49"/>
  <c r="J150" i="49"/>
  <c r="O150" i="49"/>
  <c r="O113" i="49"/>
  <c r="J149" i="49"/>
  <c r="J310" i="49"/>
  <c r="O112" i="49"/>
  <c r="J148" i="49"/>
  <c r="O148" i="49"/>
  <c r="O111" i="49"/>
  <c r="I140" i="33"/>
  <c r="I289" i="33"/>
  <c r="I149" i="49"/>
  <c r="I223" i="49"/>
  <c r="I310" i="49"/>
  <c r="O127" i="49"/>
  <c r="L270" i="33"/>
  <c r="L195" i="33"/>
  <c r="K195" i="33"/>
  <c r="K270" i="33"/>
  <c r="R121" i="33"/>
  <c r="R195" i="33"/>
  <c r="M268" i="49"/>
  <c r="M144" i="49"/>
  <c r="M133" i="49"/>
  <c r="I133" i="49"/>
  <c r="I207" i="49"/>
  <c r="I121" i="49"/>
  <c r="I170" i="49"/>
  <c r="I257" i="49"/>
  <c r="L295" i="49"/>
  <c r="L208" i="49"/>
  <c r="P134" i="49"/>
  <c r="T134" i="49"/>
  <c r="U134" i="49"/>
  <c r="M150" i="49"/>
  <c r="H186" i="49"/>
  <c r="H273" i="49"/>
  <c r="H62" i="49"/>
  <c r="H223" i="49"/>
  <c r="H310" i="49"/>
  <c r="I130" i="49"/>
  <c r="I147" i="49"/>
  <c r="I308" i="49"/>
  <c r="M140" i="33"/>
  <c r="M270" i="33"/>
  <c r="S121" i="33"/>
  <c r="M195" i="33"/>
  <c r="Q134" i="49"/>
  <c r="N295" i="49"/>
  <c r="N208" i="49"/>
  <c r="M148" i="49"/>
  <c r="M147" i="49"/>
  <c r="M146" i="49"/>
  <c r="G158" i="33"/>
  <c r="G233" i="33"/>
  <c r="J102" i="33"/>
  <c r="Q102" i="33"/>
  <c r="R136" i="33"/>
  <c r="J117" i="33"/>
  <c r="J186" i="33"/>
  <c r="J261" i="33"/>
  <c r="Q114" i="33"/>
  <c r="J188" i="33"/>
  <c r="J263" i="33"/>
  <c r="J120" i="33"/>
  <c r="J194" i="33"/>
  <c r="J269" i="33"/>
  <c r="J157" i="33"/>
  <c r="J232" i="33"/>
  <c r="J131" i="33"/>
  <c r="Q131" i="33"/>
  <c r="Q94" i="33"/>
  <c r="U94" i="33"/>
  <c r="V94" i="33"/>
  <c r="J243" i="33"/>
  <c r="J168" i="33"/>
  <c r="J134" i="33"/>
  <c r="J171" i="33"/>
  <c r="J246" i="33"/>
  <c r="Q97" i="33"/>
  <c r="U97" i="33"/>
  <c r="V97" i="33"/>
  <c r="Q99" i="33"/>
  <c r="J136" i="33"/>
  <c r="Q136" i="33"/>
  <c r="J173" i="33"/>
  <c r="J248" i="33"/>
  <c r="O225" i="49"/>
  <c r="N129" i="33"/>
  <c r="J127" i="33"/>
  <c r="Q90" i="33"/>
  <c r="U90" i="33"/>
  <c r="V90" i="33"/>
  <c r="J164" i="33"/>
  <c r="J239" i="33"/>
  <c r="I299" i="33"/>
  <c r="L126" i="33"/>
  <c r="R89" i="33"/>
  <c r="M125" i="33"/>
  <c r="S125" i="33"/>
  <c r="N125" i="33"/>
  <c r="R133" i="33"/>
  <c r="L120" i="33"/>
  <c r="R83" i="33"/>
  <c r="L157" i="33"/>
  <c r="L232" i="33"/>
  <c r="L108" i="33"/>
  <c r="L212" i="33"/>
  <c r="L287" i="33"/>
  <c r="R138" i="33"/>
  <c r="L137" i="33"/>
  <c r="L286" i="33"/>
  <c r="O175" i="49"/>
  <c r="O262" i="49"/>
  <c r="O141" i="49"/>
  <c r="O215" i="49"/>
  <c r="O302" i="49"/>
  <c r="J215" i="49"/>
  <c r="J302" i="49"/>
  <c r="O143" i="49"/>
  <c r="J217" i="49"/>
  <c r="J304" i="49"/>
  <c r="O135" i="49"/>
  <c r="J209" i="49"/>
  <c r="J296" i="49"/>
  <c r="O142" i="49"/>
  <c r="J305" i="49"/>
  <c r="O144" i="49"/>
  <c r="O218" i="49"/>
  <c r="O213" i="49"/>
  <c r="O300" i="49"/>
  <c r="I120" i="33"/>
  <c r="I157" i="33"/>
  <c r="I232" i="33"/>
  <c r="Q83" i="33"/>
  <c r="Q157" i="33"/>
  <c r="Q232" i="33"/>
  <c r="R93" i="33"/>
  <c r="I117" i="33"/>
  <c r="I266" i="33"/>
  <c r="I186" i="33"/>
  <c r="Q187" i="33"/>
  <c r="Q262" i="33"/>
  <c r="O138" i="49"/>
  <c r="J212" i="49"/>
  <c r="J242" i="49"/>
  <c r="O140" i="49"/>
  <c r="O214" i="49"/>
  <c r="O301" i="49"/>
  <c r="O178" i="49"/>
  <c r="O265" i="49"/>
  <c r="O172" i="49"/>
  <c r="O259" i="49"/>
  <c r="R99" i="49"/>
  <c r="S99" i="49"/>
  <c r="O268" i="49"/>
  <c r="O146" i="49"/>
  <c r="J214" i="49"/>
  <c r="J301" i="49"/>
  <c r="J140" i="33"/>
  <c r="Q140" i="33"/>
  <c r="J176" i="33"/>
  <c r="I204" i="49"/>
  <c r="I291" i="49"/>
  <c r="O130" i="49"/>
  <c r="R270" i="33"/>
  <c r="O201" i="49"/>
  <c r="O288" i="49"/>
  <c r="I215" i="33"/>
  <c r="J224" i="49"/>
  <c r="S270" i="33"/>
  <c r="S195" i="33"/>
  <c r="M305" i="49"/>
  <c r="J223" i="49"/>
  <c r="Q295" i="49"/>
  <c r="Q208" i="49"/>
  <c r="I221" i="49"/>
  <c r="O147" i="49"/>
  <c r="P295" i="49"/>
  <c r="I159" i="49"/>
  <c r="O149" i="49"/>
  <c r="O310" i="49"/>
  <c r="O186" i="49"/>
  <c r="O273" i="49"/>
  <c r="O200" i="49"/>
  <c r="O287" i="49"/>
  <c r="I195" i="49"/>
  <c r="I282" i="49"/>
  <c r="U114" i="33"/>
  <c r="V114" i="33"/>
  <c r="J280" i="33"/>
  <c r="Q127" i="33"/>
  <c r="Q164" i="33"/>
  <c r="O212" i="49"/>
  <c r="O299" i="49"/>
  <c r="I191" i="33"/>
  <c r="Q117" i="33"/>
  <c r="Q120" i="33"/>
  <c r="I194" i="33"/>
  <c r="I269" i="33"/>
  <c r="O305" i="49"/>
  <c r="O217" i="49"/>
  <c r="O304" i="49"/>
  <c r="J299" i="49"/>
  <c r="O209" i="49"/>
  <c r="O296" i="49"/>
  <c r="L211" i="33"/>
  <c r="R137" i="33"/>
  <c r="W133" i="33"/>
  <c r="X133" i="33"/>
  <c r="O223" i="49"/>
  <c r="I160" i="49"/>
  <c r="U117" i="33"/>
  <c r="V117" i="33"/>
  <c r="F12" i="25"/>
  <c r="J162" i="22"/>
  <c r="J163" i="22"/>
  <c r="F11" i="23"/>
  <c r="H11" i="23"/>
  <c r="K80" i="9"/>
  <c r="M93" i="49"/>
  <c r="I19" i="19"/>
  <c r="G19" i="38"/>
  <c r="F36" i="19"/>
  <c r="F56" i="19"/>
  <c r="F196" i="19"/>
  <c r="I34" i="19"/>
  <c r="I174" i="19"/>
  <c r="F174" i="19"/>
  <c r="H157" i="19"/>
  <c r="F54" i="19"/>
  <c r="F194" i="19"/>
  <c r="N80" i="9"/>
  <c r="F13" i="23"/>
  <c r="H13" i="23"/>
  <c r="F9" i="23"/>
  <c r="H9" i="23"/>
  <c r="G145" i="31"/>
  <c r="I49" i="19"/>
  <c r="I189" i="19"/>
  <c r="D145" i="39"/>
  <c r="J75" i="31"/>
  <c r="L93" i="49"/>
  <c r="H56" i="19"/>
  <c r="H196" i="19"/>
  <c r="H161" i="19"/>
  <c r="I48" i="19"/>
  <c r="I188" i="19"/>
  <c r="F188" i="19"/>
  <c r="F185" i="19"/>
  <c r="I45" i="19"/>
  <c r="I185" i="19"/>
  <c r="G21" i="38"/>
  <c r="I161" i="19"/>
  <c r="H23" i="9"/>
  <c r="H172" i="9"/>
  <c r="H21" i="37"/>
  <c r="H19" i="37"/>
  <c r="F51" i="19"/>
  <c r="F161" i="19"/>
  <c r="H16" i="19"/>
  <c r="M80" i="9"/>
  <c r="G23" i="38"/>
  <c r="H23" i="37"/>
  <c r="H20" i="19"/>
  <c r="H15" i="19"/>
  <c r="H50" i="19"/>
  <c r="N5" i="9"/>
  <c r="N154" i="9"/>
  <c r="F163" i="19"/>
  <c r="F154" i="19"/>
  <c r="F150" i="19"/>
  <c r="H145" i="19"/>
  <c r="F10" i="23"/>
  <c r="H10" i="23"/>
  <c r="E15" i="25"/>
  <c r="E17" i="25"/>
  <c r="F15" i="25"/>
  <c r="F15" i="23"/>
  <c r="H15" i="23"/>
  <c r="D15" i="25"/>
  <c r="D6" i="25"/>
  <c r="D9" i="25"/>
  <c r="D17" i="25"/>
  <c r="H15" i="25"/>
  <c r="G15" i="25"/>
  <c r="H25" i="19"/>
  <c r="I25" i="19"/>
  <c r="H43" i="19"/>
  <c r="H148" i="19"/>
  <c r="F43" i="19"/>
  <c r="F148" i="19"/>
  <c r="I8" i="19"/>
  <c r="I5" i="15"/>
  <c r="D5" i="37"/>
  <c r="I5" i="19"/>
  <c r="I145" i="19"/>
  <c r="F17" i="19"/>
  <c r="F20" i="19"/>
  <c r="F160" i="19"/>
  <c r="I13" i="19"/>
  <c r="G13" i="38"/>
  <c r="G48" i="38"/>
  <c r="I10" i="19"/>
  <c r="H11" i="9"/>
  <c r="H9" i="19"/>
  <c r="H31" i="19"/>
  <c r="H171" i="19"/>
  <c r="I73" i="16"/>
  <c r="E93" i="49"/>
  <c r="I5" i="16"/>
  <c r="E5" i="9"/>
  <c r="E154" i="9"/>
  <c r="I75" i="20"/>
  <c r="I93" i="49"/>
  <c r="I73" i="17"/>
  <c r="F93" i="49"/>
  <c r="I5" i="20"/>
  <c r="I5" i="37"/>
  <c r="J5" i="39"/>
  <c r="M5" i="9"/>
  <c r="M154" i="9"/>
  <c r="F8" i="23"/>
  <c r="H8" i="23"/>
  <c r="I73" i="15"/>
  <c r="D93" i="49"/>
  <c r="I75" i="18"/>
  <c r="G80" i="9"/>
  <c r="I5" i="21"/>
  <c r="I5" i="38"/>
  <c r="I5" i="17"/>
  <c r="F5" i="37"/>
  <c r="J80" i="9"/>
  <c r="G93" i="49"/>
  <c r="G254" i="49"/>
  <c r="I5" i="18"/>
  <c r="G5" i="37"/>
  <c r="J5" i="30"/>
  <c r="K5" i="33"/>
  <c r="K154" i="33"/>
  <c r="K229" i="33"/>
  <c r="I75" i="19"/>
  <c r="H93" i="49"/>
  <c r="I38" i="19"/>
  <c r="F58" i="19"/>
  <c r="I58" i="19"/>
  <c r="I198" i="19"/>
  <c r="F178" i="19"/>
  <c r="H15" i="9"/>
  <c r="H15" i="49"/>
  <c r="G14" i="38"/>
  <c r="G49" i="38"/>
  <c r="H14" i="37"/>
  <c r="H49" i="37"/>
  <c r="I154" i="19"/>
  <c r="I141" i="15"/>
  <c r="D5" i="38"/>
  <c r="E5" i="38"/>
  <c r="I145" i="20"/>
  <c r="H13" i="37"/>
  <c r="H48" i="37"/>
  <c r="D5" i="46"/>
  <c r="I141" i="16"/>
  <c r="J93" i="49"/>
  <c r="H14" i="9"/>
  <c r="H14" i="33"/>
  <c r="E5" i="37"/>
  <c r="E5" i="33"/>
  <c r="D5" i="49"/>
  <c r="H80" i="9"/>
  <c r="F5" i="33"/>
  <c r="H80" i="33"/>
  <c r="I150" i="19"/>
  <c r="G5" i="49"/>
  <c r="L80" i="9"/>
  <c r="H21" i="9"/>
  <c r="I159" i="19"/>
  <c r="F176" i="19"/>
  <c r="I36" i="19"/>
  <c r="G36" i="38"/>
  <c r="G56" i="38"/>
  <c r="I145" i="18"/>
  <c r="G34" i="38"/>
  <c r="H37" i="9"/>
  <c r="H37" i="49"/>
  <c r="I20" i="19"/>
  <c r="H20" i="37"/>
  <c r="G54" i="38"/>
  <c r="J149" i="30"/>
  <c r="F35" i="19"/>
  <c r="I35" i="19"/>
  <c r="H155" i="19"/>
  <c r="H23" i="49"/>
  <c r="H23" i="33"/>
  <c r="H172" i="33"/>
  <c r="H247" i="33"/>
  <c r="H61" i="19"/>
  <c r="H201" i="19"/>
  <c r="H160" i="19"/>
  <c r="H55" i="19"/>
  <c r="H195" i="19"/>
  <c r="H156" i="19"/>
  <c r="H51" i="19"/>
  <c r="H191" i="19"/>
  <c r="F191" i="19"/>
  <c r="I56" i="19"/>
  <c r="I196" i="19"/>
  <c r="I16" i="19"/>
  <c r="G16" i="38"/>
  <c r="G51" i="38"/>
  <c r="G5" i="38"/>
  <c r="H5" i="37"/>
  <c r="H183" i="19"/>
  <c r="K5" i="9"/>
  <c r="K154" i="9"/>
  <c r="G167" i="49"/>
  <c r="F5" i="49"/>
  <c r="F5" i="9"/>
  <c r="G80" i="33"/>
  <c r="G229" i="33"/>
  <c r="I80" i="9"/>
  <c r="H44" i="19"/>
  <c r="F52" i="19"/>
  <c r="I52" i="19"/>
  <c r="I192" i="19"/>
  <c r="I17" i="19"/>
  <c r="F157" i="19"/>
  <c r="G8" i="38"/>
  <c r="G43" i="38"/>
  <c r="I148" i="19"/>
  <c r="H8" i="9"/>
  <c r="H8" i="33"/>
  <c r="H8" i="37"/>
  <c r="H43" i="37"/>
  <c r="I43" i="19"/>
  <c r="I183" i="19"/>
  <c r="F183" i="19"/>
  <c r="E5" i="46"/>
  <c r="E80" i="9"/>
  <c r="F80" i="9"/>
  <c r="F154" i="9"/>
  <c r="K5" i="49"/>
  <c r="K167" i="49"/>
  <c r="K254" i="49"/>
  <c r="J5" i="38"/>
  <c r="E80" i="33"/>
  <c r="F5" i="38"/>
  <c r="J80" i="33"/>
  <c r="J5" i="49"/>
  <c r="J5" i="9"/>
  <c r="J154" i="9"/>
  <c r="D80" i="33"/>
  <c r="F175" i="19"/>
  <c r="H22" i="9"/>
  <c r="H22" i="33"/>
  <c r="G20" i="38"/>
  <c r="J5" i="33"/>
  <c r="J154" i="33"/>
  <c r="J229" i="33"/>
  <c r="J5" i="37"/>
  <c r="I149" i="21"/>
  <c r="D80" i="9"/>
  <c r="G5" i="9"/>
  <c r="G154" i="9"/>
  <c r="G5" i="33"/>
  <c r="G154" i="33"/>
  <c r="H52" i="9"/>
  <c r="H200" i="9"/>
  <c r="H163" i="9"/>
  <c r="H15" i="33"/>
  <c r="H164" i="33"/>
  <c r="H239" i="33"/>
  <c r="H53" i="9"/>
  <c r="H201" i="9"/>
  <c r="H164" i="9"/>
  <c r="H41" i="9"/>
  <c r="G38" i="38"/>
  <c r="I178" i="19"/>
  <c r="H38" i="37"/>
  <c r="F198" i="19"/>
  <c r="J167" i="49"/>
  <c r="J254" i="49"/>
  <c r="H36" i="37"/>
  <c r="H56" i="37"/>
  <c r="I176" i="19"/>
  <c r="H21" i="33"/>
  <c r="H170" i="33"/>
  <c r="H245" i="33"/>
  <c r="H21" i="49"/>
  <c r="H183" i="49"/>
  <c r="H270" i="49"/>
  <c r="H170" i="9"/>
  <c r="H37" i="33"/>
  <c r="H185" i="33"/>
  <c r="H260" i="33"/>
  <c r="H185" i="9"/>
  <c r="F55" i="19"/>
  <c r="I55" i="19"/>
  <c r="I195" i="19"/>
  <c r="I51" i="19"/>
  <c r="I191" i="19"/>
  <c r="H17" i="9"/>
  <c r="H17" i="33"/>
  <c r="I61" i="19"/>
  <c r="H66" i="9"/>
  <c r="H214" i="9"/>
  <c r="I44" i="19"/>
  <c r="I184" i="19"/>
  <c r="H184" i="19"/>
  <c r="H8" i="49"/>
  <c r="H46" i="49"/>
  <c r="G17" i="38"/>
  <c r="G52" i="38"/>
  <c r="H18" i="9"/>
  <c r="H17" i="37"/>
  <c r="H52" i="37"/>
  <c r="I157" i="19"/>
  <c r="H22" i="49"/>
  <c r="H41" i="49"/>
  <c r="H189" i="9"/>
  <c r="H41" i="33"/>
  <c r="H189" i="33"/>
  <c r="H264" i="33"/>
  <c r="H58" i="37"/>
  <c r="G58" i="38"/>
  <c r="H59" i="33"/>
  <c r="H207" i="33"/>
  <c r="H282" i="33"/>
  <c r="F195" i="19"/>
  <c r="F67" i="19"/>
  <c r="F207" i="19"/>
  <c r="H17" i="49"/>
  <c r="H55" i="49"/>
  <c r="H216" i="49"/>
  <c r="H303" i="49"/>
  <c r="G61" i="38"/>
  <c r="H61" i="37"/>
  <c r="H170" i="49"/>
  <c r="H257" i="49"/>
  <c r="H18" i="49"/>
  <c r="H56" i="9"/>
  <c r="H204" i="9"/>
  <c r="H18" i="33"/>
  <c r="H167" i="33"/>
  <c r="H242" i="33"/>
  <c r="H167" i="9"/>
  <c r="H184" i="49"/>
  <c r="H271" i="49"/>
  <c r="H202" i="49"/>
  <c r="H289" i="49"/>
  <c r="F68" i="19"/>
  <c r="F208" i="19"/>
  <c r="H179" i="49"/>
  <c r="H266" i="49"/>
  <c r="H56" i="49"/>
  <c r="H217" i="49"/>
  <c r="H304" i="49"/>
  <c r="H180" i="49"/>
  <c r="H267" i="49"/>
  <c r="F207" i="54"/>
  <c r="F68" i="54"/>
  <c r="F208" i="54"/>
  <c r="E197" i="54"/>
  <c r="H207" i="54"/>
  <c r="H68" i="54"/>
  <c r="H208" i="54"/>
  <c r="D207" i="54"/>
  <c r="D68" i="54"/>
  <c r="D208" i="54"/>
  <c r="J183" i="54"/>
  <c r="I207" i="54"/>
  <c r="I68" i="54"/>
  <c r="I208" i="54"/>
  <c r="F207" i="52"/>
  <c r="F68" i="52"/>
  <c r="F208" i="52"/>
  <c r="G68" i="52"/>
  <c r="G208" i="52"/>
  <c r="H207" i="52"/>
  <c r="H68" i="52"/>
  <c r="H208" i="52"/>
  <c r="D207" i="52"/>
  <c r="D68" i="52"/>
  <c r="D208" i="52"/>
  <c r="J183" i="52"/>
  <c r="I207" i="52"/>
  <c r="I68" i="52"/>
  <c r="I208" i="52"/>
  <c r="J162" i="52"/>
  <c r="E207" i="40"/>
  <c r="J197" i="40"/>
  <c r="M143" i="49"/>
  <c r="M139" i="49"/>
  <c r="E207" i="31"/>
  <c r="E213" i="30"/>
  <c r="K135" i="49"/>
  <c r="P135" i="49"/>
  <c r="P98" i="49"/>
  <c r="J199" i="30"/>
  <c r="Q129" i="33"/>
  <c r="O96" i="49"/>
  <c r="O257" i="49"/>
  <c r="J121" i="49"/>
  <c r="O121" i="49"/>
  <c r="J133" i="49"/>
  <c r="J170" i="49"/>
  <c r="J257" i="49"/>
  <c r="O97" i="49"/>
  <c r="J134" i="49"/>
  <c r="O134" i="49"/>
  <c r="J171" i="49"/>
  <c r="J258" i="49"/>
  <c r="I393" i="22"/>
  <c r="H379" i="22"/>
  <c r="H364" i="22"/>
  <c r="H423" i="22"/>
  <c r="J423" i="22"/>
  <c r="I364" i="22"/>
  <c r="J364" i="22"/>
  <c r="I379" i="22"/>
  <c r="E20" i="46"/>
  <c r="E35" i="46"/>
  <c r="R98" i="49"/>
  <c r="S98" i="49"/>
  <c r="J208" i="49"/>
  <c r="J295" i="49"/>
  <c r="O133" i="49"/>
  <c r="J207" i="49"/>
  <c r="J159" i="49"/>
  <c r="O159" i="49"/>
  <c r="O170" i="49"/>
  <c r="H337" i="22"/>
  <c r="H351" i="22"/>
  <c r="H393" i="22"/>
  <c r="H437" i="22"/>
  <c r="J437" i="22"/>
  <c r="J294" i="49"/>
  <c r="H451" i="22"/>
  <c r="J451" i="22"/>
  <c r="H438" i="22"/>
  <c r="J438" i="22"/>
  <c r="Q18" i="33"/>
  <c r="W137" i="33"/>
  <c r="X137" i="33"/>
  <c r="L53" i="33"/>
  <c r="P158" i="33"/>
  <c r="P233" i="33"/>
  <c r="O158" i="33"/>
  <c r="O233" i="33"/>
  <c r="H205" i="33"/>
  <c r="E154" i="33"/>
  <c r="E229" i="33"/>
  <c r="W138" i="33"/>
  <c r="X138" i="33"/>
  <c r="Q168" i="33"/>
  <c r="J251" i="33"/>
  <c r="J108" i="33"/>
  <c r="S102" i="33"/>
  <c r="W102" i="33"/>
  <c r="X102" i="33"/>
  <c r="J62" i="33"/>
  <c r="D64" i="45"/>
  <c r="J63" i="33"/>
  <c r="J211" i="33"/>
  <c r="J286" i="33"/>
  <c r="Q63" i="33"/>
  <c r="J196" i="33"/>
  <c r="J271" i="33"/>
  <c r="Q122" i="33"/>
  <c r="J146" i="33"/>
  <c r="Q162" i="33"/>
  <c r="Q237" i="33"/>
  <c r="D41" i="45"/>
  <c r="D15" i="45"/>
  <c r="D14" i="45"/>
  <c r="Q24" i="33"/>
  <c r="Q108" i="33"/>
  <c r="I182" i="33"/>
  <c r="I257" i="33"/>
  <c r="G146" i="33"/>
  <c r="G147" i="33"/>
  <c r="G195" i="33"/>
  <c r="G270" i="33"/>
  <c r="H53" i="33"/>
  <c r="H201" i="33"/>
  <c r="H276" i="33"/>
  <c r="J212" i="33"/>
  <c r="J287" i="33"/>
  <c r="J49" i="33"/>
  <c r="Q49" i="33"/>
  <c r="Q197" i="33"/>
  <c r="Q272" i="33"/>
  <c r="Q17" i="33"/>
  <c r="P146" i="9"/>
  <c r="P147" i="9"/>
  <c r="P108" i="9"/>
  <c r="O108" i="9"/>
  <c r="L201" i="33"/>
  <c r="L276" i="33"/>
  <c r="D63" i="45"/>
  <c r="J210" i="33"/>
  <c r="J285" i="33"/>
  <c r="D62" i="45"/>
  <c r="Q62" i="33"/>
  <c r="Q173" i="33"/>
  <c r="Q248" i="33"/>
  <c r="J147" i="33"/>
  <c r="Q166" i="33"/>
  <c r="Q241" i="33"/>
  <c r="D53" i="45"/>
  <c r="J201" i="33"/>
  <c r="J276" i="33"/>
  <c r="Q53" i="33"/>
  <c r="Q201" i="33"/>
  <c r="Q276" i="33"/>
  <c r="Q55" i="33"/>
  <c r="Q203" i="33"/>
  <c r="Q278" i="33"/>
  <c r="J203" i="33"/>
  <c r="J278" i="33"/>
  <c r="D55" i="45"/>
  <c r="U102" i="33"/>
  <c r="V102" i="33"/>
  <c r="T47" i="33"/>
  <c r="Y47" i="33"/>
  <c r="Z47" i="33"/>
  <c r="W9" i="33"/>
  <c r="X9" i="33"/>
  <c r="O121" i="33"/>
  <c r="T121" i="33"/>
  <c r="Y20" i="33"/>
  <c r="Z20" i="33"/>
  <c r="Y95" i="33"/>
  <c r="Z95" i="33"/>
  <c r="T233" i="33"/>
  <c r="Y9" i="33"/>
  <c r="Z9" i="33"/>
  <c r="Y58" i="33"/>
  <c r="Z58" i="33"/>
  <c r="Y132" i="33"/>
  <c r="Z132" i="33"/>
  <c r="T158" i="33"/>
  <c r="T169" i="33"/>
  <c r="T244" i="33"/>
  <c r="T206" i="33"/>
  <c r="A20" i="45"/>
  <c r="A21" i="45"/>
  <c r="A22" i="45"/>
  <c r="A23" i="45"/>
  <c r="A24" i="45"/>
  <c r="A25" i="45"/>
  <c r="A28" i="45"/>
  <c r="A29" i="45"/>
  <c r="A30" i="45"/>
  <c r="A31" i="45"/>
  <c r="A32" i="45"/>
  <c r="A34" i="45"/>
  <c r="A37" i="45"/>
  <c r="A38" i="45"/>
  <c r="A39" i="45"/>
  <c r="A40" i="45"/>
  <c r="A41" i="45"/>
  <c r="A43" i="45"/>
  <c r="A46" i="45"/>
  <c r="A47" i="45"/>
  <c r="A48" i="45"/>
  <c r="A49" i="45"/>
  <c r="A51" i="45"/>
  <c r="A52" i="45"/>
  <c r="A53" i="45"/>
  <c r="A54" i="45"/>
  <c r="A55" i="45"/>
  <c r="A56" i="45"/>
  <c r="A57" i="45"/>
  <c r="A58" i="45"/>
  <c r="A59" i="45"/>
  <c r="A60" i="45"/>
  <c r="A61" i="45"/>
  <c r="A62" i="45"/>
  <c r="A63" i="45"/>
  <c r="A64" i="45"/>
  <c r="A66" i="45"/>
  <c r="A67" i="45"/>
  <c r="A68" i="45"/>
  <c r="A69" i="45"/>
  <c r="A70" i="45"/>
  <c r="A72" i="45"/>
  <c r="A73" i="45"/>
  <c r="A74" i="45"/>
  <c r="A76" i="45"/>
  <c r="A78" i="45"/>
  <c r="O270" i="33"/>
  <c r="J450" i="22"/>
  <c r="H104" i="22"/>
  <c r="J103" i="22"/>
  <c r="I31" i="22"/>
  <c r="I73" i="22"/>
  <c r="I87" i="22"/>
  <c r="I351" i="22"/>
  <c r="J351" i="22"/>
  <c r="I44" i="22"/>
  <c r="J393" i="22"/>
  <c r="J30" i="22"/>
  <c r="J44" i="22"/>
  <c r="I17" i="22"/>
  <c r="I337" i="22"/>
  <c r="J337" i="22"/>
  <c r="I59" i="22"/>
  <c r="J57" i="22"/>
  <c r="J16" i="22"/>
  <c r="J149" i="22"/>
  <c r="G484" i="22"/>
  <c r="J484" i="22"/>
  <c r="L162" i="22"/>
  <c r="G483" i="22"/>
  <c r="J483" i="22"/>
  <c r="G470" i="22"/>
  <c r="J470" i="22"/>
  <c r="G469" i="22"/>
  <c r="J469" i="22"/>
  <c r="G455" i="22"/>
  <c r="G454" i="22"/>
  <c r="G441" i="22"/>
  <c r="G440" i="22"/>
  <c r="G427" i="22"/>
  <c r="G426" i="22"/>
  <c r="G412" i="22"/>
  <c r="G411" i="22"/>
  <c r="K408" i="22"/>
  <c r="L408" i="22"/>
  <c r="K407" i="22"/>
  <c r="L407" i="22"/>
  <c r="G398" i="22"/>
  <c r="G383" i="22"/>
  <c r="G355" i="22"/>
  <c r="G354" i="22"/>
  <c r="G341" i="22"/>
  <c r="J5" i="31"/>
  <c r="L5" i="9"/>
  <c r="L154" i="9"/>
  <c r="G369" i="22"/>
  <c r="G368" i="22"/>
  <c r="K365" i="22"/>
  <c r="L365" i="22"/>
  <c r="K364" i="22"/>
  <c r="L364" i="22"/>
  <c r="G340" i="22"/>
  <c r="P5" i="33"/>
  <c r="J145" i="54"/>
  <c r="J145" i="52"/>
  <c r="O5" i="9"/>
  <c r="J145" i="40"/>
  <c r="N5" i="49"/>
  <c r="N167" i="49"/>
  <c r="N254" i="49"/>
  <c r="M5" i="49"/>
  <c r="M167" i="49"/>
  <c r="M254" i="49"/>
  <c r="H105" i="22"/>
  <c r="J104" i="22"/>
  <c r="I32" i="22"/>
  <c r="I45" i="22"/>
  <c r="I74" i="22"/>
  <c r="J73" i="22"/>
  <c r="J59" i="22"/>
  <c r="I60" i="22"/>
  <c r="I18" i="22"/>
  <c r="I19" i="22"/>
  <c r="H106" i="22"/>
  <c r="J105" i="22"/>
  <c r="I88" i="22"/>
  <c r="I33" i="22"/>
  <c r="I47" i="22"/>
  <c r="I46" i="22"/>
  <c r="I75" i="22"/>
  <c r="I61" i="22"/>
  <c r="J106" i="22"/>
  <c r="I76" i="22"/>
  <c r="I34" i="22"/>
  <c r="I48" i="22"/>
  <c r="I89" i="22"/>
  <c r="I90" i="22"/>
  <c r="P76" i="9"/>
  <c r="P76" i="33"/>
  <c r="P225" i="33"/>
  <c r="J211" i="52"/>
  <c r="J49" i="30"/>
  <c r="J193" i="30"/>
  <c r="J66" i="30"/>
  <c r="K69" i="9"/>
  <c r="K217" i="9"/>
  <c r="J64" i="30"/>
  <c r="K62" i="37"/>
  <c r="G69" i="30"/>
  <c r="G70" i="30"/>
  <c r="G214" i="30"/>
  <c r="K57" i="37"/>
  <c r="D176" i="30"/>
  <c r="D211" i="30"/>
  <c r="J207" i="30"/>
  <c r="K67" i="9"/>
  <c r="K215" i="9"/>
  <c r="J62" i="38"/>
  <c r="J208" i="30"/>
  <c r="I17" i="25"/>
  <c r="O168" i="9"/>
  <c r="O57" i="9"/>
  <c r="O205" i="9"/>
  <c r="O19" i="33"/>
  <c r="J158" i="52"/>
  <c r="J31" i="54"/>
  <c r="L31" i="54"/>
  <c r="E177" i="54"/>
  <c r="P224" i="9"/>
  <c r="J64" i="54"/>
  <c r="G67" i="54"/>
  <c r="G68" i="54"/>
  <c r="G208" i="54"/>
  <c r="J166" i="54"/>
  <c r="J165" i="54"/>
  <c r="J148" i="54"/>
  <c r="J178" i="54"/>
  <c r="J163" i="54"/>
  <c r="J199" i="54"/>
  <c r="P37" i="33"/>
  <c r="P185" i="9"/>
  <c r="J174" i="54"/>
  <c r="P31" i="9"/>
  <c r="P180" i="9"/>
  <c r="P70" i="9"/>
  <c r="P218" i="9"/>
  <c r="J168" i="54"/>
  <c r="J202" i="54"/>
  <c r="J201" i="54"/>
  <c r="J162" i="54"/>
  <c r="J161" i="54"/>
  <c r="P22" i="9"/>
  <c r="J159" i="54"/>
  <c r="J157" i="54"/>
  <c r="J156" i="54"/>
  <c r="J155" i="54"/>
  <c r="J154" i="54"/>
  <c r="J153" i="54"/>
  <c r="J152" i="54"/>
  <c r="J150" i="54"/>
  <c r="J149" i="54"/>
  <c r="E13" i="41"/>
  <c r="E177" i="52"/>
  <c r="J148" i="52"/>
  <c r="J165" i="52"/>
  <c r="J178" i="52"/>
  <c r="J163" i="52"/>
  <c r="J199" i="52"/>
  <c r="J174" i="52"/>
  <c r="J204" i="52"/>
  <c r="O24" i="9"/>
  <c r="O173" i="9"/>
  <c r="O23" i="9"/>
  <c r="O172" i="9"/>
  <c r="J160" i="52"/>
  <c r="O21" i="9"/>
  <c r="O170" i="9"/>
  <c r="J157" i="52"/>
  <c r="J156" i="52"/>
  <c r="J155" i="52"/>
  <c r="J154" i="52"/>
  <c r="J153" i="52"/>
  <c r="O13" i="9"/>
  <c r="O13" i="33"/>
  <c r="J150" i="52"/>
  <c r="J149" i="52"/>
  <c r="H207" i="40"/>
  <c r="G207" i="40"/>
  <c r="J48" i="40"/>
  <c r="J188" i="40"/>
  <c r="F67" i="40"/>
  <c r="F68" i="40"/>
  <c r="F208" i="40"/>
  <c r="J47" i="40"/>
  <c r="J187" i="40"/>
  <c r="J161" i="39"/>
  <c r="H207" i="39"/>
  <c r="J168" i="39"/>
  <c r="M67" i="9"/>
  <c r="M215" i="9"/>
  <c r="J202" i="39"/>
  <c r="J55" i="39"/>
  <c r="J195" i="39"/>
  <c r="G194" i="39"/>
  <c r="J155" i="39"/>
  <c r="J49" i="39"/>
  <c r="J189" i="39"/>
  <c r="J154" i="39"/>
  <c r="J153" i="39"/>
  <c r="G67" i="39"/>
  <c r="G68" i="39"/>
  <c r="G208" i="39"/>
  <c r="F195" i="39"/>
  <c r="F188" i="39"/>
  <c r="F67" i="39"/>
  <c r="F207" i="39"/>
  <c r="M212" i="9"/>
  <c r="M64" i="49"/>
  <c r="M64" i="33"/>
  <c r="I68" i="31"/>
  <c r="I208" i="31"/>
  <c r="I207" i="31"/>
  <c r="H207" i="31"/>
  <c r="L238" i="49"/>
  <c r="L63" i="37"/>
  <c r="J203" i="31"/>
  <c r="L68" i="9"/>
  <c r="L216" i="9"/>
  <c r="K63" i="38"/>
  <c r="J55" i="31"/>
  <c r="J195" i="31"/>
  <c r="K44" i="38"/>
  <c r="K31" i="38"/>
  <c r="K73" i="38"/>
  <c r="K74" i="38"/>
  <c r="K78" i="38"/>
  <c r="K81" i="38"/>
  <c r="L231" i="9"/>
  <c r="L235" i="9"/>
  <c r="L234" i="9"/>
  <c r="L24" i="49"/>
  <c r="L186" i="49"/>
  <c r="L273" i="49"/>
  <c r="L233" i="9"/>
  <c r="L21" i="49"/>
  <c r="L163" i="9"/>
  <c r="L46" i="49"/>
  <c r="L170" i="49"/>
  <c r="L257" i="49"/>
  <c r="J210" i="30"/>
  <c r="K243" i="33"/>
  <c r="O57" i="33"/>
  <c r="P69" i="9"/>
  <c r="P217" i="9"/>
  <c r="J204" i="54"/>
  <c r="G207" i="54"/>
  <c r="P171" i="9"/>
  <c r="P22" i="33"/>
  <c r="O23" i="33"/>
  <c r="O21" i="33"/>
  <c r="O162" i="9"/>
  <c r="G207" i="39"/>
  <c r="M212" i="33"/>
  <c r="M287" i="33"/>
  <c r="M225" i="49"/>
  <c r="M312" i="49"/>
  <c r="L183" i="49"/>
  <c r="L270" i="49"/>
  <c r="L207" i="49"/>
  <c r="L294" i="49"/>
  <c r="R243" i="33"/>
  <c r="J57" i="52"/>
  <c r="E67" i="52"/>
  <c r="E207" i="52"/>
  <c r="H159" i="47"/>
  <c r="H154" i="47"/>
  <c r="H149" i="47"/>
  <c r="D129" i="47"/>
  <c r="P148" i="47"/>
  <c r="M143" i="47"/>
  <c r="C135" i="47"/>
  <c r="C161" i="47"/>
  <c r="C242" i="47"/>
  <c r="C248" i="47"/>
  <c r="C254" i="47"/>
  <c r="D226" i="47"/>
  <c r="D237" i="47"/>
  <c r="D249" i="47"/>
  <c r="D255" i="47"/>
  <c r="F225" i="47"/>
  <c r="F236" i="47"/>
  <c r="F248" i="47"/>
  <c r="F254" i="47"/>
  <c r="D224" i="47"/>
  <c r="D235" i="47"/>
  <c r="D247" i="47"/>
  <c r="D253" i="47"/>
  <c r="E188" i="47"/>
  <c r="E200" i="47"/>
  <c r="E186" i="47"/>
  <c r="C186" i="47"/>
  <c r="C198" i="47"/>
  <c r="F134" i="47"/>
  <c r="G94" i="47"/>
  <c r="F93" i="47"/>
  <c r="F92" i="47"/>
  <c r="F69" i="47"/>
  <c r="E39" i="47"/>
  <c r="C39" i="47"/>
  <c r="C38" i="47"/>
  <c r="C37" i="47"/>
  <c r="C52" i="47"/>
  <c r="Q35" i="47"/>
  <c r="F24" i="47"/>
  <c r="G23" i="47"/>
  <c r="F22" i="47"/>
  <c r="F14" i="47"/>
  <c r="F41" i="47"/>
  <c r="F13" i="47"/>
  <c r="F40" i="47"/>
  <c r="G12" i="47"/>
  <c r="F11" i="47"/>
  <c r="F10" i="47"/>
  <c r="D122" i="47"/>
  <c r="F17" i="47"/>
  <c r="F44" i="47"/>
  <c r="F29" i="47"/>
  <c r="F30" i="47"/>
  <c r="F45" i="47"/>
  <c r="E135" i="47"/>
  <c r="F133" i="47"/>
  <c r="G18" i="47"/>
  <c r="L128" i="47"/>
  <c r="G69" i="47"/>
  <c r="G103" i="47"/>
  <c r="F68" i="47"/>
  <c r="E122" i="47"/>
  <c r="F120" i="47"/>
  <c r="Q122" i="47"/>
  <c r="C122" i="47"/>
  <c r="C156" i="47"/>
  <c r="G122" i="47"/>
  <c r="L122" i="47"/>
  <c r="F28" i="47"/>
  <c r="F43" i="47"/>
  <c r="H97" i="47"/>
  <c r="H105" i="47"/>
  <c r="L97" i="47"/>
  <c r="L105" i="47"/>
  <c r="G27" i="47"/>
  <c r="E43" i="47"/>
  <c r="G16" i="47"/>
  <c r="D42" i="47"/>
  <c r="Q42" i="47"/>
  <c r="G42" i="47"/>
  <c r="E42" i="47"/>
  <c r="G15" i="47"/>
  <c r="F15" i="47"/>
  <c r="Q97" i="47"/>
  <c r="Q105" i="47"/>
  <c r="G179" i="47"/>
  <c r="D41" i="47"/>
  <c r="G41" i="47"/>
  <c r="L41" i="47"/>
  <c r="E198" i="47"/>
  <c r="L148" i="47"/>
  <c r="H143" i="47"/>
  <c r="G133" i="47"/>
  <c r="F103" i="47"/>
  <c r="F179" i="47"/>
  <c r="F185" i="47"/>
  <c r="F197" i="47"/>
  <c r="D40" i="47"/>
  <c r="G40" i="47"/>
  <c r="D39" i="47"/>
  <c r="G39" i="47"/>
  <c r="D37" i="47"/>
  <c r="G37" i="47"/>
  <c r="G28" i="47"/>
  <c r="F27" i="47"/>
  <c r="G24" i="47"/>
  <c r="F23" i="47"/>
  <c r="F38" i="47"/>
  <c r="F16" i="47"/>
  <c r="G13" i="47"/>
  <c r="F12" i="47"/>
  <c r="F39" i="47"/>
  <c r="F121" i="47"/>
  <c r="F122" i="47"/>
  <c r="C128" i="47"/>
  <c r="E128" i="47"/>
  <c r="Q128" i="47"/>
  <c r="C141" i="47"/>
  <c r="C142" i="47"/>
  <c r="E141" i="47"/>
  <c r="E142" i="47"/>
  <c r="Q141" i="47"/>
  <c r="Q148" i="47"/>
  <c r="G146" i="47"/>
  <c r="F146" i="47"/>
  <c r="G139" i="47"/>
  <c r="F140" i="47"/>
  <c r="F139" i="47"/>
  <c r="F141" i="47"/>
  <c r="F142" i="47"/>
  <c r="D142" i="47"/>
  <c r="G126" i="47"/>
  <c r="F127" i="47"/>
  <c r="F128" i="47"/>
  <c r="F126" i="47"/>
  <c r="G128" i="47"/>
  <c r="C154" i="47"/>
  <c r="C159" i="47"/>
  <c r="L149" i="47"/>
  <c r="K149" i="47"/>
  <c r="F135" i="47"/>
  <c r="F37" i="47"/>
  <c r="M97" i="47"/>
  <c r="M105" i="47"/>
  <c r="C71" i="47"/>
  <c r="F71" i="47"/>
  <c r="F42" i="47"/>
  <c r="C97" i="47"/>
  <c r="C85" i="47"/>
  <c r="G71" i="47"/>
  <c r="G105" i="47"/>
  <c r="D37" i="57"/>
  <c r="L38" i="57"/>
  <c r="Q38" i="57"/>
  <c r="C42" i="57"/>
  <c r="J128" i="57"/>
  <c r="M160" i="57"/>
  <c r="C39" i="57"/>
  <c r="E39" i="57"/>
  <c r="Q39" i="57"/>
  <c r="F67" i="57"/>
  <c r="G68" i="57"/>
  <c r="G102" i="57"/>
  <c r="F69" i="57"/>
  <c r="G70" i="57"/>
  <c r="G104" i="57"/>
  <c r="F71" i="57"/>
  <c r="F93" i="57"/>
  <c r="F94" i="57"/>
  <c r="F95" i="57"/>
  <c r="F102" i="57"/>
  <c r="G119" i="57"/>
  <c r="K121" i="57"/>
  <c r="P121" i="57"/>
  <c r="F120" i="57"/>
  <c r="D126" i="57"/>
  <c r="D127" i="57"/>
  <c r="G127" i="57"/>
  <c r="E148" i="57"/>
  <c r="C140" i="57"/>
  <c r="E140" i="57"/>
  <c r="F145" i="57"/>
  <c r="M142" i="57"/>
  <c r="G10" i="57"/>
  <c r="F11" i="57"/>
  <c r="G12" i="57"/>
  <c r="F13" i="57"/>
  <c r="G14" i="57"/>
  <c r="F15" i="57"/>
  <c r="G16" i="57"/>
  <c r="F17" i="57"/>
  <c r="G18" i="57"/>
  <c r="F22" i="57"/>
  <c r="G23" i="57"/>
  <c r="F24" i="57"/>
  <c r="G25" i="57"/>
  <c r="F26" i="57"/>
  <c r="F28" i="57"/>
  <c r="F30" i="57"/>
  <c r="G35" i="57"/>
  <c r="Q35" i="57"/>
  <c r="L36" i="57"/>
  <c r="C37" i="57"/>
  <c r="C52" i="57"/>
  <c r="E37" i="57"/>
  <c r="Q37" i="57"/>
  <c r="C38" i="57"/>
  <c r="D39" i="57"/>
  <c r="G39" i="57"/>
  <c r="L40" i="57"/>
  <c r="Q40" i="57"/>
  <c r="C41" i="57"/>
  <c r="G41" i="57"/>
  <c r="E41" i="57"/>
  <c r="Q41" i="57"/>
  <c r="C84" i="57"/>
  <c r="I128" i="57"/>
  <c r="M128" i="57"/>
  <c r="O128" i="57"/>
  <c r="Q147" i="57"/>
  <c r="F270" i="57"/>
  <c r="F272" i="57"/>
  <c r="G92" i="57"/>
  <c r="G94" i="57"/>
  <c r="G95" i="57"/>
  <c r="G96" i="57"/>
  <c r="C121" i="57"/>
  <c r="C155" i="57"/>
  <c r="E121" i="57"/>
  <c r="E128" i="57"/>
  <c r="Q121" i="57"/>
  <c r="F125" i="57"/>
  <c r="Q127" i="57"/>
  <c r="D133" i="57"/>
  <c r="D134" i="57"/>
  <c r="G134" i="57"/>
  <c r="Q141" i="57"/>
  <c r="M158" i="57"/>
  <c r="F188" i="57"/>
  <c r="G189" i="57"/>
  <c r="H72" i="57"/>
  <c r="H98" i="57"/>
  <c r="C43" i="57"/>
  <c r="Q105" i="57"/>
  <c r="L105" i="57"/>
  <c r="E45" i="57"/>
  <c r="G29" i="57"/>
  <c r="G27" i="57"/>
  <c r="L42" i="57"/>
  <c r="F10" i="57"/>
  <c r="F37" i="57"/>
  <c r="G11" i="57"/>
  <c r="F12" i="57"/>
  <c r="F39" i="57"/>
  <c r="G13" i="57"/>
  <c r="F14" i="57"/>
  <c r="F41" i="57"/>
  <c r="G15" i="57"/>
  <c r="F16" i="57"/>
  <c r="F43" i="57"/>
  <c r="G17" i="57"/>
  <c r="F18" i="57"/>
  <c r="F45" i="57"/>
  <c r="G22" i="57"/>
  <c r="F23" i="57"/>
  <c r="F38" i="57"/>
  <c r="G24" i="57"/>
  <c r="F25" i="57"/>
  <c r="F40" i="57"/>
  <c r="G26" i="57"/>
  <c r="F27" i="57"/>
  <c r="F42" i="57"/>
  <c r="G28" i="57"/>
  <c r="F29" i="57"/>
  <c r="F44" i="57"/>
  <c r="G30" i="57"/>
  <c r="L35" i="57"/>
  <c r="G36" i="57"/>
  <c r="Q36" i="57"/>
  <c r="L37" i="57"/>
  <c r="L39" i="57"/>
  <c r="L41" i="57"/>
  <c r="H52" i="57"/>
  <c r="H155" i="57"/>
  <c r="H153" i="57"/>
  <c r="L127" i="57"/>
  <c r="P141" i="57"/>
  <c r="H142" i="57"/>
  <c r="L141" i="57"/>
  <c r="L147" i="57"/>
  <c r="M98" i="57"/>
  <c r="C105" i="57"/>
  <c r="M154" i="57"/>
  <c r="H160" i="57"/>
  <c r="H148" i="57"/>
  <c r="N148" i="57"/>
  <c r="D148" i="57"/>
  <c r="Q134" i="57"/>
  <c r="D38" i="57"/>
  <c r="G38" i="57"/>
  <c r="D40" i="57"/>
  <c r="G40" i="57"/>
  <c r="D42" i="57"/>
  <c r="G42" i="57"/>
  <c r="M153" i="57"/>
  <c r="E141" i="57"/>
  <c r="H158" i="57"/>
  <c r="G67" i="57"/>
  <c r="G93" i="57"/>
  <c r="F68" i="57"/>
  <c r="G69" i="57"/>
  <c r="G103" i="57"/>
  <c r="F70" i="57"/>
  <c r="G71" i="57"/>
  <c r="G105" i="57"/>
  <c r="F92" i="57"/>
  <c r="F96" i="57"/>
  <c r="F119" i="57"/>
  <c r="F121" i="57"/>
  <c r="G120" i="57"/>
  <c r="D121" i="57"/>
  <c r="G121" i="57"/>
  <c r="L121" i="57"/>
  <c r="G125" i="57"/>
  <c r="L126" i="57"/>
  <c r="P126" i="57"/>
  <c r="P127" i="57"/>
  <c r="H128" i="57"/>
  <c r="N128" i="57"/>
  <c r="Q128" i="57"/>
  <c r="G132" i="57"/>
  <c r="L133" i="57"/>
  <c r="P133" i="57"/>
  <c r="P134" i="57"/>
  <c r="F138" i="57"/>
  <c r="F140" i="57"/>
  <c r="F141" i="57"/>
  <c r="G139" i="57"/>
  <c r="D140" i="57"/>
  <c r="G140" i="57"/>
  <c r="L140" i="57"/>
  <c r="C141" i="57"/>
  <c r="G145" i="57"/>
  <c r="L146" i="57"/>
  <c r="P146" i="57"/>
  <c r="P147" i="57"/>
  <c r="M155" i="57"/>
  <c r="G171" i="57"/>
  <c r="G188" i="57"/>
  <c r="C219" i="57"/>
  <c r="C230" i="57"/>
  <c r="C242" i="57"/>
  <c r="C248" i="57"/>
  <c r="E219" i="57"/>
  <c r="E230" i="57"/>
  <c r="E242" i="57"/>
  <c r="E248" i="57"/>
  <c r="C220" i="57"/>
  <c r="C231" i="57"/>
  <c r="C243" i="57"/>
  <c r="C249" i="57"/>
  <c r="E220" i="57"/>
  <c r="E231" i="57"/>
  <c r="E243" i="57"/>
  <c r="E249" i="57"/>
  <c r="C221" i="57"/>
  <c r="C232" i="57"/>
  <c r="C244" i="57"/>
  <c r="C250" i="57"/>
  <c r="E221" i="57"/>
  <c r="E232" i="57"/>
  <c r="E244" i="57"/>
  <c r="E250" i="57"/>
  <c r="D236" i="57"/>
  <c r="D242" i="57"/>
  <c r="D248" i="57"/>
  <c r="F236" i="57"/>
  <c r="F242" i="57"/>
  <c r="F248" i="57"/>
  <c r="D237" i="57"/>
  <c r="D243" i="57"/>
  <c r="D249" i="57"/>
  <c r="F237" i="57"/>
  <c r="F243" i="57"/>
  <c r="F249" i="57"/>
  <c r="D238" i="57"/>
  <c r="D244" i="57"/>
  <c r="D250" i="57"/>
  <c r="F238" i="57"/>
  <c r="F244" i="57"/>
  <c r="F250" i="57"/>
  <c r="D103" i="57"/>
  <c r="F104" i="57"/>
  <c r="C126" i="57"/>
  <c r="E126" i="57"/>
  <c r="E127" i="57"/>
  <c r="K126" i="57"/>
  <c r="K127" i="57"/>
  <c r="Q126" i="57"/>
  <c r="C133" i="57"/>
  <c r="E133" i="57"/>
  <c r="E134" i="57"/>
  <c r="K133" i="57"/>
  <c r="K134" i="57"/>
  <c r="Q133" i="57"/>
  <c r="L134" i="57"/>
  <c r="Q140" i="57"/>
  <c r="C146" i="57"/>
  <c r="E146" i="57"/>
  <c r="E147" i="57"/>
  <c r="K146" i="57"/>
  <c r="K147" i="57"/>
  <c r="Q146" i="57"/>
  <c r="M148" i="57"/>
  <c r="M43" i="47"/>
  <c r="M72" i="47"/>
  <c r="N97" i="47"/>
  <c r="N105" i="47"/>
  <c r="H43" i="47"/>
  <c r="H72" i="47"/>
  <c r="C105" i="47"/>
  <c r="I97" i="47"/>
  <c r="D97" i="47"/>
  <c r="G37" i="57"/>
  <c r="C72" i="57"/>
  <c r="C58" i="57"/>
  <c r="N43" i="57"/>
  <c r="N72" i="57"/>
  <c r="M159" i="57"/>
  <c r="P148" i="57"/>
  <c r="D97" i="57"/>
  <c r="F97" i="57"/>
  <c r="H159" i="57"/>
  <c r="K148" i="57"/>
  <c r="C148" i="57"/>
  <c r="G148" i="57"/>
  <c r="C176" i="57"/>
  <c r="C182" i="57"/>
  <c r="C194" i="57"/>
  <c r="F146" i="57"/>
  <c r="F147" i="57"/>
  <c r="F133" i="57"/>
  <c r="C134" i="57"/>
  <c r="C160" i="57"/>
  <c r="C127" i="57"/>
  <c r="F103" i="57"/>
  <c r="P128" i="57"/>
  <c r="D128" i="57"/>
  <c r="G146" i="57"/>
  <c r="G133" i="57"/>
  <c r="P105" i="57"/>
  <c r="P43" i="57"/>
  <c r="K128" i="57"/>
  <c r="C128" i="57"/>
  <c r="C154" i="57"/>
  <c r="H154" i="57"/>
  <c r="C147" i="57"/>
  <c r="G147" i="57"/>
  <c r="G126" i="57"/>
  <c r="Q148" i="57"/>
  <c r="L128" i="57"/>
  <c r="D141" i="57"/>
  <c r="G141" i="57"/>
  <c r="M106" i="57"/>
  <c r="M44" i="57"/>
  <c r="M73" i="57"/>
  <c r="I105" i="47"/>
  <c r="I43" i="47"/>
  <c r="C43" i="47"/>
  <c r="C181" i="47"/>
  <c r="C187" i="47"/>
  <c r="C199" i="47"/>
  <c r="C158" i="57"/>
  <c r="F128" i="57"/>
  <c r="C153" i="57"/>
  <c r="D105" i="57"/>
  <c r="I43" i="57"/>
  <c r="I72" i="57"/>
  <c r="K105" i="57"/>
  <c r="K43" i="57"/>
  <c r="Q43" i="57"/>
  <c r="C142" i="57"/>
  <c r="G128" i="57"/>
  <c r="F148" i="57"/>
  <c r="G97" i="57"/>
  <c r="L43" i="57"/>
  <c r="D176" i="57"/>
  <c r="F105" i="57"/>
  <c r="F176" i="57"/>
  <c r="D182" i="57"/>
  <c r="G182" i="57"/>
  <c r="D194" i="57"/>
  <c r="G174" i="57"/>
  <c r="F174" i="57"/>
  <c r="F173" i="57"/>
  <c r="G173" i="57"/>
  <c r="G172" i="57"/>
  <c r="F172" i="57"/>
  <c r="E182" i="57"/>
  <c r="E194" i="57"/>
  <c r="F171" i="57"/>
  <c r="F182" i="57"/>
  <c r="F194" i="57"/>
  <c r="C159" i="57"/>
  <c r="D25" i="48"/>
  <c r="E25" i="48"/>
  <c r="E23" i="48"/>
  <c r="D39" i="48"/>
  <c r="E39" i="48"/>
  <c r="E37" i="48"/>
  <c r="D46" i="48"/>
  <c r="E46" i="48"/>
  <c r="E44" i="48"/>
  <c r="D18" i="48"/>
  <c r="E18" i="48"/>
  <c r="E16" i="48"/>
  <c r="D32" i="48"/>
  <c r="E32" i="48"/>
  <c r="E30" i="48"/>
  <c r="J162" i="40"/>
  <c r="N24" i="9"/>
  <c r="N173" i="9"/>
  <c r="J175" i="54"/>
  <c r="J175" i="52"/>
  <c r="E68" i="52"/>
  <c r="E208" i="52"/>
  <c r="J55" i="40"/>
  <c r="J195" i="40"/>
  <c r="J171" i="54"/>
  <c r="N22" i="49"/>
  <c r="N22" i="33"/>
  <c r="N171" i="33"/>
  <c r="N246" i="33"/>
  <c r="J47" i="45"/>
  <c r="K47" i="45" s="1"/>
  <c r="J9" i="45"/>
  <c r="K9" i="45" s="1"/>
  <c r="P120" i="33"/>
  <c r="P108" i="33"/>
  <c r="P123" i="33"/>
  <c r="P126" i="33"/>
  <c r="P128" i="33"/>
  <c r="P130" i="33"/>
  <c r="P133" i="33"/>
  <c r="P135" i="33"/>
  <c r="P137" i="33"/>
  <c r="P117" i="33"/>
  <c r="P185" i="33"/>
  <c r="P260" i="33"/>
  <c r="P122" i="33"/>
  <c r="P125" i="33"/>
  <c r="P127" i="33"/>
  <c r="P129" i="33"/>
  <c r="P131" i="33"/>
  <c r="P243" i="33"/>
  <c r="P134" i="33"/>
  <c r="P171" i="33"/>
  <c r="P246" i="33"/>
  <c r="P136" i="33"/>
  <c r="P140" i="33"/>
  <c r="P251" i="33"/>
  <c r="P299" i="33"/>
  <c r="T83" i="33"/>
  <c r="O108" i="33"/>
  <c r="O120" i="33"/>
  <c r="O123" i="33"/>
  <c r="T86" i="33"/>
  <c r="O126" i="33"/>
  <c r="T89" i="33"/>
  <c r="O128" i="33"/>
  <c r="T91" i="33"/>
  <c r="O130" i="33"/>
  <c r="T93" i="33"/>
  <c r="O133" i="33"/>
  <c r="O170" i="33"/>
  <c r="T96" i="33"/>
  <c r="O245" i="33"/>
  <c r="O135" i="33"/>
  <c r="O172" i="33"/>
  <c r="T98" i="33"/>
  <c r="O247" i="33"/>
  <c r="O136" i="33"/>
  <c r="T99" i="33"/>
  <c r="T102" i="33"/>
  <c r="O140" i="33"/>
  <c r="O251" i="33"/>
  <c r="T112" i="33"/>
  <c r="T114" i="33"/>
  <c r="T138" i="33"/>
  <c r="O122" i="33"/>
  <c r="T85" i="33"/>
  <c r="O125" i="33"/>
  <c r="T88" i="33"/>
  <c r="O127" i="33"/>
  <c r="T90" i="33"/>
  <c r="O129" i="33"/>
  <c r="T92" i="33"/>
  <c r="O131" i="33"/>
  <c r="O243" i="33"/>
  <c r="O168" i="33"/>
  <c r="T94" i="33"/>
  <c r="O134" i="33"/>
  <c r="T97" i="33"/>
  <c r="O137" i="33"/>
  <c r="T100" i="33"/>
  <c r="O117" i="33"/>
  <c r="T111" i="33"/>
  <c r="T113" i="33"/>
  <c r="T115" i="33"/>
  <c r="T150" i="33"/>
  <c r="O299" i="33"/>
  <c r="Q151" i="49"/>
  <c r="N150" i="49"/>
  <c r="Q113" i="49"/>
  <c r="N149" i="49"/>
  <c r="Q111" i="49"/>
  <c r="N148" i="49"/>
  <c r="Q110" i="49"/>
  <c r="N184" i="49"/>
  <c r="N147" i="49"/>
  <c r="N271" i="49"/>
  <c r="N146" i="49"/>
  <c r="Q109" i="49"/>
  <c r="N143" i="49"/>
  <c r="Q106" i="49"/>
  <c r="N141" i="49"/>
  <c r="N139" i="49"/>
  <c r="Q102" i="49"/>
  <c r="N136" i="49"/>
  <c r="N133" i="49"/>
  <c r="N121" i="49"/>
  <c r="Q96" i="49"/>
  <c r="Q128" i="49"/>
  <c r="Q127" i="49"/>
  <c r="Q126" i="49"/>
  <c r="Q125" i="49"/>
  <c r="N130" i="49"/>
  <c r="Q124" i="49"/>
  <c r="N144" i="49"/>
  <c r="N268" i="49"/>
  <c r="Q107" i="49"/>
  <c r="N142" i="49"/>
  <c r="N140" i="49"/>
  <c r="Q140" i="49"/>
  <c r="Q103" i="49"/>
  <c r="N138" i="49"/>
  <c r="Q98" i="49"/>
  <c r="N135" i="49"/>
  <c r="N324" i="49"/>
  <c r="N171" i="9"/>
  <c r="N150" i="33"/>
  <c r="M141" i="49"/>
  <c r="Q104" i="49"/>
  <c r="Q99" i="49"/>
  <c r="M136" i="49"/>
  <c r="M142" i="49"/>
  <c r="Q105" i="49"/>
  <c r="M138" i="49"/>
  <c r="Q101" i="49"/>
  <c r="Q135" i="49"/>
  <c r="M92" i="33"/>
  <c r="L150" i="49"/>
  <c r="L146" i="49"/>
  <c r="L130" i="49"/>
  <c r="R134" i="33"/>
  <c r="R129" i="33"/>
  <c r="R127" i="33"/>
  <c r="W127" i="33"/>
  <c r="X127" i="33"/>
  <c r="R122" i="33"/>
  <c r="W122" i="33"/>
  <c r="X122" i="33"/>
  <c r="P128" i="49"/>
  <c r="R128" i="49"/>
  <c r="S128" i="49"/>
  <c r="P126" i="49"/>
  <c r="R128" i="33"/>
  <c r="R126" i="33"/>
  <c r="W126" i="33"/>
  <c r="X126" i="33"/>
  <c r="R123" i="33"/>
  <c r="P125" i="49"/>
  <c r="T125" i="49"/>
  <c r="U125" i="49"/>
  <c r="P136" i="49"/>
  <c r="W134" i="33"/>
  <c r="X134" i="33"/>
  <c r="K137" i="9"/>
  <c r="F141" i="30"/>
  <c r="F142" i="30"/>
  <c r="K280" i="33"/>
  <c r="R131" i="33"/>
  <c r="U129" i="33"/>
  <c r="V129" i="33"/>
  <c r="U127" i="33"/>
  <c r="V127" i="33"/>
  <c r="R125" i="33"/>
  <c r="K324" i="49"/>
  <c r="P163" i="49"/>
  <c r="P151" i="49"/>
  <c r="P127" i="49"/>
  <c r="R125" i="49"/>
  <c r="S125" i="49"/>
  <c r="K150" i="49"/>
  <c r="P150" i="49"/>
  <c r="P113" i="49"/>
  <c r="K148" i="49"/>
  <c r="P148" i="49"/>
  <c r="P111" i="49"/>
  <c r="K146" i="49"/>
  <c r="P146" i="49"/>
  <c r="P109" i="49"/>
  <c r="K143" i="49"/>
  <c r="P143" i="49"/>
  <c r="P106" i="49"/>
  <c r="K141" i="49"/>
  <c r="P141" i="49"/>
  <c r="P104" i="49"/>
  <c r="P102" i="49"/>
  <c r="K139" i="49"/>
  <c r="P139" i="49"/>
  <c r="K133" i="49"/>
  <c r="P96" i="49"/>
  <c r="R140" i="33"/>
  <c r="W128" i="33"/>
  <c r="X128" i="33"/>
  <c r="U126" i="33"/>
  <c r="V126" i="33"/>
  <c r="U123" i="33"/>
  <c r="V123" i="33"/>
  <c r="W123" i="33"/>
  <c r="X123" i="33"/>
  <c r="R120" i="33"/>
  <c r="T128" i="49"/>
  <c r="U128" i="49"/>
  <c r="T126" i="49"/>
  <c r="U126" i="49"/>
  <c r="R126" i="49"/>
  <c r="S126" i="49"/>
  <c r="P124" i="49"/>
  <c r="K130" i="49"/>
  <c r="P130" i="49"/>
  <c r="K149" i="49"/>
  <c r="P112" i="49"/>
  <c r="K147" i="49"/>
  <c r="P147" i="49"/>
  <c r="P110" i="49"/>
  <c r="K144" i="49"/>
  <c r="P107" i="49"/>
  <c r="K268" i="49"/>
  <c r="K142" i="49"/>
  <c r="P142" i="49"/>
  <c r="P105" i="49"/>
  <c r="P103" i="49"/>
  <c r="K140" i="49"/>
  <c r="P140" i="49"/>
  <c r="P101" i="49"/>
  <c r="K138" i="49"/>
  <c r="K131" i="9"/>
  <c r="K127" i="9"/>
  <c r="G452" i="22"/>
  <c r="G384" i="22"/>
  <c r="J24" i="30"/>
  <c r="C174" i="47"/>
  <c r="C185" i="47"/>
  <c r="C197" i="47"/>
  <c r="G394" i="22"/>
  <c r="G380" i="22"/>
  <c r="J86" i="22"/>
  <c r="I407" i="22"/>
  <c r="H74" i="22"/>
  <c r="H45" i="22"/>
  <c r="J45" i="22"/>
  <c r="H32" i="22"/>
  <c r="J31" i="22"/>
  <c r="I406" i="22"/>
  <c r="I380" i="22"/>
  <c r="H60" i="22"/>
  <c r="J60" i="22"/>
  <c r="K61" i="22"/>
  <c r="H18" i="22"/>
  <c r="J17" i="22"/>
  <c r="F19" i="23"/>
  <c r="H19" i="23"/>
  <c r="F18" i="23"/>
  <c r="H18" i="23"/>
  <c r="F17" i="23"/>
  <c r="H17" i="23"/>
  <c r="F16" i="23"/>
  <c r="H16" i="23"/>
  <c r="L5" i="37"/>
  <c r="J145" i="31"/>
  <c r="F152" i="30"/>
  <c r="J8" i="30"/>
  <c r="K8" i="9"/>
  <c r="F44" i="30"/>
  <c r="K5" i="37"/>
  <c r="F9" i="30"/>
  <c r="O154" i="9"/>
  <c r="F36" i="30"/>
  <c r="L36" i="30"/>
  <c r="J21" i="30"/>
  <c r="K22" i="9"/>
  <c r="F165" i="30"/>
  <c r="F16" i="30"/>
  <c r="F20" i="30"/>
  <c r="F22" i="30"/>
  <c r="F15" i="30"/>
  <c r="F17" i="30"/>
  <c r="D167" i="49"/>
  <c r="D254" i="49"/>
  <c r="N154" i="33"/>
  <c r="N229" i="33"/>
  <c r="H248" i="22"/>
  <c r="J234" i="22"/>
  <c r="H394" i="22"/>
  <c r="J246" i="22"/>
  <c r="H406" i="22"/>
  <c r="J406" i="22"/>
  <c r="J264" i="22"/>
  <c r="P154" i="33"/>
  <c r="P229" i="33"/>
  <c r="J220" i="22"/>
  <c r="H380" i="22"/>
  <c r="J380" i="22"/>
  <c r="I394" i="22"/>
  <c r="I248" i="22"/>
  <c r="J245" i="22"/>
  <c r="H405" i="22"/>
  <c r="J405" i="22"/>
  <c r="J247" i="22"/>
  <c r="H407" i="22"/>
  <c r="J407" i="22"/>
  <c r="H265" i="22"/>
  <c r="H424" i="22"/>
  <c r="J424" i="22"/>
  <c r="J394" i="22"/>
  <c r="J265" i="22"/>
  <c r="J292" i="22"/>
  <c r="O80" i="33"/>
  <c r="I178" i="22"/>
  <c r="I192" i="22"/>
  <c r="I205" i="22"/>
  <c r="I365" i="22"/>
  <c r="H279" i="22"/>
  <c r="P80" i="9"/>
  <c r="P154" i="9"/>
  <c r="J177" i="22"/>
  <c r="H178" i="22"/>
  <c r="J191" i="22"/>
  <c r="H192" i="22"/>
  <c r="H205" i="22"/>
  <c r="J231" i="22"/>
  <c r="J232" i="22"/>
  <c r="J233" i="22"/>
  <c r="P280" i="33"/>
  <c r="P146" i="33"/>
  <c r="P289" i="33"/>
  <c r="T299" i="33"/>
  <c r="T137" i="33"/>
  <c r="Y97" i="33"/>
  <c r="Z97" i="33"/>
  <c r="T134" i="33"/>
  <c r="O280" i="33"/>
  <c r="O205" i="33"/>
  <c r="T131" i="33"/>
  <c r="T129" i="33"/>
  <c r="Y90" i="33"/>
  <c r="Z90" i="33"/>
  <c r="T127" i="33"/>
  <c r="T125" i="33"/>
  <c r="Y85" i="33"/>
  <c r="Z85" i="33"/>
  <c r="T122" i="33"/>
  <c r="Y138" i="33"/>
  <c r="Z138" i="33"/>
  <c r="Y112" i="33"/>
  <c r="Z112" i="33"/>
  <c r="Y102" i="33"/>
  <c r="Z102" i="33"/>
  <c r="T251" i="33"/>
  <c r="Y115" i="33"/>
  <c r="Z115" i="33"/>
  <c r="T117" i="33"/>
  <c r="T243" i="33"/>
  <c r="Y94" i="33"/>
  <c r="Z94" i="33"/>
  <c r="Y114" i="33"/>
  <c r="Z114" i="33"/>
  <c r="T140" i="33"/>
  <c r="O289" i="33"/>
  <c r="T136" i="33"/>
  <c r="Y98" i="33"/>
  <c r="Z98" i="33"/>
  <c r="T135" i="33"/>
  <c r="T133" i="33"/>
  <c r="T130" i="33"/>
  <c r="Y91" i="33"/>
  <c r="Z91" i="33"/>
  <c r="T128" i="33"/>
  <c r="T126" i="33"/>
  <c r="T123" i="33"/>
  <c r="T120" i="33"/>
  <c r="O146" i="33"/>
  <c r="T108" i="33"/>
  <c r="T98" i="49"/>
  <c r="U98" i="49"/>
  <c r="Q130" i="49"/>
  <c r="T130" i="49"/>
  <c r="U130" i="49"/>
  <c r="N299" i="33"/>
  <c r="S150" i="33"/>
  <c r="Q268" i="49"/>
  <c r="Q144" i="49"/>
  <c r="N305" i="49"/>
  <c r="N159" i="49"/>
  <c r="Q133" i="49"/>
  <c r="Q139" i="49"/>
  <c r="Q143" i="49"/>
  <c r="Q146" i="49"/>
  <c r="Q147" i="49"/>
  <c r="T147" i="49"/>
  <c r="U147" i="49"/>
  <c r="Q148" i="49"/>
  <c r="Q150" i="49"/>
  <c r="Q138" i="49"/>
  <c r="Q136" i="49"/>
  <c r="T99" i="49"/>
  <c r="U99" i="49"/>
  <c r="Q141" i="49"/>
  <c r="T141" i="49"/>
  <c r="U141" i="49"/>
  <c r="M129" i="33"/>
  <c r="S92" i="33"/>
  <c r="Q142" i="49"/>
  <c r="T142" i="49"/>
  <c r="U142" i="49"/>
  <c r="L159" i="49"/>
  <c r="P138" i="49"/>
  <c r="R142" i="49"/>
  <c r="S142" i="49"/>
  <c r="R147" i="49"/>
  <c r="S147" i="49"/>
  <c r="P149" i="49"/>
  <c r="R140" i="49"/>
  <c r="S140" i="49"/>
  <c r="T140" i="49"/>
  <c r="U140" i="49"/>
  <c r="T105" i="49"/>
  <c r="U105" i="49"/>
  <c r="R105" i="49"/>
  <c r="S105" i="49"/>
  <c r="R110" i="49"/>
  <c r="S110" i="49"/>
  <c r="T110" i="49"/>
  <c r="U110" i="49"/>
  <c r="R112" i="49"/>
  <c r="S112" i="49"/>
  <c r="R130" i="49"/>
  <c r="S130" i="49"/>
  <c r="U120" i="33"/>
  <c r="V120" i="33"/>
  <c r="T96" i="49"/>
  <c r="U96" i="49"/>
  <c r="R96" i="49"/>
  <c r="S96" i="49"/>
  <c r="T139" i="49"/>
  <c r="U139" i="49"/>
  <c r="R139" i="49"/>
  <c r="S139" i="49"/>
  <c r="R104" i="49"/>
  <c r="S104" i="49"/>
  <c r="T104" i="49"/>
  <c r="U104" i="49"/>
  <c r="R106" i="49"/>
  <c r="S106" i="49"/>
  <c r="T106" i="49"/>
  <c r="U106" i="49"/>
  <c r="T109" i="49"/>
  <c r="U109" i="49"/>
  <c r="R109" i="49"/>
  <c r="S109" i="49"/>
  <c r="R111" i="49"/>
  <c r="S111" i="49"/>
  <c r="T111" i="49"/>
  <c r="U111" i="49"/>
  <c r="T113" i="49"/>
  <c r="U113" i="49"/>
  <c r="R113" i="49"/>
  <c r="S113" i="49"/>
  <c r="R151" i="49"/>
  <c r="S151" i="49"/>
  <c r="T151" i="49"/>
  <c r="U151" i="49"/>
  <c r="P324" i="49"/>
  <c r="R163" i="49"/>
  <c r="S163" i="49"/>
  <c r="W131" i="33"/>
  <c r="X131" i="33"/>
  <c r="R280" i="33"/>
  <c r="T101" i="49"/>
  <c r="U101" i="49"/>
  <c r="R101" i="49"/>
  <c r="S101" i="49"/>
  <c r="T103" i="49"/>
  <c r="U103" i="49"/>
  <c r="R103" i="49"/>
  <c r="S103" i="49"/>
  <c r="T107" i="49"/>
  <c r="U107" i="49"/>
  <c r="P268" i="49"/>
  <c r="R107" i="49"/>
  <c r="S107" i="49"/>
  <c r="P144" i="49"/>
  <c r="K305" i="49"/>
  <c r="T124" i="49"/>
  <c r="U124" i="49"/>
  <c r="R124" i="49"/>
  <c r="S124" i="49"/>
  <c r="P133" i="49"/>
  <c r="R102" i="49"/>
  <c r="S102" i="49"/>
  <c r="T102" i="49"/>
  <c r="U102" i="49"/>
  <c r="R141" i="49"/>
  <c r="S141" i="49"/>
  <c r="R146" i="49"/>
  <c r="S146" i="49"/>
  <c r="T150" i="49"/>
  <c r="U150" i="49"/>
  <c r="T127" i="49"/>
  <c r="U127" i="49"/>
  <c r="R127" i="49"/>
  <c r="S127" i="49"/>
  <c r="U125" i="33"/>
  <c r="V125" i="33"/>
  <c r="J168" i="30"/>
  <c r="K25" i="9"/>
  <c r="J23" i="38"/>
  <c r="K23" i="37"/>
  <c r="H75" i="22"/>
  <c r="H33" i="22"/>
  <c r="H46" i="22"/>
  <c r="J46" i="22"/>
  <c r="J32" i="22"/>
  <c r="K32" i="22"/>
  <c r="H88" i="22"/>
  <c r="J88" i="22"/>
  <c r="J74" i="22"/>
  <c r="H61" i="22"/>
  <c r="J61" i="22"/>
  <c r="J18" i="22"/>
  <c r="K18" i="22"/>
  <c r="H19" i="22"/>
  <c r="J9" i="30"/>
  <c r="F45" i="30"/>
  <c r="F153" i="30"/>
  <c r="F188" i="30"/>
  <c r="J44" i="30"/>
  <c r="J188" i="30"/>
  <c r="J8" i="38"/>
  <c r="J43" i="38"/>
  <c r="J152" i="30"/>
  <c r="F32" i="30"/>
  <c r="F176" i="30"/>
  <c r="J15" i="30"/>
  <c r="F51" i="30"/>
  <c r="F159" i="30"/>
  <c r="F35" i="30"/>
  <c r="L35" i="30"/>
  <c r="J20" i="30"/>
  <c r="F56" i="30"/>
  <c r="F164" i="30"/>
  <c r="K20" i="37"/>
  <c r="J20" i="38"/>
  <c r="J36" i="30"/>
  <c r="F180" i="30"/>
  <c r="F53" i="30"/>
  <c r="J17" i="30"/>
  <c r="F161" i="30"/>
  <c r="F37" i="30"/>
  <c r="L37" i="30"/>
  <c r="J22" i="30"/>
  <c r="F58" i="30"/>
  <c r="F166" i="30"/>
  <c r="F52" i="30"/>
  <c r="J16" i="30"/>
  <c r="F160" i="30"/>
  <c r="F57" i="30"/>
  <c r="J205" i="22"/>
  <c r="H365" i="22"/>
  <c r="J365" i="22"/>
  <c r="H293" i="22"/>
  <c r="H280" i="22"/>
  <c r="H439" i="22"/>
  <c r="J439" i="22"/>
  <c r="O154" i="33"/>
  <c r="O229" i="33"/>
  <c r="H235" i="22"/>
  <c r="H206" i="22"/>
  <c r="H193" i="22"/>
  <c r="J192" i="22"/>
  <c r="H352" i="22"/>
  <c r="H221" i="22"/>
  <c r="H179" i="22"/>
  <c r="J178" i="22"/>
  <c r="H338" i="22"/>
  <c r="I221" i="22"/>
  <c r="I381" i="22"/>
  <c r="I179" i="22"/>
  <c r="I338" i="22"/>
  <c r="H266" i="22"/>
  <c r="H425" i="22"/>
  <c r="J425" i="22"/>
  <c r="J248" i="22"/>
  <c r="H408" i="22"/>
  <c r="J279" i="22"/>
  <c r="I235" i="22"/>
  <c r="I206" i="22"/>
  <c r="I366" i="22"/>
  <c r="J366" i="22"/>
  <c r="I193" i="22"/>
  <c r="I352" i="22"/>
  <c r="P147" i="33"/>
  <c r="Y128" i="33"/>
  <c r="Z128" i="33"/>
  <c r="Y130" i="33"/>
  <c r="Z130" i="33"/>
  <c r="Y134" i="33"/>
  <c r="Z134" i="33"/>
  <c r="O147" i="33"/>
  <c r="T146" i="33"/>
  <c r="Y123" i="33"/>
  <c r="Z123" i="33"/>
  <c r="Y126" i="33"/>
  <c r="Z126" i="33"/>
  <c r="Y133" i="33"/>
  <c r="Z133" i="33"/>
  <c r="T289" i="33"/>
  <c r="Y117" i="33"/>
  <c r="Z117" i="33"/>
  <c r="Y122" i="33"/>
  <c r="Z122" i="33"/>
  <c r="Y127" i="33"/>
  <c r="Z127" i="33"/>
  <c r="Y131" i="33"/>
  <c r="Z131" i="33"/>
  <c r="T280" i="33"/>
  <c r="Y137" i="33"/>
  <c r="Z137" i="33"/>
  <c r="N160" i="49"/>
  <c r="S299" i="33"/>
  <c r="Y150" i="33"/>
  <c r="Z150" i="33"/>
  <c r="T146" i="49"/>
  <c r="U146" i="49"/>
  <c r="Q305" i="49"/>
  <c r="Y92" i="33"/>
  <c r="Z92" i="33"/>
  <c r="T136" i="49"/>
  <c r="U136" i="49"/>
  <c r="S129" i="33"/>
  <c r="L160" i="49"/>
  <c r="R144" i="49"/>
  <c r="S144" i="49"/>
  <c r="T144" i="49"/>
  <c r="U144" i="49"/>
  <c r="P305" i="49"/>
  <c r="T133" i="49"/>
  <c r="U133" i="49"/>
  <c r="R133" i="49"/>
  <c r="S133" i="49"/>
  <c r="R149" i="49"/>
  <c r="S149" i="49"/>
  <c r="T138" i="49"/>
  <c r="U138" i="49"/>
  <c r="R138" i="49"/>
  <c r="S138" i="49"/>
  <c r="K25" i="49"/>
  <c r="K187" i="49"/>
  <c r="K274" i="49"/>
  <c r="K25" i="33"/>
  <c r="K174" i="33"/>
  <c r="K249" i="33"/>
  <c r="J75" i="22"/>
  <c r="H89" i="22"/>
  <c r="J89" i="22"/>
  <c r="H76" i="22"/>
  <c r="H34" i="22"/>
  <c r="J33" i="22"/>
  <c r="H47" i="22"/>
  <c r="K75" i="22"/>
  <c r="J338" i="22"/>
  <c r="H20" i="22"/>
  <c r="H62" i="22"/>
  <c r="K9" i="37"/>
  <c r="K44" i="37"/>
  <c r="K10" i="9"/>
  <c r="J9" i="38"/>
  <c r="J44" i="38"/>
  <c r="J153" i="30"/>
  <c r="F189" i="30"/>
  <c r="J45" i="30"/>
  <c r="J189" i="30"/>
  <c r="F201" i="30"/>
  <c r="J57" i="30"/>
  <c r="J201" i="30"/>
  <c r="K17" i="9"/>
  <c r="J16" i="38"/>
  <c r="J51" i="38"/>
  <c r="K16" i="37"/>
  <c r="K51" i="37"/>
  <c r="K67" i="37"/>
  <c r="K68" i="37"/>
  <c r="J160" i="30"/>
  <c r="K23" i="9"/>
  <c r="J21" i="38"/>
  <c r="J166" i="30"/>
  <c r="K21" i="37"/>
  <c r="F197" i="30"/>
  <c r="J53" i="30"/>
  <c r="J197" i="30"/>
  <c r="K38" i="9"/>
  <c r="J180" i="30"/>
  <c r="J35" i="38"/>
  <c r="J55" i="38"/>
  <c r="K35" i="37"/>
  <c r="F200" i="30"/>
  <c r="J56" i="30"/>
  <c r="J200" i="30"/>
  <c r="J35" i="30"/>
  <c r="F179" i="30"/>
  <c r="F195" i="30"/>
  <c r="J51" i="30"/>
  <c r="F196" i="30"/>
  <c r="J52" i="30"/>
  <c r="J196" i="30"/>
  <c r="F202" i="30"/>
  <c r="J58" i="30"/>
  <c r="J202" i="30"/>
  <c r="J37" i="30"/>
  <c r="F181" i="30"/>
  <c r="K18" i="9"/>
  <c r="K18" i="49"/>
  <c r="J161" i="30"/>
  <c r="J17" i="38"/>
  <c r="J52" i="38"/>
  <c r="K17" i="37"/>
  <c r="K52" i="37"/>
  <c r="K21" i="9"/>
  <c r="J19" i="38"/>
  <c r="J164" i="30"/>
  <c r="K19" i="37"/>
  <c r="K16" i="9"/>
  <c r="J159" i="30"/>
  <c r="J15" i="38"/>
  <c r="K15" i="37"/>
  <c r="I236" i="22"/>
  <c r="I207" i="22"/>
  <c r="I367" i="22"/>
  <c r="I194" i="22"/>
  <c r="I353" i="22"/>
  <c r="I395" i="22"/>
  <c r="I249" i="22"/>
  <c r="I409" i="22"/>
  <c r="J221" i="22"/>
  <c r="H381" i="22"/>
  <c r="J381" i="22"/>
  <c r="J206" i="22"/>
  <c r="H366" i="22"/>
  <c r="H453" i="22"/>
  <c r="J453" i="22"/>
  <c r="J293" i="22"/>
  <c r="H267" i="22"/>
  <c r="H426" i="22"/>
  <c r="J426" i="22"/>
  <c r="J266" i="22"/>
  <c r="I222" i="22"/>
  <c r="I382" i="22"/>
  <c r="J382" i="22"/>
  <c r="I180" i="22"/>
  <c r="I339" i="22"/>
  <c r="H222" i="22"/>
  <c r="H180" i="22"/>
  <c r="J179" i="22"/>
  <c r="K179" i="22"/>
  <c r="H339" i="22"/>
  <c r="J339" i="22"/>
  <c r="H236" i="22"/>
  <c r="H207" i="22"/>
  <c r="H194" i="22"/>
  <c r="J193" i="22"/>
  <c r="K193" i="22"/>
  <c r="H353" i="22"/>
  <c r="J353" i="22"/>
  <c r="H249" i="22"/>
  <c r="J235" i="22"/>
  <c r="H395" i="22"/>
  <c r="J395" i="22"/>
  <c r="H294" i="22"/>
  <c r="H281" i="22"/>
  <c r="H295" i="22"/>
  <c r="J295" i="22"/>
  <c r="J280" i="22"/>
  <c r="J352" i="22"/>
  <c r="T147" i="33"/>
  <c r="Y129" i="33"/>
  <c r="Z129" i="33"/>
  <c r="W129" i="33"/>
  <c r="X129" i="33"/>
  <c r="E25" i="45"/>
  <c r="H25" i="45"/>
  <c r="I25" i="45" s="1"/>
  <c r="H77" i="22"/>
  <c r="J34" i="22"/>
  <c r="H48" i="22"/>
  <c r="H90" i="22"/>
  <c r="J90" i="22"/>
  <c r="J76" i="22"/>
  <c r="H63" i="22"/>
  <c r="K159" i="9"/>
  <c r="K48" i="9"/>
  <c r="K196" i="9"/>
  <c r="K10" i="33"/>
  <c r="K10" i="49"/>
  <c r="J50" i="38"/>
  <c r="K165" i="9"/>
  <c r="K16" i="49"/>
  <c r="K21" i="33"/>
  <c r="K56" i="9"/>
  <c r="K204" i="9"/>
  <c r="K18" i="33"/>
  <c r="K167" i="9"/>
  <c r="K39" i="9"/>
  <c r="K61" i="9"/>
  <c r="K36" i="37"/>
  <c r="J181" i="30"/>
  <c r="J36" i="38"/>
  <c r="K38" i="33"/>
  <c r="K186" i="9"/>
  <c r="K38" i="49"/>
  <c r="K23" i="49"/>
  <c r="K23" i="33"/>
  <c r="K172" i="9"/>
  <c r="K166" i="9"/>
  <c r="K55" i="9"/>
  <c r="K203" i="9"/>
  <c r="K17" i="49"/>
  <c r="K17" i="33"/>
  <c r="K55" i="33"/>
  <c r="K50" i="37"/>
  <c r="J195" i="30"/>
  <c r="K37" i="9"/>
  <c r="K37" i="49"/>
  <c r="J34" i="38"/>
  <c r="J54" i="38"/>
  <c r="K34" i="37"/>
  <c r="J179" i="30"/>
  <c r="K54" i="37"/>
  <c r="K56" i="37"/>
  <c r="J56" i="38"/>
  <c r="J249" i="22"/>
  <c r="H409" i="22"/>
  <c r="J409" i="22"/>
  <c r="J281" i="22"/>
  <c r="H237" i="22"/>
  <c r="H208" i="22"/>
  <c r="H195" i="22"/>
  <c r="J194" i="22"/>
  <c r="H354" i="22"/>
  <c r="H250" i="22"/>
  <c r="J236" i="22"/>
  <c r="H396" i="22"/>
  <c r="J222" i="22"/>
  <c r="K222" i="22"/>
  <c r="H382" i="22"/>
  <c r="I223" i="22"/>
  <c r="I181" i="22"/>
  <c r="H427" i="22"/>
  <c r="J427" i="22"/>
  <c r="J267" i="22"/>
  <c r="I354" i="22"/>
  <c r="J354" i="22"/>
  <c r="I237" i="22"/>
  <c r="I208" i="22"/>
  <c r="I195" i="22"/>
  <c r="I250" i="22"/>
  <c r="I410" i="22"/>
  <c r="I396" i="22"/>
  <c r="K236" i="22"/>
  <c r="J294" i="22"/>
  <c r="J207" i="22"/>
  <c r="H367" i="22"/>
  <c r="J367" i="22"/>
  <c r="H223" i="22"/>
  <c r="J223" i="22"/>
  <c r="H181" i="22"/>
  <c r="J180" i="22"/>
  <c r="H340" i="22"/>
  <c r="H91" i="22"/>
  <c r="K48" i="49"/>
  <c r="K172" i="49"/>
  <c r="K259" i="49"/>
  <c r="P10" i="49"/>
  <c r="E10" i="45"/>
  <c r="R10" i="33"/>
  <c r="K159" i="33"/>
  <c r="K234" i="33"/>
  <c r="K48" i="33"/>
  <c r="K196" i="33"/>
  <c r="K271" i="33"/>
  <c r="K166" i="33"/>
  <c r="K241" i="33"/>
  <c r="K199" i="49"/>
  <c r="K286" i="49"/>
  <c r="E18" i="45"/>
  <c r="H18" i="45" s="1"/>
  <c r="I18" i="45" s="1"/>
  <c r="R18" i="33"/>
  <c r="K56" i="33"/>
  <c r="K204" i="33"/>
  <c r="K279" i="33"/>
  <c r="K167" i="33"/>
  <c r="K242" i="33"/>
  <c r="R21" i="33"/>
  <c r="E21" i="45"/>
  <c r="H21" i="45" s="1"/>
  <c r="I21" i="45" s="1"/>
  <c r="K170" i="33"/>
  <c r="K245" i="33"/>
  <c r="K231" i="9"/>
  <c r="K185" i="9"/>
  <c r="K179" i="49"/>
  <c r="K266" i="49"/>
  <c r="K55" i="49"/>
  <c r="K216" i="49"/>
  <c r="K303" i="49"/>
  <c r="K172" i="33"/>
  <c r="K247" i="33"/>
  <c r="K185" i="49"/>
  <c r="K272" i="49"/>
  <c r="K186" i="33"/>
  <c r="K261" i="33"/>
  <c r="K39" i="49"/>
  <c r="K200" i="49"/>
  <c r="K287" i="49"/>
  <c r="K233" i="9"/>
  <c r="K187" i="9"/>
  <c r="K39" i="33"/>
  <c r="K61" i="33"/>
  <c r="K178" i="49"/>
  <c r="K265" i="49"/>
  <c r="K54" i="49"/>
  <c r="K215" i="49"/>
  <c r="K302" i="49"/>
  <c r="K59" i="9"/>
  <c r="K207" i="9"/>
  <c r="H224" i="22"/>
  <c r="H384" i="22"/>
  <c r="J181" i="22"/>
  <c r="H341" i="22"/>
  <c r="H383" i="22"/>
  <c r="J250" i="22"/>
  <c r="H410" i="22"/>
  <c r="J410" i="22"/>
  <c r="J208" i="22"/>
  <c r="H368" i="22"/>
  <c r="J396" i="22"/>
  <c r="I238" i="22"/>
  <c r="I209" i="22"/>
  <c r="I355" i="22"/>
  <c r="I251" i="22"/>
  <c r="I411" i="22"/>
  <c r="J411" i="22"/>
  <c r="I397" i="22"/>
  <c r="I224" i="22"/>
  <c r="H238" i="22"/>
  <c r="H252" i="22"/>
  <c r="H209" i="22"/>
  <c r="J195" i="22"/>
  <c r="H355" i="22"/>
  <c r="J355" i="22"/>
  <c r="H251" i="22"/>
  <c r="J237" i="22"/>
  <c r="H397" i="22"/>
  <c r="J397" i="22"/>
  <c r="U10" i="33"/>
  <c r="V10" i="33"/>
  <c r="R159" i="33"/>
  <c r="R234" i="33"/>
  <c r="R10" i="49"/>
  <c r="S10" i="49"/>
  <c r="P172" i="49"/>
  <c r="P259" i="49"/>
  <c r="P48" i="49"/>
  <c r="R48" i="49"/>
  <c r="S48" i="49"/>
  <c r="K209" i="49"/>
  <c r="K296" i="49"/>
  <c r="E39" i="45"/>
  <c r="R170" i="33"/>
  <c r="R245" i="33"/>
  <c r="R167" i="33"/>
  <c r="R242" i="33"/>
  <c r="U18" i="33"/>
  <c r="V18" i="33"/>
  <c r="K61" i="49"/>
  <c r="K222" i="49"/>
  <c r="K309" i="49"/>
  <c r="J251" i="22"/>
  <c r="H411" i="22"/>
  <c r="J238" i="22"/>
  <c r="J209" i="22"/>
  <c r="H369" i="22"/>
  <c r="I252" i="22"/>
  <c r="J224" i="22"/>
  <c r="K61" i="37"/>
  <c r="K64" i="37"/>
  <c r="K13" i="33"/>
  <c r="K51" i="33"/>
  <c r="K13" i="49"/>
  <c r="K51" i="9"/>
  <c r="K199" i="9"/>
  <c r="K162" i="9"/>
  <c r="J31" i="38"/>
  <c r="J73" i="38"/>
  <c r="J74" i="38"/>
  <c r="J78" i="38"/>
  <c r="J81" i="38"/>
  <c r="J165" i="30"/>
  <c r="J32" i="30"/>
  <c r="J176" i="30"/>
  <c r="K8" i="37"/>
  <c r="G213" i="30"/>
  <c r="K212" i="9"/>
  <c r="K64" i="33"/>
  <c r="K212" i="33"/>
  <c r="K287" i="33"/>
  <c r="K64" i="49"/>
  <c r="F183" i="30"/>
  <c r="F41" i="30"/>
  <c r="F185" i="30"/>
  <c r="J39" i="30"/>
  <c r="F60" i="30"/>
  <c r="J60" i="30"/>
  <c r="R25" i="33"/>
  <c r="U25" i="33"/>
  <c r="V25" i="33"/>
  <c r="P25" i="49"/>
  <c r="K174" i="9"/>
  <c r="D70" i="30"/>
  <c r="D214" i="30"/>
  <c r="K173" i="9"/>
  <c r="K24" i="49"/>
  <c r="K186" i="49"/>
  <c r="K273" i="49"/>
  <c r="K24" i="33"/>
  <c r="R39" i="33"/>
  <c r="U39" i="33"/>
  <c r="V39" i="33"/>
  <c r="K187" i="33"/>
  <c r="K262" i="33"/>
  <c r="K14" i="33"/>
  <c r="K52" i="9"/>
  <c r="K200" i="9"/>
  <c r="K14" i="49"/>
  <c r="K163" i="9"/>
  <c r="K162" i="33"/>
  <c r="K237" i="33"/>
  <c r="E13" i="45"/>
  <c r="H13" i="45" s="1"/>
  <c r="I13" i="45" s="1"/>
  <c r="K51" i="49"/>
  <c r="K175" i="49"/>
  <c r="K262" i="49"/>
  <c r="K43" i="37"/>
  <c r="K31" i="37"/>
  <c r="K73" i="37"/>
  <c r="K74" i="37"/>
  <c r="K78" i="37"/>
  <c r="P64" i="49"/>
  <c r="K225" i="49"/>
  <c r="K312" i="49"/>
  <c r="R64" i="33"/>
  <c r="P187" i="49"/>
  <c r="P274" i="49"/>
  <c r="J38" i="38"/>
  <c r="J58" i="38"/>
  <c r="K38" i="37"/>
  <c r="K41" i="9"/>
  <c r="K235" i="9"/>
  <c r="J183" i="30"/>
  <c r="J41" i="30"/>
  <c r="J185" i="30"/>
  <c r="D174" i="47"/>
  <c r="G174" i="47"/>
  <c r="R24" i="33"/>
  <c r="U24" i="33"/>
  <c r="V24" i="33"/>
  <c r="K173" i="33"/>
  <c r="K248" i="33"/>
  <c r="E24" i="45"/>
  <c r="H24" i="45" s="1"/>
  <c r="I24" i="45" s="1"/>
  <c r="P24" i="49"/>
  <c r="R24" i="49"/>
  <c r="S24" i="49"/>
  <c r="K176" i="49"/>
  <c r="K263" i="49"/>
  <c r="K52" i="49"/>
  <c r="R14" i="33"/>
  <c r="E14" i="45"/>
  <c r="H14" i="45" s="1"/>
  <c r="K52" i="33"/>
  <c r="K200" i="33"/>
  <c r="K275" i="33"/>
  <c r="K163" i="33"/>
  <c r="K238" i="33"/>
  <c r="K212" i="49"/>
  <c r="K242" i="49"/>
  <c r="R212" i="33"/>
  <c r="R287" i="33"/>
  <c r="U64" i="33"/>
  <c r="V64" i="33"/>
  <c r="R64" i="49"/>
  <c r="S64" i="49"/>
  <c r="P225" i="49"/>
  <c r="P312" i="49"/>
  <c r="D185" i="47"/>
  <c r="G185" i="47"/>
  <c r="K189" i="9"/>
  <c r="K63" i="9"/>
  <c r="K211" i="9"/>
  <c r="J40" i="38"/>
  <c r="K40" i="37"/>
  <c r="K58" i="37"/>
  <c r="K213" i="49"/>
  <c r="K299" i="49"/>
  <c r="K300" i="49"/>
  <c r="K178" i="9"/>
  <c r="K68" i="9"/>
  <c r="J63" i="38"/>
  <c r="J209" i="30"/>
  <c r="K63" i="37"/>
  <c r="O180" i="9"/>
  <c r="J169" i="52"/>
  <c r="C13" i="41"/>
  <c r="C14" i="41"/>
  <c r="F14" i="41"/>
  <c r="D12" i="41"/>
  <c r="F12" i="41"/>
  <c r="D11" i="41"/>
  <c r="F11" i="41"/>
  <c r="B13" i="41"/>
  <c r="K216" i="9"/>
  <c r="B14" i="41"/>
  <c r="D13" i="41"/>
  <c r="F13" i="41"/>
  <c r="D14" i="41"/>
  <c r="P166" i="9"/>
  <c r="P55" i="9"/>
  <c r="P203" i="9"/>
  <c r="P17" i="33"/>
  <c r="P16" i="33"/>
  <c r="P54" i="9"/>
  <c r="P202" i="9"/>
  <c r="P165" i="9"/>
  <c r="P189" i="9"/>
  <c r="P41" i="33"/>
  <c r="P189" i="33"/>
  <c r="P264" i="33"/>
  <c r="P187" i="9"/>
  <c r="P39" i="33"/>
  <c r="P187" i="33"/>
  <c r="P262" i="33"/>
  <c r="P21" i="33"/>
  <c r="P170" i="9"/>
  <c r="P231" i="9"/>
  <c r="P59" i="9"/>
  <c r="P207" i="9"/>
  <c r="P56" i="9"/>
  <c r="P204" i="9"/>
  <c r="P167" i="9"/>
  <c r="P18" i="33"/>
  <c r="P164" i="9"/>
  <c r="P53" i="9"/>
  <c r="P201" i="9"/>
  <c r="P15" i="33"/>
  <c r="P14" i="33"/>
  <c r="P52" i="9"/>
  <c r="P200" i="9"/>
  <c r="P163" i="9"/>
  <c r="P49" i="9"/>
  <c r="P197" i="9"/>
  <c r="P11" i="33"/>
  <c r="P160" i="9"/>
  <c r="P10" i="33"/>
  <c r="P48" i="9"/>
  <c r="P196" i="9"/>
  <c r="P159" i="9"/>
  <c r="P212" i="9"/>
  <c r="P64" i="33"/>
  <c r="P212" i="33"/>
  <c r="P287" i="33"/>
  <c r="P232" i="9"/>
  <c r="P38" i="33"/>
  <c r="P60" i="9"/>
  <c r="P208" i="9"/>
  <c r="P186" i="9"/>
  <c r="P176" i="9"/>
  <c r="P28" i="33"/>
  <c r="P63" i="9"/>
  <c r="P211" i="9"/>
  <c r="P235" i="9"/>
  <c r="P174" i="9"/>
  <c r="P25" i="33"/>
  <c r="P23" i="33"/>
  <c r="P172" i="9"/>
  <c r="P233" i="9"/>
  <c r="P61" i="9"/>
  <c r="P209" i="9"/>
  <c r="P46" i="9"/>
  <c r="P8" i="33"/>
  <c r="P157" i="9"/>
  <c r="J202" i="52"/>
  <c r="J67" i="52"/>
  <c r="J61" i="52"/>
  <c r="J197" i="52"/>
  <c r="O41" i="33"/>
  <c r="O189" i="9"/>
  <c r="J176" i="52"/>
  <c r="O185" i="9"/>
  <c r="O231" i="9"/>
  <c r="O37" i="33"/>
  <c r="G37" i="45"/>
  <c r="L37" i="45" s="1"/>
  <c r="O59" i="9"/>
  <c r="O176" i="9"/>
  <c r="O28" i="33"/>
  <c r="O25" i="33"/>
  <c r="O174" i="9"/>
  <c r="O235" i="9"/>
  <c r="O163" i="9"/>
  <c r="O52" i="9"/>
  <c r="O200" i="9"/>
  <c r="O14" i="33"/>
  <c r="O157" i="9"/>
  <c r="O8" i="33"/>
  <c r="O46" i="9"/>
  <c r="O194" i="9"/>
  <c r="O212" i="9"/>
  <c r="O63" i="9"/>
  <c r="O211" i="9"/>
  <c r="O64" i="33"/>
  <c r="O187" i="9"/>
  <c r="O233" i="9"/>
  <c r="O61" i="9"/>
  <c r="O39" i="33"/>
  <c r="O176" i="33"/>
  <c r="O56" i="9"/>
  <c r="O204" i="9"/>
  <c r="O18" i="33"/>
  <c r="O167" i="9"/>
  <c r="O17" i="33"/>
  <c r="O55" i="9"/>
  <c r="O203" i="9"/>
  <c r="O166" i="9"/>
  <c r="O54" i="9"/>
  <c r="O202" i="9"/>
  <c r="O16" i="33"/>
  <c r="O165" i="9"/>
  <c r="O15" i="33"/>
  <c r="O53" i="9"/>
  <c r="O201" i="9"/>
  <c r="O164" i="9"/>
  <c r="O160" i="9"/>
  <c r="O11" i="33"/>
  <c r="O49" i="9"/>
  <c r="O197" i="9"/>
  <c r="O48" i="9"/>
  <c r="O159" i="9"/>
  <c r="O10" i="33"/>
  <c r="Q163" i="49"/>
  <c r="M324" i="49"/>
  <c r="J211" i="40"/>
  <c r="N67" i="9"/>
  <c r="N215" i="9"/>
  <c r="J202" i="40"/>
  <c r="N24" i="33"/>
  <c r="J201" i="40"/>
  <c r="G177" i="47"/>
  <c r="F177" i="47"/>
  <c r="N14" i="33"/>
  <c r="N52" i="9"/>
  <c r="N200" i="9"/>
  <c r="N163" i="9"/>
  <c r="N14" i="49"/>
  <c r="J153" i="40"/>
  <c r="J45" i="40"/>
  <c r="J31" i="40"/>
  <c r="J171" i="40"/>
  <c r="F207" i="40"/>
  <c r="J149" i="40"/>
  <c r="N46" i="9"/>
  <c r="N194" i="9"/>
  <c r="N157" i="9"/>
  <c r="N8" i="33"/>
  <c r="N8" i="49"/>
  <c r="N64" i="33"/>
  <c r="N64" i="49"/>
  <c r="N212" i="9"/>
  <c r="N41" i="33"/>
  <c r="N189" i="33"/>
  <c r="N264" i="33"/>
  <c r="N189" i="9"/>
  <c r="N41" i="49"/>
  <c r="N202" i="49"/>
  <c r="N289" i="49"/>
  <c r="N187" i="9"/>
  <c r="N39" i="33"/>
  <c r="N187" i="33"/>
  <c r="N262" i="33"/>
  <c r="N39" i="49"/>
  <c r="N200" i="49"/>
  <c r="N287" i="49"/>
  <c r="N28" i="33"/>
  <c r="N176" i="9"/>
  <c r="N28" i="49"/>
  <c r="N174" i="9"/>
  <c r="N63" i="9"/>
  <c r="N211" i="9"/>
  <c r="N25" i="33"/>
  <c r="N235" i="9"/>
  <c r="N25" i="49"/>
  <c r="N24" i="49"/>
  <c r="N233" i="9"/>
  <c r="N23" i="49"/>
  <c r="N23" i="33"/>
  <c r="N61" i="9"/>
  <c r="N209" i="9"/>
  <c r="N172" i="9"/>
  <c r="N18" i="33"/>
  <c r="N56" i="9"/>
  <c r="N204" i="9"/>
  <c r="N167" i="9"/>
  <c r="N18" i="49"/>
  <c r="N55" i="9"/>
  <c r="N203" i="9"/>
  <c r="N166" i="9"/>
  <c r="N17" i="49"/>
  <c r="N17" i="33"/>
  <c r="N16" i="33"/>
  <c r="N54" i="9"/>
  <c r="N202" i="9"/>
  <c r="N165" i="9"/>
  <c r="N16" i="49"/>
  <c r="N164" i="9"/>
  <c r="N15" i="49"/>
  <c r="N53" i="9"/>
  <c r="N201" i="9"/>
  <c r="N15" i="33"/>
  <c r="N13" i="49"/>
  <c r="N13" i="33"/>
  <c r="N51" i="9"/>
  <c r="N199" i="9"/>
  <c r="N162" i="9"/>
  <c r="J185" i="40"/>
  <c r="N49" i="9"/>
  <c r="N197" i="9"/>
  <c r="N160" i="9"/>
  <c r="N11" i="49"/>
  <c r="N11" i="33"/>
  <c r="N159" i="9"/>
  <c r="N10" i="49"/>
  <c r="N10" i="33"/>
  <c r="N48" i="9"/>
  <c r="J61" i="39"/>
  <c r="J201" i="39"/>
  <c r="J56" i="39"/>
  <c r="J196" i="39"/>
  <c r="F68" i="39"/>
  <c r="F208" i="39"/>
  <c r="M66" i="9"/>
  <c r="M214" i="9"/>
  <c r="F176" i="47"/>
  <c r="G176" i="47"/>
  <c r="J159" i="39"/>
  <c r="J54" i="39"/>
  <c r="J194" i="39"/>
  <c r="M14" i="49"/>
  <c r="M14" i="33"/>
  <c r="M52" i="9"/>
  <c r="M200" i="9"/>
  <c r="M163" i="9"/>
  <c r="J43" i="39"/>
  <c r="M189" i="9"/>
  <c r="M41" i="33"/>
  <c r="M41" i="49"/>
  <c r="J57" i="39"/>
  <c r="M187" i="9"/>
  <c r="M39" i="49"/>
  <c r="M39" i="33"/>
  <c r="M38" i="49"/>
  <c r="M38" i="33"/>
  <c r="M186" i="9"/>
  <c r="M37" i="49"/>
  <c r="M185" i="9"/>
  <c r="M37" i="33"/>
  <c r="F37" i="45"/>
  <c r="M28" i="49"/>
  <c r="M28" i="33"/>
  <c r="M177" i="9"/>
  <c r="M174" i="9"/>
  <c r="M25" i="33"/>
  <c r="M235" i="9"/>
  <c r="M25" i="49"/>
  <c r="M63" i="9"/>
  <c r="M211" i="9"/>
  <c r="M23" i="33"/>
  <c r="M233" i="9"/>
  <c r="M61" i="9"/>
  <c r="M209" i="9"/>
  <c r="M172" i="9"/>
  <c r="M23" i="49"/>
  <c r="M232" i="9"/>
  <c r="M60" i="9"/>
  <c r="M208" i="9"/>
  <c r="M171" i="9"/>
  <c r="M22" i="33"/>
  <c r="M22" i="49"/>
  <c r="M21" i="33"/>
  <c r="M21" i="49"/>
  <c r="M231" i="9"/>
  <c r="M59" i="9"/>
  <c r="M207" i="9"/>
  <c r="M170" i="9"/>
  <c r="M56" i="9"/>
  <c r="M204" i="9"/>
  <c r="M18" i="49"/>
  <c r="M18" i="33"/>
  <c r="M167" i="9"/>
  <c r="M55" i="9"/>
  <c r="M203" i="9"/>
  <c r="M166" i="9"/>
  <c r="M17" i="49"/>
  <c r="M17" i="33"/>
  <c r="M16" i="49"/>
  <c r="M16" i="33"/>
  <c r="M54" i="9"/>
  <c r="M202" i="9"/>
  <c r="M165" i="9"/>
  <c r="M15" i="33"/>
  <c r="M53" i="9"/>
  <c r="M201" i="9"/>
  <c r="M164" i="9"/>
  <c r="M15" i="49"/>
  <c r="M13" i="49"/>
  <c r="M13" i="33"/>
  <c r="M51" i="9"/>
  <c r="M199" i="9"/>
  <c r="M162" i="9"/>
  <c r="M11" i="33"/>
  <c r="M49" i="9"/>
  <c r="M197" i="9"/>
  <c r="M160" i="9"/>
  <c r="M11" i="49"/>
  <c r="M10" i="49"/>
  <c r="M159" i="9"/>
  <c r="M10" i="33"/>
  <c r="M48" i="9"/>
  <c r="M196" i="9"/>
  <c r="J183" i="39"/>
  <c r="M8" i="33"/>
  <c r="M157" i="9"/>
  <c r="M46" i="9"/>
  <c r="M8" i="49"/>
  <c r="J204" i="31"/>
  <c r="L69" i="9"/>
  <c r="L217" i="9"/>
  <c r="L64" i="37"/>
  <c r="K64" i="38"/>
  <c r="L62" i="37"/>
  <c r="L67" i="9"/>
  <c r="L215" i="9"/>
  <c r="K62" i="38"/>
  <c r="J202" i="31"/>
  <c r="L66" i="9"/>
  <c r="L214" i="9"/>
  <c r="L61" i="37"/>
  <c r="L67" i="37"/>
  <c r="L68" i="37"/>
  <c r="J201" i="31"/>
  <c r="K61" i="38"/>
  <c r="G68" i="31"/>
  <c r="G208" i="31"/>
  <c r="L159" i="33"/>
  <c r="L234" i="33"/>
  <c r="H10" i="45"/>
  <c r="I10" i="45" s="1"/>
  <c r="D186" i="47"/>
  <c r="F175" i="47"/>
  <c r="F186" i="47"/>
  <c r="F198" i="47"/>
  <c r="G175" i="47"/>
  <c r="L196" i="33"/>
  <c r="L271" i="33"/>
  <c r="E48" i="45"/>
  <c r="R48" i="33"/>
  <c r="K67" i="38"/>
  <c r="K68" i="38"/>
  <c r="L63" i="49"/>
  <c r="L202" i="49"/>
  <c r="L289" i="49"/>
  <c r="L200" i="49"/>
  <c r="L287" i="49"/>
  <c r="P39" i="49"/>
  <c r="L43" i="9"/>
  <c r="L191" i="9"/>
  <c r="L186" i="9"/>
  <c r="L38" i="33"/>
  <c r="L38" i="49"/>
  <c r="J67" i="31"/>
  <c r="J68" i="31"/>
  <c r="J208" i="31"/>
  <c r="L198" i="49"/>
  <c r="L285" i="49"/>
  <c r="L59" i="49"/>
  <c r="L228" i="49"/>
  <c r="L314" i="49"/>
  <c r="L189" i="49"/>
  <c r="L276" i="49"/>
  <c r="L215" i="33"/>
  <c r="L289" i="33"/>
  <c r="L61" i="49"/>
  <c r="L185" i="49"/>
  <c r="L272" i="49"/>
  <c r="P23" i="49"/>
  <c r="L171" i="9"/>
  <c r="L232" i="9"/>
  <c r="L34" i="9"/>
  <c r="L22" i="49"/>
  <c r="L22" i="33"/>
  <c r="L60" i="9"/>
  <c r="E56" i="45"/>
  <c r="R56" i="33"/>
  <c r="L56" i="49"/>
  <c r="L180" i="49"/>
  <c r="L267" i="49"/>
  <c r="L203" i="33"/>
  <c r="L278" i="33"/>
  <c r="L179" i="49"/>
  <c r="L266" i="49"/>
  <c r="L55" i="49"/>
  <c r="P17" i="49"/>
  <c r="L202" i="33"/>
  <c r="L277" i="33"/>
  <c r="P16" i="49"/>
  <c r="L178" i="49"/>
  <c r="L265" i="49"/>
  <c r="L54" i="49"/>
  <c r="D207" i="31"/>
  <c r="L177" i="49"/>
  <c r="L264" i="49"/>
  <c r="L53" i="49"/>
  <c r="L200" i="33"/>
  <c r="L275" i="33"/>
  <c r="E52" i="45"/>
  <c r="R52" i="33"/>
  <c r="L176" i="49"/>
  <c r="L263" i="49"/>
  <c r="L52" i="49"/>
  <c r="P14" i="49"/>
  <c r="L51" i="49"/>
  <c r="P13" i="49"/>
  <c r="L175" i="49"/>
  <c r="L262" i="49"/>
  <c r="L199" i="33"/>
  <c r="L274" i="33"/>
  <c r="L197" i="33"/>
  <c r="L272" i="33"/>
  <c r="L173" i="49"/>
  <c r="L260" i="49"/>
  <c r="L49" i="49"/>
  <c r="L34" i="49"/>
  <c r="L194" i="33"/>
  <c r="L269" i="33"/>
  <c r="P55" i="33"/>
  <c r="P203" i="33"/>
  <c r="P278" i="33"/>
  <c r="P166" i="33"/>
  <c r="P241" i="33"/>
  <c r="P165" i="33"/>
  <c r="P240" i="33"/>
  <c r="P54" i="33"/>
  <c r="P202" i="33"/>
  <c r="P277" i="33"/>
  <c r="G21" i="45"/>
  <c r="P170" i="33"/>
  <c r="P245" i="33"/>
  <c r="P59" i="33"/>
  <c r="P207" i="33"/>
  <c r="P282" i="33"/>
  <c r="T21" i="33"/>
  <c r="T170" i="33"/>
  <c r="T245" i="33"/>
  <c r="P56" i="33"/>
  <c r="P204" i="33"/>
  <c r="P279" i="33"/>
  <c r="P167" i="33"/>
  <c r="P242" i="33"/>
  <c r="P164" i="33"/>
  <c r="P239" i="33"/>
  <c r="P53" i="33"/>
  <c r="P201" i="33"/>
  <c r="P276" i="33"/>
  <c r="P52" i="33"/>
  <c r="P200" i="33"/>
  <c r="P275" i="33"/>
  <c r="P163" i="33"/>
  <c r="P238" i="33"/>
  <c r="P49" i="33"/>
  <c r="P197" i="33"/>
  <c r="P272" i="33"/>
  <c r="P160" i="33"/>
  <c r="P235" i="33"/>
  <c r="P48" i="33"/>
  <c r="P196" i="33"/>
  <c r="P271" i="33"/>
  <c r="P159" i="33"/>
  <c r="P234" i="33"/>
  <c r="P60" i="33"/>
  <c r="P208" i="33"/>
  <c r="P283" i="33"/>
  <c r="P186" i="33"/>
  <c r="P261" i="33"/>
  <c r="G28" i="45"/>
  <c r="P176" i="33"/>
  <c r="P66" i="33"/>
  <c r="P215" i="33"/>
  <c r="P63" i="33"/>
  <c r="P211" i="33"/>
  <c r="P286" i="33"/>
  <c r="P174" i="33"/>
  <c r="P249" i="33"/>
  <c r="G23" i="45"/>
  <c r="P172" i="33"/>
  <c r="P247" i="33"/>
  <c r="P61" i="33"/>
  <c r="P209" i="33"/>
  <c r="P284" i="33"/>
  <c r="T23" i="33"/>
  <c r="T172" i="33"/>
  <c r="T247" i="33"/>
  <c r="P194" i="9"/>
  <c r="P157" i="33"/>
  <c r="P232" i="33"/>
  <c r="P46" i="33"/>
  <c r="T28" i="33"/>
  <c r="T176" i="33"/>
  <c r="O66" i="33"/>
  <c r="J201" i="52"/>
  <c r="O66" i="9"/>
  <c r="O214" i="9"/>
  <c r="T41" i="33"/>
  <c r="T189" i="33"/>
  <c r="T264" i="33"/>
  <c r="O189" i="33"/>
  <c r="O264" i="33"/>
  <c r="G41" i="45"/>
  <c r="T25" i="33"/>
  <c r="T174" i="33"/>
  <c r="T249" i="33"/>
  <c r="O174" i="33"/>
  <c r="O249" i="33"/>
  <c r="G25" i="45"/>
  <c r="T14" i="33"/>
  <c r="T163" i="33"/>
  <c r="T238" i="33"/>
  <c r="O163" i="33"/>
  <c r="O238" i="33"/>
  <c r="O52" i="33"/>
  <c r="G14" i="45"/>
  <c r="L14" i="45" s="1"/>
  <c r="M14" i="45" s="1"/>
  <c r="G8" i="45"/>
  <c r="T8" i="33"/>
  <c r="T157" i="33"/>
  <c r="T232" i="33"/>
  <c r="O46" i="33"/>
  <c r="O157" i="33"/>
  <c r="O232" i="33"/>
  <c r="G64" i="45"/>
  <c r="O63" i="33"/>
  <c r="O212" i="33"/>
  <c r="O287" i="33"/>
  <c r="T64" i="33"/>
  <c r="T212" i="33"/>
  <c r="T287" i="33"/>
  <c r="T39" i="33"/>
  <c r="T187" i="33"/>
  <c r="T262" i="33"/>
  <c r="O187" i="33"/>
  <c r="O262" i="33"/>
  <c r="G39" i="45"/>
  <c r="L39" i="45" s="1"/>
  <c r="M39" i="45" s="1"/>
  <c r="O61" i="33"/>
  <c r="O56" i="33"/>
  <c r="T18" i="33"/>
  <c r="T167" i="33"/>
  <c r="T242" i="33"/>
  <c r="G18" i="45"/>
  <c r="L18" i="45" s="1"/>
  <c r="O167" i="33"/>
  <c r="O242" i="33"/>
  <c r="G17" i="45"/>
  <c r="T17" i="33"/>
  <c r="T166" i="33"/>
  <c r="T241" i="33"/>
  <c r="O55" i="33"/>
  <c r="O166" i="33"/>
  <c r="O241" i="33"/>
  <c r="O54" i="33"/>
  <c r="G16" i="45"/>
  <c r="T16" i="33"/>
  <c r="T165" i="33"/>
  <c r="T240" i="33"/>
  <c r="O165" i="33"/>
  <c r="O240" i="33"/>
  <c r="T15" i="33"/>
  <c r="T164" i="33"/>
  <c r="T239" i="33"/>
  <c r="G15" i="45"/>
  <c r="O164" i="33"/>
  <c r="O239" i="33"/>
  <c r="O53" i="33"/>
  <c r="G11" i="45"/>
  <c r="T11" i="33"/>
  <c r="T160" i="33"/>
  <c r="T235" i="33"/>
  <c r="O49" i="33"/>
  <c r="O160" i="33"/>
  <c r="O235" i="33"/>
  <c r="O196" i="9"/>
  <c r="G10" i="45"/>
  <c r="L10" i="45" s="1"/>
  <c r="M10" i="45" s="1"/>
  <c r="T10" i="33"/>
  <c r="T159" i="33"/>
  <c r="T234" i="33"/>
  <c r="O48" i="33"/>
  <c r="O159" i="33"/>
  <c r="O234" i="33"/>
  <c r="Q324" i="49"/>
  <c r="T163" i="49"/>
  <c r="U163" i="49"/>
  <c r="N173" i="33"/>
  <c r="N248" i="33"/>
  <c r="N163" i="33"/>
  <c r="N238" i="33"/>
  <c r="N52" i="33"/>
  <c r="N200" i="33"/>
  <c r="N275" i="33"/>
  <c r="N52" i="49"/>
  <c r="N213" i="49"/>
  <c r="N300" i="49"/>
  <c r="N176" i="49"/>
  <c r="N263" i="49"/>
  <c r="N157" i="33"/>
  <c r="N232" i="33"/>
  <c r="N46" i="33"/>
  <c r="N46" i="49"/>
  <c r="N207" i="49"/>
  <c r="N170" i="49"/>
  <c r="N257" i="49"/>
  <c r="F64" i="45"/>
  <c r="L64" i="45"/>
  <c r="M64" i="45" s="1"/>
  <c r="S64" i="33"/>
  <c r="N212" i="33"/>
  <c r="N287" i="33"/>
  <c r="Q64" i="49"/>
  <c r="N225" i="49"/>
  <c r="N312" i="49"/>
  <c r="N67" i="49"/>
  <c r="N228" i="49"/>
  <c r="N314" i="49"/>
  <c r="N189" i="49"/>
  <c r="N276" i="49"/>
  <c r="N66" i="33"/>
  <c r="N176" i="33"/>
  <c r="N251" i="33"/>
  <c r="N63" i="49"/>
  <c r="N224" i="49"/>
  <c r="N311" i="49"/>
  <c r="N187" i="49"/>
  <c r="N274" i="49"/>
  <c r="N174" i="33"/>
  <c r="N249" i="33"/>
  <c r="N63" i="33"/>
  <c r="N211" i="33"/>
  <c r="N286" i="33"/>
  <c r="N186" i="49"/>
  <c r="N273" i="49"/>
  <c r="N172" i="33"/>
  <c r="N247" i="33"/>
  <c r="N61" i="33"/>
  <c r="N61" i="49"/>
  <c r="N222" i="49"/>
  <c r="N309" i="49"/>
  <c r="N185" i="49"/>
  <c r="N272" i="49"/>
  <c r="N56" i="33"/>
  <c r="N204" i="33"/>
  <c r="N279" i="33"/>
  <c r="N167" i="33"/>
  <c r="N242" i="33"/>
  <c r="N56" i="49"/>
  <c r="N217" i="49"/>
  <c r="N304" i="49"/>
  <c r="N180" i="49"/>
  <c r="N267" i="49"/>
  <c r="N55" i="49"/>
  <c r="N216" i="49"/>
  <c r="N303" i="49"/>
  <c r="N179" i="49"/>
  <c r="N266" i="49"/>
  <c r="N166" i="33"/>
  <c r="N241" i="33"/>
  <c r="N55" i="33"/>
  <c r="N203" i="33"/>
  <c r="N278" i="33"/>
  <c r="N178" i="49"/>
  <c r="N265" i="49"/>
  <c r="N54" i="49"/>
  <c r="N215" i="49"/>
  <c r="N165" i="33"/>
  <c r="N240" i="33"/>
  <c r="N54" i="33"/>
  <c r="N202" i="33"/>
  <c r="N277" i="33"/>
  <c r="N164" i="33"/>
  <c r="N239" i="33"/>
  <c r="N53" i="33"/>
  <c r="N201" i="33"/>
  <c r="N276" i="33"/>
  <c r="N53" i="49"/>
  <c r="N214" i="49"/>
  <c r="N301" i="49"/>
  <c r="N177" i="49"/>
  <c r="N264" i="49"/>
  <c r="N51" i="49"/>
  <c r="N212" i="49"/>
  <c r="N175" i="49"/>
  <c r="N262" i="49"/>
  <c r="N162" i="33"/>
  <c r="N237" i="33"/>
  <c r="N51" i="33"/>
  <c r="N199" i="33"/>
  <c r="N274" i="33"/>
  <c r="N49" i="49"/>
  <c r="N210" i="49"/>
  <c r="N297" i="49"/>
  <c r="N173" i="49"/>
  <c r="N260" i="49"/>
  <c r="N160" i="33"/>
  <c r="N235" i="33"/>
  <c r="N49" i="33"/>
  <c r="N197" i="33"/>
  <c r="N272" i="33"/>
  <c r="N48" i="33"/>
  <c r="N159" i="33"/>
  <c r="N234" i="33"/>
  <c r="N196" i="9"/>
  <c r="N48" i="49"/>
  <c r="N172" i="49"/>
  <c r="N259" i="49"/>
  <c r="Q14" i="49"/>
  <c r="Q176" i="49"/>
  <c r="Q263" i="49"/>
  <c r="M52" i="49"/>
  <c r="M176" i="49"/>
  <c r="M263" i="49"/>
  <c r="M52" i="33"/>
  <c r="F14" i="45"/>
  <c r="J14" i="45" s="1"/>
  <c r="M163" i="33"/>
  <c r="M238" i="33"/>
  <c r="S14" i="33"/>
  <c r="Q41" i="49"/>
  <c r="Q202" i="49"/>
  <c r="Q289" i="49"/>
  <c r="M202" i="49"/>
  <c r="M289" i="49"/>
  <c r="F41" i="45"/>
  <c r="M189" i="33"/>
  <c r="M264" i="33"/>
  <c r="S41" i="33"/>
  <c r="F39" i="45"/>
  <c r="M187" i="33"/>
  <c r="M262" i="33"/>
  <c r="S39" i="33"/>
  <c r="M200" i="49"/>
  <c r="M287" i="49"/>
  <c r="Q39" i="49"/>
  <c r="Q200" i="49"/>
  <c r="Q287" i="49"/>
  <c r="M199" i="49"/>
  <c r="M286" i="49"/>
  <c r="M186" i="33"/>
  <c r="M261" i="33"/>
  <c r="M198" i="49"/>
  <c r="M285" i="49"/>
  <c r="M185" i="33"/>
  <c r="M260" i="33"/>
  <c r="M189" i="49"/>
  <c r="M276" i="49"/>
  <c r="M67" i="49"/>
  <c r="Q28" i="49"/>
  <c r="M66" i="33"/>
  <c r="M176" i="33"/>
  <c r="M251" i="33"/>
  <c r="S28" i="33"/>
  <c r="F28" i="45"/>
  <c r="M187" i="49"/>
  <c r="M274" i="49"/>
  <c r="M63" i="49"/>
  <c r="Q25" i="49"/>
  <c r="M174" i="33"/>
  <c r="M249" i="33"/>
  <c r="S25" i="33"/>
  <c r="F25" i="45"/>
  <c r="M63" i="33"/>
  <c r="Q23" i="49"/>
  <c r="Q185" i="49"/>
  <c r="Q272" i="49"/>
  <c r="M61" i="49"/>
  <c r="M185" i="49"/>
  <c r="M272" i="49"/>
  <c r="S23" i="33"/>
  <c r="M172" i="33"/>
  <c r="M247" i="33"/>
  <c r="M61" i="33"/>
  <c r="F23" i="45"/>
  <c r="L23" i="45" s="1"/>
  <c r="M23" i="45"/>
  <c r="M184" i="49"/>
  <c r="M271" i="49"/>
  <c r="M60" i="49"/>
  <c r="Q22" i="49"/>
  <c r="Q184" i="49"/>
  <c r="Q271" i="49"/>
  <c r="M171" i="33"/>
  <c r="M246" i="33"/>
  <c r="M60" i="33"/>
  <c r="S22" i="33"/>
  <c r="F22" i="45"/>
  <c r="M59" i="33"/>
  <c r="M170" i="33"/>
  <c r="M245" i="33"/>
  <c r="M183" i="49"/>
  <c r="M270" i="49"/>
  <c r="M59" i="49"/>
  <c r="M167" i="33"/>
  <c r="M242" i="33"/>
  <c r="M56" i="33"/>
  <c r="F18" i="45"/>
  <c r="S18" i="33"/>
  <c r="M180" i="49"/>
  <c r="M267" i="49"/>
  <c r="Q18" i="49"/>
  <c r="Q180" i="49"/>
  <c r="Q267" i="49"/>
  <c r="M56" i="49"/>
  <c r="M55" i="49"/>
  <c r="M179" i="49"/>
  <c r="M266" i="49"/>
  <c r="Q17" i="49"/>
  <c r="Q179" i="49"/>
  <c r="Q266" i="49"/>
  <c r="M55" i="33"/>
  <c r="F17" i="45"/>
  <c r="L17" i="45" s="1"/>
  <c r="M17" i="45" s="1"/>
  <c r="S17" i="33"/>
  <c r="M166" i="33"/>
  <c r="M241" i="33"/>
  <c r="Q16" i="49"/>
  <c r="Q178" i="49"/>
  <c r="Q265" i="49"/>
  <c r="M178" i="49"/>
  <c r="M265" i="49"/>
  <c r="M54" i="49"/>
  <c r="M165" i="33"/>
  <c r="M240" i="33"/>
  <c r="S16" i="33"/>
  <c r="M54" i="33"/>
  <c r="F16" i="45"/>
  <c r="M164" i="33"/>
  <c r="M239" i="33"/>
  <c r="M53" i="33"/>
  <c r="F15" i="45"/>
  <c r="J15" i="45" s="1"/>
  <c r="S15" i="33"/>
  <c r="M53" i="49"/>
  <c r="M177" i="49"/>
  <c r="M264" i="49"/>
  <c r="Q15" i="49"/>
  <c r="Q177" i="49"/>
  <c r="Q264" i="49"/>
  <c r="M162" i="33"/>
  <c r="M237" i="33"/>
  <c r="M51" i="33"/>
  <c r="F13" i="45"/>
  <c r="S13" i="33"/>
  <c r="Q13" i="49"/>
  <c r="Q175" i="49"/>
  <c r="Q262" i="49"/>
  <c r="M51" i="49"/>
  <c r="M175" i="49"/>
  <c r="M262" i="49"/>
  <c r="S11" i="33"/>
  <c r="M160" i="33"/>
  <c r="M235" i="33"/>
  <c r="M49" i="33"/>
  <c r="F11" i="45"/>
  <c r="Q11" i="49"/>
  <c r="Q173" i="49"/>
  <c r="Q260" i="49"/>
  <c r="M173" i="49"/>
  <c r="M260" i="49"/>
  <c r="M49" i="49"/>
  <c r="M159" i="33"/>
  <c r="M234" i="33"/>
  <c r="M48" i="33"/>
  <c r="F10" i="45"/>
  <c r="J10" i="45"/>
  <c r="K10" i="45" s="1"/>
  <c r="S10" i="33"/>
  <c r="M48" i="49"/>
  <c r="M172" i="49"/>
  <c r="M259" i="49"/>
  <c r="Q10" i="49"/>
  <c r="M194" i="9"/>
  <c r="F8" i="45"/>
  <c r="L8" i="45" s="1"/>
  <c r="M8" i="45"/>
  <c r="S8" i="33"/>
  <c r="M46" i="33"/>
  <c r="M157" i="33"/>
  <c r="M232" i="33"/>
  <c r="Q8" i="49"/>
  <c r="M170" i="49"/>
  <c r="M257" i="49"/>
  <c r="M46" i="49"/>
  <c r="D198" i="47"/>
  <c r="G186" i="47"/>
  <c r="R196" i="33"/>
  <c r="R271" i="33"/>
  <c r="J207" i="31"/>
  <c r="L224" i="49"/>
  <c r="L311" i="49"/>
  <c r="P200" i="49"/>
  <c r="P287" i="49"/>
  <c r="T39" i="49"/>
  <c r="U39" i="49"/>
  <c r="R39" i="49"/>
  <c r="S39" i="49"/>
  <c r="L237" i="9"/>
  <c r="L43" i="33"/>
  <c r="R38" i="33"/>
  <c r="L186" i="33"/>
  <c r="L261" i="33"/>
  <c r="E38" i="45"/>
  <c r="P38" i="49"/>
  <c r="L199" i="49"/>
  <c r="L286" i="49"/>
  <c r="L220" i="49"/>
  <c r="L307" i="49"/>
  <c r="P185" i="49"/>
  <c r="P272" i="49"/>
  <c r="T23" i="49"/>
  <c r="U23" i="49"/>
  <c r="L222" i="49"/>
  <c r="L309" i="49"/>
  <c r="P61" i="49"/>
  <c r="L171" i="33"/>
  <c r="L246" i="33"/>
  <c r="L60" i="33"/>
  <c r="L208" i="9"/>
  <c r="L72" i="9"/>
  <c r="L184" i="49"/>
  <c r="L271" i="49"/>
  <c r="L60" i="49"/>
  <c r="L182" i="9"/>
  <c r="L217" i="49"/>
  <c r="L304" i="49"/>
  <c r="P55" i="49"/>
  <c r="L216" i="49"/>
  <c r="L303" i="49"/>
  <c r="P179" i="49"/>
  <c r="P266" i="49"/>
  <c r="T17" i="49"/>
  <c r="U17" i="49"/>
  <c r="L215" i="49"/>
  <c r="L302" i="49"/>
  <c r="P54" i="49"/>
  <c r="R16" i="49"/>
  <c r="S16" i="49"/>
  <c r="P178" i="49"/>
  <c r="P265" i="49"/>
  <c r="L214" i="49"/>
  <c r="L301" i="49"/>
  <c r="P176" i="49"/>
  <c r="P263" i="49"/>
  <c r="L213" i="49"/>
  <c r="L300" i="49"/>
  <c r="P52" i="49"/>
  <c r="R200" i="33"/>
  <c r="R275" i="33"/>
  <c r="L212" i="49"/>
  <c r="P51" i="49"/>
  <c r="P175" i="49"/>
  <c r="P262" i="49"/>
  <c r="R13" i="49"/>
  <c r="S13" i="49"/>
  <c r="L210" i="49"/>
  <c r="L195" i="49"/>
  <c r="L282" i="49"/>
  <c r="P194" i="33"/>
  <c r="P269" i="33"/>
  <c r="T66" i="33"/>
  <c r="T215" i="33"/>
  <c r="O215" i="33"/>
  <c r="T52" i="33"/>
  <c r="T200" i="33"/>
  <c r="T275" i="33"/>
  <c r="G52" i="45"/>
  <c r="O200" i="33"/>
  <c r="O275" i="33"/>
  <c r="T46" i="33"/>
  <c r="T194" i="33"/>
  <c r="T269" i="33"/>
  <c r="O194" i="33"/>
  <c r="O269" i="33"/>
  <c r="G46" i="45"/>
  <c r="T63" i="33"/>
  <c r="T211" i="33"/>
  <c r="T286" i="33"/>
  <c r="G63" i="45"/>
  <c r="O211" i="33"/>
  <c r="O286" i="33"/>
  <c r="G61" i="45"/>
  <c r="O209" i="33"/>
  <c r="O284" i="33"/>
  <c r="T61" i="33"/>
  <c r="T209" i="33"/>
  <c r="T284" i="33"/>
  <c r="T56" i="33"/>
  <c r="T204" i="33"/>
  <c r="T279" i="33"/>
  <c r="G56" i="45"/>
  <c r="O204" i="33"/>
  <c r="O279" i="33"/>
  <c r="T55" i="33"/>
  <c r="T203" i="33"/>
  <c r="T278" i="33"/>
  <c r="O203" i="33"/>
  <c r="O278" i="33"/>
  <c r="G55" i="45"/>
  <c r="G54" i="45"/>
  <c r="T54" i="33"/>
  <c r="T202" i="33"/>
  <c r="T277" i="33"/>
  <c r="O202" i="33"/>
  <c r="O277" i="33"/>
  <c r="T53" i="33"/>
  <c r="T201" i="33"/>
  <c r="T276" i="33"/>
  <c r="O201" i="33"/>
  <c r="O276" i="33"/>
  <c r="G53" i="45"/>
  <c r="T49" i="33"/>
  <c r="T197" i="33"/>
  <c r="T272" i="33"/>
  <c r="G49" i="45"/>
  <c r="O197" i="33"/>
  <c r="O272" i="33"/>
  <c r="T48" i="33"/>
  <c r="T196" i="33"/>
  <c r="T271" i="33"/>
  <c r="G48" i="45"/>
  <c r="O196" i="33"/>
  <c r="O271" i="33"/>
  <c r="T64" i="49"/>
  <c r="U64" i="49"/>
  <c r="Q225" i="49"/>
  <c r="Q312" i="49"/>
  <c r="S212" i="33"/>
  <c r="S287" i="33"/>
  <c r="Y64" i="33"/>
  <c r="Z64" i="33"/>
  <c r="W64" i="33"/>
  <c r="X64" i="33"/>
  <c r="N196" i="33"/>
  <c r="N271" i="33"/>
  <c r="N209" i="49"/>
  <c r="T14" i="49"/>
  <c r="U14" i="49"/>
  <c r="T13" i="49"/>
  <c r="U13" i="49"/>
  <c r="K14" i="45"/>
  <c r="W14" i="33"/>
  <c r="X14" i="33"/>
  <c r="Y14" i="33"/>
  <c r="Z14" i="33"/>
  <c r="F52" i="45"/>
  <c r="L52" i="45"/>
  <c r="M52" i="45" s="1"/>
  <c r="M200" i="33"/>
  <c r="M275" i="33"/>
  <c r="S52" i="33"/>
  <c r="Q52" i="49"/>
  <c r="Q213" i="49"/>
  <c r="Q300" i="49"/>
  <c r="M213" i="49"/>
  <c r="M300" i="49"/>
  <c r="Y41" i="33"/>
  <c r="Z41" i="33"/>
  <c r="S189" i="33"/>
  <c r="S264" i="33"/>
  <c r="L41" i="45"/>
  <c r="M41" i="45" s="1"/>
  <c r="Y39" i="33"/>
  <c r="Z39" i="33"/>
  <c r="W39" i="33"/>
  <c r="X39" i="33"/>
  <c r="J39" i="45"/>
  <c r="K39" i="45" s="1"/>
  <c r="Q189" i="49"/>
  <c r="Q276" i="49"/>
  <c r="S176" i="33"/>
  <c r="S251" i="33"/>
  <c r="Y28" i="33"/>
  <c r="Z28" i="33"/>
  <c r="M215" i="33"/>
  <c r="M289" i="33"/>
  <c r="S66" i="33"/>
  <c r="F66" i="45"/>
  <c r="M228" i="49"/>
  <c r="M314" i="49"/>
  <c r="Q67" i="49"/>
  <c r="F63" i="45"/>
  <c r="L63" i="45"/>
  <c r="M63" i="45" s="1"/>
  <c r="M211" i="33"/>
  <c r="M286" i="33"/>
  <c r="S63" i="33"/>
  <c r="W25" i="33"/>
  <c r="X25" i="33"/>
  <c r="Y25" i="33"/>
  <c r="Z25" i="33"/>
  <c r="Q187" i="49"/>
  <c r="Q274" i="49"/>
  <c r="T25" i="49"/>
  <c r="U25" i="49"/>
  <c r="M224" i="49"/>
  <c r="M311" i="49"/>
  <c r="Q63" i="49"/>
  <c r="Q224" i="49"/>
  <c r="Q311" i="49"/>
  <c r="M209" i="33"/>
  <c r="M284" i="33"/>
  <c r="S61" i="33"/>
  <c r="F61" i="45"/>
  <c r="L61" i="45"/>
  <c r="M61" i="45" s="1"/>
  <c r="S172" i="33"/>
  <c r="S247" i="33"/>
  <c r="Y23" i="33"/>
  <c r="Z23" i="33"/>
  <c r="M222" i="49"/>
  <c r="M309" i="49"/>
  <c r="Q61" i="49"/>
  <c r="Q222" i="49"/>
  <c r="Q309" i="49"/>
  <c r="M208" i="33"/>
  <c r="M283" i="33"/>
  <c r="S171" i="33"/>
  <c r="S246" i="33"/>
  <c r="M221" i="49"/>
  <c r="M308" i="49"/>
  <c r="M220" i="49"/>
  <c r="M207" i="33"/>
  <c r="M282" i="33"/>
  <c r="Q56" i="49"/>
  <c r="Q217" i="49"/>
  <c r="Q304" i="49"/>
  <c r="M217" i="49"/>
  <c r="M304" i="49"/>
  <c r="M18" i="45"/>
  <c r="Y18" i="33"/>
  <c r="Z18" i="33"/>
  <c r="W18" i="33"/>
  <c r="X18" i="33"/>
  <c r="F56" i="45"/>
  <c r="L56" i="45"/>
  <c r="M56" i="45" s="1"/>
  <c r="S56" i="33"/>
  <c r="M204" i="33"/>
  <c r="M279" i="33"/>
  <c r="Q55" i="49"/>
  <c r="Q216" i="49"/>
  <c r="Q303" i="49"/>
  <c r="M216" i="49"/>
  <c r="M303" i="49"/>
  <c r="Y17" i="33"/>
  <c r="Z17" i="33"/>
  <c r="S166" i="33"/>
  <c r="S241" i="33"/>
  <c r="S55" i="33"/>
  <c r="F55" i="45"/>
  <c r="L55" i="45"/>
  <c r="M55" i="45" s="1"/>
  <c r="M203" i="33"/>
  <c r="M278" i="33"/>
  <c r="S165" i="33"/>
  <c r="S240" i="33"/>
  <c r="Y16" i="33"/>
  <c r="Z16" i="33"/>
  <c r="Q54" i="49"/>
  <c r="Q215" i="49"/>
  <c r="Q302" i="49"/>
  <c r="M215" i="49"/>
  <c r="M302" i="49"/>
  <c r="S54" i="33"/>
  <c r="F54" i="45"/>
  <c r="M202" i="33"/>
  <c r="M277" i="33"/>
  <c r="T16" i="49"/>
  <c r="U16" i="49"/>
  <c r="Q53" i="49"/>
  <c r="Q214" i="49"/>
  <c r="Q301" i="49"/>
  <c r="M214" i="49"/>
  <c r="M301" i="49"/>
  <c r="S164" i="33"/>
  <c r="S239" i="33"/>
  <c r="Y15" i="33"/>
  <c r="Z15" i="33"/>
  <c r="M201" i="33"/>
  <c r="M276" i="33"/>
  <c r="F53" i="45"/>
  <c r="L53" i="45" s="1"/>
  <c r="M53" i="45" s="1"/>
  <c r="S53" i="33"/>
  <c r="J13" i="45"/>
  <c r="K13" i="45" s="1"/>
  <c r="Q51" i="49"/>
  <c r="Q212" i="49"/>
  <c r="Q299" i="49"/>
  <c r="M212" i="49"/>
  <c r="S51" i="33"/>
  <c r="S199" i="33"/>
  <c r="M199" i="33"/>
  <c r="M274" i="33"/>
  <c r="F51" i="45"/>
  <c r="M210" i="49"/>
  <c r="M297" i="49"/>
  <c r="Q49" i="49"/>
  <c r="Q210" i="49"/>
  <c r="Q297" i="49"/>
  <c r="F49" i="45"/>
  <c r="M197" i="33"/>
  <c r="M272" i="33"/>
  <c r="S49" i="33"/>
  <c r="S197" i="33"/>
  <c r="S272" i="33"/>
  <c r="Y11" i="33"/>
  <c r="Z11" i="33"/>
  <c r="L11" i="45"/>
  <c r="M11" i="45" s="1"/>
  <c r="Q172" i="49"/>
  <c r="Q259" i="49"/>
  <c r="T10" i="49"/>
  <c r="U10" i="49"/>
  <c r="M209" i="49"/>
  <c r="M296" i="49"/>
  <c r="Q48" i="49"/>
  <c r="S159" i="33"/>
  <c r="S234" i="33"/>
  <c r="Y10" i="33"/>
  <c r="Z10" i="33"/>
  <c r="W10" i="33"/>
  <c r="X10" i="33"/>
  <c r="F48" i="45"/>
  <c r="L48" i="45"/>
  <c r="M48" i="45" s="1"/>
  <c r="S48" i="33"/>
  <c r="M196" i="33"/>
  <c r="M271" i="33"/>
  <c r="M207" i="49"/>
  <c r="M241" i="49"/>
  <c r="Q46" i="49"/>
  <c r="Q170" i="49"/>
  <c r="Q257" i="49"/>
  <c r="M194" i="33"/>
  <c r="M269" i="33"/>
  <c r="S46" i="33"/>
  <c r="F46" i="45"/>
  <c r="L46" i="45"/>
  <c r="M46" i="45" s="1"/>
  <c r="Y8" i="33"/>
  <c r="Z8" i="33"/>
  <c r="P199" i="49"/>
  <c r="P286" i="49"/>
  <c r="L191" i="33"/>
  <c r="L266" i="33"/>
  <c r="U38" i="33"/>
  <c r="V38" i="33"/>
  <c r="L220" i="9"/>
  <c r="L73" i="9"/>
  <c r="L221" i="9"/>
  <c r="L221" i="49"/>
  <c r="L308" i="49"/>
  <c r="L208" i="33"/>
  <c r="L283" i="33"/>
  <c r="T55" i="49"/>
  <c r="U55" i="49"/>
  <c r="P216" i="49"/>
  <c r="P303" i="49"/>
  <c r="R54" i="49"/>
  <c r="S54" i="49"/>
  <c r="T54" i="49"/>
  <c r="U54" i="49"/>
  <c r="P215" i="49"/>
  <c r="P302" i="49"/>
  <c r="T52" i="49"/>
  <c r="U52" i="49"/>
  <c r="R52" i="49"/>
  <c r="S52" i="49"/>
  <c r="P213" i="49"/>
  <c r="P300" i="49"/>
  <c r="P212" i="49"/>
  <c r="P299" i="49"/>
  <c r="T51" i="49"/>
  <c r="U51" i="49"/>
  <c r="R51" i="49"/>
  <c r="S51" i="49"/>
  <c r="L299" i="49"/>
  <c r="L242" i="49"/>
  <c r="L297" i="49"/>
  <c r="T61" i="49"/>
  <c r="U61" i="49"/>
  <c r="N296" i="49"/>
  <c r="S200" i="33"/>
  <c r="S275" i="33"/>
  <c r="Y52" i="33"/>
  <c r="Z52" i="33"/>
  <c r="W52" i="33"/>
  <c r="X52" i="33"/>
  <c r="Y66" i="33"/>
  <c r="Z66" i="33"/>
  <c r="Q228" i="49"/>
  <c r="Q314" i="49"/>
  <c r="S211" i="33"/>
  <c r="S286" i="33"/>
  <c r="Y63" i="33"/>
  <c r="Z63" i="33"/>
  <c r="Y61" i="33"/>
  <c r="Z61" i="33"/>
  <c r="M307" i="49"/>
  <c r="M244" i="49"/>
  <c r="S204" i="33"/>
  <c r="S279" i="33"/>
  <c r="Y56" i="33"/>
  <c r="Z56" i="33"/>
  <c r="W56" i="33"/>
  <c r="X56" i="33"/>
  <c r="S203" i="33"/>
  <c r="S278" i="33"/>
  <c r="Y55" i="33"/>
  <c r="Z55" i="33"/>
  <c r="S202" i="33"/>
  <c r="S277" i="33"/>
  <c r="Y54" i="33"/>
  <c r="Z54" i="33"/>
  <c r="S201" i="33"/>
  <c r="S276" i="33"/>
  <c r="Y53" i="33"/>
  <c r="Z53" i="33"/>
  <c r="M299" i="49"/>
  <c r="M242" i="49"/>
  <c r="S196" i="33"/>
  <c r="S271" i="33"/>
  <c r="Y48" i="33"/>
  <c r="Z48" i="33"/>
  <c r="W48" i="33"/>
  <c r="X48" i="33"/>
  <c r="J48" i="45"/>
  <c r="K48" i="45"/>
  <c r="Q209" i="49"/>
  <c r="Q296" i="49"/>
  <c r="T48" i="49"/>
  <c r="U48" i="49"/>
  <c r="Q207" i="49"/>
  <c r="Q294" i="49"/>
  <c r="Y46" i="33"/>
  <c r="Z46" i="33"/>
  <c r="M294" i="49"/>
  <c r="P13" i="33"/>
  <c r="P162" i="9"/>
  <c r="P51" i="9"/>
  <c r="P199" i="9"/>
  <c r="G66" i="45"/>
  <c r="L66" i="45" s="1"/>
  <c r="M66" i="45"/>
  <c r="O59" i="33"/>
  <c r="G59" i="45"/>
  <c r="L59" i="45" s="1"/>
  <c r="M59" i="45" s="1"/>
  <c r="J68" i="52"/>
  <c r="J208" i="52"/>
  <c r="K68" i="52"/>
  <c r="T37" i="33"/>
  <c r="T185" i="33"/>
  <c r="T260" i="33"/>
  <c r="O185" i="33"/>
  <c r="O260" i="33"/>
  <c r="O171" i="9"/>
  <c r="O22" i="33"/>
  <c r="G22" i="45"/>
  <c r="L22" i="45"/>
  <c r="M22" i="45" s="1"/>
  <c r="O34" i="9"/>
  <c r="O182" i="9"/>
  <c r="N185" i="9"/>
  <c r="N37" i="49"/>
  <c r="N198" i="49"/>
  <c r="N285" i="49"/>
  <c r="N37" i="33"/>
  <c r="N231" i="9"/>
  <c r="N21" i="49"/>
  <c r="N34" i="9"/>
  <c r="N182" i="9"/>
  <c r="N21" i="33"/>
  <c r="N170" i="33"/>
  <c r="N245" i="33"/>
  <c r="D68" i="40"/>
  <c r="D208" i="40"/>
  <c r="D207" i="40"/>
  <c r="S21" i="33"/>
  <c r="N59" i="49"/>
  <c r="N220" i="49"/>
  <c r="N170" i="9"/>
  <c r="N59" i="9"/>
  <c r="N207" i="9"/>
  <c r="J57" i="54"/>
  <c r="J207" i="52"/>
  <c r="L47" i="45"/>
  <c r="M47" i="45"/>
  <c r="O38" i="33"/>
  <c r="O186" i="33"/>
  <c r="O261" i="33"/>
  <c r="O232" i="9"/>
  <c r="O186" i="9"/>
  <c r="O60" i="9"/>
  <c r="N232" i="9"/>
  <c r="N186" i="9"/>
  <c r="N38" i="49"/>
  <c r="N60" i="9"/>
  <c r="N208" i="9"/>
  <c r="N38" i="33"/>
  <c r="F38" i="45"/>
  <c r="E68" i="54"/>
  <c r="E208" i="54"/>
  <c r="E207" i="54"/>
  <c r="J40" i="40"/>
  <c r="J180" i="40"/>
  <c r="J177" i="40"/>
  <c r="N40" i="9"/>
  <c r="N40" i="33"/>
  <c r="M40" i="9"/>
  <c r="M188" i="9"/>
  <c r="J177" i="39"/>
  <c r="J40" i="39"/>
  <c r="J180" i="39"/>
  <c r="J177" i="54"/>
  <c r="J40" i="54"/>
  <c r="P40" i="9"/>
  <c r="P43" i="9"/>
  <c r="P62" i="9"/>
  <c r="P210" i="9"/>
  <c r="P24" i="33"/>
  <c r="P62" i="33"/>
  <c r="P210" i="33"/>
  <c r="P285" i="33"/>
  <c r="P173" i="9"/>
  <c r="J177" i="52"/>
  <c r="J40" i="52"/>
  <c r="J180" i="52"/>
  <c r="O40" i="9"/>
  <c r="O62" i="9"/>
  <c r="O210" i="9"/>
  <c r="J31" i="39"/>
  <c r="M24" i="9"/>
  <c r="M24" i="33"/>
  <c r="E68" i="39"/>
  <c r="L62" i="49"/>
  <c r="L43" i="49"/>
  <c r="L201" i="49"/>
  <c r="L288" i="49"/>
  <c r="P162" i="33"/>
  <c r="P237" i="33"/>
  <c r="T59" i="33"/>
  <c r="T207" i="33"/>
  <c r="T282" i="33"/>
  <c r="O207" i="33"/>
  <c r="O282" i="33"/>
  <c r="O171" i="33"/>
  <c r="O246" i="33"/>
  <c r="T22" i="33"/>
  <c r="T171" i="33"/>
  <c r="T246" i="33"/>
  <c r="S37" i="33"/>
  <c r="N185" i="33"/>
  <c r="N260" i="33"/>
  <c r="N183" i="49"/>
  <c r="N270" i="49"/>
  <c r="Q21" i="49"/>
  <c r="Q183" i="49"/>
  <c r="Q270" i="49"/>
  <c r="J197" i="54"/>
  <c r="J67" i="54"/>
  <c r="J207" i="54"/>
  <c r="G38" i="45"/>
  <c r="T38" i="33"/>
  <c r="T186" i="33"/>
  <c r="T261" i="33"/>
  <c r="N199" i="49"/>
  <c r="N286" i="49"/>
  <c r="N60" i="49"/>
  <c r="Q60" i="49"/>
  <c r="Q38" i="49"/>
  <c r="N188" i="9"/>
  <c r="N234" i="9"/>
  <c r="M43" i="9"/>
  <c r="M191" i="9"/>
  <c r="M40" i="33"/>
  <c r="M43" i="33"/>
  <c r="M40" i="49"/>
  <c r="M43" i="49"/>
  <c r="P40" i="33"/>
  <c r="P188" i="33"/>
  <c r="P263" i="33"/>
  <c r="J180" i="54"/>
  <c r="L40" i="54"/>
  <c r="P173" i="33"/>
  <c r="P248" i="33"/>
  <c r="O40" i="33"/>
  <c r="G40" i="45"/>
  <c r="O43" i="9"/>
  <c r="O237" i="9"/>
  <c r="O188" i="9"/>
  <c r="M34" i="9"/>
  <c r="M62" i="9"/>
  <c r="L223" i="49"/>
  <c r="L310" i="49"/>
  <c r="L73" i="49"/>
  <c r="L234" i="49"/>
  <c r="L204" i="49"/>
  <c r="L291" i="49"/>
  <c r="Y37" i="33"/>
  <c r="Z37" i="33"/>
  <c r="J68" i="54"/>
  <c r="K69" i="54"/>
  <c r="T38" i="49"/>
  <c r="U38" i="49"/>
  <c r="Q199" i="49"/>
  <c r="Q286" i="49"/>
  <c r="N221" i="49"/>
  <c r="M188" i="33"/>
  <c r="M263" i="33"/>
  <c r="O191" i="9"/>
  <c r="O43" i="33"/>
  <c r="T40" i="33"/>
  <c r="T188" i="33"/>
  <c r="T263" i="33"/>
  <c r="M237" i="9"/>
  <c r="L68" i="54"/>
  <c r="N308" i="49"/>
  <c r="K8" i="49"/>
  <c r="K46" i="49"/>
  <c r="K46" i="9"/>
  <c r="K194" i="9"/>
  <c r="K157" i="9"/>
  <c r="K8" i="33"/>
  <c r="K46" i="33"/>
  <c r="K60" i="9"/>
  <c r="K208" i="9"/>
  <c r="K22" i="33"/>
  <c r="K60" i="33"/>
  <c r="K232" i="9"/>
  <c r="K171" i="9"/>
  <c r="K22" i="49"/>
  <c r="K11" i="49"/>
  <c r="K49" i="49"/>
  <c r="K49" i="9"/>
  <c r="K197" i="9"/>
  <c r="K11" i="33"/>
  <c r="R11" i="33"/>
  <c r="K160" i="9"/>
  <c r="D197" i="47"/>
  <c r="F174" i="47"/>
  <c r="K40" i="33"/>
  <c r="K62" i="33"/>
  <c r="K40" i="49"/>
  <c r="K201" i="49"/>
  <c r="K288" i="49"/>
  <c r="K188" i="9"/>
  <c r="K234" i="9"/>
  <c r="K62" i="9"/>
  <c r="K210" i="9"/>
  <c r="K55" i="37"/>
  <c r="K66" i="9"/>
  <c r="K214" i="9"/>
  <c r="K180" i="9"/>
  <c r="K28" i="33"/>
  <c r="E28" i="45"/>
  <c r="K28" i="49"/>
  <c r="K67" i="49"/>
  <c r="J65" i="38"/>
  <c r="K65" i="37"/>
  <c r="K70" i="9"/>
  <c r="K218" i="9"/>
  <c r="J211" i="30"/>
  <c r="K66" i="33"/>
  <c r="E66" i="45"/>
  <c r="J64" i="38"/>
  <c r="K41" i="49"/>
  <c r="K63" i="49"/>
  <c r="K43" i="9"/>
  <c r="K191" i="9"/>
  <c r="F69" i="30"/>
  <c r="H38" i="45"/>
  <c r="I38" i="45" s="1"/>
  <c r="K168" i="9"/>
  <c r="K57" i="9"/>
  <c r="K205" i="9"/>
  <c r="K19" i="49"/>
  <c r="K19" i="33"/>
  <c r="K57" i="33"/>
  <c r="K15" i="49"/>
  <c r="K177" i="49"/>
  <c r="K264" i="49"/>
  <c r="K34" i="9"/>
  <c r="K53" i="9"/>
  <c r="K201" i="9"/>
  <c r="K15" i="33"/>
  <c r="R15" i="33"/>
  <c r="K164" i="9"/>
  <c r="I14" i="45"/>
  <c r="P8" i="49"/>
  <c r="R8" i="33"/>
  <c r="K157" i="33"/>
  <c r="K232" i="33"/>
  <c r="K60" i="49"/>
  <c r="K221" i="49"/>
  <c r="K308" i="49"/>
  <c r="K184" i="49"/>
  <c r="K271" i="49"/>
  <c r="P22" i="49"/>
  <c r="E22" i="45"/>
  <c r="H22" i="45"/>
  <c r="I22" i="45" s="1"/>
  <c r="K171" i="33"/>
  <c r="K246" i="33"/>
  <c r="R22" i="33"/>
  <c r="R171" i="33"/>
  <c r="R246" i="33"/>
  <c r="K160" i="33"/>
  <c r="K235" i="33"/>
  <c r="E11" i="45"/>
  <c r="H11" i="45"/>
  <c r="I11" i="45" s="1"/>
  <c r="K49" i="33"/>
  <c r="K197" i="33"/>
  <c r="K272" i="33"/>
  <c r="K188" i="33"/>
  <c r="K263" i="33"/>
  <c r="R40" i="33"/>
  <c r="R188" i="33"/>
  <c r="R263" i="33"/>
  <c r="E40" i="45"/>
  <c r="H40" i="45" s="1"/>
  <c r="I40" i="45"/>
  <c r="P40" i="49"/>
  <c r="R40" i="49"/>
  <c r="S40" i="49"/>
  <c r="P28" i="49"/>
  <c r="P189" i="49"/>
  <c r="P276" i="49"/>
  <c r="R28" i="33"/>
  <c r="K176" i="33"/>
  <c r="K251" i="33"/>
  <c r="F213" i="30"/>
  <c r="F70" i="30"/>
  <c r="F214" i="30"/>
  <c r="K202" i="49"/>
  <c r="K289" i="49"/>
  <c r="P41" i="49"/>
  <c r="R41" i="49"/>
  <c r="S41" i="49"/>
  <c r="K57" i="49"/>
  <c r="K218" i="49"/>
  <c r="K181" i="49"/>
  <c r="P19" i="49"/>
  <c r="R19" i="49"/>
  <c r="S19" i="49"/>
  <c r="E19" i="45"/>
  <c r="H19" i="45" s="1"/>
  <c r="I19" i="45" s="1"/>
  <c r="E15" i="45"/>
  <c r="H15" i="45"/>
  <c r="I15" i="45" s="1"/>
  <c r="K237" i="9"/>
  <c r="K182" i="9"/>
  <c r="R157" i="33"/>
  <c r="R232" i="33"/>
  <c r="U8" i="33"/>
  <c r="V8" i="33"/>
  <c r="W8" i="33"/>
  <c r="X8" i="33"/>
  <c r="R8" i="49"/>
  <c r="S8" i="49"/>
  <c r="P170" i="49"/>
  <c r="P257" i="49"/>
  <c r="T8" i="49"/>
  <c r="U8" i="49"/>
  <c r="R22" i="49"/>
  <c r="S22" i="49"/>
  <c r="T22" i="49"/>
  <c r="U22" i="49"/>
  <c r="P184" i="49"/>
  <c r="P271" i="49"/>
  <c r="E49" i="45"/>
  <c r="P57" i="49"/>
  <c r="R57" i="49"/>
  <c r="S57" i="49"/>
  <c r="J56" i="45"/>
  <c r="K56" i="45" s="1"/>
  <c r="J52" i="45"/>
  <c r="K52" i="45" s="1"/>
  <c r="O76" i="33"/>
  <c r="O224" i="9"/>
  <c r="N77" i="49"/>
  <c r="N238" i="49"/>
  <c r="N224" i="9"/>
  <c r="N76" i="33"/>
  <c r="N225" i="33"/>
  <c r="M224" i="9"/>
  <c r="M76" i="33"/>
  <c r="M77" i="49"/>
  <c r="K224" i="9"/>
  <c r="K76" i="33"/>
  <c r="K77" i="49"/>
  <c r="K224" i="49"/>
  <c r="K311" i="49"/>
  <c r="P63" i="49"/>
  <c r="K208" i="33"/>
  <c r="K283" i="33"/>
  <c r="R60" i="33"/>
  <c r="E60" i="45"/>
  <c r="K228" i="49"/>
  <c r="K314" i="49"/>
  <c r="P67" i="49"/>
  <c r="N294" i="49"/>
  <c r="U140" i="33"/>
  <c r="V140" i="33"/>
  <c r="P218" i="49"/>
  <c r="W28" i="33"/>
  <c r="X28" i="33"/>
  <c r="R176" i="33"/>
  <c r="R251" i="33"/>
  <c r="P201" i="49"/>
  <c r="P288" i="49"/>
  <c r="P60" i="49"/>
  <c r="W22" i="33"/>
  <c r="X22" i="33"/>
  <c r="U22" i="33"/>
  <c r="V22" i="33"/>
  <c r="P15" i="49"/>
  <c r="K53" i="49"/>
  <c r="R19" i="33"/>
  <c r="K189" i="49"/>
  <c r="K276" i="49"/>
  <c r="K62" i="49"/>
  <c r="O188" i="33"/>
  <c r="O263" i="33"/>
  <c r="M234" i="9"/>
  <c r="P188" i="9"/>
  <c r="S38" i="33"/>
  <c r="Y38" i="33"/>
  <c r="Z38" i="33"/>
  <c r="O60" i="33"/>
  <c r="W21" i="33"/>
  <c r="X21" i="33"/>
  <c r="Y21" i="33"/>
  <c r="Z21" i="33"/>
  <c r="N59" i="33"/>
  <c r="Q37" i="49"/>
  <c r="P51" i="33"/>
  <c r="P234" i="9"/>
  <c r="Y49" i="33"/>
  <c r="Z49" i="33"/>
  <c r="R17" i="33"/>
  <c r="K16" i="33"/>
  <c r="K54" i="9"/>
  <c r="K170" i="9"/>
  <c r="K21" i="49"/>
  <c r="Y121" i="33"/>
  <c r="Z121" i="33"/>
  <c r="T270" i="33"/>
  <c r="T195" i="33"/>
  <c r="R136" i="49"/>
  <c r="S136" i="49"/>
  <c r="J183" i="49"/>
  <c r="J270" i="49"/>
  <c r="O21" i="49"/>
  <c r="O183" i="49"/>
  <c r="O270" i="49"/>
  <c r="D16" i="45"/>
  <c r="J54" i="33"/>
  <c r="J165" i="33"/>
  <c r="J240" i="33"/>
  <c r="Q16" i="33"/>
  <c r="D147" i="33"/>
  <c r="K5" i="38"/>
  <c r="L5" i="49"/>
  <c r="O195" i="33"/>
  <c r="I5" i="49"/>
  <c r="H5" i="38"/>
  <c r="D20" i="46"/>
  <c r="D35" i="46"/>
  <c r="I5" i="9"/>
  <c r="I154" i="9"/>
  <c r="E5" i="49"/>
  <c r="E167" i="49"/>
  <c r="E254" i="49"/>
  <c r="J243" i="49"/>
  <c r="U58" i="33"/>
  <c r="V58" i="33"/>
  <c r="O202" i="49"/>
  <c r="O289" i="49"/>
  <c r="J67" i="37"/>
  <c r="J68" i="37"/>
  <c r="M205" i="33"/>
  <c r="M57" i="49"/>
  <c r="M181" i="49"/>
  <c r="W20" i="33"/>
  <c r="X20" i="33"/>
  <c r="R206" i="33"/>
  <c r="I67" i="38"/>
  <c r="I68" i="38"/>
  <c r="L59" i="33"/>
  <c r="L185" i="33"/>
  <c r="L260" i="33"/>
  <c r="L299" i="33"/>
  <c r="R150" i="33"/>
  <c r="N120" i="33"/>
  <c r="S83" i="33"/>
  <c r="N135" i="33"/>
  <c r="S113" i="33"/>
  <c r="R88" i="33"/>
  <c r="L162" i="33"/>
  <c r="R92" i="33"/>
  <c r="L166" i="33"/>
  <c r="I128" i="33"/>
  <c r="I133" i="33"/>
  <c r="I135" i="33"/>
  <c r="I247" i="33"/>
  <c r="I137" i="33"/>
  <c r="Q138" i="33"/>
  <c r="I287" i="33"/>
  <c r="D232" i="9"/>
  <c r="D186" i="9"/>
  <c r="E117" i="33"/>
  <c r="E134" i="33"/>
  <c r="D108" i="33"/>
  <c r="D159" i="33"/>
  <c r="D234" i="33"/>
  <c r="F232" i="9"/>
  <c r="F38" i="49"/>
  <c r="F186" i="9"/>
  <c r="F8" i="49"/>
  <c r="F46" i="9"/>
  <c r="E130" i="9"/>
  <c r="E204" i="9"/>
  <c r="E167" i="9"/>
  <c r="E128" i="9"/>
  <c r="E202" i="9"/>
  <c r="E165" i="9"/>
  <c r="E120" i="9"/>
  <c r="E108" i="9"/>
  <c r="D137" i="9"/>
  <c r="D146" i="9"/>
  <c r="D147" i="9"/>
  <c r="D189" i="9"/>
  <c r="H25" i="9"/>
  <c r="I163" i="19"/>
  <c r="F237" i="9"/>
  <c r="G237" i="9"/>
  <c r="D282" i="33"/>
  <c r="F235" i="9"/>
  <c r="D176" i="49"/>
  <c r="D263" i="49"/>
  <c r="E62" i="9"/>
  <c r="F108" i="33"/>
  <c r="E254" i="33"/>
  <c r="D262" i="33"/>
  <c r="D231" i="9"/>
  <c r="E117" i="9"/>
  <c r="M217" i="9"/>
  <c r="H54" i="19"/>
  <c r="H159" i="19"/>
  <c r="D34" i="9"/>
  <c r="D182" i="9"/>
  <c r="D157" i="9"/>
  <c r="D189" i="33"/>
  <c r="D264" i="33"/>
  <c r="D63" i="33"/>
  <c r="D211" i="33"/>
  <c r="D286" i="33"/>
  <c r="E235" i="9"/>
  <c r="E189" i="9"/>
  <c r="E63" i="9"/>
  <c r="E211" i="9"/>
  <c r="G13" i="49"/>
  <c r="G51" i="9"/>
  <c r="G162" i="9"/>
  <c r="G17" i="49"/>
  <c r="G55" i="9"/>
  <c r="G203" i="9"/>
  <c r="G166" i="9"/>
  <c r="G232" i="9"/>
  <c r="G38" i="49"/>
  <c r="G186" i="9"/>
  <c r="G234" i="9"/>
  <c r="G62" i="9"/>
  <c r="G210" i="9"/>
  <c r="G40" i="33"/>
  <c r="G64" i="49"/>
  <c r="G74" i="9"/>
  <c r="G222" i="9"/>
  <c r="G212" i="9"/>
  <c r="R91" i="33"/>
  <c r="L240" i="33"/>
  <c r="R98" i="33"/>
  <c r="Q40" i="33"/>
  <c r="O14" i="49"/>
  <c r="J176" i="49"/>
  <c r="J263" i="49"/>
  <c r="J66" i="33"/>
  <c r="J191" i="9"/>
  <c r="J28" i="49"/>
  <c r="O25" i="49"/>
  <c r="G193" i="47"/>
  <c r="F194" i="47"/>
  <c r="D9" i="45"/>
  <c r="H9" i="45"/>
  <c r="I9" i="45" s="1"/>
  <c r="J59" i="9"/>
  <c r="J37" i="33"/>
  <c r="J56" i="33"/>
  <c r="J170" i="9"/>
  <c r="J233" i="9"/>
  <c r="D73" i="49"/>
  <c r="E191" i="9"/>
  <c r="F191" i="9"/>
  <c r="D204" i="49"/>
  <c r="D291" i="49"/>
  <c r="E201" i="33"/>
  <c r="E276" i="33"/>
  <c r="D211" i="9"/>
  <c r="I165" i="33"/>
  <c r="I240" i="33"/>
  <c r="I174" i="33"/>
  <c r="I249" i="33"/>
  <c r="I170" i="33"/>
  <c r="I245" i="33"/>
  <c r="Q100" i="33"/>
  <c r="Q96" i="33"/>
  <c r="Q86" i="33"/>
  <c r="R99" i="33"/>
  <c r="R248" i="33"/>
  <c r="S111" i="33"/>
  <c r="S93" i="33"/>
  <c r="S242" i="33"/>
  <c r="S89" i="33"/>
  <c r="L210" i="33"/>
  <c r="L285" i="33"/>
  <c r="L241" i="33"/>
  <c r="L237" i="33"/>
  <c r="S100" i="33"/>
  <c r="S96" i="33"/>
  <c r="S86" i="33"/>
  <c r="H117" i="33"/>
  <c r="H168" i="33"/>
  <c r="D235" i="9"/>
  <c r="H77" i="49"/>
  <c r="H238" i="49"/>
  <c r="H224" i="9"/>
  <c r="I208" i="49"/>
  <c r="I295" i="49"/>
  <c r="E233" i="9"/>
  <c r="I237" i="9"/>
  <c r="D14" i="23"/>
  <c r="F14" i="23"/>
  <c r="H14" i="23"/>
  <c r="F148" i="9"/>
  <c r="F222" i="9"/>
  <c r="H45" i="38"/>
  <c r="O133" i="9"/>
  <c r="O134" i="9"/>
  <c r="O208" i="9"/>
  <c r="O135" i="9"/>
  <c r="O209" i="9"/>
  <c r="F17" i="25"/>
  <c r="F3" i="25"/>
  <c r="F145" i="19"/>
  <c r="K233" i="33"/>
  <c r="M233" i="33"/>
  <c r="L174" i="33"/>
  <c r="L249" i="33"/>
  <c r="S84" i="33"/>
  <c r="L23" i="33"/>
  <c r="S169" i="33"/>
  <c r="M258" i="49"/>
  <c r="K258" i="49"/>
  <c r="M171" i="49"/>
  <c r="K171" i="49"/>
  <c r="P97" i="49"/>
  <c r="O225" i="33"/>
  <c r="T76" i="33"/>
  <c r="T225" i="33"/>
  <c r="G76" i="45"/>
  <c r="Q77" i="49"/>
  <c r="Q238" i="49"/>
  <c r="M238" i="49"/>
  <c r="F76" i="45"/>
  <c r="S76" i="33"/>
  <c r="M225" i="33"/>
  <c r="K238" i="49"/>
  <c r="P77" i="49"/>
  <c r="R76" i="33"/>
  <c r="E76" i="45"/>
  <c r="H76" i="45" s="1"/>
  <c r="K225" i="33"/>
  <c r="S158" i="33"/>
  <c r="S233" i="33"/>
  <c r="Y84" i="33"/>
  <c r="Z84" i="33"/>
  <c r="W96" i="33"/>
  <c r="X96" i="33"/>
  <c r="Y96" i="33"/>
  <c r="Z96" i="33"/>
  <c r="Y93" i="33"/>
  <c r="Z93" i="33"/>
  <c r="W93" i="33"/>
  <c r="X93" i="33"/>
  <c r="S167" i="33"/>
  <c r="U99" i="33"/>
  <c r="V99" i="33"/>
  <c r="R173" i="33"/>
  <c r="U96" i="33"/>
  <c r="V96" i="33"/>
  <c r="D74" i="49"/>
  <c r="D56" i="45"/>
  <c r="H56" i="45"/>
  <c r="I56" i="45" s="1"/>
  <c r="J204" i="33"/>
  <c r="J279" i="33"/>
  <c r="Q56" i="33"/>
  <c r="J207" i="9"/>
  <c r="O28" i="49"/>
  <c r="J67" i="49"/>
  <c r="J34" i="49"/>
  <c r="J189" i="49"/>
  <c r="J276" i="49"/>
  <c r="Q66" i="33"/>
  <c r="J215" i="33"/>
  <c r="J289" i="33"/>
  <c r="D66" i="45"/>
  <c r="H66" i="45" s="1"/>
  <c r="I66" i="45" s="1"/>
  <c r="O176" i="49"/>
  <c r="O263" i="49"/>
  <c r="R14" i="49"/>
  <c r="S14" i="49"/>
  <c r="G63" i="49"/>
  <c r="G224" i="49"/>
  <c r="G311" i="49"/>
  <c r="G75" i="49"/>
  <c r="G236" i="49"/>
  <c r="G322" i="49"/>
  <c r="G225" i="49"/>
  <c r="G312" i="49"/>
  <c r="G51" i="49"/>
  <c r="G34" i="49"/>
  <c r="G195" i="49"/>
  <c r="G282" i="49"/>
  <c r="G175" i="49"/>
  <c r="G262" i="49"/>
  <c r="D182" i="33"/>
  <c r="D257" i="33"/>
  <c r="U138" i="33"/>
  <c r="V138" i="33"/>
  <c r="Q212" i="33"/>
  <c r="Q287" i="33"/>
  <c r="I211" i="33"/>
  <c r="I286" i="33"/>
  <c r="Q137" i="33"/>
  <c r="I209" i="33"/>
  <c r="Q135" i="33"/>
  <c r="I284" i="33"/>
  <c r="Q133" i="33"/>
  <c r="I207" i="33"/>
  <c r="I282" i="33"/>
  <c r="I202" i="33"/>
  <c r="Q128" i="33"/>
  <c r="I277" i="33"/>
  <c r="U92" i="33"/>
  <c r="V92" i="33"/>
  <c r="W92" i="33"/>
  <c r="X92" i="33"/>
  <c r="U88" i="33"/>
  <c r="V88" i="33"/>
  <c r="S135" i="33"/>
  <c r="S120" i="33"/>
  <c r="N194" i="33"/>
  <c r="N269" i="33"/>
  <c r="L207" i="33"/>
  <c r="L282" i="33"/>
  <c r="D54" i="45"/>
  <c r="Q54" i="33"/>
  <c r="Q202" i="33"/>
  <c r="Q277" i="33"/>
  <c r="J202" i="33"/>
  <c r="J277" i="33"/>
  <c r="K183" i="49"/>
  <c r="K270" i="49"/>
  <c r="P21" i="49"/>
  <c r="K202" i="9"/>
  <c r="P199" i="33"/>
  <c r="P274" i="33"/>
  <c r="Q198" i="49"/>
  <c r="Q285" i="49"/>
  <c r="O208" i="33"/>
  <c r="O283" i="33"/>
  <c r="G60" i="45"/>
  <c r="T60" i="33"/>
  <c r="P62" i="49"/>
  <c r="K223" i="49"/>
  <c r="K214" i="49"/>
  <c r="K301" i="49"/>
  <c r="P53" i="49"/>
  <c r="P221" i="49"/>
  <c r="P308" i="49"/>
  <c r="R208" i="33"/>
  <c r="R283" i="33"/>
  <c r="P171" i="49"/>
  <c r="P258" i="49"/>
  <c r="T97" i="49"/>
  <c r="U97" i="49"/>
  <c r="R97" i="49"/>
  <c r="S97" i="49"/>
  <c r="L172" i="33"/>
  <c r="L247" i="33"/>
  <c r="L61" i="33"/>
  <c r="L72" i="33"/>
  <c r="R23" i="33"/>
  <c r="L34" i="33"/>
  <c r="L182" i="33"/>
  <c r="L257" i="33"/>
  <c r="E23" i="45"/>
  <c r="H23" i="45" s="1"/>
  <c r="I23" i="45" s="1"/>
  <c r="W86" i="33"/>
  <c r="X86" i="33"/>
  <c r="Y86" i="33"/>
  <c r="Z86" i="33"/>
  <c r="S160" i="33"/>
  <c r="S235" i="33"/>
  <c r="W100" i="33"/>
  <c r="X100" i="33"/>
  <c r="Y100" i="33"/>
  <c r="Z100" i="33"/>
  <c r="S174" i="33"/>
  <c r="S249" i="33"/>
  <c r="W89" i="33"/>
  <c r="X89" i="33"/>
  <c r="Y89" i="33"/>
  <c r="Z89" i="33"/>
  <c r="S163" i="33"/>
  <c r="S238" i="33"/>
  <c r="Y111" i="33"/>
  <c r="Z111" i="33"/>
  <c r="S185" i="33"/>
  <c r="S260" i="33"/>
  <c r="U86" i="33"/>
  <c r="V86" i="33"/>
  <c r="Q160" i="33"/>
  <c r="Q235" i="33"/>
  <c r="U100" i="33"/>
  <c r="V100" i="33"/>
  <c r="Q174" i="33"/>
  <c r="Q249" i="33"/>
  <c r="D37" i="45"/>
  <c r="J59" i="33"/>
  <c r="J185" i="33"/>
  <c r="J260" i="33"/>
  <c r="Q37" i="33"/>
  <c r="J43" i="33"/>
  <c r="O187" i="49"/>
  <c r="O274" i="49"/>
  <c r="R25" i="49"/>
  <c r="S25" i="49"/>
  <c r="Q188" i="33"/>
  <c r="Q263" i="33"/>
  <c r="U40" i="33"/>
  <c r="V40" i="33"/>
  <c r="U98" i="33"/>
  <c r="V98" i="33"/>
  <c r="W98" i="33"/>
  <c r="X98" i="33"/>
  <c r="W91" i="33"/>
  <c r="X91" i="33"/>
  <c r="G188" i="33"/>
  <c r="G263" i="33"/>
  <c r="G62" i="33"/>
  <c r="G43" i="33"/>
  <c r="G191" i="33"/>
  <c r="G266" i="33"/>
  <c r="G60" i="49"/>
  <c r="G221" i="49"/>
  <c r="G308" i="49"/>
  <c r="G43" i="49"/>
  <c r="G204" i="49"/>
  <c r="G291" i="49"/>
  <c r="G199" i="49"/>
  <c r="G286" i="49"/>
  <c r="G55" i="49"/>
  <c r="G216" i="49"/>
  <c r="G303" i="49"/>
  <c r="G179" i="49"/>
  <c r="G266" i="49"/>
  <c r="G199" i="9"/>
  <c r="H194" i="19"/>
  <c r="I54" i="19"/>
  <c r="E210" i="9"/>
  <c r="H174" i="9"/>
  <c r="H25" i="49"/>
  <c r="H25" i="33"/>
  <c r="H235" i="9"/>
  <c r="H63" i="9"/>
  <c r="E194" i="9"/>
  <c r="E146" i="9"/>
  <c r="E147" i="9"/>
  <c r="F34" i="49"/>
  <c r="F195" i="49"/>
  <c r="F282" i="49"/>
  <c r="F170" i="49"/>
  <c r="F257" i="49"/>
  <c r="F46" i="49"/>
  <c r="F199" i="49"/>
  <c r="F286" i="49"/>
  <c r="F43" i="49"/>
  <c r="F204" i="49"/>
  <c r="F291" i="49"/>
  <c r="F60" i="49"/>
  <c r="F221" i="49"/>
  <c r="F308" i="49"/>
  <c r="E146" i="33"/>
  <c r="W113" i="33"/>
  <c r="X113" i="33"/>
  <c r="Y113" i="33"/>
  <c r="Z113" i="33"/>
  <c r="S187" i="33"/>
  <c r="S262" i="33"/>
  <c r="Y83" i="33"/>
  <c r="Z83" i="33"/>
  <c r="W83" i="33"/>
  <c r="X83" i="33"/>
  <c r="S157" i="33"/>
  <c r="S232" i="33"/>
  <c r="R299" i="33"/>
  <c r="W150" i="33"/>
  <c r="X150" i="33"/>
  <c r="R225" i="33"/>
  <c r="M218" i="49"/>
  <c r="K54" i="33"/>
  <c r="R16" i="33"/>
  <c r="K165" i="33"/>
  <c r="K240" i="33"/>
  <c r="E16" i="45"/>
  <c r="H16" i="45" s="1"/>
  <c r="K34" i="33"/>
  <c r="U17" i="33"/>
  <c r="V17" i="33"/>
  <c r="R166" i="33"/>
  <c r="R241" i="33"/>
  <c r="W17" i="33"/>
  <c r="X17" i="33"/>
  <c r="N207" i="33"/>
  <c r="N282" i="33"/>
  <c r="S59" i="33"/>
  <c r="F59" i="45"/>
  <c r="W38" i="33"/>
  <c r="X38" i="33"/>
  <c r="S186" i="33"/>
  <c r="S261" i="33"/>
  <c r="U19" i="33"/>
  <c r="V19" i="33"/>
  <c r="R168" i="33"/>
  <c r="P177" i="49"/>
  <c r="P264" i="49"/>
  <c r="T15" i="49"/>
  <c r="U15" i="49"/>
  <c r="P228" i="49"/>
  <c r="P314" i="49"/>
  <c r="T67" i="49"/>
  <c r="U67" i="49"/>
  <c r="P224" i="49"/>
  <c r="P311" i="49"/>
  <c r="R63" i="49"/>
  <c r="S63" i="49"/>
  <c r="T63" i="49"/>
  <c r="U63" i="49"/>
  <c r="E191" i="33"/>
  <c r="E266" i="33"/>
  <c r="N209" i="33"/>
  <c r="N284" i="33"/>
  <c r="S170" i="33"/>
  <c r="S245" i="33"/>
  <c r="O146" i="9"/>
  <c r="E208" i="33"/>
  <c r="E283" i="33"/>
  <c r="D72" i="33"/>
  <c r="D221" i="33"/>
  <c r="D295" i="33"/>
  <c r="O207" i="9"/>
  <c r="L76" i="45"/>
  <c r="M76" i="45" s="1"/>
  <c r="S225" i="33"/>
  <c r="Y76" i="33"/>
  <c r="Z76" i="33"/>
  <c r="U76" i="33"/>
  <c r="V76" i="33"/>
  <c r="W76" i="33"/>
  <c r="X76" i="33"/>
  <c r="I76" i="45"/>
  <c r="R77" i="49"/>
  <c r="S77" i="49"/>
  <c r="P238" i="49"/>
  <c r="T77" i="49"/>
  <c r="U77" i="49"/>
  <c r="Y59" i="33"/>
  <c r="Z59" i="33"/>
  <c r="S207" i="33"/>
  <c r="S282" i="33"/>
  <c r="R34" i="33"/>
  <c r="K202" i="33"/>
  <c r="K277" i="33"/>
  <c r="R54" i="33"/>
  <c r="E54" i="45"/>
  <c r="H54" i="45" s="1"/>
  <c r="H63" i="49"/>
  <c r="H187" i="49"/>
  <c r="H274" i="49"/>
  <c r="Q185" i="33"/>
  <c r="Q260" i="33"/>
  <c r="Q59" i="33"/>
  <c r="Q207" i="33"/>
  <c r="Q282" i="33"/>
  <c r="D59" i="45"/>
  <c r="J207" i="33"/>
  <c r="J282" i="33"/>
  <c r="J23" i="45"/>
  <c r="K23" i="45" s="1"/>
  <c r="R172" i="33"/>
  <c r="R247" i="33"/>
  <c r="W23" i="33"/>
  <c r="X23" i="33"/>
  <c r="R62" i="49"/>
  <c r="S62" i="49"/>
  <c r="P223" i="49"/>
  <c r="P310" i="49"/>
  <c r="T208" i="33"/>
  <c r="T283" i="33"/>
  <c r="W120" i="33"/>
  <c r="X120" i="33"/>
  <c r="Y120" i="33"/>
  <c r="Z120" i="33"/>
  <c r="S194" i="33"/>
  <c r="S269" i="33"/>
  <c r="W135" i="33"/>
  <c r="X135" i="33"/>
  <c r="Y135" i="33"/>
  <c r="Z135" i="33"/>
  <c r="S209" i="33"/>
  <c r="S284" i="33"/>
  <c r="U128" i="33"/>
  <c r="V128" i="33"/>
  <c r="U133" i="33"/>
  <c r="V133" i="33"/>
  <c r="U135" i="33"/>
  <c r="V135" i="33"/>
  <c r="U137" i="33"/>
  <c r="V137" i="33"/>
  <c r="Q211" i="33"/>
  <c r="Q286" i="33"/>
  <c r="G212" i="49"/>
  <c r="G299" i="49"/>
  <c r="G73" i="49"/>
  <c r="G234" i="49"/>
  <c r="G320" i="49"/>
  <c r="Q215" i="33"/>
  <c r="Q289" i="33"/>
  <c r="J195" i="49"/>
  <c r="J282" i="49"/>
  <c r="O34" i="49"/>
  <c r="O195" i="49"/>
  <c r="O282" i="49"/>
  <c r="O189" i="49"/>
  <c r="O276" i="49"/>
  <c r="R28" i="49"/>
  <c r="S28" i="49"/>
  <c r="O147" i="9"/>
  <c r="I16" i="45"/>
  <c r="R165" i="33"/>
  <c r="R240" i="33"/>
  <c r="U16" i="33"/>
  <c r="V16" i="33"/>
  <c r="W16" i="33"/>
  <c r="X16" i="33"/>
  <c r="E147" i="33"/>
  <c r="F207" i="49"/>
  <c r="F294" i="49"/>
  <c r="H211" i="9"/>
  <c r="H174" i="33"/>
  <c r="H249" i="33"/>
  <c r="H63" i="33"/>
  <c r="I194" i="19"/>
  <c r="G210" i="33"/>
  <c r="G285" i="33"/>
  <c r="Q43" i="33"/>
  <c r="J191" i="33"/>
  <c r="J266" i="33"/>
  <c r="D43" i="45"/>
  <c r="L209" i="33"/>
  <c r="L284" i="33"/>
  <c r="R53" i="49"/>
  <c r="S53" i="49"/>
  <c r="P214" i="49"/>
  <c r="P301" i="49"/>
  <c r="T53" i="49"/>
  <c r="U53" i="49"/>
  <c r="K310" i="49"/>
  <c r="K243" i="49"/>
  <c r="T21" i="49"/>
  <c r="U21" i="49"/>
  <c r="R21" i="49"/>
  <c r="S21" i="49"/>
  <c r="P183" i="49"/>
  <c r="P270" i="49"/>
  <c r="J228" i="49"/>
  <c r="J314" i="49"/>
  <c r="O67" i="49"/>
  <c r="Q204" i="33"/>
  <c r="Q279" i="33"/>
  <c r="U56" i="33"/>
  <c r="V56" i="33"/>
  <c r="Q191" i="33"/>
  <c r="Q266" i="33"/>
  <c r="G74" i="49"/>
  <c r="G235" i="49"/>
  <c r="G321" i="49"/>
  <c r="H224" i="49"/>
  <c r="H311" i="49"/>
  <c r="R67" i="49"/>
  <c r="S67" i="49"/>
  <c r="H211" i="33"/>
  <c r="H286" i="33"/>
  <c r="I54" i="45"/>
  <c r="U54" i="33"/>
  <c r="V54" i="33"/>
  <c r="R202" i="33"/>
  <c r="R277" i="33"/>
  <c r="W54" i="33"/>
  <c r="X54" i="33"/>
  <c r="W15" i="33"/>
  <c r="X15" i="33"/>
  <c r="U15" i="33"/>
  <c r="V15" i="33"/>
  <c r="R164" i="33"/>
  <c r="R239" i="33"/>
  <c r="E57" i="45"/>
  <c r="H57" i="45"/>
  <c r="I57" i="45" s="1"/>
  <c r="K205" i="33"/>
  <c r="R57" i="33"/>
  <c r="J66" i="45"/>
  <c r="K66" i="45" s="1"/>
  <c r="J28" i="45"/>
  <c r="K28" i="45" s="1"/>
  <c r="R62" i="33"/>
  <c r="E62" i="45"/>
  <c r="H62" i="45"/>
  <c r="I62" i="45" s="1"/>
  <c r="K210" i="33"/>
  <c r="K285" i="33"/>
  <c r="R160" i="33"/>
  <c r="R235" i="33"/>
  <c r="W11" i="33"/>
  <c r="X11" i="33"/>
  <c r="U11" i="33"/>
  <c r="V11" i="33"/>
  <c r="K210" i="49"/>
  <c r="K297" i="49"/>
  <c r="P49" i="49"/>
  <c r="R46" i="33"/>
  <c r="K194" i="33"/>
  <c r="K269" i="33"/>
  <c r="E46" i="45"/>
  <c r="K207" i="49"/>
  <c r="P46" i="49"/>
  <c r="L247" i="49"/>
  <c r="L320" i="49"/>
  <c r="M191" i="33"/>
  <c r="M266" i="33"/>
  <c r="F24" i="45"/>
  <c r="J24" i="45"/>
  <c r="K24" i="45" s="1"/>
  <c r="M34" i="33"/>
  <c r="M62" i="33"/>
  <c r="S24" i="33"/>
  <c r="P191" i="9"/>
  <c r="N307" i="49"/>
  <c r="N244" i="49"/>
  <c r="K203" i="33"/>
  <c r="K278" i="33"/>
  <c r="R55" i="33"/>
  <c r="E55" i="45"/>
  <c r="K209" i="9"/>
  <c r="K72" i="9"/>
  <c r="K180" i="49"/>
  <c r="K267" i="49"/>
  <c r="K56" i="49"/>
  <c r="P18" i="49"/>
  <c r="K34" i="49"/>
  <c r="J67" i="38"/>
  <c r="J68" i="38"/>
  <c r="P309" i="49"/>
  <c r="P222" i="49"/>
  <c r="R148" i="49"/>
  <c r="S148" i="49"/>
  <c r="T148" i="49"/>
  <c r="U148" i="49"/>
  <c r="D72" i="57"/>
  <c r="L72" i="57"/>
  <c r="L98" i="57"/>
  <c r="L106" i="57"/>
  <c r="K72" i="57"/>
  <c r="M99" i="57"/>
  <c r="F97" i="47"/>
  <c r="G97" i="47"/>
  <c r="H98" i="47"/>
  <c r="C72" i="47"/>
  <c r="M98" i="47"/>
  <c r="O51" i="33"/>
  <c r="O162" i="33"/>
  <c r="O237" i="33"/>
  <c r="G13" i="45"/>
  <c r="L13" i="45"/>
  <c r="M13" i="45" s="1"/>
  <c r="T13" i="33"/>
  <c r="J48" i="22"/>
  <c r="I369" i="22"/>
  <c r="J369" i="22"/>
  <c r="J47" i="22"/>
  <c r="I368" i="22"/>
  <c r="I20" i="22"/>
  <c r="J19" i="22"/>
  <c r="I62" i="22"/>
  <c r="I383" i="22"/>
  <c r="J383" i="22"/>
  <c r="I340" i="22"/>
  <c r="J340" i="22"/>
  <c r="J87" i="22"/>
  <c r="I408" i="22"/>
  <c r="O208" i="49"/>
  <c r="O295" i="49"/>
  <c r="R134" i="49"/>
  <c r="S134" i="49"/>
  <c r="R135" i="49"/>
  <c r="S135" i="49"/>
  <c r="T135" i="49"/>
  <c r="U135" i="49"/>
  <c r="P296" i="49"/>
  <c r="P209" i="49"/>
  <c r="H38" i="9"/>
  <c r="H35" i="37"/>
  <c r="G35" i="38"/>
  <c r="G40" i="38"/>
  <c r="I175" i="19"/>
  <c r="I40" i="19"/>
  <c r="I180" i="19"/>
  <c r="H198" i="49"/>
  <c r="H285" i="49"/>
  <c r="H163" i="33"/>
  <c r="H238" i="33"/>
  <c r="H52" i="33"/>
  <c r="H200" i="33"/>
  <c r="H275" i="33"/>
  <c r="H177" i="49"/>
  <c r="H264" i="49"/>
  <c r="H53" i="49"/>
  <c r="H214" i="49"/>
  <c r="H301" i="49"/>
  <c r="F167" i="49"/>
  <c r="F254" i="49"/>
  <c r="I165" i="19"/>
  <c r="H27" i="9"/>
  <c r="H25" i="37"/>
  <c r="G25" i="38"/>
  <c r="H190" i="19"/>
  <c r="H67" i="19"/>
  <c r="I50" i="19"/>
  <c r="Q210" i="33"/>
  <c r="U136" i="33"/>
  <c r="V136" i="33"/>
  <c r="Q285" i="33"/>
  <c r="Q205" i="33"/>
  <c r="Q280" i="33"/>
  <c r="U131" i="33"/>
  <c r="V131" i="33"/>
  <c r="S140" i="33"/>
  <c r="N215" i="33"/>
  <c r="N146" i="33"/>
  <c r="N289" i="33"/>
  <c r="L146" i="33"/>
  <c r="R130" i="33"/>
  <c r="L204" i="33"/>
  <c r="L279" i="33"/>
  <c r="I208" i="33"/>
  <c r="Q134" i="33"/>
  <c r="I283" i="33"/>
  <c r="I146" i="33"/>
  <c r="R58" i="49"/>
  <c r="S58" i="49"/>
  <c r="T58" i="49"/>
  <c r="U58" i="49"/>
  <c r="L221" i="33"/>
  <c r="L73" i="33"/>
  <c r="M204" i="49"/>
  <c r="M291" i="49"/>
  <c r="T60" i="49"/>
  <c r="U60" i="49"/>
  <c r="Q221" i="49"/>
  <c r="Q308" i="49"/>
  <c r="N188" i="33"/>
  <c r="N263" i="33"/>
  <c r="N62" i="33"/>
  <c r="N210" i="33"/>
  <c r="N285" i="33"/>
  <c r="F40" i="45"/>
  <c r="J40" i="45" s="1"/>
  <c r="K40" i="45" s="1"/>
  <c r="S40" i="33"/>
  <c r="N43" i="33"/>
  <c r="N191" i="33"/>
  <c r="N266" i="33"/>
  <c r="J38" i="45"/>
  <c r="K38" i="45"/>
  <c r="L38" i="45"/>
  <c r="M38" i="45"/>
  <c r="N242" i="49"/>
  <c r="N299" i="49"/>
  <c r="N302" i="49"/>
  <c r="N241" i="49"/>
  <c r="M37" i="45"/>
  <c r="J69" i="30"/>
  <c r="J204" i="30"/>
  <c r="K199" i="33"/>
  <c r="K274" i="33"/>
  <c r="E51" i="45"/>
  <c r="R51" i="33"/>
  <c r="J252" i="22"/>
  <c r="H412" i="22"/>
  <c r="J368" i="22"/>
  <c r="E61" i="45"/>
  <c r="K209" i="33"/>
  <c r="K284" i="33"/>
  <c r="R61" i="33"/>
  <c r="P37" i="49"/>
  <c r="K198" i="49"/>
  <c r="K285" i="49"/>
  <c r="K43" i="49"/>
  <c r="K59" i="49"/>
  <c r="J408" i="22"/>
  <c r="R143" i="49"/>
  <c r="S143" i="49"/>
  <c r="T143" i="49"/>
  <c r="U143" i="49"/>
  <c r="L43" i="47"/>
  <c r="I72" i="47"/>
  <c r="K72" i="47"/>
  <c r="Q72" i="57"/>
  <c r="Q98" i="57"/>
  <c r="P72" i="57"/>
  <c r="P105" i="47"/>
  <c r="P43" i="47"/>
  <c r="D105" i="47"/>
  <c r="N43" i="47"/>
  <c r="D43" i="47"/>
  <c r="G43" i="47"/>
  <c r="H106" i="57"/>
  <c r="I98" i="57"/>
  <c r="C98" i="57"/>
  <c r="K98" i="57"/>
  <c r="C143" i="47"/>
  <c r="G142" i="47"/>
  <c r="H207" i="49"/>
  <c r="H294" i="49"/>
  <c r="H55" i="33"/>
  <c r="H203" i="33"/>
  <c r="H278" i="33"/>
  <c r="H166" i="33"/>
  <c r="H241" i="33"/>
  <c r="H171" i="33"/>
  <c r="H246" i="33"/>
  <c r="H46" i="33"/>
  <c r="H157" i="33"/>
  <c r="H232" i="33"/>
  <c r="H55" i="37"/>
  <c r="I167" i="49"/>
  <c r="I254" i="49"/>
  <c r="H160" i="9"/>
  <c r="H49" i="9"/>
  <c r="H197" i="9"/>
  <c r="H11" i="49"/>
  <c r="H11" i="33"/>
  <c r="L167" i="49"/>
  <c r="L254" i="49"/>
  <c r="W125" i="33"/>
  <c r="X125" i="33"/>
  <c r="Y125" i="33"/>
  <c r="Z125" i="33"/>
  <c r="S274" i="33"/>
  <c r="O224" i="49"/>
  <c r="R150" i="49"/>
  <c r="S150" i="49"/>
  <c r="O311" i="49"/>
  <c r="Y88" i="33"/>
  <c r="Z88" i="33"/>
  <c r="S162" i="33"/>
  <c r="W88" i="33"/>
  <c r="X88" i="33"/>
  <c r="S237" i="33"/>
  <c r="Q225" i="33"/>
  <c r="Q299" i="33"/>
  <c r="U150" i="33"/>
  <c r="V150" i="33"/>
  <c r="E34" i="45"/>
  <c r="D73" i="33"/>
  <c r="D222" i="33"/>
  <c r="D296" i="33"/>
  <c r="K15" i="45"/>
  <c r="P181" i="49"/>
  <c r="T41" i="49"/>
  <c r="U41" i="49"/>
  <c r="P202" i="49"/>
  <c r="P289" i="49"/>
  <c r="T28" i="49"/>
  <c r="U28" i="49"/>
  <c r="J11" i="45"/>
  <c r="K11" i="45" s="1"/>
  <c r="R49" i="33"/>
  <c r="J22" i="45"/>
  <c r="K22" i="45"/>
  <c r="K53" i="33"/>
  <c r="K164" i="33"/>
  <c r="K239" i="33"/>
  <c r="K168" i="33"/>
  <c r="R66" i="33"/>
  <c r="K215" i="33"/>
  <c r="K289" i="33"/>
  <c r="P11" i="49"/>
  <c r="K173" i="49"/>
  <c r="K260" i="49"/>
  <c r="E8" i="45"/>
  <c r="K170" i="49"/>
  <c r="K257" i="49"/>
  <c r="O191" i="33"/>
  <c r="O266" i="33"/>
  <c r="J208" i="54"/>
  <c r="L74" i="49"/>
  <c r="L235" i="49"/>
  <c r="L321" i="49"/>
  <c r="L243" i="49"/>
  <c r="M72" i="9"/>
  <c r="P43" i="33"/>
  <c r="P191" i="33"/>
  <c r="P266" i="33"/>
  <c r="M201" i="49"/>
  <c r="M288" i="49"/>
  <c r="Y22" i="33"/>
  <c r="Z22" i="33"/>
  <c r="M24" i="49"/>
  <c r="O234" i="9"/>
  <c r="N43" i="9"/>
  <c r="N62" i="9"/>
  <c r="N210" i="9"/>
  <c r="N40" i="49"/>
  <c r="Q40" i="49"/>
  <c r="N60" i="33"/>
  <c r="N186" i="33"/>
  <c r="N261" i="33"/>
  <c r="Q59" i="49"/>
  <c r="F21" i="45"/>
  <c r="L241" i="49"/>
  <c r="R163" i="33"/>
  <c r="R238" i="33"/>
  <c r="P186" i="49"/>
  <c r="P273" i="49"/>
  <c r="K41" i="33"/>
  <c r="R187" i="33"/>
  <c r="R262" i="33"/>
  <c r="F204" i="30"/>
  <c r="R174" i="33"/>
  <c r="R249" i="33"/>
  <c r="E64" i="45"/>
  <c r="R13" i="33"/>
  <c r="H398" i="22"/>
  <c r="K37" i="33"/>
  <c r="E17" i="45"/>
  <c r="U122" i="33"/>
  <c r="V122" i="33"/>
  <c r="D43" i="57"/>
  <c r="G43" i="57"/>
  <c r="K105" i="47"/>
  <c r="K43" i="47"/>
  <c r="K97" i="47"/>
  <c r="P97" i="47"/>
  <c r="F126" i="57"/>
  <c r="F127" i="57"/>
  <c r="G141" i="47"/>
  <c r="G135" i="47"/>
  <c r="O51" i="9"/>
  <c r="O24" i="33"/>
  <c r="O34" i="33"/>
  <c r="I77" i="22"/>
  <c r="L5" i="33"/>
  <c r="L154" i="33"/>
  <c r="D49" i="45"/>
  <c r="H49" i="45"/>
  <c r="I49" i="45" s="1"/>
  <c r="J197" i="33"/>
  <c r="J272" i="33"/>
  <c r="H56" i="33"/>
  <c r="H204" i="33"/>
  <c r="H279" i="33"/>
  <c r="J160" i="49"/>
  <c r="O171" i="49"/>
  <c r="O258" i="49"/>
  <c r="I201" i="19"/>
  <c r="H55" i="9"/>
  <c r="H203" i="9"/>
  <c r="H166" i="9"/>
  <c r="H59" i="49"/>
  <c r="H220" i="49"/>
  <c r="H307" i="49"/>
  <c r="H60" i="9"/>
  <c r="H208" i="9"/>
  <c r="H171" i="9"/>
  <c r="H46" i="9"/>
  <c r="H157" i="9"/>
  <c r="F192" i="19"/>
  <c r="H16" i="37"/>
  <c r="H51" i="37"/>
  <c r="I156" i="19"/>
  <c r="F40" i="19"/>
  <c r="F180" i="19"/>
  <c r="H231" i="9"/>
  <c r="H59" i="9"/>
  <c r="H207" i="9"/>
  <c r="H39" i="9"/>
  <c r="H14" i="49"/>
  <c r="I160" i="19"/>
  <c r="F80" i="33"/>
  <c r="I80" i="33"/>
  <c r="H149" i="19"/>
  <c r="I9" i="19"/>
  <c r="J145" i="39"/>
  <c r="H5" i="9"/>
  <c r="H154" i="9"/>
  <c r="H5" i="33"/>
  <c r="H154" i="33"/>
  <c r="H229" i="33"/>
  <c r="H5" i="49"/>
  <c r="H167" i="49"/>
  <c r="H254" i="49"/>
  <c r="H165" i="19"/>
  <c r="F31" i="19"/>
  <c r="F171" i="19"/>
  <c r="I15" i="19"/>
  <c r="I141" i="17"/>
  <c r="L80" i="33"/>
  <c r="H34" i="37"/>
  <c r="H40" i="37"/>
  <c r="M5" i="33"/>
  <c r="M154" i="33"/>
  <c r="M229" i="33"/>
  <c r="G10" i="38"/>
  <c r="G45" i="38"/>
  <c r="H10" i="37"/>
  <c r="H45" i="37"/>
  <c r="D5" i="9"/>
  <c r="D154" i="9"/>
  <c r="I5" i="33"/>
  <c r="I153" i="19"/>
  <c r="D5" i="33"/>
  <c r="D154" i="33"/>
  <c r="D229" i="33"/>
  <c r="U83" i="33"/>
  <c r="V83" i="33"/>
  <c r="Q239" i="33"/>
  <c r="J205" i="33"/>
  <c r="Q243" i="33"/>
  <c r="Q171" i="33"/>
  <c r="Q246" i="33"/>
  <c r="I294" i="49"/>
  <c r="P208" i="49"/>
  <c r="W121" i="33"/>
  <c r="X121" i="33"/>
  <c r="J311" i="49"/>
  <c r="U121" i="33"/>
  <c r="V121" i="33"/>
  <c r="I261" i="33"/>
  <c r="Q112" i="33"/>
  <c r="L167" i="33"/>
  <c r="L242" i="33"/>
  <c r="L238" i="33"/>
  <c r="I225" i="33"/>
  <c r="J213" i="49"/>
  <c r="J300" i="49"/>
  <c r="I251" i="33"/>
  <c r="U20" i="33"/>
  <c r="V20" i="33"/>
  <c r="J177" i="49"/>
  <c r="J264" i="49"/>
  <c r="O15" i="49"/>
  <c r="J52" i="33"/>
  <c r="J163" i="33"/>
  <c r="J238" i="33"/>
  <c r="Q14" i="33"/>
  <c r="U14" i="33"/>
  <c r="V14" i="33"/>
  <c r="Q28" i="33"/>
  <c r="Q176" i="33"/>
  <c r="Q251" i="33"/>
  <c r="D28" i="45"/>
  <c r="J49" i="49"/>
  <c r="J173" i="49"/>
  <c r="J260" i="49"/>
  <c r="O11" i="49"/>
  <c r="O173" i="49"/>
  <c r="O260" i="49"/>
  <c r="H119" i="22"/>
  <c r="J118" i="22"/>
  <c r="K95" i="33"/>
  <c r="K132" i="9"/>
  <c r="K108" i="49"/>
  <c r="W117" i="33"/>
  <c r="X117" i="33"/>
  <c r="J55" i="49"/>
  <c r="J179" i="49"/>
  <c r="J266" i="49"/>
  <c r="O17" i="49"/>
  <c r="J185" i="49"/>
  <c r="J272" i="49"/>
  <c r="O23" i="49"/>
  <c r="J61" i="49"/>
  <c r="I314" i="49"/>
  <c r="I228" i="49"/>
  <c r="O153" i="49"/>
  <c r="I68" i="20"/>
  <c r="E282" i="49"/>
  <c r="D67" i="38"/>
  <c r="D68" i="38"/>
  <c r="G164" i="33"/>
  <c r="G239" i="33"/>
  <c r="G53" i="33"/>
  <c r="G34" i="33"/>
  <c r="G182" i="33"/>
  <c r="G257" i="33"/>
  <c r="D66" i="15"/>
  <c r="F66" i="15"/>
  <c r="E69" i="49"/>
  <c r="E230" i="49"/>
  <c r="E316" i="49"/>
  <c r="E63" i="38"/>
  <c r="E68" i="9"/>
  <c r="E216" i="9"/>
  <c r="I198" i="16"/>
  <c r="E68" i="33"/>
  <c r="E217" i="33"/>
  <c r="E291" i="33"/>
  <c r="E63" i="37"/>
  <c r="E66" i="33"/>
  <c r="E215" i="33"/>
  <c r="E289" i="33"/>
  <c r="E61" i="37"/>
  <c r="E67" i="37"/>
  <c r="E68" i="37"/>
  <c r="I196" i="16"/>
  <c r="E67" i="49"/>
  <c r="E228" i="49"/>
  <c r="E314" i="49"/>
  <c r="E61" i="38"/>
  <c r="E66" i="9"/>
  <c r="H66" i="16"/>
  <c r="H202" i="16"/>
  <c r="H201" i="16"/>
  <c r="I178" i="16"/>
  <c r="I65" i="16"/>
  <c r="E34" i="9"/>
  <c r="E182" i="9"/>
  <c r="E179" i="9"/>
  <c r="I202" i="18"/>
  <c r="G62" i="37"/>
  <c r="G67" i="9"/>
  <c r="G215" i="9"/>
  <c r="I193" i="21"/>
  <c r="I69" i="21"/>
  <c r="I198" i="17"/>
  <c r="F69" i="49"/>
  <c r="F230" i="49"/>
  <c r="F316" i="49"/>
  <c r="F63" i="37"/>
  <c r="F68" i="33"/>
  <c r="F217" i="33"/>
  <c r="F291" i="33"/>
  <c r="F68" i="9"/>
  <c r="F216" i="9"/>
  <c r="F66" i="17"/>
  <c r="F202" i="17"/>
  <c r="F201" i="17"/>
  <c r="G64" i="38"/>
  <c r="I204" i="19"/>
  <c r="H64" i="37"/>
  <c r="H69" i="9"/>
  <c r="H217" i="9"/>
  <c r="H62" i="37"/>
  <c r="H67" i="9"/>
  <c r="H215" i="9"/>
  <c r="G62" i="38"/>
  <c r="I202" i="19"/>
  <c r="T20" i="49"/>
  <c r="U20" i="49"/>
  <c r="P182" i="49"/>
  <c r="J189" i="33"/>
  <c r="J264" i="33"/>
  <c r="Q41" i="33"/>
  <c r="Q189" i="33"/>
  <c r="Q264" i="33"/>
  <c r="D39" i="45"/>
  <c r="H39" i="45"/>
  <c r="I39" i="45" s="1"/>
  <c r="J187" i="33"/>
  <c r="J262" i="33"/>
  <c r="H452" i="22"/>
  <c r="J452" i="22"/>
  <c r="J131" i="22"/>
  <c r="J180" i="9"/>
  <c r="J34" i="9"/>
  <c r="Q46" i="33"/>
  <c r="Q194" i="33"/>
  <c r="Q269" i="33"/>
  <c r="D46" i="45"/>
  <c r="J47" i="33"/>
  <c r="Q9" i="33"/>
  <c r="J158" i="33"/>
  <c r="J233" i="33"/>
  <c r="J34" i="33"/>
  <c r="E67" i="38"/>
  <c r="E68" i="38"/>
  <c r="I73" i="49"/>
  <c r="O46" i="49"/>
  <c r="O207" i="49"/>
  <c r="O294" i="49"/>
  <c r="Q48" i="33"/>
  <c r="I196" i="33"/>
  <c r="I271" i="33"/>
  <c r="I72" i="33"/>
  <c r="D48" i="45"/>
  <c r="H48" i="45" s="1"/>
  <c r="I48" i="45" s="1"/>
  <c r="H199" i="33"/>
  <c r="H274" i="33"/>
  <c r="H146" i="33"/>
  <c r="D197" i="9"/>
  <c r="F146" i="33"/>
  <c r="F209" i="33"/>
  <c r="F284" i="33"/>
  <c r="D223" i="49"/>
  <c r="D159" i="49"/>
  <c r="D310" i="49"/>
  <c r="F67" i="38"/>
  <c r="F68" i="38"/>
  <c r="D59" i="9"/>
  <c r="D207" i="9"/>
  <c r="D185" i="9"/>
  <c r="D43" i="9"/>
  <c r="D187" i="9"/>
  <c r="D61" i="9"/>
  <c r="D209" i="9"/>
  <c r="E66" i="15"/>
  <c r="H66" i="15"/>
  <c r="H202" i="15"/>
  <c r="H201" i="15"/>
  <c r="E67" i="33"/>
  <c r="E216" i="33"/>
  <c r="E290" i="33"/>
  <c r="E62" i="37"/>
  <c r="E68" i="49"/>
  <c r="E229" i="49"/>
  <c r="E315" i="49"/>
  <c r="E62" i="38"/>
  <c r="E67" i="9"/>
  <c r="E215" i="9"/>
  <c r="I197" i="16"/>
  <c r="E201" i="16"/>
  <c r="E66" i="16"/>
  <c r="E202" i="16"/>
  <c r="G66" i="16"/>
  <c r="G202" i="16"/>
  <c r="G201" i="16"/>
  <c r="G63" i="37"/>
  <c r="G67" i="37"/>
  <c r="G68" i="37"/>
  <c r="G68" i="9"/>
  <c r="G216" i="9"/>
  <c r="I203" i="18"/>
  <c r="G61" i="37"/>
  <c r="G66" i="9"/>
  <c r="I201" i="18"/>
  <c r="I184" i="18"/>
  <c r="F68" i="18"/>
  <c r="H68" i="18"/>
  <c r="H208" i="18"/>
  <c r="H207" i="18"/>
  <c r="F62" i="37"/>
  <c r="F67" i="37"/>
  <c r="F68" i="37"/>
  <c r="I197" i="17"/>
  <c r="F68" i="49"/>
  <c r="F67" i="33"/>
  <c r="F216" i="33"/>
  <c r="F290" i="33"/>
  <c r="F67" i="9"/>
  <c r="F215" i="9"/>
  <c r="H66" i="17"/>
  <c r="H202" i="17"/>
  <c r="H201" i="17"/>
  <c r="F66" i="9"/>
  <c r="I196" i="17"/>
  <c r="F61" i="37"/>
  <c r="E193" i="17"/>
  <c r="E65" i="17"/>
  <c r="I57" i="17"/>
  <c r="H63" i="37"/>
  <c r="G63" i="38"/>
  <c r="H68" i="9"/>
  <c r="H216" i="9"/>
  <c r="I203" i="19"/>
  <c r="J61" i="33"/>
  <c r="I207" i="21"/>
  <c r="J60" i="33"/>
  <c r="Q21" i="33"/>
  <c r="J38" i="49"/>
  <c r="O18" i="49"/>
  <c r="O180" i="49"/>
  <c r="O267" i="49"/>
  <c r="J40" i="37"/>
  <c r="J74" i="37"/>
  <c r="J78" i="37"/>
  <c r="D8" i="45"/>
  <c r="D17" i="45"/>
  <c r="J166" i="33"/>
  <c r="J241" i="33"/>
  <c r="Q23" i="33"/>
  <c r="J37" i="49"/>
  <c r="F34" i="33"/>
  <c r="F182" i="33"/>
  <c r="F257" i="33"/>
  <c r="J60" i="9"/>
  <c r="J208" i="9"/>
  <c r="J158" i="9"/>
  <c r="J47" i="9"/>
  <c r="J172" i="9"/>
  <c r="F72" i="33"/>
  <c r="I189" i="49"/>
  <c r="E196" i="33"/>
  <c r="E271" i="33"/>
  <c r="E215" i="49"/>
  <c r="E302" i="49"/>
  <c r="I262" i="33"/>
  <c r="Q91" i="33"/>
  <c r="R112" i="33"/>
  <c r="R111" i="33"/>
  <c r="I276" i="49"/>
  <c r="Q93" i="33"/>
  <c r="Q89" i="33"/>
  <c r="G201" i="17"/>
  <c r="D184" i="15"/>
  <c r="D182" i="15"/>
  <c r="D179" i="15"/>
  <c r="I171" i="15"/>
  <c r="I169" i="15"/>
  <c r="I39" i="15"/>
  <c r="I175" i="15"/>
  <c r="I42" i="15"/>
  <c r="D186" i="15"/>
  <c r="F201" i="16"/>
  <c r="F198" i="16"/>
  <c r="H196" i="16"/>
  <c r="D193" i="16"/>
  <c r="E192" i="16"/>
  <c r="D190" i="16"/>
  <c r="D189" i="16"/>
  <c r="D187" i="16"/>
  <c r="E186" i="16"/>
  <c r="D184" i="16"/>
  <c r="D183" i="16"/>
  <c r="E182" i="16"/>
  <c r="E180" i="16"/>
  <c r="D179" i="16"/>
  <c r="H178" i="16"/>
  <c r="D178" i="16"/>
  <c r="I145" i="16"/>
  <c r="D65" i="16"/>
  <c r="I53" i="19"/>
  <c r="I193" i="19"/>
  <c r="D67" i="18"/>
  <c r="J379" i="22"/>
  <c r="F137" i="9"/>
  <c r="F211" i="9"/>
  <c r="F135" i="9"/>
  <c r="F209" i="9"/>
  <c r="F133" i="9"/>
  <c r="F207" i="9"/>
  <c r="F108" i="9"/>
  <c r="F182" i="9"/>
  <c r="F120" i="9"/>
  <c r="C52" i="32"/>
  <c r="G39" i="32"/>
  <c r="G109" i="32"/>
  <c r="C117" i="32"/>
  <c r="G117" i="9"/>
  <c r="G191" i="9"/>
  <c r="E231" i="9"/>
  <c r="I53" i="18"/>
  <c r="I193" i="18"/>
  <c r="I65" i="19"/>
  <c r="H168" i="9"/>
  <c r="H57" i="9"/>
  <c r="H205" i="9"/>
  <c r="H95" i="32"/>
  <c r="I94" i="32"/>
  <c r="K94" i="32"/>
  <c r="C94" i="32"/>
  <c r="H111" i="49"/>
  <c r="H135" i="9"/>
  <c r="H146" i="9"/>
  <c r="H147" i="9"/>
  <c r="H108" i="9"/>
  <c r="H13" i="49"/>
  <c r="H51" i="9"/>
  <c r="H199" i="9"/>
  <c r="M50" i="32"/>
  <c r="F27" i="32"/>
  <c r="F16" i="32"/>
  <c r="F41" i="32"/>
  <c r="F15" i="32"/>
  <c r="F40" i="32"/>
  <c r="F13" i="32"/>
  <c r="F38" i="32"/>
  <c r="D133" i="15"/>
  <c r="D134" i="15"/>
  <c r="E133" i="15"/>
  <c r="E134" i="15"/>
  <c r="F133" i="15"/>
  <c r="F134" i="15"/>
  <c r="D133" i="16"/>
  <c r="D134" i="16"/>
  <c r="E8" i="29"/>
  <c r="D98" i="17"/>
  <c r="D166" i="17"/>
  <c r="I88" i="32"/>
  <c r="F137" i="18"/>
  <c r="F138" i="18"/>
  <c r="I40" i="37"/>
  <c r="I71" i="37"/>
  <c r="I73" i="37"/>
  <c r="I74" i="37"/>
  <c r="I78" i="37"/>
  <c r="K69" i="38"/>
  <c r="H43" i="38"/>
  <c r="H67" i="38"/>
  <c r="H68" i="38"/>
  <c r="E101" i="19"/>
  <c r="E171" i="19"/>
  <c r="G198" i="39"/>
  <c r="J51" i="39"/>
  <c r="J191" i="39"/>
  <c r="J48" i="39"/>
  <c r="J50" i="39"/>
  <c r="J190" i="39"/>
  <c r="F9" i="25"/>
  <c r="N19" i="49"/>
  <c r="N19" i="33"/>
  <c r="N57" i="9"/>
  <c r="N168" i="9"/>
  <c r="J58" i="40"/>
  <c r="J64" i="40"/>
  <c r="I127" i="20"/>
  <c r="I197" i="20"/>
  <c r="I125" i="20"/>
  <c r="I195" i="20"/>
  <c r="I123" i="20"/>
  <c r="I193" i="20"/>
  <c r="I121" i="20"/>
  <c r="I191" i="20"/>
  <c r="I119" i="20"/>
  <c r="I189" i="20"/>
  <c r="I117" i="20"/>
  <c r="I187" i="20"/>
  <c r="I114" i="20"/>
  <c r="E196" i="40"/>
  <c r="E191" i="40"/>
  <c r="E189" i="40"/>
  <c r="D184" i="40"/>
  <c r="R84" i="33"/>
  <c r="I126" i="20"/>
  <c r="I196" i="20"/>
  <c r="I124" i="20"/>
  <c r="I194" i="20"/>
  <c r="I122" i="20"/>
  <c r="I192" i="20"/>
  <c r="I120" i="20"/>
  <c r="I190" i="20"/>
  <c r="I118" i="20"/>
  <c r="I188" i="20"/>
  <c r="I115" i="20"/>
  <c r="I185" i="20"/>
  <c r="Q149" i="47"/>
  <c r="E149" i="47"/>
  <c r="D149" i="47"/>
  <c r="H156" i="47"/>
  <c r="H129" i="47"/>
  <c r="Q135" i="47"/>
  <c r="L135" i="47"/>
  <c r="D38" i="47"/>
  <c r="G38" i="47"/>
  <c r="G26" i="47"/>
  <c r="E129" i="47"/>
  <c r="M129" i="47"/>
  <c r="M156" i="47"/>
  <c r="J203" i="52"/>
  <c r="J203" i="54"/>
  <c r="I137" i="21"/>
  <c r="I141" i="21"/>
  <c r="I142" i="21"/>
  <c r="J166" i="52"/>
  <c r="J167" i="52"/>
  <c r="J168" i="52"/>
  <c r="P19" i="9"/>
  <c r="F134" i="57"/>
  <c r="J167" i="54"/>
  <c r="M154" i="47"/>
  <c r="M161" i="47"/>
  <c r="M149" i="47"/>
  <c r="E9" i="48"/>
  <c r="D11" i="48"/>
  <c r="E11" i="48"/>
  <c r="F26" i="55"/>
  <c r="F33" i="55"/>
  <c r="F34" i="55"/>
  <c r="F35" i="55"/>
  <c r="F36" i="55"/>
  <c r="K134" i="47"/>
  <c r="K135" i="47"/>
  <c r="P134" i="47"/>
  <c r="P135" i="47"/>
  <c r="D147" i="47"/>
  <c r="K177" i="22"/>
  <c r="J263" i="22"/>
  <c r="J141" i="30"/>
  <c r="J142" i="30"/>
  <c r="E127" i="39"/>
  <c r="J92" i="39"/>
  <c r="O182" i="33"/>
  <c r="O257" i="33"/>
  <c r="T40" i="49"/>
  <c r="U40" i="49"/>
  <c r="Q201" i="49"/>
  <c r="Q288" i="49"/>
  <c r="E137" i="39"/>
  <c r="J127" i="39"/>
  <c r="E197" i="39"/>
  <c r="H155" i="47"/>
  <c r="K129" i="47"/>
  <c r="H160" i="47"/>
  <c r="L129" i="47"/>
  <c r="C129" i="47"/>
  <c r="M99" i="9"/>
  <c r="J162" i="39"/>
  <c r="J101" i="39"/>
  <c r="J171" i="39"/>
  <c r="D148" i="47"/>
  <c r="G148" i="47"/>
  <c r="G147" i="47"/>
  <c r="F147" i="47"/>
  <c r="F148" i="47"/>
  <c r="P149" i="47"/>
  <c r="M160" i="47"/>
  <c r="C149" i="47"/>
  <c r="R233" i="33"/>
  <c r="R158" i="33"/>
  <c r="U84" i="33"/>
  <c r="V84" i="33"/>
  <c r="W84" i="33"/>
  <c r="X84" i="33"/>
  <c r="I137" i="20"/>
  <c r="J198" i="40"/>
  <c r="J67" i="40"/>
  <c r="N205" i="9"/>
  <c r="N57" i="49"/>
  <c r="N181" i="49"/>
  <c r="N34" i="49"/>
  <c r="N195" i="49"/>
  <c r="N282" i="49"/>
  <c r="K88" i="32"/>
  <c r="K40" i="32"/>
  <c r="D88" i="32"/>
  <c r="H121" i="49"/>
  <c r="H148" i="49"/>
  <c r="H41" i="32"/>
  <c r="C95" i="32"/>
  <c r="I95" i="32"/>
  <c r="G65" i="38"/>
  <c r="H70" i="9"/>
  <c r="H218" i="9"/>
  <c r="H65" i="37"/>
  <c r="I205" i="19"/>
  <c r="F146" i="9"/>
  <c r="F147" i="9"/>
  <c r="F194" i="9"/>
  <c r="D207" i="18"/>
  <c r="D68" i="18"/>
  <c r="D208" i="18"/>
  <c r="D66" i="16"/>
  <c r="D202" i="16"/>
  <c r="D201" i="16"/>
  <c r="U111" i="33"/>
  <c r="V111" i="33"/>
  <c r="W111" i="33"/>
  <c r="X111" i="33"/>
  <c r="U91" i="33"/>
  <c r="V91" i="33"/>
  <c r="Q172" i="33"/>
  <c r="Q247" i="33"/>
  <c r="U23" i="33"/>
  <c r="V23" i="33"/>
  <c r="O38" i="49"/>
  <c r="J199" i="49"/>
  <c r="J286" i="49"/>
  <c r="J60" i="49"/>
  <c r="D60" i="45"/>
  <c r="H60" i="45" s="1"/>
  <c r="I60" i="45"/>
  <c r="Q60" i="33"/>
  <c r="J208" i="33"/>
  <c r="J283" i="33"/>
  <c r="D61" i="45"/>
  <c r="H61" i="45" s="1"/>
  <c r="I61" i="45" s="1"/>
  <c r="J209" i="33"/>
  <c r="J284" i="33"/>
  <c r="Q61" i="33"/>
  <c r="Q209" i="33"/>
  <c r="Q284" i="33"/>
  <c r="E66" i="17"/>
  <c r="E202" i="17"/>
  <c r="E201" i="17"/>
  <c r="F214" i="9"/>
  <c r="F72" i="9"/>
  <c r="F207" i="18"/>
  <c r="I67" i="18"/>
  <c r="E201" i="15"/>
  <c r="D191" i="9"/>
  <c r="D237" i="9"/>
  <c r="D72" i="9"/>
  <c r="H147" i="33"/>
  <c r="I73" i="33"/>
  <c r="I221" i="33"/>
  <c r="U48" i="33"/>
  <c r="V48" i="33"/>
  <c r="Q196" i="33"/>
  <c r="Q271" i="33"/>
  <c r="I74" i="49"/>
  <c r="I234" i="49"/>
  <c r="I320" i="49"/>
  <c r="J195" i="33"/>
  <c r="J270" i="33"/>
  <c r="D47" i="45"/>
  <c r="H47" i="45"/>
  <c r="I47" i="45" s="1"/>
  <c r="J72" i="33"/>
  <c r="D72" i="45"/>
  <c r="D78" i="45"/>
  <c r="Q47" i="33"/>
  <c r="J182" i="9"/>
  <c r="J237" i="9"/>
  <c r="Q19" i="49"/>
  <c r="I213" i="21"/>
  <c r="I70" i="21"/>
  <c r="I214" i="21"/>
  <c r="F202" i="15"/>
  <c r="D202" i="15"/>
  <c r="R153" i="49"/>
  <c r="S153" i="49"/>
  <c r="O228" i="49"/>
  <c r="O314" i="49"/>
  <c r="E237" i="9"/>
  <c r="E72" i="33"/>
  <c r="R23" i="49"/>
  <c r="S23" i="49"/>
  <c r="O185" i="49"/>
  <c r="O272" i="49"/>
  <c r="R17" i="49"/>
  <c r="S17" i="49"/>
  <c r="O179" i="49"/>
  <c r="O266" i="49"/>
  <c r="O55" i="49"/>
  <c r="J216" i="49"/>
  <c r="J303" i="49"/>
  <c r="K206" i="9"/>
  <c r="K146" i="9"/>
  <c r="K147" i="9"/>
  <c r="O49" i="49"/>
  <c r="O210" i="49"/>
  <c r="O297" i="49"/>
  <c r="J210" i="49"/>
  <c r="O177" i="49"/>
  <c r="O264" i="49"/>
  <c r="R15" i="49"/>
  <c r="S15" i="49"/>
  <c r="Q186" i="33"/>
  <c r="Q261" i="33"/>
  <c r="I154" i="33"/>
  <c r="L229" i="33"/>
  <c r="H16" i="9"/>
  <c r="G15" i="38"/>
  <c r="G50" i="38"/>
  <c r="H15" i="37"/>
  <c r="H50" i="37"/>
  <c r="I155" i="19"/>
  <c r="F154" i="33"/>
  <c r="F229" i="33"/>
  <c r="H176" i="49"/>
  <c r="H263" i="49"/>
  <c r="H52" i="49"/>
  <c r="H213" i="49"/>
  <c r="H300" i="49"/>
  <c r="I91" i="22"/>
  <c r="J77" i="22"/>
  <c r="I398" i="22"/>
  <c r="O199" i="9"/>
  <c r="O72" i="9"/>
  <c r="K59" i="33"/>
  <c r="E37" i="45"/>
  <c r="K185" i="33"/>
  <c r="K260" i="33"/>
  <c r="R37" i="33"/>
  <c r="K43" i="33"/>
  <c r="U13" i="33"/>
  <c r="V13" i="33"/>
  <c r="W13" i="33"/>
  <c r="X13" i="33"/>
  <c r="R162" i="33"/>
  <c r="R237" i="33"/>
  <c r="L245" i="49"/>
  <c r="L248" i="49"/>
  <c r="Q220" i="49"/>
  <c r="Q307" i="49"/>
  <c r="N208" i="33"/>
  <c r="N283" i="33"/>
  <c r="S60" i="33"/>
  <c r="F60" i="45"/>
  <c r="M73" i="9"/>
  <c r="K201" i="33"/>
  <c r="K276" i="33"/>
  <c r="E53" i="45"/>
  <c r="R53" i="33"/>
  <c r="R197" i="33"/>
  <c r="R272" i="33"/>
  <c r="W49" i="33"/>
  <c r="X49" i="33"/>
  <c r="U49" i="33"/>
  <c r="V49" i="33"/>
  <c r="H49" i="33"/>
  <c r="H197" i="33"/>
  <c r="H272" i="33"/>
  <c r="H160" i="33"/>
  <c r="H235" i="33"/>
  <c r="C86" i="57"/>
  <c r="C106" i="57"/>
  <c r="H44" i="57"/>
  <c r="Q106" i="57"/>
  <c r="N98" i="57"/>
  <c r="K204" i="49"/>
  <c r="K291" i="49"/>
  <c r="P43" i="49"/>
  <c r="P198" i="49"/>
  <c r="P285" i="49"/>
  <c r="T37" i="49"/>
  <c r="U37" i="49"/>
  <c r="J51" i="45"/>
  <c r="K51" i="45" s="1"/>
  <c r="H51" i="45"/>
  <c r="I51" i="45" s="1"/>
  <c r="S188" i="33"/>
  <c r="S263" i="33"/>
  <c r="W40" i="33"/>
  <c r="X40" i="33"/>
  <c r="Y40" i="33"/>
  <c r="Z40" i="33"/>
  <c r="U28" i="33"/>
  <c r="V28" i="33"/>
  <c r="W130" i="33"/>
  <c r="X130" i="33"/>
  <c r="U130" i="33"/>
  <c r="V130" i="33"/>
  <c r="R204" i="33"/>
  <c r="R279" i="33"/>
  <c r="L147" i="33"/>
  <c r="L295" i="33"/>
  <c r="N147" i="33"/>
  <c r="S215" i="33"/>
  <c r="S289" i="33"/>
  <c r="Y140" i="33"/>
  <c r="Z140" i="33"/>
  <c r="W140" i="33"/>
  <c r="X140" i="33"/>
  <c r="I190" i="19"/>
  <c r="I67" i="19"/>
  <c r="H185" i="49"/>
  <c r="H272" i="49"/>
  <c r="J20" i="22"/>
  <c r="I63" i="22"/>
  <c r="I341" i="22"/>
  <c r="J341" i="22"/>
  <c r="C98" i="47"/>
  <c r="H106" i="47"/>
  <c r="M107" i="57"/>
  <c r="J62" i="22"/>
  <c r="P34" i="49"/>
  <c r="P56" i="49"/>
  <c r="K217" i="49"/>
  <c r="K304" i="49"/>
  <c r="U55" i="33"/>
  <c r="V55" i="33"/>
  <c r="R203" i="33"/>
  <c r="R278" i="33"/>
  <c r="W55" i="33"/>
  <c r="X55" i="33"/>
  <c r="W24" i="33"/>
  <c r="X24" i="33"/>
  <c r="S43" i="33"/>
  <c r="K73" i="49"/>
  <c r="K294" i="49"/>
  <c r="W46" i="33"/>
  <c r="X46" i="33"/>
  <c r="U46" i="33"/>
  <c r="V46" i="33"/>
  <c r="R194" i="33"/>
  <c r="R269" i="33"/>
  <c r="R210" i="33"/>
  <c r="R285" i="33"/>
  <c r="U62" i="33"/>
  <c r="V62" i="33"/>
  <c r="P19" i="33"/>
  <c r="P168" i="9"/>
  <c r="P34" i="9"/>
  <c r="P57" i="9"/>
  <c r="J142" i="9"/>
  <c r="I209" i="21"/>
  <c r="M155" i="47"/>
  <c r="P129" i="47"/>
  <c r="Q129" i="47"/>
  <c r="G149" i="47"/>
  <c r="N69" i="9"/>
  <c r="N217" i="9"/>
  <c r="J204" i="40"/>
  <c r="N57" i="33"/>
  <c r="N168" i="33"/>
  <c r="S19" i="33"/>
  <c r="N34" i="33"/>
  <c r="N182" i="33"/>
  <c r="N257" i="33"/>
  <c r="F19" i="45"/>
  <c r="J19" i="45"/>
  <c r="K19" i="45" s="1"/>
  <c r="J188" i="39"/>
  <c r="J67" i="39"/>
  <c r="H175" i="49"/>
  <c r="H262" i="49"/>
  <c r="H51" i="49"/>
  <c r="H212" i="49"/>
  <c r="H299" i="49"/>
  <c r="I40" i="32"/>
  <c r="D94" i="32"/>
  <c r="F94" i="32"/>
  <c r="I184" i="20"/>
  <c r="I178" i="15"/>
  <c r="I65" i="15"/>
  <c r="U89" i="33"/>
  <c r="V89" i="33"/>
  <c r="W112" i="33"/>
  <c r="X112" i="33"/>
  <c r="U112" i="33"/>
  <c r="V112" i="33"/>
  <c r="R261" i="33"/>
  <c r="R186" i="33"/>
  <c r="F221" i="33"/>
  <c r="F295" i="33"/>
  <c r="F73" i="33"/>
  <c r="J195" i="9"/>
  <c r="J72" i="9"/>
  <c r="J198" i="49"/>
  <c r="J285" i="49"/>
  <c r="J43" i="49"/>
  <c r="J59" i="49"/>
  <c r="O37" i="49"/>
  <c r="O198" i="49"/>
  <c r="O285" i="49"/>
  <c r="U21" i="33"/>
  <c r="V21" i="33"/>
  <c r="Q170" i="33"/>
  <c r="Q245" i="33"/>
  <c r="I65" i="17"/>
  <c r="I193" i="17"/>
  <c r="F229" i="49"/>
  <c r="F315" i="49"/>
  <c r="F73" i="49"/>
  <c r="F208" i="18"/>
  <c r="G214" i="9"/>
  <c r="G72" i="9"/>
  <c r="E202" i="15"/>
  <c r="D160" i="49"/>
  <c r="D234" i="49"/>
  <c r="D320" i="49"/>
  <c r="F147" i="33"/>
  <c r="Q34" i="33"/>
  <c r="J182" i="33"/>
  <c r="J257" i="33"/>
  <c r="D34" i="45"/>
  <c r="Q158" i="33"/>
  <c r="Q233" i="33"/>
  <c r="U9" i="33"/>
  <c r="V9" i="33"/>
  <c r="I201" i="16"/>
  <c r="I66" i="16"/>
  <c r="I202" i="16"/>
  <c r="E214" i="9"/>
  <c r="E72" i="9"/>
  <c r="F201" i="15"/>
  <c r="D201" i="15"/>
  <c r="G201" i="33"/>
  <c r="G276" i="33"/>
  <c r="G72" i="33"/>
  <c r="E73" i="49"/>
  <c r="O61" i="49"/>
  <c r="J222" i="49"/>
  <c r="J309" i="49"/>
  <c r="K145" i="49"/>
  <c r="K269" i="49"/>
  <c r="P108" i="49"/>
  <c r="K182" i="49"/>
  <c r="K121" i="49"/>
  <c r="R95" i="33"/>
  <c r="K132" i="33"/>
  <c r="K169" i="33"/>
  <c r="K244" i="33"/>
  <c r="K108" i="33"/>
  <c r="H133" i="22"/>
  <c r="H120" i="22"/>
  <c r="J119" i="22"/>
  <c r="H440" i="22"/>
  <c r="J440" i="22"/>
  <c r="Q163" i="33"/>
  <c r="Q238" i="33"/>
  <c r="J200" i="33"/>
  <c r="J275" i="33"/>
  <c r="D52" i="45"/>
  <c r="H52" i="45"/>
  <c r="I52" i="45" s="1"/>
  <c r="Q52" i="33"/>
  <c r="H10" i="9"/>
  <c r="I149" i="19"/>
  <c r="H9" i="37"/>
  <c r="G9" i="38"/>
  <c r="I31" i="19"/>
  <c r="I171" i="19"/>
  <c r="I229" i="33"/>
  <c r="H187" i="9"/>
  <c r="H233" i="9"/>
  <c r="H39" i="33"/>
  <c r="H39" i="49"/>
  <c r="H61" i="9"/>
  <c r="H209" i="9"/>
  <c r="H194" i="9"/>
  <c r="O160" i="49"/>
  <c r="T24" i="33"/>
  <c r="O173" i="33"/>
  <c r="O248" i="33"/>
  <c r="G24" i="45"/>
  <c r="L24" i="45"/>
  <c r="M24" i="45" s="1"/>
  <c r="O62" i="33"/>
  <c r="H17" i="45"/>
  <c r="I17" i="45"/>
  <c r="J17" i="45"/>
  <c r="K17" i="45"/>
  <c r="J398" i="22"/>
  <c r="H64" i="45"/>
  <c r="I64" i="45" s="1"/>
  <c r="J64" i="45"/>
  <c r="K64" i="45" s="1"/>
  <c r="K189" i="33"/>
  <c r="K264" i="33"/>
  <c r="R41" i="33"/>
  <c r="K63" i="33"/>
  <c r="E41" i="45"/>
  <c r="H41" i="45" s="1"/>
  <c r="I41" i="45" s="1"/>
  <c r="L21" i="45"/>
  <c r="M21" i="45"/>
  <c r="J21" i="45"/>
  <c r="K21" i="45"/>
  <c r="N201" i="49"/>
  <c r="N288" i="49"/>
  <c r="N62" i="49"/>
  <c r="N223" i="49"/>
  <c r="N43" i="49"/>
  <c r="N237" i="9"/>
  <c r="N191" i="9"/>
  <c r="M34" i="49"/>
  <c r="Q24" i="49"/>
  <c r="M62" i="49"/>
  <c r="T43" i="33"/>
  <c r="H8" i="45"/>
  <c r="I8" i="45" s="1"/>
  <c r="J8" i="45"/>
  <c r="K8" i="45" s="1"/>
  <c r="R11" i="49"/>
  <c r="S11" i="49"/>
  <c r="P173" i="49"/>
  <c r="P260" i="49"/>
  <c r="T11" i="49"/>
  <c r="U11" i="49"/>
  <c r="R215" i="33"/>
  <c r="R289" i="33"/>
  <c r="W66" i="33"/>
  <c r="X66" i="33"/>
  <c r="U66" i="33"/>
  <c r="V66" i="33"/>
  <c r="H34" i="45"/>
  <c r="I34" i="45" s="1"/>
  <c r="H49" i="49"/>
  <c r="H210" i="49"/>
  <c r="H297" i="49"/>
  <c r="H173" i="49"/>
  <c r="H260" i="49"/>
  <c r="H194" i="33"/>
  <c r="H269" i="33"/>
  <c r="Q167" i="33"/>
  <c r="Q242" i="33"/>
  <c r="D98" i="57"/>
  <c r="G98" i="57"/>
  <c r="I106" i="57"/>
  <c r="N72" i="47"/>
  <c r="Q43" i="47"/>
  <c r="F105" i="47"/>
  <c r="F181" i="47"/>
  <c r="F187" i="47"/>
  <c r="F199" i="47"/>
  <c r="D181" i="47"/>
  <c r="L72" i="47"/>
  <c r="L98" i="47"/>
  <c r="L106" i="47"/>
  <c r="K220" i="49"/>
  <c r="K307" i="49"/>
  <c r="P59" i="49"/>
  <c r="U61" i="33"/>
  <c r="V61" i="33"/>
  <c r="W61" i="33"/>
  <c r="X61" i="33"/>
  <c r="R209" i="33"/>
  <c r="R284" i="33"/>
  <c r="J61" i="45"/>
  <c r="K61" i="45"/>
  <c r="U51" i="33"/>
  <c r="V51" i="33"/>
  <c r="R199" i="33"/>
  <c r="R274" i="33"/>
  <c r="W51" i="33"/>
  <c r="X51" i="33"/>
  <c r="J213" i="30"/>
  <c r="J70" i="30"/>
  <c r="J214" i="30"/>
  <c r="G43" i="45"/>
  <c r="L43" i="45" s="1"/>
  <c r="M43" i="45" s="1"/>
  <c r="Q165" i="33"/>
  <c r="Q240" i="33"/>
  <c r="Q146" i="33"/>
  <c r="I147" i="33"/>
  <c r="I295" i="33"/>
  <c r="U134" i="33"/>
  <c r="V134" i="33"/>
  <c r="U93" i="33"/>
  <c r="V93" i="33"/>
  <c r="H54" i="37"/>
  <c r="H68" i="19"/>
  <c r="H208" i="19"/>
  <c r="H207" i="19"/>
  <c r="H28" i="49"/>
  <c r="H28" i="33"/>
  <c r="H176" i="9"/>
  <c r="H43" i="9"/>
  <c r="H38" i="33"/>
  <c r="H38" i="49"/>
  <c r="H186" i="9"/>
  <c r="H232" i="9"/>
  <c r="G55" i="38"/>
  <c r="Y13" i="33"/>
  <c r="Z13" i="33"/>
  <c r="T162" i="33"/>
  <c r="T237" i="33"/>
  <c r="T51" i="33"/>
  <c r="O72" i="33"/>
  <c r="O199" i="33"/>
  <c r="O274" i="33"/>
  <c r="G51" i="45"/>
  <c r="L51" i="45"/>
  <c r="M51" i="45" s="1"/>
  <c r="M106" i="47"/>
  <c r="C58" i="47"/>
  <c r="G72" i="57"/>
  <c r="G106" i="57"/>
  <c r="D58" i="57"/>
  <c r="F72" i="57"/>
  <c r="R18" i="49"/>
  <c r="S18" i="49"/>
  <c r="T18" i="49"/>
  <c r="U18" i="49"/>
  <c r="P180" i="49"/>
  <c r="P267" i="49"/>
  <c r="K73" i="9"/>
  <c r="K221" i="9"/>
  <c r="K220" i="9"/>
  <c r="H55" i="45"/>
  <c r="I55" i="45"/>
  <c r="J55" i="45"/>
  <c r="K55" i="45"/>
  <c r="M72" i="33"/>
  <c r="F62" i="45"/>
  <c r="J62" i="45" s="1"/>
  <c r="K62" i="45" s="1"/>
  <c r="S62" i="33"/>
  <c r="F43" i="45"/>
  <c r="P207" i="49"/>
  <c r="P294" i="49"/>
  <c r="T46" i="49"/>
  <c r="U46" i="49"/>
  <c r="R46" i="49"/>
  <c r="S46" i="49"/>
  <c r="H46" i="45"/>
  <c r="I46" i="45"/>
  <c r="J46" i="45"/>
  <c r="K46" i="45"/>
  <c r="K72" i="33"/>
  <c r="R49" i="49"/>
  <c r="S49" i="49"/>
  <c r="T49" i="49"/>
  <c r="U49" i="49"/>
  <c r="P210" i="49"/>
  <c r="P297" i="49"/>
  <c r="U57" i="33"/>
  <c r="V57" i="33"/>
  <c r="R205" i="33"/>
  <c r="E72" i="45"/>
  <c r="K73" i="33"/>
  <c r="R72" i="33"/>
  <c r="M73" i="33"/>
  <c r="H43" i="33"/>
  <c r="H191" i="33"/>
  <c r="H266" i="33"/>
  <c r="H186" i="33"/>
  <c r="H261" i="33"/>
  <c r="H60" i="33"/>
  <c r="H208" i="33"/>
  <c r="H283" i="33"/>
  <c r="Q147" i="33"/>
  <c r="Q72" i="47"/>
  <c r="Q98" i="47"/>
  <c r="P72" i="47"/>
  <c r="M73" i="49"/>
  <c r="Q62" i="49"/>
  <c r="N204" i="49"/>
  <c r="N291" i="49"/>
  <c r="Q43" i="49"/>
  <c r="R63" i="33"/>
  <c r="K211" i="33"/>
  <c r="K286" i="33"/>
  <c r="E63" i="45"/>
  <c r="G62" i="45"/>
  <c r="L62" i="45" s="1"/>
  <c r="M62" i="45" s="1"/>
  <c r="O210" i="33"/>
  <c r="O285" i="33"/>
  <c r="T62" i="33"/>
  <c r="H187" i="33"/>
  <c r="H262" i="33"/>
  <c r="H61" i="33"/>
  <c r="H209" i="33"/>
  <c r="H284" i="33"/>
  <c r="H31" i="37"/>
  <c r="H73" i="37"/>
  <c r="H74" i="37"/>
  <c r="H78" i="37"/>
  <c r="H44" i="37"/>
  <c r="H67" i="37"/>
  <c r="H68" i="37"/>
  <c r="H10" i="33"/>
  <c r="H159" i="9"/>
  <c r="H34" i="9"/>
  <c r="H182" i="9"/>
  <c r="H48" i="9"/>
  <c r="H10" i="49"/>
  <c r="J133" i="22"/>
  <c r="H454" i="22"/>
  <c r="J454" i="22"/>
  <c r="K146" i="33"/>
  <c r="R132" i="33"/>
  <c r="K206" i="33"/>
  <c r="P121" i="49"/>
  <c r="R108" i="49"/>
  <c r="S108" i="49"/>
  <c r="P269" i="49"/>
  <c r="T108" i="49"/>
  <c r="U108" i="49"/>
  <c r="P145" i="49"/>
  <c r="K159" i="49"/>
  <c r="K219" i="49"/>
  <c r="O222" i="49"/>
  <c r="O309" i="49"/>
  <c r="R61" i="49"/>
  <c r="S61" i="49"/>
  <c r="D235" i="49"/>
  <c r="D321" i="49"/>
  <c r="G73" i="9"/>
  <c r="G221" i="9"/>
  <c r="G220" i="9"/>
  <c r="I201" i="17"/>
  <c r="I66" i="17"/>
  <c r="I202" i="17"/>
  <c r="O59" i="49"/>
  <c r="O220" i="49"/>
  <c r="O307" i="49"/>
  <c r="J220" i="49"/>
  <c r="J307" i="49"/>
  <c r="P205" i="9"/>
  <c r="P72" i="9"/>
  <c r="F34" i="45"/>
  <c r="J34" i="45" s="1"/>
  <c r="K34" i="45" s="1"/>
  <c r="S34" i="33"/>
  <c r="P195" i="49"/>
  <c r="R34" i="49"/>
  <c r="S34" i="49"/>
  <c r="C106" i="47"/>
  <c r="H44" i="47"/>
  <c r="I98" i="47"/>
  <c r="W62" i="33"/>
  <c r="X62" i="33"/>
  <c r="M44" i="47"/>
  <c r="M73" i="47"/>
  <c r="T199" i="33"/>
  <c r="T274" i="33"/>
  <c r="Y51" i="33"/>
  <c r="Z51" i="33"/>
  <c r="H60" i="49"/>
  <c r="H221" i="49"/>
  <c r="H308" i="49"/>
  <c r="H199" i="49"/>
  <c r="H286" i="49"/>
  <c r="H43" i="49"/>
  <c r="H204" i="49"/>
  <c r="H291" i="49"/>
  <c r="H191" i="9"/>
  <c r="H237" i="9"/>
  <c r="H176" i="33"/>
  <c r="H66" i="33"/>
  <c r="H215" i="33"/>
  <c r="P220" i="49"/>
  <c r="P307" i="49"/>
  <c r="R59" i="49"/>
  <c r="S59" i="49"/>
  <c r="D72" i="47"/>
  <c r="G181" i="47"/>
  <c r="D187" i="47"/>
  <c r="I44" i="57"/>
  <c r="T191" i="33"/>
  <c r="T266" i="33"/>
  <c r="Y43" i="33"/>
  <c r="Z43" i="33"/>
  <c r="T24" i="49"/>
  <c r="U24" i="49"/>
  <c r="Q34" i="49"/>
  <c r="N243" i="49"/>
  <c r="N245" i="49"/>
  <c r="N310" i="49"/>
  <c r="U41" i="33"/>
  <c r="V41" i="33"/>
  <c r="R189" i="33"/>
  <c r="R264" i="33"/>
  <c r="W41" i="33"/>
  <c r="X41" i="33"/>
  <c r="Y24" i="33"/>
  <c r="Z24" i="33"/>
  <c r="T173" i="33"/>
  <c r="T248" i="33"/>
  <c r="H200" i="49"/>
  <c r="H287" i="49"/>
  <c r="H61" i="49"/>
  <c r="H222" i="49"/>
  <c r="G44" i="38"/>
  <c r="G67" i="38"/>
  <c r="G68" i="38"/>
  <c r="G31" i="38"/>
  <c r="G73" i="38"/>
  <c r="G74" i="38"/>
  <c r="G78" i="38"/>
  <c r="G81" i="38"/>
  <c r="U52" i="33"/>
  <c r="V52" i="33"/>
  <c r="Q200" i="33"/>
  <c r="Q275" i="33"/>
  <c r="J120" i="22"/>
  <c r="H441" i="22"/>
  <c r="J441" i="22"/>
  <c r="H134" i="22"/>
  <c r="R108" i="33"/>
  <c r="K257" i="33"/>
  <c r="K182" i="33"/>
  <c r="W95" i="33"/>
  <c r="X95" i="33"/>
  <c r="U95" i="33"/>
  <c r="V95" i="33"/>
  <c r="R244" i="33"/>
  <c r="E74" i="49"/>
  <c r="E235" i="49"/>
  <c r="E321" i="49"/>
  <c r="E234" i="49"/>
  <c r="E320" i="49"/>
  <c r="G73" i="33"/>
  <c r="G222" i="33"/>
  <c r="G296" i="33"/>
  <c r="G221" i="33"/>
  <c r="G295" i="33"/>
  <c r="E73" i="9"/>
  <c r="E221" i="9"/>
  <c r="E220" i="9"/>
  <c r="Q182" i="33"/>
  <c r="Q257" i="33"/>
  <c r="U34" i="33"/>
  <c r="V34" i="33"/>
  <c r="F234" i="49"/>
  <c r="F320" i="49"/>
  <c r="F74" i="49"/>
  <c r="F235" i="49"/>
  <c r="F321" i="49"/>
  <c r="J204" i="49"/>
  <c r="J291" i="49"/>
  <c r="O43" i="49"/>
  <c r="O204" i="49"/>
  <c r="O291" i="49"/>
  <c r="J73" i="9"/>
  <c r="F222" i="33"/>
  <c r="F296" i="33"/>
  <c r="I201" i="15"/>
  <c r="I66" i="15"/>
  <c r="I202" i="15"/>
  <c r="I53" i="32"/>
  <c r="L40" i="32"/>
  <c r="D40" i="32"/>
  <c r="G40" i="32"/>
  <c r="J68" i="39"/>
  <c r="S168" i="33"/>
  <c r="W19" i="33"/>
  <c r="X19" i="33"/>
  <c r="N72" i="33"/>
  <c r="F72" i="45"/>
  <c r="N205" i="33"/>
  <c r="S57" i="33"/>
  <c r="F57" i="45"/>
  <c r="J57" i="45" s="1"/>
  <c r="K57" i="45" s="1"/>
  <c r="J216" i="9"/>
  <c r="J146" i="9"/>
  <c r="J147" i="9"/>
  <c r="P182" i="9"/>
  <c r="P237" i="9"/>
  <c r="P57" i="33"/>
  <c r="G19" i="45"/>
  <c r="L19" i="45"/>
  <c r="M19" i="45" s="1"/>
  <c r="P168" i="33"/>
  <c r="T19" i="33"/>
  <c r="P34" i="33"/>
  <c r="K241" i="49"/>
  <c r="K245" i="49"/>
  <c r="K248" i="49"/>
  <c r="K234" i="49"/>
  <c r="K247" i="49"/>
  <c r="K74" i="49"/>
  <c r="P73" i="49"/>
  <c r="S191" i="33"/>
  <c r="S266" i="33"/>
  <c r="T56" i="49"/>
  <c r="U56" i="49"/>
  <c r="P217" i="49"/>
  <c r="P304" i="49"/>
  <c r="R56" i="49"/>
  <c r="S56" i="49"/>
  <c r="K195" i="49"/>
  <c r="K282" i="49"/>
  <c r="M45" i="57"/>
  <c r="M74" i="57"/>
  <c r="C86" i="47"/>
  <c r="I384" i="22"/>
  <c r="J384" i="22"/>
  <c r="J63" i="22"/>
  <c r="P204" i="49"/>
  <c r="P291" i="49"/>
  <c r="R43" i="49"/>
  <c r="S43" i="49"/>
  <c r="N106" i="57"/>
  <c r="P98" i="57"/>
  <c r="H73" i="57"/>
  <c r="C44" i="57"/>
  <c r="K106" i="57"/>
  <c r="K44" i="57"/>
  <c r="F98" i="57"/>
  <c r="H53" i="45"/>
  <c r="I53" i="45"/>
  <c r="J53" i="45"/>
  <c r="K53" i="45"/>
  <c r="L60" i="45"/>
  <c r="M60" i="45"/>
  <c r="J60" i="45"/>
  <c r="K60" i="45"/>
  <c r="R185" i="33"/>
  <c r="R260" i="33"/>
  <c r="U37" i="33"/>
  <c r="V37" i="33"/>
  <c r="W37" i="33"/>
  <c r="X37" i="33"/>
  <c r="H37" i="45"/>
  <c r="I37" i="45"/>
  <c r="J37" i="45"/>
  <c r="K37" i="45"/>
  <c r="O73" i="9"/>
  <c r="O221" i="9"/>
  <c r="O220" i="9"/>
  <c r="J91" i="22"/>
  <c r="I412" i="22"/>
  <c r="J412" i="22"/>
  <c r="H165" i="9"/>
  <c r="H54" i="9"/>
  <c r="H202" i="9"/>
  <c r="H16" i="33"/>
  <c r="H16" i="49"/>
  <c r="J297" i="49"/>
  <c r="E73" i="33"/>
  <c r="E222" i="33"/>
  <c r="E296" i="33"/>
  <c r="E221" i="33"/>
  <c r="E295" i="33"/>
  <c r="Q195" i="33"/>
  <c r="Q270" i="33"/>
  <c r="U47" i="33"/>
  <c r="V47" i="33"/>
  <c r="I235" i="49"/>
  <c r="I321" i="49"/>
  <c r="I222" i="33"/>
  <c r="I296" i="33"/>
  <c r="D95" i="32"/>
  <c r="I41" i="32"/>
  <c r="K95" i="32"/>
  <c r="K41" i="32"/>
  <c r="C41" i="32"/>
  <c r="H66" i="32"/>
  <c r="F88" i="32"/>
  <c r="G88" i="32"/>
  <c r="N218" i="49"/>
  <c r="Q57" i="49"/>
  <c r="N73" i="49"/>
  <c r="C160" i="47"/>
  <c r="F149" i="47"/>
  <c r="M112" i="49"/>
  <c r="M108" i="9"/>
  <c r="M182" i="9"/>
  <c r="M99" i="33"/>
  <c r="M136" i="9"/>
  <c r="M173" i="9"/>
  <c r="E138" i="39"/>
  <c r="E208" i="39"/>
  <c r="E207" i="39"/>
  <c r="O73" i="33"/>
  <c r="O221" i="33"/>
  <c r="O295" i="33"/>
  <c r="H67" i="49"/>
  <c r="H228" i="49"/>
  <c r="H189" i="49"/>
  <c r="I207" i="19"/>
  <c r="I68" i="19"/>
  <c r="I208" i="19"/>
  <c r="L222" i="33"/>
  <c r="L296" i="33"/>
  <c r="R37" i="49"/>
  <c r="S37" i="49"/>
  <c r="C177" i="57"/>
  <c r="C183" i="57"/>
  <c r="C195" i="57"/>
  <c r="R201" i="33"/>
  <c r="R276" i="33"/>
  <c r="U53" i="33"/>
  <c r="V53" i="33"/>
  <c r="W53" i="33"/>
  <c r="X53" i="33"/>
  <c r="S208" i="33"/>
  <c r="S283" i="33"/>
  <c r="W60" i="33"/>
  <c r="X60" i="33"/>
  <c r="Y60" i="33"/>
  <c r="Z60" i="33"/>
  <c r="T59" i="49"/>
  <c r="U59" i="49"/>
  <c r="K191" i="33"/>
  <c r="K266" i="33"/>
  <c r="E43" i="45"/>
  <c r="H43" i="45" s="1"/>
  <c r="I43" i="45" s="1"/>
  <c r="R43" i="33"/>
  <c r="R59" i="33"/>
  <c r="K207" i="33"/>
  <c r="K282" i="33"/>
  <c r="E59" i="45"/>
  <c r="J73" i="49"/>
  <c r="R55" i="49"/>
  <c r="S55" i="49"/>
  <c r="O216" i="49"/>
  <c r="O303" i="49"/>
  <c r="Q181" i="49"/>
  <c r="T19" i="49"/>
  <c r="U19" i="49"/>
  <c r="J221" i="33"/>
  <c r="J295" i="33"/>
  <c r="J73" i="33"/>
  <c r="J222" i="33"/>
  <c r="J296" i="33"/>
  <c r="Q72" i="33"/>
  <c r="Q221" i="33"/>
  <c r="Q295" i="33"/>
  <c r="D73" i="9"/>
  <c r="D221" i="9"/>
  <c r="D220" i="9"/>
  <c r="I68" i="18"/>
  <c r="I208" i="18"/>
  <c r="I207" i="18"/>
  <c r="F73" i="9"/>
  <c r="F221" i="9"/>
  <c r="F220" i="9"/>
  <c r="U60" i="33"/>
  <c r="V60" i="33"/>
  <c r="Q208" i="33"/>
  <c r="Q283" i="33"/>
  <c r="J221" i="49"/>
  <c r="J308" i="49"/>
  <c r="O60" i="49"/>
  <c r="O199" i="49"/>
  <c r="O286" i="49"/>
  <c r="R38" i="49"/>
  <c r="S38" i="49"/>
  <c r="F95" i="32"/>
  <c r="H159" i="49"/>
  <c r="H309" i="49"/>
  <c r="N72" i="9"/>
  <c r="J207" i="40"/>
  <c r="J68" i="40"/>
  <c r="J208" i="40"/>
  <c r="I138" i="20"/>
  <c r="I208" i="20"/>
  <c r="I207" i="20"/>
  <c r="C155" i="47"/>
  <c r="G129" i="47"/>
  <c r="F129" i="47"/>
  <c r="J137" i="39"/>
  <c r="J138" i="39"/>
  <c r="J197" i="39"/>
  <c r="F78" i="45"/>
  <c r="J72" i="45"/>
  <c r="K72" i="45"/>
  <c r="H59" i="45"/>
  <c r="I59" i="45"/>
  <c r="J59" i="45"/>
  <c r="K59" i="45"/>
  <c r="W59" i="33"/>
  <c r="X59" i="33"/>
  <c r="U59" i="33"/>
  <c r="V59" i="33"/>
  <c r="R207" i="33"/>
  <c r="R282" i="33"/>
  <c r="S99" i="33"/>
  <c r="M136" i="33"/>
  <c r="M108" i="33"/>
  <c r="M173" i="33"/>
  <c r="M248" i="33"/>
  <c r="M149" i="49"/>
  <c r="Q112" i="49"/>
  <c r="M121" i="49"/>
  <c r="M273" i="49"/>
  <c r="M186" i="49"/>
  <c r="T57" i="49"/>
  <c r="U57" i="49"/>
  <c r="Q218" i="49"/>
  <c r="C66" i="32"/>
  <c r="H90" i="32"/>
  <c r="D73" i="45"/>
  <c r="H165" i="33"/>
  <c r="H240" i="33"/>
  <c r="H54" i="33"/>
  <c r="H202" i="33"/>
  <c r="H277" i="33"/>
  <c r="M100" i="57"/>
  <c r="P74" i="49"/>
  <c r="Y19" i="33"/>
  <c r="Z19" i="33"/>
  <c r="T168" i="33"/>
  <c r="J207" i="39"/>
  <c r="J220" i="9"/>
  <c r="J134" i="22"/>
  <c r="H455" i="22"/>
  <c r="J455" i="22"/>
  <c r="T34" i="49"/>
  <c r="U34" i="49"/>
  <c r="I73" i="57"/>
  <c r="L44" i="57"/>
  <c r="I106" i="47"/>
  <c r="K98" i="47"/>
  <c r="C44" i="47"/>
  <c r="H73" i="47"/>
  <c r="C182" i="47"/>
  <c r="C188" i="47"/>
  <c r="C200" i="47"/>
  <c r="R145" i="49"/>
  <c r="S145" i="49"/>
  <c r="T145" i="49"/>
  <c r="U145" i="49"/>
  <c r="R146" i="33"/>
  <c r="K147" i="33"/>
  <c r="H196" i="9"/>
  <c r="H72" i="9"/>
  <c r="H63" i="45"/>
  <c r="I63" i="45"/>
  <c r="J63" i="45"/>
  <c r="K63" i="45"/>
  <c r="R211" i="33"/>
  <c r="R286" i="33"/>
  <c r="U63" i="33"/>
  <c r="V63" i="33"/>
  <c r="W63" i="33"/>
  <c r="X63" i="33"/>
  <c r="M74" i="49"/>
  <c r="Q73" i="49"/>
  <c r="U72" i="33"/>
  <c r="V72" i="33"/>
  <c r="R221" i="33"/>
  <c r="R73" i="33"/>
  <c r="K222" i="33"/>
  <c r="E73" i="45"/>
  <c r="H73" i="45" s="1"/>
  <c r="I73" i="45" s="1"/>
  <c r="H160" i="49"/>
  <c r="O221" i="49"/>
  <c r="O308" i="49"/>
  <c r="R60" i="49"/>
  <c r="S60" i="49"/>
  <c r="N73" i="9"/>
  <c r="N221" i="9"/>
  <c r="N220" i="9"/>
  <c r="J74" i="49"/>
  <c r="J234" i="49"/>
  <c r="O73" i="49"/>
  <c r="O234" i="49"/>
  <c r="O320" i="49"/>
  <c r="R191" i="33"/>
  <c r="R266" i="33"/>
  <c r="U43" i="33"/>
  <c r="V43" i="33"/>
  <c r="O222" i="33"/>
  <c r="O296" i="33"/>
  <c r="M146" i="9"/>
  <c r="M210" i="9"/>
  <c r="N234" i="49"/>
  <c r="N74" i="49"/>
  <c r="N235" i="49"/>
  <c r="N321" i="49"/>
  <c r="I66" i="32"/>
  <c r="L41" i="32"/>
  <c r="D41" i="32"/>
  <c r="G41" i="32"/>
  <c r="Q73" i="33"/>
  <c r="Q222" i="33"/>
  <c r="J241" i="49"/>
  <c r="J245" i="49"/>
  <c r="H54" i="49"/>
  <c r="H215" i="49"/>
  <c r="H302" i="49"/>
  <c r="H178" i="49"/>
  <c r="H265" i="49"/>
  <c r="H99" i="57"/>
  <c r="C73" i="57"/>
  <c r="N44" i="57"/>
  <c r="P106" i="57"/>
  <c r="P44" i="57"/>
  <c r="W43" i="33"/>
  <c r="X43" i="33"/>
  <c r="R73" i="49"/>
  <c r="S73" i="49"/>
  <c r="P182" i="33"/>
  <c r="P257" i="33"/>
  <c r="T34" i="33"/>
  <c r="G34" i="45"/>
  <c r="L34" i="45"/>
  <c r="M34" i="45" s="1"/>
  <c r="T57" i="33"/>
  <c r="G57" i="45"/>
  <c r="L57" i="45"/>
  <c r="M57" i="45" s="1"/>
  <c r="P205" i="33"/>
  <c r="P72" i="33"/>
  <c r="S205" i="33"/>
  <c r="W57" i="33"/>
  <c r="X57" i="33"/>
  <c r="N221" i="33"/>
  <c r="N295" i="33"/>
  <c r="N73" i="33"/>
  <c r="N222" i="33"/>
  <c r="N296" i="33"/>
  <c r="J208" i="39"/>
  <c r="J221" i="9"/>
  <c r="U108" i="33"/>
  <c r="V108" i="33"/>
  <c r="R182" i="33"/>
  <c r="R257" i="33"/>
  <c r="D106" i="57"/>
  <c r="G187" i="47"/>
  <c r="D199" i="47"/>
  <c r="G72" i="47"/>
  <c r="G106" i="47"/>
  <c r="D58" i="47"/>
  <c r="F72" i="47"/>
  <c r="M99" i="47"/>
  <c r="W34" i="33"/>
  <c r="X34" i="33"/>
  <c r="P73" i="9"/>
  <c r="P221" i="9"/>
  <c r="P220" i="9"/>
  <c r="K160" i="49"/>
  <c r="P159" i="49"/>
  <c r="K320" i="49"/>
  <c r="R121" i="49"/>
  <c r="S121" i="49"/>
  <c r="P282" i="49"/>
  <c r="U132" i="33"/>
  <c r="V132" i="33"/>
  <c r="W132" i="33"/>
  <c r="X132" i="33"/>
  <c r="H172" i="49"/>
  <c r="H259" i="49"/>
  <c r="H48" i="49"/>
  <c r="H34" i="49"/>
  <c r="H195" i="49"/>
  <c r="H282" i="49"/>
  <c r="H159" i="33"/>
  <c r="H234" i="33"/>
  <c r="H48" i="33"/>
  <c r="H34" i="33"/>
  <c r="H182" i="33"/>
  <c r="H257" i="33"/>
  <c r="T210" i="33"/>
  <c r="T285" i="33"/>
  <c r="Y62" i="33"/>
  <c r="Z62" i="33"/>
  <c r="Q204" i="49"/>
  <c r="Q291" i="49"/>
  <c r="T43" i="49"/>
  <c r="U43" i="49"/>
  <c r="T62" i="49"/>
  <c r="U62" i="49"/>
  <c r="Q106" i="47"/>
  <c r="N98" i="47"/>
  <c r="Q296" i="33"/>
  <c r="S72" i="33"/>
  <c r="S73" i="33"/>
  <c r="J43" i="45"/>
  <c r="K43" i="45" s="1"/>
  <c r="K221" i="33"/>
  <c r="K295" i="33"/>
  <c r="H72" i="45"/>
  <c r="I72" i="45" s="1"/>
  <c r="E78" i="45"/>
  <c r="H78" i="45" s="1"/>
  <c r="I78" i="45" s="1"/>
  <c r="W73" i="33"/>
  <c r="X73" i="33"/>
  <c r="H196" i="33"/>
  <c r="H271" i="33"/>
  <c r="H72" i="33"/>
  <c r="R159" i="49"/>
  <c r="S159" i="49"/>
  <c r="P221" i="33"/>
  <c r="P295" i="33"/>
  <c r="P73" i="33"/>
  <c r="G72" i="45"/>
  <c r="T72" i="33"/>
  <c r="Q44" i="57"/>
  <c r="N73" i="57"/>
  <c r="C99" i="57"/>
  <c r="H107" i="57"/>
  <c r="J248" i="49"/>
  <c r="L66" i="32"/>
  <c r="L90" i="32"/>
  <c r="L96" i="32"/>
  <c r="D66" i="32"/>
  <c r="G66" i="32"/>
  <c r="G96" i="32"/>
  <c r="N320" i="49"/>
  <c r="N247" i="49"/>
  <c r="N248" i="49"/>
  <c r="M147" i="9"/>
  <c r="M221" i="9"/>
  <c r="M220" i="9"/>
  <c r="J235" i="49"/>
  <c r="J321" i="49"/>
  <c r="O74" i="49"/>
  <c r="O235" i="49"/>
  <c r="O321" i="49"/>
  <c r="T73" i="49"/>
  <c r="U73" i="49"/>
  <c r="Q74" i="49"/>
  <c r="H73" i="9"/>
  <c r="H221" i="9"/>
  <c r="H220" i="9"/>
  <c r="R295" i="33"/>
  <c r="U146" i="33"/>
  <c r="V146" i="33"/>
  <c r="I44" i="47"/>
  <c r="K106" i="47"/>
  <c r="K44" i="47"/>
  <c r="D44" i="57"/>
  <c r="G44" i="57"/>
  <c r="L73" i="57"/>
  <c r="L99" i="57"/>
  <c r="L107" i="57"/>
  <c r="D73" i="57"/>
  <c r="R74" i="49"/>
  <c r="S74" i="49"/>
  <c r="M108" i="57"/>
  <c r="C90" i="32"/>
  <c r="I90" i="32"/>
  <c r="D90" i="32"/>
  <c r="G90" i="32"/>
  <c r="H96" i="32"/>
  <c r="C54" i="32"/>
  <c r="T112" i="49"/>
  <c r="U112" i="49"/>
  <c r="Q273" i="49"/>
  <c r="Q186" i="49"/>
  <c r="S108" i="33"/>
  <c r="M182" i="33"/>
  <c r="M257" i="33"/>
  <c r="Y99" i="33"/>
  <c r="Z99" i="33"/>
  <c r="W99" i="33"/>
  <c r="X99" i="33"/>
  <c r="S173" i="33"/>
  <c r="S248" i="33"/>
  <c r="F73" i="45"/>
  <c r="J73" i="45"/>
  <c r="K73" i="45" s="1"/>
  <c r="W72" i="33"/>
  <c r="X72" i="33"/>
  <c r="N106" i="47"/>
  <c r="P98" i="47"/>
  <c r="H209" i="49"/>
  <c r="H296" i="49"/>
  <c r="H73" i="49"/>
  <c r="P160" i="49"/>
  <c r="M107" i="47"/>
  <c r="D177" i="57"/>
  <c r="F106" i="57"/>
  <c r="F177" i="57"/>
  <c r="F183" i="57"/>
  <c r="F195" i="57"/>
  <c r="Y57" i="33"/>
  <c r="Z57" i="33"/>
  <c r="T205" i="33"/>
  <c r="T182" i="33"/>
  <c r="T257" i="33"/>
  <c r="Y34" i="33"/>
  <c r="Z34" i="33"/>
  <c r="P234" i="49"/>
  <c r="P320" i="49"/>
  <c r="C59" i="57"/>
  <c r="F73" i="57"/>
  <c r="K73" i="57"/>
  <c r="J247" i="49"/>
  <c r="J320" i="49"/>
  <c r="U73" i="33"/>
  <c r="V73" i="33"/>
  <c r="R147" i="33"/>
  <c r="K296" i="33"/>
  <c r="C73" i="47"/>
  <c r="H99" i="47"/>
  <c r="D98" i="47"/>
  <c r="K235" i="49"/>
  <c r="K321" i="49"/>
  <c r="K66" i="32"/>
  <c r="Q121" i="49"/>
  <c r="M195" i="49"/>
  <c r="M282" i="49"/>
  <c r="Q149" i="49"/>
  <c r="M159" i="49"/>
  <c r="M223" i="49"/>
  <c r="M243" i="49"/>
  <c r="M245" i="49"/>
  <c r="S136" i="33"/>
  <c r="M146" i="33"/>
  <c r="M210" i="33"/>
  <c r="M285" i="33"/>
  <c r="J78" i="45"/>
  <c r="K78" i="45" s="1"/>
  <c r="M147" i="33"/>
  <c r="S146" i="33"/>
  <c r="M295" i="33"/>
  <c r="M221" i="33"/>
  <c r="M310" i="49"/>
  <c r="T121" i="49"/>
  <c r="U121" i="49"/>
  <c r="Q195" i="49"/>
  <c r="Q282" i="49"/>
  <c r="C59" i="47"/>
  <c r="U147" i="33"/>
  <c r="V147" i="33"/>
  <c r="R296" i="33"/>
  <c r="R222" i="33"/>
  <c r="M45" i="47"/>
  <c r="M74" i="47"/>
  <c r="R160" i="49"/>
  <c r="S160" i="49"/>
  <c r="P321" i="49"/>
  <c r="N44" i="47"/>
  <c r="P106" i="47"/>
  <c r="P44" i="47"/>
  <c r="S257" i="33"/>
  <c r="Y108" i="33"/>
  <c r="Z108" i="33"/>
  <c r="W108" i="33"/>
  <c r="X108" i="33"/>
  <c r="S182" i="33"/>
  <c r="K96" i="32"/>
  <c r="K42" i="32"/>
  <c r="H42" i="32"/>
  <c r="I96" i="32"/>
  <c r="C96" i="32"/>
  <c r="T74" i="49"/>
  <c r="U74" i="49"/>
  <c r="I99" i="57"/>
  <c r="L72" i="45"/>
  <c r="M72" i="45" s="1"/>
  <c r="G78" i="45"/>
  <c r="L78" i="45" s="1"/>
  <c r="M78" i="45" s="1"/>
  <c r="W136" i="33"/>
  <c r="X136" i="33"/>
  <c r="Y136" i="33"/>
  <c r="Z136" i="33"/>
  <c r="S210" i="33"/>
  <c r="S285" i="33"/>
  <c r="M160" i="49"/>
  <c r="Q159" i="49"/>
  <c r="M234" i="49"/>
  <c r="M247" i="49"/>
  <c r="M248" i="49"/>
  <c r="T149" i="49"/>
  <c r="U149" i="49"/>
  <c r="Q223" i="49"/>
  <c r="Q310" i="49"/>
  <c r="G98" i="47"/>
  <c r="F98" i="47"/>
  <c r="C99" i="47"/>
  <c r="H107" i="47"/>
  <c r="D183" i="57"/>
  <c r="G177" i="57"/>
  <c r="H74" i="49"/>
  <c r="H235" i="49"/>
  <c r="H321" i="49"/>
  <c r="H234" i="49"/>
  <c r="H320" i="49"/>
  <c r="F66" i="32"/>
  <c r="K90" i="32"/>
  <c r="F90" i="32"/>
  <c r="P235" i="49"/>
  <c r="D59" i="57"/>
  <c r="G73" i="57"/>
  <c r="G107" i="57"/>
  <c r="D106" i="47"/>
  <c r="I73" i="47"/>
  <c r="L44" i="47"/>
  <c r="D44" i="47"/>
  <c r="G44" i="47"/>
  <c r="C107" i="57"/>
  <c r="H45" i="57"/>
  <c r="C87" i="57"/>
  <c r="Q73" i="57"/>
  <c r="Q99" i="57"/>
  <c r="P73" i="57"/>
  <c r="T221" i="33"/>
  <c r="T295" i="33"/>
  <c r="Y72" i="33"/>
  <c r="Z72" i="33"/>
  <c r="P222" i="33"/>
  <c r="P296" i="33"/>
  <c r="G73" i="45"/>
  <c r="L73" i="45"/>
  <c r="M73" i="45" s="1"/>
  <c r="T73" i="33"/>
  <c r="H73" i="33"/>
  <c r="H222" i="33"/>
  <c r="H296" i="33"/>
  <c r="H221" i="33"/>
  <c r="H295" i="33"/>
  <c r="T222" i="33"/>
  <c r="T296" i="33"/>
  <c r="Y73" i="33"/>
  <c r="Z73" i="33"/>
  <c r="Q107" i="57"/>
  <c r="N99" i="57"/>
  <c r="C45" i="57"/>
  <c r="H74" i="57"/>
  <c r="D182" i="47"/>
  <c r="F106" i="47"/>
  <c r="F182" i="47"/>
  <c r="F188" i="47"/>
  <c r="F200" i="47"/>
  <c r="G183" i="57"/>
  <c r="D195" i="57"/>
  <c r="C87" i="47"/>
  <c r="M320" i="49"/>
  <c r="I107" i="57"/>
  <c r="K99" i="57"/>
  <c r="S147" i="33"/>
  <c r="M222" i="33"/>
  <c r="M296" i="33"/>
  <c r="L73" i="47"/>
  <c r="L99" i="47"/>
  <c r="K73" i="47"/>
  <c r="H45" i="47"/>
  <c r="C107" i="47"/>
  <c r="T159" i="49"/>
  <c r="U159" i="49"/>
  <c r="Q320" i="49"/>
  <c r="Q234" i="49"/>
  <c r="Q160" i="49"/>
  <c r="M235" i="49"/>
  <c r="M321" i="49"/>
  <c r="I42" i="32"/>
  <c r="D96" i="32"/>
  <c r="F96" i="32"/>
  <c r="H67" i="32"/>
  <c r="C42" i="32"/>
  <c r="N73" i="47"/>
  <c r="Q44" i="47"/>
  <c r="M100" i="47"/>
  <c r="Y146" i="33"/>
  <c r="Z146" i="33"/>
  <c r="W146" i="33"/>
  <c r="X146" i="33"/>
  <c r="S221" i="33"/>
  <c r="S295" i="33"/>
  <c r="M108" i="47"/>
  <c r="T160" i="49"/>
  <c r="U160" i="49"/>
  <c r="Q321" i="49"/>
  <c r="Q235" i="49"/>
  <c r="L107" i="47"/>
  <c r="I99" i="47"/>
  <c r="S296" i="33"/>
  <c r="Y147" i="33"/>
  <c r="Z147" i="33"/>
  <c r="W147" i="33"/>
  <c r="X147" i="33"/>
  <c r="S222" i="33"/>
  <c r="I45" i="57"/>
  <c r="K107" i="57"/>
  <c r="K45" i="57"/>
  <c r="D188" i="47"/>
  <c r="G182" i="47"/>
  <c r="C74" i="57"/>
  <c r="H100" i="57"/>
  <c r="P99" i="57"/>
  <c r="N107" i="57"/>
  <c r="Q73" i="47"/>
  <c r="Q99" i="47"/>
  <c r="P73" i="47"/>
  <c r="H91" i="32"/>
  <c r="C67" i="32"/>
  <c r="L42" i="32"/>
  <c r="I67" i="32"/>
  <c r="D42" i="32"/>
  <c r="G42" i="32"/>
  <c r="C45" i="47"/>
  <c r="H74" i="47"/>
  <c r="D73" i="47"/>
  <c r="D99" i="57"/>
  <c r="D59" i="47"/>
  <c r="G73" i="47"/>
  <c r="G107" i="47"/>
  <c r="F73" i="47"/>
  <c r="C55" i="32"/>
  <c r="N45" i="57"/>
  <c r="P107" i="57"/>
  <c r="P45" i="57"/>
  <c r="C60" i="57"/>
  <c r="G188" i="47"/>
  <c r="D200" i="47"/>
  <c r="D45" i="57"/>
  <c r="G45" i="57"/>
  <c r="L45" i="57"/>
  <c r="I74" i="57"/>
  <c r="G99" i="57"/>
  <c r="F99" i="57"/>
  <c r="H100" i="47"/>
  <c r="C74" i="47"/>
  <c r="D67" i="32"/>
  <c r="G67" i="32"/>
  <c r="G97" i="32"/>
  <c r="L67" i="32"/>
  <c r="L91" i="32"/>
  <c r="L97" i="32"/>
  <c r="K67" i="32"/>
  <c r="C91" i="32"/>
  <c r="H97" i="32"/>
  <c r="Q107" i="47"/>
  <c r="N99" i="47"/>
  <c r="C100" i="57"/>
  <c r="H108" i="57"/>
  <c r="D107" i="57"/>
  <c r="F107" i="57"/>
  <c r="D99" i="47"/>
  <c r="I107" i="47"/>
  <c r="K99" i="47"/>
  <c r="D107" i="47"/>
  <c r="F107" i="47"/>
  <c r="I45" i="47"/>
  <c r="K107" i="47"/>
  <c r="K45" i="47"/>
  <c r="G99" i="47"/>
  <c r="F99" i="47"/>
  <c r="C108" i="57"/>
  <c r="P99" i="47"/>
  <c r="N107" i="47"/>
  <c r="I97" i="32"/>
  <c r="K97" i="32"/>
  <c r="K43" i="32"/>
  <c r="C97" i="32"/>
  <c r="H43" i="32"/>
  <c r="I91" i="32"/>
  <c r="N74" i="57"/>
  <c r="Q45" i="57"/>
  <c r="F67" i="32"/>
  <c r="C88" i="57"/>
  <c r="C60" i="47"/>
  <c r="C100" i="47"/>
  <c r="H108" i="47"/>
  <c r="L74" i="57"/>
  <c r="L100" i="57"/>
  <c r="K74" i="57"/>
  <c r="L108" i="57"/>
  <c r="I100" i="57"/>
  <c r="C88" i="47"/>
  <c r="Q74" i="57"/>
  <c r="Q100" i="57"/>
  <c r="P74" i="57"/>
  <c r="D74" i="57"/>
  <c r="C108" i="47"/>
  <c r="D91" i="32"/>
  <c r="K91" i="32"/>
  <c r="H68" i="32"/>
  <c r="C43" i="32"/>
  <c r="N45" i="47"/>
  <c r="P107" i="47"/>
  <c r="P45" i="47"/>
  <c r="D97" i="32"/>
  <c r="F97" i="32"/>
  <c r="I43" i="32"/>
  <c r="I74" i="47"/>
  <c r="L45" i="47"/>
  <c r="D45" i="47"/>
  <c r="G45" i="47"/>
  <c r="L74" i="47"/>
  <c r="L100" i="47"/>
  <c r="K74" i="47"/>
  <c r="N74" i="47"/>
  <c r="Q45" i="47"/>
  <c r="G74" i="57"/>
  <c r="G108" i="57"/>
  <c r="D60" i="57"/>
  <c r="F74" i="57"/>
  <c r="D43" i="32"/>
  <c r="G43" i="32"/>
  <c r="L43" i="32"/>
  <c r="I68" i="32"/>
  <c r="K68" i="32"/>
  <c r="C68" i="32"/>
  <c r="H92" i="32"/>
  <c r="G91" i="32"/>
  <c r="F91" i="32"/>
  <c r="I108" i="57"/>
  <c r="K100" i="57"/>
  <c r="Q108" i="57"/>
  <c r="N100" i="57"/>
  <c r="D108" i="57"/>
  <c r="F108" i="57"/>
  <c r="K108" i="57"/>
  <c r="C92" i="32"/>
  <c r="H98" i="32"/>
  <c r="P100" i="57"/>
  <c r="N108" i="57"/>
  <c r="P108" i="57"/>
  <c r="D100" i="57"/>
  <c r="C56" i="32"/>
  <c r="Q74" i="47"/>
  <c r="Q100" i="47"/>
  <c r="P74" i="47"/>
  <c r="D74" i="47"/>
  <c r="L68" i="32"/>
  <c r="L92" i="32"/>
  <c r="L98" i="32"/>
  <c r="D68" i="32"/>
  <c r="G68" i="32"/>
  <c r="G98" i="32"/>
  <c r="L108" i="47"/>
  <c r="I100" i="47"/>
  <c r="D100" i="47"/>
  <c r="K100" i="47"/>
  <c r="I108" i="47"/>
  <c r="D60" i="47"/>
  <c r="G74" i="47"/>
  <c r="G108" i="47"/>
  <c r="F74" i="47"/>
  <c r="Q108" i="47"/>
  <c r="N100" i="47"/>
  <c r="F68" i="32"/>
  <c r="I98" i="32"/>
  <c r="D98" i="32"/>
  <c r="C98" i="32"/>
  <c r="F98" i="32"/>
  <c r="K98" i="32"/>
  <c r="G100" i="57"/>
  <c r="F100" i="57"/>
  <c r="I92" i="32"/>
  <c r="D108" i="47"/>
  <c r="F108" i="47"/>
  <c r="K108" i="47"/>
  <c r="G100" i="47"/>
  <c r="F100" i="47"/>
  <c r="D92" i="32"/>
  <c r="K92" i="32"/>
  <c r="P100" i="47"/>
  <c r="N108" i="47"/>
  <c r="P108" i="47"/>
  <c r="G92" i="32"/>
  <c r="F92" i="32"/>
  <c r="H28" i="45" l="1"/>
  <c r="I28" i="45" s="1"/>
  <c r="L49" i="45"/>
  <c r="M49" i="45" s="1"/>
  <c r="J49" i="45"/>
  <c r="K49" i="45" s="1"/>
  <c r="J54" i="45"/>
  <c r="K54" i="45" s="1"/>
  <c r="L54" i="45"/>
  <c r="M54" i="45" s="1"/>
  <c r="L16" i="45"/>
  <c r="M16" i="45" s="1"/>
  <c r="J16" i="45"/>
  <c r="K16" i="45" s="1"/>
  <c r="L15" i="45"/>
  <c r="M15" i="45" s="1"/>
  <c r="L28" i="45"/>
  <c r="M28" i="45" s="1"/>
  <c r="J41" i="45"/>
  <c r="K41" i="45" s="1"/>
  <c r="L40" i="45"/>
  <c r="M40" i="45" s="1"/>
  <c r="J76" i="45"/>
  <c r="K76" i="45" s="1"/>
  <c r="J25" i="45"/>
  <c r="K25" i="45" s="1"/>
  <c r="L25" i="45"/>
  <c r="M25" i="45" s="1"/>
  <c r="J18" i="45"/>
  <c r="K18" i="45" s="1"/>
</calcChain>
</file>

<file path=xl/comments1.xml><?xml version="1.0" encoding="utf-8"?>
<comments xmlns="http://schemas.openxmlformats.org/spreadsheetml/2006/main">
  <authors>
    <author>Yetter, Terri</author>
  </authors>
  <commentList>
    <comment ref="H14" authorId="0">
      <text>
        <r>
          <rPr>
            <b/>
            <sz val="8"/>
            <color indexed="81"/>
            <rFont val="Tahoma"/>
            <charset val="1"/>
          </rPr>
          <t>Yetter, Terri:</t>
        </r>
        <r>
          <rPr>
            <sz val="8"/>
            <color indexed="81"/>
            <rFont val="Tahoma"/>
            <charset val="1"/>
          </rPr>
          <t xml:space="preserve">
Final data substituted after forecast files cut in January.</t>
        </r>
      </text>
    </comment>
  </commentList>
</comments>
</file>

<file path=xl/comments2.xml><?xml version="1.0" encoding="utf-8"?>
<comments xmlns="http://schemas.openxmlformats.org/spreadsheetml/2006/main">
  <authors>
    <author>terri</author>
  </authors>
  <commentList>
    <comment ref="C58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formula to value after election, based on pre-election data. </t>
        </r>
      </text>
    </comment>
    <comment ref="D58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formula to value after election, based on pre-election data. </t>
        </r>
      </text>
    </comment>
    <comment ref="H58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formula to value after election, based on pre-election data. </t>
        </r>
      </text>
    </comment>
    <comment ref="I58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formula to value after election, based on pre-election data. </t>
        </r>
      </text>
    </comment>
    <comment ref="M58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formula to value after election, based on pre-election data. </t>
        </r>
      </text>
    </comment>
    <comment ref="N58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formula to value after election, based on pre-election data. </t>
        </r>
      </text>
    </comment>
    <comment ref="C85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estimated to actual passage rate after election.</t>
        </r>
      </text>
    </comment>
    <comment ref="H85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estimated to actual passage rate after election.</t>
        </r>
      </text>
    </comment>
    <comment ref="M85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estimated to actual passage rate after election.</t>
        </r>
      </text>
    </comment>
    <comment ref="C86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estimated to actual passage rate after election.</t>
        </r>
      </text>
    </comment>
    <comment ref="H86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estimated to actual passage rate after election.</t>
        </r>
      </text>
    </comment>
    <comment ref="M86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estimated to actual passage rate after election.</t>
        </r>
      </text>
    </comment>
    <comment ref="H98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formula estimate to actual value after election.</t>
        </r>
      </text>
    </comment>
    <comment ref="I98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formula estimate to actual value after election.</t>
        </r>
      </text>
    </comment>
    <comment ref="J98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formula estimate to actual value after election.</t>
        </r>
      </text>
    </comment>
    <comment ref="M98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formula estimate to actual value after election.</t>
        </r>
      </text>
    </comment>
    <comment ref="N98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formula estimate to actual value after election.</t>
        </r>
      </text>
    </comment>
    <comment ref="O98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formula estimate to actual value after election.</t>
        </r>
      </text>
    </comment>
    <comment ref="H106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Zero out after election</t>
        </r>
      </text>
    </comment>
    <comment ref="I106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Zero out after election</t>
        </r>
      </text>
    </comment>
    <comment ref="J106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Zero out after election</t>
        </r>
      </text>
    </comment>
    <comment ref="M106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Zero out after election</t>
        </r>
      </text>
    </comment>
    <comment ref="N106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Zero out after election</t>
        </r>
      </text>
    </comment>
    <comment ref="O106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Zero out after election</t>
        </r>
      </text>
    </comment>
  </commentList>
</comments>
</file>

<file path=xl/comments3.xml><?xml version="1.0" encoding="utf-8"?>
<comments xmlns="http://schemas.openxmlformats.org/spreadsheetml/2006/main">
  <authors>
    <author>terri</author>
  </authors>
  <commentList>
    <comment ref="C58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formula to value after election, based on pre-election data. </t>
        </r>
      </text>
    </comment>
    <comment ref="D58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formula to value after election, based on pre-election data. </t>
        </r>
      </text>
    </comment>
    <comment ref="H58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formula to value after election, based on pre-election data. </t>
        </r>
      </text>
    </comment>
    <comment ref="I58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formula to value after election, based on pre-election data. </t>
        </r>
      </text>
    </comment>
    <comment ref="M58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formula to value after election, based on pre-election data. </t>
        </r>
      </text>
    </comment>
    <comment ref="N58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formula to value after election, based on pre-election data. </t>
        </r>
      </text>
    </comment>
    <comment ref="C85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estimated to actual passage rate after election.</t>
        </r>
      </text>
    </comment>
    <comment ref="H85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estimated to actual passage rate after election.</t>
        </r>
      </text>
    </comment>
    <comment ref="M85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estimated to actual passage rate after election.</t>
        </r>
      </text>
    </comment>
    <comment ref="C86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estimated to actual passage rate after election.</t>
        </r>
      </text>
    </comment>
    <comment ref="H86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estimated to actual passage rate after election.</t>
        </r>
      </text>
    </comment>
    <comment ref="M86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estimated to actual passage rate after election.</t>
        </r>
      </text>
    </comment>
    <comment ref="O95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formula estimate to actual value after election.</t>
        </r>
      </text>
    </comment>
    <comment ref="H97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formula estimate to actual value after election.</t>
        </r>
      </text>
    </comment>
    <comment ref="I97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formula estimate to actual value after election.</t>
        </r>
      </text>
    </comment>
    <comment ref="J97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formula estimate to actual value after election.</t>
        </r>
      </text>
    </comment>
    <comment ref="M97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formula estimate to actual value after election.</t>
        </r>
      </text>
    </comment>
    <comment ref="N97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Change from formula estimate to actual value after election.</t>
        </r>
      </text>
    </comment>
    <comment ref="O103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Zero out after election</t>
        </r>
      </text>
    </comment>
    <comment ref="H105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Zero out after election</t>
        </r>
      </text>
    </comment>
    <comment ref="I105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Zero out after election</t>
        </r>
      </text>
    </comment>
    <comment ref="J105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Zero out after election</t>
        </r>
      </text>
    </comment>
    <comment ref="M105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Zero out after election</t>
        </r>
      </text>
    </comment>
    <comment ref="N105" authorId="0">
      <text>
        <r>
          <rPr>
            <b/>
            <sz val="8"/>
            <color indexed="81"/>
            <rFont val="Tahoma"/>
            <family val="2"/>
          </rPr>
          <t>terri:</t>
        </r>
        <r>
          <rPr>
            <sz val="8"/>
            <color indexed="81"/>
            <rFont val="Tahoma"/>
            <family val="2"/>
          </rPr>
          <t xml:space="preserve">
Zero out after election</t>
        </r>
      </text>
    </comment>
  </commentList>
</comments>
</file>

<file path=xl/sharedStrings.xml><?xml version="1.0" encoding="utf-8"?>
<sst xmlns="http://schemas.openxmlformats.org/spreadsheetml/2006/main" count="5715" uniqueCount="451">
  <si>
    <t>AMCPU:</t>
  </si>
  <si>
    <t>DISTRICT</t>
  </si>
  <si>
    <t>CHARTER</t>
  </si>
  <si>
    <t>TOTAL</t>
  </si>
  <si>
    <t>DEPT. ESTIMATE</t>
  </si>
  <si>
    <t>DIST. ESTIMATE</t>
  </si>
  <si>
    <t>ADJUSTMENT</t>
  </si>
  <si>
    <t>AID</t>
  </si>
  <si>
    <t>LEVY</t>
  </si>
  <si>
    <t>/PU</t>
  </si>
  <si>
    <t>A. BASIC</t>
  </si>
  <si>
    <t xml:space="preserve">   * COMPENSATORY</t>
  </si>
  <si>
    <t xml:space="preserve">   * LEP</t>
  </si>
  <si>
    <t xml:space="preserve">   * LEP CONC</t>
  </si>
  <si>
    <t xml:space="preserve">   * AOM</t>
  </si>
  <si>
    <t>DIFF.</t>
  </si>
  <si>
    <t>N/A</t>
  </si>
  <si>
    <t>GENERAL ED REVENUE PROJECTIONS: FY 2002</t>
  </si>
  <si>
    <t>FORECAST</t>
  </si>
  <si>
    <t>BSREV$$</t>
  </si>
  <si>
    <t>CPSREV$$</t>
  </si>
  <si>
    <t>LEPREV$$</t>
  </si>
  <si>
    <t>LEPCRV$$</t>
  </si>
  <si>
    <t>AOMREV$$</t>
  </si>
  <si>
    <t>TOTSRS$$</t>
  </si>
  <si>
    <t>TSRSRV$$</t>
  </si>
  <si>
    <t>OCEXRV$$</t>
  </si>
  <si>
    <t>TNEREV$$</t>
  </si>
  <si>
    <t>EQREV$$</t>
  </si>
  <si>
    <t>TOTAID$$</t>
  </si>
  <si>
    <t>TOTLVY$$</t>
  </si>
  <si>
    <t>TOTREV$$</t>
  </si>
  <si>
    <t>TRSAID$$</t>
  </si>
  <si>
    <t>TRSLVY$$</t>
  </si>
  <si>
    <t>TRSREV$$</t>
  </si>
  <si>
    <t>SLPAID$$</t>
  </si>
  <si>
    <t>SLPLVY$$</t>
  </si>
  <si>
    <t>SLPREV$$</t>
  </si>
  <si>
    <t>RFLVYN$$</t>
  </si>
  <si>
    <t>REFREV$$</t>
  </si>
  <si>
    <t>REPAID$$</t>
  </si>
  <si>
    <t>REFAID$$</t>
  </si>
  <si>
    <t>OPTADJ$$</t>
  </si>
  <si>
    <t>GRDAID$$</t>
  </si>
  <si>
    <t>GRDLVY$$</t>
  </si>
  <si>
    <t>GRDREV$$</t>
  </si>
  <si>
    <t>BSREVDF</t>
  </si>
  <si>
    <t>CPSREVDF</t>
  </si>
  <si>
    <t>LEPREVDF</t>
  </si>
  <si>
    <t>LEPCRVDF</t>
  </si>
  <si>
    <t>AOMREVDF</t>
  </si>
  <si>
    <t>TOTSRSDF</t>
  </si>
  <si>
    <t>TSRSRVDF</t>
  </si>
  <si>
    <t>OCEXRVDF</t>
  </si>
  <si>
    <t>TNEREVDF</t>
  </si>
  <si>
    <t>EQREVDF</t>
  </si>
  <si>
    <t>TOTREVDF</t>
  </si>
  <si>
    <t>TRSREVDF</t>
  </si>
  <si>
    <t>SLPREVDF</t>
  </si>
  <si>
    <t>REFREVDF</t>
  </si>
  <si>
    <t>OPTADJDF</t>
  </si>
  <si>
    <t>GRDREVDF</t>
  </si>
  <si>
    <t>TOTLVYDF</t>
  </si>
  <si>
    <t>TRSLVYDF</t>
  </si>
  <si>
    <t>SLPLVYDF</t>
  </si>
  <si>
    <t>RFLVYNDF</t>
  </si>
  <si>
    <t>GRDLVYDF</t>
  </si>
  <si>
    <t>TOTAIDDF</t>
  </si>
  <si>
    <t>TRSAIDDF</t>
  </si>
  <si>
    <t>SLPAIDDF</t>
  </si>
  <si>
    <t>REFAIDDF</t>
  </si>
  <si>
    <t>REPAIDDF</t>
  </si>
  <si>
    <t>GRDAIDDF</t>
  </si>
  <si>
    <t>2003</t>
  </si>
  <si>
    <t>END OF</t>
  </si>
  <si>
    <t>SESSION</t>
  </si>
  <si>
    <t>B. EXTENDED TIME</t>
  </si>
  <si>
    <t>C. BASIC SKILLS</t>
  </si>
  <si>
    <t>D. SPARSITY</t>
  </si>
  <si>
    <t>E. TRANSPORT SPARSITY</t>
  </si>
  <si>
    <t>F. OPER CAPITAL</t>
  </si>
  <si>
    <t>G. TRAIN &amp; EXPER</t>
  </si>
  <si>
    <t>H. EQUITY</t>
  </si>
  <si>
    <t>I. REDUCTION</t>
  </si>
  <si>
    <t>J. A THROUGH H</t>
  </si>
  <si>
    <t>K. TRANSITION</t>
  </si>
  <si>
    <t>L. SUPPLEMENTAL</t>
  </si>
  <si>
    <t>M. REFERENDUM</t>
  </si>
  <si>
    <t>N. TAX BSE REPL</t>
  </si>
  <si>
    <t>O. ALT ATT ADJ</t>
  </si>
  <si>
    <t>P. I+J+K+L+M+N</t>
  </si>
  <si>
    <t>EXDAYR$$</t>
  </si>
  <si>
    <t>EXDAYRDF</t>
  </si>
  <si>
    <t>EQAID$$</t>
  </si>
  <si>
    <t>EQLVY$$</t>
  </si>
  <si>
    <t>CEXAID$$</t>
  </si>
  <si>
    <t>CEXLVY$$</t>
  </si>
  <si>
    <t>CEXAIDDF</t>
  </si>
  <si>
    <t>EQAIDDF</t>
  </si>
  <si>
    <t>EQLVYDF</t>
  </si>
  <si>
    <t>CEXLVYDF</t>
  </si>
  <si>
    <t>NOVEMBER 2003 FORECAST VS END OF SESSION 2003</t>
  </si>
  <si>
    <t>BSREV4E</t>
  </si>
  <si>
    <t>EXDAYR4E</t>
  </si>
  <si>
    <t>CPSREV4E</t>
  </si>
  <si>
    <t>LEPREV4E</t>
  </si>
  <si>
    <t>LEPCRV4E</t>
  </si>
  <si>
    <t>AOMREV4E</t>
  </si>
  <si>
    <t>TOTSRS4E</t>
  </si>
  <si>
    <t>TSRSRV4E</t>
  </si>
  <si>
    <t>CEXAID4E</t>
  </si>
  <si>
    <t>CEXLVY4E</t>
  </si>
  <si>
    <t>OCEXRV4E</t>
  </si>
  <si>
    <t>TNEREV4E</t>
  </si>
  <si>
    <t>EQAID4E</t>
  </si>
  <si>
    <t>EQLVY4E</t>
  </si>
  <si>
    <t>EQREV4E</t>
  </si>
  <si>
    <t>TOTAID4E</t>
  </si>
  <si>
    <t>TOTLVY4E</t>
  </si>
  <si>
    <t>TOTREV4E</t>
  </si>
  <si>
    <t>TRSAID4E</t>
  </si>
  <si>
    <t>TRSLVY4E</t>
  </si>
  <si>
    <t>TRSREV4E</t>
  </si>
  <si>
    <t>SLPAID4E</t>
  </si>
  <si>
    <t>SLPLVY4E</t>
  </si>
  <si>
    <t>SLPREV4E</t>
  </si>
  <si>
    <t>REFAID4E</t>
  </si>
  <si>
    <t>RFLVYN4E</t>
  </si>
  <si>
    <t>REFREV4E</t>
  </si>
  <si>
    <t>REPAID4E</t>
  </si>
  <si>
    <t>OPTADJ4E</t>
  </si>
  <si>
    <t>GRDAID4E</t>
  </si>
  <si>
    <t>GRDLVY4E</t>
  </si>
  <si>
    <t>GRDREV4E</t>
  </si>
  <si>
    <t>NOVEMBER</t>
  </si>
  <si>
    <t>FY 2003</t>
  </si>
  <si>
    <t>FY 2004</t>
  </si>
  <si>
    <t>FY 2005</t>
  </si>
  <si>
    <t>FY 2006</t>
  </si>
  <si>
    <t>FY 2007</t>
  </si>
  <si>
    <t>AMCPU</t>
  </si>
  <si>
    <t>Basic</t>
  </si>
  <si>
    <t>Extended time</t>
  </si>
  <si>
    <t>Compensatory</t>
  </si>
  <si>
    <t>LEP</t>
  </si>
  <si>
    <t>Sparsity</t>
  </si>
  <si>
    <t>Transport Sparsity</t>
  </si>
  <si>
    <t>Operating Capital</t>
  </si>
  <si>
    <t>Training &amp; Experience</t>
  </si>
  <si>
    <t>Equity</t>
  </si>
  <si>
    <t>Referendum Revenue</t>
  </si>
  <si>
    <t>Tax Base Replacement Aid</t>
  </si>
  <si>
    <t>Equity Levy</t>
  </si>
  <si>
    <t>Operating Capital Levy</t>
  </si>
  <si>
    <t>Referendum Levy</t>
  </si>
  <si>
    <t>REVENUES</t>
  </si>
  <si>
    <t>LEVIES</t>
  </si>
  <si>
    <t>AID ENTITLEMENTS</t>
  </si>
  <si>
    <t>TOTAL REVENUE</t>
  </si>
  <si>
    <t>TOTAL LEVY</t>
  </si>
  <si>
    <t>General Ed Entitlement</t>
  </si>
  <si>
    <t>Tax Base Replacement Entitlement</t>
  </si>
  <si>
    <t>DIFFERENCES</t>
  </si>
  <si>
    <t>Referendum Equalization Aid</t>
  </si>
  <si>
    <t>FY 2008</t>
  </si>
  <si>
    <t>FY 2009</t>
  </si>
  <si>
    <t>TRA Reduction</t>
  </si>
  <si>
    <t>Gifted &amp; Talented</t>
  </si>
  <si>
    <t>Q Comp</t>
  </si>
  <si>
    <t>RMCPU</t>
  </si>
  <si>
    <t>LEP Concentration</t>
  </si>
  <si>
    <t>Basic Skills:</t>
  </si>
  <si>
    <t>Alternative Attendance Adj:</t>
  </si>
  <si>
    <t>Transition</t>
  </si>
  <si>
    <t>Transition Levy</t>
  </si>
  <si>
    <t>Open Enroll/Charter Refer</t>
  </si>
  <si>
    <t>School District</t>
  </si>
  <si>
    <t>SD Fudge</t>
  </si>
  <si>
    <t>Charter Sch</t>
  </si>
  <si>
    <t>CH Fudge</t>
  </si>
  <si>
    <t>Total</t>
  </si>
  <si>
    <t>New Refer</t>
  </si>
  <si>
    <t>Charter Basic Transport</t>
  </si>
  <si>
    <t>Charter Transport Sparsity</t>
  </si>
  <si>
    <t>TOTAL AID ENTITLEMENT</t>
  </si>
  <si>
    <t>ADM-1.0</t>
  </si>
  <si>
    <t>AADM-1.0</t>
  </si>
  <si>
    <t>XADM</t>
  </si>
  <si>
    <t>WADM-1.0</t>
  </si>
  <si>
    <t>AWADM-1.0</t>
  </si>
  <si>
    <t>XWADM</t>
  </si>
  <si>
    <t>AMCPU-1.0</t>
  </si>
  <si>
    <t>RMCPU-1.0</t>
  </si>
  <si>
    <t>XMCPU</t>
  </si>
  <si>
    <t>LEPADM</t>
  </si>
  <si>
    <t>MCLEP</t>
  </si>
  <si>
    <t>Subtotal</t>
  </si>
  <si>
    <t>Private Alt</t>
  </si>
  <si>
    <t>College PSEO</t>
  </si>
  <si>
    <t>NA</t>
  </si>
  <si>
    <t>DIFFERENCE</t>
  </si>
  <si>
    <t>Charter Ext TimeTransport</t>
  </si>
  <si>
    <t>GENERAL REDUCTION FOR CHARTER SCHOOLS</t>
  </si>
  <si>
    <t>TRA REDUCT</t>
  </si>
  <si>
    <t>DIST AMCPU</t>
  </si>
  <si>
    <t>REDUCT/PU</t>
  </si>
  <si>
    <t>CHARTER AMCPU</t>
  </si>
  <si>
    <t>CHARTER REDUCT</t>
  </si>
  <si>
    <t>TOTAL REDUCTION</t>
  </si>
  <si>
    <t>STATEWIDE</t>
  </si>
  <si>
    <t>METRO DISTRICTS</t>
  </si>
  <si>
    <t>RURAL DISTRICTS</t>
  </si>
  <si>
    <t>REVENUE</t>
  </si>
  <si>
    <t>EQC AID</t>
  </si>
  <si>
    <t>TBRA</t>
  </si>
  <si>
    <t>% AID</t>
  </si>
  <si>
    <t>MAX POTENTIAL</t>
  </si>
  <si>
    <t>AUTHORITY</t>
  </si>
  <si>
    <t>CURRENT AUTHORITY</t>
  </si>
  <si>
    <t>ELECTION</t>
  </si>
  <si>
    <t>REQUESTED AS %</t>
  </si>
  <si>
    <t>OF GAP</t>
  </si>
  <si>
    <t>FY 2003*</t>
  </si>
  <si>
    <t>FY 2004*</t>
  </si>
  <si>
    <t>FY 2005*</t>
  </si>
  <si>
    <t>FY 2009e</t>
  </si>
  <si>
    <t>REQUESTED $</t>
  </si>
  <si>
    <t>EST PASS RATE</t>
  </si>
  <si>
    <t>CUMMULATIVE NEW $</t>
  </si>
  <si>
    <t>W/ NEW ELECTIONS</t>
  </si>
  <si>
    <t>W/O ELECTIONS</t>
  </si>
  <si>
    <t xml:space="preserve">NET NEW </t>
  </si>
  <si>
    <t>FY 2006*</t>
  </si>
  <si>
    <t>NEW REFERENDUM GROWTH - BEFORE ELECTION</t>
  </si>
  <si>
    <t>ANNUAL NEW $</t>
  </si>
  <si>
    <t>School Districts</t>
  </si>
  <si>
    <t>New Ref Growth</t>
  </si>
  <si>
    <t>SD Fudge District</t>
  </si>
  <si>
    <t>REF REV/RMCPU</t>
  </si>
  <si>
    <t>BEFORE ELECTION</t>
  </si>
  <si>
    <t>AFTER ELECTION</t>
  </si>
  <si>
    <t>GAP BEFORE CURRENT</t>
  </si>
  <si>
    <t>PASSAGE RATE</t>
  </si>
  <si>
    <t xml:space="preserve">          </t>
  </si>
  <si>
    <t>Late Contract Penalty</t>
  </si>
  <si>
    <t>Multipliers for Alternative Att Adj for SD Fudge District</t>
  </si>
  <si>
    <t>AWADM</t>
  </si>
  <si>
    <t>WADM</t>
  </si>
  <si>
    <t>NOVEMBER 2006 FORECAST</t>
  </si>
  <si>
    <t>FY 2010</t>
  </si>
  <si>
    <t>FY 2011</t>
  </si>
  <si>
    <t>Faribault Alternative Attend Adj</t>
  </si>
  <si>
    <t>FY 2007*</t>
  </si>
  <si>
    <t>FY 2010e</t>
  </si>
  <si>
    <t>FY 2011e</t>
  </si>
  <si>
    <t>FY 2008*</t>
  </si>
  <si>
    <t xml:space="preserve">* Gap calculated before passage of new elections for that year. </t>
  </si>
  <si>
    <t>FEBRUARY 2007 FORECAST</t>
  </si>
  <si>
    <t>FY 2004:  FEB 2007 VS. NOV 2006 CSA</t>
  </si>
  <si>
    <t>FY 2003:  FEB 2007 VS. NOV 2006 CSA</t>
  </si>
  <si>
    <t>Ref Aid Penalty</t>
  </si>
  <si>
    <t>Ref Underlevy</t>
  </si>
  <si>
    <t>Q Comp SD State Average</t>
  </si>
  <si>
    <t>Q Comp Revenue</t>
  </si>
  <si>
    <t>QCREV/AMCPU</t>
  </si>
  <si>
    <t>Grandfather</t>
  </si>
  <si>
    <t>SD Q Comp</t>
  </si>
  <si>
    <t>(excludes underlevies)</t>
  </si>
  <si>
    <t>All Categories</t>
  </si>
  <si>
    <t>FY 2005:  FINAL</t>
  </si>
  <si>
    <t>Q Comp Enrollment</t>
  </si>
  <si>
    <t>FY 2009*</t>
  </si>
  <si>
    <t>End of Session</t>
  </si>
  <si>
    <t>November Forecast Model</t>
  </si>
  <si>
    <t xml:space="preserve">  FY 2009</t>
  </si>
  <si>
    <t xml:space="preserve">  FY 2010</t>
  </si>
  <si>
    <t xml:space="preserve">  FY 2011</t>
  </si>
  <si>
    <t>Total November Forecast</t>
  </si>
  <si>
    <t>Difference from EOS</t>
  </si>
  <si>
    <t>MODEL OUTPUT:</t>
  </si>
  <si>
    <t>CHANGE FROM END OF SESSION,</t>
  </si>
  <si>
    <t>TOTAL:</t>
  </si>
  <si>
    <t>NEW REFERENDUM GROWTH VS. PUPIL/TAX BASE CHANGE:</t>
  </si>
  <si>
    <t>Results of New Elections</t>
  </si>
  <si>
    <t>Projected New Ref Growth</t>
  </si>
  <si>
    <t>Total New Ref Growth</t>
  </si>
  <si>
    <t>Net Nov Forecast</t>
  </si>
  <si>
    <t>Difference from EOS,</t>
  </si>
  <si>
    <t>Data Changes:</t>
  </si>
  <si>
    <t>New Ref Growth:</t>
  </si>
  <si>
    <t>Total:</t>
  </si>
  <si>
    <t>% Difference from EOS,</t>
  </si>
  <si>
    <t>EOS w/ New Data</t>
  </si>
  <si>
    <t>FEBRUARY 2008 FORECAST</t>
  </si>
  <si>
    <t>Total Revenue = (22) + (53) =</t>
  </si>
  <si>
    <t>Total Aid = (54) - (28) =</t>
  </si>
  <si>
    <t>Current Year Adjusted Pupil Units</t>
  </si>
  <si>
    <t xml:space="preserve">Aid per Pupil Unit = (55) / (56) = </t>
  </si>
  <si>
    <t>SUMMARY FOR SPECIAL PUPIL AID:  FEBRRUARY 2008 CSA</t>
  </si>
  <si>
    <t>Additional $51</t>
  </si>
  <si>
    <t>FY 2012</t>
  </si>
  <si>
    <t>FY 2013</t>
  </si>
  <si>
    <t>na</t>
  </si>
  <si>
    <t>Tax Base Repl Entitlemt (thru FY07)</t>
  </si>
  <si>
    <t>Since underlevy built into model for FY 2009 and 2010,</t>
  </si>
  <si>
    <t>need to subtract out.  (State average before underlevy.)</t>
  </si>
  <si>
    <t>MCLEP fct: SD</t>
  </si>
  <si>
    <t>MCLEP fct: CHT</t>
  </si>
  <si>
    <t>Entitlement</t>
  </si>
  <si>
    <t>School Dist</t>
  </si>
  <si>
    <t>MN Academies</t>
  </si>
  <si>
    <t>Adjustment</t>
  </si>
  <si>
    <t>Alt Att Adjust</t>
  </si>
  <si>
    <t>NOVEMBER 2008 FORECAST - CSA</t>
  </si>
  <si>
    <t>FY 2012e</t>
  </si>
  <si>
    <t>FY 2013e</t>
  </si>
  <si>
    <t>FY 2010 NEW ELECTIONS-ALL</t>
  </si>
  <si>
    <t>FY 2010 NEW ELECTIONS-PASSED</t>
  </si>
  <si>
    <t>FY 2010*</t>
  </si>
  <si>
    <t>2008-09</t>
  </si>
  <si>
    <t>2010-11</t>
  </si>
  <si>
    <t>% chg</t>
  </si>
  <si>
    <t>FY 2006:  CSA FINAL</t>
  </si>
  <si>
    <t>Charter</t>
  </si>
  <si>
    <t>Total Charter</t>
  </si>
  <si>
    <t>District</t>
  </si>
  <si>
    <t>gened</t>
  </si>
  <si>
    <t>project</t>
  </si>
  <si>
    <t xml:space="preserve"> </t>
  </si>
  <si>
    <t>Transporting</t>
  </si>
  <si>
    <t>db</t>
  </si>
  <si>
    <t>factor</t>
  </si>
  <si>
    <t>AMCPU05</t>
  </si>
  <si>
    <t>AMCPU06</t>
  </si>
  <si>
    <t>AMCPU07</t>
  </si>
  <si>
    <t>AMCPU08</t>
  </si>
  <si>
    <t>AMCPU09</t>
  </si>
  <si>
    <t>AMCPU10</t>
  </si>
  <si>
    <t>AMCPU11</t>
  </si>
  <si>
    <t>AMCPU12</t>
  </si>
  <si>
    <t>AMCPU13</t>
  </si>
  <si>
    <t>Ratio</t>
  </si>
  <si>
    <t>XMCPU05</t>
  </si>
  <si>
    <t>XMCPU06</t>
  </si>
  <si>
    <t>XMCPU07</t>
  </si>
  <si>
    <t>XMCPU08</t>
  </si>
  <si>
    <t>XMCPU09</t>
  </si>
  <si>
    <t>XMCPU10</t>
  </si>
  <si>
    <t>XMCPU11</t>
  </si>
  <si>
    <t>XMCPU12</t>
  </si>
  <si>
    <t>XMCPU13</t>
  </si>
  <si>
    <t>CHARTER PUPIL TRANSPORTATION FACTORS</t>
  </si>
  <si>
    <t>Run from syntax file:</t>
  </si>
  <si>
    <t>Difference</t>
  </si>
  <si>
    <t>% CHANGE</t>
  </si>
  <si>
    <t>2012-13</t>
  </si>
  <si>
    <t>Chg from 2008-09</t>
  </si>
  <si>
    <t>Chg from 2010-11</t>
  </si>
  <si>
    <t>Chg: 2008-09</t>
  </si>
  <si>
    <t>Chg: 2010-11</t>
  </si>
  <si>
    <t>One-time Reduction</t>
  </si>
  <si>
    <t>CSA FINAL</t>
  </si>
  <si>
    <t>FY 2007:  CSA FINAL</t>
  </si>
  <si>
    <t>END OF SESSION 2009 FORECAST</t>
  </si>
  <si>
    <t>REF REV/RMCPU - History</t>
  </si>
  <si>
    <t>EOS07 Forecast Estimates</t>
  </si>
  <si>
    <t>EOS08 Forecast Estimates</t>
  </si>
  <si>
    <t>EOS09 Forecast Estimates</t>
  </si>
  <si>
    <t>NOVEMBER 2009 FORECAST</t>
  </si>
  <si>
    <t>NOV 2009 VS. EOS 2009</t>
  </si>
  <si>
    <t>Coops &amp; IMD's</t>
  </si>
  <si>
    <t>Sch Tech and Oper Capital</t>
  </si>
  <si>
    <t>***** NOT UPDATED *****</t>
  </si>
  <si>
    <t xml:space="preserve">  FY 2012</t>
  </si>
  <si>
    <t xml:space="preserve">  FY 2013</t>
  </si>
  <si>
    <t>Not recalculated for current forecast data.</t>
  </si>
  <si>
    <t>FY 2011*</t>
  </si>
  <si>
    <t>Referendum</t>
  </si>
  <si>
    <t>Student Changes</t>
  </si>
  <si>
    <t>Q comp</t>
  </si>
  <si>
    <t>Tax Base/Student</t>
  </si>
  <si>
    <t>Total Entitlement Change</t>
  </si>
  <si>
    <t>FEBRUARY 2010 FORECAST</t>
  </si>
  <si>
    <t>FEB 2010 VS. NOV 2009</t>
  </si>
  <si>
    <t>STATE SHARE EQUALIZED REVENUES</t>
  </si>
  <si>
    <t>EOS10 Forecast Estimates</t>
  </si>
  <si>
    <t>AADM</t>
  </si>
  <si>
    <t>ADM</t>
  </si>
  <si>
    <t>FY 2014</t>
  </si>
  <si>
    <t>FY 2015</t>
  </si>
  <si>
    <t>NOV 2010 FORECAST</t>
  </si>
  <si>
    <t>NOVEMBER 2010 FORECAST</t>
  </si>
  <si>
    <t>TOTAL GENED</t>
  </si>
  <si>
    <t>2014-15</t>
  </si>
  <si>
    <t>Chg from 2012-13</t>
  </si>
  <si>
    <t>Chg: 2012-13</t>
  </si>
  <si>
    <t>GRAND TOTAL AID ENTITLEMENT</t>
  </si>
  <si>
    <t>General Ed Entitlement (IDEAS)</t>
  </si>
  <si>
    <t>General Ed Entitlement  (IDEAS)</t>
  </si>
  <si>
    <t>AMCPU14</t>
  </si>
  <si>
    <t>AMCPU15</t>
  </si>
  <si>
    <t>XMCPU14</t>
  </si>
  <si>
    <t>XMCPU15</t>
  </si>
  <si>
    <t>Based on history files and pay11 levy</t>
  </si>
  <si>
    <t>Est for Nov10</t>
  </si>
  <si>
    <t>FY 2014e</t>
  </si>
  <si>
    <t>FY 2015e</t>
  </si>
  <si>
    <t>NOVEMBER 2010 FORECAST - CSA</t>
  </si>
  <si>
    <t>MN Academies: Reduction in General Ed Appropriation</t>
  </si>
  <si>
    <t>Cancellation</t>
  </si>
  <si>
    <t>FY 2012 NEW ELECTIONS-ALL</t>
  </si>
  <si>
    <t>FY 2012 NEW ELECTIONS-PASS</t>
  </si>
  <si>
    <t>FY 2012 NEW ELECTIONS-RENEWALS</t>
  </si>
  <si>
    <t>FY 2012 NEW ELECTIONS-PASS-RENEWALS</t>
  </si>
  <si>
    <t>FY 2012*</t>
  </si>
  <si>
    <t>NET NEW-RENEWALS</t>
  </si>
  <si>
    <t>NET NEW AUTHORITY</t>
  </si>
  <si>
    <t>Renewals</t>
  </si>
  <si>
    <t>New Authority</t>
  </si>
  <si>
    <t xml:space="preserve">* Percentage of gap calculated before passage of new elections for that year. </t>
  </si>
  <si>
    <t>GAP AFTER CURRENT</t>
  </si>
  <si>
    <t xml:space="preserve">  FY 2014</t>
  </si>
  <si>
    <t xml:space="preserve">  FY 2015</t>
  </si>
  <si>
    <t>Aid</t>
  </si>
  <si>
    <t xml:space="preserve">Levy </t>
  </si>
  <si>
    <t>Revenue</t>
  </si>
  <si>
    <t>Nov10 Forecast</t>
  </si>
  <si>
    <t>Nov09 Forecast</t>
  </si>
  <si>
    <t>Nov08 Forecast</t>
  </si>
  <si>
    <t>Nov07 Forecast</t>
  </si>
  <si>
    <t>($ in thousands)</t>
  </si>
  <si>
    <t>Nov06 Forecast</t>
  </si>
  <si>
    <t>Nov05 Forecast</t>
  </si>
  <si>
    <t>% Change</t>
  </si>
  <si>
    <t>Referendum Growth Change - End of Session Projections vs November Actual Results</t>
  </si>
  <si>
    <t>Nov10 w/  Results</t>
  </si>
  <si>
    <t>Pupil Data:  FEB 2011 CSA VS. NOV 2010 CSA</t>
  </si>
  <si>
    <t>FEB 2011 FORECAST</t>
  </si>
  <si>
    <t>FEBRUARY 2011 FORECAST</t>
  </si>
  <si>
    <t>FEB 2011 VS. NOV 2010</t>
  </si>
  <si>
    <t>December 2011 Forecast</t>
  </si>
  <si>
    <t xml:space="preserve">FY 2008:  FEB 2011 VS. NOV 2010 </t>
  </si>
  <si>
    <t xml:space="preserve">FY 2009:  FEB 2011 VS. NOV 2010 </t>
  </si>
  <si>
    <t xml:space="preserve">FY 2010:  FEB 2011 VS. NOV 2010 </t>
  </si>
  <si>
    <t xml:space="preserve">FY 2011:  FEB 2011 VS. NOV 2010 </t>
  </si>
  <si>
    <t xml:space="preserve">FY 2012:  FEB 2011 VS. NOV 2010 </t>
  </si>
  <si>
    <t xml:space="preserve">FY 2013:  FEB 2011 VS. NOV 2010 </t>
  </si>
  <si>
    <t xml:space="preserve">FY 2014:  FEB 2011 VS. NOV 2010 </t>
  </si>
  <si>
    <t xml:space="preserve">FY 2015:  FEB 2011 VS. NOV 2010 </t>
  </si>
  <si>
    <t>C:\MY DOCUMENTS\GENOV10\FORECAST\FEB11 CHARTER PUPILS.SPS'.</t>
  </si>
  <si>
    <t>Substitute actual for FY110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</si>
</sst>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7" formatCode="#,##0.000_);\(#,##0.000\)"/>
    <numFmt numFmtId="168" formatCode="_(* #,##0.0_);_(* \(#,##0.0\);_(* &quot;-&quot;??_);_(@_)"/>
    <numFmt numFmtId="169" formatCode="_(* #,##0_);_(* \(#,##0\);_(* &quot;-&quot;??_);_(@_)"/>
    <numFmt numFmtId="170" formatCode="0.0%"/>
    <numFmt numFmtId="173" formatCode="_(* #,##0.0000_);_(* \(#,##0.0000\);_(* &quot;-&quot;??_);_(@_)"/>
    <numFmt numFmtId="178" formatCode="#,##0.00000000_);\(#,##0.00000000\)"/>
    <numFmt numFmtId="185" formatCode="#,##0.0"/>
    <numFmt numFmtId="188" formatCode="0.0000"/>
    <numFmt numFmtId="190" formatCode="0.000"/>
    <numFmt numFmtId="199" formatCode="#,##0.0000000000000"/>
  </numFmts>
  <fonts count="23" x14ac:knownFonts="1">
    <font>
      <sz val="10"/>
      <name val="Courier"/>
    </font>
    <font>
      <sz val="10"/>
      <name val="Arial"/>
    </font>
    <font>
      <b/>
      <sz val="10"/>
      <name val="Courier"/>
      <family val="3"/>
    </font>
    <font>
      <sz val="10"/>
      <name val="Courier"/>
      <family val="3"/>
    </font>
    <font>
      <u/>
      <sz val="10"/>
      <name val="Arial"/>
      <family val="2"/>
    </font>
    <font>
      <sz val="8"/>
      <name val="Courier"/>
      <family val="3"/>
    </font>
    <font>
      <b/>
      <sz val="15"/>
      <name val="Courier"/>
      <family val="3"/>
    </font>
    <font>
      <b/>
      <sz val="8"/>
      <name val="Courier"/>
      <family val="3"/>
    </font>
    <font>
      <u/>
      <sz val="10"/>
      <name val="Courier"/>
      <family val="3"/>
    </font>
    <font>
      <sz val="8"/>
      <name val="Courier"/>
      <family val="3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10"/>
      <name val="Courier"/>
      <family val="3"/>
    </font>
    <font>
      <sz val="10"/>
      <color indexed="10"/>
      <name val="Arial"/>
      <family val="2"/>
    </font>
    <font>
      <u/>
      <sz val="10"/>
      <name val="Arial"/>
      <family val="2"/>
    </font>
    <font>
      <sz val="10"/>
      <color indexed="14"/>
      <name val="Courier"/>
      <family val="3"/>
    </font>
    <font>
      <sz val="10"/>
      <name val="Arial"/>
      <family val="2"/>
    </font>
    <font>
      <sz val="10"/>
      <name val="Courier"/>
      <family val="3"/>
    </font>
    <font>
      <sz val="9"/>
      <color indexed="8"/>
      <name val="Arial"/>
      <family val="2"/>
    </font>
    <font>
      <b/>
      <sz val="8"/>
      <color indexed="81"/>
      <name val="Tahoma"/>
      <charset val="1"/>
    </font>
    <font>
      <sz val="8"/>
      <color indexed="81"/>
      <name val="Tahoma"/>
      <charset val="1"/>
    </font>
    <font>
      <sz val="10"/>
      <color indexed="30"/>
      <name val="Courier"/>
      <family val="3"/>
    </font>
    <font>
      <sz val="10"/>
      <color indexed="10"/>
      <name val="Courier"/>
      <family val="3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39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0"/>
    <xf numFmtId="0" fontId="9" fillId="0" borderId="0"/>
    <xf numFmtId="0" fontId="1" fillId="0" borderId="0"/>
    <xf numFmtId="0" fontId="16" fillId="0" borderId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283">
    <xf numFmtId="39" fontId="0" fillId="0" borderId="0" xfId="0"/>
    <xf numFmtId="39" fontId="2" fillId="0" borderId="0" xfId="0" applyFont="1" applyAlignment="1" applyProtection="1">
      <alignment horizontal="left"/>
    </xf>
    <xf numFmtId="39" fontId="3" fillId="0" borderId="0" xfId="0" applyFont="1"/>
    <xf numFmtId="39" fontId="3" fillId="0" borderId="1" xfId="0" applyFont="1" applyBorder="1"/>
    <xf numFmtId="39" fontId="2" fillId="0" borderId="0" xfId="0" applyFont="1"/>
    <xf numFmtId="39" fontId="2" fillId="0" borderId="2" xfId="0" applyFont="1" applyBorder="1"/>
    <xf numFmtId="39" fontId="3" fillId="0" borderId="2" xfId="0" applyFont="1" applyBorder="1"/>
    <xf numFmtId="39" fontId="3" fillId="0" borderId="3" xfId="0" applyFont="1" applyBorder="1"/>
    <xf numFmtId="39" fontId="2" fillId="0" borderId="0" xfId="0" applyFont="1" applyAlignment="1" applyProtection="1">
      <alignment horizontal="right"/>
    </xf>
    <xf numFmtId="39" fontId="2" fillId="0" borderId="1" xfId="0" applyFont="1" applyBorder="1" applyAlignment="1" applyProtection="1">
      <alignment horizontal="right"/>
    </xf>
    <xf numFmtId="39" fontId="3" fillId="0" borderId="0" xfId="0" applyFont="1" applyAlignment="1" applyProtection="1">
      <alignment horizontal="left"/>
    </xf>
    <xf numFmtId="39" fontId="3" fillId="0" borderId="0" xfId="0" applyNumberFormat="1" applyFont="1" applyProtection="1"/>
    <xf numFmtId="37" fontId="3" fillId="0" borderId="0" xfId="0" applyNumberFormat="1" applyFont="1" applyProtection="1"/>
    <xf numFmtId="37" fontId="3" fillId="0" borderId="1" xfId="0" applyNumberFormat="1" applyFont="1" applyBorder="1" applyProtection="1"/>
    <xf numFmtId="39" fontId="2" fillId="2" borderId="2" xfId="0" applyFont="1" applyFill="1" applyBorder="1" applyAlignment="1" applyProtection="1">
      <alignment horizontal="right"/>
    </xf>
    <xf numFmtId="37" fontId="3" fillId="0" borderId="0" xfId="0" applyNumberFormat="1" applyFont="1" applyFill="1" applyProtection="1"/>
    <xf numFmtId="39" fontId="3" fillId="0" borderId="0" xfId="0" quotePrefix="1" applyFont="1" applyAlignment="1" applyProtection="1">
      <alignment horizontal="left"/>
    </xf>
    <xf numFmtId="169" fontId="3" fillId="0" borderId="1" xfId="1" applyNumberFormat="1" applyFont="1" applyBorder="1" applyProtection="1"/>
    <xf numFmtId="39" fontId="3" fillId="0" borderId="2" xfId="0" applyFont="1" applyBorder="1" applyAlignment="1" applyProtection="1">
      <alignment horizontal="left"/>
    </xf>
    <xf numFmtId="37" fontId="3" fillId="0" borderId="2" xfId="0" applyNumberFormat="1" applyFont="1" applyBorder="1" applyProtection="1"/>
    <xf numFmtId="37" fontId="3" fillId="0" borderId="3" xfId="0" applyNumberFormat="1" applyFont="1" applyBorder="1" applyProtection="1"/>
    <xf numFmtId="39" fontId="3" fillId="0" borderId="0" xfId="0" applyFont="1" applyAlignment="1" applyProtection="1">
      <alignment horizontal="right"/>
    </xf>
    <xf numFmtId="39" fontId="3" fillId="0" borderId="2" xfId="0" applyFont="1" applyBorder="1" applyAlignment="1" applyProtection="1">
      <alignment horizontal="right"/>
    </xf>
    <xf numFmtId="37" fontId="3" fillId="0" borderId="0" xfId="0" applyNumberFormat="1" applyFont="1" applyAlignment="1" applyProtection="1">
      <alignment horizontal="fill"/>
    </xf>
    <xf numFmtId="43" fontId="3" fillId="0" borderId="1" xfId="1" applyFont="1" applyBorder="1" applyProtection="1"/>
    <xf numFmtId="37" fontId="3" fillId="0" borderId="0" xfId="0" applyNumberFormat="1" applyFont="1" applyFill="1" applyBorder="1" applyProtection="1"/>
    <xf numFmtId="169" fontId="3" fillId="0" borderId="0" xfId="1" applyNumberFormat="1" applyFont="1" applyProtection="1"/>
    <xf numFmtId="39" fontId="3" fillId="3" borderId="3" xfId="0" applyFont="1" applyFill="1" applyBorder="1"/>
    <xf numFmtId="39" fontId="3" fillId="3" borderId="2" xfId="0" applyFont="1" applyFill="1" applyBorder="1"/>
    <xf numFmtId="39" fontId="2" fillId="3" borderId="3" xfId="0" applyFont="1" applyFill="1" applyBorder="1" applyAlignment="1" applyProtection="1">
      <alignment horizontal="right"/>
    </xf>
    <xf numFmtId="39" fontId="2" fillId="3" borderId="4" xfId="0" applyFont="1" applyFill="1" applyBorder="1" applyAlignment="1" applyProtection="1">
      <alignment horizontal="right"/>
    </xf>
    <xf numFmtId="37" fontId="3" fillId="0" borderId="0" xfId="1" applyNumberFormat="1" applyFont="1" applyFill="1"/>
    <xf numFmtId="39" fontId="2" fillId="3" borderId="5" xfId="0" applyFont="1" applyFill="1" applyBorder="1" applyAlignment="1" applyProtection="1">
      <alignment horizontal="left"/>
    </xf>
    <xf numFmtId="39" fontId="2" fillId="3" borderId="1" xfId="0" applyFont="1" applyFill="1" applyBorder="1" applyAlignment="1" applyProtection="1">
      <alignment horizontal="left"/>
    </xf>
    <xf numFmtId="39" fontId="2" fillId="3" borderId="1" xfId="0" quotePrefix="1" applyFont="1" applyFill="1" applyBorder="1" applyAlignment="1" applyProtection="1">
      <alignment horizontal="left"/>
    </xf>
    <xf numFmtId="39" fontId="2" fillId="3" borderId="6" xfId="0" applyFont="1" applyFill="1" applyBorder="1" applyAlignment="1" applyProtection="1">
      <alignment horizontal="left"/>
    </xf>
    <xf numFmtId="39" fontId="2" fillId="3" borderId="1" xfId="0" applyFont="1" applyFill="1" applyBorder="1"/>
    <xf numFmtId="39" fontId="3" fillId="3" borderId="1" xfId="0" applyFont="1" applyFill="1" applyBorder="1"/>
    <xf numFmtId="39" fontId="3" fillId="3" borderId="1" xfId="0" applyFont="1" applyFill="1" applyBorder="1" applyAlignment="1" applyProtection="1">
      <alignment horizontal="left"/>
    </xf>
    <xf numFmtId="0" fontId="1" fillId="0" borderId="0" xfId="7" applyFill="1"/>
    <xf numFmtId="185" fontId="1" fillId="0" borderId="0" xfId="7" applyNumberFormat="1" applyFill="1"/>
    <xf numFmtId="3" fontId="1" fillId="0" borderId="0" xfId="7" applyNumberFormat="1" applyFill="1"/>
    <xf numFmtId="0" fontId="1" fillId="0" borderId="0" xfId="7" applyFont="1" applyFill="1"/>
    <xf numFmtId="169" fontId="1" fillId="0" borderId="0" xfId="1" applyNumberFormat="1" applyFill="1"/>
    <xf numFmtId="17" fontId="4" fillId="0" borderId="7" xfId="7" applyNumberFormat="1" applyFont="1" applyFill="1" applyBorder="1"/>
    <xf numFmtId="0" fontId="4" fillId="0" borderId="7" xfId="7" applyFont="1" applyFill="1" applyBorder="1"/>
    <xf numFmtId="0" fontId="4" fillId="0" borderId="7" xfId="7" applyFont="1" applyFill="1" applyBorder="1" applyAlignment="1">
      <alignment horizontal="right"/>
    </xf>
    <xf numFmtId="39" fontId="5" fillId="0" borderId="0" xfId="0" applyFont="1"/>
    <xf numFmtId="169" fontId="5" fillId="0" borderId="0" xfId="1" applyNumberFormat="1" applyFont="1"/>
    <xf numFmtId="17" fontId="4" fillId="0" borderId="0" xfId="7" applyNumberFormat="1" applyFont="1" applyFill="1" applyBorder="1"/>
    <xf numFmtId="169" fontId="1" fillId="0" borderId="0" xfId="1" applyNumberFormat="1" applyFont="1" applyFill="1" applyAlignment="1">
      <alignment horizontal="right"/>
    </xf>
    <xf numFmtId="39" fontId="3" fillId="0" borderId="0" xfId="0" applyFont="1" applyBorder="1"/>
    <xf numFmtId="39" fontId="3" fillId="0" borderId="0" xfId="0" applyFont="1" applyFill="1" applyBorder="1"/>
    <xf numFmtId="169" fontId="3" fillId="0" borderId="0" xfId="1" applyNumberFormat="1" applyFont="1"/>
    <xf numFmtId="169" fontId="3" fillId="0" borderId="1" xfId="1" applyNumberFormat="1" applyFont="1" applyBorder="1"/>
    <xf numFmtId="169" fontId="3" fillId="0" borderId="8" xfId="1" applyNumberFormat="1" applyFont="1" applyBorder="1" applyProtection="1"/>
    <xf numFmtId="37" fontId="3" fillId="0" borderId="0" xfId="0" applyNumberFormat="1" applyFont="1" applyFill="1" applyBorder="1" applyAlignment="1" applyProtection="1"/>
    <xf numFmtId="43" fontId="3" fillId="0" borderId="0" xfId="1" applyNumberFormat="1" applyFont="1" applyProtection="1"/>
    <xf numFmtId="37" fontId="3" fillId="0" borderId="1" xfId="0" applyNumberFormat="1" applyFont="1" applyBorder="1"/>
    <xf numFmtId="169" fontId="3" fillId="0" borderId="0" xfId="1" applyNumberFormat="1" applyFont="1" applyBorder="1" applyProtection="1"/>
    <xf numFmtId="43" fontId="3" fillId="0" borderId="0" xfId="1" applyNumberFormat="1" applyFont="1" applyBorder="1" applyProtection="1"/>
    <xf numFmtId="37" fontId="3" fillId="0" borderId="0" xfId="0" applyNumberFormat="1" applyFont="1" applyBorder="1" applyProtection="1"/>
    <xf numFmtId="39" fontId="7" fillId="0" borderId="0" xfId="0" applyFont="1" applyAlignment="1" applyProtection="1">
      <alignment horizontal="left"/>
    </xf>
    <xf numFmtId="44" fontId="5" fillId="0" borderId="0" xfId="4" applyFont="1"/>
    <xf numFmtId="39" fontId="7" fillId="0" borderId="0" xfId="0" applyFont="1"/>
    <xf numFmtId="39" fontId="5" fillId="0" borderId="7" xfId="0" applyFont="1" applyBorder="1"/>
    <xf numFmtId="39" fontId="7" fillId="0" borderId="7" xfId="0" applyFont="1" applyBorder="1"/>
    <xf numFmtId="39" fontId="5" fillId="0" borderId="0" xfId="0" applyFont="1" applyBorder="1"/>
    <xf numFmtId="39" fontId="7" fillId="0" borderId="9" xfId="0" applyFont="1" applyBorder="1"/>
    <xf numFmtId="39" fontId="5" fillId="0" borderId="2" xfId="0" applyFont="1" applyFill="1" applyBorder="1"/>
    <xf numFmtId="39" fontId="5" fillId="0" borderId="3" xfId="0" applyFont="1" applyFill="1" applyBorder="1"/>
    <xf numFmtId="39" fontId="7" fillId="0" borderId="2" xfId="0" applyFont="1" applyFill="1" applyBorder="1" applyAlignment="1">
      <alignment horizontal="right"/>
    </xf>
    <xf numFmtId="39" fontId="7" fillId="0" borderId="3" xfId="0" applyFont="1" applyFill="1" applyBorder="1" applyAlignment="1">
      <alignment horizontal="right"/>
    </xf>
    <xf numFmtId="39" fontId="7" fillId="0" borderId="10" xfId="0" applyFont="1" applyFill="1" applyBorder="1" applyAlignment="1">
      <alignment horizontal="right"/>
    </xf>
    <xf numFmtId="39" fontId="7" fillId="0" borderId="0" xfId="0" applyFont="1" applyFill="1"/>
    <xf numFmtId="39" fontId="7" fillId="0" borderId="1" xfId="0" applyFont="1" applyFill="1" applyBorder="1"/>
    <xf numFmtId="39" fontId="5" fillId="0" borderId="1" xfId="0" applyFont="1" applyBorder="1"/>
    <xf numFmtId="39" fontId="5" fillId="0" borderId="11" xfId="0" applyFont="1" applyBorder="1"/>
    <xf numFmtId="39" fontId="5" fillId="0" borderId="1" xfId="0" applyFont="1" applyFill="1" applyBorder="1"/>
    <xf numFmtId="169" fontId="5" fillId="0" borderId="0" xfId="1" applyNumberFormat="1" applyFont="1" applyBorder="1"/>
    <xf numFmtId="9" fontId="5" fillId="0" borderId="1" xfId="9" applyFont="1" applyBorder="1"/>
    <xf numFmtId="169" fontId="5" fillId="0" borderId="11" xfId="1" applyNumberFormat="1" applyFont="1" applyBorder="1"/>
    <xf numFmtId="39" fontId="5" fillId="0" borderId="0" xfId="0" applyFont="1" applyFill="1"/>
    <xf numFmtId="37" fontId="5" fillId="0" borderId="0" xfId="0" applyNumberFormat="1" applyFont="1" applyBorder="1"/>
    <xf numFmtId="37" fontId="5" fillId="0" borderId="11" xfId="0" applyNumberFormat="1" applyFont="1" applyBorder="1"/>
    <xf numFmtId="170" fontId="5" fillId="0" borderId="0" xfId="9" applyNumberFormat="1" applyFont="1" applyBorder="1"/>
    <xf numFmtId="170" fontId="5" fillId="0" borderId="11" xfId="9" applyNumberFormat="1" applyFont="1" applyBorder="1"/>
    <xf numFmtId="9" fontId="5" fillId="0" borderId="0" xfId="9" applyFont="1" applyBorder="1"/>
    <xf numFmtId="37" fontId="5" fillId="0" borderId="0" xfId="0" applyNumberFormat="1" applyFont="1"/>
    <xf numFmtId="9" fontId="5" fillId="0" borderId="0" xfId="9" applyFont="1"/>
    <xf numFmtId="39" fontId="5" fillId="0" borderId="0" xfId="0" applyFont="1" applyFill="1" applyBorder="1"/>
    <xf numFmtId="9" fontId="1" fillId="0" borderId="0" xfId="9" applyFill="1"/>
    <xf numFmtId="9" fontId="1" fillId="0" borderId="0" xfId="9" applyNumberFormat="1" applyFill="1"/>
    <xf numFmtId="39" fontId="8" fillId="0" borderId="0" xfId="0" applyFont="1" applyAlignment="1">
      <alignment horizontal="right"/>
    </xf>
    <xf numFmtId="169" fontId="0" fillId="0" borderId="0" xfId="1" applyNumberFormat="1" applyFont="1"/>
    <xf numFmtId="43" fontId="0" fillId="0" borderId="0" xfId="1" applyNumberFormat="1" applyFont="1"/>
    <xf numFmtId="170" fontId="5" fillId="0" borderId="0" xfId="9" applyNumberFormat="1" applyFont="1"/>
    <xf numFmtId="3" fontId="1" fillId="0" borderId="0" xfId="7" applyNumberFormat="1" applyFont="1" applyFill="1"/>
    <xf numFmtId="169" fontId="1" fillId="0" borderId="0" xfId="7" applyNumberFormat="1" applyFill="1"/>
    <xf numFmtId="188" fontId="1" fillId="0" borderId="0" xfId="7" applyNumberFormat="1" applyFill="1"/>
    <xf numFmtId="39" fontId="0" fillId="0" borderId="0" xfId="0" applyAlignment="1">
      <alignment horizontal="right"/>
    </xf>
    <xf numFmtId="17" fontId="4" fillId="4" borderId="7" xfId="7" applyNumberFormat="1" applyFont="1" applyFill="1" applyBorder="1"/>
    <xf numFmtId="0" fontId="4" fillId="4" borderId="7" xfId="7" applyFont="1" applyFill="1" applyBorder="1"/>
    <xf numFmtId="0" fontId="4" fillId="4" borderId="7" xfId="7" applyFont="1" applyFill="1" applyBorder="1" applyAlignment="1">
      <alignment horizontal="right"/>
    </xf>
    <xf numFmtId="9" fontId="5" fillId="2" borderId="1" xfId="9" applyFont="1" applyFill="1" applyBorder="1"/>
    <xf numFmtId="170" fontId="5" fillId="2" borderId="0" xfId="9" applyNumberFormat="1" applyFont="1" applyFill="1" applyBorder="1"/>
    <xf numFmtId="170" fontId="5" fillId="5" borderId="0" xfId="9" applyNumberFormat="1" applyFont="1" applyFill="1" applyBorder="1"/>
    <xf numFmtId="17" fontId="4" fillId="6" borderId="7" xfId="7" applyNumberFormat="1" applyFont="1" applyFill="1" applyBorder="1"/>
    <xf numFmtId="0" fontId="4" fillId="6" borderId="7" xfId="7" applyFont="1" applyFill="1" applyBorder="1"/>
    <xf numFmtId="0" fontId="4" fillId="6" borderId="7" xfId="7" applyFont="1" applyFill="1" applyBorder="1" applyAlignment="1">
      <alignment horizontal="right"/>
    </xf>
    <xf numFmtId="178" fontId="0" fillId="0" borderId="0" xfId="0" applyNumberFormat="1"/>
    <xf numFmtId="37" fontId="0" fillId="0" borderId="0" xfId="0" applyNumberFormat="1"/>
    <xf numFmtId="168" fontId="1" fillId="0" borderId="0" xfId="1" applyNumberFormat="1" applyFill="1"/>
    <xf numFmtId="168" fontId="1" fillId="0" borderId="0" xfId="7" applyNumberFormat="1" applyFill="1"/>
    <xf numFmtId="43" fontId="1" fillId="0" borderId="0" xfId="7" applyNumberFormat="1" applyFill="1"/>
    <xf numFmtId="170" fontId="5" fillId="0" borderId="0" xfId="9" applyNumberFormat="1" applyFont="1" applyFill="1" applyBorder="1"/>
    <xf numFmtId="9" fontId="5" fillId="0" borderId="1" xfId="9" applyFont="1" applyFill="1" applyBorder="1"/>
    <xf numFmtId="169" fontId="5" fillId="0" borderId="0" xfId="0" applyNumberFormat="1" applyFont="1"/>
    <xf numFmtId="17" fontId="4" fillId="7" borderId="7" xfId="7" applyNumberFormat="1" applyFont="1" applyFill="1" applyBorder="1"/>
    <xf numFmtId="0" fontId="4" fillId="7" borderId="7" xfId="7" applyFont="1" applyFill="1" applyBorder="1"/>
    <xf numFmtId="0" fontId="4" fillId="7" borderId="7" xfId="7" applyFont="1" applyFill="1" applyBorder="1" applyAlignment="1">
      <alignment horizontal="right"/>
    </xf>
    <xf numFmtId="169" fontId="1" fillId="0" borderId="0" xfId="1" applyNumberFormat="1"/>
    <xf numFmtId="39" fontId="12" fillId="0" borderId="0" xfId="0" applyFont="1"/>
    <xf numFmtId="43" fontId="12" fillId="0" borderId="0" xfId="1" applyNumberFormat="1" applyFont="1"/>
    <xf numFmtId="4" fontId="1" fillId="0" borderId="0" xfId="7" applyNumberFormat="1" applyFill="1"/>
    <xf numFmtId="4" fontId="1" fillId="6" borderId="0" xfId="7" applyNumberFormat="1" applyFill="1"/>
    <xf numFmtId="169" fontId="12" fillId="0" borderId="0" xfId="1" applyNumberFormat="1" applyFont="1"/>
    <xf numFmtId="3" fontId="1" fillId="0" borderId="0" xfId="7" applyNumberFormat="1" applyFont="1" applyFill="1" applyAlignment="1">
      <alignment horizontal="right"/>
    </xf>
    <xf numFmtId="17" fontId="4" fillId="5" borderId="7" xfId="7" applyNumberFormat="1" applyFont="1" applyFill="1" applyBorder="1"/>
    <xf numFmtId="0" fontId="4" fillId="5" borderId="7" xfId="7" applyFont="1" applyFill="1" applyBorder="1"/>
    <xf numFmtId="0" fontId="4" fillId="5" borderId="7" xfId="7" applyFont="1" applyFill="1" applyBorder="1" applyAlignment="1">
      <alignment horizontal="right"/>
    </xf>
    <xf numFmtId="173" fontId="1" fillId="0" borderId="0" xfId="1" applyNumberFormat="1" applyFill="1"/>
    <xf numFmtId="169" fontId="0" fillId="0" borderId="0" xfId="1" applyNumberFormat="1" applyFont="1" applyAlignment="1" applyProtection="1">
      <alignment horizontal="right"/>
      <protection locked="0"/>
    </xf>
    <xf numFmtId="37" fontId="5" fillId="8" borderId="0" xfId="0" applyNumberFormat="1" applyFont="1" applyFill="1"/>
    <xf numFmtId="170" fontId="5" fillId="8" borderId="0" xfId="9" applyNumberFormat="1" applyFont="1" applyFill="1" applyBorder="1"/>
    <xf numFmtId="167" fontId="5" fillId="0" borderId="0" xfId="0" applyNumberFormat="1" applyFont="1" applyBorder="1"/>
    <xf numFmtId="170" fontId="5" fillId="0" borderId="1" xfId="9" applyNumberFormat="1" applyFont="1" applyBorder="1"/>
    <xf numFmtId="170" fontId="1" fillId="0" borderId="0" xfId="9" applyNumberFormat="1" applyFill="1"/>
    <xf numFmtId="17" fontId="4" fillId="8" borderId="7" xfId="7" applyNumberFormat="1" applyFont="1" applyFill="1" applyBorder="1"/>
    <xf numFmtId="0" fontId="4" fillId="8" borderId="7" xfId="7" applyFont="1" applyFill="1" applyBorder="1"/>
    <xf numFmtId="0" fontId="4" fillId="8" borderId="7" xfId="7" applyFont="1" applyFill="1" applyBorder="1" applyAlignment="1">
      <alignment horizontal="right"/>
    </xf>
    <xf numFmtId="0" fontId="5" fillId="0" borderId="0" xfId="6" applyFont="1"/>
    <xf numFmtId="0" fontId="5" fillId="0" borderId="0" xfId="6" applyFont="1" applyAlignment="1">
      <alignment horizontal="center"/>
    </xf>
    <xf numFmtId="43" fontId="5" fillId="0" borderId="0" xfId="1" applyFont="1"/>
    <xf numFmtId="43" fontId="5" fillId="0" borderId="0" xfId="6" applyNumberFormat="1" applyFont="1"/>
    <xf numFmtId="190" fontId="5" fillId="0" borderId="0" xfId="6" applyNumberFormat="1" applyFont="1"/>
    <xf numFmtId="0" fontId="5" fillId="0" borderId="0" xfId="6" applyFont="1" applyAlignment="1">
      <alignment horizontal="right"/>
    </xf>
    <xf numFmtId="169" fontId="0" fillId="0" borderId="0" xfId="1" applyNumberFormat="1" applyFont="1" applyAlignment="1">
      <alignment horizontal="right"/>
    </xf>
    <xf numFmtId="3" fontId="13" fillId="0" borderId="0" xfId="7" applyNumberFormat="1" applyFont="1" applyFill="1"/>
    <xf numFmtId="10" fontId="1" fillId="0" borderId="0" xfId="9" applyNumberFormat="1" applyFill="1"/>
    <xf numFmtId="0" fontId="14" fillId="5" borderId="0" xfId="7" applyFont="1" applyFill="1" applyAlignment="1">
      <alignment horizontal="right"/>
    </xf>
    <xf numFmtId="0" fontId="14" fillId="8" borderId="0" xfId="7" applyFont="1" applyFill="1" applyAlignment="1">
      <alignment horizontal="right"/>
    </xf>
    <xf numFmtId="0" fontId="1" fillId="0" borderId="1" xfId="7" applyFill="1" applyBorder="1"/>
    <xf numFmtId="185" fontId="1" fillId="0" borderId="1" xfId="7" applyNumberFormat="1" applyFill="1" applyBorder="1"/>
    <xf numFmtId="170" fontId="1" fillId="0" borderId="1" xfId="9" applyNumberFormat="1" applyFill="1" applyBorder="1"/>
    <xf numFmtId="0" fontId="1" fillId="0" borderId="1" xfId="7" applyFont="1" applyFill="1" applyBorder="1"/>
    <xf numFmtId="17" fontId="4" fillId="9" borderId="7" xfId="7" applyNumberFormat="1" applyFont="1" applyFill="1" applyBorder="1"/>
    <xf numFmtId="0" fontId="4" fillId="9" borderId="7" xfId="7" applyFont="1" applyFill="1" applyBorder="1"/>
    <xf numFmtId="0" fontId="4" fillId="9" borderId="7" xfId="7" applyFont="1" applyFill="1" applyBorder="1" applyAlignment="1">
      <alignment horizontal="right"/>
    </xf>
    <xf numFmtId="0" fontId="14" fillId="6" borderId="0" xfId="7" applyFont="1" applyFill="1" applyAlignment="1">
      <alignment horizontal="right"/>
    </xf>
    <xf numFmtId="43" fontId="1" fillId="0" borderId="0" xfId="1" applyFill="1"/>
    <xf numFmtId="39" fontId="16" fillId="0" borderId="0" xfId="0" applyFont="1"/>
    <xf numFmtId="37" fontId="16" fillId="0" borderId="0" xfId="0" applyNumberFormat="1" applyFont="1"/>
    <xf numFmtId="39" fontId="16" fillId="0" borderId="0" xfId="0" applyFont="1" applyAlignment="1">
      <alignment horizontal="right"/>
    </xf>
    <xf numFmtId="185" fontId="1" fillId="0" borderId="0" xfId="7" applyNumberFormat="1" applyFill="1" applyBorder="1"/>
    <xf numFmtId="0" fontId="1" fillId="0" borderId="0" xfId="7" applyFill="1" applyBorder="1"/>
    <xf numFmtId="3" fontId="1" fillId="0" borderId="0" xfId="7" applyNumberFormat="1" applyFill="1" applyBorder="1"/>
    <xf numFmtId="9" fontId="1" fillId="0" borderId="0" xfId="9" applyNumberFormat="1" applyFill="1" applyBorder="1"/>
    <xf numFmtId="9" fontId="1" fillId="0" borderId="0" xfId="9" applyFill="1" applyBorder="1"/>
    <xf numFmtId="0" fontId="1" fillId="10" borderId="0" xfId="7" applyFont="1" applyFill="1"/>
    <xf numFmtId="17" fontId="4" fillId="10" borderId="7" xfId="7" applyNumberFormat="1" applyFont="1" applyFill="1" applyBorder="1"/>
    <xf numFmtId="0" fontId="4" fillId="10" borderId="7" xfId="7" applyFont="1" applyFill="1" applyBorder="1"/>
    <xf numFmtId="0" fontId="4" fillId="10" borderId="7" xfId="7" applyFont="1" applyFill="1" applyBorder="1" applyAlignment="1">
      <alignment horizontal="right"/>
    </xf>
    <xf numFmtId="0" fontId="16" fillId="0" borderId="0" xfId="7" applyFont="1" applyFill="1"/>
    <xf numFmtId="0" fontId="4" fillId="0" borderId="0" xfId="7" applyFont="1" applyFill="1" applyBorder="1" applyAlignment="1">
      <alignment horizontal="right"/>
    </xf>
    <xf numFmtId="39" fontId="0" fillId="10" borderId="0" xfId="0" applyFill="1" applyAlignment="1">
      <alignment horizontal="right"/>
    </xf>
    <xf numFmtId="39" fontId="0" fillId="10" borderId="0" xfId="0" applyFill="1"/>
    <xf numFmtId="169" fontId="17" fillId="10" borderId="0" xfId="1" applyNumberFormat="1" applyFont="1" applyFill="1" applyAlignment="1" applyProtection="1">
      <alignment horizontal="right"/>
      <protection locked="0"/>
    </xf>
    <xf numFmtId="199" fontId="1" fillId="0" borderId="0" xfId="7" applyNumberFormat="1" applyFont="1" applyFill="1"/>
    <xf numFmtId="39" fontId="21" fillId="0" borderId="0" xfId="0" applyFont="1"/>
    <xf numFmtId="39" fontId="22" fillId="0" borderId="0" xfId="0" applyFont="1"/>
    <xf numFmtId="0" fontId="1" fillId="0" borderId="0" xfId="9" applyNumberFormat="1" applyFill="1"/>
    <xf numFmtId="0" fontId="1" fillId="11" borderId="0" xfId="7" applyFont="1" applyFill="1"/>
    <xf numFmtId="0" fontId="1" fillId="11" borderId="0" xfId="7" applyFill="1"/>
    <xf numFmtId="185" fontId="1" fillId="11" borderId="0" xfId="7" applyNumberFormat="1" applyFill="1"/>
    <xf numFmtId="169" fontId="1" fillId="11" borderId="0" xfId="1" applyNumberFormat="1" applyFill="1"/>
    <xf numFmtId="0" fontId="1" fillId="6" borderId="0" xfId="7" applyFont="1" applyFill="1"/>
    <xf numFmtId="0" fontId="1" fillId="6" borderId="0" xfId="7" applyFill="1"/>
    <xf numFmtId="185" fontId="1" fillId="6" borderId="0" xfId="7" applyNumberFormat="1" applyFill="1"/>
    <xf numFmtId="169" fontId="1" fillId="6" borderId="0" xfId="1" applyNumberFormat="1" applyFill="1"/>
    <xf numFmtId="17" fontId="4" fillId="11" borderId="7" xfId="7" applyNumberFormat="1" applyFont="1" applyFill="1" applyBorder="1"/>
    <xf numFmtId="0" fontId="4" fillId="11" borderId="7" xfId="7" applyFont="1" applyFill="1" applyBorder="1"/>
    <xf numFmtId="0" fontId="4" fillId="11" borderId="7" xfId="7" applyFont="1" applyFill="1" applyBorder="1" applyAlignment="1">
      <alignment horizontal="right"/>
    </xf>
    <xf numFmtId="37" fontId="3" fillId="0" borderId="0" xfId="0" applyNumberFormat="1" applyFont="1"/>
    <xf numFmtId="3" fontId="16" fillId="0" borderId="0" xfId="7" applyNumberFormat="1" applyFont="1" applyFill="1"/>
    <xf numFmtId="39" fontId="3" fillId="10" borderId="0" xfId="0" applyFont="1" applyFill="1" applyAlignment="1">
      <alignment horizontal="right"/>
    </xf>
    <xf numFmtId="170" fontId="5" fillId="0" borderId="0" xfId="0" applyNumberFormat="1" applyFont="1"/>
    <xf numFmtId="3" fontId="18" fillId="0" borderId="12" xfId="8" applyNumberFormat="1" applyFont="1" applyBorder="1" applyAlignment="1">
      <alignment horizontal="right" vertical="top"/>
    </xf>
    <xf numFmtId="39" fontId="4" fillId="0" borderId="0" xfId="0" applyFont="1"/>
    <xf numFmtId="168" fontId="16" fillId="0" borderId="0" xfId="1" applyNumberFormat="1" applyFont="1" applyFill="1"/>
    <xf numFmtId="168" fontId="16" fillId="0" borderId="0" xfId="1" applyNumberFormat="1" applyFont="1"/>
    <xf numFmtId="170" fontId="16" fillId="0" borderId="0" xfId="9" applyNumberFormat="1" applyFont="1"/>
    <xf numFmtId="0" fontId="16" fillId="0" borderId="0" xfId="7" applyFont="1" applyFill="1" applyAlignment="1">
      <alignment vertical="center"/>
    </xf>
    <xf numFmtId="0" fontId="1" fillId="0" borderId="0" xfId="7" applyFill="1" applyAlignment="1">
      <alignment vertical="center"/>
    </xf>
    <xf numFmtId="17" fontId="4" fillId="11" borderId="7" xfId="7" applyNumberFormat="1" applyFont="1" applyFill="1" applyBorder="1" applyAlignment="1">
      <alignment vertical="center"/>
    </xf>
    <xf numFmtId="0" fontId="4" fillId="11" borderId="7" xfId="7" applyFont="1" applyFill="1" applyBorder="1" applyAlignment="1">
      <alignment vertical="center"/>
    </xf>
    <xf numFmtId="0" fontId="4" fillId="11" borderId="7" xfId="7" applyFont="1" applyFill="1" applyBorder="1" applyAlignment="1">
      <alignment horizontal="right" vertical="center"/>
    </xf>
    <xf numFmtId="3" fontId="1" fillId="0" borderId="0" xfId="7" applyNumberFormat="1" applyFill="1" applyAlignment="1">
      <alignment vertical="center"/>
    </xf>
    <xf numFmtId="0" fontId="1" fillId="0" borderId="0" xfId="7" applyFont="1" applyFill="1" applyAlignment="1">
      <alignment vertical="center"/>
    </xf>
    <xf numFmtId="185" fontId="1" fillId="0" borderId="0" xfId="7" applyNumberFormat="1" applyFill="1" applyAlignment="1">
      <alignment vertical="center"/>
    </xf>
    <xf numFmtId="9" fontId="1" fillId="0" borderId="0" xfId="9" applyNumberFormat="1" applyFill="1" applyAlignment="1">
      <alignment vertical="center"/>
    </xf>
    <xf numFmtId="9" fontId="1" fillId="0" borderId="0" xfId="9" applyFill="1" applyAlignment="1">
      <alignment vertical="center"/>
    </xf>
    <xf numFmtId="3" fontId="1" fillId="0" borderId="0" xfId="7" applyNumberFormat="1" applyFont="1" applyFill="1" applyAlignment="1">
      <alignment horizontal="right" vertical="center"/>
    </xf>
    <xf numFmtId="17" fontId="4" fillId="10" borderId="7" xfId="7" applyNumberFormat="1" applyFont="1" applyFill="1" applyBorder="1" applyAlignment="1">
      <alignment vertical="center"/>
    </xf>
    <xf numFmtId="0" fontId="4" fillId="10" borderId="7" xfId="7" applyFont="1" applyFill="1" applyBorder="1" applyAlignment="1">
      <alignment vertical="center"/>
    </xf>
    <xf numFmtId="0" fontId="4" fillId="10" borderId="7" xfId="7" applyFont="1" applyFill="1" applyBorder="1" applyAlignment="1">
      <alignment horizontal="right" vertical="center"/>
    </xf>
    <xf numFmtId="17" fontId="4" fillId="6" borderId="7" xfId="7" applyNumberFormat="1" applyFont="1" applyFill="1" applyBorder="1" applyAlignment="1">
      <alignment vertical="center"/>
    </xf>
    <xf numFmtId="0" fontId="4" fillId="6" borderId="7" xfId="7" applyFont="1" applyFill="1" applyBorder="1" applyAlignment="1">
      <alignment vertical="center"/>
    </xf>
    <xf numFmtId="0" fontId="4" fillId="6" borderId="7" xfId="7" applyFont="1" applyFill="1" applyBorder="1" applyAlignment="1">
      <alignment horizontal="right" vertical="center"/>
    </xf>
    <xf numFmtId="169" fontId="1" fillId="0" borderId="0" xfId="1" applyNumberFormat="1" applyFill="1" applyAlignment="1">
      <alignment vertical="center"/>
    </xf>
    <xf numFmtId="0" fontId="14" fillId="11" borderId="0" xfId="7" applyFont="1" applyFill="1" applyAlignment="1">
      <alignment horizontal="right" vertical="center"/>
    </xf>
    <xf numFmtId="0" fontId="4" fillId="11" borderId="0" xfId="7" applyFont="1" applyFill="1" applyAlignment="1">
      <alignment horizontal="right" vertical="center"/>
    </xf>
    <xf numFmtId="170" fontId="1" fillId="0" borderId="0" xfId="9" applyNumberFormat="1" applyFill="1" applyAlignment="1">
      <alignment vertical="center"/>
    </xf>
    <xf numFmtId="185" fontId="1" fillId="0" borderId="0" xfId="7" applyNumberFormat="1" applyFill="1" applyBorder="1" applyAlignment="1">
      <alignment vertical="center"/>
    </xf>
    <xf numFmtId="0" fontId="1" fillId="0" borderId="0" xfId="7" applyFill="1" applyBorder="1" applyAlignment="1">
      <alignment vertical="center"/>
    </xf>
    <xf numFmtId="3" fontId="1" fillId="0" borderId="0" xfId="7" applyNumberFormat="1" applyFill="1" applyBorder="1" applyAlignment="1">
      <alignment vertical="center"/>
    </xf>
    <xf numFmtId="9" fontId="1" fillId="0" borderId="0" xfId="9" applyNumberFormat="1" applyFill="1" applyBorder="1" applyAlignment="1">
      <alignment vertical="center"/>
    </xf>
    <xf numFmtId="0" fontId="14" fillId="6" borderId="0" xfId="7" applyFont="1" applyFill="1" applyAlignment="1">
      <alignment horizontal="right" vertical="center"/>
    </xf>
    <xf numFmtId="0" fontId="4" fillId="6" borderId="0" xfId="7" applyFont="1" applyFill="1" applyAlignment="1">
      <alignment horizontal="right" vertical="center"/>
    </xf>
    <xf numFmtId="168" fontId="1" fillId="0" borderId="0" xfId="1" applyNumberFormat="1" applyFill="1" applyAlignment="1">
      <alignment vertical="center"/>
    </xf>
    <xf numFmtId="168" fontId="1" fillId="0" borderId="0" xfId="7" applyNumberFormat="1" applyFill="1" applyAlignment="1">
      <alignment vertical="center"/>
    </xf>
    <xf numFmtId="17" fontId="4" fillId="5" borderId="7" xfId="7" applyNumberFormat="1" applyFont="1" applyFill="1" applyBorder="1" applyAlignment="1">
      <alignment vertical="center"/>
    </xf>
    <xf numFmtId="0" fontId="4" fillId="5" borderId="7" xfId="7" applyFont="1" applyFill="1" applyBorder="1" applyAlignment="1">
      <alignment vertical="center"/>
    </xf>
    <xf numFmtId="0" fontId="4" fillId="5" borderId="7" xfId="7" applyFont="1" applyFill="1" applyBorder="1" applyAlignment="1">
      <alignment horizontal="right" vertical="center"/>
    </xf>
    <xf numFmtId="0" fontId="14" fillId="5" borderId="0" xfId="7" applyFont="1" applyFill="1" applyAlignment="1">
      <alignment horizontal="right" vertical="center"/>
    </xf>
    <xf numFmtId="0" fontId="4" fillId="5" borderId="0" xfId="7" applyFont="1" applyFill="1" applyAlignment="1">
      <alignment horizontal="right" vertical="center"/>
    </xf>
    <xf numFmtId="10" fontId="1" fillId="0" borderId="0" xfId="9" applyNumberFormat="1" applyFill="1" applyAlignment="1">
      <alignment vertical="center"/>
    </xf>
    <xf numFmtId="3" fontId="1" fillId="0" borderId="0" xfId="1" applyNumberFormat="1" applyFill="1"/>
    <xf numFmtId="185" fontId="1" fillId="7" borderId="0" xfId="7" applyNumberFormat="1" applyFill="1" applyAlignment="1">
      <alignment vertical="center"/>
    </xf>
    <xf numFmtId="0" fontId="1" fillId="7" borderId="0" xfId="7" applyFont="1" applyFill="1"/>
    <xf numFmtId="0" fontId="1" fillId="7" borderId="0" xfId="7" applyFill="1"/>
    <xf numFmtId="185" fontId="1" fillId="7" borderId="0" xfId="7" applyNumberFormat="1" applyFill="1"/>
    <xf numFmtId="169" fontId="1" fillId="7" borderId="0" xfId="1" applyNumberFormat="1" applyFill="1"/>
    <xf numFmtId="17" fontId="4" fillId="7" borderId="7" xfId="7" applyNumberFormat="1" applyFont="1" applyFill="1" applyBorder="1" applyAlignment="1">
      <alignment vertical="center"/>
    </xf>
    <xf numFmtId="0" fontId="4" fillId="7" borderId="7" xfId="7" applyFont="1" applyFill="1" applyBorder="1" applyAlignment="1">
      <alignment vertical="center"/>
    </xf>
    <xf numFmtId="0" fontId="4" fillId="7" borderId="7" xfId="7" applyFont="1" applyFill="1" applyBorder="1" applyAlignment="1">
      <alignment horizontal="right" vertical="center"/>
    </xf>
    <xf numFmtId="0" fontId="14" fillId="7" borderId="0" xfId="7" applyFont="1" applyFill="1" applyAlignment="1">
      <alignment horizontal="right" vertical="center"/>
    </xf>
    <xf numFmtId="0" fontId="4" fillId="7" borderId="0" xfId="7" applyFont="1" applyFill="1" applyAlignment="1">
      <alignment horizontal="right" vertical="center"/>
    </xf>
    <xf numFmtId="0" fontId="14" fillId="7" borderId="2" xfId="7" applyFont="1" applyFill="1" applyBorder="1" applyAlignment="1">
      <alignment horizontal="right"/>
    </xf>
    <xf numFmtId="0" fontId="4" fillId="7" borderId="3" xfId="7" applyFont="1" applyFill="1" applyBorder="1" applyAlignment="1">
      <alignment horizontal="right"/>
    </xf>
    <xf numFmtId="0" fontId="14" fillId="7" borderId="3" xfId="7" applyFont="1" applyFill="1" applyBorder="1" applyAlignment="1">
      <alignment horizontal="right"/>
    </xf>
    <xf numFmtId="0" fontId="4" fillId="7" borderId="2" xfId="7" applyFont="1" applyFill="1" applyBorder="1" applyAlignment="1">
      <alignment horizontal="right"/>
    </xf>
    <xf numFmtId="39" fontId="3" fillId="7" borderId="13" xfId="0" applyFont="1" applyFill="1" applyBorder="1"/>
    <xf numFmtId="39" fontId="2" fillId="7" borderId="13" xfId="0" applyFont="1" applyFill="1" applyBorder="1" applyAlignment="1">
      <alignment horizontal="right"/>
    </xf>
    <xf numFmtId="39" fontId="2" fillId="7" borderId="13" xfId="0" applyFont="1" applyFill="1" applyBorder="1" applyAlignment="1" applyProtection="1">
      <alignment horizontal="right"/>
    </xf>
    <xf numFmtId="39" fontId="2" fillId="7" borderId="14" xfId="0" applyFont="1" applyFill="1" applyBorder="1" applyAlignment="1" applyProtection="1">
      <alignment horizontal="right"/>
    </xf>
    <xf numFmtId="39" fontId="2" fillId="7" borderId="15" xfId="0" applyFont="1" applyFill="1" applyBorder="1" applyAlignment="1" applyProtection="1">
      <alignment horizontal="right"/>
    </xf>
    <xf numFmtId="39" fontId="2" fillId="7" borderId="2" xfId="0" applyFont="1" applyFill="1" applyBorder="1" applyAlignment="1" applyProtection="1">
      <alignment horizontal="right"/>
    </xf>
    <xf numFmtId="39" fontId="2" fillId="7" borderId="3" xfId="0" applyFont="1" applyFill="1" applyBorder="1" applyAlignment="1">
      <alignment horizontal="center"/>
    </xf>
    <xf numFmtId="39" fontId="3" fillId="7" borderId="1" xfId="0" applyFont="1" applyFill="1" applyBorder="1"/>
    <xf numFmtId="39" fontId="2" fillId="7" borderId="1" xfId="0" applyFont="1" applyFill="1" applyBorder="1" applyAlignment="1" applyProtection="1">
      <alignment horizontal="left"/>
    </xf>
    <xf numFmtId="39" fontId="2" fillId="7" borderId="1" xfId="0" applyFont="1" applyFill="1" applyBorder="1"/>
    <xf numFmtId="39" fontId="3" fillId="2" borderId="0" xfId="0" applyFont="1" applyFill="1"/>
    <xf numFmtId="37" fontId="3" fillId="2" borderId="1" xfId="0" applyNumberFormat="1" applyFont="1" applyFill="1" applyBorder="1"/>
    <xf numFmtId="0" fontId="1" fillId="5" borderId="0" xfId="7" applyFill="1" applyAlignment="1">
      <alignment vertical="center"/>
    </xf>
    <xf numFmtId="0" fontId="1" fillId="5" borderId="0" xfId="7" applyFont="1" applyFill="1" applyAlignment="1">
      <alignment vertical="center"/>
    </xf>
    <xf numFmtId="3" fontId="1" fillId="5" borderId="0" xfId="7" applyNumberFormat="1" applyFill="1" applyAlignment="1">
      <alignment vertical="center"/>
    </xf>
    <xf numFmtId="9" fontId="1" fillId="5" borderId="0" xfId="9" applyFill="1" applyAlignment="1">
      <alignment vertical="center"/>
    </xf>
    <xf numFmtId="9" fontId="1" fillId="5" borderId="0" xfId="9" applyFill="1" applyBorder="1" applyAlignment="1">
      <alignment vertical="center"/>
    </xf>
    <xf numFmtId="185" fontId="1" fillId="5" borderId="0" xfId="7" applyNumberFormat="1" applyFill="1" applyAlignment="1">
      <alignment vertical="center"/>
    </xf>
    <xf numFmtId="185" fontId="1" fillId="5" borderId="0" xfId="7" applyNumberFormat="1" applyFill="1" applyBorder="1" applyAlignment="1">
      <alignment vertical="center"/>
    </xf>
    <xf numFmtId="170" fontId="1" fillId="5" borderId="0" xfId="9" applyNumberFormat="1" applyFill="1" applyAlignment="1">
      <alignment vertical="center"/>
    </xf>
    <xf numFmtId="3" fontId="1" fillId="5" borderId="0" xfId="7" applyNumberFormat="1" applyFill="1" applyBorder="1" applyAlignment="1">
      <alignment vertical="center"/>
    </xf>
    <xf numFmtId="0" fontId="16" fillId="5" borderId="0" xfId="7" applyFont="1" applyFill="1" applyAlignment="1">
      <alignment vertical="center"/>
    </xf>
    <xf numFmtId="3" fontId="1" fillId="5" borderId="0" xfId="7" applyNumberFormat="1" applyFont="1" applyFill="1" applyAlignment="1">
      <alignment horizontal="right" vertical="center"/>
    </xf>
    <xf numFmtId="39" fontId="6" fillId="7" borderId="0" xfId="0" applyFont="1" applyFill="1" applyAlignment="1">
      <alignment horizontal="center"/>
    </xf>
    <xf numFmtId="39" fontId="6" fillId="7" borderId="1" xfId="0" applyFont="1" applyFill="1" applyBorder="1" applyAlignment="1">
      <alignment horizontal="center"/>
    </xf>
    <xf numFmtId="39" fontId="6" fillId="7" borderId="2" xfId="0" applyFont="1" applyFill="1" applyBorder="1" applyAlignment="1">
      <alignment horizontal="center"/>
    </xf>
    <xf numFmtId="39" fontId="6" fillId="7" borderId="3" xfId="0" applyFont="1" applyFill="1" applyBorder="1" applyAlignment="1">
      <alignment horizontal="center"/>
    </xf>
    <xf numFmtId="39" fontId="15" fillId="0" borderId="0" xfId="0" applyFont="1" applyAlignment="1">
      <alignment horizontal="center"/>
    </xf>
    <xf numFmtId="39" fontId="7" fillId="0" borderId="0" xfId="0" applyFont="1" applyBorder="1" applyAlignment="1">
      <alignment horizontal="center"/>
    </xf>
    <xf numFmtId="39" fontId="7" fillId="0" borderId="1" xfId="0" applyFont="1" applyBorder="1" applyAlignment="1">
      <alignment horizontal="center"/>
    </xf>
    <xf numFmtId="39" fontId="7" fillId="0" borderId="11" xfId="0" applyFont="1" applyBorder="1" applyAlignment="1">
      <alignment horizontal="center"/>
    </xf>
  </cellXfs>
  <cellStyles count="11">
    <cellStyle name="Comma" xfId="1" builtinId="3"/>
    <cellStyle name="Comma 2" xfId="2"/>
    <cellStyle name="Comma 3" xfId="3"/>
    <cellStyle name="Currency" xfId="4" builtinId="4"/>
    <cellStyle name="Normal" xfId="0" builtinId="0"/>
    <cellStyle name="Normal 2" xfId="5"/>
    <cellStyle name="Normal_Charter Transporting Factors-Nov08" xfId="6"/>
    <cellStyle name="Normal_EOS2003_APPROP_20030606" xfId="7"/>
    <cellStyle name="Normal_FY 2015" xfId="8"/>
    <cellStyle name="Percent" xfId="9" builtinId="5"/>
    <cellStyle name="Percent 2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84"/>
  <sheetViews>
    <sheetView zoomScaleNormal="100" zoomScaleSheetLayoutView="85" workbookViewId="0">
      <pane xSplit="2" ySplit="4" topLeftCell="E167" activePane="bottomRight" state="frozen"/>
      <selection activeCell="I62" sqref="I62"/>
      <selection pane="topRight" activeCell="I62" sqref="I62"/>
      <selection pane="bottomLeft" activeCell="I62" sqref="I62"/>
      <selection pane="bottomRight" activeCell="K176" sqref="K176:K177"/>
    </sheetView>
  </sheetViews>
  <sheetFormatPr defaultColWidth="8" defaultRowHeight="12.75" x14ac:dyDescent="0.2"/>
  <cols>
    <col min="1" max="1" width="3.125" style="39" customWidth="1"/>
    <col min="2" max="2" width="14.125" style="39" customWidth="1"/>
    <col min="3" max="8" width="11.625" style="39" customWidth="1"/>
    <col min="9" max="9" width="12.75" style="39" customWidth="1"/>
    <col min="10" max="10" width="11.625" style="39" customWidth="1"/>
    <col min="11" max="11" width="12.125" style="39" bestFit="1" customWidth="1"/>
    <col min="12" max="12" width="13" style="39" bestFit="1" customWidth="1"/>
    <col min="13" max="16384" width="8" style="39"/>
  </cols>
  <sheetData>
    <row r="1" spans="1:10" x14ac:dyDescent="0.2">
      <c r="A1" s="42" t="s">
        <v>436</v>
      </c>
    </row>
    <row r="3" spans="1:10" x14ac:dyDescent="0.2">
      <c r="A3" s="44"/>
      <c r="B3" s="45"/>
      <c r="C3" s="46" t="s">
        <v>176</v>
      </c>
      <c r="D3" s="46" t="s">
        <v>177</v>
      </c>
      <c r="E3" s="46" t="s">
        <v>178</v>
      </c>
      <c r="F3" s="46" t="s">
        <v>179</v>
      </c>
      <c r="G3" s="46" t="s">
        <v>196</v>
      </c>
      <c r="H3" s="46" t="s">
        <v>197</v>
      </c>
      <c r="I3" s="46" t="s">
        <v>198</v>
      </c>
      <c r="J3" s="46" t="s">
        <v>180</v>
      </c>
    </row>
    <row r="5" spans="1:10" x14ac:dyDescent="0.2">
      <c r="A5" s="49" t="s">
        <v>437</v>
      </c>
    </row>
    <row r="6" spans="1:10" x14ac:dyDescent="0.2">
      <c r="A6" s="49"/>
    </row>
    <row r="7" spans="1:10" x14ac:dyDescent="0.2">
      <c r="A7" s="239" t="s">
        <v>186</v>
      </c>
      <c r="B7" s="240"/>
      <c r="C7" s="241"/>
      <c r="D7" s="241"/>
      <c r="E7" s="241"/>
      <c r="F7" s="241"/>
      <c r="G7" s="241"/>
      <c r="H7" s="240"/>
      <c r="I7" s="240"/>
      <c r="J7" s="240"/>
    </row>
    <row r="8" spans="1:10" x14ac:dyDescent="0.2">
      <c r="B8" s="42" t="s">
        <v>135</v>
      </c>
      <c r="C8" s="43">
        <v>817235</v>
      </c>
      <c r="D8" s="43">
        <v>0</v>
      </c>
      <c r="E8" s="50">
        <v>11991</v>
      </c>
      <c r="F8" s="50">
        <v>0</v>
      </c>
      <c r="G8" s="43">
        <f t="shared" ref="G8:G14" si="0">SUM(C8:F8)</f>
        <v>829226</v>
      </c>
      <c r="H8" s="43">
        <v>2331</v>
      </c>
      <c r="I8" s="43">
        <v>3669</v>
      </c>
      <c r="J8" s="43">
        <f>SUM(G8:I8)</f>
        <v>835226</v>
      </c>
    </row>
    <row r="9" spans="1:10" x14ac:dyDescent="0.2">
      <c r="B9" s="42" t="s">
        <v>136</v>
      </c>
      <c r="C9" s="43">
        <v>810532</v>
      </c>
      <c r="D9" s="43">
        <v>0</v>
      </c>
      <c r="E9" s="50">
        <v>13948</v>
      </c>
      <c r="F9" s="50">
        <v>0</v>
      </c>
      <c r="G9" s="43">
        <f t="shared" si="0"/>
        <v>824480</v>
      </c>
      <c r="H9" s="43">
        <v>2013</v>
      </c>
      <c r="I9" s="43">
        <v>3331</v>
      </c>
      <c r="J9" s="43">
        <f t="shared" ref="J9:J14" si="1">SUM(G9:I9)</f>
        <v>829824</v>
      </c>
    </row>
    <row r="10" spans="1:10" x14ac:dyDescent="0.2">
      <c r="B10" s="42" t="s">
        <v>137</v>
      </c>
      <c r="C10" s="43">
        <v>803304</v>
      </c>
      <c r="D10" s="43">
        <v>0</v>
      </c>
      <c r="E10" s="50">
        <v>17121</v>
      </c>
      <c r="F10" s="50">
        <v>0</v>
      </c>
      <c r="G10" s="43">
        <f t="shared" si="0"/>
        <v>820425</v>
      </c>
      <c r="H10" s="43">
        <v>1975</v>
      </c>
      <c r="I10" s="43">
        <v>3443</v>
      </c>
      <c r="J10" s="43">
        <f t="shared" si="1"/>
        <v>825843</v>
      </c>
    </row>
    <row r="11" spans="1:10" x14ac:dyDescent="0.2">
      <c r="B11" s="42" t="s">
        <v>138</v>
      </c>
      <c r="C11" s="43">
        <v>801109</v>
      </c>
      <c r="D11" s="43">
        <v>0</v>
      </c>
      <c r="E11" s="50">
        <v>20307</v>
      </c>
      <c r="F11" s="50">
        <v>0</v>
      </c>
      <c r="G11" s="43">
        <f t="shared" si="0"/>
        <v>821416</v>
      </c>
      <c r="H11" s="43">
        <v>1898</v>
      </c>
      <c r="I11" s="43">
        <v>3229</v>
      </c>
      <c r="J11" s="43">
        <f t="shared" si="1"/>
        <v>826543</v>
      </c>
    </row>
    <row r="12" spans="1:10" x14ac:dyDescent="0.2">
      <c r="B12" s="42" t="s">
        <v>139</v>
      </c>
      <c r="C12" s="43">
        <v>798335</v>
      </c>
      <c r="D12" s="43">
        <v>405</v>
      </c>
      <c r="E12" s="50">
        <v>23588</v>
      </c>
      <c r="F12" s="50">
        <v>0</v>
      </c>
      <c r="G12" s="43">
        <f t="shared" si="0"/>
        <v>822328</v>
      </c>
      <c r="H12" s="43">
        <v>1701</v>
      </c>
      <c r="I12" s="43">
        <v>3168</v>
      </c>
      <c r="J12" s="43">
        <f t="shared" si="1"/>
        <v>827197</v>
      </c>
    </row>
    <row r="13" spans="1:10" x14ac:dyDescent="0.2">
      <c r="B13" s="42" t="s">
        <v>164</v>
      </c>
      <c r="C13" s="43">
        <v>791357</v>
      </c>
      <c r="D13" s="43">
        <v>326</v>
      </c>
      <c r="E13" s="50">
        <v>27753</v>
      </c>
      <c r="F13" s="50">
        <v>0</v>
      </c>
      <c r="G13" s="43">
        <f t="shared" si="0"/>
        <v>819436</v>
      </c>
      <c r="H13" s="43">
        <v>1389</v>
      </c>
      <c r="I13" s="43">
        <v>2930</v>
      </c>
      <c r="J13" s="43">
        <f t="shared" si="1"/>
        <v>823755</v>
      </c>
    </row>
    <row r="14" spans="1:10" x14ac:dyDescent="0.2">
      <c r="B14" s="42" t="s">
        <v>165</v>
      </c>
      <c r="C14" s="43">
        <v>784790</v>
      </c>
      <c r="D14" s="43">
        <v>240</v>
      </c>
      <c r="E14" s="50">
        <v>31687</v>
      </c>
      <c r="F14" s="50">
        <v>0</v>
      </c>
      <c r="G14" s="43">
        <f t="shared" si="0"/>
        <v>816717</v>
      </c>
      <c r="H14" s="43">
        <v>1266</v>
      </c>
      <c r="I14" s="43">
        <v>3038</v>
      </c>
      <c r="J14" s="43">
        <f t="shared" si="1"/>
        <v>821021</v>
      </c>
    </row>
    <row r="15" spans="1:10" x14ac:dyDescent="0.2">
      <c r="B15" s="42" t="s">
        <v>249</v>
      </c>
      <c r="C15" s="43">
        <v>783128</v>
      </c>
      <c r="D15" s="43">
        <v>0</v>
      </c>
      <c r="E15" s="50">
        <v>34463</v>
      </c>
      <c r="F15" s="50">
        <v>0</v>
      </c>
      <c r="G15" s="43">
        <f t="shared" ref="G15:G20" si="2">SUM(C15:F15)</f>
        <v>817591</v>
      </c>
      <c r="H15" s="43">
        <v>1243</v>
      </c>
      <c r="I15" s="43">
        <v>3089</v>
      </c>
      <c r="J15" s="43">
        <f t="shared" ref="J15:J20" si="3">SUM(G15:I15)</f>
        <v>821923</v>
      </c>
    </row>
    <row r="16" spans="1:10" x14ac:dyDescent="0.2">
      <c r="B16" s="42" t="s">
        <v>250</v>
      </c>
      <c r="C16" s="43">
        <v>780826</v>
      </c>
      <c r="D16" s="43">
        <v>1613</v>
      </c>
      <c r="E16" s="50">
        <v>37204</v>
      </c>
      <c r="F16" s="50">
        <v>0</v>
      </c>
      <c r="G16" s="43">
        <f t="shared" si="2"/>
        <v>819643</v>
      </c>
      <c r="H16" s="43">
        <v>1409</v>
      </c>
      <c r="I16" s="43">
        <f t="shared" ref="H16:I18" si="4">I15</f>
        <v>3089</v>
      </c>
      <c r="J16" s="43">
        <f t="shared" si="3"/>
        <v>824141</v>
      </c>
    </row>
    <row r="17" spans="1:11" x14ac:dyDescent="0.2">
      <c r="B17" s="42" t="s">
        <v>300</v>
      </c>
      <c r="C17" s="43">
        <v>777060</v>
      </c>
      <c r="D17" s="43">
        <v>6127</v>
      </c>
      <c r="E17" s="43">
        <v>39724</v>
      </c>
      <c r="F17" s="43">
        <v>1746</v>
      </c>
      <c r="G17" s="43">
        <f t="shared" si="2"/>
        <v>824657</v>
      </c>
      <c r="H17" s="43">
        <f t="shared" si="4"/>
        <v>1409</v>
      </c>
      <c r="I17" s="43">
        <f t="shared" si="4"/>
        <v>3089</v>
      </c>
      <c r="J17" s="43">
        <f t="shared" si="3"/>
        <v>829155</v>
      </c>
    </row>
    <row r="18" spans="1:11" x14ac:dyDescent="0.2">
      <c r="B18" s="42" t="s">
        <v>301</v>
      </c>
      <c r="C18" s="43">
        <v>773087</v>
      </c>
      <c r="D18" s="43">
        <v>13683</v>
      </c>
      <c r="E18" s="43">
        <v>40819</v>
      </c>
      <c r="F18" s="43">
        <v>4932</v>
      </c>
      <c r="G18" s="43">
        <f t="shared" si="2"/>
        <v>832521</v>
      </c>
      <c r="H18" s="43">
        <f t="shared" si="4"/>
        <v>1409</v>
      </c>
      <c r="I18" s="43">
        <f t="shared" si="4"/>
        <v>3089</v>
      </c>
      <c r="J18" s="43">
        <f t="shared" si="3"/>
        <v>837019</v>
      </c>
      <c r="K18" s="43">
        <f>SUM(J8:J18)</f>
        <v>9101647</v>
      </c>
    </row>
    <row r="19" spans="1:11" x14ac:dyDescent="0.2">
      <c r="B19" s="42" t="s">
        <v>388</v>
      </c>
      <c r="C19" s="43">
        <v>770380</v>
      </c>
      <c r="D19" s="43">
        <v>20057</v>
      </c>
      <c r="E19" s="43">
        <v>40819</v>
      </c>
      <c r="F19" s="43">
        <v>9551</v>
      </c>
      <c r="G19" s="43">
        <f t="shared" si="2"/>
        <v>840807</v>
      </c>
      <c r="H19" s="43">
        <f>H18</f>
        <v>1409</v>
      </c>
      <c r="I19" s="43">
        <f>I18</f>
        <v>3089</v>
      </c>
      <c r="J19" s="43">
        <f t="shared" si="3"/>
        <v>845305</v>
      </c>
      <c r="K19" s="43"/>
    </row>
    <row r="20" spans="1:11" x14ac:dyDescent="0.2">
      <c r="B20" s="42" t="s">
        <v>389</v>
      </c>
      <c r="C20" s="43">
        <v>768720</v>
      </c>
      <c r="D20" s="43">
        <v>24650</v>
      </c>
      <c r="E20" s="43">
        <v>40819</v>
      </c>
      <c r="F20" s="43">
        <v>14535</v>
      </c>
      <c r="G20" s="43">
        <f t="shared" si="2"/>
        <v>848724</v>
      </c>
      <c r="H20" s="43">
        <f>H19</f>
        <v>1409</v>
      </c>
      <c r="I20" s="43">
        <f>I19</f>
        <v>3089</v>
      </c>
      <c r="J20" s="43">
        <f t="shared" si="3"/>
        <v>853222</v>
      </c>
      <c r="K20" s="43"/>
    </row>
    <row r="21" spans="1:11" x14ac:dyDescent="0.2">
      <c r="A21" s="239" t="s">
        <v>189</v>
      </c>
      <c r="B21" s="239"/>
      <c r="C21" s="242"/>
      <c r="D21" s="242"/>
      <c r="E21" s="242"/>
      <c r="F21" s="242"/>
      <c r="G21" s="242"/>
      <c r="H21" s="242"/>
      <c r="I21" s="242"/>
      <c r="J21" s="242"/>
    </row>
    <row r="22" spans="1:11" x14ac:dyDescent="0.2">
      <c r="B22" s="42" t="s">
        <v>135</v>
      </c>
      <c r="C22" s="43">
        <v>945648</v>
      </c>
      <c r="D22" s="43">
        <v>0</v>
      </c>
      <c r="E22" s="50">
        <v>13552</v>
      </c>
      <c r="F22" s="50">
        <v>0</v>
      </c>
      <c r="G22" s="43">
        <f>SUM(C22:F22)</f>
        <v>959200</v>
      </c>
      <c r="H22" s="43">
        <v>2956</v>
      </c>
      <c r="I22" s="43">
        <v>4770</v>
      </c>
      <c r="J22" s="43">
        <f>SUM(G22:I22)</f>
        <v>966926</v>
      </c>
    </row>
    <row r="23" spans="1:11" x14ac:dyDescent="0.2">
      <c r="B23" s="42" t="s">
        <v>136</v>
      </c>
      <c r="C23" s="43">
        <v>937828</v>
      </c>
      <c r="D23" s="43">
        <v>0</v>
      </c>
      <c r="E23" s="50">
        <v>15841</v>
      </c>
      <c r="F23" s="50">
        <v>0</v>
      </c>
      <c r="G23" s="43">
        <f t="shared" ref="G23:G28" si="5">SUM(C23:F23)</f>
        <v>953669</v>
      </c>
      <c r="H23" s="43">
        <v>2550</v>
      </c>
      <c r="I23" s="43">
        <v>4330</v>
      </c>
      <c r="J23" s="43">
        <f t="shared" ref="J23:J28" si="6">SUM(G23:I23)</f>
        <v>960549</v>
      </c>
    </row>
    <row r="24" spans="1:11" x14ac:dyDescent="0.2">
      <c r="B24" s="42" t="s">
        <v>137</v>
      </c>
      <c r="C24" s="43">
        <v>930314</v>
      </c>
      <c r="D24" s="43">
        <v>0</v>
      </c>
      <c r="E24" s="50">
        <v>19451</v>
      </c>
      <c r="F24" s="50">
        <v>0</v>
      </c>
      <c r="G24" s="43">
        <f t="shared" si="5"/>
        <v>949765</v>
      </c>
      <c r="H24" s="43">
        <v>2499</v>
      </c>
      <c r="I24" s="43">
        <v>4477</v>
      </c>
      <c r="J24" s="43">
        <f t="shared" si="6"/>
        <v>956741</v>
      </c>
      <c r="K24" s="42"/>
    </row>
    <row r="25" spans="1:11" x14ac:dyDescent="0.2">
      <c r="B25" s="42" t="s">
        <v>138</v>
      </c>
      <c r="C25" s="43">
        <v>927594</v>
      </c>
      <c r="D25" s="43">
        <v>0</v>
      </c>
      <c r="E25" s="50">
        <v>22936</v>
      </c>
      <c r="F25" s="50">
        <v>0</v>
      </c>
      <c r="G25" s="43">
        <f t="shared" si="5"/>
        <v>950530</v>
      </c>
      <c r="H25" s="43">
        <v>2397</v>
      </c>
      <c r="I25" s="43">
        <v>4198</v>
      </c>
      <c r="J25" s="43">
        <f t="shared" si="6"/>
        <v>957125</v>
      </c>
      <c r="K25" s="99"/>
    </row>
    <row r="26" spans="1:11" x14ac:dyDescent="0.2">
      <c r="B26" s="42" t="s">
        <v>139</v>
      </c>
      <c r="C26" s="43">
        <v>924184</v>
      </c>
      <c r="D26" s="43">
        <v>0</v>
      </c>
      <c r="E26" s="50">
        <v>26680</v>
      </c>
      <c r="F26" s="50">
        <v>0</v>
      </c>
      <c r="G26" s="43">
        <f t="shared" si="5"/>
        <v>950864</v>
      </c>
      <c r="H26" s="43">
        <v>2166</v>
      </c>
      <c r="I26" s="43">
        <v>4119</v>
      </c>
      <c r="J26" s="43">
        <f t="shared" si="6"/>
        <v>957149</v>
      </c>
      <c r="K26" s="99"/>
    </row>
    <row r="27" spans="1:11" x14ac:dyDescent="0.2">
      <c r="B27" s="42" t="s">
        <v>164</v>
      </c>
      <c r="C27" s="43">
        <v>918166</v>
      </c>
      <c r="D27" s="43">
        <v>388</v>
      </c>
      <c r="E27" s="50">
        <v>31619</v>
      </c>
      <c r="F27" s="50">
        <v>0</v>
      </c>
      <c r="G27" s="43">
        <f t="shared" si="5"/>
        <v>950173</v>
      </c>
      <c r="H27" s="43">
        <v>1787</v>
      </c>
      <c r="I27" s="43">
        <v>3808</v>
      </c>
      <c r="J27" s="43">
        <f t="shared" si="6"/>
        <v>955768</v>
      </c>
      <c r="K27" s="99"/>
    </row>
    <row r="28" spans="1:11" x14ac:dyDescent="0.2">
      <c r="B28" s="42" t="s">
        <v>165</v>
      </c>
      <c r="C28" s="43">
        <v>908899</v>
      </c>
      <c r="D28" s="43">
        <v>274</v>
      </c>
      <c r="E28" s="50">
        <v>36020</v>
      </c>
      <c r="F28" s="50">
        <v>0</v>
      </c>
      <c r="G28" s="43">
        <f t="shared" si="5"/>
        <v>945193</v>
      </c>
      <c r="H28" s="43">
        <v>1619</v>
      </c>
      <c r="I28" s="43">
        <v>3949</v>
      </c>
      <c r="J28" s="43">
        <f t="shared" si="6"/>
        <v>950761</v>
      </c>
      <c r="K28" s="99"/>
    </row>
    <row r="29" spans="1:11" x14ac:dyDescent="0.2">
      <c r="B29" s="42" t="s">
        <v>249</v>
      </c>
      <c r="C29" s="43">
        <v>905826</v>
      </c>
      <c r="D29" s="43">
        <v>0</v>
      </c>
      <c r="E29" s="50">
        <v>39107</v>
      </c>
      <c r="F29" s="50">
        <v>0</v>
      </c>
      <c r="G29" s="43">
        <f t="shared" ref="G29:G34" si="7">SUM(C29:F29)</f>
        <v>944933</v>
      </c>
      <c r="H29" s="43">
        <v>1586</v>
      </c>
      <c r="I29" s="43">
        <v>4015</v>
      </c>
      <c r="J29" s="43">
        <f t="shared" ref="J29:J34" si="8">SUM(G29:I29)</f>
        <v>950534</v>
      </c>
      <c r="K29" s="99"/>
    </row>
    <row r="30" spans="1:11" x14ac:dyDescent="0.2">
      <c r="B30" s="42" t="s">
        <v>250</v>
      </c>
      <c r="C30" s="43">
        <v>901859</v>
      </c>
      <c r="D30" s="43">
        <v>1839</v>
      </c>
      <c r="E30" s="50">
        <v>42157</v>
      </c>
      <c r="F30" s="50">
        <v>0</v>
      </c>
      <c r="G30" s="43">
        <f t="shared" si="7"/>
        <v>945855</v>
      </c>
      <c r="H30" s="43">
        <v>1795</v>
      </c>
      <c r="I30" s="43">
        <f t="shared" ref="H30:I32" si="9">I29</f>
        <v>4015</v>
      </c>
      <c r="J30" s="43">
        <f t="shared" si="8"/>
        <v>951665</v>
      </c>
      <c r="K30" s="99"/>
    </row>
    <row r="31" spans="1:11" x14ac:dyDescent="0.2">
      <c r="B31" s="42" t="s">
        <v>300</v>
      </c>
      <c r="C31" s="43">
        <v>896895</v>
      </c>
      <c r="D31" s="43">
        <v>6113</v>
      </c>
      <c r="E31" s="43">
        <v>45224</v>
      </c>
      <c r="F31" s="43">
        <v>1767</v>
      </c>
      <c r="G31" s="43">
        <f t="shared" si="7"/>
        <v>949999</v>
      </c>
      <c r="H31" s="43">
        <f t="shared" si="9"/>
        <v>1795</v>
      </c>
      <c r="I31" s="43">
        <f t="shared" si="9"/>
        <v>4015</v>
      </c>
      <c r="J31" s="43">
        <f t="shared" si="8"/>
        <v>955809</v>
      </c>
      <c r="K31" s="99"/>
    </row>
    <row r="32" spans="1:11" x14ac:dyDescent="0.2">
      <c r="B32" s="42" t="s">
        <v>301</v>
      </c>
      <c r="C32" s="43">
        <v>891855</v>
      </c>
      <c r="D32" s="43">
        <v>14471</v>
      </c>
      <c r="E32" s="43">
        <v>46516</v>
      </c>
      <c r="F32" s="43">
        <v>5325</v>
      </c>
      <c r="G32" s="43">
        <f t="shared" si="7"/>
        <v>958167</v>
      </c>
      <c r="H32" s="43">
        <f t="shared" si="9"/>
        <v>1795</v>
      </c>
      <c r="I32" s="43">
        <f t="shared" si="9"/>
        <v>4015</v>
      </c>
      <c r="J32" s="43">
        <f t="shared" si="8"/>
        <v>963977</v>
      </c>
      <c r="K32" s="43">
        <f>SUM(J22:J32)</f>
        <v>10527004</v>
      </c>
    </row>
    <row r="33" spans="1:12" x14ac:dyDescent="0.2">
      <c r="B33" s="42" t="s">
        <v>388</v>
      </c>
      <c r="C33" s="43">
        <v>888543</v>
      </c>
      <c r="D33" s="43">
        <v>22468</v>
      </c>
      <c r="E33" s="43">
        <v>46516</v>
      </c>
      <c r="F33" s="43">
        <v>10559</v>
      </c>
      <c r="G33" s="43">
        <f t="shared" si="7"/>
        <v>968086</v>
      </c>
      <c r="H33" s="43">
        <f>H32</f>
        <v>1795</v>
      </c>
      <c r="I33" s="43">
        <f>I32</f>
        <v>4015</v>
      </c>
      <c r="J33" s="43">
        <f t="shared" si="8"/>
        <v>973896</v>
      </c>
      <c r="K33" s="43"/>
    </row>
    <row r="34" spans="1:12" x14ac:dyDescent="0.2">
      <c r="B34" s="42" t="s">
        <v>389</v>
      </c>
      <c r="C34" s="43">
        <v>886378</v>
      </c>
      <c r="D34" s="43">
        <v>28835</v>
      </c>
      <c r="E34" s="43">
        <v>46516</v>
      </c>
      <c r="F34" s="43">
        <v>16206</v>
      </c>
      <c r="G34" s="43">
        <f t="shared" si="7"/>
        <v>977935</v>
      </c>
      <c r="H34" s="43">
        <f>H33</f>
        <v>1795</v>
      </c>
      <c r="I34" s="43">
        <f>I33</f>
        <v>4015</v>
      </c>
      <c r="J34" s="43">
        <f t="shared" si="8"/>
        <v>983745</v>
      </c>
      <c r="K34" s="43"/>
    </row>
    <row r="35" spans="1:12" x14ac:dyDescent="0.2">
      <c r="A35" s="239" t="s">
        <v>191</v>
      </c>
      <c r="B35" s="239"/>
      <c r="C35" s="242"/>
      <c r="D35" s="242"/>
      <c r="E35" s="242"/>
      <c r="F35" s="242"/>
      <c r="G35" s="242"/>
      <c r="H35" s="242"/>
      <c r="I35" s="242"/>
      <c r="J35" s="242"/>
    </row>
    <row r="36" spans="1:12" x14ac:dyDescent="0.2">
      <c r="B36" s="42" t="s">
        <v>135</v>
      </c>
      <c r="C36" s="50">
        <v>948532</v>
      </c>
      <c r="D36" s="50">
        <v>0</v>
      </c>
      <c r="E36" s="50">
        <v>13614</v>
      </c>
      <c r="F36" s="50">
        <v>0</v>
      </c>
      <c r="G36" s="43">
        <f>SUM(C36:F36)</f>
        <v>962146</v>
      </c>
      <c r="H36" s="43">
        <v>2956</v>
      </c>
      <c r="I36" s="43">
        <v>4770</v>
      </c>
      <c r="J36" s="43">
        <f>SUM(G36:I36)</f>
        <v>969872</v>
      </c>
      <c r="K36" s="42"/>
    </row>
    <row r="37" spans="1:12" x14ac:dyDescent="0.2">
      <c r="B37" s="42" t="s">
        <v>136</v>
      </c>
      <c r="C37" s="43">
        <v>941129</v>
      </c>
      <c r="D37" s="43">
        <v>0</v>
      </c>
      <c r="E37" s="50">
        <v>15967</v>
      </c>
      <c r="F37" s="50">
        <v>0</v>
      </c>
      <c r="G37" s="43">
        <f t="shared" ref="G37:G42" si="10">SUM(C37:F37)</f>
        <v>957096</v>
      </c>
      <c r="H37" s="43">
        <v>2550</v>
      </c>
      <c r="I37" s="43">
        <v>4330</v>
      </c>
      <c r="J37" s="43">
        <f t="shared" ref="J37:J42" si="11">SUM(G37:I37)</f>
        <v>963976</v>
      </c>
      <c r="K37" s="43"/>
      <c r="L37" s="43"/>
    </row>
    <row r="38" spans="1:12" x14ac:dyDescent="0.2">
      <c r="B38" s="42" t="s">
        <v>137</v>
      </c>
      <c r="C38" s="43">
        <v>933497</v>
      </c>
      <c r="D38" s="43">
        <v>0</v>
      </c>
      <c r="E38" s="50">
        <v>19538</v>
      </c>
      <c r="F38" s="50">
        <v>0</v>
      </c>
      <c r="G38" s="43">
        <f t="shared" si="10"/>
        <v>953035</v>
      </c>
      <c r="H38" s="43">
        <v>2499</v>
      </c>
      <c r="I38" s="43">
        <v>4477</v>
      </c>
      <c r="J38" s="43">
        <f t="shared" si="11"/>
        <v>960011</v>
      </c>
      <c r="K38" s="43"/>
      <c r="L38" s="43"/>
    </row>
    <row r="39" spans="1:12" x14ac:dyDescent="0.2">
      <c r="B39" s="42" t="s">
        <v>138</v>
      </c>
      <c r="C39" s="43">
        <v>929990</v>
      </c>
      <c r="D39" s="43">
        <v>0</v>
      </c>
      <c r="E39" s="50">
        <v>23051</v>
      </c>
      <c r="F39" s="50">
        <v>0</v>
      </c>
      <c r="G39" s="43">
        <f t="shared" si="10"/>
        <v>953041</v>
      </c>
      <c r="H39" s="43">
        <v>2397</v>
      </c>
      <c r="I39" s="43">
        <v>4198</v>
      </c>
      <c r="J39" s="43">
        <f t="shared" si="11"/>
        <v>959636</v>
      </c>
      <c r="K39" s="98"/>
    </row>
    <row r="40" spans="1:12" x14ac:dyDescent="0.2">
      <c r="B40" s="42" t="s">
        <v>139</v>
      </c>
      <c r="C40" s="43">
        <v>926532</v>
      </c>
      <c r="D40" s="43">
        <v>0</v>
      </c>
      <c r="E40" s="50">
        <v>26756</v>
      </c>
      <c r="F40" s="50">
        <v>0</v>
      </c>
      <c r="G40" s="43">
        <f t="shared" si="10"/>
        <v>953288</v>
      </c>
      <c r="H40" s="43">
        <v>2397</v>
      </c>
      <c r="I40" s="43">
        <v>4198</v>
      </c>
      <c r="J40" s="43">
        <f t="shared" si="11"/>
        <v>959883</v>
      </c>
    </row>
    <row r="41" spans="1:12" x14ac:dyDescent="0.2">
      <c r="B41" s="42" t="s">
        <v>164</v>
      </c>
      <c r="C41" s="43">
        <v>921287</v>
      </c>
      <c r="D41" s="43">
        <v>412</v>
      </c>
      <c r="E41" s="50">
        <v>31733</v>
      </c>
      <c r="F41" s="50">
        <v>0</v>
      </c>
      <c r="G41" s="43">
        <f t="shared" si="10"/>
        <v>953432</v>
      </c>
      <c r="H41" s="43">
        <f t="shared" ref="H41:I46" si="12">H27</f>
        <v>1787</v>
      </c>
      <c r="I41" s="43">
        <f>I27</f>
        <v>3808</v>
      </c>
      <c r="J41" s="43">
        <f t="shared" si="11"/>
        <v>959027</v>
      </c>
      <c r="K41" s="121">
        <v>956680.63000000117</v>
      </c>
    </row>
    <row r="42" spans="1:12" x14ac:dyDescent="0.2">
      <c r="B42" s="42" t="s">
        <v>165</v>
      </c>
      <c r="C42" s="43">
        <v>912029</v>
      </c>
      <c r="D42" s="43">
        <v>301</v>
      </c>
      <c r="E42" s="50">
        <v>36257</v>
      </c>
      <c r="F42" s="50">
        <v>0</v>
      </c>
      <c r="G42" s="43">
        <f t="shared" si="10"/>
        <v>948587</v>
      </c>
      <c r="H42" s="43">
        <f t="shared" si="12"/>
        <v>1619</v>
      </c>
      <c r="I42" s="43">
        <f t="shared" si="12"/>
        <v>3949</v>
      </c>
      <c r="J42" s="43">
        <f t="shared" si="11"/>
        <v>954155</v>
      </c>
      <c r="K42" s="98">
        <f>G41-K41</f>
        <v>-3248.6300000011688</v>
      </c>
    </row>
    <row r="43" spans="1:12" x14ac:dyDescent="0.2">
      <c r="B43" s="42" t="s">
        <v>249</v>
      </c>
      <c r="C43" s="43">
        <v>907892</v>
      </c>
      <c r="D43" s="43">
        <v>0</v>
      </c>
      <c r="E43" s="50">
        <v>39318</v>
      </c>
      <c r="F43" s="50">
        <v>0</v>
      </c>
      <c r="G43" s="43">
        <f t="shared" ref="G43:G48" si="13">SUM(C43:F43)</f>
        <v>947210</v>
      </c>
      <c r="H43" s="43">
        <f t="shared" si="12"/>
        <v>1586</v>
      </c>
      <c r="I43" s="43">
        <f t="shared" si="12"/>
        <v>4015</v>
      </c>
      <c r="J43" s="43">
        <f t="shared" ref="J43:J48" si="14">SUM(G43:I43)</f>
        <v>952811</v>
      </c>
    </row>
    <row r="44" spans="1:12" x14ac:dyDescent="0.2">
      <c r="B44" s="42" t="s">
        <v>250</v>
      </c>
      <c r="C44" s="43">
        <v>904209</v>
      </c>
      <c r="D44" s="43">
        <v>1563</v>
      </c>
      <c r="E44" s="50">
        <v>42325</v>
      </c>
      <c r="F44" s="50">
        <v>0</v>
      </c>
      <c r="G44" s="43">
        <f t="shared" si="13"/>
        <v>948097</v>
      </c>
      <c r="H44" s="43">
        <f t="shared" si="12"/>
        <v>1795</v>
      </c>
      <c r="I44" s="43">
        <f t="shared" si="12"/>
        <v>4015</v>
      </c>
      <c r="J44" s="43">
        <f t="shared" si="14"/>
        <v>953907</v>
      </c>
    </row>
    <row r="45" spans="1:12" x14ac:dyDescent="0.2">
      <c r="B45" s="42" t="s">
        <v>300</v>
      </c>
      <c r="C45" s="43">
        <v>898958</v>
      </c>
      <c r="D45" s="43">
        <v>5534</v>
      </c>
      <c r="E45" s="43">
        <v>45353</v>
      </c>
      <c r="F45" s="43">
        <v>1825</v>
      </c>
      <c r="G45" s="43">
        <f t="shared" si="13"/>
        <v>951670</v>
      </c>
      <c r="H45" s="43">
        <f t="shared" si="12"/>
        <v>1795</v>
      </c>
      <c r="I45" s="43">
        <f t="shared" si="12"/>
        <v>4015</v>
      </c>
      <c r="J45" s="43">
        <f t="shared" si="14"/>
        <v>957480</v>
      </c>
    </row>
    <row r="46" spans="1:12" x14ac:dyDescent="0.2">
      <c r="B46" s="42" t="s">
        <v>301</v>
      </c>
      <c r="C46" s="43">
        <v>893802</v>
      </c>
      <c r="D46" s="43">
        <v>13604</v>
      </c>
      <c r="E46" s="43">
        <v>46614</v>
      </c>
      <c r="F46" s="43">
        <v>5434</v>
      </c>
      <c r="G46" s="43">
        <f t="shared" si="13"/>
        <v>959454</v>
      </c>
      <c r="H46" s="43">
        <f t="shared" si="12"/>
        <v>1795</v>
      </c>
      <c r="I46" s="43">
        <f t="shared" si="12"/>
        <v>4015</v>
      </c>
      <c r="J46" s="43">
        <f t="shared" si="14"/>
        <v>965264</v>
      </c>
      <c r="K46" s="98">
        <f>C46+D46</f>
        <v>907406</v>
      </c>
    </row>
    <row r="47" spans="1:12" x14ac:dyDescent="0.2">
      <c r="B47" s="42" t="s">
        <v>388</v>
      </c>
      <c r="C47" s="43">
        <v>890261</v>
      </c>
      <c r="D47" s="43">
        <v>21835</v>
      </c>
      <c r="E47" s="43">
        <v>46516</v>
      </c>
      <c r="F47" s="43">
        <v>10786</v>
      </c>
      <c r="G47" s="43">
        <f t="shared" si="13"/>
        <v>969398</v>
      </c>
      <c r="H47" s="43">
        <f>H33</f>
        <v>1795</v>
      </c>
      <c r="I47" s="43">
        <f>I33</f>
        <v>4015</v>
      </c>
      <c r="J47" s="43">
        <f t="shared" si="14"/>
        <v>975208</v>
      </c>
      <c r="K47" s="98">
        <f>C47+D47</f>
        <v>912096</v>
      </c>
    </row>
    <row r="48" spans="1:12" x14ac:dyDescent="0.2">
      <c r="B48" s="42" t="s">
        <v>389</v>
      </c>
      <c r="C48" s="43">
        <v>887894</v>
      </c>
      <c r="D48" s="43">
        <v>28409</v>
      </c>
      <c r="E48" s="43">
        <v>46516</v>
      </c>
      <c r="F48" s="43">
        <v>16456</v>
      </c>
      <c r="G48" s="43">
        <f t="shared" si="13"/>
        <v>979275</v>
      </c>
      <c r="H48" s="43">
        <f>H34</f>
        <v>1795</v>
      </c>
      <c r="I48" s="43">
        <f>I34</f>
        <v>4015</v>
      </c>
      <c r="J48" s="43">
        <f t="shared" si="14"/>
        <v>985085</v>
      </c>
      <c r="K48" s="98">
        <f>C48+D48</f>
        <v>916303</v>
      </c>
    </row>
    <row r="49" spans="1:11" x14ac:dyDescent="0.2">
      <c r="B49" s="42"/>
      <c r="C49" s="43"/>
      <c r="D49" s="43"/>
      <c r="E49" s="50"/>
      <c r="F49" s="50"/>
      <c r="G49" s="43"/>
      <c r="H49" s="43"/>
      <c r="I49" s="43"/>
      <c r="J49" s="43"/>
    </row>
    <row r="50" spans="1:11" x14ac:dyDescent="0.2">
      <c r="A50" s="239" t="s">
        <v>185</v>
      </c>
      <c r="B50" s="240"/>
      <c r="C50" s="242"/>
      <c r="D50" s="242"/>
      <c r="E50" s="242"/>
      <c r="F50" s="242"/>
      <c r="G50" s="242"/>
      <c r="H50" s="242"/>
      <c r="I50" s="242"/>
      <c r="J50" s="242"/>
    </row>
    <row r="51" spans="1:11" x14ac:dyDescent="0.2">
      <c r="B51" s="42" t="s">
        <v>135</v>
      </c>
      <c r="C51" s="43">
        <v>829233</v>
      </c>
      <c r="D51" s="43">
        <v>0</v>
      </c>
      <c r="E51" s="50" t="s">
        <v>199</v>
      </c>
      <c r="F51" s="50" t="s">
        <v>199</v>
      </c>
      <c r="G51" s="43">
        <f>SUM(C51:F51)</f>
        <v>829233</v>
      </c>
      <c r="H51" s="43">
        <v>2331</v>
      </c>
      <c r="I51" s="43">
        <v>3669</v>
      </c>
      <c r="J51" s="43">
        <f>SUM(G51:I51)</f>
        <v>835233</v>
      </c>
    </row>
    <row r="52" spans="1:11" x14ac:dyDescent="0.2">
      <c r="B52" s="42" t="s">
        <v>136</v>
      </c>
      <c r="C52" s="43">
        <v>824483</v>
      </c>
      <c r="D52" s="43">
        <v>0</v>
      </c>
      <c r="E52" s="50" t="s">
        <v>199</v>
      </c>
      <c r="F52" s="50" t="s">
        <v>199</v>
      </c>
      <c r="G52" s="43">
        <f t="shared" ref="G52:G57" si="15">SUM(C52:F52)</f>
        <v>824483</v>
      </c>
      <c r="H52" s="43">
        <v>2013</v>
      </c>
      <c r="I52" s="43">
        <v>3331</v>
      </c>
      <c r="J52" s="43">
        <f t="shared" ref="J52:J57" si="16">SUM(G52:I52)</f>
        <v>829827</v>
      </c>
    </row>
    <row r="53" spans="1:11" x14ac:dyDescent="0.2">
      <c r="B53" s="42" t="s">
        <v>137</v>
      </c>
      <c r="C53" s="43">
        <v>820425</v>
      </c>
      <c r="D53" s="43">
        <v>0</v>
      </c>
      <c r="E53" s="50" t="s">
        <v>199</v>
      </c>
      <c r="F53" s="50" t="s">
        <v>199</v>
      </c>
      <c r="G53" s="43">
        <f t="shared" si="15"/>
        <v>820425</v>
      </c>
      <c r="H53" s="43">
        <v>1975</v>
      </c>
      <c r="I53" s="43">
        <v>3443</v>
      </c>
      <c r="J53" s="43">
        <f t="shared" si="16"/>
        <v>825843</v>
      </c>
    </row>
    <row r="54" spans="1:11" x14ac:dyDescent="0.2">
      <c r="B54" s="42" t="s">
        <v>138</v>
      </c>
      <c r="C54" s="43">
        <v>821417</v>
      </c>
      <c r="D54" s="43">
        <v>0</v>
      </c>
      <c r="E54" s="50" t="s">
        <v>199</v>
      </c>
      <c r="F54" s="50" t="s">
        <v>199</v>
      </c>
      <c r="G54" s="43">
        <f t="shared" si="15"/>
        <v>821417</v>
      </c>
      <c r="H54" s="43">
        <v>1898</v>
      </c>
      <c r="I54" s="43">
        <v>3229</v>
      </c>
      <c r="J54" s="43">
        <f t="shared" si="16"/>
        <v>826544</v>
      </c>
    </row>
    <row r="55" spans="1:11" x14ac:dyDescent="0.2">
      <c r="B55" s="42" t="s">
        <v>139</v>
      </c>
      <c r="C55" s="43">
        <v>821841</v>
      </c>
      <c r="D55" s="43">
        <v>487</v>
      </c>
      <c r="E55" s="50" t="s">
        <v>199</v>
      </c>
      <c r="F55" s="50" t="s">
        <v>199</v>
      </c>
      <c r="G55" s="43">
        <f t="shared" si="15"/>
        <v>822328</v>
      </c>
      <c r="H55" s="43">
        <v>1701</v>
      </c>
      <c r="I55" s="43">
        <v>3168</v>
      </c>
      <c r="J55" s="43">
        <f t="shared" si="16"/>
        <v>827197</v>
      </c>
    </row>
    <row r="56" spans="1:11" x14ac:dyDescent="0.2">
      <c r="B56" s="42" t="s">
        <v>164</v>
      </c>
      <c r="C56" s="43">
        <v>818978</v>
      </c>
      <c r="D56" s="43">
        <v>458</v>
      </c>
      <c r="E56" s="50" t="s">
        <v>199</v>
      </c>
      <c r="F56" s="50" t="s">
        <v>199</v>
      </c>
      <c r="G56" s="43">
        <f t="shared" si="15"/>
        <v>819436</v>
      </c>
      <c r="H56" s="43">
        <f t="shared" ref="H56:I61" si="17">H13</f>
        <v>1389</v>
      </c>
      <c r="I56" s="43">
        <f t="shared" si="17"/>
        <v>2930</v>
      </c>
      <c r="J56" s="43">
        <f t="shared" si="16"/>
        <v>823755</v>
      </c>
    </row>
    <row r="57" spans="1:11" x14ac:dyDescent="0.2">
      <c r="B57" s="42" t="s">
        <v>165</v>
      </c>
      <c r="C57" s="43">
        <v>816234</v>
      </c>
      <c r="D57" s="43">
        <v>482</v>
      </c>
      <c r="E57" s="50" t="s">
        <v>199</v>
      </c>
      <c r="F57" s="50" t="s">
        <v>199</v>
      </c>
      <c r="G57" s="43">
        <f t="shared" si="15"/>
        <v>816716</v>
      </c>
      <c r="H57" s="43">
        <f t="shared" si="17"/>
        <v>1266</v>
      </c>
      <c r="I57" s="43">
        <f t="shared" si="17"/>
        <v>3038</v>
      </c>
      <c r="J57" s="43">
        <f t="shared" si="16"/>
        <v>821020</v>
      </c>
    </row>
    <row r="58" spans="1:11" x14ac:dyDescent="0.2">
      <c r="B58" s="42" t="s">
        <v>249</v>
      </c>
      <c r="C58" s="43">
        <v>817599</v>
      </c>
      <c r="D58" s="43">
        <v>-8</v>
      </c>
      <c r="E58" s="50" t="s">
        <v>199</v>
      </c>
      <c r="F58" s="50" t="s">
        <v>199</v>
      </c>
      <c r="G58" s="43">
        <f t="shared" ref="G58:G63" si="18">SUM(C58:F58)</f>
        <v>817591</v>
      </c>
      <c r="H58" s="43">
        <f t="shared" si="17"/>
        <v>1243</v>
      </c>
      <c r="I58" s="43">
        <f t="shared" si="17"/>
        <v>3089</v>
      </c>
      <c r="J58" s="43">
        <f t="shared" ref="J58:J63" si="19">SUM(G58:I58)</f>
        <v>821923</v>
      </c>
    </row>
    <row r="59" spans="1:11" x14ac:dyDescent="0.2">
      <c r="B59" s="42" t="s">
        <v>250</v>
      </c>
      <c r="C59" s="43">
        <v>802433</v>
      </c>
      <c r="D59" s="43">
        <v>17210</v>
      </c>
      <c r="E59" s="50" t="s">
        <v>199</v>
      </c>
      <c r="F59" s="50" t="s">
        <v>199</v>
      </c>
      <c r="G59" s="43">
        <f t="shared" si="18"/>
        <v>819643</v>
      </c>
      <c r="H59" s="43">
        <f t="shared" si="17"/>
        <v>1409</v>
      </c>
      <c r="I59" s="43">
        <f t="shared" si="17"/>
        <v>3089</v>
      </c>
      <c r="J59" s="43">
        <f t="shared" si="19"/>
        <v>824141</v>
      </c>
    </row>
    <row r="60" spans="1:11" x14ac:dyDescent="0.2">
      <c r="B60" s="42" t="s">
        <v>300</v>
      </c>
      <c r="C60" s="43">
        <v>797027</v>
      </c>
      <c r="D60" s="43">
        <v>27631</v>
      </c>
      <c r="E60" s="43">
        <v>0</v>
      </c>
      <c r="F60" s="43">
        <v>0</v>
      </c>
      <c r="G60" s="43">
        <f t="shared" si="18"/>
        <v>824658</v>
      </c>
      <c r="H60" s="43">
        <f t="shared" si="17"/>
        <v>1409</v>
      </c>
      <c r="I60" s="43">
        <f t="shared" si="17"/>
        <v>3089</v>
      </c>
      <c r="J60" s="43">
        <f t="shared" si="19"/>
        <v>829156</v>
      </c>
    </row>
    <row r="61" spans="1:11" x14ac:dyDescent="0.2">
      <c r="B61" s="42" t="s">
        <v>301</v>
      </c>
      <c r="C61" s="43">
        <v>794534</v>
      </c>
      <c r="D61" s="43">
        <v>37987</v>
      </c>
      <c r="E61" s="43">
        <v>0</v>
      </c>
      <c r="F61" s="43">
        <v>0</v>
      </c>
      <c r="G61" s="43">
        <f t="shared" si="18"/>
        <v>832521</v>
      </c>
      <c r="H61" s="43">
        <f t="shared" si="17"/>
        <v>1409</v>
      </c>
      <c r="I61" s="43">
        <f t="shared" si="17"/>
        <v>3089</v>
      </c>
      <c r="J61" s="43">
        <f t="shared" si="19"/>
        <v>837019</v>
      </c>
      <c r="K61" s="43">
        <f>SUM(J51:J61)</f>
        <v>9101658</v>
      </c>
    </row>
    <row r="62" spans="1:11" x14ac:dyDescent="0.2">
      <c r="B62" s="42" t="s">
        <v>388</v>
      </c>
      <c r="C62" s="43">
        <v>793331</v>
      </c>
      <c r="D62" s="43">
        <v>47475</v>
      </c>
      <c r="E62" s="43">
        <v>0</v>
      </c>
      <c r="F62" s="43">
        <v>0</v>
      </c>
      <c r="G62" s="43">
        <f t="shared" si="18"/>
        <v>840806</v>
      </c>
      <c r="H62" s="43">
        <f>H19</f>
        <v>1409</v>
      </c>
      <c r="I62" s="43">
        <f>I19</f>
        <v>3089</v>
      </c>
      <c r="J62" s="43">
        <f t="shared" si="19"/>
        <v>845304</v>
      </c>
      <c r="K62" s="43"/>
    </row>
    <row r="63" spans="1:11" x14ac:dyDescent="0.2">
      <c r="B63" s="42" t="s">
        <v>389</v>
      </c>
      <c r="C63" s="43">
        <v>793474</v>
      </c>
      <c r="D63" s="43">
        <v>55250</v>
      </c>
      <c r="E63" s="43">
        <v>0</v>
      </c>
      <c r="F63" s="43">
        <v>0</v>
      </c>
      <c r="G63" s="43">
        <f t="shared" si="18"/>
        <v>848724</v>
      </c>
      <c r="H63" s="43">
        <f>H20</f>
        <v>1409</v>
      </c>
      <c r="I63" s="43">
        <f>I20</f>
        <v>3089</v>
      </c>
      <c r="J63" s="43">
        <f t="shared" si="19"/>
        <v>853222</v>
      </c>
      <c r="K63" s="43"/>
    </row>
    <row r="64" spans="1:11" x14ac:dyDescent="0.2">
      <c r="A64" s="239" t="s">
        <v>188</v>
      </c>
      <c r="B64" s="239"/>
      <c r="C64" s="242"/>
      <c r="D64" s="242"/>
      <c r="E64" s="242"/>
      <c r="F64" s="242"/>
      <c r="G64" s="242"/>
      <c r="H64" s="242"/>
      <c r="I64" s="242"/>
      <c r="J64" s="242"/>
    </row>
    <row r="65" spans="1:11" x14ac:dyDescent="0.2">
      <c r="B65" s="42" t="s">
        <v>135</v>
      </c>
      <c r="C65" s="43">
        <v>959208</v>
      </c>
      <c r="D65" s="43">
        <v>0</v>
      </c>
      <c r="E65" s="50" t="s">
        <v>199</v>
      </c>
      <c r="F65" s="50" t="s">
        <v>199</v>
      </c>
      <c r="G65" s="43">
        <f>SUM(C65:F65)</f>
        <v>959208</v>
      </c>
      <c r="H65" s="43">
        <v>2956</v>
      </c>
      <c r="I65" s="43">
        <v>4770</v>
      </c>
      <c r="J65" s="43">
        <f>SUM(G65:I65)</f>
        <v>966934</v>
      </c>
    </row>
    <row r="66" spans="1:11" x14ac:dyDescent="0.2">
      <c r="B66" s="42" t="s">
        <v>136</v>
      </c>
      <c r="C66" s="43">
        <v>953673</v>
      </c>
      <c r="D66" s="43">
        <v>0</v>
      </c>
      <c r="E66" s="50" t="s">
        <v>199</v>
      </c>
      <c r="F66" s="50" t="s">
        <v>199</v>
      </c>
      <c r="G66" s="43">
        <f t="shared" ref="G66:G71" si="20">SUM(C66:F66)</f>
        <v>953673</v>
      </c>
      <c r="H66" s="43">
        <v>2550</v>
      </c>
      <c r="I66" s="43">
        <v>4330</v>
      </c>
      <c r="J66" s="43">
        <f t="shared" ref="J66:J71" si="21">SUM(G66:I66)</f>
        <v>960553</v>
      </c>
    </row>
    <row r="67" spans="1:11" x14ac:dyDescent="0.2">
      <c r="B67" s="42" t="s">
        <v>137</v>
      </c>
      <c r="C67" s="43">
        <v>949765</v>
      </c>
      <c r="D67" s="43">
        <v>0</v>
      </c>
      <c r="E67" s="50" t="s">
        <v>199</v>
      </c>
      <c r="F67" s="50" t="s">
        <v>199</v>
      </c>
      <c r="G67" s="43">
        <f t="shared" si="20"/>
        <v>949765</v>
      </c>
      <c r="H67" s="43">
        <v>2499</v>
      </c>
      <c r="I67" s="43">
        <v>4477</v>
      </c>
      <c r="J67" s="43">
        <f t="shared" si="21"/>
        <v>956741</v>
      </c>
      <c r="K67" s="42"/>
    </row>
    <row r="68" spans="1:11" x14ac:dyDescent="0.2">
      <c r="B68" s="42" t="s">
        <v>138</v>
      </c>
      <c r="C68" s="43">
        <v>950532</v>
      </c>
      <c r="D68" s="43">
        <v>0</v>
      </c>
      <c r="E68" s="50" t="s">
        <v>199</v>
      </c>
      <c r="F68" s="50" t="s">
        <v>199</v>
      </c>
      <c r="G68" s="43">
        <f t="shared" si="20"/>
        <v>950532</v>
      </c>
      <c r="H68" s="43">
        <v>2397</v>
      </c>
      <c r="I68" s="43">
        <v>4198</v>
      </c>
      <c r="J68" s="43">
        <f t="shared" si="21"/>
        <v>957127</v>
      </c>
      <c r="K68" s="99"/>
    </row>
    <row r="69" spans="1:11" x14ac:dyDescent="0.2">
      <c r="B69" s="42" t="s">
        <v>139</v>
      </c>
      <c r="C69" s="43">
        <v>950863</v>
      </c>
      <c r="D69" s="43">
        <v>0</v>
      </c>
      <c r="E69" s="50" t="s">
        <v>199</v>
      </c>
      <c r="F69" s="50" t="s">
        <v>199</v>
      </c>
      <c r="G69" s="43">
        <f t="shared" si="20"/>
        <v>950863</v>
      </c>
      <c r="H69" s="43">
        <v>2166</v>
      </c>
      <c r="I69" s="43">
        <v>4119</v>
      </c>
      <c r="J69" s="43">
        <f t="shared" si="21"/>
        <v>957148</v>
      </c>
      <c r="K69" s="99"/>
    </row>
    <row r="70" spans="1:11" x14ac:dyDescent="0.2">
      <c r="B70" s="42" t="s">
        <v>164</v>
      </c>
      <c r="C70" s="43">
        <v>949624</v>
      </c>
      <c r="D70" s="43">
        <v>562</v>
      </c>
      <c r="E70" s="50" t="s">
        <v>199</v>
      </c>
      <c r="F70" s="50" t="s">
        <v>199</v>
      </c>
      <c r="G70" s="43">
        <f t="shared" si="20"/>
        <v>950186</v>
      </c>
      <c r="H70" s="43">
        <f t="shared" ref="H70:I75" si="22">H27</f>
        <v>1787</v>
      </c>
      <c r="I70" s="43">
        <f t="shared" si="22"/>
        <v>3808</v>
      </c>
      <c r="J70" s="43">
        <f t="shared" si="21"/>
        <v>955781</v>
      </c>
      <c r="K70" s="99"/>
    </row>
    <row r="71" spans="1:11" x14ac:dyDescent="0.2">
      <c r="B71" s="42" t="s">
        <v>165</v>
      </c>
      <c r="C71" s="43">
        <v>944635</v>
      </c>
      <c r="D71" s="43">
        <v>558</v>
      </c>
      <c r="E71" s="50" t="s">
        <v>199</v>
      </c>
      <c r="F71" s="50" t="s">
        <v>199</v>
      </c>
      <c r="G71" s="43">
        <f t="shared" si="20"/>
        <v>945193</v>
      </c>
      <c r="H71" s="43">
        <f t="shared" si="22"/>
        <v>1619</v>
      </c>
      <c r="I71" s="43">
        <f t="shared" si="22"/>
        <v>3949</v>
      </c>
      <c r="J71" s="43">
        <f t="shared" si="21"/>
        <v>950761</v>
      </c>
      <c r="K71" s="99"/>
    </row>
    <row r="72" spans="1:11" x14ac:dyDescent="0.2">
      <c r="B72" s="42" t="s">
        <v>249</v>
      </c>
      <c r="C72" s="43">
        <v>944947</v>
      </c>
      <c r="D72" s="43">
        <v>-14</v>
      </c>
      <c r="E72" s="50" t="s">
        <v>199</v>
      </c>
      <c r="F72" s="50" t="s">
        <v>199</v>
      </c>
      <c r="G72" s="43">
        <f t="shared" ref="G72:G77" si="23">SUM(C72:F72)</f>
        <v>944933</v>
      </c>
      <c r="H72" s="43">
        <f t="shared" si="22"/>
        <v>1586</v>
      </c>
      <c r="I72" s="43">
        <f t="shared" si="22"/>
        <v>4015</v>
      </c>
      <c r="J72" s="43">
        <f t="shared" ref="J72:J77" si="24">SUM(G72:I72)</f>
        <v>950534</v>
      </c>
      <c r="K72" s="99"/>
    </row>
    <row r="73" spans="1:11" x14ac:dyDescent="0.2">
      <c r="B73" s="42" t="s">
        <v>250</v>
      </c>
      <c r="C73" s="43">
        <v>926292</v>
      </c>
      <c r="D73" s="43">
        <v>19562</v>
      </c>
      <c r="E73" s="50" t="s">
        <v>199</v>
      </c>
      <c r="F73" s="50" t="s">
        <v>199</v>
      </c>
      <c r="G73" s="43">
        <f t="shared" si="23"/>
        <v>945854</v>
      </c>
      <c r="H73" s="43">
        <f t="shared" si="22"/>
        <v>1795</v>
      </c>
      <c r="I73" s="43">
        <f t="shared" si="22"/>
        <v>4015</v>
      </c>
      <c r="J73" s="43">
        <f t="shared" si="24"/>
        <v>951664</v>
      </c>
      <c r="K73" s="99"/>
    </row>
    <row r="74" spans="1:11" x14ac:dyDescent="0.2">
      <c r="B74" s="42" t="s">
        <v>300</v>
      </c>
      <c r="C74" s="43">
        <v>919153</v>
      </c>
      <c r="D74" s="43">
        <v>30847</v>
      </c>
      <c r="E74" s="50" t="s">
        <v>199</v>
      </c>
      <c r="F74" s="50" t="s">
        <v>199</v>
      </c>
      <c r="G74" s="43">
        <f t="shared" si="23"/>
        <v>950000</v>
      </c>
      <c r="H74" s="43">
        <f t="shared" si="22"/>
        <v>1795</v>
      </c>
      <c r="I74" s="43">
        <f t="shared" si="22"/>
        <v>4015</v>
      </c>
      <c r="J74" s="43">
        <f t="shared" si="24"/>
        <v>955810</v>
      </c>
      <c r="K74" s="99"/>
    </row>
    <row r="75" spans="1:11" x14ac:dyDescent="0.2">
      <c r="B75" s="42" t="s">
        <v>301</v>
      </c>
      <c r="C75" s="43">
        <v>915925</v>
      </c>
      <c r="D75" s="43">
        <v>42243</v>
      </c>
      <c r="E75" s="50" t="s">
        <v>199</v>
      </c>
      <c r="F75" s="50" t="s">
        <v>199</v>
      </c>
      <c r="G75" s="43">
        <f t="shared" si="23"/>
        <v>958168</v>
      </c>
      <c r="H75" s="43">
        <f t="shared" si="22"/>
        <v>1795</v>
      </c>
      <c r="I75" s="43">
        <f t="shared" si="22"/>
        <v>4015</v>
      </c>
      <c r="J75" s="43">
        <f t="shared" si="24"/>
        <v>963978</v>
      </c>
      <c r="K75" s="43">
        <f>SUM(J65:J75)</f>
        <v>10527031</v>
      </c>
    </row>
    <row r="76" spans="1:11" x14ac:dyDescent="0.2">
      <c r="B76" s="42" t="s">
        <v>388</v>
      </c>
      <c r="C76" s="43">
        <v>914430</v>
      </c>
      <c r="D76" s="43">
        <v>53656</v>
      </c>
      <c r="E76" s="50" t="s">
        <v>199</v>
      </c>
      <c r="F76" s="50" t="s">
        <v>199</v>
      </c>
      <c r="G76" s="43">
        <f t="shared" si="23"/>
        <v>968086</v>
      </c>
      <c r="H76" s="43">
        <f>H33</f>
        <v>1795</v>
      </c>
      <c r="I76" s="43">
        <f>I33</f>
        <v>4015</v>
      </c>
      <c r="J76" s="43">
        <f t="shared" si="24"/>
        <v>973896</v>
      </c>
      <c r="K76" s="43"/>
    </row>
    <row r="77" spans="1:11" x14ac:dyDescent="0.2">
      <c r="B77" s="42" t="s">
        <v>389</v>
      </c>
      <c r="C77" s="43">
        <v>914605</v>
      </c>
      <c r="D77" s="43">
        <v>63331</v>
      </c>
      <c r="E77" s="50" t="s">
        <v>199</v>
      </c>
      <c r="F77" s="50" t="s">
        <v>199</v>
      </c>
      <c r="G77" s="43">
        <f t="shared" si="23"/>
        <v>977936</v>
      </c>
      <c r="H77" s="43">
        <f>H34</f>
        <v>1795</v>
      </c>
      <c r="I77" s="43">
        <f>I34</f>
        <v>4015</v>
      </c>
      <c r="J77" s="43">
        <f t="shared" si="24"/>
        <v>983746</v>
      </c>
      <c r="K77" s="43"/>
    </row>
    <row r="78" spans="1:11" x14ac:dyDescent="0.2">
      <c r="A78" s="239" t="s">
        <v>192</v>
      </c>
      <c r="B78" s="239"/>
      <c r="C78" s="242"/>
      <c r="D78" s="242"/>
      <c r="E78" s="242"/>
      <c r="F78" s="242"/>
      <c r="G78" s="242"/>
      <c r="H78" s="242"/>
      <c r="I78" s="242"/>
      <c r="J78" s="242"/>
    </row>
    <row r="79" spans="1:11" x14ac:dyDescent="0.2">
      <c r="B79" s="42" t="s">
        <v>135</v>
      </c>
      <c r="C79" s="50">
        <v>961493</v>
      </c>
      <c r="D79" s="50">
        <v>0</v>
      </c>
      <c r="E79" s="50" t="s">
        <v>199</v>
      </c>
      <c r="F79" s="50" t="s">
        <v>199</v>
      </c>
      <c r="G79" s="43">
        <f>SUM(C79:F79)</f>
        <v>961493</v>
      </c>
      <c r="H79" s="43">
        <v>2956</v>
      </c>
      <c r="I79" s="43">
        <v>4770</v>
      </c>
      <c r="J79" s="43">
        <f>SUM(G79:I79)</f>
        <v>969219</v>
      </c>
    </row>
    <row r="80" spans="1:11" x14ac:dyDescent="0.2">
      <c r="B80" s="42" t="s">
        <v>136</v>
      </c>
      <c r="C80" s="43">
        <v>956408</v>
      </c>
      <c r="D80" s="43">
        <v>0</v>
      </c>
      <c r="E80" s="50" t="s">
        <v>199</v>
      </c>
      <c r="F80" s="50" t="s">
        <v>199</v>
      </c>
      <c r="G80" s="43">
        <f t="shared" ref="G80:G85" si="25">SUM(C80:F80)</f>
        <v>956408</v>
      </c>
      <c r="H80" s="43">
        <v>2550</v>
      </c>
      <c r="I80" s="43">
        <v>4330</v>
      </c>
      <c r="J80" s="43">
        <f t="shared" ref="J80:J85" si="26">SUM(G80:I80)</f>
        <v>963288</v>
      </c>
    </row>
    <row r="81" spans="1:10" x14ac:dyDescent="0.2">
      <c r="B81" s="42" t="s">
        <v>137</v>
      </c>
      <c r="C81" s="43">
        <v>952266</v>
      </c>
      <c r="D81" s="43">
        <v>0</v>
      </c>
      <c r="E81" s="50" t="s">
        <v>199</v>
      </c>
      <c r="F81" s="50" t="s">
        <v>199</v>
      </c>
      <c r="G81" s="43">
        <f t="shared" si="25"/>
        <v>952266</v>
      </c>
      <c r="H81" s="43">
        <v>2499</v>
      </c>
      <c r="I81" s="43">
        <v>4477</v>
      </c>
      <c r="J81" s="43">
        <f t="shared" si="26"/>
        <v>959242</v>
      </c>
    </row>
    <row r="82" spans="1:10" x14ac:dyDescent="0.2">
      <c r="B82" s="42" t="s">
        <v>138</v>
      </c>
      <c r="C82" s="43">
        <v>952292</v>
      </c>
      <c r="D82" s="43">
        <v>0</v>
      </c>
      <c r="E82" s="50" t="s">
        <v>199</v>
      </c>
      <c r="F82" s="50" t="s">
        <v>199</v>
      </c>
      <c r="G82" s="43">
        <f t="shared" si="25"/>
        <v>952292</v>
      </c>
      <c r="H82" s="43">
        <v>2397</v>
      </c>
      <c r="I82" s="43">
        <v>4198</v>
      </c>
      <c r="J82" s="43">
        <f t="shared" si="26"/>
        <v>958887</v>
      </c>
    </row>
    <row r="83" spans="1:10" x14ac:dyDescent="0.2">
      <c r="B83" s="42" t="s">
        <v>139</v>
      </c>
      <c r="C83" s="43">
        <v>952429</v>
      </c>
      <c r="D83" s="43">
        <v>0</v>
      </c>
      <c r="E83" s="50" t="s">
        <v>199</v>
      </c>
      <c r="F83" s="50" t="s">
        <v>199</v>
      </c>
      <c r="G83" s="43">
        <f t="shared" si="25"/>
        <v>952429</v>
      </c>
      <c r="H83" s="43">
        <v>2166</v>
      </c>
      <c r="I83" s="43">
        <v>4119</v>
      </c>
      <c r="J83" s="43">
        <f t="shared" si="26"/>
        <v>958714</v>
      </c>
    </row>
    <row r="84" spans="1:10" x14ac:dyDescent="0.2">
      <c r="B84" s="42" t="s">
        <v>164</v>
      </c>
      <c r="C84" s="43">
        <v>951696</v>
      </c>
      <c r="D84" s="43">
        <v>564</v>
      </c>
      <c r="E84" s="50" t="s">
        <v>199</v>
      </c>
      <c r="F84" s="50" t="s">
        <v>199</v>
      </c>
      <c r="G84" s="43">
        <f t="shared" si="25"/>
        <v>952260</v>
      </c>
      <c r="H84" s="43">
        <f>H70</f>
        <v>1787</v>
      </c>
      <c r="I84" s="43">
        <f t="shared" ref="H84:I89" si="27">I70</f>
        <v>3808</v>
      </c>
      <c r="J84" s="43">
        <f t="shared" si="26"/>
        <v>957855</v>
      </c>
    </row>
    <row r="85" spans="1:10" x14ac:dyDescent="0.2">
      <c r="B85" s="42" t="s">
        <v>165</v>
      </c>
      <c r="C85" s="43">
        <v>946916</v>
      </c>
      <c r="D85" s="43">
        <v>560</v>
      </c>
      <c r="E85" s="50" t="s">
        <v>199</v>
      </c>
      <c r="F85" s="50" t="s">
        <v>199</v>
      </c>
      <c r="G85" s="43">
        <f t="shared" si="25"/>
        <v>947476</v>
      </c>
      <c r="H85" s="43">
        <f t="shared" si="27"/>
        <v>1619</v>
      </c>
      <c r="I85" s="43">
        <f t="shared" si="27"/>
        <v>3949</v>
      </c>
      <c r="J85" s="43">
        <f t="shared" si="26"/>
        <v>953044</v>
      </c>
    </row>
    <row r="86" spans="1:10" x14ac:dyDescent="0.2">
      <c r="B86" s="42" t="s">
        <v>249</v>
      </c>
      <c r="C86" s="43">
        <v>946306</v>
      </c>
      <c r="D86" s="43">
        <v>-14</v>
      </c>
      <c r="E86" s="50" t="s">
        <v>199</v>
      </c>
      <c r="F86" s="50" t="s">
        <v>199</v>
      </c>
      <c r="G86" s="43">
        <f t="shared" ref="G86:G91" si="28">SUM(C86:F86)</f>
        <v>946292</v>
      </c>
      <c r="H86" s="43">
        <f t="shared" si="27"/>
        <v>1586</v>
      </c>
      <c r="I86" s="43">
        <f t="shared" si="27"/>
        <v>4015</v>
      </c>
      <c r="J86" s="43">
        <f t="shared" ref="J86:J91" si="29">SUM(G86:I86)</f>
        <v>951893</v>
      </c>
    </row>
    <row r="87" spans="1:10" x14ac:dyDescent="0.2">
      <c r="B87" s="42" t="s">
        <v>250</v>
      </c>
      <c r="C87" s="43">
        <v>931691</v>
      </c>
      <c r="D87" s="43">
        <v>17105</v>
      </c>
      <c r="E87" s="50" t="s">
        <v>199</v>
      </c>
      <c r="F87" s="50" t="s">
        <v>199</v>
      </c>
      <c r="G87" s="43">
        <f t="shared" si="28"/>
        <v>948796</v>
      </c>
      <c r="H87" s="43">
        <f t="shared" si="27"/>
        <v>1795</v>
      </c>
      <c r="I87" s="43">
        <f t="shared" si="27"/>
        <v>4015</v>
      </c>
      <c r="J87" s="43">
        <f t="shared" si="29"/>
        <v>954606</v>
      </c>
    </row>
    <row r="88" spans="1:10" x14ac:dyDescent="0.2">
      <c r="B88" s="42" t="s">
        <v>300</v>
      </c>
      <c r="C88" s="43">
        <v>921542</v>
      </c>
      <c r="D88" s="43">
        <v>29570</v>
      </c>
      <c r="E88" s="50" t="s">
        <v>199</v>
      </c>
      <c r="F88" s="50" t="s">
        <v>199</v>
      </c>
      <c r="G88" s="43">
        <f t="shared" si="28"/>
        <v>951112</v>
      </c>
      <c r="H88" s="43">
        <f t="shared" si="27"/>
        <v>1795</v>
      </c>
      <c r="I88" s="43">
        <f t="shared" si="27"/>
        <v>4015</v>
      </c>
      <c r="J88" s="43">
        <f t="shared" si="29"/>
        <v>956922</v>
      </c>
    </row>
    <row r="89" spans="1:10" x14ac:dyDescent="0.2">
      <c r="B89" s="42" t="s">
        <v>301</v>
      </c>
      <c r="C89" s="43">
        <v>917713</v>
      </c>
      <c r="D89" s="43">
        <v>41256</v>
      </c>
      <c r="E89" s="50" t="s">
        <v>199</v>
      </c>
      <c r="F89" s="50" t="s">
        <v>199</v>
      </c>
      <c r="G89" s="43">
        <f t="shared" si="28"/>
        <v>958969</v>
      </c>
      <c r="H89" s="43">
        <f t="shared" si="27"/>
        <v>1795</v>
      </c>
      <c r="I89" s="43">
        <f t="shared" si="27"/>
        <v>4015</v>
      </c>
      <c r="J89" s="43">
        <f t="shared" si="29"/>
        <v>964779</v>
      </c>
    </row>
    <row r="90" spans="1:10" x14ac:dyDescent="0.2">
      <c r="B90" s="42" t="s">
        <v>388</v>
      </c>
      <c r="C90" s="43">
        <v>915975</v>
      </c>
      <c r="D90" s="43">
        <v>52920</v>
      </c>
      <c r="E90" s="50" t="s">
        <v>199</v>
      </c>
      <c r="F90" s="50" t="s">
        <v>199</v>
      </c>
      <c r="G90" s="43">
        <f t="shared" si="28"/>
        <v>968895</v>
      </c>
      <c r="H90" s="43">
        <f>H76</f>
        <v>1795</v>
      </c>
      <c r="I90" s="43">
        <f>I76</f>
        <v>4015</v>
      </c>
      <c r="J90" s="43">
        <f t="shared" si="29"/>
        <v>974705</v>
      </c>
    </row>
    <row r="91" spans="1:10" x14ac:dyDescent="0.2">
      <c r="B91" s="42" t="s">
        <v>389</v>
      </c>
      <c r="C91" s="43">
        <v>915941</v>
      </c>
      <c r="D91" s="43">
        <v>62812</v>
      </c>
      <c r="E91" s="50" t="s">
        <v>199</v>
      </c>
      <c r="F91" s="50" t="s">
        <v>199</v>
      </c>
      <c r="G91" s="43">
        <f t="shared" si="28"/>
        <v>978753</v>
      </c>
      <c r="H91" s="43">
        <f>H77</f>
        <v>1795</v>
      </c>
      <c r="I91" s="43">
        <f>I77</f>
        <v>4015</v>
      </c>
      <c r="J91" s="43">
        <f t="shared" si="29"/>
        <v>984563</v>
      </c>
    </row>
    <row r="92" spans="1:10" x14ac:dyDescent="0.2">
      <c r="B92" s="42"/>
      <c r="C92" s="43"/>
      <c r="D92" s="43"/>
      <c r="E92" s="50"/>
      <c r="F92" s="50"/>
      <c r="G92" s="43"/>
      <c r="H92" s="43"/>
      <c r="I92" s="43"/>
      <c r="J92" s="43"/>
    </row>
    <row r="93" spans="1:10" x14ac:dyDescent="0.2">
      <c r="A93" s="239" t="s">
        <v>187</v>
      </c>
      <c r="B93" s="240"/>
      <c r="C93" s="242"/>
      <c r="D93" s="242"/>
      <c r="E93" s="242"/>
      <c r="F93" s="242"/>
      <c r="G93" s="242"/>
      <c r="H93" s="242"/>
      <c r="I93" s="242"/>
      <c r="J93" s="242"/>
    </row>
    <row r="94" spans="1:10" x14ac:dyDescent="0.2">
      <c r="B94" s="42" t="s">
        <v>135</v>
      </c>
      <c r="C94" s="43">
        <v>10032</v>
      </c>
      <c r="D94" s="43">
        <v>0</v>
      </c>
      <c r="E94" s="50">
        <v>164</v>
      </c>
      <c r="F94" s="50">
        <v>0</v>
      </c>
      <c r="G94" s="43">
        <f>SUM(C94:F94)</f>
        <v>10196</v>
      </c>
      <c r="H94" s="43">
        <v>93</v>
      </c>
      <c r="I94" s="43">
        <v>0</v>
      </c>
      <c r="J94" s="43">
        <f>SUM(G94:I94)</f>
        <v>10289</v>
      </c>
    </row>
    <row r="95" spans="1:10" x14ac:dyDescent="0.2">
      <c r="B95" s="42" t="s">
        <v>136</v>
      </c>
      <c r="C95" s="43">
        <v>8953</v>
      </c>
      <c r="D95" s="43">
        <v>0</v>
      </c>
      <c r="E95" s="50">
        <v>162</v>
      </c>
      <c r="F95" s="50">
        <v>0</v>
      </c>
      <c r="G95" s="43">
        <f t="shared" ref="G95:G100" si="30">SUM(C95:F95)</f>
        <v>9115</v>
      </c>
      <c r="H95" s="43">
        <v>100</v>
      </c>
      <c r="I95" s="43">
        <v>0</v>
      </c>
      <c r="J95" s="43">
        <f t="shared" ref="J95:J100" si="31">SUM(G95:I95)</f>
        <v>9215</v>
      </c>
    </row>
    <row r="96" spans="1:10" x14ac:dyDescent="0.2">
      <c r="B96" s="42" t="s">
        <v>137</v>
      </c>
      <c r="C96" s="43">
        <v>9661</v>
      </c>
      <c r="D96" s="43">
        <v>0</v>
      </c>
      <c r="E96" s="50">
        <v>166</v>
      </c>
      <c r="F96" s="50">
        <v>0</v>
      </c>
      <c r="G96" s="43">
        <f t="shared" si="30"/>
        <v>9827</v>
      </c>
      <c r="H96" s="43">
        <v>99</v>
      </c>
      <c r="I96" s="43">
        <v>0</v>
      </c>
      <c r="J96" s="43">
        <f t="shared" si="31"/>
        <v>9926</v>
      </c>
    </row>
    <row r="97" spans="1:10" x14ac:dyDescent="0.2">
      <c r="B97" s="42" t="s">
        <v>138</v>
      </c>
      <c r="C97" s="43">
        <v>9732</v>
      </c>
      <c r="D97" s="43">
        <v>0</v>
      </c>
      <c r="E97" s="50">
        <v>168</v>
      </c>
      <c r="F97" s="50">
        <v>0</v>
      </c>
      <c r="G97" s="43">
        <f t="shared" si="30"/>
        <v>9900</v>
      </c>
      <c r="H97" s="43">
        <v>89</v>
      </c>
      <c r="I97" s="43">
        <v>0</v>
      </c>
      <c r="J97" s="43">
        <f t="shared" si="31"/>
        <v>9989</v>
      </c>
    </row>
    <row r="98" spans="1:10" x14ac:dyDescent="0.2">
      <c r="B98" s="42" t="s">
        <v>139</v>
      </c>
      <c r="C98" s="43">
        <v>10274</v>
      </c>
      <c r="D98" s="43">
        <v>0</v>
      </c>
      <c r="E98" s="50">
        <v>208</v>
      </c>
      <c r="F98" s="50">
        <v>0</v>
      </c>
      <c r="G98" s="43">
        <f t="shared" si="30"/>
        <v>10482</v>
      </c>
      <c r="H98" s="43">
        <v>97</v>
      </c>
      <c r="I98" s="43">
        <v>0</v>
      </c>
      <c r="J98" s="43">
        <f t="shared" si="31"/>
        <v>10579</v>
      </c>
    </row>
    <row r="99" spans="1:10" x14ac:dyDescent="0.2">
      <c r="B99" s="42" t="s">
        <v>164</v>
      </c>
      <c r="C99" s="43">
        <v>10940</v>
      </c>
      <c r="D99" s="43">
        <v>0</v>
      </c>
      <c r="E99" s="50">
        <v>294</v>
      </c>
      <c r="F99" s="50">
        <v>0</v>
      </c>
      <c r="G99" s="43">
        <f t="shared" si="30"/>
        <v>11234</v>
      </c>
      <c r="H99" s="43">
        <v>74</v>
      </c>
      <c r="I99" s="43">
        <v>0</v>
      </c>
      <c r="J99" s="43">
        <f t="shared" si="31"/>
        <v>11308</v>
      </c>
    </row>
    <row r="100" spans="1:10" x14ac:dyDescent="0.2">
      <c r="B100" s="42" t="s">
        <v>165</v>
      </c>
      <c r="C100" s="43">
        <v>11181</v>
      </c>
      <c r="D100" s="43">
        <v>0</v>
      </c>
      <c r="E100" s="50">
        <v>305</v>
      </c>
      <c r="F100" s="50">
        <v>0</v>
      </c>
      <c r="G100" s="43">
        <f t="shared" si="30"/>
        <v>11486</v>
      </c>
      <c r="H100" s="43">
        <v>88</v>
      </c>
      <c r="I100" s="43">
        <v>0</v>
      </c>
      <c r="J100" s="43">
        <f t="shared" si="31"/>
        <v>11574</v>
      </c>
    </row>
    <row r="101" spans="1:10" x14ac:dyDescent="0.2">
      <c r="B101" s="42" t="s">
        <v>249</v>
      </c>
      <c r="C101" s="43">
        <v>11881</v>
      </c>
      <c r="D101" s="43">
        <v>0</v>
      </c>
      <c r="E101" s="50">
        <v>394</v>
      </c>
      <c r="F101" s="50">
        <v>0</v>
      </c>
      <c r="G101" s="43">
        <f t="shared" ref="G101:G106" si="32">SUM(C101:F101)</f>
        <v>12275</v>
      </c>
      <c r="H101" s="43">
        <v>76</v>
      </c>
      <c r="I101" s="43">
        <v>0</v>
      </c>
      <c r="J101" s="43">
        <f t="shared" ref="J101:J106" si="33">SUM(G101:I101)</f>
        <v>12351</v>
      </c>
    </row>
    <row r="102" spans="1:10" x14ac:dyDescent="0.2">
      <c r="B102" s="42" t="s">
        <v>250</v>
      </c>
      <c r="C102" s="43">
        <v>9930</v>
      </c>
      <c r="D102" s="43">
        <v>2611</v>
      </c>
      <c r="E102" s="50">
        <v>370</v>
      </c>
      <c r="F102" s="50">
        <v>64</v>
      </c>
      <c r="G102" s="43">
        <f t="shared" si="32"/>
        <v>12975</v>
      </c>
      <c r="H102" s="43">
        <f>H101</f>
        <v>76</v>
      </c>
      <c r="I102" s="43">
        <v>0</v>
      </c>
      <c r="J102" s="43">
        <f t="shared" si="33"/>
        <v>13051</v>
      </c>
    </row>
    <row r="103" spans="1:10" x14ac:dyDescent="0.2">
      <c r="B103" s="42" t="s">
        <v>300</v>
      </c>
      <c r="C103" s="43">
        <v>9976</v>
      </c>
      <c r="D103" s="43">
        <v>3266</v>
      </c>
      <c r="E103" s="43">
        <v>328</v>
      </c>
      <c r="F103" s="43">
        <v>146</v>
      </c>
      <c r="G103" s="43">
        <f t="shared" si="32"/>
        <v>13716</v>
      </c>
      <c r="H103" s="43">
        <f>H102</f>
        <v>76</v>
      </c>
      <c r="I103" s="43">
        <v>0</v>
      </c>
      <c r="J103" s="43">
        <f t="shared" si="33"/>
        <v>13792</v>
      </c>
    </row>
    <row r="104" spans="1:10" x14ac:dyDescent="0.2">
      <c r="B104" s="42" t="s">
        <v>301</v>
      </c>
      <c r="C104" s="43">
        <v>9877</v>
      </c>
      <c r="D104" s="43">
        <v>4128</v>
      </c>
      <c r="E104" s="43">
        <v>307</v>
      </c>
      <c r="F104" s="43">
        <v>207</v>
      </c>
      <c r="G104" s="43">
        <f t="shared" si="32"/>
        <v>14519</v>
      </c>
      <c r="H104" s="43">
        <f>H103</f>
        <v>76</v>
      </c>
      <c r="I104" s="43">
        <v>0</v>
      </c>
      <c r="J104" s="43">
        <f t="shared" si="33"/>
        <v>14595</v>
      </c>
    </row>
    <row r="105" spans="1:10" x14ac:dyDescent="0.2">
      <c r="B105" s="42" t="s">
        <v>388</v>
      </c>
      <c r="C105" s="43">
        <v>9349</v>
      </c>
      <c r="D105" s="43">
        <v>5435</v>
      </c>
      <c r="E105" s="43">
        <v>305</v>
      </c>
      <c r="F105" s="43">
        <v>249</v>
      </c>
      <c r="G105" s="43">
        <f t="shared" si="32"/>
        <v>15338</v>
      </c>
      <c r="H105" s="43">
        <f>H104</f>
        <v>76</v>
      </c>
      <c r="I105" s="43">
        <v>0</v>
      </c>
      <c r="J105" s="43">
        <f t="shared" si="33"/>
        <v>15414</v>
      </c>
    </row>
    <row r="106" spans="1:10" x14ac:dyDescent="0.2">
      <c r="B106" s="42" t="s">
        <v>389</v>
      </c>
      <c r="C106" s="43">
        <v>9149</v>
      </c>
      <c r="D106" s="43">
        <v>6424</v>
      </c>
      <c r="E106" s="43">
        <v>339</v>
      </c>
      <c r="F106" s="43">
        <v>255</v>
      </c>
      <c r="G106" s="43">
        <f t="shared" si="32"/>
        <v>16167</v>
      </c>
      <c r="H106" s="43">
        <f>H105</f>
        <v>76</v>
      </c>
      <c r="I106" s="43">
        <v>0</v>
      </c>
      <c r="J106" s="43">
        <f t="shared" si="33"/>
        <v>16243</v>
      </c>
    </row>
    <row r="107" spans="1:10" x14ac:dyDescent="0.2">
      <c r="A107" s="239" t="s">
        <v>190</v>
      </c>
      <c r="B107" s="239"/>
      <c r="C107" s="242"/>
      <c r="D107" s="242"/>
      <c r="E107" s="242"/>
      <c r="F107" s="242"/>
      <c r="G107" s="242"/>
      <c r="H107" s="242"/>
      <c r="I107" s="242"/>
      <c r="J107" s="242"/>
    </row>
    <row r="108" spans="1:10" x14ac:dyDescent="0.2">
      <c r="B108" s="42" t="s">
        <v>135</v>
      </c>
      <c r="C108" s="43">
        <v>11667</v>
      </c>
      <c r="D108" s="43">
        <v>0</v>
      </c>
      <c r="E108" s="50">
        <v>188</v>
      </c>
      <c r="F108" s="50">
        <v>0</v>
      </c>
      <c r="G108" s="43">
        <f>SUM(C108:F108)</f>
        <v>11855</v>
      </c>
      <c r="H108" s="43">
        <v>116</v>
      </c>
      <c r="I108" s="43">
        <v>0</v>
      </c>
      <c r="J108" s="43">
        <f>SUM(G108:I108)</f>
        <v>11971</v>
      </c>
    </row>
    <row r="109" spans="1:10" x14ac:dyDescent="0.2">
      <c r="B109" s="42" t="s">
        <v>136</v>
      </c>
      <c r="C109" s="43">
        <v>10371</v>
      </c>
      <c r="D109" s="43">
        <v>0</v>
      </c>
      <c r="E109" s="50">
        <v>189</v>
      </c>
      <c r="F109" s="50">
        <v>0</v>
      </c>
      <c r="G109" s="43">
        <f t="shared" ref="G109:G114" si="34">SUM(C109:F109)</f>
        <v>10560</v>
      </c>
      <c r="H109" s="43">
        <v>124</v>
      </c>
      <c r="I109" s="43">
        <v>0</v>
      </c>
      <c r="J109" s="43">
        <f t="shared" ref="J109:J114" si="35">SUM(G109:I109)</f>
        <v>10684</v>
      </c>
    </row>
    <row r="110" spans="1:10" x14ac:dyDescent="0.2">
      <c r="B110" s="42" t="s">
        <v>137</v>
      </c>
      <c r="C110" s="43">
        <v>11094</v>
      </c>
      <c r="D110" s="43">
        <v>0</v>
      </c>
      <c r="E110" s="50">
        <v>195</v>
      </c>
      <c r="F110" s="50">
        <v>0</v>
      </c>
      <c r="G110" s="43">
        <f t="shared" si="34"/>
        <v>11289</v>
      </c>
      <c r="H110" s="43">
        <v>120</v>
      </c>
      <c r="I110" s="43">
        <v>0</v>
      </c>
      <c r="J110" s="43">
        <f t="shared" si="35"/>
        <v>11409</v>
      </c>
    </row>
    <row r="111" spans="1:10" x14ac:dyDescent="0.2">
      <c r="B111" s="42" t="s">
        <v>138</v>
      </c>
      <c r="C111" s="43">
        <v>11140</v>
      </c>
      <c r="D111" s="43">
        <v>0</v>
      </c>
      <c r="E111" s="50">
        <v>202</v>
      </c>
      <c r="F111" s="50">
        <v>0</v>
      </c>
      <c r="G111" s="43">
        <f t="shared" si="34"/>
        <v>11342</v>
      </c>
      <c r="H111" s="43">
        <v>110</v>
      </c>
      <c r="I111" s="43">
        <v>0</v>
      </c>
      <c r="J111" s="43">
        <f t="shared" si="35"/>
        <v>11452</v>
      </c>
    </row>
    <row r="112" spans="1:10" x14ac:dyDescent="0.2">
      <c r="B112" s="42" t="s">
        <v>139</v>
      </c>
      <c r="C112" s="43">
        <v>11731</v>
      </c>
      <c r="D112" s="43">
        <v>0</v>
      </c>
      <c r="E112" s="50">
        <v>255</v>
      </c>
      <c r="F112" s="50">
        <v>0</v>
      </c>
      <c r="G112" s="43">
        <f t="shared" si="34"/>
        <v>11986</v>
      </c>
      <c r="H112" s="43">
        <v>124</v>
      </c>
      <c r="I112" s="43">
        <v>0</v>
      </c>
      <c r="J112" s="43">
        <f t="shared" si="35"/>
        <v>12110</v>
      </c>
    </row>
    <row r="113" spans="1:12" x14ac:dyDescent="0.2">
      <c r="B113" s="42" t="s">
        <v>164</v>
      </c>
      <c r="C113" s="43">
        <v>12506</v>
      </c>
      <c r="D113" s="43">
        <v>0</v>
      </c>
      <c r="E113" s="50">
        <v>352</v>
      </c>
      <c r="F113" s="50">
        <v>0</v>
      </c>
      <c r="G113" s="43">
        <f t="shared" si="34"/>
        <v>12858</v>
      </c>
      <c r="H113" s="43">
        <v>94</v>
      </c>
      <c r="I113" s="43">
        <v>0</v>
      </c>
      <c r="J113" s="43">
        <f t="shared" si="35"/>
        <v>12952</v>
      </c>
    </row>
    <row r="114" spans="1:12" x14ac:dyDescent="0.2">
      <c r="B114" s="42" t="s">
        <v>165</v>
      </c>
      <c r="C114" s="43">
        <v>12779</v>
      </c>
      <c r="D114" s="43">
        <v>0</v>
      </c>
      <c r="E114" s="50">
        <v>363</v>
      </c>
      <c r="F114" s="50">
        <v>0</v>
      </c>
      <c r="G114" s="43">
        <f t="shared" si="34"/>
        <v>13142</v>
      </c>
      <c r="H114" s="43">
        <v>113</v>
      </c>
      <c r="I114" s="43">
        <v>0</v>
      </c>
      <c r="J114" s="43">
        <f t="shared" si="35"/>
        <v>13255</v>
      </c>
    </row>
    <row r="115" spans="1:12" x14ac:dyDescent="0.2">
      <c r="B115" s="42" t="s">
        <v>249</v>
      </c>
      <c r="C115" s="43">
        <v>13500</v>
      </c>
      <c r="D115" s="43">
        <v>0</v>
      </c>
      <c r="E115" s="50">
        <v>468</v>
      </c>
      <c r="F115" s="50">
        <v>0</v>
      </c>
      <c r="G115" s="43">
        <f t="shared" ref="G115:G120" si="36">SUM(C115:F115)</f>
        <v>13968</v>
      </c>
      <c r="H115" s="43">
        <v>98</v>
      </c>
      <c r="I115" s="43">
        <v>0</v>
      </c>
      <c r="J115" s="43">
        <f t="shared" ref="J115:J120" si="37">SUM(G115:I115)</f>
        <v>14066</v>
      </c>
    </row>
    <row r="116" spans="1:12" x14ac:dyDescent="0.2">
      <c r="B116" s="42" t="s">
        <v>250</v>
      </c>
      <c r="C116" s="43">
        <v>11389</v>
      </c>
      <c r="D116" s="43">
        <v>2851</v>
      </c>
      <c r="E116" s="50">
        <v>435</v>
      </c>
      <c r="F116" s="50">
        <v>81</v>
      </c>
      <c r="G116" s="43">
        <f t="shared" si="36"/>
        <v>14756</v>
      </c>
      <c r="H116" s="43">
        <f>H115</f>
        <v>98</v>
      </c>
      <c r="I116" s="43">
        <v>0</v>
      </c>
      <c r="J116" s="43">
        <f t="shared" si="37"/>
        <v>14854</v>
      </c>
    </row>
    <row r="117" spans="1:12" x14ac:dyDescent="0.2">
      <c r="B117" s="42" t="s">
        <v>300</v>
      </c>
      <c r="C117" s="43">
        <v>11424</v>
      </c>
      <c r="D117" s="43">
        <v>3596</v>
      </c>
      <c r="E117" s="43">
        <v>388</v>
      </c>
      <c r="F117" s="43">
        <v>176</v>
      </c>
      <c r="G117" s="43">
        <f t="shared" si="36"/>
        <v>15584</v>
      </c>
      <c r="H117" s="43">
        <f>H116</f>
        <v>98</v>
      </c>
      <c r="I117" s="43">
        <v>0</v>
      </c>
      <c r="J117" s="43">
        <f t="shared" si="37"/>
        <v>15682</v>
      </c>
    </row>
    <row r="118" spans="1:12" x14ac:dyDescent="0.2">
      <c r="B118" s="42" t="s">
        <v>301</v>
      </c>
      <c r="C118" s="43">
        <v>11310</v>
      </c>
      <c r="D118" s="43">
        <v>4570</v>
      </c>
      <c r="E118" s="43">
        <v>368</v>
      </c>
      <c r="F118" s="43">
        <v>243</v>
      </c>
      <c r="G118" s="43">
        <f t="shared" si="36"/>
        <v>16491</v>
      </c>
      <c r="H118" s="43">
        <f>H117</f>
        <v>98</v>
      </c>
      <c r="I118" s="43">
        <v>0</v>
      </c>
      <c r="J118" s="43">
        <f t="shared" si="37"/>
        <v>16589</v>
      </c>
    </row>
    <row r="119" spans="1:12" x14ac:dyDescent="0.2">
      <c r="B119" s="42" t="s">
        <v>388</v>
      </c>
      <c r="C119" s="43">
        <v>10673</v>
      </c>
      <c r="D119" s="43">
        <v>6108</v>
      </c>
      <c r="E119" s="43">
        <v>370</v>
      </c>
      <c r="F119" s="43">
        <v>288</v>
      </c>
      <c r="G119" s="43">
        <f t="shared" si="36"/>
        <v>17439</v>
      </c>
      <c r="H119" s="43">
        <f>H118</f>
        <v>98</v>
      </c>
      <c r="I119" s="43">
        <v>0</v>
      </c>
      <c r="J119" s="43">
        <f t="shared" si="37"/>
        <v>17537</v>
      </c>
    </row>
    <row r="120" spans="1:12" x14ac:dyDescent="0.2">
      <c r="B120" s="42" t="s">
        <v>389</v>
      </c>
      <c r="C120" s="43">
        <v>10463</v>
      </c>
      <c r="D120" s="43">
        <v>7237</v>
      </c>
      <c r="E120" s="43">
        <v>418</v>
      </c>
      <c r="F120" s="43">
        <v>288</v>
      </c>
      <c r="G120" s="43">
        <f t="shared" si="36"/>
        <v>18406</v>
      </c>
      <c r="H120" s="43">
        <f>H119</f>
        <v>98</v>
      </c>
      <c r="I120" s="43">
        <v>0</v>
      </c>
      <c r="J120" s="43">
        <f t="shared" si="37"/>
        <v>18504</v>
      </c>
    </row>
    <row r="121" spans="1:12" x14ac:dyDescent="0.2">
      <c r="A121" s="239" t="s">
        <v>193</v>
      </c>
      <c r="B121" s="239"/>
      <c r="C121" s="242"/>
      <c r="D121" s="242"/>
      <c r="E121" s="242"/>
      <c r="F121" s="242"/>
      <c r="G121" s="242"/>
      <c r="H121" s="242"/>
      <c r="I121" s="242"/>
      <c r="J121" s="242"/>
    </row>
    <row r="122" spans="1:12" x14ac:dyDescent="0.2">
      <c r="B122" s="42" t="s">
        <v>135</v>
      </c>
      <c r="C122" s="50">
        <v>11895</v>
      </c>
      <c r="D122" s="50">
        <v>0</v>
      </c>
      <c r="E122" s="50">
        <v>193</v>
      </c>
      <c r="F122" s="50">
        <v>0</v>
      </c>
      <c r="G122" s="43">
        <f>SUM(C122:F122)</f>
        <v>12088</v>
      </c>
      <c r="H122" s="43">
        <v>116</v>
      </c>
      <c r="I122" s="50">
        <v>0</v>
      </c>
      <c r="J122" s="43">
        <f>SUM(G122:I122)</f>
        <v>12204</v>
      </c>
    </row>
    <row r="123" spans="1:12" x14ac:dyDescent="0.2">
      <c r="B123" s="42" t="s">
        <v>136</v>
      </c>
      <c r="C123" s="43">
        <v>10751</v>
      </c>
      <c r="D123" s="43">
        <v>0</v>
      </c>
      <c r="E123" s="50">
        <v>193</v>
      </c>
      <c r="F123" s="50">
        <v>0</v>
      </c>
      <c r="G123" s="43">
        <f t="shared" ref="G123:G128" si="38">SUM(C123:F123)</f>
        <v>10944</v>
      </c>
      <c r="H123" s="43">
        <v>124</v>
      </c>
      <c r="I123" s="43">
        <v>0</v>
      </c>
      <c r="J123" s="43">
        <f t="shared" ref="J123:J128" si="39">SUM(G123:I123)</f>
        <v>11068</v>
      </c>
    </row>
    <row r="124" spans="1:12" x14ac:dyDescent="0.2">
      <c r="B124" s="42" t="s">
        <v>137</v>
      </c>
      <c r="C124" s="43">
        <v>11173</v>
      </c>
      <c r="D124" s="43">
        <v>0</v>
      </c>
      <c r="E124" s="50">
        <v>202</v>
      </c>
      <c r="F124" s="50">
        <v>0</v>
      </c>
      <c r="G124" s="43">
        <f t="shared" si="38"/>
        <v>11375</v>
      </c>
      <c r="H124" s="43">
        <v>120</v>
      </c>
      <c r="I124" s="43">
        <v>0</v>
      </c>
      <c r="J124" s="43">
        <f t="shared" si="39"/>
        <v>11495</v>
      </c>
    </row>
    <row r="125" spans="1:12" x14ac:dyDescent="0.2">
      <c r="B125" s="42" t="s">
        <v>138</v>
      </c>
      <c r="C125" s="43">
        <v>11261</v>
      </c>
      <c r="D125" s="43">
        <v>0</v>
      </c>
      <c r="E125" s="50">
        <v>208</v>
      </c>
      <c r="F125" s="50">
        <v>0</v>
      </c>
      <c r="G125" s="43">
        <f t="shared" si="38"/>
        <v>11469</v>
      </c>
      <c r="H125" s="43">
        <v>110</v>
      </c>
      <c r="I125" s="43">
        <v>0</v>
      </c>
      <c r="J125" s="43">
        <f t="shared" si="39"/>
        <v>11579</v>
      </c>
    </row>
    <row r="126" spans="1:12" x14ac:dyDescent="0.2">
      <c r="B126" s="42" t="s">
        <v>139</v>
      </c>
      <c r="C126" s="43">
        <v>11787</v>
      </c>
      <c r="D126" s="43">
        <v>0</v>
      </c>
      <c r="E126" s="50">
        <v>261</v>
      </c>
      <c r="F126" s="50">
        <v>0</v>
      </c>
      <c r="G126" s="43">
        <f t="shared" si="38"/>
        <v>12048</v>
      </c>
      <c r="H126" s="43">
        <f>H112</f>
        <v>124</v>
      </c>
      <c r="I126" s="43">
        <v>0</v>
      </c>
      <c r="J126" s="43">
        <f t="shared" si="39"/>
        <v>12172</v>
      </c>
    </row>
    <row r="127" spans="1:12" x14ac:dyDescent="0.2">
      <c r="B127" s="42" t="s">
        <v>164</v>
      </c>
      <c r="C127" s="43">
        <v>12594</v>
      </c>
      <c r="D127" s="43">
        <v>0</v>
      </c>
      <c r="E127" s="50">
        <v>356</v>
      </c>
      <c r="F127" s="50">
        <v>0</v>
      </c>
      <c r="G127" s="43">
        <f t="shared" si="38"/>
        <v>12950</v>
      </c>
      <c r="H127" s="43">
        <f t="shared" ref="H127:H134" si="40">H113</f>
        <v>94</v>
      </c>
      <c r="I127" s="43">
        <v>0</v>
      </c>
      <c r="J127" s="43">
        <f t="shared" si="39"/>
        <v>13044</v>
      </c>
      <c r="K127" s="98">
        <f>C127-12595.36</f>
        <v>-1.3600000000005821</v>
      </c>
    </row>
    <row r="128" spans="1:12" x14ac:dyDescent="0.2">
      <c r="B128" s="42" t="s">
        <v>165</v>
      </c>
      <c r="C128" s="43">
        <v>12884</v>
      </c>
      <c r="D128" s="43">
        <v>0</v>
      </c>
      <c r="E128" s="50">
        <v>371</v>
      </c>
      <c r="F128" s="50">
        <v>0</v>
      </c>
      <c r="G128" s="43">
        <f t="shared" si="38"/>
        <v>13255</v>
      </c>
      <c r="H128" s="43">
        <f t="shared" si="40"/>
        <v>113</v>
      </c>
      <c r="I128" s="43">
        <v>0</v>
      </c>
      <c r="J128" s="43">
        <f t="shared" si="39"/>
        <v>13368</v>
      </c>
      <c r="K128" s="98">
        <f>C128-11275.75</f>
        <v>1608.25</v>
      </c>
      <c r="L128" s="114">
        <f>K128*4601</f>
        <v>7399558.25</v>
      </c>
    </row>
    <row r="129" spans="1:10" x14ac:dyDescent="0.2">
      <c r="B129" s="42" t="s">
        <v>249</v>
      </c>
      <c r="C129" s="43">
        <v>13560</v>
      </c>
      <c r="D129" s="43">
        <v>0</v>
      </c>
      <c r="E129" s="50">
        <v>470</v>
      </c>
      <c r="F129" s="50">
        <v>0</v>
      </c>
      <c r="G129" s="43">
        <f t="shared" ref="G129:G134" si="41">SUM(C129:F129)</f>
        <v>14030</v>
      </c>
      <c r="H129" s="43">
        <f t="shared" si="40"/>
        <v>98</v>
      </c>
      <c r="I129" s="43">
        <v>0</v>
      </c>
      <c r="J129" s="43">
        <f t="shared" ref="J129:J134" si="42">SUM(G129:I129)</f>
        <v>14128</v>
      </c>
    </row>
    <row r="130" spans="1:10" x14ac:dyDescent="0.2">
      <c r="B130" s="42" t="s">
        <v>250</v>
      </c>
      <c r="C130" s="43">
        <v>11873</v>
      </c>
      <c r="D130" s="43">
        <v>2622</v>
      </c>
      <c r="E130" s="50">
        <v>447</v>
      </c>
      <c r="F130" s="50">
        <v>71</v>
      </c>
      <c r="G130" s="43">
        <f t="shared" si="41"/>
        <v>15013</v>
      </c>
      <c r="H130" s="43">
        <f t="shared" si="40"/>
        <v>98</v>
      </c>
      <c r="I130" s="43">
        <v>0</v>
      </c>
      <c r="J130" s="43">
        <f t="shared" si="42"/>
        <v>15111</v>
      </c>
    </row>
    <row r="131" spans="1:10" x14ac:dyDescent="0.2">
      <c r="B131" s="42" t="s">
        <v>300</v>
      </c>
      <c r="C131" s="43">
        <v>11447</v>
      </c>
      <c r="D131" s="43">
        <v>3588</v>
      </c>
      <c r="E131" s="43">
        <v>388</v>
      </c>
      <c r="F131" s="43">
        <v>177</v>
      </c>
      <c r="G131" s="43">
        <f t="shared" si="41"/>
        <v>15600</v>
      </c>
      <c r="H131" s="43">
        <f t="shared" si="40"/>
        <v>98</v>
      </c>
      <c r="I131" s="43">
        <v>0</v>
      </c>
      <c r="J131" s="43">
        <f t="shared" si="42"/>
        <v>15698</v>
      </c>
    </row>
    <row r="132" spans="1:10" x14ac:dyDescent="0.2">
      <c r="B132" s="42" t="s">
        <v>301</v>
      </c>
      <c r="C132" s="43">
        <v>11371</v>
      </c>
      <c r="D132" s="43">
        <v>4549</v>
      </c>
      <c r="E132" s="43">
        <v>375</v>
      </c>
      <c r="F132" s="43">
        <v>238</v>
      </c>
      <c r="G132" s="43">
        <f t="shared" si="41"/>
        <v>16533</v>
      </c>
      <c r="H132" s="43">
        <f t="shared" si="40"/>
        <v>98</v>
      </c>
      <c r="I132" s="43">
        <v>0</v>
      </c>
      <c r="J132" s="43">
        <f t="shared" si="42"/>
        <v>16631</v>
      </c>
    </row>
    <row r="133" spans="1:10" x14ac:dyDescent="0.2">
      <c r="B133" s="42" t="s">
        <v>388</v>
      </c>
      <c r="C133" s="43">
        <v>10813</v>
      </c>
      <c r="D133" s="43">
        <v>6010</v>
      </c>
      <c r="E133" s="43">
        <v>373</v>
      </c>
      <c r="F133" s="43">
        <v>288</v>
      </c>
      <c r="G133" s="43">
        <f t="shared" si="41"/>
        <v>17484</v>
      </c>
      <c r="H133" s="43">
        <f t="shared" si="40"/>
        <v>98</v>
      </c>
      <c r="I133" s="43">
        <v>0</v>
      </c>
      <c r="J133" s="43">
        <f t="shared" si="42"/>
        <v>17582</v>
      </c>
    </row>
    <row r="134" spans="1:10" x14ac:dyDescent="0.2">
      <c r="B134" s="42" t="s">
        <v>389</v>
      </c>
      <c r="C134" s="43">
        <v>10543</v>
      </c>
      <c r="D134" s="43">
        <v>7202</v>
      </c>
      <c r="E134" s="43">
        <v>421</v>
      </c>
      <c r="F134" s="43">
        <v>287</v>
      </c>
      <c r="G134" s="43">
        <f t="shared" si="41"/>
        <v>18453</v>
      </c>
      <c r="H134" s="43">
        <f t="shared" si="40"/>
        <v>98</v>
      </c>
      <c r="I134" s="43">
        <v>0</v>
      </c>
      <c r="J134" s="43">
        <f t="shared" si="42"/>
        <v>18551</v>
      </c>
    </row>
    <row r="135" spans="1:10" x14ac:dyDescent="0.2">
      <c r="B135" s="42"/>
      <c r="C135" s="43"/>
      <c r="D135" s="43"/>
      <c r="E135" s="50"/>
      <c r="F135" s="50"/>
      <c r="G135" s="43"/>
      <c r="H135" s="43"/>
      <c r="I135" s="43"/>
      <c r="J135" s="43"/>
    </row>
    <row r="136" spans="1:10" x14ac:dyDescent="0.2">
      <c r="A136" s="239" t="s">
        <v>194</v>
      </c>
      <c r="B136" s="239"/>
      <c r="C136" s="242"/>
      <c r="D136" s="242"/>
      <c r="E136" s="242"/>
      <c r="F136" s="242"/>
      <c r="G136" s="242"/>
      <c r="H136" s="242"/>
      <c r="I136" s="242"/>
      <c r="J136" s="242"/>
    </row>
    <row r="137" spans="1:10" x14ac:dyDescent="0.2">
      <c r="B137" s="42" t="s">
        <v>135</v>
      </c>
      <c r="C137" s="43">
        <v>38288</v>
      </c>
      <c r="D137" s="43">
        <v>0</v>
      </c>
      <c r="E137" s="50">
        <v>1332</v>
      </c>
      <c r="F137" s="50">
        <v>0</v>
      </c>
      <c r="G137" s="43">
        <f>SUM(C137:F137)</f>
        <v>39620</v>
      </c>
      <c r="H137" s="43">
        <v>0</v>
      </c>
      <c r="I137" s="43">
        <v>0</v>
      </c>
      <c r="J137" s="43">
        <f>SUM(G137:I137)</f>
        <v>39620</v>
      </c>
    </row>
    <row r="138" spans="1:10" x14ac:dyDescent="0.2">
      <c r="B138" s="42" t="s">
        <v>136</v>
      </c>
      <c r="C138" s="43">
        <v>37116</v>
      </c>
      <c r="D138" s="43">
        <v>0</v>
      </c>
      <c r="E138" s="50">
        <v>1832</v>
      </c>
      <c r="F138" s="50">
        <v>0</v>
      </c>
      <c r="G138" s="43">
        <f t="shared" ref="G138:G143" si="43">SUM(C138:F138)</f>
        <v>38948</v>
      </c>
      <c r="H138" s="43">
        <v>0</v>
      </c>
      <c r="I138" s="43">
        <v>0</v>
      </c>
      <c r="J138" s="43">
        <f t="shared" ref="J138:J143" si="44">SUM(G138:I138)</f>
        <v>38948</v>
      </c>
    </row>
    <row r="139" spans="1:10" x14ac:dyDescent="0.2">
      <c r="B139" s="42" t="s">
        <v>137</v>
      </c>
      <c r="C139" s="43">
        <v>37511</v>
      </c>
      <c r="D139" s="43">
        <v>0</v>
      </c>
      <c r="E139" s="50">
        <v>2351</v>
      </c>
      <c r="F139" s="50">
        <v>0</v>
      </c>
      <c r="G139" s="43">
        <f t="shared" si="43"/>
        <v>39862</v>
      </c>
      <c r="H139" s="43">
        <v>0</v>
      </c>
      <c r="I139" s="43">
        <v>0</v>
      </c>
      <c r="J139" s="43">
        <f t="shared" si="44"/>
        <v>39862</v>
      </c>
    </row>
    <row r="140" spans="1:10" x14ac:dyDescent="0.2">
      <c r="B140" s="42" t="s">
        <v>138</v>
      </c>
      <c r="C140" s="43">
        <v>38560</v>
      </c>
      <c r="D140" s="43">
        <v>0</v>
      </c>
      <c r="E140" s="50">
        <v>3374</v>
      </c>
      <c r="F140" s="50">
        <v>0</v>
      </c>
      <c r="G140" s="43">
        <f t="shared" si="43"/>
        <v>41934</v>
      </c>
      <c r="H140" s="43">
        <v>0</v>
      </c>
      <c r="I140" s="43">
        <v>0</v>
      </c>
      <c r="J140" s="43">
        <f t="shared" si="44"/>
        <v>41934</v>
      </c>
    </row>
    <row r="141" spans="1:10" x14ac:dyDescent="0.2">
      <c r="B141" s="42" t="s">
        <v>139</v>
      </c>
      <c r="C141" s="43">
        <v>39016</v>
      </c>
      <c r="D141" s="43">
        <v>0</v>
      </c>
      <c r="E141" s="50">
        <v>3803</v>
      </c>
      <c r="F141" s="50">
        <v>0</v>
      </c>
      <c r="G141" s="43">
        <f t="shared" si="43"/>
        <v>42819</v>
      </c>
      <c r="H141" s="43">
        <v>0</v>
      </c>
      <c r="I141" s="43">
        <v>0</v>
      </c>
      <c r="J141" s="43">
        <f t="shared" si="44"/>
        <v>42819</v>
      </c>
    </row>
    <row r="142" spans="1:10" x14ac:dyDescent="0.2">
      <c r="B142" s="42" t="s">
        <v>164</v>
      </c>
      <c r="C142" s="43">
        <v>39113</v>
      </c>
      <c r="D142" s="43">
        <v>0</v>
      </c>
      <c r="E142" s="50">
        <v>4645</v>
      </c>
      <c r="F142" s="50">
        <v>0</v>
      </c>
      <c r="G142" s="43">
        <f t="shared" si="43"/>
        <v>43758</v>
      </c>
      <c r="H142" s="43">
        <v>0</v>
      </c>
      <c r="I142" s="43">
        <v>0</v>
      </c>
      <c r="J142" s="43">
        <f t="shared" si="44"/>
        <v>43758</v>
      </c>
    </row>
    <row r="143" spans="1:10" x14ac:dyDescent="0.2">
      <c r="B143" s="42" t="s">
        <v>165</v>
      </c>
      <c r="C143" s="43">
        <v>38470</v>
      </c>
      <c r="D143" s="43">
        <v>35</v>
      </c>
      <c r="E143" s="50">
        <v>5098</v>
      </c>
      <c r="F143" s="50">
        <v>0</v>
      </c>
      <c r="G143" s="43">
        <f t="shared" si="43"/>
        <v>43603</v>
      </c>
      <c r="H143" s="43">
        <v>0</v>
      </c>
      <c r="I143" s="43">
        <v>0</v>
      </c>
      <c r="J143" s="43">
        <f t="shared" si="44"/>
        <v>43603</v>
      </c>
    </row>
    <row r="144" spans="1:10" x14ac:dyDescent="0.2">
      <c r="B144" s="42" t="s">
        <v>249</v>
      </c>
      <c r="C144" s="43">
        <v>37825</v>
      </c>
      <c r="D144" s="43">
        <v>0</v>
      </c>
      <c r="E144" s="50">
        <v>5416</v>
      </c>
      <c r="F144" s="50">
        <v>0</v>
      </c>
      <c r="G144" s="43">
        <f t="shared" ref="G144:G149" si="45">SUM(C144:F144)</f>
        <v>43241</v>
      </c>
      <c r="H144" s="43">
        <v>0</v>
      </c>
      <c r="I144" s="43">
        <v>0</v>
      </c>
      <c r="J144" s="43">
        <f t="shared" ref="J144:J149" si="46">SUM(G144:I144)</f>
        <v>43241</v>
      </c>
    </row>
    <row r="145" spans="1:16" x14ac:dyDescent="0.2">
      <c r="B145" s="42" t="s">
        <v>250</v>
      </c>
      <c r="C145" s="43">
        <v>38346</v>
      </c>
      <c r="D145" s="43">
        <v>-834</v>
      </c>
      <c r="E145" s="50">
        <v>6422</v>
      </c>
      <c r="F145" s="50">
        <v>-576</v>
      </c>
      <c r="G145" s="43">
        <f t="shared" si="45"/>
        <v>43358</v>
      </c>
      <c r="H145" s="43">
        <v>0</v>
      </c>
      <c r="I145" s="43">
        <v>0</v>
      </c>
      <c r="J145" s="43">
        <f t="shared" si="46"/>
        <v>43358</v>
      </c>
    </row>
    <row r="146" spans="1:16" x14ac:dyDescent="0.2">
      <c r="B146" s="42" t="s">
        <v>300</v>
      </c>
      <c r="C146" s="43">
        <v>37833</v>
      </c>
      <c r="D146" s="43">
        <v>-728</v>
      </c>
      <c r="E146" s="43">
        <v>6521</v>
      </c>
      <c r="F146" s="43">
        <v>-4</v>
      </c>
      <c r="G146" s="43">
        <f t="shared" si="45"/>
        <v>43622</v>
      </c>
      <c r="H146" s="43">
        <v>0</v>
      </c>
      <c r="I146" s="43">
        <v>0</v>
      </c>
      <c r="J146" s="43">
        <f t="shared" si="46"/>
        <v>43622</v>
      </c>
    </row>
    <row r="147" spans="1:16" x14ac:dyDescent="0.2">
      <c r="B147" s="42" t="s">
        <v>301</v>
      </c>
      <c r="C147" s="43">
        <v>37977</v>
      </c>
      <c r="D147" s="43">
        <v>-1131</v>
      </c>
      <c r="E147" s="43">
        <v>6535</v>
      </c>
      <c r="F147" s="43">
        <v>654</v>
      </c>
      <c r="G147" s="43">
        <f t="shared" si="45"/>
        <v>44035</v>
      </c>
      <c r="H147" s="43">
        <v>0</v>
      </c>
      <c r="I147" s="43">
        <v>0</v>
      </c>
      <c r="J147" s="43">
        <f t="shared" si="46"/>
        <v>44035</v>
      </c>
    </row>
    <row r="148" spans="1:16" x14ac:dyDescent="0.2">
      <c r="B148" s="42" t="s">
        <v>388</v>
      </c>
      <c r="C148" s="43">
        <v>37977</v>
      </c>
      <c r="D148" s="43">
        <v>-1421</v>
      </c>
      <c r="E148" s="43">
        <v>6535</v>
      </c>
      <c r="F148" s="43">
        <v>1380</v>
      </c>
      <c r="G148" s="43">
        <f t="shared" si="45"/>
        <v>44471</v>
      </c>
      <c r="H148" s="43">
        <v>0</v>
      </c>
      <c r="I148" s="43">
        <v>0</v>
      </c>
      <c r="J148" s="43">
        <f t="shared" si="46"/>
        <v>44471</v>
      </c>
    </row>
    <row r="149" spans="1:16" x14ac:dyDescent="0.2">
      <c r="B149" s="42" t="s">
        <v>389</v>
      </c>
      <c r="C149" s="43">
        <v>37977</v>
      </c>
      <c r="D149" s="43">
        <v>-1788</v>
      </c>
      <c r="E149" s="43">
        <v>6535</v>
      </c>
      <c r="F149" s="43">
        <v>2163</v>
      </c>
      <c r="G149" s="43">
        <f t="shared" si="45"/>
        <v>44887</v>
      </c>
      <c r="H149" s="43">
        <v>0</v>
      </c>
      <c r="I149" s="43">
        <v>0</v>
      </c>
      <c r="J149" s="43">
        <f t="shared" si="46"/>
        <v>44887</v>
      </c>
    </row>
    <row r="150" spans="1:16" x14ac:dyDescent="0.2">
      <c r="A150" s="239" t="s">
        <v>195</v>
      </c>
      <c r="B150" s="239"/>
      <c r="C150" s="242"/>
      <c r="D150" s="242"/>
      <c r="E150" s="242"/>
      <c r="F150" s="242"/>
      <c r="G150" s="242"/>
      <c r="H150" s="242"/>
      <c r="I150" s="242"/>
      <c r="J150" s="242"/>
      <c r="K150" s="239" t="s">
        <v>306</v>
      </c>
      <c r="L150" s="239" t="s">
        <v>307</v>
      </c>
    </row>
    <row r="151" spans="1:16" x14ac:dyDescent="0.2">
      <c r="B151" s="42" t="s">
        <v>135</v>
      </c>
      <c r="C151" s="50">
        <v>39783</v>
      </c>
      <c r="D151" s="50">
        <v>0</v>
      </c>
      <c r="E151" s="50">
        <v>1449</v>
      </c>
      <c r="F151" s="50">
        <v>0</v>
      </c>
      <c r="G151" s="43">
        <f>SUM(C151:F151)</f>
        <v>41232</v>
      </c>
      <c r="H151" s="50">
        <v>0</v>
      </c>
      <c r="I151" s="50">
        <v>0</v>
      </c>
      <c r="J151" s="43">
        <f>SUM(G151:I151)</f>
        <v>41232</v>
      </c>
    </row>
    <row r="152" spans="1:16" x14ac:dyDescent="0.2">
      <c r="B152" s="42" t="s">
        <v>136</v>
      </c>
      <c r="C152" s="43">
        <v>39187</v>
      </c>
      <c r="D152" s="43">
        <v>0</v>
      </c>
      <c r="E152" s="50">
        <v>1982</v>
      </c>
      <c r="F152" s="50">
        <v>0</v>
      </c>
      <c r="G152" s="43">
        <f t="shared" ref="G152:G157" si="47">SUM(C152:F152)</f>
        <v>41169</v>
      </c>
      <c r="H152" s="43">
        <v>0</v>
      </c>
      <c r="I152" s="43">
        <v>0</v>
      </c>
      <c r="J152" s="43">
        <f t="shared" ref="J152:J157" si="48">SUM(G152:I152)</f>
        <v>41169</v>
      </c>
    </row>
    <row r="153" spans="1:16" x14ac:dyDescent="0.2">
      <c r="B153" s="42" t="s">
        <v>137</v>
      </c>
      <c r="C153" s="43">
        <v>39462.22</v>
      </c>
      <c r="D153" s="43">
        <v>0</v>
      </c>
      <c r="E153" s="50">
        <v>2649</v>
      </c>
      <c r="F153" s="50">
        <v>0</v>
      </c>
      <c r="G153" s="43">
        <f t="shared" si="47"/>
        <v>42111.22</v>
      </c>
      <c r="H153" s="43">
        <v>0</v>
      </c>
      <c r="I153" s="43">
        <v>0</v>
      </c>
      <c r="J153" s="43">
        <f t="shared" si="48"/>
        <v>42111.22</v>
      </c>
    </row>
    <row r="154" spans="1:16" x14ac:dyDescent="0.2">
      <c r="B154" s="42" t="s">
        <v>138</v>
      </c>
      <c r="C154" s="43">
        <v>40511.040000000001</v>
      </c>
      <c r="D154" s="43">
        <v>0</v>
      </c>
      <c r="E154" s="50">
        <v>3650</v>
      </c>
      <c r="F154" s="50">
        <v>0</v>
      </c>
      <c r="G154" s="43">
        <f t="shared" si="47"/>
        <v>44161.04</v>
      </c>
      <c r="H154" s="43">
        <v>0</v>
      </c>
      <c r="I154" s="43">
        <v>0</v>
      </c>
      <c r="J154" s="43">
        <f t="shared" si="48"/>
        <v>44161.04</v>
      </c>
    </row>
    <row r="155" spans="1:16" x14ac:dyDescent="0.2">
      <c r="B155" s="42" t="s">
        <v>139</v>
      </c>
      <c r="C155" s="43">
        <v>40744</v>
      </c>
      <c r="D155" s="43">
        <v>0</v>
      </c>
      <c r="E155" s="50">
        <v>4219</v>
      </c>
      <c r="F155" s="50">
        <v>0</v>
      </c>
      <c r="G155" s="43">
        <f t="shared" si="47"/>
        <v>44963</v>
      </c>
      <c r="H155" s="43">
        <v>0</v>
      </c>
      <c r="I155" s="43">
        <v>0</v>
      </c>
      <c r="J155" s="43">
        <f t="shared" si="48"/>
        <v>44963</v>
      </c>
    </row>
    <row r="156" spans="1:16" x14ac:dyDescent="0.2">
      <c r="B156" s="42" t="s">
        <v>164</v>
      </c>
      <c r="C156" s="43">
        <v>41057</v>
      </c>
      <c r="D156" s="43">
        <v>0</v>
      </c>
      <c r="E156" s="50">
        <v>5109</v>
      </c>
      <c r="F156" s="50">
        <v>0</v>
      </c>
      <c r="G156" s="43">
        <f t="shared" si="47"/>
        <v>46166</v>
      </c>
      <c r="H156" s="43">
        <v>0</v>
      </c>
      <c r="I156" s="43">
        <v>0</v>
      </c>
      <c r="J156" s="43">
        <f t="shared" si="48"/>
        <v>46166</v>
      </c>
      <c r="P156" s="98">
        <f>E156-E142</f>
        <v>464</v>
      </c>
    </row>
    <row r="157" spans="1:16" x14ac:dyDescent="0.2">
      <c r="B157" s="42" t="s">
        <v>165</v>
      </c>
      <c r="C157" s="43">
        <v>40858</v>
      </c>
      <c r="D157" s="43">
        <v>0</v>
      </c>
      <c r="E157" s="50">
        <v>5489</v>
      </c>
      <c r="F157" s="50">
        <v>0</v>
      </c>
      <c r="G157" s="43">
        <f t="shared" si="47"/>
        <v>46347</v>
      </c>
      <c r="H157" s="43">
        <v>0</v>
      </c>
      <c r="I157" s="43">
        <v>0</v>
      </c>
      <c r="J157" s="43">
        <f t="shared" si="48"/>
        <v>46347</v>
      </c>
      <c r="K157" s="131">
        <f t="shared" ref="K157:K163" si="49">ROUND(C157/C143,4)</f>
        <v>1.0621</v>
      </c>
      <c r="L157" s="131">
        <f t="shared" ref="L157:L163" si="50">ROUND(G157/G143,4)</f>
        <v>1.0629</v>
      </c>
      <c r="M157" s="43">
        <f t="shared" ref="M157:M163" si="51">C157-C143</f>
        <v>2388</v>
      </c>
      <c r="N157" s="43">
        <v>-124</v>
      </c>
      <c r="P157" s="98">
        <f>E157-E143</f>
        <v>391</v>
      </c>
    </row>
    <row r="158" spans="1:16" x14ac:dyDescent="0.2">
      <c r="B158" s="42" t="s">
        <v>249</v>
      </c>
      <c r="C158" s="43">
        <v>39604</v>
      </c>
      <c r="D158" s="43">
        <v>0</v>
      </c>
      <c r="E158" s="50">
        <v>5816</v>
      </c>
      <c r="F158" s="50">
        <v>0</v>
      </c>
      <c r="G158" s="43">
        <f t="shared" ref="G158:G163" si="52">SUM(C158:F158)</f>
        <v>45420</v>
      </c>
      <c r="H158" s="43">
        <v>0</v>
      </c>
      <c r="I158" s="43">
        <v>0</v>
      </c>
      <c r="J158" s="43">
        <f t="shared" ref="J158:J163" si="53">SUM(G158:I158)</f>
        <v>45420</v>
      </c>
      <c r="K158" s="131">
        <f t="shared" si="49"/>
        <v>1.0469999999999999</v>
      </c>
      <c r="L158" s="131">
        <f t="shared" si="50"/>
        <v>1.0504</v>
      </c>
      <c r="M158" s="43">
        <f t="shared" si="51"/>
        <v>1779</v>
      </c>
      <c r="N158" s="43">
        <v>67</v>
      </c>
    </row>
    <row r="159" spans="1:16" x14ac:dyDescent="0.2">
      <c r="B159" s="42" t="s">
        <v>250</v>
      </c>
      <c r="C159" s="43">
        <v>39896</v>
      </c>
      <c r="D159" s="43">
        <v>-643</v>
      </c>
      <c r="E159" s="50">
        <v>6819</v>
      </c>
      <c r="F159" s="50">
        <v>-443</v>
      </c>
      <c r="G159" s="43">
        <f t="shared" si="52"/>
        <v>45629</v>
      </c>
      <c r="H159" s="43">
        <v>0</v>
      </c>
      <c r="I159" s="43">
        <v>0</v>
      </c>
      <c r="J159" s="43">
        <f t="shared" si="53"/>
        <v>45629</v>
      </c>
      <c r="K159" s="131">
        <f t="shared" si="49"/>
        <v>1.0404</v>
      </c>
      <c r="L159" s="131">
        <f t="shared" si="50"/>
        <v>1.0524</v>
      </c>
      <c r="M159" s="43">
        <f t="shared" si="51"/>
        <v>1550</v>
      </c>
      <c r="N159" s="43">
        <v>682</v>
      </c>
    </row>
    <row r="160" spans="1:16" x14ac:dyDescent="0.2">
      <c r="B160" s="42" t="s">
        <v>300</v>
      </c>
      <c r="C160" s="43">
        <v>39160</v>
      </c>
      <c r="D160" s="43">
        <v>-728</v>
      </c>
      <c r="E160" s="43">
        <v>6898</v>
      </c>
      <c r="F160" s="43">
        <v>-4</v>
      </c>
      <c r="G160" s="43">
        <f t="shared" si="52"/>
        <v>45326</v>
      </c>
      <c r="H160" s="43">
        <v>0</v>
      </c>
      <c r="I160" s="43">
        <v>0</v>
      </c>
      <c r="J160" s="43">
        <f t="shared" si="53"/>
        <v>45326</v>
      </c>
      <c r="K160" s="131">
        <f t="shared" si="49"/>
        <v>1.0350999999999999</v>
      </c>
      <c r="L160" s="131">
        <f t="shared" si="50"/>
        <v>1.0390999999999999</v>
      </c>
      <c r="M160" s="43">
        <f t="shared" si="51"/>
        <v>1327</v>
      </c>
      <c r="N160" s="43">
        <v>874</v>
      </c>
      <c r="O160" s="98">
        <f>M159-M160</f>
        <v>223</v>
      </c>
    </row>
    <row r="161" spans="1:15" x14ac:dyDescent="0.2">
      <c r="B161" s="42" t="s">
        <v>301</v>
      </c>
      <c r="C161" s="43">
        <v>39159</v>
      </c>
      <c r="D161" s="43">
        <v>-1039</v>
      </c>
      <c r="E161" s="43">
        <v>6858</v>
      </c>
      <c r="F161" s="43">
        <v>654</v>
      </c>
      <c r="G161" s="43">
        <f t="shared" si="52"/>
        <v>45632</v>
      </c>
      <c r="H161" s="43">
        <v>0</v>
      </c>
      <c r="I161" s="43">
        <v>0</v>
      </c>
      <c r="J161" s="43">
        <f t="shared" si="53"/>
        <v>45632</v>
      </c>
      <c r="K161" s="131">
        <f t="shared" si="49"/>
        <v>1.0310999999999999</v>
      </c>
      <c r="L161" s="131">
        <f t="shared" si="50"/>
        <v>1.0363</v>
      </c>
      <c r="M161" s="43">
        <f t="shared" si="51"/>
        <v>1182</v>
      </c>
      <c r="N161" s="43">
        <v>1192</v>
      </c>
      <c r="O161" s="98">
        <f>O160</f>
        <v>223</v>
      </c>
    </row>
    <row r="162" spans="1:15" x14ac:dyDescent="0.2">
      <c r="B162" s="42" t="s">
        <v>388</v>
      </c>
      <c r="C162" s="43">
        <v>39156</v>
      </c>
      <c r="D162" s="43">
        <v>-1355</v>
      </c>
      <c r="E162" s="43">
        <v>6857</v>
      </c>
      <c r="F162" s="43">
        <v>1380</v>
      </c>
      <c r="G162" s="43">
        <f t="shared" si="52"/>
        <v>46038</v>
      </c>
      <c r="H162" s="43">
        <v>0</v>
      </c>
      <c r="I162" s="43">
        <v>0</v>
      </c>
      <c r="J162" s="43">
        <f t="shared" si="53"/>
        <v>46038</v>
      </c>
      <c r="K162" s="131">
        <f t="shared" si="49"/>
        <v>1.0309999999999999</v>
      </c>
      <c r="L162" s="131">
        <f t="shared" si="50"/>
        <v>1.0351999999999999</v>
      </c>
      <c r="M162" s="43">
        <f t="shared" si="51"/>
        <v>1179</v>
      </c>
      <c r="N162" s="43">
        <v>1192</v>
      </c>
      <c r="O162" s="98">
        <f>O161</f>
        <v>223</v>
      </c>
    </row>
    <row r="163" spans="1:15" x14ac:dyDescent="0.2">
      <c r="B163" s="42" t="s">
        <v>389</v>
      </c>
      <c r="C163" s="43">
        <v>39156</v>
      </c>
      <c r="D163" s="43">
        <v>-1704</v>
      </c>
      <c r="E163" s="43">
        <v>5857</v>
      </c>
      <c r="F163" s="43">
        <v>2163</v>
      </c>
      <c r="G163" s="43">
        <f t="shared" si="52"/>
        <v>45472</v>
      </c>
      <c r="H163" s="43">
        <v>0</v>
      </c>
      <c r="I163" s="43">
        <v>0</v>
      </c>
      <c r="J163" s="43">
        <f t="shared" si="53"/>
        <v>45472</v>
      </c>
      <c r="K163" s="131">
        <f t="shared" si="49"/>
        <v>1.0309999999999999</v>
      </c>
      <c r="L163" s="131">
        <f t="shared" si="50"/>
        <v>1.0129999999999999</v>
      </c>
      <c r="M163" s="43">
        <f t="shared" si="51"/>
        <v>1179</v>
      </c>
      <c r="N163" s="43">
        <v>1192</v>
      </c>
      <c r="O163" s="98">
        <f>O162</f>
        <v>223</v>
      </c>
    </row>
    <row r="164" spans="1:15" x14ac:dyDescent="0.2">
      <c r="B164" s="42"/>
      <c r="C164" s="43"/>
      <c r="D164" s="43"/>
      <c r="E164" s="50"/>
      <c r="F164" s="50"/>
      <c r="G164" s="43"/>
      <c r="H164" s="43"/>
      <c r="I164" s="43"/>
      <c r="J164" s="43"/>
    </row>
    <row r="165" spans="1:15" x14ac:dyDescent="0.2">
      <c r="C165" s="131"/>
      <c r="E165" s="131"/>
      <c r="F165" s="50"/>
      <c r="G165" s="43"/>
    </row>
    <row r="166" spans="1:15" x14ac:dyDescent="0.2">
      <c r="A166" s="49" t="s">
        <v>390</v>
      </c>
    </row>
    <row r="167" spans="1:15" x14ac:dyDescent="0.2">
      <c r="A167" s="49"/>
    </row>
    <row r="168" spans="1:15" x14ac:dyDescent="0.2">
      <c r="A168" s="182" t="s">
        <v>186</v>
      </c>
      <c r="B168" s="183"/>
      <c r="C168" s="184"/>
      <c r="D168" s="184"/>
      <c r="E168" s="184"/>
      <c r="F168" s="184"/>
      <c r="G168" s="184"/>
      <c r="H168" s="183"/>
      <c r="I168" s="183"/>
      <c r="J168" s="183"/>
    </row>
    <row r="169" spans="1:15" x14ac:dyDescent="0.2">
      <c r="B169" s="42" t="s">
        <v>135</v>
      </c>
      <c r="C169" s="43">
        <v>817235</v>
      </c>
      <c r="D169" s="43">
        <v>0</v>
      </c>
      <c r="E169" s="50">
        <v>11991</v>
      </c>
      <c r="F169" s="50">
        <v>0</v>
      </c>
      <c r="G169" s="43">
        <f t="shared" ref="G169:G181" si="54">SUM(C169:F169)</f>
        <v>829226</v>
      </c>
      <c r="H169" s="43">
        <v>2331</v>
      </c>
      <c r="I169" s="43">
        <v>3669</v>
      </c>
      <c r="J169" s="43">
        <f>SUM(G169:I169)</f>
        <v>835226</v>
      </c>
    </row>
    <row r="170" spans="1:15" x14ac:dyDescent="0.2">
      <c r="B170" s="42" t="s">
        <v>136</v>
      </c>
      <c r="C170" s="43">
        <v>810532</v>
      </c>
      <c r="D170" s="43">
        <v>0</v>
      </c>
      <c r="E170" s="50">
        <v>13948</v>
      </c>
      <c r="F170" s="50">
        <v>0</v>
      </c>
      <c r="G170" s="43">
        <f t="shared" si="54"/>
        <v>824480</v>
      </c>
      <c r="H170" s="43">
        <v>2013</v>
      </c>
      <c r="I170" s="43">
        <v>3331</v>
      </c>
      <c r="J170" s="43">
        <f t="shared" ref="J170:J181" si="55">SUM(G170:I170)</f>
        <v>829824</v>
      </c>
    </row>
    <row r="171" spans="1:15" x14ac:dyDescent="0.2">
      <c r="B171" s="42" t="s">
        <v>137</v>
      </c>
      <c r="C171" s="43">
        <v>803304</v>
      </c>
      <c r="D171" s="43">
        <v>0</v>
      </c>
      <c r="E171" s="50">
        <v>17121</v>
      </c>
      <c r="F171" s="50">
        <v>0</v>
      </c>
      <c r="G171" s="43">
        <f t="shared" si="54"/>
        <v>820425</v>
      </c>
      <c r="H171" s="43">
        <v>1975</v>
      </c>
      <c r="I171" s="43">
        <v>3443</v>
      </c>
      <c r="J171" s="43">
        <f t="shared" si="55"/>
        <v>825843</v>
      </c>
    </row>
    <row r="172" spans="1:15" x14ac:dyDescent="0.2">
      <c r="B172" s="42" t="s">
        <v>138</v>
      </c>
      <c r="C172" s="43">
        <v>801109</v>
      </c>
      <c r="D172" s="43">
        <v>0</v>
      </c>
      <c r="E172" s="50">
        <v>20307</v>
      </c>
      <c r="F172" s="50">
        <v>0</v>
      </c>
      <c r="G172" s="43">
        <f t="shared" si="54"/>
        <v>821416</v>
      </c>
      <c r="H172" s="43">
        <v>1898</v>
      </c>
      <c r="I172" s="43">
        <v>3229</v>
      </c>
      <c r="J172" s="43">
        <f t="shared" si="55"/>
        <v>826543</v>
      </c>
    </row>
    <row r="173" spans="1:15" x14ac:dyDescent="0.2">
      <c r="B173" s="42" t="s">
        <v>139</v>
      </c>
      <c r="C173" s="43">
        <v>798335</v>
      </c>
      <c r="D173" s="43">
        <v>405</v>
      </c>
      <c r="E173" s="50">
        <v>23588</v>
      </c>
      <c r="F173" s="50">
        <v>0</v>
      </c>
      <c r="G173" s="43">
        <f t="shared" si="54"/>
        <v>822328</v>
      </c>
      <c r="H173" s="43">
        <v>1701</v>
      </c>
      <c r="I173" s="43">
        <v>3168</v>
      </c>
      <c r="J173" s="43">
        <f t="shared" si="55"/>
        <v>827197</v>
      </c>
    </row>
    <row r="174" spans="1:15" x14ac:dyDescent="0.2">
      <c r="B174" s="42" t="s">
        <v>164</v>
      </c>
      <c r="C174" s="43">
        <v>791357</v>
      </c>
      <c r="D174" s="43">
        <v>326</v>
      </c>
      <c r="E174" s="50">
        <v>27753</v>
      </c>
      <c r="F174" s="50">
        <v>0</v>
      </c>
      <c r="G174" s="43">
        <f t="shared" si="54"/>
        <v>819436</v>
      </c>
      <c r="H174" s="43">
        <v>1389</v>
      </c>
      <c r="I174" s="43">
        <v>2930</v>
      </c>
      <c r="J174" s="43">
        <f t="shared" si="55"/>
        <v>823755</v>
      </c>
    </row>
    <row r="175" spans="1:15" x14ac:dyDescent="0.2">
      <c r="B175" s="42" t="s">
        <v>165</v>
      </c>
      <c r="C175" s="43">
        <v>784790</v>
      </c>
      <c r="D175" s="43">
        <v>416</v>
      </c>
      <c r="E175" s="50">
        <v>31687</v>
      </c>
      <c r="F175" s="50">
        <v>0</v>
      </c>
      <c r="G175" s="43">
        <f t="shared" si="54"/>
        <v>816893</v>
      </c>
      <c r="H175" s="43">
        <v>1266</v>
      </c>
      <c r="I175" s="43">
        <v>2862</v>
      </c>
      <c r="J175" s="43">
        <f t="shared" si="55"/>
        <v>821021</v>
      </c>
    </row>
    <row r="176" spans="1:15" x14ac:dyDescent="0.2">
      <c r="B176" s="42" t="s">
        <v>249</v>
      </c>
      <c r="C176" s="43">
        <v>783075</v>
      </c>
      <c r="D176" s="43">
        <v>647</v>
      </c>
      <c r="E176" s="50">
        <v>34405</v>
      </c>
      <c r="F176" s="50">
        <v>0</v>
      </c>
      <c r="G176" s="43">
        <f t="shared" si="54"/>
        <v>818127</v>
      </c>
      <c r="H176" s="43">
        <v>1244</v>
      </c>
      <c r="I176" s="43">
        <v>2858</v>
      </c>
      <c r="J176" s="43">
        <f t="shared" si="55"/>
        <v>822229</v>
      </c>
      <c r="K176" s="98">
        <f>G178-G177</f>
        <v>5138</v>
      </c>
    </row>
    <row r="177" spans="1:11" x14ac:dyDescent="0.2">
      <c r="B177" s="42" t="s">
        <v>250</v>
      </c>
      <c r="C177" s="43">
        <v>779722</v>
      </c>
      <c r="D177" s="43">
        <v>3324</v>
      </c>
      <c r="E177" s="50">
        <v>37720</v>
      </c>
      <c r="F177" s="50">
        <v>0</v>
      </c>
      <c r="G177" s="43">
        <f t="shared" si="54"/>
        <v>820766</v>
      </c>
      <c r="H177" s="43">
        <f t="shared" ref="H177:I181" si="56">H176</f>
        <v>1244</v>
      </c>
      <c r="I177" s="43">
        <f t="shared" si="56"/>
        <v>2858</v>
      </c>
      <c r="J177" s="43">
        <f t="shared" si="55"/>
        <v>824868</v>
      </c>
      <c r="K177" s="98">
        <f>G179-G178</f>
        <v>7918</v>
      </c>
    </row>
    <row r="178" spans="1:11" x14ac:dyDescent="0.2">
      <c r="B178" s="42" t="s">
        <v>300</v>
      </c>
      <c r="C178" s="43">
        <v>775661</v>
      </c>
      <c r="D178" s="43">
        <v>8211</v>
      </c>
      <c r="E178" s="43">
        <v>39680</v>
      </c>
      <c r="F178" s="43">
        <v>2352</v>
      </c>
      <c r="G178" s="43">
        <f t="shared" si="54"/>
        <v>825904</v>
      </c>
      <c r="H178" s="43">
        <f t="shared" si="56"/>
        <v>1244</v>
      </c>
      <c r="I178" s="43">
        <f t="shared" si="56"/>
        <v>2858</v>
      </c>
      <c r="J178" s="43">
        <f t="shared" si="55"/>
        <v>830006</v>
      </c>
    </row>
    <row r="179" spans="1:11" x14ac:dyDescent="0.2">
      <c r="B179" s="42" t="s">
        <v>301</v>
      </c>
      <c r="C179" s="43">
        <v>770756</v>
      </c>
      <c r="D179" s="43">
        <v>16710</v>
      </c>
      <c r="E179" s="43">
        <v>39908</v>
      </c>
      <c r="F179" s="43">
        <v>6448</v>
      </c>
      <c r="G179" s="43">
        <f t="shared" si="54"/>
        <v>833822</v>
      </c>
      <c r="H179" s="43">
        <f t="shared" si="56"/>
        <v>1244</v>
      </c>
      <c r="I179" s="43">
        <f t="shared" si="56"/>
        <v>2858</v>
      </c>
      <c r="J179" s="43">
        <f t="shared" si="55"/>
        <v>837924</v>
      </c>
      <c r="K179" s="43">
        <f>SUM(J169:J179)</f>
        <v>9104436</v>
      </c>
    </row>
    <row r="180" spans="1:11" x14ac:dyDescent="0.2">
      <c r="B180" s="42" t="s">
        <v>388</v>
      </c>
      <c r="C180" s="43">
        <v>767588</v>
      </c>
      <c r="D180" s="43">
        <v>23509</v>
      </c>
      <c r="E180" s="43">
        <v>39908</v>
      </c>
      <c r="F180" s="43">
        <v>11115</v>
      </c>
      <c r="G180" s="43">
        <f t="shared" si="54"/>
        <v>842120</v>
      </c>
      <c r="H180" s="43">
        <f t="shared" si="56"/>
        <v>1244</v>
      </c>
      <c r="I180" s="43">
        <f t="shared" si="56"/>
        <v>2858</v>
      </c>
      <c r="J180" s="43">
        <f t="shared" si="55"/>
        <v>846222</v>
      </c>
      <c r="K180" s="43"/>
    </row>
    <row r="181" spans="1:11" x14ac:dyDescent="0.2">
      <c r="B181" s="42" t="s">
        <v>389</v>
      </c>
      <c r="C181" s="43">
        <v>765268</v>
      </c>
      <c r="D181" s="43">
        <v>30255</v>
      </c>
      <c r="E181" s="43">
        <v>39908</v>
      </c>
      <c r="F181" s="43">
        <v>16151</v>
      </c>
      <c r="G181" s="43">
        <f t="shared" si="54"/>
        <v>851582</v>
      </c>
      <c r="H181" s="43">
        <f t="shared" si="56"/>
        <v>1244</v>
      </c>
      <c r="I181" s="43">
        <f t="shared" si="56"/>
        <v>2858</v>
      </c>
      <c r="J181" s="43">
        <f t="shared" si="55"/>
        <v>855684</v>
      </c>
      <c r="K181" s="43"/>
    </row>
    <row r="182" spans="1:11" x14ac:dyDescent="0.2">
      <c r="A182" s="182" t="s">
        <v>189</v>
      </c>
      <c r="B182" s="182"/>
      <c r="C182" s="185"/>
      <c r="D182" s="185"/>
      <c r="E182" s="185"/>
      <c r="F182" s="185"/>
      <c r="G182" s="185"/>
      <c r="H182" s="185"/>
      <c r="I182" s="185"/>
      <c r="J182" s="185"/>
    </row>
    <row r="183" spans="1:11" x14ac:dyDescent="0.2">
      <c r="B183" s="42" t="s">
        <v>135</v>
      </c>
      <c r="C183" s="43">
        <v>945648</v>
      </c>
      <c r="D183" s="43">
        <v>0</v>
      </c>
      <c r="E183" s="50">
        <v>13552</v>
      </c>
      <c r="F183" s="50">
        <v>0</v>
      </c>
      <c r="G183" s="43">
        <f>SUM(C183:F183)</f>
        <v>959200</v>
      </c>
      <c r="H183" s="43">
        <v>2956</v>
      </c>
      <c r="I183" s="43">
        <v>4770</v>
      </c>
      <c r="J183" s="43">
        <f>SUM(G183:I183)</f>
        <v>966926</v>
      </c>
    </row>
    <row r="184" spans="1:11" x14ac:dyDescent="0.2">
      <c r="B184" s="42" t="s">
        <v>136</v>
      </c>
      <c r="C184" s="43">
        <v>937828</v>
      </c>
      <c r="D184" s="43">
        <v>0</v>
      </c>
      <c r="E184" s="50">
        <v>15841</v>
      </c>
      <c r="F184" s="50">
        <v>0</v>
      </c>
      <c r="G184" s="43">
        <f t="shared" ref="G184:G195" si="57">SUM(C184:F184)</f>
        <v>953669</v>
      </c>
      <c r="H184" s="43">
        <v>2550</v>
      </c>
      <c r="I184" s="43">
        <v>4330</v>
      </c>
      <c r="J184" s="43">
        <f t="shared" ref="J184:J195" si="58">SUM(G184:I184)</f>
        <v>960549</v>
      </c>
    </row>
    <row r="185" spans="1:11" x14ac:dyDescent="0.2">
      <c r="B185" s="42" t="s">
        <v>137</v>
      </c>
      <c r="C185" s="43">
        <v>930314</v>
      </c>
      <c r="D185" s="43">
        <v>0</v>
      </c>
      <c r="E185" s="50">
        <v>19451</v>
      </c>
      <c r="F185" s="50">
        <v>0</v>
      </c>
      <c r="G185" s="43">
        <f t="shared" si="57"/>
        <v>949765</v>
      </c>
      <c r="H185" s="43">
        <v>2499</v>
      </c>
      <c r="I185" s="43">
        <v>4477</v>
      </c>
      <c r="J185" s="43">
        <f t="shared" si="58"/>
        <v>956741</v>
      </c>
      <c r="K185" s="42"/>
    </row>
    <row r="186" spans="1:11" x14ac:dyDescent="0.2">
      <c r="B186" s="42" t="s">
        <v>138</v>
      </c>
      <c r="C186" s="43">
        <v>927594</v>
      </c>
      <c r="D186" s="43">
        <v>0</v>
      </c>
      <c r="E186" s="50">
        <v>22936</v>
      </c>
      <c r="F186" s="50">
        <v>0</v>
      </c>
      <c r="G186" s="43">
        <f t="shared" si="57"/>
        <v>950530</v>
      </c>
      <c r="H186" s="43">
        <v>2397</v>
      </c>
      <c r="I186" s="43">
        <v>4198</v>
      </c>
      <c r="J186" s="43">
        <f t="shared" si="58"/>
        <v>957125</v>
      </c>
      <c r="K186" s="99"/>
    </row>
    <row r="187" spans="1:11" x14ac:dyDescent="0.2">
      <c r="B187" s="42" t="s">
        <v>139</v>
      </c>
      <c r="C187" s="43">
        <v>924184</v>
      </c>
      <c r="D187" s="43">
        <v>0</v>
      </c>
      <c r="E187" s="50">
        <v>26680</v>
      </c>
      <c r="F187" s="50">
        <v>0</v>
      </c>
      <c r="G187" s="43">
        <f t="shared" si="57"/>
        <v>950864</v>
      </c>
      <c r="H187" s="43">
        <v>2166</v>
      </c>
      <c r="I187" s="43">
        <v>4119</v>
      </c>
      <c r="J187" s="43">
        <f t="shared" si="58"/>
        <v>957149</v>
      </c>
      <c r="K187" s="99"/>
    </row>
    <row r="188" spans="1:11" x14ac:dyDescent="0.2">
      <c r="B188" s="42" t="s">
        <v>164</v>
      </c>
      <c r="C188" s="43">
        <v>918166</v>
      </c>
      <c r="D188" s="43">
        <v>388</v>
      </c>
      <c r="E188" s="50">
        <v>31619</v>
      </c>
      <c r="F188" s="50">
        <v>0</v>
      </c>
      <c r="G188" s="43">
        <f t="shared" si="57"/>
        <v>950173</v>
      </c>
      <c r="H188" s="43">
        <v>1787</v>
      </c>
      <c r="I188" s="43">
        <v>3808</v>
      </c>
      <c r="J188" s="43">
        <f t="shared" si="58"/>
        <v>955768</v>
      </c>
      <c r="K188" s="99"/>
    </row>
    <row r="189" spans="1:11" x14ac:dyDescent="0.2">
      <c r="B189" s="42" t="s">
        <v>165</v>
      </c>
      <c r="C189" s="43">
        <v>908899</v>
      </c>
      <c r="D189" s="43">
        <v>503</v>
      </c>
      <c r="E189" s="50">
        <v>36020</v>
      </c>
      <c r="F189" s="50">
        <v>0</v>
      </c>
      <c r="G189" s="43">
        <f t="shared" si="57"/>
        <v>945422</v>
      </c>
      <c r="H189" s="43">
        <v>1619</v>
      </c>
      <c r="I189" s="43">
        <v>3721</v>
      </c>
      <c r="J189" s="43">
        <f t="shared" si="58"/>
        <v>950762</v>
      </c>
      <c r="K189" s="99"/>
    </row>
    <row r="190" spans="1:11" x14ac:dyDescent="0.2">
      <c r="B190" s="42" t="s">
        <v>249</v>
      </c>
      <c r="C190" s="43">
        <v>905816</v>
      </c>
      <c r="D190" s="43">
        <v>761</v>
      </c>
      <c r="E190" s="50">
        <v>39029</v>
      </c>
      <c r="F190" s="50">
        <v>0</v>
      </c>
      <c r="G190" s="43">
        <f t="shared" si="57"/>
        <v>945606</v>
      </c>
      <c r="H190" s="43">
        <v>1587</v>
      </c>
      <c r="I190" s="43">
        <v>3715</v>
      </c>
      <c r="J190" s="43">
        <f t="shared" si="58"/>
        <v>950908</v>
      </c>
      <c r="K190" s="99"/>
    </row>
    <row r="191" spans="1:11" x14ac:dyDescent="0.2">
      <c r="B191" s="42" t="s">
        <v>250</v>
      </c>
      <c r="C191" s="43">
        <v>900728</v>
      </c>
      <c r="D191" s="43">
        <v>3739</v>
      </c>
      <c r="E191" s="50">
        <v>42814</v>
      </c>
      <c r="F191" s="50">
        <v>0</v>
      </c>
      <c r="G191" s="43">
        <f t="shared" si="57"/>
        <v>947281</v>
      </c>
      <c r="H191" s="43">
        <f t="shared" ref="H191:I195" si="59">H190</f>
        <v>1587</v>
      </c>
      <c r="I191" s="43">
        <f t="shared" si="59"/>
        <v>3715</v>
      </c>
      <c r="J191" s="43">
        <f t="shared" si="58"/>
        <v>952583</v>
      </c>
      <c r="K191" s="99"/>
    </row>
    <row r="192" spans="1:11" x14ac:dyDescent="0.2">
      <c r="B192" s="42" t="s">
        <v>300</v>
      </c>
      <c r="C192" s="43">
        <v>895300</v>
      </c>
      <c r="D192" s="43">
        <v>8598</v>
      </c>
      <c r="E192" s="43">
        <v>45204</v>
      </c>
      <c r="F192" s="43">
        <v>2504</v>
      </c>
      <c r="G192" s="43">
        <f t="shared" si="57"/>
        <v>951606</v>
      </c>
      <c r="H192" s="43">
        <f t="shared" si="59"/>
        <v>1587</v>
      </c>
      <c r="I192" s="43">
        <f t="shared" si="59"/>
        <v>3715</v>
      </c>
      <c r="J192" s="43">
        <f t="shared" si="58"/>
        <v>956908</v>
      </c>
      <c r="K192" s="99"/>
    </row>
    <row r="193" spans="1:12" x14ac:dyDescent="0.2">
      <c r="B193" s="42" t="s">
        <v>301</v>
      </c>
      <c r="C193" s="43">
        <v>889023</v>
      </c>
      <c r="D193" s="43">
        <v>18242</v>
      </c>
      <c r="E193" s="43">
        <v>45363</v>
      </c>
      <c r="F193" s="43">
        <v>7253</v>
      </c>
      <c r="G193" s="43">
        <f t="shared" si="57"/>
        <v>959881</v>
      </c>
      <c r="H193" s="43">
        <f t="shared" si="59"/>
        <v>1587</v>
      </c>
      <c r="I193" s="43">
        <f t="shared" si="59"/>
        <v>3715</v>
      </c>
      <c r="J193" s="43">
        <f t="shared" si="58"/>
        <v>965183</v>
      </c>
      <c r="K193" s="43">
        <f>SUM(J183:J193)</f>
        <v>10530602</v>
      </c>
    </row>
    <row r="194" spans="1:12" x14ac:dyDescent="0.2">
      <c r="B194" s="42" t="s">
        <v>388</v>
      </c>
      <c r="C194" s="43">
        <v>885150</v>
      </c>
      <c r="D194" s="43">
        <v>26802</v>
      </c>
      <c r="E194" s="43">
        <v>45363</v>
      </c>
      <c r="F194" s="43">
        <v>12550</v>
      </c>
      <c r="G194" s="43">
        <f t="shared" si="57"/>
        <v>969865</v>
      </c>
      <c r="H194" s="43">
        <f t="shared" si="59"/>
        <v>1587</v>
      </c>
      <c r="I194" s="43">
        <f t="shared" si="59"/>
        <v>3715</v>
      </c>
      <c r="J194" s="43">
        <f t="shared" si="58"/>
        <v>975167</v>
      </c>
      <c r="K194" s="43"/>
    </row>
    <row r="195" spans="1:12" x14ac:dyDescent="0.2">
      <c r="B195" s="42" t="s">
        <v>389</v>
      </c>
      <c r="C195" s="43">
        <v>882153</v>
      </c>
      <c r="D195" s="43">
        <v>34881</v>
      </c>
      <c r="E195" s="43">
        <v>45363</v>
      </c>
      <c r="F195" s="43">
        <v>18266</v>
      </c>
      <c r="G195" s="43">
        <f t="shared" si="57"/>
        <v>980663</v>
      </c>
      <c r="H195" s="43">
        <f t="shared" si="59"/>
        <v>1587</v>
      </c>
      <c r="I195" s="43">
        <f t="shared" si="59"/>
        <v>3715</v>
      </c>
      <c r="J195" s="43">
        <f t="shared" si="58"/>
        <v>985965</v>
      </c>
      <c r="K195" s="43"/>
    </row>
    <row r="196" spans="1:12" x14ac:dyDescent="0.2">
      <c r="A196" s="182" t="s">
        <v>191</v>
      </c>
      <c r="B196" s="182"/>
      <c r="C196" s="185"/>
      <c r="D196" s="185"/>
      <c r="E196" s="185"/>
      <c r="F196" s="185"/>
      <c r="G196" s="185"/>
      <c r="H196" s="185"/>
      <c r="I196" s="185"/>
      <c r="J196" s="185"/>
    </row>
    <row r="197" spans="1:12" x14ac:dyDescent="0.2">
      <c r="B197" s="42" t="s">
        <v>135</v>
      </c>
      <c r="C197" s="50">
        <v>948532</v>
      </c>
      <c r="D197" s="50">
        <v>0</v>
      </c>
      <c r="E197" s="50">
        <v>13614</v>
      </c>
      <c r="F197" s="50">
        <v>0</v>
      </c>
      <c r="G197" s="43">
        <f>SUM(C197:F197)</f>
        <v>962146</v>
      </c>
      <c r="H197" s="43">
        <v>2956</v>
      </c>
      <c r="I197" s="43">
        <v>4770</v>
      </c>
      <c r="J197" s="43">
        <f>SUM(G197:I197)</f>
        <v>969872</v>
      </c>
      <c r="K197" s="42"/>
    </row>
    <row r="198" spans="1:12" x14ac:dyDescent="0.2">
      <c r="B198" s="42" t="s">
        <v>136</v>
      </c>
      <c r="C198" s="43">
        <v>941129</v>
      </c>
      <c r="D198" s="43">
        <v>0</v>
      </c>
      <c r="E198" s="50">
        <v>15967</v>
      </c>
      <c r="F198" s="50">
        <v>0</v>
      </c>
      <c r="G198" s="43">
        <f t="shared" ref="G198:G209" si="60">SUM(C198:F198)</f>
        <v>957096</v>
      </c>
      <c r="H198" s="43">
        <v>2550</v>
      </c>
      <c r="I198" s="43">
        <v>4330</v>
      </c>
      <c r="J198" s="43">
        <f t="shared" ref="J198:J209" si="61">SUM(G198:I198)</f>
        <v>963976</v>
      </c>
      <c r="K198" s="43"/>
      <c r="L198" s="43"/>
    </row>
    <row r="199" spans="1:12" x14ac:dyDescent="0.2">
      <c r="B199" s="42" t="s">
        <v>137</v>
      </c>
      <c r="C199" s="43">
        <v>933497</v>
      </c>
      <c r="D199" s="43">
        <v>0</v>
      </c>
      <c r="E199" s="50">
        <v>19538</v>
      </c>
      <c r="F199" s="50">
        <v>0</v>
      </c>
      <c r="G199" s="43">
        <f t="shared" si="60"/>
        <v>953035</v>
      </c>
      <c r="H199" s="43">
        <v>2499</v>
      </c>
      <c r="I199" s="43">
        <v>4477</v>
      </c>
      <c r="J199" s="43">
        <f t="shared" si="61"/>
        <v>960011</v>
      </c>
      <c r="K199" s="43"/>
      <c r="L199" s="43"/>
    </row>
    <row r="200" spans="1:12" x14ac:dyDescent="0.2">
      <c r="B200" s="42" t="s">
        <v>138</v>
      </c>
      <c r="C200" s="43">
        <v>929990</v>
      </c>
      <c r="D200" s="43">
        <v>0</v>
      </c>
      <c r="E200" s="50">
        <v>23051</v>
      </c>
      <c r="F200" s="50">
        <v>0</v>
      </c>
      <c r="G200" s="43">
        <f t="shared" si="60"/>
        <v>953041</v>
      </c>
      <c r="H200" s="43">
        <v>2397</v>
      </c>
      <c r="I200" s="43">
        <v>4198</v>
      </c>
      <c r="J200" s="43">
        <f t="shared" si="61"/>
        <v>959636</v>
      </c>
      <c r="K200" s="98"/>
    </row>
    <row r="201" spans="1:12" x14ac:dyDescent="0.2">
      <c r="B201" s="42" t="s">
        <v>139</v>
      </c>
      <c r="C201" s="43">
        <v>926532</v>
      </c>
      <c r="D201" s="43">
        <v>0</v>
      </c>
      <c r="E201" s="50">
        <v>26756</v>
      </c>
      <c r="F201" s="50">
        <v>0</v>
      </c>
      <c r="G201" s="43">
        <f t="shared" si="60"/>
        <v>953288</v>
      </c>
      <c r="H201" s="43">
        <v>2397</v>
      </c>
      <c r="I201" s="43">
        <v>4198</v>
      </c>
      <c r="J201" s="43">
        <f t="shared" si="61"/>
        <v>959883</v>
      </c>
    </row>
    <row r="202" spans="1:12" x14ac:dyDescent="0.2">
      <c r="B202" s="42" t="s">
        <v>164</v>
      </c>
      <c r="C202" s="43">
        <v>921287</v>
      </c>
      <c r="D202" s="43">
        <v>412</v>
      </c>
      <c r="E202" s="50">
        <v>31733</v>
      </c>
      <c r="F202" s="50">
        <v>0</v>
      </c>
      <c r="G202" s="43">
        <f t="shared" si="60"/>
        <v>953432</v>
      </c>
      <c r="H202" s="43">
        <f t="shared" ref="H202:I209" si="62">H188</f>
        <v>1787</v>
      </c>
      <c r="I202" s="43">
        <f t="shared" si="62"/>
        <v>3808</v>
      </c>
      <c r="J202" s="43">
        <f t="shared" si="61"/>
        <v>959027</v>
      </c>
      <c r="K202" s="121">
        <v>956680.63000000117</v>
      </c>
    </row>
    <row r="203" spans="1:12" x14ac:dyDescent="0.2">
      <c r="B203" s="42" t="s">
        <v>165</v>
      </c>
      <c r="C203" s="43">
        <v>912029</v>
      </c>
      <c r="D203" s="43">
        <v>301</v>
      </c>
      <c r="E203" s="50">
        <v>36257</v>
      </c>
      <c r="F203" s="50">
        <v>0</v>
      </c>
      <c r="G203" s="43">
        <f t="shared" si="60"/>
        <v>948587</v>
      </c>
      <c r="H203" s="43">
        <f t="shared" si="62"/>
        <v>1619</v>
      </c>
      <c r="I203" s="43">
        <f t="shared" si="62"/>
        <v>3721</v>
      </c>
      <c r="J203" s="43">
        <f t="shared" si="61"/>
        <v>953927</v>
      </c>
      <c r="K203" s="98">
        <f>G202-K202</f>
        <v>-3248.6300000011688</v>
      </c>
    </row>
    <row r="204" spans="1:12" x14ac:dyDescent="0.2">
      <c r="B204" s="42" t="s">
        <v>249</v>
      </c>
      <c r="C204" s="43">
        <v>907884</v>
      </c>
      <c r="D204" s="43">
        <v>652</v>
      </c>
      <c r="E204" s="50">
        <v>39250</v>
      </c>
      <c r="F204" s="50">
        <v>0</v>
      </c>
      <c r="G204" s="43">
        <f t="shared" si="60"/>
        <v>947786</v>
      </c>
      <c r="H204" s="43">
        <f t="shared" si="62"/>
        <v>1587</v>
      </c>
      <c r="I204" s="43">
        <f t="shared" si="62"/>
        <v>3715</v>
      </c>
      <c r="J204" s="43">
        <f t="shared" si="61"/>
        <v>953088</v>
      </c>
    </row>
    <row r="205" spans="1:12" x14ac:dyDescent="0.2">
      <c r="B205" s="42" t="s">
        <v>250</v>
      </c>
      <c r="C205" s="43">
        <v>903246</v>
      </c>
      <c r="D205" s="43">
        <v>3289</v>
      </c>
      <c r="E205" s="50">
        <v>42904</v>
      </c>
      <c r="F205" s="50">
        <v>0</v>
      </c>
      <c r="G205" s="43">
        <f t="shared" si="60"/>
        <v>949439</v>
      </c>
      <c r="H205" s="43">
        <f t="shared" si="62"/>
        <v>1587</v>
      </c>
      <c r="I205" s="43">
        <f t="shared" si="62"/>
        <v>3715</v>
      </c>
      <c r="J205" s="43">
        <f t="shared" si="61"/>
        <v>954741</v>
      </c>
    </row>
    <row r="206" spans="1:12" x14ac:dyDescent="0.2">
      <c r="B206" s="42" t="s">
        <v>300</v>
      </c>
      <c r="C206" s="43">
        <v>897432</v>
      </c>
      <c r="D206" s="43">
        <v>7951</v>
      </c>
      <c r="E206" s="43">
        <v>45359</v>
      </c>
      <c r="F206" s="43">
        <v>2450</v>
      </c>
      <c r="G206" s="43">
        <f t="shared" si="60"/>
        <v>953192</v>
      </c>
      <c r="H206" s="43">
        <f t="shared" si="62"/>
        <v>1587</v>
      </c>
      <c r="I206" s="43">
        <f t="shared" si="62"/>
        <v>3715</v>
      </c>
      <c r="J206" s="43">
        <f t="shared" si="61"/>
        <v>958494</v>
      </c>
    </row>
    <row r="207" spans="1:12" x14ac:dyDescent="0.2">
      <c r="B207" s="42" t="s">
        <v>301</v>
      </c>
      <c r="C207" s="43">
        <v>891324</v>
      </c>
      <c r="D207" s="43">
        <v>17141</v>
      </c>
      <c r="E207" s="43">
        <v>45680</v>
      </c>
      <c r="F207" s="43">
        <v>7048</v>
      </c>
      <c r="G207" s="43">
        <f t="shared" si="60"/>
        <v>961193</v>
      </c>
      <c r="H207" s="43">
        <f t="shared" si="62"/>
        <v>1587</v>
      </c>
      <c r="I207" s="43">
        <f t="shared" si="62"/>
        <v>3715</v>
      </c>
      <c r="J207" s="43">
        <f t="shared" si="61"/>
        <v>966495</v>
      </c>
      <c r="K207" s="98">
        <f>C207+D207</f>
        <v>908465</v>
      </c>
    </row>
    <row r="208" spans="1:12" x14ac:dyDescent="0.2">
      <c r="B208" s="42" t="s">
        <v>388</v>
      </c>
      <c r="C208" s="43">
        <v>887121</v>
      </c>
      <c r="D208" s="43">
        <v>26038</v>
      </c>
      <c r="E208" s="43">
        <v>45363</v>
      </c>
      <c r="F208" s="43">
        <v>12673</v>
      </c>
      <c r="G208" s="43">
        <f t="shared" si="60"/>
        <v>971195</v>
      </c>
      <c r="H208" s="43">
        <f t="shared" si="62"/>
        <v>1587</v>
      </c>
      <c r="I208" s="43">
        <f t="shared" si="62"/>
        <v>3715</v>
      </c>
      <c r="J208" s="43">
        <f t="shared" si="61"/>
        <v>976497</v>
      </c>
      <c r="K208" s="98">
        <f>C208+D208</f>
        <v>913159</v>
      </c>
    </row>
    <row r="209" spans="1:11" x14ac:dyDescent="0.2">
      <c r="B209" s="42" t="s">
        <v>389</v>
      </c>
      <c r="C209" s="43">
        <v>883951</v>
      </c>
      <c r="D209" s="43">
        <v>34296</v>
      </c>
      <c r="E209" s="43">
        <v>45363</v>
      </c>
      <c r="F209" s="43">
        <v>18401</v>
      </c>
      <c r="G209" s="43">
        <f t="shared" si="60"/>
        <v>982011</v>
      </c>
      <c r="H209" s="43">
        <f t="shared" si="62"/>
        <v>1587</v>
      </c>
      <c r="I209" s="43">
        <f t="shared" si="62"/>
        <v>3715</v>
      </c>
      <c r="J209" s="43">
        <f t="shared" si="61"/>
        <v>987313</v>
      </c>
      <c r="K209" s="98">
        <f>C209+D209</f>
        <v>918247</v>
      </c>
    </row>
    <row r="210" spans="1:11" x14ac:dyDescent="0.2">
      <c r="B210" s="42"/>
      <c r="C210" s="43"/>
      <c r="D210" s="43"/>
      <c r="E210" s="50"/>
      <c r="F210" s="50"/>
      <c r="G210" s="43"/>
      <c r="H210" s="43"/>
      <c r="I210" s="43"/>
      <c r="J210" s="43"/>
    </row>
    <row r="211" spans="1:11" x14ac:dyDescent="0.2">
      <c r="A211" s="182" t="s">
        <v>185</v>
      </c>
      <c r="B211" s="183"/>
      <c r="C211" s="185"/>
      <c r="D211" s="185"/>
      <c r="E211" s="185"/>
      <c r="F211" s="185"/>
      <c r="G211" s="185"/>
      <c r="H211" s="185"/>
      <c r="I211" s="185"/>
      <c r="J211" s="185"/>
    </row>
    <row r="212" spans="1:11" x14ac:dyDescent="0.2">
      <c r="B212" s="42" t="s">
        <v>135</v>
      </c>
      <c r="C212" s="43">
        <v>829233</v>
      </c>
      <c r="D212" s="43">
        <v>0</v>
      </c>
      <c r="E212" s="50" t="s">
        <v>199</v>
      </c>
      <c r="F212" s="50" t="s">
        <v>199</v>
      </c>
      <c r="G212" s="43">
        <f>SUM(C212:F212)</f>
        <v>829233</v>
      </c>
      <c r="H212" s="43">
        <v>2331</v>
      </c>
      <c r="I212" s="43">
        <v>3669</v>
      </c>
      <c r="J212" s="43">
        <f>SUM(G212:I212)</f>
        <v>835233</v>
      </c>
    </row>
    <row r="213" spans="1:11" x14ac:dyDescent="0.2">
      <c r="B213" s="42" t="s">
        <v>136</v>
      </c>
      <c r="C213" s="43">
        <v>824483</v>
      </c>
      <c r="D213" s="43">
        <v>0</v>
      </c>
      <c r="E213" s="50" t="s">
        <v>199</v>
      </c>
      <c r="F213" s="50" t="s">
        <v>199</v>
      </c>
      <c r="G213" s="43">
        <f t="shared" ref="G213:G224" si="63">SUM(C213:F213)</f>
        <v>824483</v>
      </c>
      <c r="H213" s="43">
        <v>2013</v>
      </c>
      <c r="I213" s="43">
        <v>3331</v>
      </c>
      <c r="J213" s="43">
        <f t="shared" ref="J213:J224" si="64">SUM(G213:I213)</f>
        <v>829827</v>
      </c>
    </row>
    <row r="214" spans="1:11" x14ac:dyDescent="0.2">
      <c r="B214" s="42" t="s">
        <v>137</v>
      </c>
      <c r="C214" s="43">
        <v>820425</v>
      </c>
      <c r="D214" s="43">
        <v>0</v>
      </c>
      <c r="E214" s="50" t="s">
        <v>199</v>
      </c>
      <c r="F214" s="50" t="s">
        <v>199</v>
      </c>
      <c r="G214" s="43">
        <f t="shared" si="63"/>
        <v>820425</v>
      </c>
      <c r="H214" s="43">
        <v>1975</v>
      </c>
      <c r="I214" s="43">
        <v>3443</v>
      </c>
      <c r="J214" s="43">
        <f t="shared" si="64"/>
        <v>825843</v>
      </c>
    </row>
    <row r="215" spans="1:11" x14ac:dyDescent="0.2">
      <c r="B215" s="42" t="s">
        <v>138</v>
      </c>
      <c r="C215" s="43">
        <v>821417</v>
      </c>
      <c r="D215" s="43">
        <v>0</v>
      </c>
      <c r="E215" s="50" t="s">
        <v>199</v>
      </c>
      <c r="F215" s="50" t="s">
        <v>199</v>
      </c>
      <c r="G215" s="43">
        <f t="shared" si="63"/>
        <v>821417</v>
      </c>
      <c r="H215" s="43">
        <v>1898</v>
      </c>
      <c r="I215" s="43">
        <v>3229</v>
      </c>
      <c r="J215" s="43">
        <f t="shared" si="64"/>
        <v>826544</v>
      </c>
    </row>
    <row r="216" spans="1:11" x14ac:dyDescent="0.2">
      <c r="B216" s="42" t="s">
        <v>139</v>
      </c>
      <c r="C216" s="43">
        <v>821841</v>
      </c>
      <c r="D216" s="43">
        <v>487</v>
      </c>
      <c r="E216" s="50" t="s">
        <v>199</v>
      </c>
      <c r="F216" s="50" t="s">
        <v>199</v>
      </c>
      <c r="G216" s="43">
        <f t="shared" si="63"/>
        <v>822328</v>
      </c>
      <c r="H216" s="43">
        <v>1701</v>
      </c>
      <c r="I216" s="43">
        <v>3168</v>
      </c>
      <c r="J216" s="43">
        <f t="shared" si="64"/>
        <v>827197</v>
      </c>
    </row>
    <row r="217" spans="1:11" x14ac:dyDescent="0.2">
      <c r="B217" s="42" t="s">
        <v>164</v>
      </c>
      <c r="C217" s="43">
        <v>818978</v>
      </c>
      <c r="D217" s="43">
        <v>458</v>
      </c>
      <c r="E217" s="50" t="s">
        <v>199</v>
      </c>
      <c r="F217" s="50" t="s">
        <v>199</v>
      </c>
      <c r="G217" s="43">
        <f t="shared" si="63"/>
        <v>819436</v>
      </c>
      <c r="H217" s="43">
        <f t="shared" ref="H217:I224" si="65">H174</f>
        <v>1389</v>
      </c>
      <c r="I217" s="43">
        <f t="shared" si="65"/>
        <v>2930</v>
      </c>
      <c r="J217" s="43">
        <f t="shared" si="64"/>
        <v>823755</v>
      </c>
    </row>
    <row r="218" spans="1:11" x14ac:dyDescent="0.2">
      <c r="B218" s="42" t="s">
        <v>165</v>
      </c>
      <c r="C218" s="43">
        <v>816234</v>
      </c>
      <c r="D218" s="43">
        <v>658</v>
      </c>
      <c r="E218" s="50" t="s">
        <v>199</v>
      </c>
      <c r="F218" s="50" t="s">
        <v>199</v>
      </c>
      <c r="G218" s="43">
        <f t="shared" si="63"/>
        <v>816892</v>
      </c>
      <c r="H218" s="43">
        <f t="shared" si="65"/>
        <v>1266</v>
      </c>
      <c r="I218" s="43">
        <f t="shared" si="65"/>
        <v>2862</v>
      </c>
      <c r="J218" s="43">
        <f t="shared" si="64"/>
        <v>821020</v>
      </c>
    </row>
    <row r="219" spans="1:11" x14ac:dyDescent="0.2">
      <c r="B219" s="42" t="s">
        <v>249</v>
      </c>
      <c r="C219" s="43">
        <v>817444</v>
      </c>
      <c r="D219" s="43">
        <v>682</v>
      </c>
      <c r="E219" s="50" t="s">
        <v>199</v>
      </c>
      <c r="F219" s="50" t="s">
        <v>199</v>
      </c>
      <c r="G219" s="43">
        <f t="shared" si="63"/>
        <v>818126</v>
      </c>
      <c r="H219" s="43">
        <f t="shared" si="65"/>
        <v>1244</v>
      </c>
      <c r="I219" s="43">
        <f t="shared" si="65"/>
        <v>2858</v>
      </c>
      <c r="J219" s="43">
        <f t="shared" si="64"/>
        <v>822228</v>
      </c>
    </row>
    <row r="220" spans="1:11" x14ac:dyDescent="0.2">
      <c r="B220" s="42" t="s">
        <v>250</v>
      </c>
      <c r="C220" s="43">
        <v>802159</v>
      </c>
      <c r="D220" s="43">
        <v>18607</v>
      </c>
      <c r="E220" s="50" t="s">
        <v>199</v>
      </c>
      <c r="F220" s="50" t="s">
        <v>199</v>
      </c>
      <c r="G220" s="43">
        <f t="shared" si="63"/>
        <v>820766</v>
      </c>
      <c r="H220" s="43">
        <f t="shared" si="65"/>
        <v>1244</v>
      </c>
      <c r="I220" s="43">
        <f t="shared" si="65"/>
        <v>2858</v>
      </c>
      <c r="J220" s="43">
        <f t="shared" si="64"/>
        <v>824868</v>
      </c>
    </row>
    <row r="221" spans="1:11" x14ac:dyDescent="0.2">
      <c r="B221" s="42" t="s">
        <v>300</v>
      </c>
      <c r="C221" s="43">
        <v>797338</v>
      </c>
      <c r="D221" s="43">
        <v>28566</v>
      </c>
      <c r="E221" s="43">
        <v>0</v>
      </c>
      <c r="F221" s="43">
        <v>0</v>
      </c>
      <c r="G221" s="43">
        <f t="shared" si="63"/>
        <v>825904</v>
      </c>
      <c r="H221" s="43">
        <f t="shared" si="65"/>
        <v>1244</v>
      </c>
      <c r="I221" s="43">
        <f t="shared" si="65"/>
        <v>2858</v>
      </c>
      <c r="J221" s="43">
        <f t="shared" si="64"/>
        <v>830006</v>
      </c>
    </row>
    <row r="222" spans="1:11" x14ac:dyDescent="0.2">
      <c r="B222" s="42" t="s">
        <v>301</v>
      </c>
      <c r="C222" s="43">
        <v>793797</v>
      </c>
      <c r="D222" s="43">
        <v>40025</v>
      </c>
      <c r="E222" s="43">
        <v>0</v>
      </c>
      <c r="F222" s="43">
        <v>0</v>
      </c>
      <c r="G222" s="43">
        <f t="shared" si="63"/>
        <v>833822</v>
      </c>
      <c r="H222" s="43">
        <f t="shared" si="65"/>
        <v>1244</v>
      </c>
      <c r="I222" s="43">
        <f t="shared" si="65"/>
        <v>2858</v>
      </c>
      <c r="J222" s="43">
        <f t="shared" si="64"/>
        <v>837924</v>
      </c>
      <c r="K222" s="43">
        <f>SUM(J212:J222)</f>
        <v>9104445</v>
      </c>
    </row>
    <row r="223" spans="1:11" x14ac:dyDescent="0.2">
      <c r="B223" s="42" t="s">
        <v>388</v>
      </c>
      <c r="C223" s="43">
        <v>791724</v>
      </c>
      <c r="D223" s="43">
        <v>50396</v>
      </c>
      <c r="E223" s="43">
        <v>0</v>
      </c>
      <c r="F223" s="43">
        <v>0</v>
      </c>
      <c r="G223" s="43">
        <f t="shared" si="63"/>
        <v>842120</v>
      </c>
      <c r="H223" s="43">
        <f t="shared" si="65"/>
        <v>1244</v>
      </c>
      <c r="I223" s="43">
        <f t="shared" si="65"/>
        <v>2858</v>
      </c>
      <c r="J223" s="43">
        <f t="shared" si="64"/>
        <v>846222</v>
      </c>
      <c r="K223" s="43"/>
    </row>
    <row r="224" spans="1:11" x14ac:dyDescent="0.2">
      <c r="B224" s="42" t="s">
        <v>389</v>
      </c>
      <c r="C224" s="43">
        <v>790923</v>
      </c>
      <c r="D224" s="43">
        <v>60659</v>
      </c>
      <c r="E224" s="43">
        <v>0</v>
      </c>
      <c r="F224" s="43">
        <v>0</v>
      </c>
      <c r="G224" s="43">
        <f t="shared" si="63"/>
        <v>851582</v>
      </c>
      <c r="H224" s="43">
        <f t="shared" si="65"/>
        <v>1244</v>
      </c>
      <c r="I224" s="43">
        <f t="shared" si="65"/>
        <v>2858</v>
      </c>
      <c r="J224" s="43">
        <f t="shared" si="64"/>
        <v>855684</v>
      </c>
      <c r="K224" s="43"/>
    </row>
    <row r="225" spans="1:11" x14ac:dyDescent="0.2">
      <c r="A225" s="182" t="s">
        <v>188</v>
      </c>
      <c r="B225" s="182"/>
      <c r="C225" s="185"/>
      <c r="D225" s="185"/>
      <c r="E225" s="185"/>
      <c r="F225" s="185"/>
      <c r="G225" s="185"/>
      <c r="H225" s="185"/>
      <c r="I225" s="185"/>
      <c r="J225" s="185"/>
    </row>
    <row r="226" spans="1:11" x14ac:dyDescent="0.2">
      <c r="B226" s="42" t="s">
        <v>135</v>
      </c>
      <c r="C226" s="43">
        <v>959208</v>
      </c>
      <c r="D226" s="43">
        <v>0</v>
      </c>
      <c r="E226" s="50" t="s">
        <v>199</v>
      </c>
      <c r="F226" s="50" t="s">
        <v>199</v>
      </c>
      <c r="G226" s="43">
        <f>SUM(C226:F226)</f>
        <v>959208</v>
      </c>
      <c r="H226" s="43">
        <v>2956</v>
      </c>
      <c r="I226" s="43">
        <v>4770</v>
      </c>
      <c r="J226" s="43">
        <f>SUM(G226:I226)</f>
        <v>966934</v>
      </c>
    </row>
    <row r="227" spans="1:11" x14ac:dyDescent="0.2">
      <c r="B227" s="42" t="s">
        <v>136</v>
      </c>
      <c r="C227" s="43">
        <v>953673</v>
      </c>
      <c r="D227" s="43">
        <v>0</v>
      </c>
      <c r="E227" s="50" t="s">
        <v>199</v>
      </c>
      <c r="F227" s="50" t="s">
        <v>199</v>
      </c>
      <c r="G227" s="43">
        <f t="shared" ref="G227:G238" si="66">SUM(C227:F227)</f>
        <v>953673</v>
      </c>
      <c r="H227" s="43">
        <v>2550</v>
      </c>
      <c r="I227" s="43">
        <v>4330</v>
      </c>
      <c r="J227" s="43">
        <f t="shared" ref="J227:J238" si="67">SUM(G227:I227)</f>
        <v>960553</v>
      </c>
    </row>
    <row r="228" spans="1:11" x14ac:dyDescent="0.2">
      <c r="B228" s="42" t="s">
        <v>137</v>
      </c>
      <c r="C228" s="43">
        <v>949765</v>
      </c>
      <c r="D228" s="43">
        <v>0</v>
      </c>
      <c r="E228" s="50" t="s">
        <v>199</v>
      </c>
      <c r="F228" s="50" t="s">
        <v>199</v>
      </c>
      <c r="G228" s="43">
        <f t="shared" si="66"/>
        <v>949765</v>
      </c>
      <c r="H228" s="43">
        <v>2499</v>
      </c>
      <c r="I228" s="43">
        <v>4477</v>
      </c>
      <c r="J228" s="43">
        <f t="shared" si="67"/>
        <v>956741</v>
      </c>
      <c r="K228" s="42"/>
    </row>
    <row r="229" spans="1:11" x14ac:dyDescent="0.2">
      <c r="B229" s="42" t="s">
        <v>138</v>
      </c>
      <c r="C229" s="43">
        <v>950532</v>
      </c>
      <c r="D229" s="43">
        <v>0</v>
      </c>
      <c r="E229" s="50" t="s">
        <v>199</v>
      </c>
      <c r="F229" s="50" t="s">
        <v>199</v>
      </c>
      <c r="G229" s="43">
        <f t="shared" si="66"/>
        <v>950532</v>
      </c>
      <c r="H229" s="43">
        <v>2397</v>
      </c>
      <c r="I229" s="43">
        <v>4198</v>
      </c>
      <c r="J229" s="43">
        <f t="shared" si="67"/>
        <v>957127</v>
      </c>
      <c r="K229" s="99"/>
    </row>
    <row r="230" spans="1:11" x14ac:dyDescent="0.2">
      <c r="B230" s="42" t="s">
        <v>139</v>
      </c>
      <c r="C230" s="43">
        <v>950863</v>
      </c>
      <c r="D230" s="43">
        <v>0</v>
      </c>
      <c r="E230" s="50" t="s">
        <v>199</v>
      </c>
      <c r="F230" s="50" t="s">
        <v>199</v>
      </c>
      <c r="G230" s="43">
        <f t="shared" si="66"/>
        <v>950863</v>
      </c>
      <c r="H230" s="43">
        <v>2166</v>
      </c>
      <c r="I230" s="43">
        <v>4119</v>
      </c>
      <c r="J230" s="43">
        <f t="shared" si="67"/>
        <v>957148</v>
      </c>
      <c r="K230" s="99"/>
    </row>
    <row r="231" spans="1:11" x14ac:dyDescent="0.2">
      <c r="B231" s="42" t="s">
        <v>164</v>
      </c>
      <c r="C231" s="43">
        <v>949624</v>
      </c>
      <c r="D231" s="43">
        <v>562</v>
      </c>
      <c r="E231" s="50" t="s">
        <v>199</v>
      </c>
      <c r="F231" s="50" t="s">
        <v>199</v>
      </c>
      <c r="G231" s="43">
        <f t="shared" si="66"/>
        <v>950186</v>
      </c>
      <c r="H231" s="43">
        <f t="shared" ref="H231:I238" si="68">H188</f>
        <v>1787</v>
      </c>
      <c r="I231" s="43">
        <f t="shared" si="68"/>
        <v>3808</v>
      </c>
      <c r="J231" s="43">
        <f t="shared" si="67"/>
        <v>955781</v>
      </c>
      <c r="K231" s="99"/>
    </row>
    <row r="232" spans="1:11" x14ac:dyDescent="0.2">
      <c r="B232" s="42" t="s">
        <v>165</v>
      </c>
      <c r="C232" s="43">
        <v>944635</v>
      </c>
      <c r="D232" s="43">
        <v>786</v>
      </c>
      <c r="E232" s="50" t="s">
        <v>199</v>
      </c>
      <c r="F232" s="50" t="s">
        <v>199</v>
      </c>
      <c r="G232" s="43">
        <f t="shared" si="66"/>
        <v>945421</v>
      </c>
      <c r="H232" s="43">
        <f t="shared" si="68"/>
        <v>1619</v>
      </c>
      <c r="I232" s="43">
        <f t="shared" si="68"/>
        <v>3721</v>
      </c>
      <c r="J232" s="43">
        <f t="shared" si="67"/>
        <v>950761</v>
      </c>
      <c r="K232" s="99"/>
    </row>
    <row r="233" spans="1:11" x14ac:dyDescent="0.2">
      <c r="B233" s="42" t="s">
        <v>249</v>
      </c>
      <c r="C233" s="43">
        <v>944799</v>
      </c>
      <c r="D233" s="43">
        <v>806</v>
      </c>
      <c r="E233" s="50" t="s">
        <v>199</v>
      </c>
      <c r="F233" s="50" t="s">
        <v>199</v>
      </c>
      <c r="G233" s="43">
        <f t="shared" si="66"/>
        <v>945605</v>
      </c>
      <c r="H233" s="43">
        <f t="shared" si="68"/>
        <v>1587</v>
      </c>
      <c r="I233" s="43">
        <f t="shared" si="68"/>
        <v>3715</v>
      </c>
      <c r="J233" s="43">
        <f t="shared" si="67"/>
        <v>950907</v>
      </c>
      <c r="K233" s="99"/>
    </row>
    <row r="234" spans="1:11" x14ac:dyDescent="0.2">
      <c r="B234" s="42" t="s">
        <v>250</v>
      </c>
      <c r="C234" s="43">
        <v>926214</v>
      </c>
      <c r="D234" s="43">
        <v>21066</v>
      </c>
      <c r="E234" s="50" t="s">
        <v>199</v>
      </c>
      <c r="F234" s="50" t="s">
        <v>199</v>
      </c>
      <c r="G234" s="43">
        <f t="shared" si="66"/>
        <v>947280</v>
      </c>
      <c r="H234" s="43">
        <f t="shared" si="68"/>
        <v>1587</v>
      </c>
      <c r="I234" s="43">
        <f t="shared" si="68"/>
        <v>3715</v>
      </c>
      <c r="J234" s="43">
        <f t="shared" si="67"/>
        <v>952582</v>
      </c>
      <c r="K234" s="99"/>
    </row>
    <row r="235" spans="1:11" x14ac:dyDescent="0.2">
      <c r="B235" s="42" t="s">
        <v>300</v>
      </c>
      <c r="C235" s="43">
        <v>919724</v>
      </c>
      <c r="D235" s="43">
        <v>31882</v>
      </c>
      <c r="E235" s="50" t="s">
        <v>199</v>
      </c>
      <c r="F235" s="50" t="s">
        <v>199</v>
      </c>
      <c r="G235" s="43">
        <f t="shared" si="66"/>
        <v>951606</v>
      </c>
      <c r="H235" s="43">
        <f t="shared" si="68"/>
        <v>1587</v>
      </c>
      <c r="I235" s="43">
        <f t="shared" si="68"/>
        <v>3715</v>
      </c>
      <c r="J235" s="43">
        <f t="shared" si="67"/>
        <v>956908</v>
      </c>
      <c r="K235" s="99"/>
    </row>
    <row r="236" spans="1:11" x14ac:dyDescent="0.2">
      <c r="B236" s="42" t="s">
        <v>301</v>
      </c>
      <c r="C236" s="43">
        <v>914984</v>
      </c>
      <c r="D236" s="43">
        <v>44897</v>
      </c>
      <c r="E236" s="50" t="s">
        <v>199</v>
      </c>
      <c r="F236" s="50" t="s">
        <v>199</v>
      </c>
      <c r="G236" s="43">
        <f t="shared" si="66"/>
        <v>959881</v>
      </c>
      <c r="H236" s="43">
        <f t="shared" si="68"/>
        <v>1587</v>
      </c>
      <c r="I236" s="43">
        <f t="shared" si="68"/>
        <v>3715</v>
      </c>
      <c r="J236" s="43">
        <f t="shared" si="67"/>
        <v>965183</v>
      </c>
      <c r="K236" s="43">
        <f>SUM(J226:J236)</f>
        <v>10530625</v>
      </c>
    </row>
    <row r="237" spans="1:11" x14ac:dyDescent="0.2">
      <c r="B237" s="42" t="s">
        <v>388</v>
      </c>
      <c r="C237" s="43">
        <v>912319</v>
      </c>
      <c r="D237" s="43">
        <v>57546</v>
      </c>
      <c r="E237" s="50" t="s">
        <v>199</v>
      </c>
      <c r="F237" s="50" t="s">
        <v>199</v>
      </c>
      <c r="G237" s="43">
        <f t="shared" si="66"/>
        <v>969865</v>
      </c>
      <c r="H237" s="43">
        <f t="shared" si="68"/>
        <v>1587</v>
      </c>
      <c r="I237" s="43">
        <f t="shared" si="68"/>
        <v>3715</v>
      </c>
      <c r="J237" s="43">
        <f t="shared" si="67"/>
        <v>975167</v>
      </c>
      <c r="K237" s="43"/>
    </row>
    <row r="238" spans="1:11" x14ac:dyDescent="0.2">
      <c r="B238" s="42" t="s">
        <v>389</v>
      </c>
      <c r="C238" s="43">
        <v>911202</v>
      </c>
      <c r="D238" s="43">
        <v>69460</v>
      </c>
      <c r="E238" s="50" t="s">
        <v>199</v>
      </c>
      <c r="F238" s="50" t="s">
        <v>199</v>
      </c>
      <c r="G238" s="43">
        <f t="shared" si="66"/>
        <v>980662</v>
      </c>
      <c r="H238" s="43">
        <f t="shared" si="68"/>
        <v>1587</v>
      </c>
      <c r="I238" s="43">
        <f t="shared" si="68"/>
        <v>3715</v>
      </c>
      <c r="J238" s="43">
        <f t="shared" si="67"/>
        <v>985964</v>
      </c>
      <c r="K238" s="43"/>
    </row>
    <row r="239" spans="1:11" x14ac:dyDescent="0.2">
      <c r="A239" s="182" t="s">
        <v>192</v>
      </c>
      <c r="B239" s="182"/>
      <c r="C239" s="185"/>
      <c r="D239" s="185"/>
      <c r="E239" s="185"/>
      <c r="F239" s="185"/>
      <c r="G239" s="185"/>
      <c r="H239" s="185"/>
      <c r="I239" s="185"/>
      <c r="J239" s="185"/>
    </row>
    <row r="240" spans="1:11" x14ac:dyDescent="0.2">
      <c r="B240" s="42" t="s">
        <v>135</v>
      </c>
      <c r="C240" s="50">
        <v>961493</v>
      </c>
      <c r="D240" s="50">
        <v>0</v>
      </c>
      <c r="E240" s="50" t="s">
        <v>199</v>
      </c>
      <c r="F240" s="50" t="s">
        <v>199</v>
      </c>
      <c r="G240" s="43">
        <f>SUM(C240:F240)</f>
        <v>961493</v>
      </c>
      <c r="H240" s="43">
        <v>2956</v>
      </c>
      <c r="I240" s="43">
        <v>4770</v>
      </c>
      <c r="J240" s="43">
        <f>SUM(G240:I240)</f>
        <v>969219</v>
      </c>
    </row>
    <row r="241" spans="1:10" x14ac:dyDescent="0.2">
      <c r="B241" s="42" t="s">
        <v>136</v>
      </c>
      <c r="C241" s="43">
        <v>956408</v>
      </c>
      <c r="D241" s="43">
        <v>0</v>
      </c>
      <c r="E241" s="50" t="s">
        <v>199</v>
      </c>
      <c r="F241" s="50" t="s">
        <v>199</v>
      </c>
      <c r="G241" s="43">
        <f t="shared" ref="G241:G252" si="69">SUM(C241:F241)</f>
        <v>956408</v>
      </c>
      <c r="H241" s="43">
        <v>2550</v>
      </c>
      <c r="I241" s="43">
        <v>4330</v>
      </c>
      <c r="J241" s="43">
        <f t="shared" ref="J241:J252" si="70">SUM(G241:I241)</f>
        <v>963288</v>
      </c>
    </row>
    <row r="242" spans="1:10" x14ac:dyDescent="0.2">
      <c r="B242" s="42" t="s">
        <v>137</v>
      </c>
      <c r="C242" s="43">
        <v>952266</v>
      </c>
      <c r="D242" s="43">
        <v>0</v>
      </c>
      <c r="E242" s="50" t="s">
        <v>199</v>
      </c>
      <c r="F242" s="50" t="s">
        <v>199</v>
      </c>
      <c r="G242" s="43">
        <f t="shared" si="69"/>
        <v>952266</v>
      </c>
      <c r="H242" s="43">
        <v>2499</v>
      </c>
      <c r="I242" s="43">
        <v>4477</v>
      </c>
      <c r="J242" s="43">
        <f t="shared" si="70"/>
        <v>959242</v>
      </c>
    </row>
    <row r="243" spans="1:10" x14ac:dyDescent="0.2">
      <c r="B243" s="42" t="s">
        <v>138</v>
      </c>
      <c r="C243" s="43">
        <v>952292</v>
      </c>
      <c r="D243" s="43">
        <v>0</v>
      </c>
      <c r="E243" s="50" t="s">
        <v>199</v>
      </c>
      <c r="F243" s="50" t="s">
        <v>199</v>
      </c>
      <c r="G243" s="43">
        <f t="shared" si="69"/>
        <v>952292</v>
      </c>
      <c r="H243" s="43">
        <v>2397</v>
      </c>
      <c r="I243" s="43">
        <v>4198</v>
      </c>
      <c r="J243" s="43">
        <f t="shared" si="70"/>
        <v>958887</v>
      </c>
    </row>
    <row r="244" spans="1:10" x14ac:dyDescent="0.2">
      <c r="B244" s="42" t="s">
        <v>139</v>
      </c>
      <c r="C244" s="43">
        <v>952429</v>
      </c>
      <c r="D244" s="43">
        <v>0</v>
      </c>
      <c r="E244" s="50" t="s">
        <v>199</v>
      </c>
      <c r="F244" s="50" t="s">
        <v>199</v>
      </c>
      <c r="G244" s="43">
        <f t="shared" si="69"/>
        <v>952429</v>
      </c>
      <c r="H244" s="43">
        <v>2166</v>
      </c>
      <c r="I244" s="43">
        <v>4119</v>
      </c>
      <c r="J244" s="43">
        <f t="shared" si="70"/>
        <v>958714</v>
      </c>
    </row>
    <row r="245" spans="1:10" x14ac:dyDescent="0.2">
      <c r="B245" s="42" t="s">
        <v>164</v>
      </c>
      <c r="C245" s="43">
        <v>951696</v>
      </c>
      <c r="D245" s="43">
        <v>564</v>
      </c>
      <c r="E245" s="50" t="s">
        <v>199</v>
      </c>
      <c r="F245" s="50" t="s">
        <v>199</v>
      </c>
      <c r="G245" s="43">
        <f t="shared" si="69"/>
        <v>952260</v>
      </c>
      <c r="H245" s="43">
        <f t="shared" ref="H245:I252" si="71">H231</f>
        <v>1787</v>
      </c>
      <c r="I245" s="43">
        <f t="shared" si="71"/>
        <v>3808</v>
      </c>
      <c r="J245" s="43">
        <f t="shared" si="70"/>
        <v>957855</v>
      </c>
    </row>
    <row r="246" spans="1:10" x14ac:dyDescent="0.2">
      <c r="B246" s="42" t="s">
        <v>165</v>
      </c>
      <c r="C246" s="43">
        <v>946916</v>
      </c>
      <c r="D246" s="43">
        <v>560</v>
      </c>
      <c r="E246" s="50" t="s">
        <v>199</v>
      </c>
      <c r="F246" s="50" t="s">
        <v>199</v>
      </c>
      <c r="G246" s="43">
        <f t="shared" si="69"/>
        <v>947476</v>
      </c>
      <c r="H246" s="43">
        <f t="shared" si="71"/>
        <v>1619</v>
      </c>
      <c r="I246" s="43">
        <f t="shared" si="71"/>
        <v>3721</v>
      </c>
      <c r="J246" s="43">
        <f t="shared" si="70"/>
        <v>952816</v>
      </c>
    </row>
    <row r="247" spans="1:10" x14ac:dyDescent="0.2">
      <c r="B247" s="42" t="s">
        <v>249</v>
      </c>
      <c r="C247" s="43">
        <v>946202</v>
      </c>
      <c r="D247" s="43">
        <v>709</v>
      </c>
      <c r="E247" s="50" t="s">
        <v>199</v>
      </c>
      <c r="F247" s="50" t="s">
        <v>199</v>
      </c>
      <c r="G247" s="43">
        <f t="shared" si="69"/>
        <v>946911</v>
      </c>
      <c r="H247" s="43">
        <f t="shared" si="71"/>
        <v>1587</v>
      </c>
      <c r="I247" s="43">
        <f t="shared" si="71"/>
        <v>3715</v>
      </c>
      <c r="J247" s="43">
        <f t="shared" si="70"/>
        <v>952213</v>
      </c>
    </row>
    <row r="248" spans="1:10" x14ac:dyDescent="0.2">
      <c r="B248" s="42" t="s">
        <v>250</v>
      </c>
      <c r="C248" s="43">
        <v>931579</v>
      </c>
      <c r="D248" s="43">
        <v>18558</v>
      </c>
      <c r="E248" s="50" t="s">
        <v>199</v>
      </c>
      <c r="F248" s="50" t="s">
        <v>199</v>
      </c>
      <c r="G248" s="43">
        <f t="shared" si="69"/>
        <v>950137</v>
      </c>
      <c r="H248" s="43">
        <f t="shared" si="71"/>
        <v>1587</v>
      </c>
      <c r="I248" s="43">
        <f t="shared" si="71"/>
        <v>3715</v>
      </c>
      <c r="J248" s="43">
        <f t="shared" si="70"/>
        <v>955439</v>
      </c>
    </row>
    <row r="249" spans="1:10" x14ac:dyDescent="0.2">
      <c r="B249" s="42" t="s">
        <v>300</v>
      </c>
      <c r="C249" s="43">
        <v>921979</v>
      </c>
      <c r="D249" s="43">
        <v>30701</v>
      </c>
      <c r="E249" s="50" t="s">
        <v>199</v>
      </c>
      <c r="F249" s="50" t="s">
        <v>199</v>
      </c>
      <c r="G249" s="43">
        <f t="shared" si="69"/>
        <v>952680</v>
      </c>
      <c r="H249" s="43">
        <f t="shared" si="71"/>
        <v>1587</v>
      </c>
      <c r="I249" s="43">
        <f t="shared" si="71"/>
        <v>3715</v>
      </c>
      <c r="J249" s="43">
        <f t="shared" si="70"/>
        <v>957982</v>
      </c>
    </row>
    <row r="250" spans="1:10" x14ac:dyDescent="0.2">
      <c r="B250" s="42" t="s">
        <v>301</v>
      </c>
      <c r="C250" s="43">
        <v>917029</v>
      </c>
      <c r="D250" s="43">
        <v>43662</v>
      </c>
      <c r="E250" s="50" t="s">
        <v>199</v>
      </c>
      <c r="F250" s="50" t="s">
        <v>199</v>
      </c>
      <c r="G250" s="43">
        <f t="shared" si="69"/>
        <v>960691</v>
      </c>
      <c r="H250" s="43">
        <f t="shared" si="71"/>
        <v>1587</v>
      </c>
      <c r="I250" s="43">
        <f t="shared" si="71"/>
        <v>3715</v>
      </c>
      <c r="J250" s="43">
        <f t="shared" si="70"/>
        <v>965993</v>
      </c>
    </row>
    <row r="251" spans="1:10" x14ac:dyDescent="0.2">
      <c r="B251" s="42" t="s">
        <v>388</v>
      </c>
      <c r="C251" s="43">
        <v>914109</v>
      </c>
      <c r="D251" s="43">
        <v>56574</v>
      </c>
      <c r="E251" s="50" t="s">
        <v>199</v>
      </c>
      <c r="F251" s="50" t="s">
        <v>199</v>
      </c>
      <c r="G251" s="43">
        <f t="shared" si="69"/>
        <v>970683</v>
      </c>
      <c r="H251" s="43">
        <f t="shared" si="71"/>
        <v>1587</v>
      </c>
      <c r="I251" s="43">
        <f t="shared" si="71"/>
        <v>3715</v>
      </c>
      <c r="J251" s="43">
        <f t="shared" si="70"/>
        <v>975985</v>
      </c>
    </row>
    <row r="252" spans="1:10" x14ac:dyDescent="0.2">
      <c r="B252" s="42" t="s">
        <v>389</v>
      </c>
      <c r="C252" s="43">
        <v>912760</v>
      </c>
      <c r="D252" s="43">
        <v>68729</v>
      </c>
      <c r="E252" s="50" t="s">
        <v>199</v>
      </c>
      <c r="F252" s="50" t="s">
        <v>199</v>
      </c>
      <c r="G252" s="43">
        <f t="shared" si="69"/>
        <v>981489</v>
      </c>
      <c r="H252" s="43">
        <f t="shared" si="71"/>
        <v>1587</v>
      </c>
      <c r="I252" s="43">
        <f t="shared" si="71"/>
        <v>3715</v>
      </c>
      <c r="J252" s="43">
        <f t="shared" si="70"/>
        <v>986791</v>
      </c>
    </row>
    <row r="253" spans="1:10" x14ac:dyDescent="0.2">
      <c r="B253" s="42"/>
      <c r="C253" s="43"/>
      <c r="D253" s="43"/>
      <c r="E253" s="50"/>
      <c r="F253" s="50"/>
      <c r="G253" s="43"/>
      <c r="H253" s="43"/>
      <c r="I253" s="43"/>
      <c r="J253" s="43"/>
    </row>
    <row r="254" spans="1:10" x14ac:dyDescent="0.2">
      <c r="A254" s="182" t="s">
        <v>187</v>
      </c>
      <c r="B254" s="183"/>
      <c r="C254" s="185"/>
      <c r="D254" s="185"/>
      <c r="E254" s="185"/>
      <c r="F254" s="185"/>
      <c r="G254" s="185"/>
      <c r="H254" s="185"/>
      <c r="I254" s="185"/>
      <c r="J254" s="185"/>
    </row>
    <row r="255" spans="1:10" x14ac:dyDescent="0.2">
      <c r="B255" s="42" t="s">
        <v>135</v>
      </c>
      <c r="C255" s="43">
        <v>10032</v>
      </c>
      <c r="D255" s="43">
        <v>0</v>
      </c>
      <c r="E255" s="50">
        <v>164</v>
      </c>
      <c r="F255" s="50">
        <v>0</v>
      </c>
      <c r="G255" s="43">
        <f>SUM(C255:F255)</f>
        <v>10196</v>
      </c>
      <c r="H255" s="43">
        <v>93</v>
      </c>
      <c r="I255" s="43">
        <v>0</v>
      </c>
      <c r="J255" s="43">
        <f>SUM(G255:I255)</f>
        <v>10289</v>
      </c>
    </row>
    <row r="256" spans="1:10" x14ac:dyDescent="0.2">
      <c r="B256" s="42" t="s">
        <v>136</v>
      </c>
      <c r="C256" s="43">
        <v>8953</v>
      </c>
      <c r="D256" s="43">
        <v>0</v>
      </c>
      <c r="E256" s="50">
        <v>162</v>
      </c>
      <c r="F256" s="50">
        <v>0</v>
      </c>
      <c r="G256" s="43">
        <f t="shared" ref="G256:G267" si="72">SUM(C256:F256)</f>
        <v>9115</v>
      </c>
      <c r="H256" s="43">
        <v>100</v>
      </c>
      <c r="I256" s="43">
        <v>0</v>
      </c>
      <c r="J256" s="43">
        <f t="shared" ref="J256:J267" si="73">SUM(G256:I256)</f>
        <v>9215</v>
      </c>
    </row>
    <row r="257" spans="1:10" x14ac:dyDescent="0.2">
      <c r="B257" s="42" t="s">
        <v>137</v>
      </c>
      <c r="C257" s="43">
        <v>9661</v>
      </c>
      <c r="D257" s="43">
        <v>0</v>
      </c>
      <c r="E257" s="50">
        <v>166</v>
      </c>
      <c r="F257" s="50">
        <v>0</v>
      </c>
      <c r="G257" s="43">
        <f t="shared" si="72"/>
        <v>9827</v>
      </c>
      <c r="H257" s="43">
        <v>99</v>
      </c>
      <c r="I257" s="43">
        <v>0</v>
      </c>
      <c r="J257" s="43">
        <f t="shared" si="73"/>
        <v>9926</v>
      </c>
    </row>
    <row r="258" spans="1:10" x14ac:dyDescent="0.2">
      <c r="B258" s="42" t="s">
        <v>138</v>
      </c>
      <c r="C258" s="43">
        <v>9732</v>
      </c>
      <c r="D258" s="43">
        <v>0</v>
      </c>
      <c r="E258" s="50">
        <v>168</v>
      </c>
      <c r="F258" s="50">
        <v>0</v>
      </c>
      <c r="G258" s="43">
        <f t="shared" si="72"/>
        <v>9900</v>
      </c>
      <c r="H258" s="43">
        <v>89</v>
      </c>
      <c r="I258" s="43">
        <v>0</v>
      </c>
      <c r="J258" s="43">
        <f t="shared" si="73"/>
        <v>9989</v>
      </c>
    </row>
    <row r="259" spans="1:10" x14ac:dyDescent="0.2">
      <c r="B259" s="42" t="s">
        <v>139</v>
      </c>
      <c r="C259" s="43">
        <v>10274</v>
      </c>
      <c r="D259" s="43">
        <v>0</v>
      </c>
      <c r="E259" s="50">
        <v>208</v>
      </c>
      <c r="F259" s="50">
        <v>0</v>
      </c>
      <c r="G259" s="43">
        <f t="shared" si="72"/>
        <v>10482</v>
      </c>
      <c r="H259" s="43">
        <v>97</v>
      </c>
      <c r="I259" s="43">
        <v>0</v>
      </c>
      <c r="J259" s="43">
        <f t="shared" si="73"/>
        <v>10579</v>
      </c>
    </row>
    <row r="260" spans="1:10" x14ac:dyDescent="0.2">
      <c r="B260" s="42" t="s">
        <v>164</v>
      </c>
      <c r="C260" s="43">
        <v>10940</v>
      </c>
      <c r="D260" s="43">
        <v>0</v>
      </c>
      <c r="E260" s="50">
        <v>294</v>
      </c>
      <c r="F260" s="50">
        <v>0</v>
      </c>
      <c r="G260" s="43">
        <f t="shared" si="72"/>
        <v>11234</v>
      </c>
      <c r="H260" s="43">
        <v>74</v>
      </c>
      <c r="I260" s="43">
        <v>0</v>
      </c>
      <c r="J260" s="43">
        <f t="shared" si="73"/>
        <v>11308</v>
      </c>
    </row>
    <row r="261" spans="1:10" x14ac:dyDescent="0.2">
      <c r="B261" s="42" t="s">
        <v>165</v>
      </c>
      <c r="C261" s="43">
        <v>11181</v>
      </c>
      <c r="D261" s="43">
        <v>0</v>
      </c>
      <c r="E261" s="50">
        <v>305</v>
      </c>
      <c r="F261" s="50">
        <v>0</v>
      </c>
      <c r="G261" s="43">
        <f t="shared" si="72"/>
        <v>11486</v>
      </c>
      <c r="H261" s="43">
        <v>88</v>
      </c>
      <c r="I261" s="43">
        <v>0</v>
      </c>
      <c r="J261" s="43">
        <f t="shared" si="73"/>
        <v>11574</v>
      </c>
    </row>
    <row r="262" spans="1:10" x14ac:dyDescent="0.2">
      <c r="B262" s="42" t="s">
        <v>249</v>
      </c>
      <c r="C262" s="43">
        <v>11754</v>
      </c>
      <c r="D262" s="43">
        <v>122</v>
      </c>
      <c r="E262" s="50">
        <v>387</v>
      </c>
      <c r="F262" s="50">
        <v>0</v>
      </c>
      <c r="G262" s="43">
        <f t="shared" si="72"/>
        <v>12263</v>
      </c>
      <c r="H262" s="43">
        <v>76</v>
      </c>
      <c r="I262" s="43">
        <v>0</v>
      </c>
      <c r="J262" s="43">
        <f t="shared" si="73"/>
        <v>12339</v>
      </c>
    </row>
    <row r="263" spans="1:10" x14ac:dyDescent="0.2">
      <c r="B263" s="42" t="s">
        <v>250</v>
      </c>
      <c r="C263" s="43">
        <v>9714</v>
      </c>
      <c r="D263" s="43">
        <v>2823</v>
      </c>
      <c r="E263" s="50">
        <v>419</v>
      </c>
      <c r="F263" s="50">
        <v>8</v>
      </c>
      <c r="G263" s="43">
        <f t="shared" si="72"/>
        <v>12964</v>
      </c>
      <c r="H263" s="43">
        <f>H262</f>
        <v>76</v>
      </c>
      <c r="I263" s="43">
        <v>0</v>
      </c>
      <c r="J263" s="43">
        <f t="shared" si="73"/>
        <v>13040</v>
      </c>
    </row>
    <row r="264" spans="1:10" x14ac:dyDescent="0.2">
      <c r="B264" s="42" t="s">
        <v>300</v>
      </c>
      <c r="C264" s="43">
        <v>9747</v>
      </c>
      <c r="D264" s="43">
        <v>3489</v>
      </c>
      <c r="E264" s="43">
        <v>332</v>
      </c>
      <c r="F264" s="43">
        <v>135</v>
      </c>
      <c r="G264" s="43">
        <f t="shared" si="72"/>
        <v>13703</v>
      </c>
      <c r="H264" s="43">
        <f>H263</f>
        <v>76</v>
      </c>
      <c r="I264" s="43">
        <v>0</v>
      </c>
      <c r="J264" s="43">
        <f t="shared" si="73"/>
        <v>13779</v>
      </c>
    </row>
    <row r="265" spans="1:10" x14ac:dyDescent="0.2">
      <c r="B265" s="42" t="s">
        <v>301</v>
      </c>
      <c r="C265" s="43">
        <v>9564</v>
      </c>
      <c r="D265" s="43">
        <v>4433</v>
      </c>
      <c r="E265" s="43">
        <v>293</v>
      </c>
      <c r="F265" s="43">
        <v>214</v>
      </c>
      <c r="G265" s="43">
        <f t="shared" si="72"/>
        <v>14504</v>
      </c>
      <c r="H265" s="43">
        <f>H264</f>
        <v>76</v>
      </c>
      <c r="I265" s="43">
        <v>0</v>
      </c>
      <c r="J265" s="43">
        <f t="shared" si="73"/>
        <v>14580</v>
      </c>
    </row>
    <row r="266" spans="1:10" x14ac:dyDescent="0.2">
      <c r="B266" s="42" t="s">
        <v>388</v>
      </c>
      <c r="C266" s="43">
        <v>8976</v>
      </c>
      <c r="D266" s="43">
        <v>5801</v>
      </c>
      <c r="E266" s="43">
        <v>258</v>
      </c>
      <c r="F266" s="43">
        <v>289</v>
      </c>
      <c r="G266" s="43">
        <f t="shared" si="72"/>
        <v>15324</v>
      </c>
      <c r="H266" s="43">
        <f>H265</f>
        <v>76</v>
      </c>
      <c r="I266" s="43">
        <v>0</v>
      </c>
      <c r="J266" s="43">
        <f t="shared" si="73"/>
        <v>15400</v>
      </c>
    </row>
    <row r="267" spans="1:10" x14ac:dyDescent="0.2">
      <c r="B267" s="42" t="s">
        <v>389</v>
      </c>
      <c r="C267" s="43">
        <v>8739</v>
      </c>
      <c r="D267" s="43">
        <v>6857</v>
      </c>
      <c r="E267" s="43">
        <v>231</v>
      </c>
      <c r="F267" s="43">
        <v>356</v>
      </c>
      <c r="G267" s="43">
        <f t="shared" si="72"/>
        <v>16183</v>
      </c>
      <c r="H267" s="43">
        <f>H266</f>
        <v>76</v>
      </c>
      <c r="I267" s="43">
        <v>0</v>
      </c>
      <c r="J267" s="43">
        <f t="shared" si="73"/>
        <v>16259</v>
      </c>
    </row>
    <row r="268" spans="1:10" x14ac:dyDescent="0.2">
      <c r="A268" s="182" t="s">
        <v>190</v>
      </c>
      <c r="B268" s="182"/>
      <c r="C268" s="185"/>
      <c r="D268" s="185"/>
      <c r="E268" s="185"/>
      <c r="F268" s="185"/>
      <c r="G268" s="185"/>
      <c r="H268" s="185"/>
      <c r="I268" s="185"/>
      <c r="J268" s="185"/>
    </row>
    <row r="269" spans="1:10" x14ac:dyDescent="0.2">
      <c r="B269" s="42" t="s">
        <v>135</v>
      </c>
      <c r="C269" s="43">
        <v>11667</v>
      </c>
      <c r="D269" s="43">
        <v>0</v>
      </c>
      <c r="E269" s="50">
        <v>188</v>
      </c>
      <c r="F269" s="50">
        <v>0</v>
      </c>
      <c r="G269" s="43">
        <f>SUM(C269:F269)</f>
        <v>11855</v>
      </c>
      <c r="H269" s="43">
        <v>116</v>
      </c>
      <c r="I269" s="43">
        <v>0</v>
      </c>
      <c r="J269" s="43">
        <f>SUM(G269:I269)</f>
        <v>11971</v>
      </c>
    </row>
    <row r="270" spans="1:10" x14ac:dyDescent="0.2">
      <c r="B270" s="42" t="s">
        <v>136</v>
      </c>
      <c r="C270" s="43">
        <v>10371</v>
      </c>
      <c r="D270" s="43">
        <v>0</v>
      </c>
      <c r="E270" s="50">
        <v>189</v>
      </c>
      <c r="F270" s="50">
        <v>0</v>
      </c>
      <c r="G270" s="43">
        <f t="shared" ref="G270:G281" si="74">SUM(C270:F270)</f>
        <v>10560</v>
      </c>
      <c r="H270" s="43">
        <v>124</v>
      </c>
      <c r="I270" s="43">
        <v>0</v>
      </c>
      <c r="J270" s="43">
        <f t="shared" ref="J270:J281" si="75">SUM(G270:I270)</f>
        <v>10684</v>
      </c>
    </row>
    <row r="271" spans="1:10" x14ac:dyDescent="0.2">
      <c r="B271" s="42" t="s">
        <v>137</v>
      </c>
      <c r="C271" s="43">
        <v>11094</v>
      </c>
      <c r="D271" s="43">
        <v>0</v>
      </c>
      <c r="E271" s="50">
        <v>195</v>
      </c>
      <c r="F271" s="50">
        <v>0</v>
      </c>
      <c r="G271" s="43">
        <f t="shared" si="74"/>
        <v>11289</v>
      </c>
      <c r="H271" s="43">
        <v>120</v>
      </c>
      <c r="I271" s="43">
        <v>0</v>
      </c>
      <c r="J271" s="43">
        <f t="shared" si="75"/>
        <v>11409</v>
      </c>
    </row>
    <row r="272" spans="1:10" x14ac:dyDescent="0.2">
      <c r="B272" s="42" t="s">
        <v>138</v>
      </c>
      <c r="C272" s="43">
        <v>11140</v>
      </c>
      <c r="D272" s="43">
        <v>0</v>
      </c>
      <c r="E272" s="50">
        <v>202</v>
      </c>
      <c r="F272" s="50">
        <v>0</v>
      </c>
      <c r="G272" s="43">
        <f t="shared" si="74"/>
        <v>11342</v>
      </c>
      <c r="H272" s="43">
        <v>110</v>
      </c>
      <c r="I272" s="43">
        <v>0</v>
      </c>
      <c r="J272" s="43">
        <f t="shared" si="75"/>
        <v>11452</v>
      </c>
    </row>
    <row r="273" spans="1:11" x14ac:dyDescent="0.2">
      <c r="B273" s="42" t="s">
        <v>139</v>
      </c>
      <c r="C273" s="43">
        <v>11731</v>
      </c>
      <c r="D273" s="43">
        <v>0</v>
      </c>
      <c r="E273" s="50">
        <v>255</v>
      </c>
      <c r="F273" s="50">
        <v>0</v>
      </c>
      <c r="G273" s="43">
        <f t="shared" si="74"/>
        <v>11986</v>
      </c>
      <c r="H273" s="43">
        <v>124</v>
      </c>
      <c r="I273" s="43">
        <v>0</v>
      </c>
      <c r="J273" s="43">
        <f t="shared" si="75"/>
        <v>12110</v>
      </c>
    </row>
    <row r="274" spans="1:11" x14ac:dyDescent="0.2">
      <c r="B274" s="42" t="s">
        <v>164</v>
      </c>
      <c r="C274" s="43">
        <v>12506</v>
      </c>
      <c r="D274" s="43">
        <v>0</v>
      </c>
      <c r="E274" s="50">
        <v>352</v>
      </c>
      <c r="F274" s="50">
        <v>0</v>
      </c>
      <c r="G274" s="43">
        <f t="shared" si="74"/>
        <v>12858</v>
      </c>
      <c r="H274" s="43">
        <v>94</v>
      </c>
      <c r="I274" s="43">
        <v>0</v>
      </c>
      <c r="J274" s="43">
        <f t="shared" si="75"/>
        <v>12952</v>
      </c>
    </row>
    <row r="275" spans="1:11" x14ac:dyDescent="0.2">
      <c r="B275" s="42" t="s">
        <v>165</v>
      </c>
      <c r="C275" s="43">
        <v>12779</v>
      </c>
      <c r="D275" s="43">
        <v>0</v>
      </c>
      <c r="E275" s="50">
        <v>363</v>
      </c>
      <c r="F275" s="50">
        <v>0</v>
      </c>
      <c r="G275" s="43">
        <f t="shared" si="74"/>
        <v>13142</v>
      </c>
      <c r="H275" s="43">
        <v>113</v>
      </c>
      <c r="I275" s="43">
        <v>0</v>
      </c>
      <c r="J275" s="43">
        <f t="shared" si="75"/>
        <v>13255</v>
      </c>
    </row>
    <row r="276" spans="1:11" x14ac:dyDescent="0.2">
      <c r="B276" s="42" t="s">
        <v>249</v>
      </c>
      <c r="C276" s="43">
        <v>13388</v>
      </c>
      <c r="D276" s="43">
        <v>150</v>
      </c>
      <c r="E276" s="50">
        <v>460</v>
      </c>
      <c r="F276" s="50">
        <v>0</v>
      </c>
      <c r="G276" s="43">
        <f t="shared" si="74"/>
        <v>13998</v>
      </c>
      <c r="H276" s="43">
        <v>98</v>
      </c>
      <c r="I276" s="43">
        <v>0</v>
      </c>
      <c r="J276" s="43">
        <f t="shared" si="75"/>
        <v>14096</v>
      </c>
    </row>
    <row r="277" spans="1:11" x14ac:dyDescent="0.2">
      <c r="B277" s="42" t="s">
        <v>250</v>
      </c>
      <c r="C277" s="43">
        <v>11168</v>
      </c>
      <c r="D277" s="43">
        <v>3114</v>
      </c>
      <c r="E277" s="50">
        <v>490</v>
      </c>
      <c r="F277" s="50">
        <v>18</v>
      </c>
      <c r="G277" s="43">
        <f t="shared" si="74"/>
        <v>14790</v>
      </c>
      <c r="H277" s="43">
        <f>H276</f>
        <v>98</v>
      </c>
      <c r="I277" s="43">
        <v>0</v>
      </c>
      <c r="J277" s="43">
        <f t="shared" si="75"/>
        <v>14888</v>
      </c>
    </row>
    <row r="278" spans="1:11" x14ac:dyDescent="0.2">
      <c r="B278" s="42" t="s">
        <v>300</v>
      </c>
      <c r="C278" s="43">
        <v>11186</v>
      </c>
      <c r="D278" s="43">
        <v>3874</v>
      </c>
      <c r="E278" s="43">
        <v>393</v>
      </c>
      <c r="F278" s="43">
        <v>162</v>
      </c>
      <c r="G278" s="43">
        <f t="shared" si="74"/>
        <v>15615</v>
      </c>
      <c r="H278" s="43">
        <f>H277</f>
        <v>98</v>
      </c>
      <c r="I278" s="43">
        <v>0</v>
      </c>
      <c r="J278" s="43">
        <f t="shared" si="75"/>
        <v>15713</v>
      </c>
    </row>
    <row r="279" spans="1:11" x14ac:dyDescent="0.2">
      <c r="B279" s="42" t="s">
        <v>301</v>
      </c>
      <c r="C279" s="43">
        <v>10976</v>
      </c>
      <c r="D279" s="43">
        <v>4943</v>
      </c>
      <c r="E279" s="43">
        <v>340</v>
      </c>
      <c r="F279" s="43">
        <v>262</v>
      </c>
      <c r="G279" s="43">
        <f t="shared" si="74"/>
        <v>16521</v>
      </c>
      <c r="H279" s="43">
        <f>H278</f>
        <v>98</v>
      </c>
      <c r="I279" s="43">
        <v>0</v>
      </c>
      <c r="J279" s="43">
        <f t="shared" si="75"/>
        <v>16619</v>
      </c>
    </row>
    <row r="280" spans="1:11" x14ac:dyDescent="0.2">
      <c r="B280" s="42" t="s">
        <v>388</v>
      </c>
      <c r="C280" s="43">
        <v>10278</v>
      </c>
      <c r="D280" s="43">
        <v>6542</v>
      </c>
      <c r="E280" s="43">
        <v>299</v>
      </c>
      <c r="F280" s="43">
        <v>351</v>
      </c>
      <c r="G280" s="43">
        <f t="shared" si="74"/>
        <v>17470</v>
      </c>
      <c r="H280" s="43">
        <f>H279</f>
        <v>98</v>
      </c>
      <c r="I280" s="43">
        <v>0</v>
      </c>
      <c r="J280" s="43">
        <f t="shared" si="75"/>
        <v>17568</v>
      </c>
    </row>
    <row r="281" spans="1:11" x14ac:dyDescent="0.2">
      <c r="B281" s="42" t="s">
        <v>389</v>
      </c>
      <c r="C281" s="43">
        <v>10048</v>
      </c>
      <c r="D281" s="43">
        <v>7711</v>
      </c>
      <c r="E281" s="43">
        <v>268</v>
      </c>
      <c r="F281" s="43">
        <v>429</v>
      </c>
      <c r="G281" s="43">
        <f t="shared" si="74"/>
        <v>18456</v>
      </c>
      <c r="H281" s="43">
        <f>H280</f>
        <v>98</v>
      </c>
      <c r="I281" s="43">
        <v>0</v>
      </c>
      <c r="J281" s="43">
        <f t="shared" si="75"/>
        <v>18554</v>
      </c>
    </row>
    <row r="282" spans="1:11" x14ac:dyDescent="0.2">
      <c r="A282" s="182" t="s">
        <v>193</v>
      </c>
      <c r="B282" s="182"/>
      <c r="C282" s="185"/>
      <c r="D282" s="185"/>
      <c r="E282" s="185"/>
      <c r="F282" s="185"/>
      <c r="G282" s="185"/>
      <c r="H282" s="185"/>
      <c r="I282" s="185"/>
      <c r="J282" s="185"/>
    </row>
    <row r="283" spans="1:11" x14ac:dyDescent="0.2">
      <c r="B283" s="42" t="s">
        <v>135</v>
      </c>
      <c r="C283" s="50">
        <v>11895</v>
      </c>
      <c r="D283" s="50">
        <v>0</v>
      </c>
      <c r="E283" s="50">
        <v>193</v>
      </c>
      <c r="F283" s="50">
        <v>0</v>
      </c>
      <c r="G283" s="43">
        <f>SUM(C283:F283)</f>
        <v>12088</v>
      </c>
      <c r="H283" s="43">
        <v>116</v>
      </c>
      <c r="I283" s="50">
        <v>0</v>
      </c>
      <c r="J283" s="43">
        <f>SUM(G283:I283)</f>
        <v>12204</v>
      </c>
    </row>
    <row r="284" spans="1:11" x14ac:dyDescent="0.2">
      <c r="B284" s="42" t="s">
        <v>136</v>
      </c>
      <c r="C284" s="43">
        <v>10751</v>
      </c>
      <c r="D284" s="43">
        <v>0</v>
      </c>
      <c r="E284" s="50">
        <v>193</v>
      </c>
      <c r="F284" s="50">
        <v>0</v>
      </c>
      <c r="G284" s="43">
        <f t="shared" ref="G284:G295" si="76">SUM(C284:F284)</f>
        <v>10944</v>
      </c>
      <c r="H284" s="43">
        <v>124</v>
      </c>
      <c r="I284" s="43">
        <v>0</v>
      </c>
      <c r="J284" s="43">
        <f t="shared" ref="J284:J295" si="77">SUM(G284:I284)</f>
        <v>11068</v>
      </c>
    </row>
    <row r="285" spans="1:11" x14ac:dyDescent="0.2">
      <c r="B285" s="42" t="s">
        <v>137</v>
      </c>
      <c r="C285" s="43">
        <v>11173</v>
      </c>
      <c r="D285" s="43">
        <v>0</v>
      </c>
      <c r="E285" s="50">
        <v>202</v>
      </c>
      <c r="F285" s="50">
        <v>0</v>
      </c>
      <c r="G285" s="43">
        <f t="shared" si="76"/>
        <v>11375</v>
      </c>
      <c r="H285" s="43">
        <v>120</v>
      </c>
      <c r="I285" s="43">
        <v>0</v>
      </c>
      <c r="J285" s="43">
        <f t="shared" si="77"/>
        <v>11495</v>
      </c>
    </row>
    <row r="286" spans="1:11" x14ac:dyDescent="0.2">
      <c r="B286" s="42" t="s">
        <v>138</v>
      </c>
      <c r="C286" s="43">
        <v>11261</v>
      </c>
      <c r="D286" s="43">
        <v>0</v>
      </c>
      <c r="E286" s="50">
        <v>208</v>
      </c>
      <c r="F286" s="50">
        <v>0</v>
      </c>
      <c r="G286" s="43">
        <f t="shared" si="76"/>
        <v>11469</v>
      </c>
      <c r="H286" s="43">
        <v>110</v>
      </c>
      <c r="I286" s="43">
        <v>0</v>
      </c>
      <c r="J286" s="43">
        <f t="shared" si="77"/>
        <v>11579</v>
      </c>
    </row>
    <row r="287" spans="1:11" x14ac:dyDescent="0.2">
      <c r="B287" s="42" t="s">
        <v>139</v>
      </c>
      <c r="C287" s="43">
        <v>11787</v>
      </c>
      <c r="D287" s="43">
        <v>0</v>
      </c>
      <c r="E287" s="50">
        <v>261</v>
      </c>
      <c r="F287" s="50">
        <v>0</v>
      </c>
      <c r="G287" s="43">
        <f t="shared" si="76"/>
        <v>12048</v>
      </c>
      <c r="H287" s="43">
        <f>H273</f>
        <v>124</v>
      </c>
      <c r="I287" s="43">
        <v>0</v>
      </c>
      <c r="J287" s="43">
        <f t="shared" si="77"/>
        <v>12172</v>
      </c>
    </row>
    <row r="288" spans="1:11" x14ac:dyDescent="0.2">
      <c r="B288" s="42" t="s">
        <v>164</v>
      </c>
      <c r="C288" s="43">
        <v>12594</v>
      </c>
      <c r="D288" s="43">
        <v>0</v>
      </c>
      <c r="E288" s="50">
        <v>356</v>
      </c>
      <c r="F288" s="50">
        <v>0</v>
      </c>
      <c r="G288" s="43">
        <f t="shared" si="76"/>
        <v>12950</v>
      </c>
      <c r="H288" s="43">
        <f t="shared" ref="H288:H295" si="78">H274</f>
        <v>94</v>
      </c>
      <c r="I288" s="43">
        <v>0</v>
      </c>
      <c r="J288" s="43">
        <f t="shared" si="77"/>
        <v>13044</v>
      </c>
      <c r="K288" s="98">
        <f>C288-12595.36</f>
        <v>-1.3600000000005821</v>
      </c>
    </row>
    <row r="289" spans="1:12" x14ac:dyDescent="0.2">
      <c r="B289" s="42" t="s">
        <v>165</v>
      </c>
      <c r="C289" s="43">
        <v>12884</v>
      </c>
      <c r="D289" s="43">
        <v>0</v>
      </c>
      <c r="E289" s="50">
        <v>371</v>
      </c>
      <c r="F289" s="50">
        <v>0</v>
      </c>
      <c r="G289" s="43">
        <f t="shared" si="76"/>
        <v>13255</v>
      </c>
      <c r="H289" s="43">
        <f t="shared" si="78"/>
        <v>113</v>
      </c>
      <c r="I289" s="43">
        <v>0</v>
      </c>
      <c r="J289" s="43">
        <f t="shared" si="77"/>
        <v>13368</v>
      </c>
      <c r="K289" s="98">
        <f>C289-11275.75</f>
        <v>1608.25</v>
      </c>
      <c r="L289" s="114">
        <f>K289*4601</f>
        <v>7399558.25</v>
      </c>
    </row>
    <row r="290" spans="1:12" x14ac:dyDescent="0.2">
      <c r="B290" s="42" t="s">
        <v>249</v>
      </c>
      <c r="C290" s="43">
        <v>13467</v>
      </c>
      <c r="D290" s="43">
        <v>142</v>
      </c>
      <c r="E290" s="50">
        <v>461</v>
      </c>
      <c r="F290" s="50">
        <v>0</v>
      </c>
      <c r="G290" s="43">
        <f t="shared" si="76"/>
        <v>14070</v>
      </c>
      <c r="H290" s="43">
        <f t="shared" si="78"/>
        <v>98</v>
      </c>
      <c r="I290" s="43">
        <v>0</v>
      </c>
      <c r="J290" s="43">
        <f t="shared" si="77"/>
        <v>14168</v>
      </c>
    </row>
    <row r="291" spans="1:12" x14ac:dyDescent="0.2">
      <c r="B291" s="42" t="s">
        <v>250</v>
      </c>
      <c r="C291" s="43">
        <v>11669</v>
      </c>
      <c r="D291" s="43">
        <v>2868</v>
      </c>
      <c r="E291" s="50">
        <v>498</v>
      </c>
      <c r="F291" s="50">
        <v>11</v>
      </c>
      <c r="G291" s="43">
        <f t="shared" si="76"/>
        <v>15046</v>
      </c>
      <c r="H291" s="43">
        <f t="shared" si="78"/>
        <v>98</v>
      </c>
      <c r="I291" s="43">
        <v>0</v>
      </c>
      <c r="J291" s="43">
        <f t="shared" si="77"/>
        <v>15144</v>
      </c>
    </row>
    <row r="292" spans="1:12" x14ac:dyDescent="0.2">
      <c r="B292" s="42" t="s">
        <v>300</v>
      </c>
      <c r="C292" s="43">
        <v>11206</v>
      </c>
      <c r="D292" s="43">
        <v>3867</v>
      </c>
      <c r="E292" s="43">
        <v>394</v>
      </c>
      <c r="F292" s="43">
        <v>163</v>
      </c>
      <c r="G292" s="43">
        <f t="shared" si="76"/>
        <v>15630</v>
      </c>
      <c r="H292" s="43">
        <f t="shared" si="78"/>
        <v>98</v>
      </c>
      <c r="I292" s="43">
        <v>0</v>
      </c>
      <c r="J292" s="43">
        <f t="shared" si="77"/>
        <v>15728</v>
      </c>
    </row>
    <row r="293" spans="1:12" x14ac:dyDescent="0.2">
      <c r="B293" s="42" t="s">
        <v>301</v>
      </c>
      <c r="C293" s="43">
        <v>11057</v>
      </c>
      <c r="D293" s="43">
        <v>4901</v>
      </c>
      <c r="E293" s="43">
        <v>355</v>
      </c>
      <c r="F293" s="43">
        <v>250</v>
      </c>
      <c r="G293" s="43">
        <f t="shared" si="76"/>
        <v>16563</v>
      </c>
      <c r="H293" s="43">
        <f t="shared" si="78"/>
        <v>98</v>
      </c>
      <c r="I293" s="43">
        <v>0</v>
      </c>
      <c r="J293" s="43">
        <f t="shared" si="77"/>
        <v>16661</v>
      </c>
    </row>
    <row r="294" spans="1:12" x14ac:dyDescent="0.2">
      <c r="B294" s="42" t="s">
        <v>388</v>
      </c>
      <c r="C294" s="43">
        <v>10424</v>
      </c>
      <c r="D294" s="43">
        <v>6437</v>
      </c>
      <c r="E294" s="43">
        <v>308</v>
      </c>
      <c r="F294" s="43">
        <v>344</v>
      </c>
      <c r="G294" s="43">
        <f t="shared" si="76"/>
        <v>17513</v>
      </c>
      <c r="H294" s="43">
        <f t="shared" si="78"/>
        <v>98</v>
      </c>
      <c r="I294" s="43">
        <v>0</v>
      </c>
      <c r="J294" s="43">
        <f t="shared" si="77"/>
        <v>17611</v>
      </c>
    </row>
    <row r="295" spans="1:12" x14ac:dyDescent="0.2">
      <c r="B295" s="42" t="s">
        <v>389</v>
      </c>
      <c r="C295" s="43">
        <v>10124</v>
      </c>
      <c r="D295" s="43">
        <v>7677</v>
      </c>
      <c r="E295" s="43">
        <v>275</v>
      </c>
      <c r="F295" s="43">
        <v>424</v>
      </c>
      <c r="G295" s="43">
        <f t="shared" si="76"/>
        <v>18500</v>
      </c>
      <c r="H295" s="43">
        <f t="shared" si="78"/>
        <v>98</v>
      </c>
      <c r="I295" s="43">
        <v>0</v>
      </c>
      <c r="J295" s="43">
        <f t="shared" si="77"/>
        <v>18598</v>
      </c>
    </row>
    <row r="296" spans="1:12" x14ac:dyDescent="0.2">
      <c r="B296" s="42"/>
      <c r="C296" s="43"/>
      <c r="D296" s="43"/>
      <c r="E296" s="50"/>
      <c r="F296" s="50"/>
      <c r="G296" s="43"/>
      <c r="H296" s="43"/>
      <c r="I296" s="43"/>
      <c r="J296" s="43"/>
    </row>
    <row r="297" spans="1:12" x14ac:dyDescent="0.2">
      <c r="A297" s="182" t="s">
        <v>194</v>
      </c>
      <c r="B297" s="182"/>
      <c r="C297" s="185"/>
      <c r="D297" s="185"/>
      <c r="E297" s="185"/>
      <c r="F297" s="185"/>
      <c r="G297" s="185"/>
      <c r="H297" s="185"/>
      <c r="I297" s="185"/>
      <c r="J297" s="185"/>
    </row>
    <row r="298" spans="1:12" x14ac:dyDescent="0.2">
      <c r="B298" s="42" t="s">
        <v>135</v>
      </c>
      <c r="C298" s="43">
        <v>38288</v>
      </c>
      <c r="D298" s="43">
        <v>0</v>
      </c>
      <c r="E298" s="50">
        <v>1332</v>
      </c>
      <c r="F298" s="50">
        <v>0</v>
      </c>
      <c r="G298" s="43">
        <f>SUM(C298:F298)</f>
        <v>39620</v>
      </c>
      <c r="H298" s="43">
        <v>0</v>
      </c>
      <c r="I298" s="43">
        <v>0</v>
      </c>
      <c r="J298" s="43">
        <f>SUM(G298:I298)</f>
        <v>39620</v>
      </c>
    </row>
    <row r="299" spans="1:12" x14ac:dyDescent="0.2">
      <c r="B299" s="42" t="s">
        <v>136</v>
      </c>
      <c r="C299" s="43">
        <v>37116</v>
      </c>
      <c r="D299" s="43">
        <v>0</v>
      </c>
      <c r="E299" s="50">
        <v>1832</v>
      </c>
      <c r="F299" s="50">
        <v>0</v>
      </c>
      <c r="G299" s="43">
        <f t="shared" ref="G299:G310" si="79">SUM(C299:F299)</f>
        <v>38948</v>
      </c>
      <c r="H299" s="43">
        <v>0</v>
      </c>
      <c r="I299" s="43">
        <v>0</v>
      </c>
      <c r="J299" s="43">
        <f t="shared" ref="J299:J310" si="80">SUM(G299:I299)</f>
        <v>38948</v>
      </c>
    </row>
    <row r="300" spans="1:12" x14ac:dyDescent="0.2">
      <c r="B300" s="42" t="s">
        <v>137</v>
      </c>
      <c r="C300" s="43">
        <v>37511</v>
      </c>
      <c r="D300" s="43">
        <v>0</v>
      </c>
      <c r="E300" s="50">
        <v>2351</v>
      </c>
      <c r="F300" s="50">
        <v>0</v>
      </c>
      <c r="G300" s="43">
        <f t="shared" si="79"/>
        <v>39862</v>
      </c>
      <c r="H300" s="43">
        <v>0</v>
      </c>
      <c r="I300" s="43">
        <v>0</v>
      </c>
      <c r="J300" s="43">
        <f t="shared" si="80"/>
        <v>39862</v>
      </c>
    </row>
    <row r="301" spans="1:12" x14ac:dyDescent="0.2">
      <c r="B301" s="42" t="s">
        <v>138</v>
      </c>
      <c r="C301" s="43">
        <v>38560</v>
      </c>
      <c r="D301" s="43">
        <v>0</v>
      </c>
      <c r="E301" s="50">
        <v>3374</v>
      </c>
      <c r="F301" s="50">
        <v>0</v>
      </c>
      <c r="G301" s="43">
        <f t="shared" si="79"/>
        <v>41934</v>
      </c>
      <c r="H301" s="43">
        <v>0</v>
      </c>
      <c r="I301" s="43">
        <v>0</v>
      </c>
      <c r="J301" s="43">
        <f t="shared" si="80"/>
        <v>41934</v>
      </c>
    </row>
    <row r="302" spans="1:12" x14ac:dyDescent="0.2">
      <c r="B302" s="42" t="s">
        <v>139</v>
      </c>
      <c r="C302" s="43">
        <v>39016</v>
      </c>
      <c r="D302" s="43">
        <v>0</v>
      </c>
      <c r="E302" s="50">
        <v>3803</v>
      </c>
      <c r="F302" s="50">
        <v>0</v>
      </c>
      <c r="G302" s="43">
        <f t="shared" si="79"/>
        <v>42819</v>
      </c>
      <c r="H302" s="43">
        <v>0</v>
      </c>
      <c r="I302" s="43">
        <v>0</v>
      </c>
      <c r="J302" s="43">
        <f t="shared" si="80"/>
        <v>42819</v>
      </c>
    </row>
    <row r="303" spans="1:12" x14ac:dyDescent="0.2">
      <c r="B303" s="42" t="s">
        <v>164</v>
      </c>
      <c r="C303" s="43">
        <v>39113</v>
      </c>
      <c r="D303" s="43">
        <v>0</v>
      </c>
      <c r="E303" s="50">
        <v>4645</v>
      </c>
      <c r="F303" s="50">
        <v>0</v>
      </c>
      <c r="G303" s="43">
        <f t="shared" si="79"/>
        <v>43758</v>
      </c>
      <c r="H303" s="43">
        <v>0</v>
      </c>
      <c r="I303" s="43">
        <v>0</v>
      </c>
      <c r="J303" s="43">
        <f t="shared" si="80"/>
        <v>43758</v>
      </c>
    </row>
    <row r="304" spans="1:12" x14ac:dyDescent="0.2">
      <c r="B304" s="42" t="s">
        <v>165</v>
      </c>
      <c r="C304" s="43">
        <v>38470</v>
      </c>
      <c r="D304" s="43">
        <v>10</v>
      </c>
      <c r="E304" s="50">
        <v>5098</v>
      </c>
      <c r="F304" s="50">
        <v>0</v>
      </c>
      <c r="G304" s="43">
        <f t="shared" si="79"/>
        <v>43578</v>
      </c>
      <c r="H304" s="43">
        <v>0</v>
      </c>
      <c r="I304" s="43">
        <v>0</v>
      </c>
      <c r="J304" s="43">
        <f t="shared" si="80"/>
        <v>43578</v>
      </c>
    </row>
    <row r="305" spans="1:16" x14ac:dyDescent="0.2">
      <c r="B305" s="42" t="s">
        <v>249</v>
      </c>
      <c r="C305" s="43">
        <v>37813</v>
      </c>
      <c r="D305" s="43">
        <v>60</v>
      </c>
      <c r="E305" s="50">
        <v>5413</v>
      </c>
      <c r="F305" s="50">
        <v>0</v>
      </c>
      <c r="G305" s="43">
        <f t="shared" si="79"/>
        <v>43286</v>
      </c>
      <c r="H305" s="43">
        <v>0</v>
      </c>
      <c r="I305" s="43">
        <v>0</v>
      </c>
      <c r="J305" s="43">
        <f t="shared" si="80"/>
        <v>43286</v>
      </c>
    </row>
    <row r="306" spans="1:16" x14ac:dyDescent="0.2">
      <c r="B306" s="42" t="s">
        <v>250</v>
      </c>
      <c r="C306" s="43">
        <v>38346</v>
      </c>
      <c r="D306" s="43">
        <v>-856</v>
      </c>
      <c r="E306" s="50">
        <v>6422</v>
      </c>
      <c r="F306" s="50">
        <v>-487</v>
      </c>
      <c r="G306" s="43">
        <f t="shared" si="79"/>
        <v>43425</v>
      </c>
      <c r="H306" s="43">
        <v>0</v>
      </c>
      <c r="I306" s="43">
        <v>0</v>
      </c>
      <c r="J306" s="43">
        <f t="shared" si="80"/>
        <v>43425</v>
      </c>
    </row>
    <row r="307" spans="1:16" x14ac:dyDescent="0.2">
      <c r="B307" s="42" t="s">
        <v>300</v>
      </c>
      <c r="C307" s="43">
        <v>37833</v>
      </c>
      <c r="D307" s="43">
        <v>-688</v>
      </c>
      <c r="E307" s="43">
        <v>6521</v>
      </c>
      <c r="F307" s="43">
        <v>29</v>
      </c>
      <c r="G307" s="43">
        <f t="shared" si="79"/>
        <v>43695</v>
      </c>
      <c r="H307" s="43">
        <v>0</v>
      </c>
      <c r="I307" s="43">
        <v>0</v>
      </c>
      <c r="J307" s="43">
        <f t="shared" si="80"/>
        <v>43695</v>
      </c>
    </row>
    <row r="308" spans="1:16" x14ac:dyDescent="0.2">
      <c r="B308" s="42" t="s">
        <v>301</v>
      </c>
      <c r="C308" s="43">
        <v>37977</v>
      </c>
      <c r="D308" s="43">
        <v>-1092</v>
      </c>
      <c r="E308" s="43">
        <v>6535</v>
      </c>
      <c r="F308" s="43">
        <v>692</v>
      </c>
      <c r="G308" s="43">
        <f t="shared" si="79"/>
        <v>44112</v>
      </c>
      <c r="H308" s="43">
        <v>0</v>
      </c>
      <c r="I308" s="43">
        <v>0</v>
      </c>
      <c r="J308" s="43">
        <f t="shared" si="80"/>
        <v>44112</v>
      </c>
    </row>
    <row r="309" spans="1:16" x14ac:dyDescent="0.2">
      <c r="B309" s="42" t="s">
        <v>388</v>
      </c>
      <c r="C309" s="43">
        <v>37977</v>
      </c>
      <c r="D309" s="43">
        <v>-1393</v>
      </c>
      <c r="E309" s="43">
        <v>6535</v>
      </c>
      <c r="F309" s="43">
        <v>1430</v>
      </c>
      <c r="G309" s="43">
        <f t="shared" si="79"/>
        <v>44549</v>
      </c>
      <c r="H309" s="43">
        <v>0</v>
      </c>
      <c r="I309" s="43">
        <v>0</v>
      </c>
      <c r="J309" s="43">
        <f t="shared" si="80"/>
        <v>44549</v>
      </c>
    </row>
    <row r="310" spans="1:16" x14ac:dyDescent="0.2">
      <c r="B310" s="42" t="s">
        <v>389</v>
      </c>
      <c r="C310" s="43">
        <v>37977</v>
      </c>
      <c r="D310" s="43">
        <v>-1698</v>
      </c>
      <c r="E310" s="43">
        <v>6535</v>
      </c>
      <c r="F310" s="43">
        <v>2233</v>
      </c>
      <c r="G310" s="43">
        <f t="shared" si="79"/>
        <v>45047</v>
      </c>
      <c r="H310" s="43">
        <v>0</v>
      </c>
      <c r="I310" s="43">
        <v>0</v>
      </c>
      <c r="J310" s="43">
        <f t="shared" si="80"/>
        <v>45047</v>
      </c>
    </row>
    <row r="311" spans="1:16" x14ac:dyDescent="0.2">
      <c r="A311" s="182" t="s">
        <v>195</v>
      </c>
      <c r="B311" s="182"/>
      <c r="C311" s="185"/>
      <c r="D311" s="185"/>
      <c r="E311" s="185"/>
      <c r="F311" s="185"/>
      <c r="G311" s="185"/>
      <c r="H311" s="185"/>
      <c r="I311" s="185"/>
      <c r="J311" s="185"/>
      <c r="K311" s="169" t="s">
        <v>306</v>
      </c>
      <c r="L311" s="169" t="s">
        <v>307</v>
      </c>
    </row>
    <row r="312" spans="1:16" x14ac:dyDescent="0.2">
      <c r="B312" s="42" t="s">
        <v>135</v>
      </c>
      <c r="C312" s="50">
        <v>39783</v>
      </c>
      <c r="D312" s="50">
        <v>0</v>
      </c>
      <c r="E312" s="50">
        <v>1449</v>
      </c>
      <c r="F312" s="50">
        <v>0</v>
      </c>
      <c r="G312" s="43">
        <f>SUM(C312:F312)</f>
        <v>41232</v>
      </c>
      <c r="H312" s="50">
        <v>0</v>
      </c>
      <c r="I312" s="50">
        <v>0</v>
      </c>
      <c r="J312" s="43">
        <f>SUM(G312:I312)</f>
        <v>41232</v>
      </c>
    </row>
    <row r="313" spans="1:16" x14ac:dyDescent="0.2">
      <c r="B313" s="42" t="s">
        <v>136</v>
      </c>
      <c r="C313" s="43">
        <v>39187</v>
      </c>
      <c r="D313" s="43">
        <v>0</v>
      </c>
      <c r="E313" s="50">
        <v>1982</v>
      </c>
      <c r="F313" s="50">
        <v>0</v>
      </c>
      <c r="G313" s="43">
        <f t="shared" ref="G313:G324" si="81">SUM(C313:F313)</f>
        <v>41169</v>
      </c>
      <c r="H313" s="43">
        <v>0</v>
      </c>
      <c r="I313" s="43">
        <v>0</v>
      </c>
      <c r="J313" s="43">
        <f t="shared" ref="J313:J324" si="82">SUM(G313:I313)</f>
        <v>41169</v>
      </c>
    </row>
    <row r="314" spans="1:16" x14ac:dyDescent="0.2">
      <c r="B314" s="42" t="s">
        <v>137</v>
      </c>
      <c r="C314" s="43">
        <v>39462.22</v>
      </c>
      <c r="D314" s="43">
        <v>0</v>
      </c>
      <c r="E314" s="50">
        <v>2649</v>
      </c>
      <c r="F314" s="50">
        <v>0</v>
      </c>
      <c r="G314" s="43">
        <f t="shared" si="81"/>
        <v>42111.22</v>
      </c>
      <c r="H314" s="43">
        <v>0</v>
      </c>
      <c r="I314" s="43">
        <v>0</v>
      </c>
      <c r="J314" s="43">
        <f t="shared" si="82"/>
        <v>42111.22</v>
      </c>
    </row>
    <row r="315" spans="1:16" x14ac:dyDescent="0.2">
      <c r="B315" s="42" t="s">
        <v>138</v>
      </c>
      <c r="C315" s="43">
        <v>40511.040000000001</v>
      </c>
      <c r="D315" s="43">
        <v>0</v>
      </c>
      <c r="E315" s="50">
        <v>3650</v>
      </c>
      <c r="F315" s="50">
        <v>0</v>
      </c>
      <c r="G315" s="43">
        <f t="shared" si="81"/>
        <v>44161.04</v>
      </c>
      <c r="H315" s="43">
        <v>0</v>
      </c>
      <c r="I315" s="43">
        <v>0</v>
      </c>
      <c r="J315" s="43">
        <f t="shared" si="82"/>
        <v>44161.04</v>
      </c>
    </row>
    <row r="316" spans="1:16" x14ac:dyDescent="0.2">
      <c r="B316" s="42" t="s">
        <v>139</v>
      </c>
      <c r="C316" s="43">
        <v>40744</v>
      </c>
      <c r="D316" s="43">
        <v>0</v>
      </c>
      <c r="E316" s="50">
        <v>4219</v>
      </c>
      <c r="F316" s="50">
        <v>0</v>
      </c>
      <c r="G316" s="43">
        <f t="shared" si="81"/>
        <v>44963</v>
      </c>
      <c r="H316" s="43">
        <v>0</v>
      </c>
      <c r="I316" s="43">
        <v>0</v>
      </c>
      <c r="J316" s="43">
        <f t="shared" si="82"/>
        <v>44963</v>
      </c>
    </row>
    <row r="317" spans="1:16" x14ac:dyDescent="0.2">
      <c r="B317" s="42" t="s">
        <v>164</v>
      </c>
      <c r="C317" s="43">
        <v>41057</v>
      </c>
      <c r="D317" s="43">
        <v>0</v>
      </c>
      <c r="E317" s="50">
        <v>5109</v>
      </c>
      <c r="F317" s="50">
        <v>0</v>
      </c>
      <c r="G317" s="43">
        <f t="shared" si="81"/>
        <v>46166</v>
      </c>
      <c r="H317" s="43">
        <v>0</v>
      </c>
      <c r="I317" s="43">
        <v>0</v>
      </c>
      <c r="J317" s="43">
        <f t="shared" si="82"/>
        <v>46166</v>
      </c>
      <c r="P317" s="98">
        <f>E317-E303</f>
        <v>464</v>
      </c>
    </row>
    <row r="318" spans="1:16" x14ac:dyDescent="0.2">
      <c r="B318" s="42" t="s">
        <v>165</v>
      </c>
      <c r="C318" s="43">
        <v>40858</v>
      </c>
      <c r="D318" s="43">
        <v>0</v>
      </c>
      <c r="E318" s="50">
        <v>5489</v>
      </c>
      <c r="F318" s="50">
        <v>0</v>
      </c>
      <c r="G318" s="43">
        <f t="shared" si="81"/>
        <v>46347</v>
      </c>
      <c r="H318" s="43">
        <v>0</v>
      </c>
      <c r="I318" s="43">
        <v>0</v>
      </c>
      <c r="J318" s="43">
        <f t="shared" si="82"/>
        <v>46347</v>
      </c>
      <c r="K318" s="131">
        <f t="shared" ref="K318:K324" si="83">ROUND(C318/C304,4)</f>
        <v>1.0621</v>
      </c>
      <c r="L318" s="131">
        <f t="shared" ref="L318:L324" si="84">ROUND(G318/G304,4)</f>
        <v>1.0634999999999999</v>
      </c>
      <c r="M318" s="43">
        <f t="shared" ref="M318:M324" si="85">C318-C304</f>
        <v>2388</v>
      </c>
      <c r="N318" s="43">
        <v>-124</v>
      </c>
      <c r="P318" s="98">
        <f>E318-E304</f>
        <v>391</v>
      </c>
    </row>
    <row r="319" spans="1:16" x14ac:dyDescent="0.2">
      <c r="B319" s="42" t="s">
        <v>249</v>
      </c>
      <c r="C319" s="43">
        <v>39572</v>
      </c>
      <c r="D319" s="43">
        <v>60</v>
      </c>
      <c r="E319" s="50">
        <v>5813</v>
      </c>
      <c r="F319" s="50">
        <v>0</v>
      </c>
      <c r="G319" s="43">
        <f t="shared" si="81"/>
        <v>45445</v>
      </c>
      <c r="H319" s="43">
        <v>0</v>
      </c>
      <c r="I319" s="43">
        <v>0</v>
      </c>
      <c r="J319" s="43">
        <f t="shared" si="82"/>
        <v>45445</v>
      </c>
      <c r="K319" s="131">
        <f t="shared" si="83"/>
        <v>1.0465</v>
      </c>
      <c r="L319" s="131">
        <f t="shared" si="84"/>
        <v>1.0499000000000001</v>
      </c>
      <c r="M319" s="43">
        <f t="shared" si="85"/>
        <v>1759</v>
      </c>
      <c r="N319" s="43">
        <v>67</v>
      </c>
    </row>
    <row r="320" spans="1:16" x14ac:dyDescent="0.2">
      <c r="B320" s="42" t="s">
        <v>250</v>
      </c>
      <c r="C320" s="43">
        <v>39905</v>
      </c>
      <c r="D320" s="43">
        <v>-645</v>
      </c>
      <c r="E320" s="50">
        <v>6817</v>
      </c>
      <c r="F320" s="50">
        <v>-375</v>
      </c>
      <c r="G320" s="43">
        <f t="shared" si="81"/>
        <v>45702</v>
      </c>
      <c r="H320" s="43">
        <v>0</v>
      </c>
      <c r="I320" s="43">
        <v>0</v>
      </c>
      <c r="J320" s="43">
        <f t="shared" si="82"/>
        <v>45702</v>
      </c>
      <c r="K320" s="131">
        <f t="shared" si="83"/>
        <v>1.0407</v>
      </c>
      <c r="L320" s="131">
        <f t="shared" si="84"/>
        <v>1.0524</v>
      </c>
      <c r="M320" s="43">
        <f t="shared" si="85"/>
        <v>1559</v>
      </c>
      <c r="N320" s="43">
        <v>682</v>
      </c>
    </row>
    <row r="321" spans="1:15" x14ac:dyDescent="0.2">
      <c r="B321" s="42" t="s">
        <v>300</v>
      </c>
      <c r="C321" s="43">
        <v>39160</v>
      </c>
      <c r="D321" s="43">
        <v>-688</v>
      </c>
      <c r="E321" s="43">
        <v>6898</v>
      </c>
      <c r="F321" s="43">
        <v>29</v>
      </c>
      <c r="G321" s="43">
        <f t="shared" si="81"/>
        <v>45399</v>
      </c>
      <c r="H321" s="43">
        <v>0</v>
      </c>
      <c r="I321" s="43">
        <v>0</v>
      </c>
      <c r="J321" s="43">
        <f t="shared" si="82"/>
        <v>45399</v>
      </c>
      <c r="K321" s="131">
        <f t="shared" si="83"/>
        <v>1.0350999999999999</v>
      </c>
      <c r="L321" s="131">
        <f t="shared" si="84"/>
        <v>1.0389999999999999</v>
      </c>
      <c r="M321" s="43">
        <f t="shared" si="85"/>
        <v>1327</v>
      </c>
      <c r="N321" s="43">
        <v>874</v>
      </c>
      <c r="O321" s="98">
        <f>M320-M321</f>
        <v>232</v>
      </c>
    </row>
    <row r="322" spans="1:15" x14ac:dyDescent="0.2">
      <c r="B322" s="42" t="s">
        <v>301</v>
      </c>
      <c r="C322" s="43">
        <v>39159</v>
      </c>
      <c r="D322" s="43">
        <v>-999</v>
      </c>
      <c r="E322" s="43">
        <v>6858</v>
      </c>
      <c r="F322" s="43">
        <v>692</v>
      </c>
      <c r="G322" s="43">
        <f t="shared" si="81"/>
        <v>45710</v>
      </c>
      <c r="H322" s="43">
        <v>0</v>
      </c>
      <c r="I322" s="43">
        <v>0</v>
      </c>
      <c r="J322" s="43">
        <f t="shared" si="82"/>
        <v>45710</v>
      </c>
      <c r="K322" s="131">
        <f t="shared" si="83"/>
        <v>1.0310999999999999</v>
      </c>
      <c r="L322" s="131">
        <f t="shared" si="84"/>
        <v>1.0362</v>
      </c>
      <c r="M322" s="43">
        <f t="shared" si="85"/>
        <v>1182</v>
      </c>
      <c r="N322" s="43">
        <v>1192</v>
      </c>
      <c r="O322" s="98">
        <f>O321</f>
        <v>232</v>
      </c>
    </row>
    <row r="323" spans="1:15" x14ac:dyDescent="0.2">
      <c r="B323" s="42" t="s">
        <v>388</v>
      </c>
      <c r="C323" s="43">
        <v>39156</v>
      </c>
      <c r="D323" s="43">
        <v>-1324</v>
      </c>
      <c r="E323" s="43">
        <v>6857</v>
      </c>
      <c r="F323" s="43">
        <v>1430</v>
      </c>
      <c r="G323" s="43">
        <f t="shared" si="81"/>
        <v>46119</v>
      </c>
      <c r="H323" s="43">
        <v>0</v>
      </c>
      <c r="I323" s="43">
        <v>0</v>
      </c>
      <c r="J323" s="43">
        <f t="shared" si="82"/>
        <v>46119</v>
      </c>
      <c r="K323" s="131">
        <f t="shared" si="83"/>
        <v>1.0309999999999999</v>
      </c>
      <c r="L323" s="131">
        <f t="shared" si="84"/>
        <v>1.0351999999999999</v>
      </c>
      <c r="M323" s="43">
        <f t="shared" si="85"/>
        <v>1179</v>
      </c>
      <c r="N323" s="43">
        <v>1192</v>
      </c>
      <c r="O323" s="98">
        <f>O322</f>
        <v>232</v>
      </c>
    </row>
    <row r="324" spans="1:15" x14ac:dyDescent="0.2">
      <c r="B324" s="42" t="s">
        <v>389</v>
      </c>
      <c r="C324" s="43">
        <v>39156</v>
      </c>
      <c r="D324" s="43">
        <v>-1628</v>
      </c>
      <c r="E324" s="43">
        <v>5857</v>
      </c>
      <c r="F324" s="43">
        <v>2233</v>
      </c>
      <c r="G324" s="43">
        <f t="shared" si="81"/>
        <v>45618</v>
      </c>
      <c r="H324" s="43">
        <v>0</v>
      </c>
      <c r="I324" s="43">
        <v>0</v>
      </c>
      <c r="J324" s="43">
        <f t="shared" si="82"/>
        <v>45618</v>
      </c>
      <c r="K324" s="131">
        <f t="shared" si="83"/>
        <v>1.0309999999999999</v>
      </c>
      <c r="L324" s="131">
        <f t="shared" si="84"/>
        <v>1.0126999999999999</v>
      </c>
      <c r="M324" s="43">
        <f t="shared" si="85"/>
        <v>1179</v>
      </c>
      <c r="N324" s="43">
        <v>1192</v>
      </c>
      <c r="O324" s="98">
        <f>O323</f>
        <v>232</v>
      </c>
    </row>
    <row r="326" spans="1:15" x14ac:dyDescent="0.2">
      <c r="A326" s="49" t="s">
        <v>200</v>
      </c>
    </row>
    <row r="327" spans="1:15" x14ac:dyDescent="0.2">
      <c r="A327" s="49"/>
    </row>
    <row r="328" spans="1:15" x14ac:dyDescent="0.2">
      <c r="A328" s="186" t="s">
        <v>186</v>
      </c>
      <c r="B328" s="187"/>
      <c r="C328" s="188"/>
      <c r="D328" s="188"/>
      <c r="E328" s="188"/>
      <c r="F328" s="188"/>
      <c r="G328" s="188"/>
      <c r="H328" s="187"/>
      <c r="I328" s="187"/>
      <c r="J328" s="187"/>
    </row>
    <row r="329" spans="1:15" x14ac:dyDescent="0.2">
      <c r="B329" s="42" t="s">
        <v>135</v>
      </c>
      <c r="C329" s="43">
        <f t="shared" ref="C329:F339" si="86">C8-C169</f>
        <v>0</v>
      </c>
      <c r="D329" s="43">
        <f t="shared" si="86"/>
        <v>0</v>
      </c>
      <c r="E329" s="43">
        <f t="shared" si="86"/>
        <v>0</v>
      </c>
      <c r="F329" s="43">
        <f t="shared" si="86"/>
        <v>0</v>
      </c>
      <c r="G329" s="43">
        <f>SUM(C329:F329)</f>
        <v>0</v>
      </c>
      <c r="H329" s="43">
        <f t="shared" ref="H329:I339" si="87">H8-H169</f>
        <v>0</v>
      </c>
      <c r="I329" s="43">
        <f t="shared" si="87"/>
        <v>0</v>
      </c>
      <c r="J329" s="43">
        <f>SUM(G329:I329)</f>
        <v>0</v>
      </c>
    </row>
    <row r="330" spans="1:15" x14ac:dyDescent="0.2">
      <c r="B330" s="42" t="s">
        <v>136</v>
      </c>
      <c r="C330" s="43">
        <f t="shared" si="86"/>
        <v>0</v>
      </c>
      <c r="D330" s="43">
        <f t="shared" si="86"/>
        <v>0</v>
      </c>
      <c r="E330" s="43">
        <f t="shared" si="86"/>
        <v>0</v>
      </c>
      <c r="F330" s="43">
        <f t="shared" si="86"/>
        <v>0</v>
      </c>
      <c r="G330" s="43">
        <f t="shared" ref="G330:G335" si="88">SUM(C330:F330)</f>
        <v>0</v>
      </c>
      <c r="H330" s="43">
        <f t="shared" si="87"/>
        <v>0</v>
      </c>
      <c r="I330" s="43">
        <f t="shared" si="87"/>
        <v>0</v>
      </c>
      <c r="J330" s="43">
        <f t="shared" ref="J330:J335" si="89">SUM(G330:I330)</f>
        <v>0</v>
      </c>
    </row>
    <row r="331" spans="1:15" x14ac:dyDescent="0.2">
      <c r="B331" s="42" t="s">
        <v>137</v>
      </c>
      <c r="C331" s="43">
        <f t="shared" si="86"/>
        <v>0</v>
      </c>
      <c r="D331" s="43">
        <f t="shared" si="86"/>
        <v>0</v>
      </c>
      <c r="E331" s="43">
        <f t="shared" si="86"/>
        <v>0</v>
      </c>
      <c r="F331" s="43">
        <f t="shared" si="86"/>
        <v>0</v>
      </c>
      <c r="G331" s="43">
        <f t="shared" si="88"/>
        <v>0</v>
      </c>
      <c r="H331" s="43">
        <f t="shared" si="87"/>
        <v>0</v>
      </c>
      <c r="I331" s="43">
        <f t="shared" si="87"/>
        <v>0</v>
      </c>
      <c r="J331" s="43">
        <f t="shared" si="89"/>
        <v>0</v>
      </c>
    </row>
    <row r="332" spans="1:15" x14ac:dyDescent="0.2">
      <c r="B332" s="42" t="s">
        <v>138</v>
      </c>
      <c r="C332" s="43">
        <f t="shared" si="86"/>
        <v>0</v>
      </c>
      <c r="D332" s="43">
        <f t="shared" si="86"/>
        <v>0</v>
      </c>
      <c r="E332" s="43">
        <f t="shared" si="86"/>
        <v>0</v>
      </c>
      <c r="F332" s="43">
        <f t="shared" si="86"/>
        <v>0</v>
      </c>
      <c r="G332" s="43">
        <f t="shared" si="88"/>
        <v>0</v>
      </c>
      <c r="H332" s="43">
        <f t="shared" si="87"/>
        <v>0</v>
      </c>
      <c r="I332" s="43">
        <f t="shared" si="87"/>
        <v>0</v>
      </c>
      <c r="J332" s="43">
        <f t="shared" si="89"/>
        <v>0</v>
      </c>
    </row>
    <row r="333" spans="1:15" x14ac:dyDescent="0.2">
      <c r="B333" s="42" t="s">
        <v>139</v>
      </c>
      <c r="C333" s="43">
        <f t="shared" si="86"/>
        <v>0</v>
      </c>
      <c r="D333" s="43">
        <f t="shared" si="86"/>
        <v>0</v>
      </c>
      <c r="E333" s="43">
        <f t="shared" si="86"/>
        <v>0</v>
      </c>
      <c r="F333" s="43">
        <f t="shared" si="86"/>
        <v>0</v>
      </c>
      <c r="G333" s="43">
        <f t="shared" si="88"/>
        <v>0</v>
      </c>
      <c r="H333" s="43">
        <f t="shared" si="87"/>
        <v>0</v>
      </c>
      <c r="I333" s="43">
        <f t="shared" si="87"/>
        <v>0</v>
      </c>
      <c r="J333" s="43">
        <f t="shared" si="89"/>
        <v>0</v>
      </c>
    </row>
    <row r="334" spans="1:15" x14ac:dyDescent="0.2">
      <c r="B334" s="42" t="s">
        <v>164</v>
      </c>
      <c r="C334" s="43">
        <f t="shared" si="86"/>
        <v>0</v>
      </c>
      <c r="D334" s="43">
        <f t="shared" si="86"/>
        <v>0</v>
      </c>
      <c r="E334" s="43">
        <f t="shared" si="86"/>
        <v>0</v>
      </c>
      <c r="F334" s="43">
        <f t="shared" si="86"/>
        <v>0</v>
      </c>
      <c r="G334" s="43">
        <f t="shared" si="88"/>
        <v>0</v>
      </c>
      <c r="H334" s="43">
        <f t="shared" si="87"/>
        <v>0</v>
      </c>
      <c r="I334" s="43">
        <f t="shared" si="87"/>
        <v>0</v>
      </c>
      <c r="J334" s="43">
        <f t="shared" si="89"/>
        <v>0</v>
      </c>
    </row>
    <row r="335" spans="1:15" x14ac:dyDescent="0.2">
      <c r="B335" s="42" t="s">
        <v>165</v>
      </c>
      <c r="C335" s="43">
        <f t="shared" si="86"/>
        <v>0</v>
      </c>
      <c r="D335" s="43">
        <f t="shared" si="86"/>
        <v>-176</v>
      </c>
      <c r="E335" s="43">
        <f t="shared" si="86"/>
        <v>0</v>
      </c>
      <c r="F335" s="43">
        <f t="shared" si="86"/>
        <v>0</v>
      </c>
      <c r="G335" s="43">
        <f t="shared" si="88"/>
        <v>-176</v>
      </c>
      <c r="H335" s="43">
        <f t="shared" si="87"/>
        <v>0</v>
      </c>
      <c r="I335" s="43">
        <f t="shared" si="87"/>
        <v>176</v>
      </c>
      <c r="J335" s="43">
        <f t="shared" si="89"/>
        <v>0</v>
      </c>
    </row>
    <row r="336" spans="1:15" x14ac:dyDescent="0.2">
      <c r="B336" s="42" t="s">
        <v>249</v>
      </c>
      <c r="C336" s="43">
        <f t="shared" si="86"/>
        <v>53</v>
      </c>
      <c r="D336" s="43">
        <f t="shared" si="86"/>
        <v>-647</v>
      </c>
      <c r="E336" s="43">
        <f t="shared" si="86"/>
        <v>58</v>
      </c>
      <c r="F336" s="43">
        <f t="shared" si="86"/>
        <v>0</v>
      </c>
      <c r="G336" s="43">
        <f t="shared" ref="G336:G341" si="90">SUM(C336:F336)</f>
        <v>-536</v>
      </c>
      <c r="H336" s="43">
        <f t="shared" si="87"/>
        <v>-1</v>
      </c>
      <c r="I336" s="43">
        <f t="shared" si="87"/>
        <v>231</v>
      </c>
      <c r="J336" s="43">
        <f t="shared" ref="J336:J341" si="91">SUM(G336:I336)</f>
        <v>-306</v>
      </c>
    </row>
    <row r="337" spans="1:10" x14ac:dyDescent="0.2">
      <c r="B337" s="42" t="s">
        <v>250</v>
      </c>
      <c r="C337" s="43">
        <f t="shared" si="86"/>
        <v>1104</v>
      </c>
      <c r="D337" s="43">
        <f t="shared" si="86"/>
        <v>-1711</v>
      </c>
      <c r="E337" s="43">
        <f t="shared" si="86"/>
        <v>-516</v>
      </c>
      <c r="F337" s="43">
        <f t="shared" si="86"/>
        <v>0</v>
      </c>
      <c r="G337" s="43">
        <f t="shared" si="90"/>
        <v>-1123</v>
      </c>
      <c r="H337" s="43">
        <f t="shared" si="87"/>
        <v>165</v>
      </c>
      <c r="I337" s="43">
        <f t="shared" si="87"/>
        <v>231</v>
      </c>
      <c r="J337" s="43">
        <f t="shared" si="91"/>
        <v>-727</v>
      </c>
    </row>
    <row r="338" spans="1:10" x14ac:dyDescent="0.2">
      <c r="B338" s="42" t="s">
        <v>300</v>
      </c>
      <c r="C338" s="43">
        <f t="shared" si="86"/>
        <v>1399</v>
      </c>
      <c r="D338" s="43">
        <f t="shared" si="86"/>
        <v>-2084</v>
      </c>
      <c r="E338" s="43">
        <f t="shared" si="86"/>
        <v>44</v>
      </c>
      <c r="F338" s="43">
        <f t="shared" si="86"/>
        <v>-606</v>
      </c>
      <c r="G338" s="43">
        <f t="shared" si="90"/>
        <v>-1247</v>
      </c>
      <c r="H338" s="43">
        <f t="shared" si="87"/>
        <v>165</v>
      </c>
      <c r="I338" s="43">
        <f t="shared" si="87"/>
        <v>231</v>
      </c>
      <c r="J338" s="43">
        <f t="shared" si="91"/>
        <v>-851</v>
      </c>
    </row>
    <row r="339" spans="1:10" x14ac:dyDescent="0.2">
      <c r="B339" s="42" t="s">
        <v>301</v>
      </c>
      <c r="C339" s="43">
        <f t="shared" si="86"/>
        <v>2331</v>
      </c>
      <c r="D339" s="43">
        <f t="shared" si="86"/>
        <v>-3027</v>
      </c>
      <c r="E339" s="43">
        <f t="shared" si="86"/>
        <v>911</v>
      </c>
      <c r="F339" s="43">
        <f t="shared" si="86"/>
        <v>-1516</v>
      </c>
      <c r="G339" s="43">
        <f t="shared" si="90"/>
        <v>-1301</v>
      </c>
      <c r="H339" s="43">
        <f t="shared" si="87"/>
        <v>165</v>
      </c>
      <c r="I339" s="43">
        <f t="shared" si="87"/>
        <v>231</v>
      </c>
      <c r="J339" s="43">
        <f t="shared" si="91"/>
        <v>-905</v>
      </c>
    </row>
    <row r="340" spans="1:10" x14ac:dyDescent="0.2">
      <c r="B340" s="42" t="s">
        <v>388</v>
      </c>
      <c r="C340" s="43">
        <f t="shared" ref="C340:F341" si="92">C19-C180</f>
        <v>2792</v>
      </c>
      <c r="D340" s="43">
        <f t="shared" si="92"/>
        <v>-3452</v>
      </c>
      <c r="E340" s="43">
        <f t="shared" si="92"/>
        <v>911</v>
      </c>
      <c r="F340" s="43">
        <f t="shared" si="92"/>
        <v>-1564</v>
      </c>
      <c r="G340" s="43">
        <f t="shared" si="90"/>
        <v>-1313</v>
      </c>
      <c r="H340" s="43">
        <f>H19-H180</f>
        <v>165</v>
      </c>
      <c r="I340" s="43">
        <f>I19-I180</f>
        <v>231</v>
      </c>
      <c r="J340" s="43">
        <f t="shared" si="91"/>
        <v>-917</v>
      </c>
    </row>
    <row r="341" spans="1:10" x14ac:dyDescent="0.2">
      <c r="B341" s="42" t="s">
        <v>389</v>
      </c>
      <c r="C341" s="43">
        <f t="shared" si="92"/>
        <v>3452</v>
      </c>
      <c r="D341" s="43">
        <f t="shared" si="92"/>
        <v>-5605</v>
      </c>
      <c r="E341" s="43">
        <f t="shared" si="92"/>
        <v>911</v>
      </c>
      <c r="F341" s="43">
        <f t="shared" si="92"/>
        <v>-1616</v>
      </c>
      <c r="G341" s="43">
        <f t="shared" si="90"/>
        <v>-2858</v>
      </c>
      <c r="H341" s="43">
        <f>H20-H181</f>
        <v>165</v>
      </c>
      <c r="I341" s="43">
        <f>I20-I181</f>
        <v>231</v>
      </c>
      <c r="J341" s="43">
        <f t="shared" si="91"/>
        <v>-2462</v>
      </c>
    </row>
    <row r="342" spans="1:10" x14ac:dyDescent="0.2">
      <c r="A342" s="186" t="s">
        <v>189</v>
      </c>
      <c r="B342" s="186"/>
      <c r="C342" s="189"/>
      <c r="D342" s="189"/>
      <c r="E342" s="189"/>
      <c r="F342" s="189"/>
      <c r="G342" s="189"/>
      <c r="H342" s="189"/>
      <c r="I342" s="189"/>
      <c r="J342" s="189"/>
    </row>
    <row r="343" spans="1:10" x14ac:dyDescent="0.2">
      <c r="B343" s="42" t="s">
        <v>135</v>
      </c>
      <c r="C343" s="43">
        <f t="shared" ref="C343:F353" si="93">C22-C183</f>
        <v>0</v>
      </c>
      <c r="D343" s="43">
        <f t="shared" si="93"/>
        <v>0</v>
      </c>
      <c r="E343" s="43">
        <f t="shared" si="93"/>
        <v>0</v>
      </c>
      <c r="F343" s="43">
        <f t="shared" si="93"/>
        <v>0</v>
      </c>
      <c r="G343" s="43">
        <f>SUM(C343:F343)</f>
        <v>0</v>
      </c>
      <c r="H343" s="43">
        <f t="shared" ref="H343:I353" si="94">H22-H183</f>
        <v>0</v>
      </c>
      <c r="I343" s="43">
        <f t="shared" si="94"/>
        <v>0</v>
      </c>
      <c r="J343" s="43">
        <f>SUM(G343:I343)</f>
        <v>0</v>
      </c>
    </row>
    <row r="344" spans="1:10" x14ac:dyDescent="0.2">
      <c r="B344" s="42" t="s">
        <v>136</v>
      </c>
      <c r="C344" s="43">
        <f t="shared" si="93"/>
        <v>0</v>
      </c>
      <c r="D344" s="43">
        <f t="shared" si="93"/>
        <v>0</v>
      </c>
      <c r="E344" s="43">
        <f t="shared" si="93"/>
        <v>0</v>
      </c>
      <c r="F344" s="43">
        <f t="shared" si="93"/>
        <v>0</v>
      </c>
      <c r="G344" s="43">
        <f t="shared" ref="G344:G349" si="95">SUM(C344:F344)</f>
        <v>0</v>
      </c>
      <c r="H344" s="43">
        <f t="shared" si="94"/>
        <v>0</v>
      </c>
      <c r="I344" s="43">
        <f t="shared" si="94"/>
        <v>0</v>
      </c>
      <c r="J344" s="43">
        <f t="shared" ref="J344:J349" si="96">SUM(G344:I344)</f>
        <v>0</v>
      </c>
    </row>
    <row r="345" spans="1:10" x14ac:dyDescent="0.2">
      <c r="B345" s="42" t="s">
        <v>137</v>
      </c>
      <c r="C345" s="43">
        <f t="shared" si="93"/>
        <v>0</v>
      </c>
      <c r="D345" s="43">
        <f t="shared" si="93"/>
        <v>0</v>
      </c>
      <c r="E345" s="43">
        <f t="shared" si="93"/>
        <v>0</v>
      </c>
      <c r="F345" s="43">
        <f t="shared" si="93"/>
        <v>0</v>
      </c>
      <c r="G345" s="43">
        <f t="shared" si="95"/>
        <v>0</v>
      </c>
      <c r="H345" s="43">
        <f t="shared" si="94"/>
        <v>0</v>
      </c>
      <c r="I345" s="43">
        <f t="shared" si="94"/>
        <v>0</v>
      </c>
      <c r="J345" s="43">
        <f t="shared" si="96"/>
        <v>0</v>
      </c>
    </row>
    <row r="346" spans="1:10" x14ac:dyDescent="0.2">
      <c r="B346" s="42" t="s">
        <v>138</v>
      </c>
      <c r="C346" s="43">
        <f t="shared" si="93"/>
        <v>0</v>
      </c>
      <c r="D346" s="43">
        <f t="shared" si="93"/>
        <v>0</v>
      </c>
      <c r="E346" s="43">
        <f t="shared" si="93"/>
        <v>0</v>
      </c>
      <c r="F346" s="43">
        <f t="shared" si="93"/>
        <v>0</v>
      </c>
      <c r="G346" s="43">
        <f t="shared" si="95"/>
        <v>0</v>
      </c>
      <c r="H346" s="43">
        <f t="shared" si="94"/>
        <v>0</v>
      </c>
      <c r="I346" s="43">
        <f t="shared" si="94"/>
        <v>0</v>
      </c>
      <c r="J346" s="43">
        <f t="shared" si="96"/>
        <v>0</v>
      </c>
    </row>
    <row r="347" spans="1:10" x14ac:dyDescent="0.2">
      <c r="B347" s="42" t="s">
        <v>139</v>
      </c>
      <c r="C347" s="43">
        <f t="shared" si="93"/>
        <v>0</v>
      </c>
      <c r="D347" s="43">
        <f t="shared" si="93"/>
        <v>0</v>
      </c>
      <c r="E347" s="43">
        <f t="shared" si="93"/>
        <v>0</v>
      </c>
      <c r="F347" s="43">
        <f t="shared" si="93"/>
        <v>0</v>
      </c>
      <c r="G347" s="43">
        <f t="shared" si="95"/>
        <v>0</v>
      </c>
      <c r="H347" s="43">
        <f t="shared" si="94"/>
        <v>0</v>
      </c>
      <c r="I347" s="43">
        <f t="shared" si="94"/>
        <v>0</v>
      </c>
      <c r="J347" s="43">
        <f t="shared" si="96"/>
        <v>0</v>
      </c>
    </row>
    <row r="348" spans="1:10" x14ac:dyDescent="0.2">
      <c r="B348" s="42" t="s">
        <v>164</v>
      </c>
      <c r="C348" s="43">
        <f t="shared" si="93"/>
        <v>0</v>
      </c>
      <c r="D348" s="43">
        <f t="shared" si="93"/>
        <v>0</v>
      </c>
      <c r="E348" s="43">
        <f t="shared" si="93"/>
        <v>0</v>
      </c>
      <c r="F348" s="43">
        <f t="shared" si="93"/>
        <v>0</v>
      </c>
      <c r="G348" s="43">
        <f t="shared" si="95"/>
        <v>0</v>
      </c>
      <c r="H348" s="43">
        <f t="shared" si="94"/>
        <v>0</v>
      </c>
      <c r="I348" s="43">
        <f t="shared" si="94"/>
        <v>0</v>
      </c>
      <c r="J348" s="43">
        <f t="shared" si="96"/>
        <v>0</v>
      </c>
    </row>
    <row r="349" spans="1:10" x14ac:dyDescent="0.2">
      <c r="B349" s="42" t="s">
        <v>165</v>
      </c>
      <c r="C349" s="43">
        <f t="shared" si="93"/>
        <v>0</v>
      </c>
      <c r="D349" s="43">
        <f t="shared" si="93"/>
        <v>-229</v>
      </c>
      <c r="E349" s="43">
        <f t="shared" si="93"/>
        <v>0</v>
      </c>
      <c r="F349" s="43">
        <f t="shared" si="93"/>
        <v>0</v>
      </c>
      <c r="G349" s="43">
        <f t="shared" si="95"/>
        <v>-229</v>
      </c>
      <c r="H349" s="43">
        <f t="shared" si="94"/>
        <v>0</v>
      </c>
      <c r="I349" s="43">
        <f t="shared" si="94"/>
        <v>228</v>
      </c>
      <c r="J349" s="43">
        <f t="shared" si="96"/>
        <v>-1</v>
      </c>
    </row>
    <row r="350" spans="1:10" x14ac:dyDescent="0.2">
      <c r="B350" s="42" t="s">
        <v>249</v>
      </c>
      <c r="C350" s="43">
        <f t="shared" si="93"/>
        <v>10</v>
      </c>
      <c r="D350" s="43">
        <f t="shared" si="93"/>
        <v>-761</v>
      </c>
      <c r="E350" s="43">
        <f t="shared" si="93"/>
        <v>78</v>
      </c>
      <c r="F350" s="43">
        <f t="shared" si="93"/>
        <v>0</v>
      </c>
      <c r="G350" s="43">
        <f t="shared" ref="G350:G355" si="97">SUM(C350:F350)</f>
        <v>-673</v>
      </c>
      <c r="H350" s="43">
        <f t="shared" si="94"/>
        <v>-1</v>
      </c>
      <c r="I350" s="43">
        <f t="shared" si="94"/>
        <v>300</v>
      </c>
      <c r="J350" s="43">
        <f t="shared" ref="J350:J355" si="98">SUM(G350:I350)</f>
        <v>-374</v>
      </c>
    </row>
    <row r="351" spans="1:10" x14ac:dyDescent="0.2">
      <c r="B351" s="42" t="s">
        <v>250</v>
      </c>
      <c r="C351" s="43">
        <f t="shared" si="93"/>
        <v>1131</v>
      </c>
      <c r="D351" s="43">
        <f t="shared" si="93"/>
        <v>-1900</v>
      </c>
      <c r="E351" s="43">
        <f t="shared" si="93"/>
        <v>-657</v>
      </c>
      <c r="F351" s="43">
        <f t="shared" si="93"/>
        <v>0</v>
      </c>
      <c r="G351" s="43">
        <f t="shared" si="97"/>
        <v>-1426</v>
      </c>
      <c r="H351" s="43">
        <f t="shared" si="94"/>
        <v>208</v>
      </c>
      <c r="I351" s="43">
        <f t="shared" si="94"/>
        <v>300</v>
      </c>
      <c r="J351" s="43">
        <f t="shared" si="98"/>
        <v>-918</v>
      </c>
    </row>
    <row r="352" spans="1:10" x14ac:dyDescent="0.2">
      <c r="B352" s="42" t="s">
        <v>300</v>
      </c>
      <c r="C352" s="43">
        <f t="shared" si="93"/>
        <v>1595</v>
      </c>
      <c r="D352" s="43">
        <f t="shared" si="93"/>
        <v>-2485</v>
      </c>
      <c r="E352" s="43">
        <f t="shared" si="93"/>
        <v>20</v>
      </c>
      <c r="F352" s="43">
        <f t="shared" si="93"/>
        <v>-737</v>
      </c>
      <c r="G352" s="43">
        <f t="shared" si="97"/>
        <v>-1607</v>
      </c>
      <c r="H352" s="43">
        <f t="shared" si="94"/>
        <v>208</v>
      </c>
      <c r="I352" s="43">
        <f t="shared" si="94"/>
        <v>300</v>
      </c>
      <c r="J352" s="43">
        <f t="shared" si="98"/>
        <v>-1099</v>
      </c>
    </row>
    <row r="353" spans="1:12" x14ac:dyDescent="0.2">
      <c r="B353" s="42" t="s">
        <v>301</v>
      </c>
      <c r="C353" s="43">
        <f t="shared" si="93"/>
        <v>2832</v>
      </c>
      <c r="D353" s="43">
        <f t="shared" si="93"/>
        <v>-3771</v>
      </c>
      <c r="E353" s="43">
        <f t="shared" si="93"/>
        <v>1153</v>
      </c>
      <c r="F353" s="43">
        <f t="shared" si="93"/>
        <v>-1928</v>
      </c>
      <c r="G353" s="43">
        <f t="shared" si="97"/>
        <v>-1714</v>
      </c>
      <c r="H353" s="43">
        <f t="shared" si="94"/>
        <v>208</v>
      </c>
      <c r="I353" s="43">
        <f t="shared" si="94"/>
        <v>300</v>
      </c>
      <c r="J353" s="43">
        <f t="shared" si="98"/>
        <v>-1206</v>
      </c>
    </row>
    <row r="354" spans="1:12" x14ac:dyDescent="0.2">
      <c r="B354" s="42" t="s">
        <v>388</v>
      </c>
      <c r="C354" s="43">
        <f t="shared" ref="C354:F355" si="99">C33-C194</f>
        <v>3393</v>
      </c>
      <c r="D354" s="43">
        <f t="shared" si="99"/>
        <v>-4334</v>
      </c>
      <c r="E354" s="43">
        <f t="shared" si="99"/>
        <v>1153</v>
      </c>
      <c r="F354" s="43">
        <f t="shared" si="99"/>
        <v>-1991</v>
      </c>
      <c r="G354" s="43">
        <f t="shared" si="97"/>
        <v>-1779</v>
      </c>
      <c r="H354" s="43">
        <f>H33-H194</f>
        <v>208</v>
      </c>
      <c r="I354" s="43">
        <f>I33-I194</f>
        <v>300</v>
      </c>
      <c r="J354" s="43">
        <f t="shared" si="98"/>
        <v>-1271</v>
      </c>
    </row>
    <row r="355" spans="1:12" x14ac:dyDescent="0.2">
      <c r="B355" s="42" t="s">
        <v>389</v>
      </c>
      <c r="C355" s="43">
        <f t="shared" si="99"/>
        <v>4225</v>
      </c>
      <c r="D355" s="43">
        <f t="shared" si="99"/>
        <v>-6046</v>
      </c>
      <c r="E355" s="43">
        <f t="shared" si="99"/>
        <v>1153</v>
      </c>
      <c r="F355" s="43">
        <f t="shared" si="99"/>
        <v>-2060</v>
      </c>
      <c r="G355" s="43">
        <f t="shared" si="97"/>
        <v>-2728</v>
      </c>
      <c r="H355" s="43">
        <f>H34-H195</f>
        <v>208</v>
      </c>
      <c r="I355" s="43">
        <f>I34-I195</f>
        <v>300</v>
      </c>
      <c r="J355" s="43">
        <f t="shared" si="98"/>
        <v>-2220</v>
      </c>
    </row>
    <row r="356" spans="1:12" x14ac:dyDescent="0.2">
      <c r="A356" s="186" t="s">
        <v>191</v>
      </c>
      <c r="B356" s="186"/>
      <c r="C356" s="189"/>
      <c r="D356" s="189"/>
      <c r="E356" s="189"/>
      <c r="F356" s="189"/>
      <c r="G356" s="189"/>
      <c r="H356" s="189"/>
      <c r="I356" s="189"/>
      <c r="J356" s="189"/>
    </row>
    <row r="357" spans="1:12" x14ac:dyDescent="0.2">
      <c r="B357" s="42" t="s">
        <v>135</v>
      </c>
      <c r="C357" s="43">
        <f t="shared" ref="C357:F367" si="100">C36-C197</f>
        <v>0</v>
      </c>
      <c r="D357" s="43">
        <f t="shared" si="100"/>
        <v>0</v>
      </c>
      <c r="E357" s="43">
        <f t="shared" si="100"/>
        <v>0</v>
      </c>
      <c r="F357" s="43">
        <f t="shared" si="100"/>
        <v>0</v>
      </c>
      <c r="G357" s="43">
        <f>SUM(C357:F357)</f>
        <v>0</v>
      </c>
      <c r="H357" s="43">
        <f t="shared" ref="H357:I367" si="101">H36-H197</f>
        <v>0</v>
      </c>
      <c r="I357" s="43">
        <f t="shared" si="101"/>
        <v>0</v>
      </c>
      <c r="J357" s="43">
        <f>SUM(G357:I357)</f>
        <v>0</v>
      </c>
    </row>
    <row r="358" spans="1:12" x14ac:dyDescent="0.2">
      <c r="B358" s="42" t="s">
        <v>136</v>
      </c>
      <c r="C358" s="43">
        <f t="shared" si="100"/>
        <v>0</v>
      </c>
      <c r="D358" s="43">
        <f t="shared" si="100"/>
        <v>0</v>
      </c>
      <c r="E358" s="43">
        <f t="shared" si="100"/>
        <v>0</v>
      </c>
      <c r="F358" s="43">
        <f t="shared" si="100"/>
        <v>0</v>
      </c>
      <c r="G358" s="43">
        <f t="shared" ref="G358:G363" si="102">SUM(C358:F358)</f>
        <v>0</v>
      </c>
      <c r="H358" s="43">
        <f t="shared" si="101"/>
        <v>0</v>
      </c>
      <c r="I358" s="43">
        <f t="shared" si="101"/>
        <v>0</v>
      </c>
      <c r="J358" s="43">
        <f t="shared" ref="J358:J363" si="103">SUM(G358:I358)</f>
        <v>0</v>
      </c>
    </row>
    <row r="359" spans="1:12" x14ac:dyDescent="0.2">
      <c r="B359" s="42" t="s">
        <v>137</v>
      </c>
      <c r="C359" s="43">
        <f t="shared" si="100"/>
        <v>0</v>
      </c>
      <c r="D359" s="43">
        <f t="shared" si="100"/>
        <v>0</v>
      </c>
      <c r="E359" s="43">
        <f t="shared" si="100"/>
        <v>0</v>
      </c>
      <c r="F359" s="43">
        <f t="shared" si="100"/>
        <v>0</v>
      </c>
      <c r="G359" s="43">
        <f t="shared" si="102"/>
        <v>0</v>
      </c>
      <c r="H359" s="43">
        <f t="shared" si="101"/>
        <v>0</v>
      </c>
      <c r="I359" s="43">
        <f t="shared" si="101"/>
        <v>0</v>
      </c>
      <c r="J359" s="43">
        <f t="shared" si="103"/>
        <v>0</v>
      </c>
    </row>
    <row r="360" spans="1:12" x14ac:dyDescent="0.2">
      <c r="B360" s="42" t="s">
        <v>138</v>
      </c>
      <c r="C360" s="43">
        <f t="shared" si="100"/>
        <v>0</v>
      </c>
      <c r="D360" s="43">
        <f t="shared" si="100"/>
        <v>0</v>
      </c>
      <c r="E360" s="43">
        <f t="shared" si="100"/>
        <v>0</v>
      </c>
      <c r="F360" s="43">
        <f t="shared" si="100"/>
        <v>0</v>
      </c>
      <c r="G360" s="43">
        <f t="shared" si="102"/>
        <v>0</v>
      </c>
      <c r="H360" s="43">
        <f t="shared" si="101"/>
        <v>0</v>
      </c>
      <c r="I360" s="43">
        <f t="shared" si="101"/>
        <v>0</v>
      </c>
      <c r="J360" s="43">
        <f t="shared" si="103"/>
        <v>0</v>
      </c>
    </row>
    <row r="361" spans="1:12" x14ac:dyDescent="0.2">
      <c r="B361" s="42" t="s">
        <v>139</v>
      </c>
      <c r="C361" s="43">
        <f t="shared" si="100"/>
        <v>0</v>
      </c>
      <c r="D361" s="43">
        <f t="shared" si="100"/>
        <v>0</v>
      </c>
      <c r="E361" s="43">
        <f t="shared" si="100"/>
        <v>0</v>
      </c>
      <c r="F361" s="43">
        <f t="shared" si="100"/>
        <v>0</v>
      </c>
      <c r="G361" s="43">
        <f t="shared" si="102"/>
        <v>0</v>
      </c>
      <c r="H361" s="43">
        <f t="shared" si="101"/>
        <v>0</v>
      </c>
      <c r="I361" s="43">
        <f t="shared" si="101"/>
        <v>0</v>
      </c>
      <c r="J361" s="43">
        <f t="shared" si="103"/>
        <v>0</v>
      </c>
    </row>
    <row r="362" spans="1:12" x14ac:dyDescent="0.2">
      <c r="B362" s="42" t="s">
        <v>164</v>
      </c>
      <c r="C362" s="43">
        <f t="shared" si="100"/>
        <v>0</v>
      </c>
      <c r="D362" s="43">
        <f t="shared" si="100"/>
        <v>0</v>
      </c>
      <c r="E362" s="43">
        <f t="shared" si="100"/>
        <v>0</v>
      </c>
      <c r="F362" s="43">
        <f t="shared" si="100"/>
        <v>0</v>
      </c>
      <c r="G362" s="43">
        <f t="shared" si="102"/>
        <v>0</v>
      </c>
      <c r="H362" s="43">
        <f t="shared" si="101"/>
        <v>0</v>
      </c>
      <c r="I362" s="43">
        <f t="shared" si="101"/>
        <v>0</v>
      </c>
      <c r="J362" s="43">
        <f t="shared" si="103"/>
        <v>0</v>
      </c>
    </row>
    <row r="363" spans="1:12" x14ac:dyDescent="0.2">
      <c r="B363" s="42" t="s">
        <v>165</v>
      </c>
      <c r="C363" s="43">
        <f t="shared" si="100"/>
        <v>0</v>
      </c>
      <c r="D363" s="43">
        <f t="shared" si="100"/>
        <v>0</v>
      </c>
      <c r="E363" s="43">
        <f t="shared" si="100"/>
        <v>0</v>
      </c>
      <c r="F363" s="43">
        <f t="shared" si="100"/>
        <v>0</v>
      </c>
      <c r="G363" s="43">
        <f t="shared" si="102"/>
        <v>0</v>
      </c>
      <c r="H363" s="43">
        <f t="shared" si="101"/>
        <v>0</v>
      </c>
      <c r="I363" s="43">
        <f t="shared" si="101"/>
        <v>228</v>
      </c>
      <c r="J363" s="43">
        <f t="shared" si="103"/>
        <v>228</v>
      </c>
    </row>
    <row r="364" spans="1:12" x14ac:dyDescent="0.2">
      <c r="B364" s="42" t="s">
        <v>249</v>
      </c>
      <c r="C364" s="43">
        <f t="shared" si="100"/>
        <v>8</v>
      </c>
      <c r="D364" s="43">
        <f t="shared" si="100"/>
        <v>-652</v>
      </c>
      <c r="E364" s="43">
        <f t="shared" si="100"/>
        <v>68</v>
      </c>
      <c r="F364" s="43">
        <f t="shared" si="100"/>
        <v>0</v>
      </c>
      <c r="G364" s="43">
        <f t="shared" ref="G364:G369" si="104">SUM(C364:F364)</f>
        <v>-576</v>
      </c>
      <c r="H364" s="43">
        <f t="shared" si="101"/>
        <v>-1</v>
      </c>
      <c r="I364" s="43">
        <f t="shared" si="101"/>
        <v>300</v>
      </c>
      <c r="J364" s="43">
        <f t="shared" ref="J364:J369" si="105">SUM(G364:I364)</f>
        <v>-277</v>
      </c>
      <c r="K364" s="98">
        <f>SUM(C364:D364)</f>
        <v>-644</v>
      </c>
      <c r="L364" s="181" t="e">
        <f>K364/K204</f>
        <v>#DIV/0!</v>
      </c>
    </row>
    <row r="365" spans="1:12" x14ac:dyDescent="0.2">
      <c r="B365" s="42" t="s">
        <v>250</v>
      </c>
      <c r="C365" s="43">
        <f t="shared" si="100"/>
        <v>963</v>
      </c>
      <c r="D365" s="43">
        <f t="shared" si="100"/>
        <v>-1726</v>
      </c>
      <c r="E365" s="43">
        <f t="shared" si="100"/>
        <v>-579</v>
      </c>
      <c r="F365" s="43">
        <f t="shared" si="100"/>
        <v>0</v>
      </c>
      <c r="G365" s="43">
        <f t="shared" si="104"/>
        <v>-1342</v>
      </c>
      <c r="H365" s="43">
        <f t="shared" si="101"/>
        <v>208</v>
      </c>
      <c r="I365" s="43">
        <f t="shared" si="101"/>
        <v>300</v>
      </c>
      <c r="J365" s="43">
        <f t="shared" si="105"/>
        <v>-834</v>
      </c>
      <c r="K365" s="98">
        <f>SUM(C365:D365)</f>
        <v>-763</v>
      </c>
      <c r="L365" s="137" t="e">
        <f>K365/K205</f>
        <v>#DIV/0!</v>
      </c>
    </row>
    <row r="366" spans="1:12" x14ac:dyDescent="0.2">
      <c r="B366" s="42" t="s">
        <v>300</v>
      </c>
      <c r="C366" s="43">
        <f t="shared" si="100"/>
        <v>1526</v>
      </c>
      <c r="D366" s="43">
        <f t="shared" si="100"/>
        <v>-2417</v>
      </c>
      <c r="E366" s="43">
        <f t="shared" si="100"/>
        <v>-6</v>
      </c>
      <c r="F366" s="43">
        <f t="shared" si="100"/>
        <v>-625</v>
      </c>
      <c r="G366" s="43">
        <f t="shared" si="104"/>
        <v>-1522</v>
      </c>
      <c r="H366" s="43">
        <f t="shared" si="101"/>
        <v>208</v>
      </c>
      <c r="I366" s="43">
        <f t="shared" si="101"/>
        <v>300</v>
      </c>
      <c r="J366" s="43">
        <f t="shared" si="105"/>
        <v>-1014</v>
      </c>
    </row>
    <row r="367" spans="1:12" x14ac:dyDescent="0.2">
      <c r="B367" s="42" t="s">
        <v>301</v>
      </c>
      <c r="C367" s="43">
        <f t="shared" si="100"/>
        <v>2478</v>
      </c>
      <c r="D367" s="43">
        <f t="shared" si="100"/>
        <v>-3537</v>
      </c>
      <c r="E367" s="43">
        <f t="shared" si="100"/>
        <v>934</v>
      </c>
      <c r="F367" s="43">
        <f t="shared" si="100"/>
        <v>-1614</v>
      </c>
      <c r="G367" s="43">
        <f t="shared" si="104"/>
        <v>-1739</v>
      </c>
      <c r="H367" s="43">
        <f t="shared" si="101"/>
        <v>208</v>
      </c>
      <c r="I367" s="43">
        <f t="shared" si="101"/>
        <v>300</v>
      </c>
      <c r="J367" s="43">
        <f t="shared" si="105"/>
        <v>-1231</v>
      </c>
    </row>
    <row r="368" spans="1:12" x14ac:dyDescent="0.2">
      <c r="B368" s="42" t="s">
        <v>388</v>
      </c>
      <c r="C368" s="43">
        <f t="shared" ref="C368:F369" si="106">C47-C208</f>
        <v>3140</v>
      </c>
      <c r="D368" s="43">
        <f t="shared" si="106"/>
        <v>-4203</v>
      </c>
      <c r="E368" s="43">
        <f t="shared" si="106"/>
        <v>1153</v>
      </c>
      <c r="F368" s="43">
        <f t="shared" si="106"/>
        <v>-1887</v>
      </c>
      <c r="G368" s="43">
        <f t="shared" si="104"/>
        <v>-1797</v>
      </c>
      <c r="H368" s="43">
        <f>H47-H208</f>
        <v>208</v>
      </c>
      <c r="I368" s="43">
        <f>I47-I208</f>
        <v>300</v>
      </c>
      <c r="J368" s="43">
        <f t="shared" si="105"/>
        <v>-1289</v>
      </c>
    </row>
    <row r="369" spans="1:10" x14ac:dyDescent="0.2">
      <c r="B369" s="42" t="s">
        <v>389</v>
      </c>
      <c r="C369" s="43">
        <f t="shared" si="106"/>
        <v>3943</v>
      </c>
      <c r="D369" s="43">
        <f t="shared" si="106"/>
        <v>-5887</v>
      </c>
      <c r="E369" s="43">
        <f t="shared" si="106"/>
        <v>1153</v>
      </c>
      <c r="F369" s="43">
        <f t="shared" si="106"/>
        <v>-1945</v>
      </c>
      <c r="G369" s="43">
        <f t="shared" si="104"/>
        <v>-2736</v>
      </c>
      <c r="H369" s="43">
        <f>H48-H209</f>
        <v>208</v>
      </c>
      <c r="I369" s="43">
        <f>I48-I209</f>
        <v>300</v>
      </c>
      <c r="J369" s="43">
        <f t="shared" si="105"/>
        <v>-2228</v>
      </c>
    </row>
    <row r="370" spans="1:10" x14ac:dyDescent="0.2">
      <c r="B370" s="42"/>
      <c r="C370" s="43"/>
      <c r="D370" s="43"/>
      <c r="E370" s="50"/>
      <c r="F370" s="50"/>
      <c r="G370" s="43"/>
      <c r="H370" s="43"/>
      <c r="I370" s="43"/>
      <c r="J370" s="43"/>
    </row>
    <row r="371" spans="1:10" x14ac:dyDescent="0.2">
      <c r="A371" s="186" t="s">
        <v>185</v>
      </c>
      <c r="B371" s="187"/>
      <c r="C371" s="189"/>
      <c r="D371" s="189"/>
      <c r="E371" s="189"/>
      <c r="F371" s="189"/>
      <c r="G371" s="189"/>
      <c r="H371" s="189"/>
      <c r="I371" s="189"/>
      <c r="J371" s="189"/>
    </row>
    <row r="372" spans="1:10" x14ac:dyDescent="0.2">
      <c r="B372" s="42" t="s">
        <v>135</v>
      </c>
      <c r="C372" s="43">
        <f t="shared" ref="C372:D382" si="107">C51-C212</f>
        <v>0</v>
      </c>
      <c r="D372" s="43">
        <f t="shared" si="107"/>
        <v>0</v>
      </c>
      <c r="E372" s="50" t="s">
        <v>199</v>
      </c>
      <c r="F372" s="50" t="s">
        <v>199</v>
      </c>
      <c r="G372" s="43">
        <f>SUM(C372:F372)</f>
        <v>0</v>
      </c>
      <c r="H372" s="43">
        <f t="shared" ref="H372:I382" si="108">H51-H212</f>
        <v>0</v>
      </c>
      <c r="I372" s="43">
        <f t="shared" si="108"/>
        <v>0</v>
      </c>
      <c r="J372" s="43">
        <f>SUM(G372:I372)</f>
        <v>0</v>
      </c>
    </row>
    <row r="373" spans="1:10" x14ac:dyDescent="0.2">
      <c r="B373" s="42" t="s">
        <v>136</v>
      </c>
      <c r="C373" s="43">
        <f t="shared" si="107"/>
        <v>0</v>
      </c>
      <c r="D373" s="43">
        <f t="shared" si="107"/>
        <v>0</v>
      </c>
      <c r="E373" s="50" t="s">
        <v>199</v>
      </c>
      <c r="F373" s="50" t="s">
        <v>199</v>
      </c>
      <c r="G373" s="43">
        <f t="shared" ref="G373:G378" si="109">SUM(C373:F373)</f>
        <v>0</v>
      </c>
      <c r="H373" s="43">
        <f t="shared" si="108"/>
        <v>0</v>
      </c>
      <c r="I373" s="43">
        <f t="shared" si="108"/>
        <v>0</v>
      </c>
      <c r="J373" s="43">
        <f t="shared" ref="J373:J378" si="110">SUM(G373:I373)</f>
        <v>0</v>
      </c>
    </row>
    <row r="374" spans="1:10" x14ac:dyDescent="0.2">
      <c r="B374" s="42" t="s">
        <v>137</v>
      </c>
      <c r="C374" s="43">
        <f t="shared" si="107"/>
        <v>0</v>
      </c>
      <c r="D374" s="43">
        <f t="shared" si="107"/>
        <v>0</v>
      </c>
      <c r="E374" s="50" t="s">
        <v>199</v>
      </c>
      <c r="F374" s="50" t="s">
        <v>199</v>
      </c>
      <c r="G374" s="43">
        <f t="shared" si="109"/>
        <v>0</v>
      </c>
      <c r="H374" s="43">
        <f t="shared" si="108"/>
        <v>0</v>
      </c>
      <c r="I374" s="43">
        <f t="shared" si="108"/>
        <v>0</v>
      </c>
      <c r="J374" s="43">
        <f t="shared" si="110"/>
        <v>0</v>
      </c>
    </row>
    <row r="375" spans="1:10" x14ac:dyDescent="0.2">
      <c r="B375" s="42" t="s">
        <v>138</v>
      </c>
      <c r="C375" s="43">
        <f t="shared" si="107"/>
        <v>0</v>
      </c>
      <c r="D375" s="43">
        <f t="shared" si="107"/>
        <v>0</v>
      </c>
      <c r="E375" s="50" t="s">
        <v>199</v>
      </c>
      <c r="F375" s="50" t="s">
        <v>199</v>
      </c>
      <c r="G375" s="43">
        <f t="shared" si="109"/>
        <v>0</v>
      </c>
      <c r="H375" s="43">
        <f t="shared" si="108"/>
        <v>0</v>
      </c>
      <c r="I375" s="43">
        <f t="shared" si="108"/>
        <v>0</v>
      </c>
      <c r="J375" s="43">
        <f t="shared" si="110"/>
        <v>0</v>
      </c>
    </row>
    <row r="376" spans="1:10" x14ac:dyDescent="0.2">
      <c r="B376" s="42" t="s">
        <v>139</v>
      </c>
      <c r="C376" s="43">
        <f t="shared" si="107"/>
        <v>0</v>
      </c>
      <c r="D376" s="43">
        <f t="shared" si="107"/>
        <v>0</v>
      </c>
      <c r="E376" s="50" t="s">
        <v>199</v>
      </c>
      <c r="F376" s="50" t="s">
        <v>199</v>
      </c>
      <c r="G376" s="43">
        <f t="shared" si="109"/>
        <v>0</v>
      </c>
      <c r="H376" s="43">
        <f t="shared" si="108"/>
        <v>0</v>
      </c>
      <c r="I376" s="43">
        <f t="shared" si="108"/>
        <v>0</v>
      </c>
      <c r="J376" s="43">
        <f t="shared" si="110"/>
        <v>0</v>
      </c>
    </row>
    <row r="377" spans="1:10" x14ac:dyDescent="0.2">
      <c r="B377" s="42" t="s">
        <v>164</v>
      </c>
      <c r="C377" s="43">
        <f t="shared" si="107"/>
        <v>0</v>
      </c>
      <c r="D377" s="43">
        <f t="shared" si="107"/>
        <v>0</v>
      </c>
      <c r="E377" s="50" t="s">
        <v>199</v>
      </c>
      <c r="F377" s="50" t="s">
        <v>199</v>
      </c>
      <c r="G377" s="43">
        <f t="shared" si="109"/>
        <v>0</v>
      </c>
      <c r="H377" s="43">
        <f t="shared" si="108"/>
        <v>0</v>
      </c>
      <c r="I377" s="43">
        <f t="shared" si="108"/>
        <v>0</v>
      </c>
      <c r="J377" s="43">
        <f t="shared" si="110"/>
        <v>0</v>
      </c>
    </row>
    <row r="378" spans="1:10" x14ac:dyDescent="0.2">
      <c r="B378" s="42" t="s">
        <v>165</v>
      </c>
      <c r="C378" s="43">
        <f t="shared" si="107"/>
        <v>0</v>
      </c>
      <c r="D378" s="43">
        <f t="shared" si="107"/>
        <v>-176</v>
      </c>
      <c r="E378" s="50" t="s">
        <v>199</v>
      </c>
      <c r="F378" s="50" t="s">
        <v>199</v>
      </c>
      <c r="G378" s="43">
        <f t="shared" si="109"/>
        <v>-176</v>
      </c>
      <c r="H378" s="43">
        <f t="shared" si="108"/>
        <v>0</v>
      </c>
      <c r="I378" s="43">
        <f t="shared" si="108"/>
        <v>176</v>
      </c>
      <c r="J378" s="43">
        <f t="shared" si="110"/>
        <v>0</v>
      </c>
    </row>
    <row r="379" spans="1:10" x14ac:dyDescent="0.2">
      <c r="B379" s="42" t="s">
        <v>249</v>
      </c>
      <c r="C379" s="43">
        <f t="shared" si="107"/>
        <v>155</v>
      </c>
      <c r="D379" s="43">
        <f t="shared" si="107"/>
        <v>-690</v>
      </c>
      <c r="E379" s="50" t="s">
        <v>199</v>
      </c>
      <c r="F379" s="50" t="s">
        <v>199</v>
      </c>
      <c r="G379" s="43">
        <f t="shared" ref="G379:G384" si="111">SUM(C379:F379)</f>
        <v>-535</v>
      </c>
      <c r="H379" s="43">
        <f t="shared" si="108"/>
        <v>-1</v>
      </c>
      <c r="I379" s="43">
        <f t="shared" si="108"/>
        <v>231</v>
      </c>
      <c r="J379" s="43">
        <f t="shared" ref="J379:J384" si="112">SUM(G379:I379)</f>
        <v>-305</v>
      </c>
    </row>
    <row r="380" spans="1:10" x14ac:dyDescent="0.2">
      <c r="B380" s="42" t="s">
        <v>250</v>
      </c>
      <c r="C380" s="43">
        <f t="shared" si="107"/>
        <v>274</v>
      </c>
      <c r="D380" s="43">
        <f t="shared" si="107"/>
        <v>-1397</v>
      </c>
      <c r="E380" s="50" t="s">
        <v>199</v>
      </c>
      <c r="F380" s="50" t="s">
        <v>199</v>
      </c>
      <c r="G380" s="43">
        <f t="shared" si="111"/>
        <v>-1123</v>
      </c>
      <c r="H380" s="43">
        <f t="shared" si="108"/>
        <v>165</v>
      </c>
      <c r="I380" s="43">
        <f t="shared" si="108"/>
        <v>231</v>
      </c>
      <c r="J380" s="43">
        <f t="shared" si="112"/>
        <v>-727</v>
      </c>
    </row>
    <row r="381" spans="1:10" x14ac:dyDescent="0.2">
      <c r="B381" s="42" t="s">
        <v>300</v>
      </c>
      <c r="C381" s="43">
        <f t="shared" si="107"/>
        <v>-311</v>
      </c>
      <c r="D381" s="43">
        <f t="shared" si="107"/>
        <v>-935</v>
      </c>
      <c r="E381" s="50" t="s">
        <v>199</v>
      </c>
      <c r="F381" s="50" t="s">
        <v>199</v>
      </c>
      <c r="G381" s="43">
        <f t="shared" si="111"/>
        <v>-1246</v>
      </c>
      <c r="H381" s="43">
        <f t="shared" si="108"/>
        <v>165</v>
      </c>
      <c r="I381" s="43">
        <f t="shared" si="108"/>
        <v>231</v>
      </c>
      <c r="J381" s="43">
        <f t="shared" si="112"/>
        <v>-850</v>
      </c>
    </row>
    <row r="382" spans="1:10" x14ac:dyDescent="0.2">
      <c r="B382" s="42" t="s">
        <v>301</v>
      </c>
      <c r="C382" s="43">
        <f t="shared" si="107"/>
        <v>737</v>
      </c>
      <c r="D382" s="43">
        <f t="shared" si="107"/>
        <v>-2038</v>
      </c>
      <c r="E382" s="50" t="s">
        <v>199</v>
      </c>
      <c r="F382" s="50" t="s">
        <v>199</v>
      </c>
      <c r="G382" s="43">
        <f t="shared" si="111"/>
        <v>-1301</v>
      </c>
      <c r="H382" s="43">
        <f t="shared" si="108"/>
        <v>165</v>
      </c>
      <c r="I382" s="43">
        <f t="shared" si="108"/>
        <v>231</v>
      </c>
      <c r="J382" s="43">
        <f t="shared" si="112"/>
        <v>-905</v>
      </c>
    </row>
    <row r="383" spans="1:10" x14ac:dyDescent="0.2">
      <c r="B383" s="42" t="s">
        <v>388</v>
      </c>
      <c r="C383" s="43">
        <f>C62-C223</f>
        <v>1607</v>
      </c>
      <c r="D383" s="43">
        <f>D62-D223</f>
        <v>-2921</v>
      </c>
      <c r="E383" s="50" t="s">
        <v>199</v>
      </c>
      <c r="F383" s="50" t="s">
        <v>199</v>
      </c>
      <c r="G383" s="43">
        <f t="shared" si="111"/>
        <v>-1314</v>
      </c>
      <c r="H383" s="43">
        <f>H62-H223</f>
        <v>165</v>
      </c>
      <c r="I383" s="43">
        <f>I62-I223</f>
        <v>231</v>
      </c>
      <c r="J383" s="43">
        <f t="shared" si="112"/>
        <v>-918</v>
      </c>
    </row>
    <row r="384" spans="1:10" x14ac:dyDescent="0.2">
      <c r="B384" s="42" t="s">
        <v>389</v>
      </c>
      <c r="C384" s="43">
        <f>C63-C224</f>
        <v>2551</v>
      </c>
      <c r="D384" s="43">
        <f>D63-D224</f>
        <v>-5409</v>
      </c>
      <c r="E384" s="50" t="s">
        <v>199</v>
      </c>
      <c r="F384" s="50" t="s">
        <v>199</v>
      </c>
      <c r="G384" s="43">
        <f t="shared" si="111"/>
        <v>-2858</v>
      </c>
      <c r="H384" s="43">
        <f>H63-H224</f>
        <v>165</v>
      </c>
      <c r="I384" s="43">
        <f>I63-I224</f>
        <v>231</v>
      </c>
      <c r="J384" s="43">
        <f t="shared" si="112"/>
        <v>-2462</v>
      </c>
    </row>
    <row r="385" spans="1:10" x14ac:dyDescent="0.2">
      <c r="A385" s="186" t="s">
        <v>188</v>
      </c>
      <c r="B385" s="186"/>
      <c r="C385" s="189"/>
      <c r="D385" s="189"/>
      <c r="E385" s="189"/>
      <c r="F385" s="189"/>
      <c r="G385" s="189"/>
      <c r="H385" s="189"/>
      <c r="I385" s="189"/>
      <c r="J385" s="189"/>
    </row>
    <row r="386" spans="1:10" x14ac:dyDescent="0.2">
      <c r="B386" s="42" t="s">
        <v>135</v>
      </c>
      <c r="C386" s="43">
        <f t="shared" ref="C386:D396" si="113">C65-C226</f>
        <v>0</v>
      </c>
      <c r="D386" s="43">
        <f t="shared" si="113"/>
        <v>0</v>
      </c>
      <c r="E386" s="50" t="s">
        <v>199</v>
      </c>
      <c r="F386" s="50" t="s">
        <v>199</v>
      </c>
      <c r="G386" s="43">
        <f>SUM(C386:F386)</f>
        <v>0</v>
      </c>
      <c r="H386" s="43">
        <f t="shared" ref="H386:I396" si="114">H65-H226</f>
        <v>0</v>
      </c>
      <c r="I386" s="43">
        <f t="shared" si="114"/>
        <v>0</v>
      </c>
      <c r="J386" s="43">
        <f>SUM(G386:I386)</f>
        <v>0</v>
      </c>
    </row>
    <row r="387" spans="1:10" x14ac:dyDescent="0.2">
      <c r="B387" s="42" t="s">
        <v>136</v>
      </c>
      <c r="C387" s="43">
        <f t="shared" si="113"/>
        <v>0</v>
      </c>
      <c r="D387" s="43">
        <f t="shared" si="113"/>
        <v>0</v>
      </c>
      <c r="E387" s="50" t="s">
        <v>199</v>
      </c>
      <c r="F387" s="50" t="s">
        <v>199</v>
      </c>
      <c r="G387" s="43">
        <f t="shared" ref="G387:G392" si="115">SUM(C387:F387)</f>
        <v>0</v>
      </c>
      <c r="H387" s="43">
        <f t="shared" si="114"/>
        <v>0</v>
      </c>
      <c r="I387" s="43">
        <f t="shared" si="114"/>
        <v>0</v>
      </c>
      <c r="J387" s="43">
        <f t="shared" ref="J387:J392" si="116">SUM(G387:I387)</f>
        <v>0</v>
      </c>
    </row>
    <row r="388" spans="1:10" x14ac:dyDescent="0.2">
      <c r="B388" s="42" t="s">
        <v>137</v>
      </c>
      <c r="C388" s="43">
        <f t="shared" si="113"/>
        <v>0</v>
      </c>
      <c r="D388" s="43">
        <f t="shared" si="113"/>
        <v>0</v>
      </c>
      <c r="E388" s="50" t="s">
        <v>199</v>
      </c>
      <c r="F388" s="50" t="s">
        <v>199</v>
      </c>
      <c r="G388" s="43">
        <f t="shared" si="115"/>
        <v>0</v>
      </c>
      <c r="H388" s="43">
        <f t="shared" si="114"/>
        <v>0</v>
      </c>
      <c r="I388" s="43">
        <f t="shared" si="114"/>
        <v>0</v>
      </c>
      <c r="J388" s="43">
        <f t="shared" si="116"/>
        <v>0</v>
      </c>
    </row>
    <row r="389" spans="1:10" x14ac:dyDescent="0.2">
      <c r="B389" s="42" t="s">
        <v>138</v>
      </c>
      <c r="C389" s="43">
        <f t="shared" si="113"/>
        <v>0</v>
      </c>
      <c r="D389" s="43">
        <f t="shared" si="113"/>
        <v>0</v>
      </c>
      <c r="E389" s="50" t="s">
        <v>199</v>
      </c>
      <c r="F389" s="50" t="s">
        <v>199</v>
      </c>
      <c r="G389" s="43">
        <f t="shared" si="115"/>
        <v>0</v>
      </c>
      <c r="H389" s="43">
        <f t="shared" si="114"/>
        <v>0</v>
      </c>
      <c r="I389" s="43">
        <f t="shared" si="114"/>
        <v>0</v>
      </c>
      <c r="J389" s="43">
        <f t="shared" si="116"/>
        <v>0</v>
      </c>
    </row>
    <row r="390" spans="1:10" x14ac:dyDescent="0.2">
      <c r="B390" s="42" t="s">
        <v>139</v>
      </c>
      <c r="C390" s="43">
        <f t="shared" si="113"/>
        <v>0</v>
      </c>
      <c r="D390" s="43">
        <f t="shared" si="113"/>
        <v>0</v>
      </c>
      <c r="E390" s="50" t="s">
        <v>199</v>
      </c>
      <c r="F390" s="50" t="s">
        <v>199</v>
      </c>
      <c r="G390" s="43">
        <f t="shared" si="115"/>
        <v>0</v>
      </c>
      <c r="H390" s="43">
        <f t="shared" si="114"/>
        <v>0</v>
      </c>
      <c r="I390" s="43">
        <f t="shared" si="114"/>
        <v>0</v>
      </c>
      <c r="J390" s="43">
        <f t="shared" si="116"/>
        <v>0</v>
      </c>
    </row>
    <row r="391" spans="1:10" x14ac:dyDescent="0.2">
      <c r="B391" s="42" t="s">
        <v>164</v>
      </c>
      <c r="C391" s="43">
        <f t="shared" si="113"/>
        <v>0</v>
      </c>
      <c r="D391" s="43">
        <f t="shared" si="113"/>
        <v>0</v>
      </c>
      <c r="E391" s="50" t="s">
        <v>199</v>
      </c>
      <c r="F391" s="50" t="s">
        <v>199</v>
      </c>
      <c r="G391" s="43">
        <f t="shared" si="115"/>
        <v>0</v>
      </c>
      <c r="H391" s="43">
        <f t="shared" si="114"/>
        <v>0</v>
      </c>
      <c r="I391" s="43">
        <f t="shared" si="114"/>
        <v>0</v>
      </c>
      <c r="J391" s="43">
        <f t="shared" si="116"/>
        <v>0</v>
      </c>
    </row>
    <row r="392" spans="1:10" x14ac:dyDescent="0.2">
      <c r="B392" s="42" t="s">
        <v>165</v>
      </c>
      <c r="C392" s="43">
        <f t="shared" si="113"/>
        <v>0</v>
      </c>
      <c r="D392" s="43">
        <f t="shared" si="113"/>
        <v>-228</v>
      </c>
      <c r="E392" s="50" t="s">
        <v>199</v>
      </c>
      <c r="F392" s="50" t="s">
        <v>199</v>
      </c>
      <c r="G392" s="43">
        <f t="shared" si="115"/>
        <v>-228</v>
      </c>
      <c r="H392" s="43">
        <f t="shared" si="114"/>
        <v>0</v>
      </c>
      <c r="I392" s="43">
        <f t="shared" si="114"/>
        <v>228</v>
      </c>
      <c r="J392" s="43">
        <f t="shared" si="116"/>
        <v>0</v>
      </c>
    </row>
    <row r="393" spans="1:10" x14ac:dyDescent="0.2">
      <c r="B393" s="42" t="s">
        <v>249</v>
      </c>
      <c r="C393" s="43">
        <f t="shared" si="113"/>
        <v>148</v>
      </c>
      <c r="D393" s="43">
        <f t="shared" si="113"/>
        <v>-820</v>
      </c>
      <c r="E393" s="50" t="s">
        <v>199</v>
      </c>
      <c r="F393" s="50" t="s">
        <v>199</v>
      </c>
      <c r="G393" s="43">
        <f t="shared" ref="G393:G398" si="117">SUM(C393:F393)</f>
        <v>-672</v>
      </c>
      <c r="H393" s="43">
        <f t="shared" si="114"/>
        <v>-1</v>
      </c>
      <c r="I393" s="43">
        <f t="shared" si="114"/>
        <v>300</v>
      </c>
      <c r="J393" s="43">
        <f t="shared" ref="J393:J398" si="118">SUM(G393:I393)</f>
        <v>-373</v>
      </c>
    </row>
    <row r="394" spans="1:10" x14ac:dyDescent="0.2">
      <c r="B394" s="42" t="s">
        <v>250</v>
      </c>
      <c r="C394" s="43">
        <f t="shared" si="113"/>
        <v>78</v>
      </c>
      <c r="D394" s="43">
        <f t="shared" si="113"/>
        <v>-1504</v>
      </c>
      <c r="E394" s="50" t="s">
        <v>199</v>
      </c>
      <c r="F394" s="50" t="s">
        <v>199</v>
      </c>
      <c r="G394" s="43">
        <f t="shared" si="117"/>
        <v>-1426</v>
      </c>
      <c r="H394" s="43">
        <f t="shared" si="114"/>
        <v>208</v>
      </c>
      <c r="I394" s="43">
        <f t="shared" si="114"/>
        <v>300</v>
      </c>
      <c r="J394" s="43">
        <f t="shared" si="118"/>
        <v>-918</v>
      </c>
    </row>
    <row r="395" spans="1:10" x14ac:dyDescent="0.2">
      <c r="B395" s="42" t="s">
        <v>300</v>
      </c>
      <c r="C395" s="43">
        <f t="shared" si="113"/>
        <v>-571</v>
      </c>
      <c r="D395" s="43">
        <f t="shared" si="113"/>
        <v>-1035</v>
      </c>
      <c r="E395" s="50" t="s">
        <v>199</v>
      </c>
      <c r="F395" s="50" t="s">
        <v>199</v>
      </c>
      <c r="G395" s="43">
        <f t="shared" si="117"/>
        <v>-1606</v>
      </c>
      <c r="H395" s="43">
        <f t="shared" si="114"/>
        <v>208</v>
      </c>
      <c r="I395" s="43">
        <f t="shared" si="114"/>
        <v>300</v>
      </c>
      <c r="J395" s="43">
        <f t="shared" si="118"/>
        <v>-1098</v>
      </c>
    </row>
    <row r="396" spans="1:10" x14ac:dyDescent="0.2">
      <c r="B396" s="42" t="s">
        <v>301</v>
      </c>
      <c r="C396" s="43">
        <f t="shared" si="113"/>
        <v>941</v>
      </c>
      <c r="D396" s="43">
        <f t="shared" si="113"/>
        <v>-2654</v>
      </c>
      <c r="E396" s="50" t="s">
        <v>199</v>
      </c>
      <c r="F396" s="50" t="s">
        <v>199</v>
      </c>
      <c r="G396" s="43">
        <f t="shared" si="117"/>
        <v>-1713</v>
      </c>
      <c r="H396" s="43">
        <f t="shared" si="114"/>
        <v>208</v>
      </c>
      <c r="I396" s="43">
        <f t="shared" si="114"/>
        <v>300</v>
      </c>
      <c r="J396" s="43">
        <f t="shared" si="118"/>
        <v>-1205</v>
      </c>
    </row>
    <row r="397" spans="1:10" x14ac:dyDescent="0.2">
      <c r="B397" s="42" t="s">
        <v>388</v>
      </c>
      <c r="C397" s="43">
        <f>C76-C237</f>
        <v>2111</v>
      </c>
      <c r="D397" s="43">
        <f>D76-D237</f>
        <v>-3890</v>
      </c>
      <c r="E397" s="50" t="s">
        <v>199</v>
      </c>
      <c r="F397" s="50" t="s">
        <v>199</v>
      </c>
      <c r="G397" s="43">
        <f t="shared" si="117"/>
        <v>-1779</v>
      </c>
      <c r="H397" s="43">
        <f>H76-H237</f>
        <v>208</v>
      </c>
      <c r="I397" s="43">
        <f>I76-I237</f>
        <v>300</v>
      </c>
      <c r="J397" s="43">
        <f t="shared" si="118"/>
        <v>-1271</v>
      </c>
    </row>
    <row r="398" spans="1:10" x14ac:dyDescent="0.2">
      <c r="B398" s="42" t="s">
        <v>389</v>
      </c>
      <c r="C398" s="43">
        <f>C77-C238</f>
        <v>3403</v>
      </c>
      <c r="D398" s="43">
        <f>D77-D238</f>
        <v>-6129</v>
      </c>
      <c r="E398" s="50" t="s">
        <v>199</v>
      </c>
      <c r="F398" s="50" t="s">
        <v>199</v>
      </c>
      <c r="G398" s="43">
        <f t="shared" si="117"/>
        <v>-2726</v>
      </c>
      <c r="H398" s="43">
        <f>H77-H238</f>
        <v>208</v>
      </c>
      <c r="I398" s="43">
        <f>I77-I238</f>
        <v>300</v>
      </c>
      <c r="J398" s="43">
        <f t="shared" si="118"/>
        <v>-2218</v>
      </c>
    </row>
    <row r="399" spans="1:10" x14ac:dyDescent="0.2">
      <c r="A399" s="186" t="s">
        <v>192</v>
      </c>
      <c r="B399" s="186"/>
      <c r="C399" s="189"/>
      <c r="D399" s="189"/>
      <c r="E399" s="189"/>
      <c r="F399" s="189"/>
      <c r="G399" s="189"/>
      <c r="H399" s="189"/>
      <c r="I399" s="189"/>
      <c r="J399" s="189"/>
    </row>
    <row r="400" spans="1:10" x14ac:dyDescent="0.2">
      <c r="B400" s="42" t="s">
        <v>135</v>
      </c>
      <c r="C400" s="43">
        <f t="shared" ref="C400:D410" si="119">C79-C240</f>
        <v>0</v>
      </c>
      <c r="D400" s="43">
        <f t="shared" si="119"/>
        <v>0</v>
      </c>
      <c r="E400" s="50" t="s">
        <v>199</v>
      </c>
      <c r="F400" s="50" t="s">
        <v>199</v>
      </c>
      <c r="G400" s="43">
        <f>SUM(C400:F400)</f>
        <v>0</v>
      </c>
      <c r="H400" s="43">
        <f t="shared" ref="H400:I410" si="120">H79-H240</f>
        <v>0</v>
      </c>
      <c r="I400" s="43">
        <f t="shared" si="120"/>
        <v>0</v>
      </c>
      <c r="J400" s="43">
        <f>SUM(G400:I400)</f>
        <v>0</v>
      </c>
    </row>
    <row r="401" spans="1:12" x14ac:dyDescent="0.2">
      <c r="B401" s="42" t="s">
        <v>136</v>
      </c>
      <c r="C401" s="43">
        <f t="shared" si="119"/>
        <v>0</v>
      </c>
      <c r="D401" s="43">
        <f t="shared" si="119"/>
        <v>0</v>
      </c>
      <c r="E401" s="50" t="s">
        <v>199</v>
      </c>
      <c r="F401" s="50" t="s">
        <v>199</v>
      </c>
      <c r="G401" s="43">
        <f t="shared" ref="G401:G406" si="121">SUM(C401:F401)</f>
        <v>0</v>
      </c>
      <c r="H401" s="43">
        <f t="shared" si="120"/>
        <v>0</v>
      </c>
      <c r="I401" s="43">
        <f t="shared" si="120"/>
        <v>0</v>
      </c>
      <c r="J401" s="43">
        <f t="shared" ref="J401:J406" si="122">SUM(G401:I401)</f>
        <v>0</v>
      </c>
    </row>
    <row r="402" spans="1:12" x14ac:dyDescent="0.2">
      <c r="B402" s="42" t="s">
        <v>137</v>
      </c>
      <c r="C402" s="43">
        <f t="shared" si="119"/>
        <v>0</v>
      </c>
      <c r="D402" s="43">
        <f t="shared" si="119"/>
        <v>0</v>
      </c>
      <c r="E402" s="50" t="s">
        <v>199</v>
      </c>
      <c r="F402" s="50" t="s">
        <v>199</v>
      </c>
      <c r="G402" s="43">
        <f t="shared" si="121"/>
        <v>0</v>
      </c>
      <c r="H402" s="43">
        <f t="shared" si="120"/>
        <v>0</v>
      </c>
      <c r="I402" s="43">
        <f t="shared" si="120"/>
        <v>0</v>
      </c>
      <c r="J402" s="43">
        <f t="shared" si="122"/>
        <v>0</v>
      </c>
    </row>
    <row r="403" spans="1:12" x14ac:dyDescent="0.2">
      <c r="B403" s="42" t="s">
        <v>138</v>
      </c>
      <c r="C403" s="43">
        <f t="shared" si="119"/>
        <v>0</v>
      </c>
      <c r="D403" s="43">
        <f t="shared" si="119"/>
        <v>0</v>
      </c>
      <c r="E403" s="50" t="s">
        <v>199</v>
      </c>
      <c r="F403" s="50" t="s">
        <v>199</v>
      </c>
      <c r="G403" s="43">
        <f t="shared" si="121"/>
        <v>0</v>
      </c>
      <c r="H403" s="43">
        <f t="shared" si="120"/>
        <v>0</v>
      </c>
      <c r="I403" s="43">
        <f t="shared" si="120"/>
        <v>0</v>
      </c>
      <c r="J403" s="43">
        <f t="shared" si="122"/>
        <v>0</v>
      </c>
    </row>
    <row r="404" spans="1:12" x14ac:dyDescent="0.2">
      <c r="B404" s="42" t="s">
        <v>139</v>
      </c>
      <c r="C404" s="43">
        <f t="shared" si="119"/>
        <v>0</v>
      </c>
      <c r="D404" s="43">
        <f t="shared" si="119"/>
        <v>0</v>
      </c>
      <c r="E404" s="50" t="s">
        <v>199</v>
      </c>
      <c r="F404" s="50" t="s">
        <v>199</v>
      </c>
      <c r="G404" s="43">
        <f t="shared" si="121"/>
        <v>0</v>
      </c>
      <c r="H404" s="43">
        <f t="shared" si="120"/>
        <v>0</v>
      </c>
      <c r="I404" s="43">
        <f t="shared" si="120"/>
        <v>0</v>
      </c>
      <c r="J404" s="43">
        <f t="shared" si="122"/>
        <v>0</v>
      </c>
    </row>
    <row r="405" spans="1:12" x14ac:dyDescent="0.2">
      <c r="B405" s="42" t="s">
        <v>164</v>
      </c>
      <c r="C405" s="43">
        <f t="shared" si="119"/>
        <v>0</v>
      </c>
      <c r="D405" s="43">
        <f t="shared" si="119"/>
        <v>0</v>
      </c>
      <c r="E405" s="50" t="s">
        <v>199</v>
      </c>
      <c r="F405" s="50" t="s">
        <v>199</v>
      </c>
      <c r="G405" s="43">
        <f t="shared" si="121"/>
        <v>0</v>
      </c>
      <c r="H405" s="43">
        <f t="shared" si="120"/>
        <v>0</v>
      </c>
      <c r="I405" s="43">
        <f t="shared" si="120"/>
        <v>0</v>
      </c>
      <c r="J405" s="43">
        <f t="shared" si="122"/>
        <v>0</v>
      </c>
    </row>
    <row r="406" spans="1:12" x14ac:dyDescent="0.2">
      <c r="B406" s="42" t="s">
        <v>165</v>
      </c>
      <c r="C406" s="43">
        <f t="shared" si="119"/>
        <v>0</v>
      </c>
      <c r="D406" s="43">
        <f t="shared" si="119"/>
        <v>0</v>
      </c>
      <c r="E406" s="50" t="s">
        <v>199</v>
      </c>
      <c r="F406" s="50" t="s">
        <v>199</v>
      </c>
      <c r="G406" s="43">
        <f t="shared" si="121"/>
        <v>0</v>
      </c>
      <c r="H406" s="43">
        <f t="shared" si="120"/>
        <v>0</v>
      </c>
      <c r="I406" s="43">
        <f t="shared" si="120"/>
        <v>228</v>
      </c>
      <c r="J406" s="43">
        <f t="shared" si="122"/>
        <v>228</v>
      </c>
    </row>
    <row r="407" spans="1:12" x14ac:dyDescent="0.2">
      <c r="B407" s="42" t="s">
        <v>249</v>
      </c>
      <c r="C407" s="43">
        <f t="shared" si="119"/>
        <v>104</v>
      </c>
      <c r="D407" s="43">
        <f t="shared" si="119"/>
        <v>-723</v>
      </c>
      <c r="E407" s="50" t="s">
        <v>199</v>
      </c>
      <c r="F407" s="50" t="s">
        <v>199</v>
      </c>
      <c r="G407" s="43">
        <f t="shared" ref="G407:G412" si="123">SUM(C407:F407)</f>
        <v>-619</v>
      </c>
      <c r="H407" s="43">
        <f t="shared" si="120"/>
        <v>-1</v>
      </c>
      <c r="I407" s="43">
        <f t="shared" si="120"/>
        <v>300</v>
      </c>
      <c r="J407" s="43">
        <f t="shared" ref="J407:J412" si="124">SUM(G407:I407)</f>
        <v>-320</v>
      </c>
      <c r="K407" s="98">
        <f>SUM(C407:D407)</f>
        <v>-619</v>
      </c>
      <c r="L407" s="137" t="e">
        <f>K407/K247</f>
        <v>#DIV/0!</v>
      </c>
    </row>
    <row r="408" spans="1:12" x14ac:dyDescent="0.2">
      <c r="B408" s="42" t="s">
        <v>250</v>
      </c>
      <c r="C408" s="43">
        <f t="shared" si="119"/>
        <v>112</v>
      </c>
      <c r="D408" s="43">
        <f t="shared" si="119"/>
        <v>-1453</v>
      </c>
      <c r="E408" s="50" t="s">
        <v>199</v>
      </c>
      <c r="F408" s="50" t="s">
        <v>199</v>
      </c>
      <c r="G408" s="43">
        <f t="shared" si="123"/>
        <v>-1341</v>
      </c>
      <c r="H408" s="43">
        <f t="shared" si="120"/>
        <v>208</v>
      </c>
      <c r="I408" s="43">
        <f t="shared" si="120"/>
        <v>300</v>
      </c>
      <c r="J408" s="43">
        <f t="shared" si="124"/>
        <v>-833</v>
      </c>
      <c r="K408" s="98">
        <f>SUM(C408:D408)</f>
        <v>-1341</v>
      </c>
      <c r="L408" s="137" t="e">
        <f>K408/K248</f>
        <v>#DIV/0!</v>
      </c>
    </row>
    <row r="409" spans="1:12" x14ac:dyDescent="0.2">
      <c r="B409" s="42" t="s">
        <v>300</v>
      </c>
      <c r="C409" s="43">
        <f t="shared" si="119"/>
        <v>-437</v>
      </c>
      <c r="D409" s="43">
        <f t="shared" si="119"/>
        <v>-1131</v>
      </c>
      <c r="E409" s="50" t="s">
        <v>199</v>
      </c>
      <c r="F409" s="50" t="s">
        <v>199</v>
      </c>
      <c r="G409" s="43">
        <f t="shared" si="123"/>
        <v>-1568</v>
      </c>
      <c r="H409" s="43">
        <f t="shared" si="120"/>
        <v>208</v>
      </c>
      <c r="I409" s="43">
        <f t="shared" si="120"/>
        <v>300</v>
      </c>
      <c r="J409" s="43">
        <f t="shared" si="124"/>
        <v>-1060</v>
      </c>
    </row>
    <row r="410" spans="1:12" x14ac:dyDescent="0.2">
      <c r="B410" s="42" t="s">
        <v>301</v>
      </c>
      <c r="C410" s="43">
        <f t="shared" si="119"/>
        <v>684</v>
      </c>
      <c r="D410" s="43">
        <f t="shared" si="119"/>
        <v>-2406</v>
      </c>
      <c r="E410" s="50" t="s">
        <v>199</v>
      </c>
      <c r="F410" s="50" t="s">
        <v>199</v>
      </c>
      <c r="G410" s="43">
        <f t="shared" si="123"/>
        <v>-1722</v>
      </c>
      <c r="H410" s="43">
        <f t="shared" si="120"/>
        <v>208</v>
      </c>
      <c r="I410" s="43">
        <f t="shared" si="120"/>
        <v>300</v>
      </c>
      <c r="J410" s="43">
        <f t="shared" si="124"/>
        <v>-1214</v>
      </c>
    </row>
    <row r="411" spans="1:12" x14ac:dyDescent="0.2">
      <c r="B411" s="42" t="s">
        <v>388</v>
      </c>
      <c r="C411" s="43">
        <f>C90-C251</f>
        <v>1866</v>
      </c>
      <c r="D411" s="43">
        <f>D90-D251</f>
        <v>-3654</v>
      </c>
      <c r="E411" s="50" t="s">
        <v>199</v>
      </c>
      <c r="F411" s="50" t="s">
        <v>199</v>
      </c>
      <c r="G411" s="43">
        <f t="shared" si="123"/>
        <v>-1788</v>
      </c>
      <c r="H411" s="43">
        <f>H90-H251</f>
        <v>208</v>
      </c>
      <c r="I411" s="43">
        <f>I90-I251</f>
        <v>300</v>
      </c>
      <c r="J411" s="43">
        <f t="shared" si="124"/>
        <v>-1280</v>
      </c>
    </row>
    <row r="412" spans="1:12" x14ac:dyDescent="0.2">
      <c r="B412" s="42" t="s">
        <v>389</v>
      </c>
      <c r="C412" s="43">
        <f>C91-C252</f>
        <v>3181</v>
      </c>
      <c r="D412" s="43">
        <f>D91-D252</f>
        <v>-5917</v>
      </c>
      <c r="E412" s="50" t="s">
        <v>199</v>
      </c>
      <c r="F412" s="50" t="s">
        <v>199</v>
      </c>
      <c r="G412" s="43">
        <f t="shared" si="123"/>
        <v>-2736</v>
      </c>
      <c r="H412" s="43">
        <f>H91-H252</f>
        <v>208</v>
      </c>
      <c r="I412" s="43">
        <f>I91-I252</f>
        <v>300</v>
      </c>
      <c r="J412" s="43">
        <f t="shared" si="124"/>
        <v>-2228</v>
      </c>
    </row>
    <row r="413" spans="1:12" x14ac:dyDescent="0.2">
      <c r="B413" s="42"/>
      <c r="C413" s="43"/>
      <c r="D413" s="43"/>
      <c r="E413" s="50"/>
      <c r="F413" s="50"/>
      <c r="G413" s="43"/>
      <c r="H413" s="43"/>
      <c r="I413" s="43"/>
      <c r="J413" s="43"/>
    </row>
    <row r="414" spans="1:12" x14ac:dyDescent="0.2">
      <c r="A414" s="186" t="s">
        <v>187</v>
      </c>
      <c r="B414" s="187"/>
      <c r="C414" s="189"/>
      <c r="D414" s="189"/>
      <c r="E414" s="189"/>
      <c r="F414" s="189"/>
      <c r="G414" s="189"/>
      <c r="H414" s="189"/>
      <c r="I414" s="189"/>
      <c r="J414" s="189"/>
    </row>
    <row r="415" spans="1:12" x14ac:dyDescent="0.2">
      <c r="B415" s="42" t="s">
        <v>135</v>
      </c>
      <c r="C415" s="43">
        <f t="shared" ref="C415:F425" si="125">C94-C255</f>
        <v>0</v>
      </c>
      <c r="D415" s="43">
        <f t="shared" si="125"/>
        <v>0</v>
      </c>
      <c r="E415" s="43">
        <f t="shared" si="125"/>
        <v>0</v>
      </c>
      <c r="F415" s="43">
        <f t="shared" si="125"/>
        <v>0</v>
      </c>
      <c r="G415" s="43">
        <f>SUM(C415:F415)</f>
        <v>0</v>
      </c>
      <c r="H415" s="43">
        <f t="shared" ref="H415:I425" si="126">H94-H255</f>
        <v>0</v>
      </c>
      <c r="I415" s="43">
        <f t="shared" si="126"/>
        <v>0</v>
      </c>
      <c r="J415" s="43">
        <f>SUM(G415:I415)</f>
        <v>0</v>
      </c>
    </row>
    <row r="416" spans="1:12" x14ac:dyDescent="0.2">
      <c r="B416" s="42" t="s">
        <v>136</v>
      </c>
      <c r="C416" s="43">
        <f t="shared" si="125"/>
        <v>0</v>
      </c>
      <c r="D416" s="43">
        <f t="shared" si="125"/>
        <v>0</v>
      </c>
      <c r="E416" s="43">
        <f t="shared" si="125"/>
        <v>0</v>
      </c>
      <c r="F416" s="43">
        <f t="shared" si="125"/>
        <v>0</v>
      </c>
      <c r="G416" s="43">
        <f t="shared" ref="G416:G421" si="127">SUM(C416:F416)</f>
        <v>0</v>
      </c>
      <c r="H416" s="43">
        <f t="shared" si="126"/>
        <v>0</v>
      </c>
      <c r="I416" s="43">
        <f t="shared" si="126"/>
        <v>0</v>
      </c>
      <c r="J416" s="43">
        <f t="shared" ref="J416:J421" si="128">SUM(G416:I416)</f>
        <v>0</v>
      </c>
    </row>
    <row r="417" spans="1:10" x14ac:dyDescent="0.2">
      <c r="B417" s="42" t="s">
        <v>137</v>
      </c>
      <c r="C417" s="43">
        <f t="shared" si="125"/>
        <v>0</v>
      </c>
      <c r="D417" s="43">
        <f t="shared" si="125"/>
        <v>0</v>
      </c>
      <c r="E417" s="43">
        <f t="shared" si="125"/>
        <v>0</v>
      </c>
      <c r="F417" s="43">
        <f t="shared" si="125"/>
        <v>0</v>
      </c>
      <c r="G417" s="43">
        <f t="shared" si="127"/>
        <v>0</v>
      </c>
      <c r="H417" s="43">
        <f t="shared" si="126"/>
        <v>0</v>
      </c>
      <c r="I417" s="43">
        <f t="shared" si="126"/>
        <v>0</v>
      </c>
      <c r="J417" s="43">
        <f t="shared" si="128"/>
        <v>0</v>
      </c>
    </row>
    <row r="418" spans="1:10" x14ac:dyDescent="0.2">
      <c r="B418" s="42" t="s">
        <v>138</v>
      </c>
      <c r="C418" s="43">
        <f t="shared" si="125"/>
        <v>0</v>
      </c>
      <c r="D418" s="43">
        <f t="shared" si="125"/>
        <v>0</v>
      </c>
      <c r="E418" s="43">
        <f t="shared" si="125"/>
        <v>0</v>
      </c>
      <c r="F418" s="43">
        <f t="shared" si="125"/>
        <v>0</v>
      </c>
      <c r="G418" s="43">
        <f t="shared" si="127"/>
        <v>0</v>
      </c>
      <c r="H418" s="43">
        <f t="shared" si="126"/>
        <v>0</v>
      </c>
      <c r="I418" s="43">
        <f t="shared" si="126"/>
        <v>0</v>
      </c>
      <c r="J418" s="43">
        <f t="shared" si="128"/>
        <v>0</v>
      </c>
    </row>
    <row r="419" spans="1:10" x14ac:dyDescent="0.2">
      <c r="B419" s="42" t="s">
        <v>139</v>
      </c>
      <c r="C419" s="43">
        <f t="shared" si="125"/>
        <v>0</v>
      </c>
      <c r="D419" s="43">
        <f t="shared" si="125"/>
        <v>0</v>
      </c>
      <c r="E419" s="43">
        <f t="shared" si="125"/>
        <v>0</v>
      </c>
      <c r="F419" s="43">
        <f t="shared" si="125"/>
        <v>0</v>
      </c>
      <c r="G419" s="43">
        <f t="shared" si="127"/>
        <v>0</v>
      </c>
      <c r="H419" s="43">
        <f t="shared" si="126"/>
        <v>0</v>
      </c>
      <c r="I419" s="43">
        <f t="shared" si="126"/>
        <v>0</v>
      </c>
      <c r="J419" s="43">
        <f t="shared" si="128"/>
        <v>0</v>
      </c>
    </row>
    <row r="420" spans="1:10" x14ac:dyDescent="0.2">
      <c r="B420" s="42" t="s">
        <v>164</v>
      </c>
      <c r="C420" s="43">
        <f t="shared" si="125"/>
        <v>0</v>
      </c>
      <c r="D420" s="43">
        <f t="shared" si="125"/>
        <v>0</v>
      </c>
      <c r="E420" s="43">
        <f t="shared" si="125"/>
        <v>0</v>
      </c>
      <c r="F420" s="43">
        <f t="shared" si="125"/>
        <v>0</v>
      </c>
      <c r="G420" s="43">
        <f t="shared" si="127"/>
        <v>0</v>
      </c>
      <c r="H420" s="43">
        <f t="shared" si="126"/>
        <v>0</v>
      </c>
      <c r="I420" s="43">
        <f t="shared" si="126"/>
        <v>0</v>
      </c>
      <c r="J420" s="43">
        <f t="shared" si="128"/>
        <v>0</v>
      </c>
    </row>
    <row r="421" spans="1:10" x14ac:dyDescent="0.2">
      <c r="B421" s="42" t="s">
        <v>165</v>
      </c>
      <c r="C421" s="43">
        <f t="shared" si="125"/>
        <v>0</v>
      </c>
      <c r="D421" s="43">
        <f t="shared" si="125"/>
        <v>0</v>
      </c>
      <c r="E421" s="43">
        <f t="shared" si="125"/>
        <v>0</v>
      </c>
      <c r="F421" s="43">
        <f t="shared" si="125"/>
        <v>0</v>
      </c>
      <c r="G421" s="43">
        <f t="shared" si="127"/>
        <v>0</v>
      </c>
      <c r="H421" s="43">
        <f t="shared" si="126"/>
        <v>0</v>
      </c>
      <c r="I421" s="43">
        <f t="shared" si="126"/>
        <v>0</v>
      </c>
      <c r="J421" s="43">
        <f t="shared" si="128"/>
        <v>0</v>
      </c>
    </row>
    <row r="422" spans="1:10" x14ac:dyDescent="0.2">
      <c r="B422" s="42" t="s">
        <v>249</v>
      </c>
      <c r="C422" s="43">
        <f t="shared" si="125"/>
        <v>127</v>
      </c>
      <c r="D422" s="43">
        <f t="shared" si="125"/>
        <v>-122</v>
      </c>
      <c r="E422" s="43">
        <f t="shared" si="125"/>
        <v>7</v>
      </c>
      <c r="F422" s="43">
        <f t="shared" si="125"/>
        <v>0</v>
      </c>
      <c r="G422" s="43">
        <f t="shared" ref="G422:G427" si="129">SUM(C422:F422)</f>
        <v>12</v>
      </c>
      <c r="H422" s="43">
        <f t="shared" si="126"/>
        <v>0</v>
      </c>
      <c r="I422" s="43">
        <f t="shared" si="126"/>
        <v>0</v>
      </c>
      <c r="J422" s="43">
        <f t="shared" ref="J422:J427" si="130">SUM(G422:I422)</f>
        <v>12</v>
      </c>
    </row>
    <row r="423" spans="1:10" x14ac:dyDescent="0.2">
      <c r="B423" s="42" t="s">
        <v>250</v>
      </c>
      <c r="C423" s="43">
        <f t="shared" si="125"/>
        <v>216</v>
      </c>
      <c r="D423" s="43">
        <f t="shared" si="125"/>
        <v>-212</v>
      </c>
      <c r="E423" s="43">
        <f t="shared" si="125"/>
        <v>-49</v>
      </c>
      <c r="F423" s="43">
        <f t="shared" si="125"/>
        <v>56</v>
      </c>
      <c r="G423" s="43">
        <f t="shared" si="129"/>
        <v>11</v>
      </c>
      <c r="H423" s="43">
        <f t="shared" si="126"/>
        <v>0</v>
      </c>
      <c r="I423" s="43">
        <f t="shared" si="126"/>
        <v>0</v>
      </c>
      <c r="J423" s="43">
        <f t="shared" si="130"/>
        <v>11</v>
      </c>
    </row>
    <row r="424" spans="1:10" x14ac:dyDescent="0.2">
      <c r="B424" s="42" t="s">
        <v>300</v>
      </c>
      <c r="C424" s="43">
        <f t="shared" si="125"/>
        <v>229</v>
      </c>
      <c r="D424" s="43">
        <f t="shared" si="125"/>
        <v>-223</v>
      </c>
      <c r="E424" s="43">
        <f t="shared" si="125"/>
        <v>-4</v>
      </c>
      <c r="F424" s="43">
        <f t="shared" si="125"/>
        <v>11</v>
      </c>
      <c r="G424" s="43">
        <f t="shared" si="129"/>
        <v>13</v>
      </c>
      <c r="H424" s="43">
        <f t="shared" si="126"/>
        <v>0</v>
      </c>
      <c r="I424" s="43">
        <f t="shared" si="126"/>
        <v>0</v>
      </c>
      <c r="J424" s="43">
        <f t="shared" si="130"/>
        <v>13</v>
      </c>
    </row>
    <row r="425" spans="1:10" x14ac:dyDescent="0.2">
      <c r="B425" s="42" t="s">
        <v>301</v>
      </c>
      <c r="C425" s="43">
        <f t="shared" si="125"/>
        <v>313</v>
      </c>
      <c r="D425" s="43">
        <f t="shared" si="125"/>
        <v>-305</v>
      </c>
      <c r="E425" s="43">
        <f t="shared" si="125"/>
        <v>14</v>
      </c>
      <c r="F425" s="43">
        <f t="shared" si="125"/>
        <v>-7</v>
      </c>
      <c r="G425" s="43">
        <f t="shared" si="129"/>
        <v>15</v>
      </c>
      <c r="H425" s="43">
        <f t="shared" si="126"/>
        <v>0</v>
      </c>
      <c r="I425" s="43">
        <f t="shared" si="126"/>
        <v>0</v>
      </c>
      <c r="J425" s="43">
        <f t="shared" si="130"/>
        <v>15</v>
      </c>
    </row>
    <row r="426" spans="1:10" x14ac:dyDescent="0.2">
      <c r="B426" s="42" t="s">
        <v>388</v>
      </c>
      <c r="C426" s="43">
        <f t="shared" ref="C426:F427" si="131">C105-C266</f>
        <v>373</v>
      </c>
      <c r="D426" s="43">
        <f t="shared" si="131"/>
        <v>-366</v>
      </c>
      <c r="E426" s="43">
        <f t="shared" si="131"/>
        <v>47</v>
      </c>
      <c r="F426" s="43">
        <f t="shared" si="131"/>
        <v>-40</v>
      </c>
      <c r="G426" s="43">
        <f t="shared" si="129"/>
        <v>14</v>
      </c>
      <c r="H426" s="43">
        <f>H105-H266</f>
        <v>0</v>
      </c>
      <c r="I426" s="43">
        <f>I105-I266</f>
        <v>0</v>
      </c>
      <c r="J426" s="43">
        <f t="shared" si="130"/>
        <v>14</v>
      </c>
    </row>
    <row r="427" spans="1:10" x14ac:dyDescent="0.2">
      <c r="B427" s="42" t="s">
        <v>389</v>
      </c>
      <c r="C427" s="43">
        <f t="shared" si="131"/>
        <v>410</v>
      </c>
      <c r="D427" s="43">
        <f t="shared" si="131"/>
        <v>-433</v>
      </c>
      <c r="E427" s="43">
        <f t="shared" si="131"/>
        <v>108</v>
      </c>
      <c r="F427" s="43">
        <f t="shared" si="131"/>
        <v>-101</v>
      </c>
      <c r="G427" s="43">
        <f t="shared" si="129"/>
        <v>-16</v>
      </c>
      <c r="H427" s="43">
        <f>H106-H267</f>
        <v>0</v>
      </c>
      <c r="I427" s="43">
        <f>I106-I267</f>
        <v>0</v>
      </c>
      <c r="J427" s="43">
        <f t="shared" si="130"/>
        <v>-16</v>
      </c>
    </row>
    <row r="428" spans="1:10" x14ac:dyDescent="0.2">
      <c r="A428" s="186" t="s">
        <v>190</v>
      </c>
      <c r="B428" s="186"/>
      <c r="C428" s="189"/>
      <c r="D428" s="189"/>
      <c r="E428" s="189"/>
      <c r="F428" s="189"/>
      <c r="G428" s="189"/>
      <c r="H428" s="189"/>
      <c r="I428" s="189"/>
      <c r="J428" s="189"/>
    </row>
    <row r="429" spans="1:10" x14ac:dyDescent="0.2">
      <c r="B429" s="42" t="s">
        <v>135</v>
      </c>
      <c r="C429" s="43">
        <f t="shared" ref="C429:F439" si="132">C108-C269</f>
        <v>0</v>
      </c>
      <c r="D429" s="43">
        <f t="shared" si="132"/>
        <v>0</v>
      </c>
      <c r="E429" s="43">
        <f t="shared" si="132"/>
        <v>0</v>
      </c>
      <c r="F429" s="43">
        <f t="shared" si="132"/>
        <v>0</v>
      </c>
      <c r="G429" s="43">
        <f>SUM(C429:F429)</f>
        <v>0</v>
      </c>
      <c r="H429" s="43">
        <f t="shared" ref="H429:I439" si="133">H108-H269</f>
        <v>0</v>
      </c>
      <c r="I429" s="43">
        <f t="shared" si="133"/>
        <v>0</v>
      </c>
      <c r="J429" s="43">
        <f>SUM(G429:I429)</f>
        <v>0</v>
      </c>
    </row>
    <row r="430" spans="1:10" x14ac:dyDescent="0.2">
      <c r="B430" s="42" t="s">
        <v>136</v>
      </c>
      <c r="C430" s="43">
        <f t="shared" si="132"/>
        <v>0</v>
      </c>
      <c r="D430" s="43">
        <f t="shared" si="132"/>
        <v>0</v>
      </c>
      <c r="E430" s="43">
        <f t="shared" si="132"/>
        <v>0</v>
      </c>
      <c r="F430" s="43">
        <f t="shared" si="132"/>
        <v>0</v>
      </c>
      <c r="G430" s="43">
        <f t="shared" ref="G430:G435" si="134">SUM(C430:F430)</f>
        <v>0</v>
      </c>
      <c r="H430" s="43">
        <f t="shared" si="133"/>
        <v>0</v>
      </c>
      <c r="I430" s="43">
        <f t="shared" si="133"/>
        <v>0</v>
      </c>
      <c r="J430" s="43">
        <f t="shared" ref="J430:J435" si="135">SUM(G430:I430)</f>
        <v>0</v>
      </c>
    </row>
    <row r="431" spans="1:10" x14ac:dyDescent="0.2">
      <c r="B431" s="42" t="s">
        <v>137</v>
      </c>
      <c r="C431" s="43">
        <f t="shared" si="132"/>
        <v>0</v>
      </c>
      <c r="D431" s="43">
        <f t="shared" si="132"/>
        <v>0</v>
      </c>
      <c r="E431" s="43">
        <f t="shared" si="132"/>
        <v>0</v>
      </c>
      <c r="F431" s="43">
        <f t="shared" si="132"/>
        <v>0</v>
      </c>
      <c r="G431" s="43">
        <f t="shared" si="134"/>
        <v>0</v>
      </c>
      <c r="H431" s="43">
        <f t="shared" si="133"/>
        <v>0</v>
      </c>
      <c r="I431" s="43">
        <f t="shared" si="133"/>
        <v>0</v>
      </c>
      <c r="J431" s="43">
        <f t="shared" si="135"/>
        <v>0</v>
      </c>
    </row>
    <row r="432" spans="1:10" x14ac:dyDescent="0.2">
      <c r="B432" s="42" t="s">
        <v>138</v>
      </c>
      <c r="C432" s="43">
        <f t="shared" si="132"/>
        <v>0</v>
      </c>
      <c r="D432" s="43">
        <f t="shared" si="132"/>
        <v>0</v>
      </c>
      <c r="E432" s="43">
        <f t="shared" si="132"/>
        <v>0</v>
      </c>
      <c r="F432" s="43">
        <f t="shared" si="132"/>
        <v>0</v>
      </c>
      <c r="G432" s="43">
        <f t="shared" si="134"/>
        <v>0</v>
      </c>
      <c r="H432" s="43">
        <f t="shared" si="133"/>
        <v>0</v>
      </c>
      <c r="I432" s="43">
        <f t="shared" si="133"/>
        <v>0</v>
      </c>
      <c r="J432" s="43">
        <f t="shared" si="135"/>
        <v>0</v>
      </c>
    </row>
    <row r="433" spans="1:10" x14ac:dyDescent="0.2">
      <c r="B433" s="42" t="s">
        <v>139</v>
      </c>
      <c r="C433" s="43">
        <f t="shared" si="132"/>
        <v>0</v>
      </c>
      <c r="D433" s="43">
        <f t="shared" si="132"/>
        <v>0</v>
      </c>
      <c r="E433" s="43">
        <f t="shared" si="132"/>
        <v>0</v>
      </c>
      <c r="F433" s="43">
        <f t="shared" si="132"/>
        <v>0</v>
      </c>
      <c r="G433" s="43">
        <f t="shared" si="134"/>
        <v>0</v>
      </c>
      <c r="H433" s="43">
        <f t="shared" si="133"/>
        <v>0</v>
      </c>
      <c r="I433" s="43">
        <f t="shared" si="133"/>
        <v>0</v>
      </c>
      <c r="J433" s="43">
        <f t="shared" si="135"/>
        <v>0</v>
      </c>
    </row>
    <row r="434" spans="1:10" x14ac:dyDescent="0.2">
      <c r="B434" s="42" t="s">
        <v>164</v>
      </c>
      <c r="C434" s="43">
        <f t="shared" si="132"/>
        <v>0</v>
      </c>
      <c r="D434" s="43">
        <f t="shared" si="132"/>
        <v>0</v>
      </c>
      <c r="E434" s="43">
        <f t="shared" si="132"/>
        <v>0</v>
      </c>
      <c r="F434" s="43">
        <f t="shared" si="132"/>
        <v>0</v>
      </c>
      <c r="G434" s="43">
        <f t="shared" si="134"/>
        <v>0</v>
      </c>
      <c r="H434" s="43">
        <f t="shared" si="133"/>
        <v>0</v>
      </c>
      <c r="I434" s="43">
        <f t="shared" si="133"/>
        <v>0</v>
      </c>
      <c r="J434" s="43">
        <f t="shared" si="135"/>
        <v>0</v>
      </c>
    </row>
    <row r="435" spans="1:10" x14ac:dyDescent="0.2">
      <c r="B435" s="42" t="s">
        <v>165</v>
      </c>
      <c r="C435" s="43">
        <f t="shared" si="132"/>
        <v>0</v>
      </c>
      <c r="D435" s="43">
        <f t="shared" si="132"/>
        <v>0</v>
      </c>
      <c r="E435" s="43">
        <f t="shared" si="132"/>
        <v>0</v>
      </c>
      <c r="F435" s="43">
        <f t="shared" si="132"/>
        <v>0</v>
      </c>
      <c r="G435" s="43">
        <f t="shared" si="134"/>
        <v>0</v>
      </c>
      <c r="H435" s="43">
        <f t="shared" si="133"/>
        <v>0</v>
      </c>
      <c r="I435" s="43">
        <f t="shared" si="133"/>
        <v>0</v>
      </c>
      <c r="J435" s="43">
        <f t="shared" si="135"/>
        <v>0</v>
      </c>
    </row>
    <row r="436" spans="1:10" x14ac:dyDescent="0.2">
      <c r="B436" s="42" t="s">
        <v>249</v>
      </c>
      <c r="C436" s="43">
        <f t="shared" si="132"/>
        <v>112</v>
      </c>
      <c r="D436" s="43">
        <f t="shared" si="132"/>
        <v>-150</v>
      </c>
      <c r="E436" s="43">
        <f t="shared" si="132"/>
        <v>8</v>
      </c>
      <c r="F436" s="43">
        <f t="shared" si="132"/>
        <v>0</v>
      </c>
      <c r="G436" s="43">
        <f t="shared" ref="G436:G441" si="136">SUM(C436:F436)</f>
        <v>-30</v>
      </c>
      <c r="H436" s="43">
        <f t="shared" si="133"/>
        <v>0</v>
      </c>
      <c r="I436" s="43">
        <f t="shared" si="133"/>
        <v>0</v>
      </c>
      <c r="J436" s="43">
        <f t="shared" ref="J436:J441" si="137">SUM(G436:I436)</f>
        <v>-30</v>
      </c>
    </row>
    <row r="437" spans="1:10" x14ac:dyDescent="0.2">
      <c r="B437" s="42" t="s">
        <v>250</v>
      </c>
      <c r="C437" s="43">
        <f t="shared" si="132"/>
        <v>221</v>
      </c>
      <c r="D437" s="43">
        <f t="shared" si="132"/>
        <v>-263</v>
      </c>
      <c r="E437" s="43">
        <f t="shared" si="132"/>
        <v>-55</v>
      </c>
      <c r="F437" s="43">
        <f t="shared" si="132"/>
        <v>63</v>
      </c>
      <c r="G437" s="43">
        <f t="shared" si="136"/>
        <v>-34</v>
      </c>
      <c r="H437" s="43">
        <f t="shared" si="133"/>
        <v>0</v>
      </c>
      <c r="I437" s="43">
        <f t="shared" si="133"/>
        <v>0</v>
      </c>
      <c r="J437" s="43">
        <f t="shared" si="137"/>
        <v>-34</v>
      </c>
    </row>
    <row r="438" spans="1:10" x14ac:dyDescent="0.2">
      <c r="B438" s="42" t="s">
        <v>300</v>
      </c>
      <c r="C438" s="43">
        <f t="shared" si="132"/>
        <v>238</v>
      </c>
      <c r="D438" s="43">
        <f t="shared" si="132"/>
        <v>-278</v>
      </c>
      <c r="E438" s="43">
        <f t="shared" si="132"/>
        <v>-5</v>
      </c>
      <c r="F438" s="43">
        <f t="shared" si="132"/>
        <v>14</v>
      </c>
      <c r="G438" s="43">
        <f t="shared" si="136"/>
        <v>-31</v>
      </c>
      <c r="H438" s="43">
        <f t="shared" si="133"/>
        <v>0</v>
      </c>
      <c r="I438" s="43">
        <f t="shared" si="133"/>
        <v>0</v>
      </c>
      <c r="J438" s="43">
        <f t="shared" si="137"/>
        <v>-31</v>
      </c>
    </row>
    <row r="439" spans="1:10" x14ac:dyDescent="0.2">
      <c r="B439" s="42" t="s">
        <v>301</v>
      </c>
      <c r="C439" s="43">
        <f t="shared" si="132"/>
        <v>334</v>
      </c>
      <c r="D439" s="43">
        <f t="shared" si="132"/>
        <v>-373</v>
      </c>
      <c r="E439" s="43">
        <f t="shared" si="132"/>
        <v>28</v>
      </c>
      <c r="F439" s="43">
        <f t="shared" si="132"/>
        <v>-19</v>
      </c>
      <c r="G439" s="43">
        <f t="shared" si="136"/>
        <v>-30</v>
      </c>
      <c r="H439" s="43">
        <f t="shared" si="133"/>
        <v>0</v>
      </c>
      <c r="I439" s="43">
        <f t="shared" si="133"/>
        <v>0</v>
      </c>
      <c r="J439" s="43">
        <f t="shared" si="137"/>
        <v>-30</v>
      </c>
    </row>
    <row r="440" spans="1:10" x14ac:dyDescent="0.2">
      <c r="B440" s="42" t="s">
        <v>388</v>
      </c>
      <c r="C440" s="43">
        <f>C119-C280</f>
        <v>395</v>
      </c>
      <c r="D440" s="43">
        <f t="shared" ref="C440:F441" si="138">D119-D280</f>
        <v>-434</v>
      </c>
      <c r="E440" s="43">
        <f t="shared" si="138"/>
        <v>71</v>
      </c>
      <c r="F440" s="43">
        <f t="shared" si="138"/>
        <v>-63</v>
      </c>
      <c r="G440" s="43">
        <f t="shared" si="136"/>
        <v>-31</v>
      </c>
      <c r="H440" s="43">
        <f>H119-H280</f>
        <v>0</v>
      </c>
      <c r="I440" s="43">
        <f>I119-I280</f>
        <v>0</v>
      </c>
      <c r="J440" s="43">
        <f t="shared" si="137"/>
        <v>-31</v>
      </c>
    </row>
    <row r="441" spans="1:10" x14ac:dyDescent="0.2">
      <c r="B441" s="42" t="s">
        <v>389</v>
      </c>
      <c r="C441" s="43">
        <f t="shared" si="138"/>
        <v>415</v>
      </c>
      <c r="D441" s="43">
        <f t="shared" si="138"/>
        <v>-474</v>
      </c>
      <c r="E441" s="43">
        <f t="shared" si="138"/>
        <v>150</v>
      </c>
      <c r="F441" s="43">
        <f t="shared" si="138"/>
        <v>-141</v>
      </c>
      <c r="G441" s="43">
        <f t="shared" si="136"/>
        <v>-50</v>
      </c>
      <c r="H441" s="43">
        <f>H120-H281</f>
        <v>0</v>
      </c>
      <c r="I441" s="43">
        <f>I120-I281</f>
        <v>0</v>
      </c>
      <c r="J441" s="43">
        <f t="shared" si="137"/>
        <v>-50</v>
      </c>
    </row>
    <row r="442" spans="1:10" x14ac:dyDescent="0.2">
      <c r="A442" s="186" t="s">
        <v>193</v>
      </c>
      <c r="B442" s="186"/>
      <c r="C442" s="189"/>
      <c r="D442" s="189"/>
      <c r="E442" s="189"/>
      <c r="F442" s="189"/>
      <c r="G442" s="189"/>
      <c r="H442" s="189"/>
      <c r="I442" s="189"/>
      <c r="J442" s="189"/>
    </row>
    <row r="443" spans="1:10" x14ac:dyDescent="0.2">
      <c r="B443" s="42" t="s">
        <v>135</v>
      </c>
      <c r="C443" s="43">
        <f t="shared" ref="C443:F453" si="139">C122-C283</f>
        <v>0</v>
      </c>
      <c r="D443" s="43">
        <f t="shared" si="139"/>
        <v>0</v>
      </c>
      <c r="E443" s="43">
        <f t="shared" si="139"/>
        <v>0</v>
      </c>
      <c r="F443" s="43">
        <f t="shared" si="139"/>
        <v>0</v>
      </c>
      <c r="G443" s="43">
        <f>SUM(C443:F443)</f>
        <v>0</v>
      </c>
      <c r="H443" s="50" t="s">
        <v>199</v>
      </c>
      <c r="I443" s="50" t="s">
        <v>199</v>
      </c>
      <c r="J443" s="43">
        <f>SUM(G443:I443)</f>
        <v>0</v>
      </c>
    </row>
    <row r="444" spans="1:10" x14ac:dyDescent="0.2">
      <c r="B444" s="42" t="s">
        <v>136</v>
      </c>
      <c r="C444" s="43">
        <f t="shared" si="139"/>
        <v>0</v>
      </c>
      <c r="D444" s="43">
        <f t="shared" si="139"/>
        <v>0</v>
      </c>
      <c r="E444" s="43">
        <f t="shared" si="139"/>
        <v>0</v>
      </c>
      <c r="F444" s="43">
        <f t="shared" si="139"/>
        <v>0</v>
      </c>
      <c r="G444" s="43">
        <f t="shared" ref="G444:G449" si="140">SUM(C444:F444)</f>
        <v>0</v>
      </c>
      <c r="H444" s="43">
        <f t="shared" ref="H444:I453" si="141">H123-H284</f>
        <v>0</v>
      </c>
      <c r="I444" s="43">
        <f t="shared" si="141"/>
        <v>0</v>
      </c>
      <c r="J444" s="43">
        <f t="shared" ref="J444:J449" si="142">SUM(G444:I444)</f>
        <v>0</v>
      </c>
    </row>
    <row r="445" spans="1:10" x14ac:dyDescent="0.2">
      <c r="B445" s="42" t="s">
        <v>137</v>
      </c>
      <c r="C445" s="43">
        <f t="shared" si="139"/>
        <v>0</v>
      </c>
      <c r="D445" s="43">
        <f t="shared" si="139"/>
        <v>0</v>
      </c>
      <c r="E445" s="43">
        <f t="shared" si="139"/>
        <v>0</v>
      </c>
      <c r="F445" s="43">
        <f t="shared" si="139"/>
        <v>0</v>
      </c>
      <c r="G445" s="43">
        <f t="shared" si="140"/>
        <v>0</v>
      </c>
      <c r="H445" s="43">
        <f t="shared" si="141"/>
        <v>0</v>
      </c>
      <c r="I445" s="43">
        <f t="shared" si="141"/>
        <v>0</v>
      </c>
      <c r="J445" s="43">
        <f t="shared" si="142"/>
        <v>0</v>
      </c>
    </row>
    <row r="446" spans="1:10" x14ac:dyDescent="0.2">
      <c r="B446" s="42" t="s">
        <v>138</v>
      </c>
      <c r="C446" s="43">
        <f t="shared" si="139"/>
        <v>0</v>
      </c>
      <c r="D446" s="43">
        <f t="shared" si="139"/>
        <v>0</v>
      </c>
      <c r="E446" s="43">
        <f t="shared" si="139"/>
        <v>0</v>
      </c>
      <c r="F446" s="43">
        <f t="shared" si="139"/>
        <v>0</v>
      </c>
      <c r="G446" s="43">
        <f t="shared" si="140"/>
        <v>0</v>
      </c>
      <c r="H446" s="43">
        <f t="shared" si="141"/>
        <v>0</v>
      </c>
      <c r="I446" s="43">
        <f t="shared" si="141"/>
        <v>0</v>
      </c>
      <c r="J446" s="43">
        <f t="shared" si="142"/>
        <v>0</v>
      </c>
    </row>
    <row r="447" spans="1:10" x14ac:dyDescent="0.2">
      <c r="B447" s="42" t="s">
        <v>139</v>
      </c>
      <c r="C447" s="43">
        <f t="shared" si="139"/>
        <v>0</v>
      </c>
      <c r="D447" s="43">
        <f t="shared" si="139"/>
        <v>0</v>
      </c>
      <c r="E447" s="43">
        <f t="shared" si="139"/>
        <v>0</v>
      </c>
      <c r="F447" s="43">
        <f t="shared" si="139"/>
        <v>0</v>
      </c>
      <c r="G447" s="43">
        <f t="shared" si="140"/>
        <v>0</v>
      </c>
      <c r="H447" s="43">
        <f t="shared" si="141"/>
        <v>0</v>
      </c>
      <c r="I447" s="43">
        <f t="shared" si="141"/>
        <v>0</v>
      </c>
      <c r="J447" s="43">
        <f t="shared" si="142"/>
        <v>0</v>
      </c>
    </row>
    <row r="448" spans="1:10" x14ac:dyDescent="0.2">
      <c r="B448" s="42" t="s">
        <v>164</v>
      </c>
      <c r="C448" s="43">
        <f t="shared" si="139"/>
        <v>0</v>
      </c>
      <c r="D448" s="43">
        <f t="shared" si="139"/>
        <v>0</v>
      </c>
      <c r="E448" s="43">
        <f t="shared" si="139"/>
        <v>0</v>
      </c>
      <c r="F448" s="43">
        <f t="shared" si="139"/>
        <v>0</v>
      </c>
      <c r="G448" s="43">
        <f t="shared" si="140"/>
        <v>0</v>
      </c>
      <c r="H448" s="43">
        <f t="shared" si="141"/>
        <v>0</v>
      </c>
      <c r="I448" s="43">
        <f t="shared" si="141"/>
        <v>0</v>
      </c>
      <c r="J448" s="43">
        <f t="shared" si="142"/>
        <v>0</v>
      </c>
    </row>
    <row r="449" spans="1:10" x14ac:dyDescent="0.2">
      <c r="B449" s="42" t="s">
        <v>165</v>
      </c>
      <c r="C449" s="43">
        <f t="shared" si="139"/>
        <v>0</v>
      </c>
      <c r="D449" s="43">
        <f t="shared" si="139"/>
        <v>0</v>
      </c>
      <c r="E449" s="43">
        <f t="shared" si="139"/>
        <v>0</v>
      </c>
      <c r="F449" s="43">
        <f t="shared" si="139"/>
        <v>0</v>
      </c>
      <c r="G449" s="43">
        <f t="shared" si="140"/>
        <v>0</v>
      </c>
      <c r="H449" s="43">
        <f t="shared" si="141"/>
        <v>0</v>
      </c>
      <c r="I449" s="43">
        <f t="shared" si="141"/>
        <v>0</v>
      </c>
      <c r="J449" s="43">
        <f t="shared" si="142"/>
        <v>0</v>
      </c>
    </row>
    <row r="450" spans="1:10" x14ac:dyDescent="0.2">
      <c r="B450" s="42" t="s">
        <v>249</v>
      </c>
      <c r="C450" s="43">
        <f t="shared" si="139"/>
        <v>93</v>
      </c>
      <c r="D450" s="43">
        <f t="shared" si="139"/>
        <v>-142</v>
      </c>
      <c r="E450" s="43">
        <f t="shared" si="139"/>
        <v>9</v>
      </c>
      <c r="F450" s="43">
        <f t="shared" si="139"/>
        <v>0</v>
      </c>
      <c r="G450" s="43">
        <f t="shared" ref="G450:G455" si="143">SUM(C450:F450)</f>
        <v>-40</v>
      </c>
      <c r="H450" s="43">
        <f t="shared" si="141"/>
        <v>0</v>
      </c>
      <c r="I450" s="43">
        <f t="shared" si="141"/>
        <v>0</v>
      </c>
      <c r="J450" s="43">
        <f t="shared" ref="J450:J455" si="144">SUM(G450:I450)</f>
        <v>-40</v>
      </c>
    </row>
    <row r="451" spans="1:10" x14ac:dyDescent="0.2">
      <c r="B451" s="42" t="s">
        <v>250</v>
      </c>
      <c r="C451" s="43">
        <f t="shared" si="139"/>
        <v>204</v>
      </c>
      <c r="D451" s="43">
        <f t="shared" si="139"/>
        <v>-246</v>
      </c>
      <c r="E451" s="43">
        <f t="shared" si="139"/>
        <v>-51</v>
      </c>
      <c r="F451" s="43">
        <f t="shared" si="139"/>
        <v>60</v>
      </c>
      <c r="G451" s="43">
        <f t="shared" si="143"/>
        <v>-33</v>
      </c>
      <c r="H451" s="43">
        <f t="shared" si="141"/>
        <v>0</v>
      </c>
      <c r="I451" s="43">
        <f t="shared" si="141"/>
        <v>0</v>
      </c>
      <c r="J451" s="43">
        <f t="shared" si="144"/>
        <v>-33</v>
      </c>
    </row>
    <row r="452" spans="1:10" x14ac:dyDescent="0.2">
      <c r="B452" s="42" t="s">
        <v>300</v>
      </c>
      <c r="C452" s="43">
        <f t="shared" si="139"/>
        <v>241</v>
      </c>
      <c r="D452" s="43">
        <f t="shared" si="139"/>
        <v>-279</v>
      </c>
      <c r="E452" s="43">
        <f t="shared" si="139"/>
        <v>-6</v>
      </c>
      <c r="F452" s="43">
        <f t="shared" si="139"/>
        <v>14</v>
      </c>
      <c r="G452" s="43">
        <f t="shared" si="143"/>
        <v>-30</v>
      </c>
      <c r="H452" s="43">
        <f t="shared" si="141"/>
        <v>0</v>
      </c>
      <c r="I452" s="43">
        <f t="shared" si="141"/>
        <v>0</v>
      </c>
      <c r="J452" s="43">
        <f t="shared" si="144"/>
        <v>-30</v>
      </c>
    </row>
    <row r="453" spans="1:10" x14ac:dyDescent="0.2">
      <c r="B453" s="42" t="s">
        <v>301</v>
      </c>
      <c r="C453" s="43">
        <f t="shared" si="139"/>
        <v>314</v>
      </c>
      <c r="D453" s="43">
        <f t="shared" si="139"/>
        <v>-352</v>
      </c>
      <c r="E453" s="43">
        <f t="shared" si="139"/>
        <v>20</v>
      </c>
      <c r="F453" s="43">
        <f t="shared" si="139"/>
        <v>-12</v>
      </c>
      <c r="G453" s="43">
        <f t="shared" si="143"/>
        <v>-30</v>
      </c>
      <c r="H453" s="43">
        <f t="shared" si="141"/>
        <v>0</v>
      </c>
      <c r="I453" s="43">
        <f t="shared" si="141"/>
        <v>0</v>
      </c>
      <c r="J453" s="43">
        <f t="shared" si="144"/>
        <v>-30</v>
      </c>
    </row>
    <row r="454" spans="1:10" x14ac:dyDescent="0.2">
      <c r="B454" s="42" t="s">
        <v>388</v>
      </c>
      <c r="C454" s="43">
        <f t="shared" ref="C454:F455" si="145">C133-C294</f>
        <v>389</v>
      </c>
      <c r="D454" s="43">
        <f t="shared" si="145"/>
        <v>-427</v>
      </c>
      <c r="E454" s="43">
        <f t="shared" si="145"/>
        <v>65</v>
      </c>
      <c r="F454" s="43">
        <f t="shared" si="145"/>
        <v>-56</v>
      </c>
      <c r="G454" s="43">
        <f t="shared" si="143"/>
        <v>-29</v>
      </c>
      <c r="H454" s="43">
        <f>H133-H294</f>
        <v>0</v>
      </c>
      <c r="I454" s="43">
        <f>I133-I294</f>
        <v>0</v>
      </c>
      <c r="J454" s="43">
        <f t="shared" si="144"/>
        <v>-29</v>
      </c>
    </row>
    <row r="455" spans="1:10" x14ac:dyDescent="0.2">
      <c r="B455" s="42" t="s">
        <v>389</v>
      </c>
      <c r="C455" s="43">
        <f t="shared" si="145"/>
        <v>419</v>
      </c>
      <c r="D455" s="43">
        <f t="shared" si="145"/>
        <v>-475</v>
      </c>
      <c r="E455" s="43">
        <f t="shared" si="145"/>
        <v>146</v>
      </c>
      <c r="F455" s="43">
        <f t="shared" si="145"/>
        <v>-137</v>
      </c>
      <c r="G455" s="43">
        <f t="shared" si="143"/>
        <v>-47</v>
      </c>
      <c r="H455" s="43">
        <f>H134-H295</f>
        <v>0</v>
      </c>
      <c r="I455" s="43">
        <f>I134-I295</f>
        <v>0</v>
      </c>
      <c r="J455" s="43">
        <f t="shared" si="144"/>
        <v>-47</v>
      </c>
    </row>
    <row r="456" spans="1:10" x14ac:dyDescent="0.2">
      <c r="B456" s="42"/>
      <c r="C456" s="43"/>
      <c r="D456" s="43"/>
      <c r="E456" s="50"/>
      <c r="F456" s="50"/>
      <c r="G456" s="43"/>
      <c r="H456" s="43"/>
      <c r="I456" s="43"/>
      <c r="J456" s="43"/>
    </row>
    <row r="457" spans="1:10" x14ac:dyDescent="0.2">
      <c r="A457" s="186" t="s">
        <v>194</v>
      </c>
      <c r="B457" s="186"/>
      <c r="C457" s="189"/>
      <c r="D457" s="189"/>
      <c r="E457" s="189"/>
      <c r="F457" s="189"/>
      <c r="G457" s="189"/>
      <c r="H457" s="189"/>
      <c r="I457" s="189"/>
      <c r="J457" s="189"/>
    </row>
    <row r="458" spans="1:10" x14ac:dyDescent="0.2">
      <c r="B458" s="42" t="s">
        <v>135</v>
      </c>
      <c r="C458" s="43">
        <f t="shared" ref="C458:F468" si="146">C137-C298</f>
        <v>0</v>
      </c>
      <c r="D458" s="43">
        <f t="shared" si="146"/>
        <v>0</v>
      </c>
      <c r="E458" s="43">
        <f t="shared" si="146"/>
        <v>0</v>
      </c>
      <c r="F458" s="43">
        <f t="shared" si="146"/>
        <v>0</v>
      </c>
      <c r="G458" s="43">
        <f>SUM(C458:F458)</f>
        <v>0</v>
      </c>
      <c r="H458" s="43">
        <f t="shared" ref="H458:I468" si="147">H137-H298</f>
        <v>0</v>
      </c>
      <c r="I458" s="43">
        <f t="shared" si="147"/>
        <v>0</v>
      </c>
      <c r="J458" s="43">
        <f>SUM(G458:I458)</f>
        <v>0</v>
      </c>
    </row>
    <row r="459" spans="1:10" x14ac:dyDescent="0.2">
      <c r="B459" s="42" t="s">
        <v>136</v>
      </c>
      <c r="C459" s="43">
        <f t="shared" si="146"/>
        <v>0</v>
      </c>
      <c r="D459" s="43">
        <f t="shared" si="146"/>
        <v>0</v>
      </c>
      <c r="E459" s="43">
        <f t="shared" si="146"/>
        <v>0</v>
      </c>
      <c r="F459" s="43">
        <f t="shared" si="146"/>
        <v>0</v>
      </c>
      <c r="G459" s="43">
        <f t="shared" ref="G459:G464" si="148">SUM(C459:F459)</f>
        <v>0</v>
      </c>
      <c r="H459" s="43">
        <f t="shared" si="147"/>
        <v>0</v>
      </c>
      <c r="I459" s="43">
        <f t="shared" si="147"/>
        <v>0</v>
      </c>
      <c r="J459" s="43">
        <f t="shared" ref="J459:J464" si="149">SUM(G459:I459)</f>
        <v>0</v>
      </c>
    </row>
    <row r="460" spans="1:10" x14ac:dyDescent="0.2">
      <c r="B460" s="42" t="s">
        <v>137</v>
      </c>
      <c r="C460" s="43">
        <f t="shared" si="146"/>
        <v>0</v>
      </c>
      <c r="D460" s="43">
        <f t="shared" si="146"/>
        <v>0</v>
      </c>
      <c r="E460" s="43">
        <f t="shared" si="146"/>
        <v>0</v>
      </c>
      <c r="F460" s="43">
        <f t="shared" si="146"/>
        <v>0</v>
      </c>
      <c r="G460" s="43">
        <f t="shared" si="148"/>
        <v>0</v>
      </c>
      <c r="H460" s="43">
        <f t="shared" si="147"/>
        <v>0</v>
      </c>
      <c r="I460" s="43">
        <f t="shared" si="147"/>
        <v>0</v>
      </c>
      <c r="J460" s="43">
        <f t="shared" si="149"/>
        <v>0</v>
      </c>
    </row>
    <row r="461" spans="1:10" x14ac:dyDescent="0.2">
      <c r="B461" s="42" t="s">
        <v>138</v>
      </c>
      <c r="C461" s="43">
        <f t="shared" si="146"/>
        <v>0</v>
      </c>
      <c r="D461" s="43">
        <f t="shared" si="146"/>
        <v>0</v>
      </c>
      <c r="E461" s="43">
        <f t="shared" si="146"/>
        <v>0</v>
      </c>
      <c r="F461" s="43">
        <f t="shared" si="146"/>
        <v>0</v>
      </c>
      <c r="G461" s="43">
        <f t="shared" si="148"/>
        <v>0</v>
      </c>
      <c r="H461" s="43">
        <f t="shared" si="147"/>
        <v>0</v>
      </c>
      <c r="I461" s="43">
        <f t="shared" si="147"/>
        <v>0</v>
      </c>
      <c r="J461" s="43">
        <f t="shared" si="149"/>
        <v>0</v>
      </c>
    </row>
    <row r="462" spans="1:10" x14ac:dyDescent="0.2">
      <c r="B462" s="42" t="s">
        <v>139</v>
      </c>
      <c r="C462" s="43">
        <f t="shared" si="146"/>
        <v>0</v>
      </c>
      <c r="D462" s="43">
        <f t="shared" si="146"/>
        <v>0</v>
      </c>
      <c r="E462" s="43">
        <f t="shared" si="146"/>
        <v>0</v>
      </c>
      <c r="F462" s="43">
        <f t="shared" si="146"/>
        <v>0</v>
      </c>
      <c r="G462" s="43">
        <f t="shared" si="148"/>
        <v>0</v>
      </c>
      <c r="H462" s="43">
        <f t="shared" si="147"/>
        <v>0</v>
      </c>
      <c r="I462" s="43">
        <f t="shared" si="147"/>
        <v>0</v>
      </c>
      <c r="J462" s="43">
        <f t="shared" si="149"/>
        <v>0</v>
      </c>
    </row>
    <row r="463" spans="1:10" x14ac:dyDescent="0.2">
      <c r="B463" s="42" t="s">
        <v>164</v>
      </c>
      <c r="C463" s="43">
        <f t="shared" si="146"/>
        <v>0</v>
      </c>
      <c r="D463" s="43">
        <f t="shared" si="146"/>
        <v>0</v>
      </c>
      <c r="E463" s="43">
        <f t="shared" si="146"/>
        <v>0</v>
      </c>
      <c r="F463" s="43">
        <f t="shared" si="146"/>
        <v>0</v>
      </c>
      <c r="G463" s="43">
        <f t="shared" si="148"/>
        <v>0</v>
      </c>
      <c r="H463" s="43">
        <f t="shared" si="147"/>
        <v>0</v>
      </c>
      <c r="I463" s="43">
        <f t="shared" si="147"/>
        <v>0</v>
      </c>
      <c r="J463" s="43">
        <f t="shared" si="149"/>
        <v>0</v>
      </c>
    </row>
    <row r="464" spans="1:10" x14ac:dyDescent="0.2">
      <c r="B464" s="42" t="s">
        <v>165</v>
      </c>
      <c r="C464" s="43">
        <f t="shared" si="146"/>
        <v>0</v>
      </c>
      <c r="D464" s="43">
        <f t="shared" si="146"/>
        <v>25</v>
      </c>
      <c r="E464" s="43">
        <f t="shared" si="146"/>
        <v>0</v>
      </c>
      <c r="F464" s="43">
        <f t="shared" si="146"/>
        <v>0</v>
      </c>
      <c r="G464" s="43">
        <f t="shared" si="148"/>
        <v>25</v>
      </c>
      <c r="H464" s="43">
        <f t="shared" si="147"/>
        <v>0</v>
      </c>
      <c r="I464" s="43">
        <f t="shared" si="147"/>
        <v>0</v>
      </c>
      <c r="J464" s="43">
        <f t="shared" si="149"/>
        <v>25</v>
      </c>
    </row>
    <row r="465" spans="1:10" x14ac:dyDescent="0.2">
      <c r="B465" s="42" t="s">
        <v>249</v>
      </c>
      <c r="C465" s="43">
        <f t="shared" si="146"/>
        <v>12</v>
      </c>
      <c r="D465" s="43">
        <f t="shared" si="146"/>
        <v>-60</v>
      </c>
      <c r="E465" s="43">
        <f t="shared" si="146"/>
        <v>3</v>
      </c>
      <c r="F465" s="43">
        <f t="shared" si="146"/>
        <v>0</v>
      </c>
      <c r="G465" s="43">
        <f t="shared" ref="G465:G470" si="150">SUM(C465:F465)</f>
        <v>-45</v>
      </c>
      <c r="H465" s="43">
        <f t="shared" si="147"/>
        <v>0</v>
      </c>
      <c r="I465" s="43">
        <f t="shared" si="147"/>
        <v>0</v>
      </c>
      <c r="J465" s="43">
        <f t="shared" ref="J465:J470" si="151">SUM(G465:I465)</f>
        <v>-45</v>
      </c>
    </row>
    <row r="466" spans="1:10" x14ac:dyDescent="0.2">
      <c r="B466" s="42" t="s">
        <v>250</v>
      </c>
      <c r="C466" s="43">
        <f t="shared" si="146"/>
        <v>0</v>
      </c>
      <c r="D466" s="43">
        <f t="shared" si="146"/>
        <v>22</v>
      </c>
      <c r="E466" s="43">
        <f t="shared" si="146"/>
        <v>0</v>
      </c>
      <c r="F466" s="43">
        <f t="shared" si="146"/>
        <v>-89</v>
      </c>
      <c r="G466" s="43">
        <f t="shared" si="150"/>
        <v>-67</v>
      </c>
      <c r="H466" s="43">
        <f t="shared" si="147"/>
        <v>0</v>
      </c>
      <c r="I466" s="43">
        <f t="shared" si="147"/>
        <v>0</v>
      </c>
      <c r="J466" s="43">
        <f t="shared" si="151"/>
        <v>-67</v>
      </c>
    </row>
    <row r="467" spans="1:10" x14ac:dyDescent="0.2">
      <c r="B467" s="42" t="s">
        <v>300</v>
      </c>
      <c r="C467" s="43">
        <f t="shared" si="146"/>
        <v>0</v>
      </c>
      <c r="D467" s="43">
        <f t="shared" si="146"/>
        <v>-40</v>
      </c>
      <c r="E467" s="43">
        <f t="shared" si="146"/>
        <v>0</v>
      </c>
      <c r="F467" s="43">
        <f t="shared" si="146"/>
        <v>-33</v>
      </c>
      <c r="G467" s="43">
        <f t="shared" si="150"/>
        <v>-73</v>
      </c>
      <c r="H467" s="43">
        <f t="shared" si="147"/>
        <v>0</v>
      </c>
      <c r="I467" s="43">
        <f t="shared" si="147"/>
        <v>0</v>
      </c>
      <c r="J467" s="43">
        <f t="shared" si="151"/>
        <v>-73</v>
      </c>
    </row>
    <row r="468" spans="1:10" x14ac:dyDescent="0.2">
      <c r="B468" s="42" t="s">
        <v>301</v>
      </c>
      <c r="C468" s="43">
        <f t="shared" si="146"/>
        <v>0</v>
      </c>
      <c r="D468" s="43">
        <f t="shared" si="146"/>
        <v>-39</v>
      </c>
      <c r="E468" s="43">
        <f t="shared" si="146"/>
        <v>0</v>
      </c>
      <c r="F468" s="43">
        <f t="shared" si="146"/>
        <v>-38</v>
      </c>
      <c r="G468" s="43">
        <f t="shared" si="150"/>
        <v>-77</v>
      </c>
      <c r="H468" s="43">
        <f t="shared" si="147"/>
        <v>0</v>
      </c>
      <c r="I468" s="43">
        <f t="shared" si="147"/>
        <v>0</v>
      </c>
      <c r="J468" s="43">
        <f t="shared" si="151"/>
        <v>-77</v>
      </c>
    </row>
    <row r="469" spans="1:10" x14ac:dyDescent="0.2">
      <c r="B469" s="42" t="s">
        <v>388</v>
      </c>
      <c r="C469" s="43">
        <f t="shared" ref="C469:F470" si="152">C148-C309</f>
        <v>0</v>
      </c>
      <c r="D469" s="43">
        <f t="shared" si="152"/>
        <v>-28</v>
      </c>
      <c r="E469" s="43">
        <f t="shared" si="152"/>
        <v>0</v>
      </c>
      <c r="F469" s="43">
        <f t="shared" si="152"/>
        <v>-50</v>
      </c>
      <c r="G469" s="43">
        <f t="shared" si="150"/>
        <v>-78</v>
      </c>
      <c r="H469" s="43">
        <f>H148-H309</f>
        <v>0</v>
      </c>
      <c r="I469" s="43">
        <f>I148-I309</f>
        <v>0</v>
      </c>
      <c r="J469" s="43">
        <f t="shared" si="151"/>
        <v>-78</v>
      </c>
    </row>
    <row r="470" spans="1:10" x14ac:dyDescent="0.2">
      <c r="B470" s="42" t="s">
        <v>389</v>
      </c>
      <c r="C470" s="43">
        <f t="shared" si="152"/>
        <v>0</v>
      </c>
      <c r="D470" s="43">
        <f t="shared" si="152"/>
        <v>-90</v>
      </c>
      <c r="E470" s="43">
        <f t="shared" si="152"/>
        <v>0</v>
      </c>
      <c r="F470" s="43">
        <f t="shared" si="152"/>
        <v>-70</v>
      </c>
      <c r="G470" s="43">
        <f t="shared" si="150"/>
        <v>-160</v>
      </c>
      <c r="H470" s="43">
        <f>H149-H310</f>
        <v>0</v>
      </c>
      <c r="I470" s="43">
        <f>I149-I310</f>
        <v>0</v>
      </c>
      <c r="J470" s="43">
        <f t="shared" si="151"/>
        <v>-160</v>
      </c>
    </row>
    <row r="471" spans="1:10" x14ac:dyDescent="0.2">
      <c r="A471" s="186" t="s">
        <v>195</v>
      </c>
      <c r="B471" s="186"/>
      <c r="C471" s="189"/>
      <c r="D471" s="189"/>
      <c r="E471" s="189"/>
      <c r="F471" s="189"/>
      <c r="G471" s="189"/>
      <c r="H471" s="189"/>
      <c r="I471" s="189"/>
      <c r="J471" s="189"/>
    </row>
    <row r="472" spans="1:10" x14ac:dyDescent="0.2">
      <c r="B472" s="42" t="s">
        <v>135</v>
      </c>
      <c r="C472" s="43">
        <f t="shared" ref="C472:F482" si="153">C151-C312</f>
        <v>0</v>
      </c>
      <c r="D472" s="43">
        <f t="shared" si="153"/>
        <v>0</v>
      </c>
      <c r="E472" s="43">
        <f t="shared" si="153"/>
        <v>0</v>
      </c>
      <c r="F472" s="43">
        <f t="shared" si="153"/>
        <v>0</v>
      </c>
      <c r="G472" s="43">
        <f>SUM(C472:F472)</f>
        <v>0</v>
      </c>
      <c r="H472" s="43">
        <f t="shared" ref="H472:I482" si="154">H151-H312</f>
        <v>0</v>
      </c>
      <c r="I472" s="43">
        <f t="shared" si="154"/>
        <v>0</v>
      </c>
      <c r="J472" s="43">
        <f>SUM(G472:I472)</f>
        <v>0</v>
      </c>
    </row>
    <row r="473" spans="1:10" x14ac:dyDescent="0.2">
      <c r="B473" s="42" t="s">
        <v>136</v>
      </c>
      <c r="C473" s="43">
        <f t="shared" si="153"/>
        <v>0</v>
      </c>
      <c r="D473" s="43">
        <f t="shared" si="153"/>
        <v>0</v>
      </c>
      <c r="E473" s="43">
        <f t="shared" si="153"/>
        <v>0</v>
      </c>
      <c r="F473" s="43">
        <f t="shared" si="153"/>
        <v>0</v>
      </c>
      <c r="G473" s="43">
        <f t="shared" ref="G473:G478" si="155">SUM(C473:F473)</f>
        <v>0</v>
      </c>
      <c r="H473" s="43">
        <f t="shared" si="154"/>
        <v>0</v>
      </c>
      <c r="I473" s="43">
        <f t="shared" si="154"/>
        <v>0</v>
      </c>
      <c r="J473" s="43">
        <f t="shared" ref="J473:J478" si="156">SUM(G473:I473)</f>
        <v>0</v>
      </c>
    </row>
    <row r="474" spans="1:10" x14ac:dyDescent="0.2">
      <c r="B474" s="42" t="s">
        <v>137</v>
      </c>
      <c r="C474" s="43">
        <f t="shared" si="153"/>
        <v>0</v>
      </c>
      <c r="D474" s="43">
        <f t="shared" si="153"/>
        <v>0</v>
      </c>
      <c r="E474" s="43">
        <f t="shared" si="153"/>
        <v>0</v>
      </c>
      <c r="F474" s="43">
        <f t="shared" si="153"/>
        <v>0</v>
      </c>
      <c r="G474" s="43">
        <f t="shared" si="155"/>
        <v>0</v>
      </c>
      <c r="H474" s="43">
        <f t="shared" si="154"/>
        <v>0</v>
      </c>
      <c r="I474" s="43">
        <f t="shared" si="154"/>
        <v>0</v>
      </c>
      <c r="J474" s="43">
        <f t="shared" si="156"/>
        <v>0</v>
      </c>
    </row>
    <row r="475" spans="1:10" x14ac:dyDescent="0.2">
      <c r="B475" s="42" t="s">
        <v>138</v>
      </c>
      <c r="C475" s="43">
        <f t="shared" si="153"/>
        <v>0</v>
      </c>
      <c r="D475" s="43">
        <f t="shared" si="153"/>
        <v>0</v>
      </c>
      <c r="E475" s="43">
        <f t="shared" si="153"/>
        <v>0</v>
      </c>
      <c r="F475" s="43">
        <f t="shared" si="153"/>
        <v>0</v>
      </c>
      <c r="G475" s="43">
        <f t="shared" si="155"/>
        <v>0</v>
      </c>
      <c r="H475" s="43">
        <f t="shared" si="154"/>
        <v>0</v>
      </c>
      <c r="I475" s="43">
        <f t="shared" si="154"/>
        <v>0</v>
      </c>
      <c r="J475" s="43">
        <f t="shared" si="156"/>
        <v>0</v>
      </c>
    </row>
    <row r="476" spans="1:10" x14ac:dyDescent="0.2">
      <c r="B476" s="42" t="s">
        <v>139</v>
      </c>
      <c r="C476" s="43">
        <f t="shared" si="153"/>
        <v>0</v>
      </c>
      <c r="D476" s="43">
        <f t="shared" si="153"/>
        <v>0</v>
      </c>
      <c r="E476" s="43">
        <f t="shared" si="153"/>
        <v>0</v>
      </c>
      <c r="F476" s="43">
        <f t="shared" si="153"/>
        <v>0</v>
      </c>
      <c r="G476" s="43">
        <f t="shared" si="155"/>
        <v>0</v>
      </c>
      <c r="H476" s="43">
        <f t="shared" si="154"/>
        <v>0</v>
      </c>
      <c r="I476" s="43">
        <f t="shared" si="154"/>
        <v>0</v>
      </c>
      <c r="J476" s="43">
        <f t="shared" si="156"/>
        <v>0</v>
      </c>
    </row>
    <row r="477" spans="1:10" x14ac:dyDescent="0.2">
      <c r="B477" s="42" t="s">
        <v>164</v>
      </c>
      <c r="C477" s="43">
        <f t="shared" si="153"/>
        <v>0</v>
      </c>
      <c r="D477" s="43">
        <f t="shared" si="153"/>
        <v>0</v>
      </c>
      <c r="E477" s="43">
        <f t="shared" si="153"/>
        <v>0</v>
      </c>
      <c r="F477" s="43">
        <f t="shared" si="153"/>
        <v>0</v>
      </c>
      <c r="G477" s="43">
        <f t="shared" si="155"/>
        <v>0</v>
      </c>
      <c r="H477" s="43">
        <f t="shared" si="154"/>
        <v>0</v>
      </c>
      <c r="I477" s="43">
        <f t="shared" si="154"/>
        <v>0</v>
      </c>
      <c r="J477" s="43">
        <f t="shared" si="156"/>
        <v>0</v>
      </c>
    </row>
    <row r="478" spans="1:10" x14ac:dyDescent="0.2">
      <c r="B478" s="42" t="s">
        <v>165</v>
      </c>
      <c r="C478" s="43">
        <f t="shared" si="153"/>
        <v>0</v>
      </c>
      <c r="D478" s="43">
        <f t="shared" si="153"/>
        <v>0</v>
      </c>
      <c r="E478" s="43">
        <f t="shared" si="153"/>
        <v>0</v>
      </c>
      <c r="F478" s="43">
        <f t="shared" si="153"/>
        <v>0</v>
      </c>
      <c r="G478" s="43">
        <f t="shared" si="155"/>
        <v>0</v>
      </c>
      <c r="H478" s="43">
        <f t="shared" si="154"/>
        <v>0</v>
      </c>
      <c r="I478" s="43">
        <f t="shared" si="154"/>
        <v>0</v>
      </c>
      <c r="J478" s="43">
        <f t="shared" si="156"/>
        <v>0</v>
      </c>
    </row>
    <row r="479" spans="1:10" x14ac:dyDescent="0.2">
      <c r="B479" s="42" t="s">
        <v>249</v>
      </c>
      <c r="C479" s="43">
        <f t="shared" si="153"/>
        <v>32</v>
      </c>
      <c r="D479" s="43">
        <f t="shared" si="153"/>
        <v>-60</v>
      </c>
      <c r="E479" s="43">
        <f t="shared" si="153"/>
        <v>3</v>
      </c>
      <c r="F479" s="43">
        <f t="shared" si="153"/>
        <v>0</v>
      </c>
      <c r="G479" s="43">
        <f t="shared" ref="G479:G484" si="157">SUM(C479:F479)</f>
        <v>-25</v>
      </c>
      <c r="H479" s="43">
        <f t="shared" si="154"/>
        <v>0</v>
      </c>
      <c r="I479" s="43">
        <f t="shared" si="154"/>
        <v>0</v>
      </c>
      <c r="J479" s="43">
        <f t="shared" ref="J479:J484" si="158">SUM(G479:I479)</f>
        <v>-25</v>
      </c>
    </row>
    <row r="480" spans="1:10" x14ac:dyDescent="0.2">
      <c r="B480" s="42" t="s">
        <v>250</v>
      </c>
      <c r="C480" s="43">
        <f t="shared" si="153"/>
        <v>-9</v>
      </c>
      <c r="D480" s="43">
        <f t="shared" si="153"/>
        <v>2</v>
      </c>
      <c r="E480" s="43">
        <f t="shared" si="153"/>
        <v>2</v>
      </c>
      <c r="F480" s="43">
        <f t="shared" si="153"/>
        <v>-68</v>
      </c>
      <c r="G480" s="43">
        <f t="shared" si="157"/>
        <v>-73</v>
      </c>
      <c r="H480" s="43">
        <f t="shared" si="154"/>
        <v>0</v>
      </c>
      <c r="I480" s="43">
        <f t="shared" si="154"/>
        <v>0</v>
      </c>
      <c r="J480" s="43">
        <f t="shared" si="158"/>
        <v>-73</v>
      </c>
    </row>
    <row r="481" spans="2:10" x14ac:dyDescent="0.2">
      <c r="B481" s="42" t="s">
        <v>300</v>
      </c>
      <c r="C481" s="43">
        <f t="shared" si="153"/>
        <v>0</v>
      </c>
      <c r="D481" s="43">
        <f t="shared" si="153"/>
        <v>-40</v>
      </c>
      <c r="E481" s="43">
        <f t="shared" si="153"/>
        <v>0</v>
      </c>
      <c r="F481" s="43">
        <f t="shared" si="153"/>
        <v>-33</v>
      </c>
      <c r="G481" s="43">
        <f t="shared" si="157"/>
        <v>-73</v>
      </c>
      <c r="H481" s="43">
        <f t="shared" si="154"/>
        <v>0</v>
      </c>
      <c r="I481" s="43">
        <f t="shared" si="154"/>
        <v>0</v>
      </c>
      <c r="J481" s="43">
        <f t="shared" si="158"/>
        <v>-73</v>
      </c>
    </row>
    <row r="482" spans="2:10" x14ac:dyDescent="0.2">
      <c r="B482" s="42" t="s">
        <v>301</v>
      </c>
      <c r="C482" s="43">
        <f t="shared" si="153"/>
        <v>0</v>
      </c>
      <c r="D482" s="43">
        <f t="shared" si="153"/>
        <v>-40</v>
      </c>
      <c r="E482" s="43">
        <f t="shared" si="153"/>
        <v>0</v>
      </c>
      <c r="F482" s="43">
        <f t="shared" si="153"/>
        <v>-38</v>
      </c>
      <c r="G482" s="43">
        <f t="shared" si="157"/>
        <v>-78</v>
      </c>
      <c r="H482" s="43">
        <f t="shared" si="154"/>
        <v>0</v>
      </c>
      <c r="I482" s="43">
        <f t="shared" si="154"/>
        <v>0</v>
      </c>
      <c r="J482" s="43">
        <f t="shared" si="158"/>
        <v>-78</v>
      </c>
    </row>
    <row r="483" spans="2:10" x14ac:dyDescent="0.2">
      <c r="B483" s="42" t="s">
        <v>388</v>
      </c>
      <c r="C483" s="43">
        <f t="shared" ref="C483:F484" si="159">C162-C323</f>
        <v>0</v>
      </c>
      <c r="D483" s="43">
        <f t="shared" si="159"/>
        <v>-31</v>
      </c>
      <c r="E483" s="43">
        <f t="shared" si="159"/>
        <v>0</v>
      </c>
      <c r="F483" s="43">
        <f t="shared" si="159"/>
        <v>-50</v>
      </c>
      <c r="G483" s="43">
        <f t="shared" si="157"/>
        <v>-81</v>
      </c>
      <c r="H483" s="43">
        <f>H162-H323</f>
        <v>0</v>
      </c>
      <c r="I483" s="43">
        <f>I162-I323</f>
        <v>0</v>
      </c>
      <c r="J483" s="43">
        <f t="shared" si="158"/>
        <v>-81</v>
      </c>
    </row>
    <row r="484" spans="2:10" x14ac:dyDescent="0.2">
      <c r="B484" s="42" t="s">
        <v>389</v>
      </c>
      <c r="C484" s="43">
        <f t="shared" si="159"/>
        <v>0</v>
      </c>
      <c r="D484" s="43">
        <f t="shared" si="159"/>
        <v>-76</v>
      </c>
      <c r="E484" s="43">
        <f t="shared" si="159"/>
        <v>0</v>
      </c>
      <c r="F484" s="43">
        <f t="shared" si="159"/>
        <v>-70</v>
      </c>
      <c r="G484" s="43">
        <f t="shared" si="157"/>
        <v>-146</v>
      </c>
      <c r="H484" s="43">
        <f>H163-H324</f>
        <v>0</v>
      </c>
      <c r="I484" s="43">
        <f>I163-I324</f>
        <v>0</v>
      </c>
      <c r="J484" s="43">
        <f t="shared" si="158"/>
        <v>-146</v>
      </c>
    </row>
  </sheetData>
  <phoneticPr fontId="1" type="noConversion"/>
  <printOptions horizontalCentered="1" gridLines="1"/>
  <pageMargins left="0.5" right="0.5" top="1" bottom="0.75" header="0.5" footer="0.5"/>
  <pageSetup scale="85" fitToHeight="10" orientation="portrait" horizontalDpi="300" verticalDpi="300" r:id="rId1"/>
  <headerFooter alignWithMargins="0">
    <oddHeader>&amp;L&amp;"Arial,Bold"DEPT of EDUCATION
Program Finance Div.&amp;C&amp;"Arial,Bold"&amp;A
*** NOV 2010 VS. FEB2010 ***&amp;R&amp;"Arial,Bold"&amp;D
&amp;T</oddHeader>
    <oddFooter>&amp;L&amp;"Arial,Regular"&amp;F&amp;R&amp;"Arial,Regular"&amp;A</oddFooter>
  </headerFooter>
  <rowBreaks count="2" manualBreakCount="2">
    <brk id="165" max="9" man="1"/>
    <brk id="325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240"/>
  <sheetViews>
    <sheetView tabSelected="1" zoomScaleNormal="100" zoomScaleSheetLayoutView="85" workbookViewId="0">
      <pane xSplit="3" ySplit="3" topLeftCell="J4" activePane="bottomRight" state="frozen"/>
      <selection activeCell="E39" sqref="E39"/>
      <selection pane="topRight" activeCell="E39" sqref="E39"/>
      <selection pane="bottomLeft" activeCell="E39" sqref="E39"/>
      <selection pane="bottomRight" activeCell="J4" sqref="J4"/>
    </sheetView>
  </sheetViews>
  <sheetFormatPr defaultColWidth="8" defaultRowHeight="12.75" x14ac:dyDescent="0.15"/>
  <cols>
    <col min="1" max="1" width="4.125" style="203" customWidth="1"/>
    <col min="2" max="2" width="2.25" style="203" customWidth="1"/>
    <col min="3" max="3" width="28.625" style="203" customWidth="1"/>
    <col min="4" max="9" width="12.625" style="203" hidden="1" customWidth="1"/>
    <col min="10" max="16" width="12.625" style="203" customWidth="1"/>
    <col min="17" max="16384" width="8" style="203"/>
  </cols>
  <sheetData>
    <row r="1" spans="1:16" x14ac:dyDescent="0.15">
      <c r="A1" s="202" t="s">
        <v>439</v>
      </c>
    </row>
    <row r="3" spans="1:16" x14ac:dyDescent="0.15">
      <c r="A3" s="243" t="s">
        <v>438</v>
      </c>
      <c r="B3" s="243"/>
      <c r="C3" s="244"/>
      <c r="D3" s="245" t="s">
        <v>135</v>
      </c>
      <c r="E3" s="245" t="s">
        <v>136</v>
      </c>
      <c r="F3" s="245" t="s">
        <v>137</v>
      </c>
      <c r="G3" s="245" t="s">
        <v>138</v>
      </c>
      <c r="H3" s="245" t="s">
        <v>139</v>
      </c>
      <c r="I3" s="245" t="s">
        <v>164</v>
      </c>
      <c r="J3" s="245" t="s">
        <v>165</v>
      </c>
      <c r="K3" s="245" t="s">
        <v>249</v>
      </c>
      <c r="L3" s="245" t="s">
        <v>250</v>
      </c>
      <c r="M3" s="245" t="s">
        <v>300</v>
      </c>
      <c r="N3" s="245" t="s">
        <v>301</v>
      </c>
      <c r="O3" s="245" t="s">
        <v>388</v>
      </c>
      <c r="P3" s="245" t="s">
        <v>389</v>
      </c>
    </row>
    <row r="5" spans="1:16" x14ac:dyDescent="0.15">
      <c r="A5" s="203">
        <v>1</v>
      </c>
      <c r="B5" s="203" t="s">
        <v>140</v>
      </c>
      <c r="D5" s="207">
        <f>'FY 2003'!I5</f>
        <v>962146</v>
      </c>
      <c r="E5" s="207">
        <f>'FY 2004'!I5</f>
        <v>957096</v>
      </c>
      <c r="F5" s="207">
        <f>'FY 2005'!I5</f>
        <v>953035</v>
      </c>
      <c r="G5" s="207">
        <f>'FY 2006'!I5</f>
        <v>953041</v>
      </c>
      <c r="H5" s="207">
        <f>'FY 2007'!I5</f>
        <v>953288</v>
      </c>
      <c r="I5" s="207">
        <f>'FY 2008'!I5</f>
        <v>953432</v>
      </c>
      <c r="J5" s="207">
        <f>'FY 2009'!$I5</f>
        <v>948587</v>
      </c>
      <c r="K5" s="207">
        <f>'FY 2010'!$J5</f>
        <v>947210</v>
      </c>
      <c r="L5" s="207">
        <f>'FY 2011'!$J5</f>
        <v>948097</v>
      </c>
      <c r="M5" s="207">
        <f>'FY 2012'!$J5</f>
        <v>951670</v>
      </c>
      <c r="N5" s="207">
        <f>'FY 2013'!$J5</f>
        <v>959454</v>
      </c>
      <c r="O5" s="207">
        <f>'FY 2014'!$J5</f>
        <v>969398</v>
      </c>
      <c r="P5" s="207">
        <f>'FY 2015'!$J5</f>
        <v>979275</v>
      </c>
    </row>
    <row r="7" spans="1:16" x14ac:dyDescent="0.15">
      <c r="B7" s="208" t="s">
        <v>155</v>
      </c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</row>
    <row r="8" spans="1:16" x14ac:dyDescent="0.15">
      <c r="A8" s="203">
        <f>A5+1</f>
        <v>2</v>
      </c>
      <c r="B8" s="203" t="s">
        <v>141</v>
      </c>
      <c r="D8" s="207">
        <f>'FY 2003'!I8</f>
        <v>4490060320</v>
      </c>
      <c r="E8" s="207">
        <f>'FY 2004'!I8</f>
        <v>4403575277</v>
      </c>
      <c r="F8" s="207">
        <f>'FY 2005'!I8</f>
        <v>4384973848</v>
      </c>
      <c r="G8" s="207">
        <f>'FY 2006'!I8</f>
        <v>4558383720</v>
      </c>
      <c r="H8" s="207">
        <f>'FY 2007'!I8</f>
        <v>4741676895</v>
      </c>
      <c r="I8" s="207">
        <f>'FY 2008'!I8</f>
        <v>4837724471</v>
      </c>
      <c r="J8" s="207">
        <f>'FY 2009'!$I8</f>
        <v>4860574698.8399992</v>
      </c>
      <c r="K8" s="207">
        <f>'FY 2010'!$J8</f>
        <v>4853494920</v>
      </c>
      <c r="L8" s="207">
        <f>'FY 2011'!$J8</f>
        <v>4858048057</v>
      </c>
      <c r="M8" s="207">
        <f>'FY 2012'!$J8</f>
        <v>4876357232</v>
      </c>
      <c r="N8" s="207">
        <f>'FY 2013'!$J8</f>
        <v>4916240193</v>
      </c>
      <c r="O8" s="207">
        <f>'FY 2014'!$J8</f>
        <v>4967199144</v>
      </c>
      <c r="P8" s="207">
        <f>'FY 2015'!$J8</f>
        <v>5017805352</v>
      </c>
    </row>
    <row r="9" spans="1:16" x14ac:dyDescent="0.15">
      <c r="A9" s="203">
        <f>A8+1</f>
        <v>3</v>
      </c>
      <c r="B9" s="208" t="s">
        <v>299</v>
      </c>
      <c r="D9" s="207"/>
      <c r="E9" s="207"/>
      <c r="F9" s="207">
        <v>0</v>
      </c>
      <c r="G9" s="207">
        <v>0</v>
      </c>
      <c r="H9" s="207">
        <v>0</v>
      </c>
      <c r="I9" s="207">
        <v>0</v>
      </c>
      <c r="J9" s="207">
        <f>'FY 2009'!$I9</f>
        <v>48378085.410000004</v>
      </c>
      <c r="K9" s="207">
        <v>0</v>
      </c>
      <c r="L9" s="207">
        <v>0</v>
      </c>
      <c r="M9" s="207">
        <v>0</v>
      </c>
      <c r="N9" s="207">
        <v>0</v>
      </c>
      <c r="O9" s="207">
        <v>0</v>
      </c>
      <c r="P9" s="207">
        <v>0</v>
      </c>
    </row>
    <row r="10" spans="1:16" x14ac:dyDescent="0.15">
      <c r="A10" s="203">
        <f>A9+1</f>
        <v>4</v>
      </c>
      <c r="B10" s="208" t="s">
        <v>167</v>
      </c>
      <c r="C10" s="208"/>
      <c r="D10" s="207">
        <f>'FY 2003'!I9</f>
        <v>0</v>
      </c>
      <c r="E10" s="207">
        <f>'FY 2004'!I9</f>
        <v>0</v>
      </c>
      <c r="F10" s="207">
        <f>'FY 2005'!I9</f>
        <v>0</v>
      </c>
      <c r="G10" s="207">
        <f>'FY 2006'!I9</f>
        <v>3812154</v>
      </c>
      <c r="H10" s="207">
        <f>'FY 2007'!I9</f>
        <v>8579632</v>
      </c>
      <c r="I10" s="207">
        <f>'FY 2008'!I9</f>
        <v>11441209</v>
      </c>
      <c r="J10" s="207">
        <f>'FY 2009'!$I10</f>
        <v>11383078.92</v>
      </c>
      <c r="K10" s="207">
        <f>'FY 2010'!$J9</f>
        <v>11365913</v>
      </c>
      <c r="L10" s="207">
        <f>'FY 2011'!$J9</f>
        <v>11377163</v>
      </c>
      <c r="M10" s="207">
        <f>'FY 2012'!$J9</f>
        <v>11420040</v>
      </c>
      <c r="N10" s="207">
        <f>'FY 2013'!$J9</f>
        <v>11513446</v>
      </c>
      <c r="O10" s="207">
        <f>'FY 2014'!$J9</f>
        <v>11632780</v>
      </c>
      <c r="P10" s="207">
        <f>'FY 2015'!$J9</f>
        <v>11751302</v>
      </c>
    </row>
    <row r="11" spans="1:16" x14ac:dyDescent="0.15">
      <c r="A11" s="203">
        <f t="shared" ref="A11:A17" si="0">A10+1</f>
        <v>5</v>
      </c>
      <c r="B11" s="203" t="s">
        <v>142</v>
      </c>
      <c r="D11" s="207">
        <f>'FY 2003'!I10</f>
        <v>0</v>
      </c>
      <c r="E11" s="207">
        <f>'FY 2004'!I10</f>
        <v>50351550</v>
      </c>
      <c r="F11" s="207">
        <f>'FY 2005'!I10</f>
        <v>52327357</v>
      </c>
      <c r="G11" s="207">
        <f>'FY 2006'!I10</f>
        <v>52766200</v>
      </c>
      <c r="H11" s="207">
        <f>'FY 2007'!I10</f>
        <v>55436989</v>
      </c>
      <c r="I11" s="207">
        <f>'FY 2008'!I10</f>
        <v>59590817</v>
      </c>
      <c r="J11" s="207">
        <f>'FY 2009'!$I11</f>
        <v>60995641.039999999</v>
      </c>
      <c r="K11" s="207">
        <f>'FY 2010'!$J10</f>
        <v>64565373</v>
      </c>
      <c r="L11" s="207">
        <f>'FY 2011'!$J10</f>
        <v>69073025</v>
      </c>
      <c r="M11" s="207">
        <f>'FY 2012'!$J10</f>
        <v>71777949</v>
      </c>
      <c r="N11" s="207">
        <f>'FY 2013'!$J10</f>
        <v>76066766</v>
      </c>
      <c r="O11" s="207">
        <f>'FY 2014'!$J10</f>
        <v>80441305</v>
      </c>
      <c r="P11" s="207">
        <f>'FY 2015'!$J10</f>
        <v>84903317</v>
      </c>
    </row>
    <row r="12" spans="1:16" x14ac:dyDescent="0.15">
      <c r="B12" s="208" t="s">
        <v>171</v>
      </c>
      <c r="D12" s="207"/>
      <c r="E12" s="207"/>
      <c r="F12" s="207"/>
      <c r="G12" s="207"/>
      <c r="H12" s="207"/>
      <c r="I12" s="207"/>
      <c r="J12" s="207"/>
      <c r="K12" s="207"/>
      <c r="L12" s="207"/>
      <c r="M12" s="207"/>
      <c r="N12" s="207"/>
      <c r="O12" s="207"/>
      <c r="P12" s="207"/>
    </row>
    <row r="13" spans="1:16" x14ac:dyDescent="0.15">
      <c r="A13" s="203">
        <f>A11+1</f>
        <v>6</v>
      </c>
      <c r="C13" s="203" t="s">
        <v>143</v>
      </c>
      <c r="D13" s="207">
        <f>'FY 2003'!I12</f>
        <v>262694686</v>
      </c>
      <c r="E13" s="207">
        <f>'FY 2004'!I12</f>
        <v>249146954</v>
      </c>
      <c r="F13" s="207">
        <f>'FY 2005'!I12</f>
        <v>265074502.92000026</v>
      </c>
      <c r="G13" s="207">
        <f>'FY 2006'!I12</f>
        <v>292547478</v>
      </c>
      <c r="H13" s="207">
        <f>'FY 2007'!I12</f>
        <v>315471905</v>
      </c>
      <c r="I13" s="207">
        <f>'FY 2008'!I12</f>
        <v>333928094</v>
      </c>
      <c r="J13" s="207">
        <f>'FY 2009'!$I13</f>
        <v>348510685.62</v>
      </c>
      <c r="K13" s="207">
        <f>'FY 2010'!$J12</f>
        <v>361157268</v>
      </c>
      <c r="L13" s="207">
        <f>'FY 2011'!$J12</f>
        <v>414260438</v>
      </c>
      <c r="M13" s="207">
        <f>'FY 2012'!$J12</f>
        <v>432960450</v>
      </c>
      <c r="N13" s="207">
        <f>'FY 2013'!$J12</f>
        <v>452559914</v>
      </c>
      <c r="O13" s="207">
        <f>'FY 2014'!$J12</f>
        <v>473621032</v>
      </c>
      <c r="P13" s="207">
        <f>'FY 2015'!$J12</f>
        <v>495561060</v>
      </c>
    </row>
    <row r="14" spans="1:16" x14ac:dyDescent="0.15">
      <c r="A14" s="203">
        <f t="shared" si="0"/>
        <v>7</v>
      </c>
      <c r="C14" s="203" t="s">
        <v>144</v>
      </c>
      <c r="D14" s="207">
        <f>'FY 2003'!I13</f>
        <v>36857227</v>
      </c>
      <c r="E14" s="207">
        <f>'FY 2004'!I13</f>
        <v>28818713</v>
      </c>
      <c r="F14" s="207">
        <f>'FY 2005'!I13</f>
        <v>29477721</v>
      </c>
      <c r="G14" s="207">
        <f>'FY 2006'!I13</f>
        <v>30912658</v>
      </c>
      <c r="H14" s="207">
        <f>'FY 2007'!I13</f>
        <v>31474254</v>
      </c>
      <c r="I14" s="207">
        <f>'FY 2008'!I13</f>
        <v>32316781</v>
      </c>
      <c r="J14" s="207">
        <f>'FY 2009'!$I14</f>
        <v>32058187</v>
      </c>
      <c r="K14" s="207">
        <f>'FY 2010'!$J13</f>
        <v>31807937</v>
      </c>
      <c r="L14" s="207">
        <f>'FY 2011'!$J13</f>
        <v>31673120</v>
      </c>
      <c r="M14" s="207">
        <f>'FY 2012'!$J13</f>
        <v>31709920</v>
      </c>
      <c r="N14" s="207">
        <f>'FY 2013'!$J13</f>
        <v>31866994</v>
      </c>
      <c r="O14" s="207">
        <f>'FY 2014'!$J13</f>
        <v>32179350</v>
      </c>
      <c r="P14" s="207">
        <f>'FY 2015'!$J13</f>
        <v>32479973</v>
      </c>
    </row>
    <row r="15" spans="1:16" x14ac:dyDescent="0.15">
      <c r="A15" s="203">
        <f>A14+1</f>
        <v>8</v>
      </c>
      <c r="B15" s="208"/>
      <c r="C15" s="208" t="s">
        <v>170</v>
      </c>
      <c r="D15" s="207">
        <f>'FY 2003'!I14</f>
        <v>9779108</v>
      </c>
      <c r="E15" s="207">
        <f>'FY 2004'!I14</f>
        <v>7276758</v>
      </c>
      <c r="F15" s="207">
        <f>'FY 2005'!I14</f>
        <v>7434285</v>
      </c>
      <c r="G15" s="207">
        <f>'FY 2006'!I14</f>
        <v>7883168</v>
      </c>
      <c r="H15" s="207">
        <f>'FY 2007'!I14</f>
        <v>8057613</v>
      </c>
      <c r="I15" s="207">
        <f>'FY 2008'!I14</f>
        <v>8306508</v>
      </c>
      <c r="J15" s="207">
        <f>'FY 2009'!$I15</f>
        <v>8316835</v>
      </c>
      <c r="K15" s="207">
        <f>'FY 2010'!$J14</f>
        <v>8258276</v>
      </c>
      <c r="L15" s="207">
        <f>'FY 2011'!$J14</f>
        <v>8387524</v>
      </c>
      <c r="M15" s="207">
        <f>'FY 2012'!$J14</f>
        <v>8406807</v>
      </c>
      <c r="N15" s="207">
        <f>'FY 2013'!$J14</f>
        <v>8500212</v>
      </c>
      <c r="O15" s="207">
        <f>'FY 2014'!$J14</f>
        <v>8579432</v>
      </c>
      <c r="P15" s="207">
        <f>'FY 2015'!$J14</f>
        <v>8651657</v>
      </c>
    </row>
    <row r="16" spans="1:16" x14ac:dyDescent="0.15">
      <c r="A16" s="203">
        <f t="shared" si="0"/>
        <v>9</v>
      </c>
      <c r="B16" s="203" t="s">
        <v>145</v>
      </c>
      <c r="D16" s="207">
        <f>'FY 2003'!I15</f>
        <v>16471551</v>
      </c>
      <c r="E16" s="207">
        <f>'FY 2004'!I15</f>
        <v>16909578</v>
      </c>
      <c r="F16" s="207">
        <f>'FY 2005'!I15</f>
        <v>17548649</v>
      </c>
      <c r="G16" s="207">
        <f>'FY 2006'!I15</f>
        <v>18853061</v>
      </c>
      <c r="H16" s="207">
        <f>'FY 2007'!I15</f>
        <v>20254233</v>
      </c>
      <c r="I16" s="207">
        <f>'FY 2008'!I15</f>
        <v>21637534</v>
      </c>
      <c r="J16" s="207">
        <f>'FY 2009'!$I16</f>
        <v>22898807.41</v>
      </c>
      <c r="K16" s="207">
        <f>'FY 2010'!$J15</f>
        <v>23368633</v>
      </c>
      <c r="L16" s="207">
        <f>'FY 2011'!$J15</f>
        <v>23511161</v>
      </c>
      <c r="M16" s="207">
        <f>'FY 2012'!$J15</f>
        <v>24128678</v>
      </c>
      <c r="N16" s="207">
        <f>'FY 2013'!$J15</f>
        <v>24366756</v>
      </c>
      <c r="O16" s="207">
        <f>'FY 2014'!$J15</f>
        <v>24637073</v>
      </c>
      <c r="P16" s="207">
        <f>'FY 2015'!$J15</f>
        <v>25012252</v>
      </c>
    </row>
    <row r="17" spans="1:16" x14ac:dyDescent="0.15">
      <c r="A17" s="203">
        <f t="shared" si="0"/>
        <v>10</v>
      </c>
      <c r="B17" s="203" t="s">
        <v>146</v>
      </c>
      <c r="D17" s="207">
        <f>'FY 2003'!I16</f>
        <v>56478364</v>
      </c>
      <c r="E17" s="207">
        <f>'FY 2004'!I16</f>
        <v>55913098</v>
      </c>
      <c r="F17" s="207">
        <f>'FY 2005'!I16</f>
        <v>55511195</v>
      </c>
      <c r="G17" s="207">
        <f>'FY 2006'!I16</f>
        <v>57332807</v>
      </c>
      <c r="H17" s="207">
        <f>'FY 2007'!I16</f>
        <v>59221788</v>
      </c>
      <c r="I17" s="207">
        <f>'FY 2008'!I16</f>
        <v>60083765</v>
      </c>
      <c r="J17" s="207">
        <f>'FY 2009'!$I17</f>
        <v>60159097.219999999</v>
      </c>
      <c r="K17" s="207">
        <f>'FY 2010'!$J16</f>
        <v>59833229</v>
      </c>
      <c r="L17" s="207">
        <f>'FY 2011'!$J16</f>
        <v>60371479</v>
      </c>
      <c r="M17" s="207">
        <f>'FY 2012'!$J16</f>
        <v>60249583</v>
      </c>
      <c r="N17" s="207">
        <f>'FY 2013'!$J16</f>
        <v>60009213</v>
      </c>
      <c r="O17" s="207">
        <f>'FY 2014'!$J16</f>
        <v>59809879</v>
      </c>
      <c r="P17" s="207">
        <f>'FY 2015'!$J16</f>
        <v>59683844</v>
      </c>
    </row>
    <row r="18" spans="1:16" x14ac:dyDescent="0.15">
      <c r="A18" s="203">
        <f t="shared" ref="A18:A25" si="1">A17+1</f>
        <v>11</v>
      </c>
      <c r="B18" s="203" t="s">
        <v>148</v>
      </c>
      <c r="D18" s="207">
        <f>'FY 2003'!I17</f>
        <v>25114308</v>
      </c>
      <c r="E18" s="207">
        <f>'FY 2004'!I17</f>
        <v>18869558</v>
      </c>
      <c r="F18" s="207">
        <f>'FY 2005'!I17</f>
        <v>12876818</v>
      </c>
      <c r="G18" s="207">
        <f>'FY 2006'!I17</f>
        <v>8213502</v>
      </c>
      <c r="H18" s="207">
        <f>'FY 2007'!I17</f>
        <v>4354428</v>
      </c>
      <c r="I18" s="207">
        <f>'FY 2008'!I17</f>
        <v>2146056</v>
      </c>
      <c r="J18" s="207">
        <f>'FY 2009'!$I18</f>
        <v>1207447.57</v>
      </c>
      <c r="K18" s="207">
        <f>'FY 2010'!$J17</f>
        <v>675850</v>
      </c>
      <c r="L18" s="207">
        <f>'FY 2011'!$J17</f>
        <v>373228</v>
      </c>
      <c r="M18" s="207">
        <f>'FY 2012'!$J17</f>
        <v>223163</v>
      </c>
      <c r="N18" s="207">
        <f>'FY 2013'!$J17</f>
        <v>158920</v>
      </c>
      <c r="O18" s="207">
        <f>'FY 2014'!$J17</f>
        <v>128753</v>
      </c>
      <c r="P18" s="207">
        <f>'FY 2015'!$J17</f>
        <v>104189</v>
      </c>
    </row>
    <row r="19" spans="1:16" x14ac:dyDescent="0.15">
      <c r="A19" s="203">
        <f>A18+1</f>
        <v>12</v>
      </c>
      <c r="B19" s="208" t="s">
        <v>244</v>
      </c>
      <c r="D19" s="207">
        <f>'FY 2003'!I18</f>
        <v>0</v>
      </c>
      <c r="E19" s="207">
        <f>'FY 2004'!I18</f>
        <v>0</v>
      </c>
      <c r="F19" s="207">
        <f>'FY 2005'!I18</f>
        <v>0</v>
      </c>
      <c r="G19" s="207">
        <f>'FY 2006'!I18</f>
        <v>-344932</v>
      </c>
      <c r="H19" s="207">
        <f>'FY 2007'!I18</f>
        <v>0</v>
      </c>
      <c r="I19" s="207">
        <f>'FY 2008'!I18</f>
        <v>-730496</v>
      </c>
      <c r="J19" s="207">
        <f>'FY 2009'!$I19</f>
        <v>0</v>
      </c>
      <c r="K19" s="207">
        <f>'FY 2010'!$J18</f>
        <v>-2507070</v>
      </c>
      <c r="L19" s="207">
        <f>'FY 2011'!$J18</f>
        <v>0</v>
      </c>
      <c r="M19" s="207">
        <f>'FY 2012'!$J18</f>
        <v>-700000</v>
      </c>
      <c r="N19" s="207">
        <f>'FY 2013'!$J18</f>
        <v>0</v>
      </c>
      <c r="O19" s="207">
        <f>'FY 2014'!$J18</f>
        <v>-700000</v>
      </c>
      <c r="P19" s="207">
        <f>'FY 2015'!$J18</f>
        <v>0</v>
      </c>
    </row>
    <row r="20" spans="1:16" x14ac:dyDescent="0.15">
      <c r="A20" s="203">
        <f>A19+1</f>
        <v>13</v>
      </c>
      <c r="B20" s="208" t="s">
        <v>360</v>
      </c>
      <c r="D20" s="207"/>
      <c r="E20" s="207"/>
      <c r="F20" s="207"/>
      <c r="G20" s="207"/>
      <c r="H20" s="207">
        <v>0</v>
      </c>
      <c r="I20" s="207">
        <v>0</v>
      </c>
      <c r="J20" s="207">
        <v>0</v>
      </c>
      <c r="K20" s="207">
        <f>'FY 2010'!$J19</f>
        <v>-500000000</v>
      </c>
      <c r="L20" s="207">
        <v>0</v>
      </c>
      <c r="M20" s="207">
        <v>0</v>
      </c>
      <c r="N20" s="207">
        <v>0</v>
      </c>
      <c r="O20" s="207">
        <v>0</v>
      </c>
      <c r="P20" s="207">
        <v>0</v>
      </c>
    </row>
    <row r="21" spans="1:16" x14ac:dyDescent="0.15">
      <c r="A21" s="203">
        <f>A20+1</f>
        <v>14</v>
      </c>
      <c r="B21" s="203" t="s">
        <v>147</v>
      </c>
      <c r="D21" s="207">
        <f>'FY 2003'!I19</f>
        <v>198438434</v>
      </c>
      <c r="E21" s="207">
        <f>'FY 2004'!I19</f>
        <v>194217096</v>
      </c>
      <c r="F21" s="207">
        <f>'FY 2005'!I19</f>
        <v>193697081</v>
      </c>
      <c r="G21" s="207">
        <f>'FY 2006'!I19</f>
        <v>194018388</v>
      </c>
      <c r="H21" s="207">
        <f>'FY 2007'!I19</f>
        <v>194117024</v>
      </c>
      <c r="I21" s="207">
        <f>'FY 2008'!I19</f>
        <v>194635565</v>
      </c>
      <c r="J21" s="207">
        <f>'FY 2009'!$I20</f>
        <v>194299107.03</v>
      </c>
      <c r="K21" s="207">
        <f>'FY 2010'!$J20</f>
        <v>194409760</v>
      </c>
      <c r="L21" s="207">
        <f>'FY 2011'!$J19</f>
        <v>194612210</v>
      </c>
      <c r="M21" s="207">
        <f>'FY 2012'!$J19</f>
        <v>195303133</v>
      </c>
      <c r="N21" s="207">
        <f>'FY 2013'!$J19</f>
        <v>196865845</v>
      </c>
      <c r="O21" s="207">
        <f>'FY 2014'!$J19</f>
        <v>198885121</v>
      </c>
      <c r="P21" s="207">
        <f>'FY 2015'!$J19</f>
        <v>200893938</v>
      </c>
    </row>
    <row r="22" spans="1:16" x14ac:dyDescent="0.15">
      <c r="A22" s="203">
        <f>A21+1</f>
        <v>15</v>
      </c>
      <c r="B22" s="203" t="s">
        <v>149</v>
      </c>
      <c r="D22" s="207">
        <f>'FY 2003'!I20</f>
        <v>34642490</v>
      </c>
      <c r="E22" s="207">
        <f>'FY 2004'!I20</f>
        <v>32112369</v>
      </c>
      <c r="F22" s="207">
        <f>'FY 2005'!I20</f>
        <v>41731237</v>
      </c>
      <c r="G22" s="207">
        <f>'FY 2006'!I20</f>
        <v>50999434</v>
      </c>
      <c r="H22" s="207">
        <f>'FY 2007'!I20</f>
        <v>94274069</v>
      </c>
      <c r="I22" s="207">
        <f>'FY 2008'!I20</f>
        <v>95708805</v>
      </c>
      <c r="J22" s="207">
        <f>'FY 2009'!$I21</f>
        <v>93361990.019999996</v>
      </c>
      <c r="K22" s="207">
        <f>'FY 2010'!$J21</f>
        <v>92518770</v>
      </c>
      <c r="L22" s="207">
        <f>'FY 2011'!$J20</f>
        <v>92334012</v>
      </c>
      <c r="M22" s="207">
        <f>'FY 2012'!$J20</f>
        <v>93367180</v>
      </c>
      <c r="N22" s="207">
        <f>'FY 2013'!$J20</f>
        <v>94481702</v>
      </c>
      <c r="O22" s="207">
        <f>'FY 2014'!$J20</f>
        <v>96337072</v>
      </c>
      <c r="P22" s="207">
        <f>'FY 2015'!$J20</f>
        <v>98582671</v>
      </c>
    </row>
    <row r="23" spans="1:16" x14ac:dyDescent="0.15">
      <c r="A23" s="203">
        <f t="shared" si="1"/>
        <v>16</v>
      </c>
      <c r="B23" s="208" t="s">
        <v>173</v>
      </c>
      <c r="D23" s="207">
        <f>'FY 2003'!I21</f>
        <v>0</v>
      </c>
      <c r="E23" s="207">
        <f>'FY 2004'!I21</f>
        <v>31986524</v>
      </c>
      <c r="F23" s="207">
        <f>'FY 2005'!I21</f>
        <v>31326609</v>
      </c>
      <c r="G23" s="207">
        <f>'FY 2006'!I21</f>
        <v>31033742</v>
      </c>
      <c r="H23" s="207">
        <f>'FY 2007'!I21</f>
        <v>30462514</v>
      </c>
      <c r="I23" s="207">
        <f>'FY 2008'!I21</f>
        <v>30143318</v>
      </c>
      <c r="J23" s="207">
        <f>'FY 2009'!$I22</f>
        <v>29711997.400000002</v>
      </c>
      <c r="K23" s="207">
        <f>'FY 2010'!$J22</f>
        <v>29453149</v>
      </c>
      <c r="L23" s="207">
        <f>'FY 2011'!$J21</f>
        <v>29215443</v>
      </c>
      <c r="M23" s="207">
        <f>'FY 2012'!$J21</f>
        <v>29101965</v>
      </c>
      <c r="N23" s="207">
        <f>'FY 2013'!$J21</f>
        <v>29294337</v>
      </c>
      <c r="O23" s="207">
        <f>'FY 2014'!$J21</f>
        <v>29613757</v>
      </c>
      <c r="P23" s="207">
        <f>'FY 2015'!$J21</f>
        <v>29884371</v>
      </c>
    </row>
    <row r="24" spans="1:16" x14ac:dyDescent="0.15">
      <c r="A24" s="203">
        <f t="shared" si="1"/>
        <v>17</v>
      </c>
      <c r="B24" s="208" t="s">
        <v>168</v>
      </c>
      <c r="C24" s="208"/>
      <c r="D24" s="207">
        <f>'FY 2003'!I22</f>
        <v>0</v>
      </c>
      <c r="E24" s="207">
        <f>'FY 2004'!I22</f>
        <v>0</v>
      </c>
      <c r="F24" s="207">
        <f>'FY 2005'!I22</f>
        <v>0</v>
      </c>
      <c r="G24" s="207">
        <f>'FY 2006'!I22</f>
        <v>16348850</v>
      </c>
      <c r="H24" s="207">
        <f>'FY 2007'!I22</f>
        <v>48603714</v>
      </c>
      <c r="I24" s="207">
        <f>'FY 2008'!I22</f>
        <v>60763648</v>
      </c>
      <c r="J24" s="207">
        <f>'FY 2009'!$I23</f>
        <v>63348360.07</v>
      </c>
      <c r="K24" s="207">
        <f>'FY 2010'!$J23</f>
        <v>58291520</v>
      </c>
      <c r="L24" s="207">
        <f>'FY 2011'!$J22</f>
        <v>63056932</v>
      </c>
      <c r="M24" s="207">
        <f>'FY 2012'!$J22</f>
        <v>79031161</v>
      </c>
      <c r="N24" s="207">
        <f>'FY 2013'!$J22</f>
        <v>81908545</v>
      </c>
      <c r="O24" s="207">
        <f>'FY 2014'!$J22</f>
        <v>83976748</v>
      </c>
      <c r="P24" s="207">
        <f>'FY 2015'!$J22</f>
        <v>86016276</v>
      </c>
    </row>
    <row r="25" spans="1:16" x14ac:dyDescent="0.15">
      <c r="A25" s="203">
        <f t="shared" si="1"/>
        <v>18</v>
      </c>
      <c r="B25" s="203" t="s">
        <v>150</v>
      </c>
      <c r="D25" s="207">
        <f>'FY 2003'!I23</f>
        <v>291708358</v>
      </c>
      <c r="E25" s="207">
        <f>'FY 2004'!I23</f>
        <v>426336542</v>
      </c>
      <c r="F25" s="207">
        <f>'FY 2005'!I23</f>
        <v>504721085</v>
      </c>
      <c r="G25" s="207">
        <f>'FY 2006'!I23</f>
        <v>534314512</v>
      </c>
      <c r="H25" s="207">
        <f>'FY 2007'!I23</f>
        <v>598966155</v>
      </c>
      <c r="I25" s="207">
        <f>'FY 2008'!I23</f>
        <v>644192179</v>
      </c>
      <c r="J25" s="207">
        <f>'FY 2009'!$I24</f>
        <v>720567181.45000005</v>
      </c>
      <c r="K25" s="207">
        <f>'FY 2010'!$J24</f>
        <v>781675140</v>
      </c>
      <c r="L25" s="207">
        <f>'FY 2011'!$J23</f>
        <v>804832265</v>
      </c>
      <c r="M25" s="207">
        <f>'FY 2012'!$J23</f>
        <v>822497449</v>
      </c>
      <c r="N25" s="207">
        <f>'FY 2013'!$J23</f>
        <v>895212966</v>
      </c>
      <c r="O25" s="207">
        <f>'FY 2014'!$J23</f>
        <v>945891076</v>
      </c>
      <c r="P25" s="207">
        <f>'FY 2015'!$J23</f>
        <v>1016293443</v>
      </c>
    </row>
    <row r="26" spans="1:16" x14ac:dyDescent="0.15">
      <c r="B26" s="208" t="s">
        <v>172</v>
      </c>
      <c r="D26" s="207"/>
      <c r="E26" s="207"/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207"/>
    </row>
    <row r="27" spans="1:16" x14ac:dyDescent="0.15">
      <c r="A27" s="203">
        <f>A25+1</f>
        <v>19</v>
      </c>
      <c r="B27" s="208"/>
      <c r="C27" s="208" t="s">
        <v>175</v>
      </c>
      <c r="D27" s="207">
        <f>'FY 2003'!I25</f>
        <v>1341221</v>
      </c>
      <c r="E27" s="207">
        <f>'FY 2004'!I25</f>
        <v>-679857</v>
      </c>
      <c r="F27" s="207">
        <f>'FY 2005'!I25</f>
        <v>-1089963.94</v>
      </c>
      <c r="G27" s="207">
        <f>'FY 2006'!I25</f>
        <v>-895441.79</v>
      </c>
      <c r="H27" s="207">
        <f>'FY 2007'!I25</f>
        <v>-885672</v>
      </c>
      <c r="I27" s="207">
        <f>'FY 2008'!I25</f>
        <v>-181964</v>
      </c>
      <c r="J27" s="207">
        <f>'FY 2009'!$I26</f>
        <v>262096</v>
      </c>
      <c r="K27" s="207">
        <f>'FY 2010'!$J26</f>
        <v>607348</v>
      </c>
      <c r="L27" s="207">
        <f>'FY 2011'!$J25</f>
        <v>657596</v>
      </c>
      <c r="M27" s="207">
        <f>'FY 2012'!$J25</f>
        <v>309694</v>
      </c>
      <c r="N27" s="207">
        <f>'FY 2013'!$J25</f>
        <v>-191472</v>
      </c>
      <c r="O27" s="207">
        <f>'FY 2014'!$J25</f>
        <v>-284009</v>
      </c>
      <c r="P27" s="207">
        <f>'FY 2015'!$J25</f>
        <v>-369316</v>
      </c>
    </row>
    <row r="28" spans="1:16" x14ac:dyDescent="0.15">
      <c r="A28" s="203">
        <f>A27+1</f>
        <v>20</v>
      </c>
      <c r="B28" s="208"/>
      <c r="C28" s="208" t="s">
        <v>182</v>
      </c>
      <c r="D28" s="207">
        <f>'FY 2003'!I26</f>
        <v>-1804253</v>
      </c>
      <c r="E28" s="207">
        <f>'FY 2004'!I26</f>
        <v>1059</v>
      </c>
      <c r="F28" s="207">
        <f>'FY 2005'!I26</f>
        <v>0</v>
      </c>
      <c r="G28" s="207">
        <f>'FY 2006'!I26</f>
        <v>0.43999999994412065</v>
      </c>
      <c r="H28" s="207">
        <f>'FY 2007'!I26</f>
        <v>0</v>
      </c>
      <c r="I28" s="207">
        <f>'FY 2008'!I26</f>
        <v>0</v>
      </c>
      <c r="J28" s="207">
        <f>'FY 2009'!$I27</f>
        <v>-9.9999995436519384E-3</v>
      </c>
      <c r="K28" s="207">
        <f>'FY 2010'!$J27</f>
        <v>0</v>
      </c>
      <c r="L28" s="207">
        <f>'FY 2011'!$J26</f>
        <v>32</v>
      </c>
      <c r="M28" s="207">
        <f>'FY 2012'!$J26</f>
        <v>-780</v>
      </c>
      <c r="N28" s="207">
        <f>'FY 2013'!$J26</f>
        <v>745</v>
      </c>
      <c r="O28" s="207">
        <f>'FY 2014'!$J26</f>
        <v>99</v>
      </c>
      <c r="P28" s="207">
        <f>'FY 2015'!$J26</f>
        <v>99</v>
      </c>
    </row>
    <row r="29" spans="1:16" x14ac:dyDescent="0.15">
      <c r="A29" s="203">
        <f>A28+1</f>
        <v>21</v>
      </c>
      <c r="B29" s="208"/>
      <c r="C29" s="208" t="s">
        <v>201</v>
      </c>
      <c r="D29" s="207">
        <f>'FY 2003'!I27</f>
        <v>0</v>
      </c>
      <c r="E29" s="207">
        <f>'FY 2004'!I27</f>
        <v>0</v>
      </c>
      <c r="F29" s="207">
        <f>'FY 2005'!I27</f>
        <v>0</v>
      </c>
      <c r="G29" s="207">
        <f>'FY 2006'!I27</f>
        <v>-0.18000000000029104</v>
      </c>
      <c r="H29" s="207">
        <f>'FY 2007'!I27</f>
        <v>0</v>
      </c>
      <c r="I29" s="207">
        <f>'FY 2008'!I27</f>
        <v>0</v>
      </c>
      <c r="J29" s="207">
        <f>'FY 2009'!$I28</f>
        <v>0</v>
      </c>
      <c r="K29" s="207">
        <f>'FY 2010'!$J28</f>
        <v>0</v>
      </c>
      <c r="L29" s="207">
        <f>'FY 2011'!$J27</f>
        <v>777</v>
      </c>
      <c r="M29" s="207">
        <f>'FY 2012'!$J27</f>
        <v>0</v>
      </c>
      <c r="N29" s="207">
        <f>'FY 2013'!$J27</f>
        <v>0</v>
      </c>
      <c r="O29" s="207">
        <f>'FY 2014'!$J27</f>
        <v>0</v>
      </c>
      <c r="P29" s="207">
        <f>'FY 2015'!$J27</f>
        <v>0</v>
      </c>
    </row>
    <row r="30" spans="1:16" x14ac:dyDescent="0.15">
      <c r="A30" s="203">
        <f>A29+1</f>
        <v>22</v>
      </c>
      <c r="B30" s="208"/>
      <c r="C30" s="208" t="s">
        <v>183</v>
      </c>
      <c r="D30" s="207">
        <f>'FY 2003'!I28</f>
        <v>0</v>
      </c>
      <c r="E30" s="207">
        <f>'FY 2004'!I28</f>
        <v>0</v>
      </c>
      <c r="F30" s="207">
        <f>'FY 2005'!I28</f>
        <v>0</v>
      </c>
      <c r="G30" s="207">
        <f>'FY 2006'!I28</f>
        <v>0.44000000000232831</v>
      </c>
      <c r="H30" s="207">
        <f>'FY 2007'!I28</f>
        <v>0</v>
      </c>
      <c r="I30" s="207">
        <f>'FY 2008'!I28</f>
        <v>0</v>
      </c>
      <c r="J30" s="207">
        <f>'FY 2009'!$I29</f>
        <v>-1.0000000009313226E-2</v>
      </c>
      <c r="K30" s="207">
        <f>'FY 2010'!$J29</f>
        <v>4</v>
      </c>
      <c r="L30" s="207">
        <f>'FY 2011'!$J28</f>
        <v>165</v>
      </c>
      <c r="M30" s="207">
        <f>'FY 2012'!$J28</f>
        <v>29792</v>
      </c>
      <c r="N30" s="207">
        <f>'FY 2013'!$J28</f>
        <v>45882</v>
      </c>
      <c r="O30" s="207">
        <f>'FY 2014'!$J28</f>
        <v>51212</v>
      </c>
      <c r="P30" s="207">
        <f>'FY 2015'!$J28</f>
        <v>54447</v>
      </c>
    </row>
    <row r="31" spans="1:16" x14ac:dyDescent="0.15">
      <c r="A31" s="203">
        <f>A30+1</f>
        <v>23</v>
      </c>
      <c r="B31" s="208"/>
      <c r="C31" s="208" t="s">
        <v>251</v>
      </c>
      <c r="D31" s="207">
        <v>0</v>
      </c>
      <c r="E31" s="207">
        <v>0</v>
      </c>
      <c r="F31" s="207">
        <v>0</v>
      </c>
      <c r="G31" s="207">
        <f>'FY 2006'!I29</f>
        <v>0</v>
      </c>
      <c r="H31" s="207">
        <f>'FY 2007'!$I29</f>
        <v>-398</v>
      </c>
      <c r="I31" s="207">
        <f>'FY 2008'!$I29</f>
        <v>-355.17999999946915</v>
      </c>
      <c r="J31" s="207">
        <f>'FY 2009'!$I30</f>
        <v>-461.16000000014901</v>
      </c>
      <c r="K31" s="207">
        <f>'FY 2010'!$J30</f>
        <v>-449</v>
      </c>
      <c r="L31" s="207">
        <f>'FY 2011'!$J29</f>
        <v>-195</v>
      </c>
      <c r="M31" s="207">
        <f>'FY 2012'!$J29</f>
        <v>-195</v>
      </c>
      <c r="N31" s="207">
        <f>'FY 2013'!$J29</f>
        <v>-195</v>
      </c>
      <c r="O31" s="207">
        <f>'FY 2014'!$J29</f>
        <v>-195</v>
      </c>
      <c r="P31" s="207">
        <f>'FY 2015'!$J29</f>
        <v>-195</v>
      </c>
    </row>
    <row r="32" spans="1:16" x14ac:dyDescent="0.15">
      <c r="B32" s="208"/>
      <c r="C32" s="208"/>
      <c r="D32" s="207"/>
      <c r="E32" s="207"/>
      <c r="F32" s="207"/>
      <c r="G32" s="207"/>
      <c r="H32" s="207"/>
      <c r="I32" s="207"/>
      <c r="J32" s="207"/>
      <c r="K32" s="207"/>
      <c r="L32" s="207"/>
      <c r="M32" s="207"/>
      <c r="N32" s="207"/>
      <c r="O32" s="207"/>
      <c r="P32" s="207"/>
    </row>
    <row r="33" spans="1:16" x14ac:dyDescent="0.15">
      <c r="D33" s="207"/>
      <c r="E33" s="207"/>
      <c r="F33" s="207"/>
      <c r="G33" s="207"/>
      <c r="H33" s="207"/>
      <c r="I33" s="207"/>
      <c r="J33" s="207"/>
      <c r="K33" s="207"/>
      <c r="L33" s="207"/>
      <c r="M33" s="207"/>
      <c r="N33" s="207"/>
      <c r="O33" s="207"/>
      <c r="P33" s="207"/>
    </row>
    <row r="34" spans="1:16" x14ac:dyDescent="0.15">
      <c r="A34" s="203">
        <f>A31+1</f>
        <v>24</v>
      </c>
      <c r="B34" s="208" t="s">
        <v>158</v>
      </c>
      <c r="D34" s="207">
        <f t="shared" ref="D34:N34" si="2">SUM(D8:D31)</f>
        <v>5421781814</v>
      </c>
      <c r="E34" s="207">
        <f t="shared" si="2"/>
        <v>5514835219</v>
      </c>
      <c r="F34" s="207">
        <f t="shared" si="2"/>
        <v>5595610423.9800005</v>
      </c>
      <c r="G34" s="207">
        <f t="shared" si="2"/>
        <v>5856179300.9099989</v>
      </c>
      <c r="H34" s="207">
        <f t="shared" si="2"/>
        <v>6210065143</v>
      </c>
      <c r="I34" s="207">
        <f t="shared" si="2"/>
        <v>6391705934.8199997</v>
      </c>
      <c r="J34" s="207">
        <f t="shared" si="2"/>
        <v>6556032834.8199978</v>
      </c>
      <c r="K34" s="207">
        <f t="shared" si="2"/>
        <v>6068975571</v>
      </c>
      <c r="L34" s="207">
        <f t="shared" si="2"/>
        <v>6661784432</v>
      </c>
      <c r="M34" s="207">
        <f t="shared" si="2"/>
        <v>6736173221</v>
      </c>
      <c r="N34" s="207">
        <f t="shared" si="2"/>
        <v>6878900769</v>
      </c>
      <c r="O34" s="207">
        <f>SUM(O8:O31)</f>
        <v>7011999629</v>
      </c>
      <c r="P34" s="207">
        <f>SUM(P8:P31)</f>
        <v>7167308680</v>
      </c>
    </row>
    <row r="35" spans="1:16" x14ac:dyDescent="0.15">
      <c r="D35" s="207"/>
      <c r="E35" s="207"/>
      <c r="F35" s="207"/>
      <c r="G35" s="207"/>
      <c r="H35" s="207"/>
      <c r="I35" s="207"/>
      <c r="J35" s="207"/>
      <c r="K35" s="207"/>
      <c r="L35" s="207"/>
      <c r="M35" s="207"/>
      <c r="N35" s="207"/>
      <c r="O35" s="207"/>
      <c r="P35" s="207"/>
    </row>
    <row r="36" spans="1:16" x14ac:dyDescent="0.15">
      <c r="B36" s="208" t="s">
        <v>156</v>
      </c>
      <c r="C36" s="208"/>
      <c r="D36" s="207"/>
      <c r="E36" s="207"/>
      <c r="F36" s="207"/>
      <c r="G36" s="207"/>
      <c r="H36" s="207"/>
      <c r="I36" s="207"/>
      <c r="J36" s="207"/>
      <c r="K36" s="207"/>
      <c r="L36" s="207"/>
      <c r="M36" s="207"/>
      <c r="N36" s="207"/>
      <c r="O36" s="207"/>
      <c r="P36" s="207"/>
    </row>
    <row r="37" spans="1:16" x14ac:dyDescent="0.15">
      <c r="A37" s="203">
        <f>A34+1</f>
        <v>25</v>
      </c>
      <c r="B37" s="203" t="s">
        <v>153</v>
      </c>
      <c r="D37" s="207">
        <f>'FY 2003'!I33</f>
        <v>0</v>
      </c>
      <c r="E37" s="207">
        <f>'FY 2004'!I33</f>
        <v>0</v>
      </c>
      <c r="F37" s="207">
        <f>'FY 2005'!I33</f>
        <v>40007254</v>
      </c>
      <c r="G37" s="207">
        <f>'FY 2006'!I34</f>
        <v>44268155</v>
      </c>
      <c r="H37" s="207">
        <f>'FY 2007'!I34</f>
        <v>101934454</v>
      </c>
      <c r="I37" s="207">
        <f>'FY 2008'!I34</f>
        <v>111830374</v>
      </c>
      <c r="J37" s="207">
        <f>'FY 2009'!$I35</f>
        <v>121253039.75</v>
      </c>
      <c r="K37" s="207">
        <f>'FY 2010'!$J35</f>
        <v>124276595</v>
      </c>
      <c r="L37" s="207">
        <f>'FY 2011'!$J34</f>
        <v>124623859</v>
      </c>
      <c r="M37" s="207">
        <f>'FY 2012'!$J34</f>
        <v>120033819</v>
      </c>
      <c r="N37" s="207">
        <f>'FY 2013'!$J34</f>
        <v>113554245</v>
      </c>
      <c r="O37" s="207">
        <f>'FY 2014'!$J34</f>
        <v>113404094</v>
      </c>
      <c r="P37" s="207">
        <f>'FY 2015'!$J34</f>
        <v>114314879</v>
      </c>
    </row>
    <row r="38" spans="1:16" x14ac:dyDescent="0.15">
      <c r="A38" s="203">
        <f>A37+1</f>
        <v>26</v>
      </c>
      <c r="B38" s="203" t="s">
        <v>152</v>
      </c>
      <c r="D38" s="207">
        <f>'FY 2003'!I34</f>
        <v>0</v>
      </c>
      <c r="E38" s="207">
        <f>'FY 2004'!I34</f>
        <v>0</v>
      </c>
      <c r="F38" s="207">
        <f>'FY 2005'!I34</f>
        <v>22380297</v>
      </c>
      <c r="G38" s="207">
        <f>'FY 2006'!I35</f>
        <v>25083314</v>
      </c>
      <c r="H38" s="207">
        <f>'FY 2007'!I35</f>
        <v>63740065</v>
      </c>
      <c r="I38" s="207">
        <f>'FY 2008'!I35</f>
        <v>70604296</v>
      </c>
      <c r="J38" s="207">
        <f>'FY 2009'!$I36</f>
        <v>73701614.290000007</v>
      </c>
      <c r="K38" s="207">
        <f>'FY 2010'!$J36</f>
        <v>75798743</v>
      </c>
      <c r="L38" s="207">
        <f>'FY 2011'!$J35</f>
        <v>76305360</v>
      </c>
      <c r="M38" s="207">
        <f>'FY 2012'!$J35</f>
        <v>75373928</v>
      </c>
      <c r="N38" s="207">
        <f>'FY 2013'!$J35</f>
        <v>73497205</v>
      </c>
      <c r="O38" s="207">
        <f>'FY 2014'!$J35</f>
        <v>74047041</v>
      </c>
      <c r="P38" s="207">
        <f>'FY 2015'!$J35</f>
        <v>75353828</v>
      </c>
    </row>
    <row r="39" spans="1:16" x14ac:dyDescent="0.15">
      <c r="A39" s="203">
        <f>A38+1</f>
        <v>27</v>
      </c>
      <c r="B39" s="208" t="s">
        <v>174</v>
      </c>
      <c r="D39" s="207">
        <f>'FY 2003'!I35</f>
        <v>0</v>
      </c>
      <c r="E39" s="207">
        <f>'FY 2004'!I35</f>
        <v>0</v>
      </c>
      <c r="F39" s="207">
        <f>'FY 2005'!I35</f>
        <v>18540609</v>
      </c>
      <c r="G39" s="207">
        <f>'FY 2006'!I36</f>
        <v>20383544</v>
      </c>
      <c r="H39" s="207">
        <f>'FY 2007'!I36</f>
        <v>21830489</v>
      </c>
      <c r="I39" s="207">
        <f>'FY 2008'!I36</f>
        <v>23010395</v>
      </c>
      <c r="J39" s="207">
        <f>'FY 2009'!$I37</f>
        <v>24292896.73</v>
      </c>
      <c r="K39" s="207">
        <f>'FY 2010'!$J37</f>
        <v>25195534</v>
      </c>
      <c r="L39" s="207">
        <f>'FY 2011'!$J36</f>
        <v>25244531</v>
      </c>
      <c r="M39" s="207">
        <f>'FY 2012'!$J36</f>
        <v>24570084</v>
      </c>
      <c r="N39" s="207">
        <f>'FY 2013'!$J36</f>
        <v>23754209</v>
      </c>
      <c r="O39" s="207">
        <f>'FY 2014'!$J36</f>
        <v>23723108</v>
      </c>
      <c r="P39" s="207">
        <f>'FY 2015'!$J36</f>
        <v>23821586</v>
      </c>
    </row>
    <row r="40" spans="1:16" x14ac:dyDescent="0.15">
      <c r="A40" s="203">
        <f>A39+1</f>
        <v>28</v>
      </c>
      <c r="B40" s="208" t="s">
        <v>168</v>
      </c>
      <c r="C40" s="208"/>
      <c r="D40" s="207">
        <f>'FY 2003'!I36</f>
        <v>0</v>
      </c>
      <c r="E40" s="207">
        <f>'FY 2004'!I36</f>
        <v>0</v>
      </c>
      <c r="F40" s="207">
        <f>'FY 2005'!I36</f>
        <v>0</v>
      </c>
      <c r="G40" s="207">
        <f>'FY 2006'!I37</f>
        <v>0</v>
      </c>
      <c r="H40" s="207">
        <f>'FY 2007'!I37</f>
        <v>9695468</v>
      </c>
      <c r="I40" s="207">
        <f>'FY 2008'!I37</f>
        <v>12779741</v>
      </c>
      <c r="J40" s="207">
        <f>'FY 2009'!$I38</f>
        <v>13353371.300000001</v>
      </c>
      <c r="K40" s="207">
        <f>'FY 2010'!$J38</f>
        <v>16807134</v>
      </c>
      <c r="L40" s="207">
        <f>'FY 2011'!$J37</f>
        <v>18158004</v>
      </c>
      <c r="M40" s="207">
        <f>'FY 2012'!$J37</f>
        <v>22046270</v>
      </c>
      <c r="N40" s="207">
        <f>'FY 2013'!$J37</f>
        <v>21813521</v>
      </c>
      <c r="O40" s="207">
        <f>'FY 2014'!$J37</f>
        <v>22270667</v>
      </c>
      <c r="P40" s="207">
        <f>'FY 2015'!$J37</f>
        <v>22847474</v>
      </c>
    </row>
    <row r="41" spans="1:16" x14ac:dyDescent="0.15">
      <c r="A41" s="203">
        <f>A40+1</f>
        <v>29</v>
      </c>
      <c r="B41" s="203" t="s">
        <v>154</v>
      </c>
      <c r="D41" s="207">
        <f>'FY 2003'!I37</f>
        <v>224945858</v>
      </c>
      <c r="E41" s="207">
        <f>'FY 2004'!I37</f>
        <v>351087875</v>
      </c>
      <c r="F41" s="207">
        <f>'FY 2005'!I37</f>
        <v>379954471</v>
      </c>
      <c r="G41" s="207">
        <f>'FY 2006'!I38</f>
        <v>410867894</v>
      </c>
      <c r="H41" s="207">
        <f>'FY 2007'!I38</f>
        <v>482421730</v>
      </c>
      <c r="I41" s="207">
        <f>'FY 2008'!I38</f>
        <v>540184289</v>
      </c>
      <c r="J41" s="207">
        <f>'FY 2009'!$I39</f>
        <v>635333526.83000004</v>
      </c>
      <c r="K41" s="207">
        <f>'FY 2010'!$J39</f>
        <v>712334239</v>
      </c>
      <c r="L41" s="207">
        <f>'FY 2011'!$J38</f>
        <v>737629396</v>
      </c>
      <c r="M41" s="207">
        <f>'FY 2012'!$J38</f>
        <v>745650749</v>
      </c>
      <c r="N41" s="207">
        <f>'FY 2013'!$J38</f>
        <v>801706175</v>
      </c>
      <c r="O41" s="207">
        <f>'FY 2014'!$J38</f>
        <v>847429732</v>
      </c>
      <c r="P41" s="207">
        <f>'FY 2015'!$J38</f>
        <v>914688821</v>
      </c>
    </row>
    <row r="42" spans="1:16" x14ac:dyDescent="0.15">
      <c r="D42" s="207"/>
      <c r="E42" s="207"/>
      <c r="F42" s="207"/>
      <c r="G42" s="207"/>
      <c r="H42" s="207"/>
      <c r="I42" s="207"/>
      <c r="J42" s="207"/>
      <c r="K42" s="207"/>
      <c r="L42" s="207"/>
      <c r="M42" s="207"/>
      <c r="N42" s="207"/>
      <c r="O42" s="207"/>
      <c r="P42" s="207"/>
    </row>
    <row r="43" spans="1:16" x14ac:dyDescent="0.15">
      <c r="A43" s="203">
        <f>A41+1</f>
        <v>30</v>
      </c>
      <c r="B43" s="208" t="s">
        <v>159</v>
      </c>
      <c r="C43" s="208"/>
      <c r="D43" s="207">
        <f>SUM(D37:D41)</f>
        <v>224945858</v>
      </c>
      <c r="E43" s="207">
        <f t="shared" ref="E43:J43" si="3">SUM(E37:E41)</f>
        <v>351087875</v>
      </c>
      <c r="F43" s="207">
        <f t="shared" si="3"/>
        <v>460882631</v>
      </c>
      <c r="G43" s="207">
        <f t="shared" si="3"/>
        <v>500602907</v>
      </c>
      <c r="H43" s="207">
        <f t="shared" si="3"/>
        <v>679622206</v>
      </c>
      <c r="I43" s="207">
        <f>SUM(I37:I41)</f>
        <v>758409095</v>
      </c>
      <c r="J43" s="207">
        <f t="shared" si="3"/>
        <v>867934448.9000001</v>
      </c>
      <c r="K43" s="207">
        <f t="shared" ref="K43:P43" si="4">SUM(K37:K41)</f>
        <v>954412245</v>
      </c>
      <c r="L43" s="207">
        <f t="shared" si="4"/>
        <v>981961150</v>
      </c>
      <c r="M43" s="207">
        <f t="shared" si="4"/>
        <v>987674850</v>
      </c>
      <c r="N43" s="207">
        <f t="shared" si="4"/>
        <v>1034325355</v>
      </c>
      <c r="O43" s="207">
        <f t="shared" si="4"/>
        <v>1080874642</v>
      </c>
      <c r="P43" s="207">
        <f t="shared" si="4"/>
        <v>1151026588</v>
      </c>
    </row>
    <row r="44" spans="1:16" x14ac:dyDescent="0.15">
      <c r="B44" s="208"/>
      <c r="C44" s="208"/>
      <c r="D44" s="207"/>
      <c r="E44" s="207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</row>
    <row r="45" spans="1:16" x14ac:dyDescent="0.15">
      <c r="B45" s="208" t="s">
        <v>157</v>
      </c>
      <c r="C45" s="208"/>
      <c r="D45" s="207"/>
      <c r="E45" s="207"/>
      <c r="F45" s="207"/>
      <c r="G45" s="211"/>
      <c r="H45" s="211"/>
      <c r="I45" s="211"/>
      <c r="J45" s="211"/>
      <c r="K45" s="211"/>
      <c r="L45" s="211"/>
      <c r="M45" s="211"/>
      <c r="N45" s="211"/>
      <c r="O45" s="211"/>
      <c r="P45" s="211"/>
    </row>
    <row r="46" spans="1:16" x14ac:dyDescent="0.15">
      <c r="A46" s="203">
        <f>A43+1</f>
        <v>31</v>
      </c>
      <c r="B46" s="203" t="s">
        <v>141</v>
      </c>
      <c r="D46" s="207">
        <f t="shared" ref="D46:L46" si="5">D8</f>
        <v>4490060320</v>
      </c>
      <c r="E46" s="207">
        <f t="shared" si="5"/>
        <v>4403575277</v>
      </c>
      <c r="F46" s="207">
        <f t="shared" si="5"/>
        <v>4384973848</v>
      </c>
      <c r="G46" s="207">
        <f t="shared" si="5"/>
        <v>4558383720</v>
      </c>
      <c r="H46" s="207">
        <f t="shared" si="5"/>
        <v>4741676895</v>
      </c>
      <c r="I46" s="207">
        <f t="shared" si="5"/>
        <v>4837724471</v>
      </c>
      <c r="J46" s="207">
        <f t="shared" si="5"/>
        <v>4860574698.8399992</v>
      </c>
      <c r="K46" s="207">
        <f t="shared" si="5"/>
        <v>4853494920</v>
      </c>
      <c r="L46" s="207">
        <f t="shared" si="5"/>
        <v>4858048057</v>
      </c>
      <c r="M46" s="207">
        <f t="shared" ref="M46:N49" si="6">M8</f>
        <v>4876357232</v>
      </c>
      <c r="N46" s="207">
        <f t="shared" si="6"/>
        <v>4916240193</v>
      </c>
      <c r="O46" s="207">
        <f t="shared" ref="O46:P49" si="7">O8</f>
        <v>4967199144</v>
      </c>
      <c r="P46" s="207">
        <f t="shared" si="7"/>
        <v>5017805352</v>
      </c>
    </row>
    <row r="47" spans="1:16" x14ac:dyDescent="0.15">
      <c r="A47" s="203">
        <f>A46+1</f>
        <v>32</v>
      </c>
      <c r="B47" s="208" t="s">
        <v>299</v>
      </c>
      <c r="D47" s="207"/>
      <c r="E47" s="207"/>
      <c r="F47" s="207">
        <f t="shared" ref="F47:L47" si="8">F9</f>
        <v>0</v>
      </c>
      <c r="G47" s="207">
        <f t="shared" si="8"/>
        <v>0</v>
      </c>
      <c r="H47" s="207">
        <f t="shared" si="8"/>
        <v>0</v>
      </c>
      <c r="I47" s="207">
        <f t="shared" si="8"/>
        <v>0</v>
      </c>
      <c r="J47" s="207">
        <f t="shared" si="8"/>
        <v>48378085.410000004</v>
      </c>
      <c r="K47" s="207">
        <f t="shared" si="8"/>
        <v>0</v>
      </c>
      <c r="L47" s="207">
        <f t="shared" si="8"/>
        <v>0</v>
      </c>
      <c r="M47" s="207">
        <f t="shared" si="6"/>
        <v>0</v>
      </c>
      <c r="N47" s="207">
        <f t="shared" si="6"/>
        <v>0</v>
      </c>
      <c r="O47" s="207">
        <f t="shared" si="7"/>
        <v>0</v>
      </c>
      <c r="P47" s="207">
        <f t="shared" si="7"/>
        <v>0</v>
      </c>
    </row>
    <row r="48" spans="1:16" x14ac:dyDescent="0.15">
      <c r="A48" s="203">
        <f>A47+1</f>
        <v>33</v>
      </c>
      <c r="B48" s="208" t="s">
        <v>167</v>
      </c>
      <c r="C48" s="208"/>
      <c r="D48" s="207">
        <f t="shared" ref="D48:F49" si="9">D10</f>
        <v>0</v>
      </c>
      <c r="E48" s="207">
        <f t="shared" si="9"/>
        <v>0</v>
      </c>
      <c r="F48" s="207">
        <f t="shared" si="9"/>
        <v>0</v>
      </c>
      <c r="G48" s="207">
        <f t="shared" ref="G48:J49" si="10">G10</f>
        <v>3812154</v>
      </c>
      <c r="H48" s="207">
        <f t="shared" si="10"/>
        <v>8579632</v>
      </c>
      <c r="I48" s="207">
        <f t="shared" si="10"/>
        <v>11441209</v>
      </c>
      <c r="J48" s="207">
        <f t="shared" si="10"/>
        <v>11383078.92</v>
      </c>
      <c r="K48" s="207">
        <f>K10</f>
        <v>11365913</v>
      </c>
      <c r="L48" s="207">
        <f>L10</f>
        <v>11377163</v>
      </c>
      <c r="M48" s="207">
        <f t="shared" si="6"/>
        <v>11420040</v>
      </c>
      <c r="N48" s="207">
        <f t="shared" si="6"/>
        <v>11513446</v>
      </c>
      <c r="O48" s="207">
        <f t="shared" si="7"/>
        <v>11632780</v>
      </c>
      <c r="P48" s="207">
        <f t="shared" si="7"/>
        <v>11751302</v>
      </c>
    </row>
    <row r="49" spans="1:16" x14ac:dyDescent="0.15">
      <c r="A49" s="203">
        <f>A48+1</f>
        <v>34</v>
      </c>
      <c r="B49" s="203" t="s">
        <v>142</v>
      </c>
      <c r="D49" s="207">
        <f t="shared" si="9"/>
        <v>0</v>
      </c>
      <c r="E49" s="207">
        <f t="shared" si="9"/>
        <v>50351550</v>
      </c>
      <c r="F49" s="207">
        <f t="shared" si="9"/>
        <v>52327357</v>
      </c>
      <c r="G49" s="207">
        <f t="shared" si="10"/>
        <v>52766200</v>
      </c>
      <c r="H49" s="207">
        <f t="shared" si="10"/>
        <v>55436989</v>
      </c>
      <c r="I49" s="207">
        <f t="shared" si="10"/>
        <v>59590817</v>
      </c>
      <c r="J49" s="207">
        <f t="shared" si="10"/>
        <v>60995641.039999999</v>
      </c>
      <c r="K49" s="207">
        <f>K11</f>
        <v>64565373</v>
      </c>
      <c r="L49" s="207">
        <f>L11</f>
        <v>69073025</v>
      </c>
      <c r="M49" s="207">
        <f t="shared" si="6"/>
        <v>71777949</v>
      </c>
      <c r="N49" s="207">
        <f t="shared" si="6"/>
        <v>76066766</v>
      </c>
      <c r="O49" s="207">
        <f t="shared" si="7"/>
        <v>80441305</v>
      </c>
      <c r="P49" s="207">
        <f t="shared" si="7"/>
        <v>84903317</v>
      </c>
    </row>
    <row r="50" spans="1:16" x14ac:dyDescent="0.15">
      <c r="B50" s="208" t="s">
        <v>171</v>
      </c>
      <c r="D50" s="207"/>
      <c r="E50" s="207"/>
      <c r="F50" s="207"/>
      <c r="G50" s="207"/>
      <c r="H50" s="207"/>
      <c r="I50" s="207"/>
      <c r="J50" s="207"/>
      <c r="K50" s="207"/>
      <c r="L50" s="207"/>
      <c r="M50" s="207"/>
      <c r="N50" s="207"/>
      <c r="O50" s="207"/>
      <c r="P50" s="207"/>
    </row>
    <row r="51" spans="1:16" x14ac:dyDescent="0.15">
      <c r="A51" s="203">
        <f>A49+1</f>
        <v>35</v>
      </c>
      <c r="C51" s="203" t="s">
        <v>143</v>
      </c>
      <c r="D51" s="207">
        <f t="shared" ref="D51:J52" si="11">D13</f>
        <v>262694686</v>
      </c>
      <c r="E51" s="207">
        <f t="shared" si="11"/>
        <v>249146954</v>
      </c>
      <c r="F51" s="207">
        <f t="shared" si="11"/>
        <v>265074502.92000026</v>
      </c>
      <c r="G51" s="207">
        <f t="shared" si="11"/>
        <v>292547478</v>
      </c>
      <c r="H51" s="207">
        <f t="shared" si="11"/>
        <v>315471905</v>
      </c>
      <c r="I51" s="207">
        <f t="shared" si="11"/>
        <v>333928094</v>
      </c>
      <c r="J51" s="207">
        <f t="shared" si="11"/>
        <v>348510685.62</v>
      </c>
      <c r="K51" s="207">
        <f t="shared" ref="K51:L57" si="12">K13</f>
        <v>361157268</v>
      </c>
      <c r="L51" s="207">
        <f t="shared" si="12"/>
        <v>414260438</v>
      </c>
      <c r="M51" s="207">
        <f t="shared" ref="M51:N57" si="13">M13</f>
        <v>432960450</v>
      </c>
      <c r="N51" s="207">
        <f t="shared" si="13"/>
        <v>452559914</v>
      </c>
      <c r="O51" s="207">
        <f t="shared" ref="O51:P57" si="14">O13</f>
        <v>473621032</v>
      </c>
      <c r="P51" s="207">
        <f t="shared" si="14"/>
        <v>495561060</v>
      </c>
    </row>
    <row r="52" spans="1:16" x14ac:dyDescent="0.15">
      <c r="A52" s="203">
        <f t="shared" ref="A52:A64" si="15">A51+1</f>
        <v>36</v>
      </c>
      <c r="C52" s="203" t="s">
        <v>144</v>
      </c>
      <c r="D52" s="207">
        <f t="shared" si="11"/>
        <v>36857227</v>
      </c>
      <c r="E52" s="207">
        <f t="shared" si="11"/>
        <v>28818713</v>
      </c>
      <c r="F52" s="207">
        <f t="shared" si="11"/>
        <v>29477721</v>
      </c>
      <c r="G52" s="207">
        <f t="shared" si="11"/>
        <v>30912658</v>
      </c>
      <c r="H52" s="207">
        <f t="shared" si="11"/>
        <v>31474254</v>
      </c>
      <c r="I52" s="207">
        <f t="shared" si="11"/>
        <v>32316781</v>
      </c>
      <c r="J52" s="207">
        <f t="shared" si="11"/>
        <v>32058187</v>
      </c>
      <c r="K52" s="207">
        <f t="shared" si="12"/>
        <v>31807937</v>
      </c>
      <c r="L52" s="207">
        <f t="shared" si="12"/>
        <v>31673120</v>
      </c>
      <c r="M52" s="207">
        <f t="shared" si="13"/>
        <v>31709920</v>
      </c>
      <c r="N52" s="207">
        <f t="shared" si="13"/>
        <v>31866994</v>
      </c>
      <c r="O52" s="207">
        <f t="shared" si="14"/>
        <v>32179350</v>
      </c>
      <c r="P52" s="207">
        <f t="shared" si="14"/>
        <v>32479973</v>
      </c>
    </row>
    <row r="53" spans="1:16" x14ac:dyDescent="0.15">
      <c r="A53" s="203">
        <f t="shared" si="15"/>
        <v>37</v>
      </c>
      <c r="B53" s="208"/>
      <c r="C53" s="208" t="s">
        <v>170</v>
      </c>
      <c r="D53" s="207">
        <f t="shared" ref="D53:E57" si="16">D15</f>
        <v>9779108</v>
      </c>
      <c r="E53" s="207">
        <f t="shared" si="16"/>
        <v>7276758</v>
      </c>
      <c r="F53" s="207">
        <f t="shared" ref="F53:H57" si="17">F15</f>
        <v>7434285</v>
      </c>
      <c r="G53" s="207">
        <f t="shared" si="17"/>
        <v>7883168</v>
      </c>
      <c r="H53" s="207">
        <f t="shared" si="17"/>
        <v>8057613</v>
      </c>
      <c r="I53" s="207">
        <f t="shared" ref="I53:J57" si="18">I15</f>
        <v>8306508</v>
      </c>
      <c r="J53" s="207">
        <f t="shared" si="18"/>
        <v>8316835</v>
      </c>
      <c r="K53" s="207">
        <f t="shared" si="12"/>
        <v>8258276</v>
      </c>
      <c r="L53" s="207">
        <f t="shared" si="12"/>
        <v>8387524</v>
      </c>
      <c r="M53" s="207">
        <f t="shared" si="13"/>
        <v>8406807</v>
      </c>
      <c r="N53" s="207">
        <f t="shared" si="13"/>
        <v>8500212</v>
      </c>
      <c r="O53" s="207">
        <f t="shared" si="14"/>
        <v>8579432</v>
      </c>
      <c r="P53" s="207">
        <f t="shared" si="14"/>
        <v>8651657</v>
      </c>
    </row>
    <row r="54" spans="1:16" x14ac:dyDescent="0.15">
      <c r="A54" s="203">
        <f t="shared" si="15"/>
        <v>38</v>
      </c>
      <c r="B54" s="203" t="s">
        <v>145</v>
      </c>
      <c r="D54" s="207">
        <f t="shared" si="16"/>
        <v>16471551</v>
      </c>
      <c r="E54" s="207">
        <f t="shared" si="16"/>
        <v>16909578</v>
      </c>
      <c r="F54" s="207">
        <f t="shared" si="17"/>
        <v>17548649</v>
      </c>
      <c r="G54" s="207">
        <f t="shared" si="17"/>
        <v>18853061</v>
      </c>
      <c r="H54" s="207">
        <f t="shared" si="17"/>
        <v>20254233</v>
      </c>
      <c r="I54" s="207">
        <f t="shared" si="18"/>
        <v>21637534</v>
      </c>
      <c r="J54" s="207">
        <f t="shared" si="18"/>
        <v>22898807.41</v>
      </c>
      <c r="K54" s="207">
        <f t="shared" si="12"/>
        <v>23368633</v>
      </c>
      <c r="L54" s="207">
        <f t="shared" si="12"/>
        <v>23511161</v>
      </c>
      <c r="M54" s="207">
        <f t="shared" si="13"/>
        <v>24128678</v>
      </c>
      <c r="N54" s="207">
        <f t="shared" si="13"/>
        <v>24366756</v>
      </c>
      <c r="O54" s="207">
        <f t="shared" si="14"/>
        <v>24637073</v>
      </c>
      <c r="P54" s="207">
        <f t="shared" si="14"/>
        <v>25012252</v>
      </c>
    </row>
    <row r="55" spans="1:16" x14ac:dyDescent="0.15">
      <c r="A55" s="203">
        <f t="shared" si="15"/>
        <v>39</v>
      </c>
      <c r="B55" s="203" t="s">
        <v>146</v>
      </c>
      <c r="D55" s="207">
        <f t="shared" si="16"/>
        <v>56478364</v>
      </c>
      <c r="E55" s="207">
        <f t="shared" si="16"/>
        <v>55913098</v>
      </c>
      <c r="F55" s="207">
        <f t="shared" si="17"/>
        <v>55511195</v>
      </c>
      <c r="G55" s="207">
        <f t="shared" si="17"/>
        <v>57332807</v>
      </c>
      <c r="H55" s="207">
        <f t="shared" si="17"/>
        <v>59221788</v>
      </c>
      <c r="I55" s="207">
        <f t="shared" si="18"/>
        <v>60083765</v>
      </c>
      <c r="J55" s="207">
        <f t="shared" si="18"/>
        <v>60159097.219999999</v>
      </c>
      <c r="K55" s="207">
        <f t="shared" si="12"/>
        <v>59833229</v>
      </c>
      <c r="L55" s="207">
        <f t="shared" si="12"/>
        <v>60371479</v>
      </c>
      <c r="M55" s="207">
        <f t="shared" si="13"/>
        <v>60249583</v>
      </c>
      <c r="N55" s="207">
        <f t="shared" si="13"/>
        <v>60009213</v>
      </c>
      <c r="O55" s="207">
        <f t="shared" si="14"/>
        <v>59809879</v>
      </c>
      <c r="P55" s="207">
        <f t="shared" si="14"/>
        <v>59683844</v>
      </c>
    </row>
    <row r="56" spans="1:16" x14ac:dyDescent="0.15">
      <c r="A56" s="203">
        <f t="shared" si="15"/>
        <v>40</v>
      </c>
      <c r="B56" s="203" t="s">
        <v>148</v>
      </c>
      <c r="D56" s="207">
        <f t="shared" si="16"/>
        <v>25114308</v>
      </c>
      <c r="E56" s="207">
        <f t="shared" si="16"/>
        <v>18869558</v>
      </c>
      <c r="F56" s="207">
        <f t="shared" si="17"/>
        <v>12876818</v>
      </c>
      <c r="G56" s="207">
        <f t="shared" si="17"/>
        <v>8213502</v>
      </c>
      <c r="H56" s="207">
        <f t="shared" si="17"/>
        <v>4354428</v>
      </c>
      <c r="I56" s="207">
        <f t="shared" si="18"/>
        <v>2146056</v>
      </c>
      <c r="J56" s="207">
        <f t="shared" si="18"/>
        <v>1207447.57</v>
      </c>
      <c r="K56" s="207">
        <f t="shared" si="12"/>
        <v>675850</v>
      </c>
      <c r="L56" s="207">
        <f t="shared" si="12"/>
        <v>373228</v>
      </c>
      <c r="M56" s="207">
        <f t="shared" si="13"/>
        <v>223163</v>
      </c>
      <c r="N56" s="207">
        <f t="shared" si="13"/>
        <v>158920</v>
      </c>
      <c r="O56" s="207">
        <f t="shared" si="14"/>
        <v>128753</v>
      </c>
      <c r="P56" s="207">
        <f t="shared" si="14"/>
        <v>104189</v>
      </c>
    </row>
    <row r="57" spans="1:16" x14ac:dyDescent="0.15">
      <c r="A57" s="203">
        <f t="shared" si="15"/>
        <v>41</v>
      </c>
      <c r="B57" s="208" t="s">
        <v>244</v>
      </c>
      <c r="D57" s="207">
        <f t="shared" si="16"/>
        <v>0</v>
      </c>
      <c r="E57" s="207">
        <f t="shared" si="16"/>
        <v>0</v>
      </c>
      <c r="F57" s="207">
        <f t="shared" si="17"/>
        <v>0</v>
      </c>
      <c r="G57" s="207">
        <f t="shared" si="17"/>
        <v>-344932</v>
      </c>
      <c r="H57" s="207">
        <f t="shared" si="17"/>
        <v>0</v>
      </c>
      <c r="I57" s="207">
        <f t="shared" si="18"/>
        <v>-730496</v>
      </c>
      <c r="J57" s="207">
        <f t="shared" si="18"/>
        <v>0</v>
      </c>
      <c r="K57" s="207">
        <f t="shared" si="12"/>
        <v>-2507070</v>
      </c>
      <c r="L57" s="207">
        <f t="shared" si="12"/>
        <v>0</v>
      </c>
      <c r="M57" s="207">
        <f t="shared" si="13"/>
        <v>-700000</v>
      </c>
      <c r="N57" s="207">
        <f t="shared" si="13"/>
        <v>0</v>
      </c>
      <c r="O57" s="207">
        <f t="shared" si="14"/>
        <v>-700000</v>
      </c>
      <c r="P57" s="207">
        <f t="shared" si="14"/>
        <v>0</v>
      </c>
    </row>
    <row r="58" spans="1:16" x14ac:dyDescent="0.15">
      <c r="A58" s="203">
        <f t="shared" si="15"/>
        <v>42</v>
      </c>
      <c r="B58" s="208" t="s">
        <v>360</v>
      </c>
      <c r="D58" s="207"/>
      <c r="E58" s="207"/>
      <c r="F58" s="207"/>
      <c r="G58" s="207"/>
      <c r="H58" s="207">
        <v>0</v>
      </c>
      <c r="I58" s="207">
        <v>0</v>
      </c>
      <c r="J58" s="207">
        <v>0</v>
      </c>
      <c r="K58" s="207">
        <f>'FY 2010'!$J55</f>
        <v>-500000000</v>
      </c>
      <c r="L58" s="207">
        <v>0</v>
      </c>
      <c r="M58" s="207">
        <v>0</v>
      </c>
      <c r="N58" s="207">
        <v>0</v>
      </c>
      <c r="O58" s="207">
        <v>0</v>
      </c>
      <c r="P58" s="207">
        <v>0</v>
      </c>
    </row>
    <row r="59" spans="1:16" x14ac:dyDescent="0.15">
      <c r="A59" s="203">
        <f t="shared" si="15"/>
        <v>43</v>
      </c>
      <c r="B59" s="203" t="s">
        <v>147</v>
      </c>
      <c r="D59" s="207">
        <f t="shared" ref="D59:N59" si="19">D21-D37</f>
        <v>198438434</v>
      </c>
      <c r="E59" s="207">
        <f t="shared" si="19"/>
        <v>194217096</v>
      </c>
      <c r="F59" s="207">
        <f t="shared" si="19"/>
        <v>153689827</v>
      </c>
      <c r="G59" s="207">
        <f t="shared" si="19"/>
        <v>149750233</v>
      </c>
      <c r="H59" s="207">
        <f t="shared" si="19"/>
        <v>92182570</v>
      </c>
      <c r="I59" s="207">
        <f t="shared" si="19"/>
        <v>82805191</v>
      </c>
      <c r="J59" s="207">
        <f t="shared" si="19"/>
        <v>73046067.280000001</v>
      </c>
      <c r="K59" s="207">
        <f t="shared" si="19"/>
        <v>70133165</v>
      </c>
      <c r="L59" s="207">
        <f t="shared" si="19"/>
        <v>69988351</v>
      </c>
      <c r="M59" s="207">
        <f t="shared" si="19"/>
        <v>75269314</v>
      </c>
      <c r="N59" s="207">
        <f t="shared" si="19"/>
        <v>83311600</v>
      </c>
      <c r="O59" s="207">
        <f t="shared" ref="O59:P62" si="20">O21-O37</f>
        <v>85481027</v>
      </c>
      <c r="P59" s="207">
        <f t="shared" si="20"/>
        <v>86579059</v>
      </c>
    </row>
    <row r="60" spans="1:16" x14ac:dyDescent="0.15">
      <c r="A60" s="203">
        <f t="shared" si="15"/>
        <v>44</v>
      </c>
      <c r="B60" s="203" t="s">
        <v>149</v>
      </c>
      <c r="D60" s="207">
        <f t="shared" ref="D60:N60" si="21">D22-D38</f>
        <v>34642490</v>
      </c>
      <c r="E60" s="207">
        <f t="shared" si="21"/>
        <v>32112369</v>
      </c>
      <c r="F60" s="207">
        <f t="shared" si="21"/>
        <v>19350940</v>
      </c>
      <c r="G60" s="207">
        <f t="shared" si="21"/>
        <v>25916120</v>
      </c>
      <c r="H60" s="207">
        <f t="shared" si="21"/>
        <v>30534004</v>
      </c>
      <c r="I60" s="207">
        <f t="shared" si="21"/>
        <v>25104509</v>
      </c>
      <c r="J60" s="207">
        <f t="shared" si="21"/>
        <v>19660375.729999989</v>
      </c>
      <c r="K60" s="207">
        <f t="shared" si="21"/>
        <v>16720027</v>
      </c>
      <c r="L60" s="207">
        <f t="shared" si="21"/>
        <v>16028652</v>
      </c>
      <c r="M60" s="207">
        <f t="shared" si="21"/>
        <v>17993252</v>
      </c>
      <c r="N60" s="207">
        <f t="shared" si="21"/>
        <v>20984497</v>
      </c>
      <c r="O60" s="207">
        <f t="shared" si="20"/>
        <v>22290031</v>
      </c>
      <c r="P60" s="207">
        <f t="shared" si="20"/>
        <v>23228843</v>
      </c>
    </row>
    <row r="61" spans="1:16" x14ac:dyDescent="0.15">
      <c r="A61" s="203">
        <f t="shared" si="15"/>
        <v>45</v>
      </c>
      <c r="B61" s="208" t="s">
        <v>173</v>
      </c>
      <c r="D61" s="207">
        <f t="shared" ref="D61:N61" si="22">D23-D39</f>
        <v>0</v>
      </c>
      <c r="E61" s="207">
        <f t="shared" si="22"/>
        <v>31986524</v>
      </c>
      <c r="F61" s="207">
        <f t="shared" si="22"/>
        <v>12786000</v>
      </c>
      <c r="G61" s="207">
        <f t="shared" si="22"/>
        <v>10650198</v>
      </c>
      <c r="H61" s="207">
        <f t="shared" si="22"/>
        <v>8632025</v>
      </c>
      <c r="I61" s="207">
        <f t="shared" si="22"/>
        <v>7132923</v>
      </c>
      <c r="J61" s="207">
        <f t="shared" si="22"/>
        <v>5419100.6700000018</v>
      </c>
      <c r="K61" s="207">
        <f t="shared" si="22"/>
        <v>4257615</v>
      </c>
      <c r="L61" s="207">
        <f t="shared" si="22"/>
        <v>3970912</v>
      </c>
      <c r="M61" s="207">
        <f t="shared" si="22"/>
        <v>4531881</v>
      </c>
      <c r="N61" s="207">
        <f t="shared" si="22"/>
        <v>5540128</v>
      </c>
      <c r="O61" s="207">
        <f t="shared" si="20"/>
        <v>5890649</v>
      </c>
      <c r="P61" s="207">
        <f t="shared" si="20"/>
        <v>6062785</v>
      </c>
    </row>
    <row r="62" spans="1:16" x14ac:dyDescent="0.15">
      <c r="A62" s="203">
        <f>A61+1</f>
        <v>46</v>
      </c>
      <c r="B62" s="208" t="s">
        <v>168</v>
      </c>
      <c r="C62" s="208"/>
      <c r="D62" s="207">
        <f t="shared" ref="D62:N62" si="23">D24-D40</f>
        <v>0</v>
      </c>
      <c r="E62" s="207">
        <f t="shared" si="23"/>
        <v>0</v>
      </c>
      <c r="F62" s="207">
        <f t="shared" si="23"/>
        <v>0</v>
      </c>
      <c r="G62" s="207">
        <f t="shared" si="23"/>
        <v>16348850</v>
      </c>
      <c r="H62" s="207">
        <f t="shared" si="23"/>
        <v>38908246</v>
      </c>
      <c r="I62" s="207">
        <f t="shared" si="23"/>
        <v>47983907</v>
      </c>
      <c r="J62" s="207">
        <f t="shared" si="23"/>
        <v>49994988.769999996</v>
      </c>
      <c r="K62" s="207">
        <f t="shared" si="23"/>
        <v>41484386</v>
      </c>
      <c r="L62" s="207">
        <f t="shared" si="23"/>
        <v>44898928</v>
      </c>
      <c r="M62" s="207">
        <f t="shared" si="23"/>
        <v>56984891</v>
      </c>
      <c r="N62" s="207">
        <f t="shared" si="23"/>
        <v>60095024</v>
      </c>
      <c r="O62" s="207">
        <f t="shared" si="20"/>
        <v>61706081</v>
      </c>
      <c r="P62" s="207">
        <f t="shared" si="20"/>
        <v>63168802</v>
      </c>
    </row>
    <row r="63" spans="1:16" x14ac:dyDescent="0.15">
      <c r="A63" s="203">
        <f>A62+1</f>
        <v>47</v>
      </c>
      <c r="B63" s="208" t="s">
        <v>163</v>
      </c>
      <c r="C63" s="208"/>
      <c r="D63" s="207">
        <f t="shared" ref="D63:N63" si="24">D25-D41-D64</f>
        <v>58417206</v>
      </c>
      <c r="E63" s="207">
        <f t="shared" si="24"/>
        <v>67208298</v>
      </c>
      <c r="F63" s="207">
        <f t="shared" si="24"/>
        <v>116067762</v>
      </c>
      <c r="G63" s="207">
        <f t="shared" si="24"/>
        <v>114774019</v>
      </c>
      <c r="H63" s="207">
        <f t="shared" si="24"/>
        <v>107935161</v>
      </c>
      <c r="I63" s="207">
        <f t="shared" si="24"/>
        <v>95398626</v>
      </c>
      <c r="J63" s="207">
        <f t="shared" si="24"/>
        <v>76645862.950000003</v>
      </c>
      <c r="K63" s="207">
        <f t="shared" si="24"/>
        <v>60722235</v>
      </c>
      <c r="L63" s="207">
        <f t="shared" si="24"/>
        <v>58609687</v>
      </c>
      <c r="M63" s="207">
        <f t="shared" si="24"/>
        <v>68344747</v>
      </c>
      <c r="N63" s="207">
        <f t="shared" si="24"/>
        <v>84984150</v>
      </c>
      <c r="O63" s="207">
        <f>O25-O41-O64</f>
        <v>89938703</v>
      </c>
      <c r="P63" s="207">
        <f>P25-P41-P64</f>
        <v>93081981</v>
      </c>
    </row>
    <row r="64" spans="1:16" x14ac:dyDescent="0.15">
      <c r="A64" s="203">
        <f t="shared" si="15"/>
        <v>48</v>
      </c>
      <c r="B64" s="203" t="s">
        <v>151</v>
      </c>
      <c r="D64" s="207">
        <f>'FY 2003'!I58</f>
        <v>8345294</v>
      </c>
      <c r="E64" s="207">
        <f>'FY 2004'!I58</f>
        <v>8040369</v>
      </c>
      <c r="F64" s="207">
        <f>'FY 2005'!I58</f>
        <v>8698852</v>
      </c>
      <c r="G64" s="207">
        <f>'FY 2006'!I59</f>
        <v>8672599</v>
      </c>
      <c r="H64" s="207">
        <f>'FY 2007'!I59</f>
        <v>8609264</v>
      </c>
      <c r="I64" s="207">
        <f>'FY 2008'!I59</f>
        <v>8609264</v>
      </c>
      <c r="J64" s="207">
        <f>'FY 2009'!$I61</f>
        <v>8587791.6699999981</v>
      </c>
      <c r="K64" s="207">
        <f>'FY 2010'!$J61</f>
        <v>8618666</v>
      </c>
      <c r="L64" s="207">
        <f>'FY 2011'!$J59</f>
        <v>8593182</v>
      </c>
      <c r="M64" s="207">
        <f>'FY 2012'!$J59</f>
        <v>8501953</v>
      </c>
      <c r="N64" s="207">
        <f>'FY 2013'!$J59</f>
        <v>8522641</v>
      </c>
      <c r="O64" s="207">
        <f>'FY 2014'!$J59</f>
        <v>8522641</v>
      </c>
      <c r="P64" s="207">
        <f>'FY 2015'!$J59</f>
        <v>8522641</v>
      </c>
    </row>
    <row r="65" spans="1:16" x14ac:dyDescent="0.15">
      <c r="B65" s="208" t="s">
        <v>172</v>
      </c>
      <c r="D65" s="207"/>
      <c r="E65" s="207"/>
      <c r="F65" s="207"/>
      <c r="G65" s="207"/>
      <c r="H65" s="207"/>
      <c r="I65" s="207"/>
      <c r="J65" s="207"/>
      <c r="K65" s="207"/>
      <c r="L65" s="207"/>
      <c r="M65" s="207"/>
      <c r="N65" s="207"/>
      <c r="O65" s="207"/>
      <c r="P65" s="207"/>
    </row>
    <row r="66" spans="1:16" x14ac:dyDescent="0.15">
      <c r="A66" s="203">
        <f>A64+1</f>
        <v>49</v>
      </c>
      <c r="B66" s="208"/>
      <c r="C66" s="208" t="s">
        <v>175</v>
      </c>
      <c r="D66" s="207">
        <f>'FY 2003'!I60</f>
        <v>1341221</v>
      </c>
      <c r="E66" s="207">
        <f>'FY 2004'!I60</f>
        <v>-679857</v>
      </c>
      <c r="F66" s="207">
        <f>'FY 2005'!I60</f>
        <v>-1089963.94</v>
      </c>
      <c r="G66" s="207">
        <f>'FY 2006'!I61</f>
        <v>-895441.79</v>
      </c>
      <c r="H66" s="207">
        <f>'FY 2007'!I61</f>
        <v>-885672</v>
      </c>
      <c r="I66" s="207">
        <f>'FY 2008'!I61</f>
        <v>-181964</v>
      </c>
      <c r="J66" s="207">
        <f>'FY 2009'!$I63</f>
        <v>262096</v>
      </c>
      <c r="K66" s="207">
        <f>'FY 2010'!$J63</f>
        <v>607348</v>
      </c>
      <c r="L66" s="207">
        <f>'FY 2011'!$J61</f>
        <v>657596</v>
      </c>
      <c r="M66" s="207">
        <f>'FY 2012'!$J61</f>
        <v>309694</v>
      </c>
      <c r="N66" s="207">
        <f>'FY 2013'!$J61</f>
        <v>-191472</v>
      </c>
      <c r="O66" s="207">
        <f>'FY 2014'!$J61</f>
        <v>-284009</v>
      </c>
      <c r="P66" s="207">
        <f>'FY 2015'!$J61</f>
        <v>-369316</v>
      </c>
    </row>
    <row r="67" spans="1:16" x14ac:dyDescent="0.15">
      <c r="A67" s="203">
        <f>A66+1</f>
        <v>50</v>
      </c>
      <c r="B67" s="208"/>
      <c r="C67" s="208" t="s">
        <v>182</v>
      </c>
      <c r="D67" s="207">
        <f>'FY 2003'!I61</f>
        <v>-1804253</v>
      </c>
      <c r="E67" s="207">
        <f>'FY 2004'!I61</f>
        <v>1059</v>
      </c>
      <c r="F67" s="207">
        <f>'FY 2005'!I61</f>
        <v>0</v>
      </c>
      <c r="G67" s="207">
        <f>'FY 2006'!I62</f>
        <v>0.43999999994412065</v>
      </c>
      <c r="H67" s="207">
        <f>'FY 2007'!I62</f>
        <v>0</v>
      </c>
      <c r="I67" s="207">
        <f>'FY 2008'!I62</f>
        <v>0</v>
      </c>
      <c r="J67" s="207">
        <f>'FY 2009'!$I64</f>
        <v>-9.9999995436519384E-3</v>
      </c>
      <c r="K67" s="207">
        <f>'FY 2010'!$J64</f>
        <v>0</v>
      </c>
      <c r="L67" s="207">
        <f>'FY 2011'!$J62</f>
        <v>32</v>
      </c>
      <c r="M67" s="207">
        <f>'FY 2012'!$J62</f>
        <v>-780</v>
      </c>
      <c r="N67" s="207">
        <f>'FY 2013'!$J62</f>
        <v>745</v>
      </c>
      <c r="O67" s="207">
        <f>'FY 2014'!$J62</f>
        <v>99</v>
      </c>
      <c r="P67" s="207">
        <f>'FY 2015'!$J62</f>
        <v>99</v>
      </c>
    </row>
    <row r="68" spans="1:16" x14ac:dyDescent="0.15">
      <c r="A68" s="203">
        <f>A67+1</f>
        <v>51</v>
      </c>
      <c r="B68" s="208"/>
      <c r="C68" s="208" t="s">
        <v>201</v>
      </c>
      <c r="D68" s="207">
        <f>'FY 2003'!I62</f>
        <v>0</v>
      </c>
      <c r="E68" s="207">
        <f>'FY 2004'!I62</f>
        <v>0</v>
      </c>
      <c r="F68" s="207">
        <f>'FY 2005'!I62</f>
        <v>0</v>
      </c>
      <c r="G68" s="207">
        <f>'FY 2006'!I63</f>
        <v>-0.18000000000029104</v>
      </c>
      <c r="H68" s="207">
        <f>'FY 2007'!I63</f>
        <v>0</v>
      </c>
      <c r="I68" s="207">
        <f>'FY 2008'!I63</f>
        <v>0</v>
      </c>
      <c r="J68" s="207">
        <f>'FY 2009'!$I65</f>
        <v>0</v>
      </c>
      <c r="K68" s="207">
        <f>'FY 2010'!$J65</f>
        <v>0</v>
      </c>
      <c r="L68" s="207">
        <f>'FY 2011'!$J63</f>
        <v>777</v>
      </c>
      <c r="M68" s="207">
        <f>'FY 2012'!$J63</f>
        <v>0</v>
      </c>
      <c r="N68" s="207">
        <f>'FY 2013'!$J63</f>
        <v>0</v>
      </c>
      <c r="O68" s="207">
        <f>'FY 2014'!$J63</f>
        <v>0</v>
      </c>
      <c r="P68" s="207">
        <f>'FY 2015'!$J63</f>
        <v>0</v>
      </c>
    </row>
    <row r="69" spans="1:16" x14ac:dyDescent="0.15">
      <c r="A69" s="203">
        <f>A68+1</f>
        <v>52</v>
      </c>
      <c r="B69" s="208"/>
      <c r="C69" s="208" t="s">
        <v>183</v>
      </c>
      <c r="D69" s="207">
        <f>'FY 2003'!I63</f>
        <v>0</v>
      </c>
      <c r="E69" s="207">
        <f>'FY 2004'!I63</f>
        <v>0</v>
      </c>
      <c r="F69" s="207">
        <f>'FY 2005'!I63</f>
        <v>0</v>
      </c>
      <c r="G69" s="207">
        <f>'FY 2006'!I64</f>
        <v>0.44000000000232831</v>
      </c>
      <c r="H69" s="207">
        <f>'FY 2007'!I64</f>
        <v>0</v>
      </c>
      <c r="I69" s="207">
        <f>'FY 2008'!I64</f>
        <v>0</v>
      </c>
      <c r="J69" s="207">
        <f>'FY 2009'!$I66</f>
        <v>-1.0000000009313226E-2</v>
      </c>
      <c r="K69" s="207">
        <f>'FY 2010'!$J66</f>
        <v>4</v>
      </c>
      <c r="L69" s="207">
        <f>'FY 2011'!$J64</f>
        <v>165</v>
      </c>
      <c r="M69" s="207">
        <f>'FY 2012'!$J64</f>
        <v>29792</v>
      </c>
      <c r="N69" s="207">
        <f>'FY 2013'!$J64</f>
        <v>45882</v>
      </c>
      <c r="O69" s="207">
        <f>'FY 2014'!$J64</f>
        <v>51212</v>
      </c>
      <c r="P69" s="207">
        <f>'FY 2015'!$J64</f>
        <v>54447</v>
      </c>
    </row>
    <row r="70" spans="1:16" x14ac:dyDescent="0.15">
      <c r="A70" s="203">
        <f>A69+1</f>
        <v>53</v>
      </c>
      <c r="B70" s="208"/>
      <c r="C70" s="208" t="s">
        <v>251</v>
      </c>
      <c r="D70" s="207">
        <v>0</v>
      </c>
      <c r="E70" s="207">
        <v>0</v>
      </c>
      <c r="F70" s="207">
        <v>0</v>
      </c>
      <c r="G70" s="207">
        <f>'FY 2006'!I65</f>
        <v>0</v>
      </c>
      <c r="H70" s="207">
        <f>'FY 2007'!$I65</f>
        <v>-398</v>
      </c>
      <c r="I70" s="207">
        <f>'FY 2008'!$I65</f>
        <v>-355.17999999946915</v>
      </c>
      <c r="J70" s="207">
        <f>'FY 2009'!$I67</f>
        <v>-461.16000000014901</v>
      </c>
      <c r="K70" s="207">
        <f>'FY 2010'!$J67</f>
        <v>-449</v>
      </c>
      <c r="L70" s="207">
        <f>'FY 2011'!$J65</f>
        <v>-195</v>
      </c>
      <c r="M70" s="207">
        <f>'FY 2012'!$J65</f>
        <v>-195</v>
      </c>
      <c r="N70" s="207">
        <f>'FY 2013'!$J65</f>
        <v>-195</v>
      </c>
      <c r="O70" s="207">
        <f>'FY 2014'!$J65</f>
        <v>-195</v>
      </c>
      <c r="P70" s="207">
        <f>'FY 2015'!$J65</f>
        <v>-195</v>
      </c>
    </row>
    <row r="71" spans="1:16" x14ac:dyDescent="0.15">
      <c r="D71" s="207"/>
      <c r="E71" s="207"/>
      <c r="F71" s="207"/>
      <c r="G71" s="207"/>
      <c r="H71" s="207"/>
      <c r="I71" s="207"/>
      <c r="J71" s="207"/>
      <c r="K71" s="207"/>
      <c r="L71" s="207"/>
      <c r="M71" s="207"/>
      <c r="N71" s="207"/>
      <c r="O71" s="207"/>
      <c r="P71" s="207"/>
    </row>
    <row r="72" spans="1:16" x14ac:dyDescent="0.15">
      <c r="A72" s="203">
        <f>A70+1</f>
        <v>54</v>
      </c>
      <c r="B72" s="208" t="s">
        <v>184</v>
      </c>
      <c r="C72" s="208"/>
      <c r="D72" s="207">
        <f>SUM(D46:D70)</f>
        <v>5196835956</v>
      </c>
      <c r="E72" s="207">
        <f t="shared" ref="E72:J72" si="25">SUM(E46:E70)</f>
        <v>5163747344</v>
      </c>
      <c r="F72" s="207">
        <f t="shared" si="25"/>
        <v>5134727792.9800005</v>
      </c>
      <c r="G72" s="207">
        <f t="shared" si="25"/>
        <v>5355576393.9099989</v>
      </c>
      <c r="H72" s="207">
        <f t="shared" si="25"/>
        <v>5530442937</v>
      </c>
      <c r="I72" s="207">
        <f t="shared" si="25"/>
        <v>5633296839.8199997</v>
      </c>
      <c r="J72" s="207">
        <f t="shared" si="25"/>
        <v>5688098385.9199982</v>
      </c>
      <c r="K72" s="207">
        <f t="shared" ref="K72:P72" si="26">SUM(K46:K70)</f>
        <v>5114563326</v>
      </c>
      <c r="L72" s="207">
        <f t="shared" si="26"/>
        <v>5679823282</v>
      </c>
      <c r="M72" s="207">
        <f t="shared" si="26"/>
        <v>5748498371</v>
      </c>
      <c r="N72" s="207">
        <f t="shared" si="26"/>
        <v>5844575414</v>
      </c>
      <c r="O72" s="207">
        <f t="shared" si="26"/>
        <v>5931124987</v>
      </c>
      <c r="P72" s="207">
        <f t="shared" si="26"/>
        <v>6016282092</v>
      </c>
    </row>
    <row r="73" spans="1:16" x14ac:dyDescent="0.15">
      <c r="A73" s="203">
        <f>A72+1</f>
        <v>55</v>
      </c>
      <c r="B73" s="202" t="s">
        <v>397</v>
      </c>
      <c r="C73" s="208"/>
      <c r="D73" s="207">
        <f>D72-D64</f>
        <v>5188490662</v>
      </c>
      <c r="E73" s="207">
        <f>E72-E64</f>
        <v>5155706975</v>
      </c>
      <c r="F73" s="207">
        <f>F72-F64</f>
        <v>5126028940.9800005</v>
      </c>
      <c r="G73" s="207">
        <f>G72-G64</f>
        <v>5346903794.9099989</v>
      </c>
      <c r="H73" s="207">
        <f>H72-H64</f>
        <v>5521833673</v>
      </c>
      <c r="I73" s="207">
        <f t="shared" ref="I73:N73" si="27">I72</f>
        <v>5633296839.8199997</v>
      </c>
      <c r="J73" s="207">
        <f t="shared" si="27"/>
        <v>5688098385.9199982</v>
      </c>
      <c r="K73" s="207">
        <f t="shared" si="27"/>
        <v>5114563326</v>
      </c>
      <c r="L73" s="207">
        <f t="shared" si="27"/>
        <v>5679823282</v>
      </c>
      <c r="M73" s="207">
        <f t="shared" si="27"/>
        <v>5748498371</v>
      </c>
      <c r="N73" s="207">
        <f t="shared" si="27"/>
        <v>5844575414</v>
      </c>
      <c r="O73" s="207">
        <f>O72</f>
        <v>5931124987</v>
      </c>
      <c r="P73" s="207">
        <f>P72</f>
        <v>6016282092</v>
      </c>
    </row>
    <row r="74" spans="1:16" x14ac:dyDescent="0.15">
      <c r="A74" s="203">
        <f>A73+1</f>
        <v>56</v>
      </c>
      <c r="B74" s="208" t="s">
        <v>303</v>
      </c>
      <c r="C74" s="208"/>
      <c r="D74" s="207">
        <f>D64</f>
        <v>8345294</v>
      </c>
      <c r="E74" s="207">
        <f>E64</f>
        <v>8040369</v>
      </c>
      <c r="F74" s="207">
        <f>F64</f>
        <v>8698852</v>
      </c>
      <c r="G74" s="207">
        <f>G64</f>
        <v>8672599</v>
      </c>
      <c r="H74" s="207">
        <f>H64</f>
        <v>8609264</v>
      </c>
      <c r="I74" s="212" t="s">
        <v>302</v>
      </c>
      <c r="J74" s="212" t="s">
        <v>302</v>
      </c>
      <c r="K74" s="212" t="s">
        <v>302</v>
      </c>
      <c r="L74" s="212" t="s">
        <v>302</v>
      </c>
      <c r="M74" s="212" t="s">
        <v>302</v>
      </c>
      <c r="N74" s="212" t="s">
        <v>302</v>
      </c>
      <c r="O74" s="212" t="s">
        <v>302</v>
      </c>
      <c r="P74" s="212" t="s">
        <v>302</v>
      </c>
    </row>
    <row r="75" spans="1:16" x14ac:dyDescent="0.15">
      <c r="B75" s="208"/>
      <c r="C75" s="208"/>
      <c r="D75" s="207"/>
      <c r="E75" s="207"/>
      <c r="F75" s="207"/>
      <c r="G75" s="207"/>
      <c r="H75" s="207"/>
      <c r="I75" s="207"/>
      <c r="J75" s="207"/>
      <c r="K75" s="207"/>
      <c r="L75" s="207"/>
      <c r="M75" s="207"/>
      <c r="N75" s="207"/>
      <c r="O75" s="207"/>
      <c r="P75" s="207"/>
    </row>
    <row r="76" spans="1:16" x14ac:dyDescent="0.15">
      <c r="A76" s="203">
        <f>A74+1</f>
        <v>57</v>
      </c>
      <c r="B76" s="208" t="s">
        <v>166</v>
      </c>
      <c r="C76" s="208"/>
      <c r="D76" s="207">
        <f>'FY 2003'!I69</f>
        <v>-46570547</v>
      </c>
      <c r="E76" s="207">
        <f>'FY 2004'!I69</f>
        <v>-46686661</v>
      </c>
      <c r="F76" s="207">
        <f>'FY 2005'!I69</f>
        <v>-46733667</v>
      </c>
      <c r="G76" s="207">
        <f>'FY 2006'!I71</f>
        <v>-46807695</v>
      </c>
      <c r="H76" s="207">
        <f>'FY 2007'!I71</f>
        <v>-46967505</v>
      </c>
      <c r="I76" s="207">
        <f>'FY 2008'!I71</f>
        <v>-30637836</v>
      </c>
      <c r="J76" s="207">
        <f>'FY 2009'!$I73</f>
        <v>-30753089.780000001</v>
      </c>
      <c r="K76" s="207">
        <f>'FY 2010'!$J73</f>
        <v>-30827862</v>
      </c>
      <c r="L76" s="207">
        <f>'FY 2011'!$J71</f>
        <v>-30929256</v>
      </c>
      <c r="M76" s="207">
        <f>'FY 2012'!$J71</f>
        <v>-31089936</v>
      </c>
      <c r="N76" s="207">
        <f>'FY 2013'!$J71</f>
        <v>-31243295</v>
      </c>
      <c r="O76" s="207">
        <f>'FY 2014'!$J71</f>
        <v>-31405216</v>
      </c>
      <c r="P76" s="207">
        <f>'FY 2015'!$J71</f>
        <v>-31579486</v>
      </c>
    </row>
    <row r="77" spans="1:16" x14ac:dyDescent="0.15">
      <c r="D77" s="209"/>
      <c r="E77" s="209"/>
      <c r="F77" s="209"/>
      <c r="G77" s="209"/>
      <c r="H77" s="209"/>
      <c r="I77" s="209"/>
      <c r="J77" s="209"/>
      <c r="K77" s="209"/>
      <c r="L77" s="209"/>
      <c r="M77" s="209"/>
      <c r="N77" s="209"/>
      <c r="O77" s="209"/>
      <c r="P77" s="209"/>
    </row>
    <row r="78" spans="1:16" x14ac:dyDescent="0.15">
      <c r="A78" s="204" t="s">
        <v>391</v>
      </c>
      <c r="B78" s="204"/>
      <c r="C78" s="205"/>
      <c r="D78" s="206" t="s">
        <v>135</v>
      </c>
      <c r="E78" s="206" t="s">
        <v>136</v>
      </c>
      <c r="F78" s="206" t="s">
        <v>137</v>
      </c>
      <c r="G78" s="206" t="s">
        <v>138</v>
      </c>
      <c r="H78" s="206" t="s">
        <v>139</v>
      </c>
      <c r="I78" s="206" t="s">
        <v>164</v>
      </c>
      <c r="J78" s="206" t="s">
        <v>165</v>
      </c>
      <c r="K78" s="206" t="s">
        <v>249</v>
      </c>
      <c r="L78" s="206" t="s">
        <v>250</v>
      </c>
      <c r="M78" s="206" t="s">
        <v>300</v>
      </c>
      <c r="N78" s="206" t="s">
        <v>301</v>
      </c>
      <c r="O78" s="206" t="s">
        <v>388</v>
      </c>
      <c r="P78" s="206" t="s">
        <v>389</v>
      </c>
    </row>
    <row r="80" spans="1:16" x14ac:dyDescent="0.15">
      <c r="A80" s="203">
        <v>1</v>
      </c>
      <c r="B80" s="203" t="s">
        <v>140</v>
      </c>
      <c r="D80" s="207">
        <f>'FY 2003'!I73</f>
        <v>962146</v>
      </c>
      <c r="E80" s="207">
        <f>'FY 2004'!I73</f>
        <v>957096</v>
      </c>
      <c r="F80" s="207">
        <f>'FY 2005'!I73</f>
        <v>953035</v>
      </c>
      <c r="G80" s="207">
        <f>'FY 2006'!I75</f>
        <v>953041</v>
      </c>
      <c r="H80" s="207">
        <f>'FY 2007'!I75</f>
        <v>953288</v>
      </c>
      <c r="I80" s="207">
        <f>'FY 2008'!I75</f>
        <v>953432</v>
      </c>
      <c r="J80" s="207">
        <f>'FY 2009'!$I77</f>
        <v>948587</v>
      </c>
      <c r="K80" s="207">
        <f>'FY 2010'!$J77</f>
        <v>947786</v>
      </c>
      <c r="L80" s="207">
        <f>'FY 2011'!$J75</f>
        <v>949439</v>
      </c>
      <c r="M80" s="207">
        <f>'FY 2012'!$J75</f>
        <v>953192</v>
      </c>
      <c r="N80" s="207">
        <f>'FY 2013'!$J75</f>
        <v>961193</v>
      </c>
      <c r="O80" s="207">
        <f>'FY 2014'!$J75</f>
        <v>971195</v>
      </c>
      <c r="P80" s="207">
        <f>'FY 2015'!$J75</f>
        <v>982011</v>
      </c>
    </row>
    <row r="82" spans="1:16" x14ac:dyDescent="0.15">
      <c r="B82" s="208" t="s">
        <v>155</v>
      </c>
      <c r="D82" s="209"/>
      <c r="E82" s="209"/>
      <c r="F82" s="209"/>
      <c r="G82" s="209"/>
      <c r="H82" s="209"/>
      <c r="I82" s="209"/>
      <c r="J82" s="209"/>
      <c r="K82" s="209"/>
      <c r="L82" s="209"/>
      <c r="M82" s="209"/>
      <c r="N82" s="209"/>
      <c r="O82" s="209"/>
      <c r="P82" s="209"/>
    </row>
    <row r="83" spans="1:16" x14ac:dyDescent="0.15">
      <c r="A83" s="203">
        <f>A80+1</f>
        <v>2</v>
      </c>
      <c r="B83" s="203" t="s">
        <v>141</v>
      </c>
      <c r="D83" s="207">
        <f>'FY 2003'!I76</f>
        <v>4490060320</v>
      </c>
      <c r="E83" s="207">
        <f>'FY 2004'!I76</f>
        <v>4403575277</v>
      </c>
      <c r="F83" s="207">
        <f>'FY 2005'!I76</f>
        <v>4384973848</v>
      </c>
      <c r="G83" s="207">
        <f>'FY 2006'!I78</f>
        <v>4558383720</v>
      </c>
      <c r="H83" s="207">
        <f>'FY 2007'!I78</f>
        <v>4741676895</v>
      </c>
      <c r="I83" s="207">
        <f>'FY 2008'!I78</f>
        <v>4837724471</v>
      </c>
      <c r="J83" s="207">
        <f>'FY 2009'!$I80</f>
        <v>4860574698.8399992</v>
      </c>
      <c r="K83" s="207">
        <f>'FY 2010'!$J80</f>
        <v>4857031966</v>
      </c>
      <c r="L83" s="207">
        <f>'FY 2011'!$J78</f>
        <v>4864927024</v>
      </c>
      <c r="M83" s="207">
        <f>'FY 2012'!$J78</f>
        <v>4884153655</v>
      </c>
      <c r="N83" s="207">
        <f>'FY 2013'!$J78</f>
        <v>4925154001</v>
      </c>
      <c r="O83" s="207">
        <f>'FY 2014'!$J78</f>
        <v>4976401793</v>
      </c>
      <c r="P83" s="207">
        <f>'FY 2015'!$J78</f>
        <v>5031822360</v>
      </c>
    </row>
    <row r="84" spans="1:16" x14ac:dyDescent="0.15">
      <c r="A84" s="203">
        <f>A83+1</f>
        <v>3</v>
      </c>
      <c r="B84" s="208" t="s">
        <v>299</v>
      </c>
      <c r="D84" s="207">
        <v>0</v>
      </c>
      <c r="E84" s="207">
        <v>0</v>
      </c>
      <c r="F84" s="207">
        <v>0</v>
      </c>
      <c r="G84" s="207">
        <v>0</v>
      </c>
      <c r="H84" s="207">
        <v>0</v>
      </c>
      <c r="I84" s="207">
        <v>0</v>
      </c>
      <c r="J84" s="207">
        <f>'FY 2009'!$I81</f>
        <v>48378085.410000004</v>
      </c>
      <c r="K84" s="207">
        <v>0</v>
      </c>
      <c r="L84" s="207">
        <v>0</v>
      </c>
      <c r="M84" s="207">
        <v>0</v>
      </c>
      <c r="N84" s="207">
        <v>0</v>
      </c>
      <c r="O84" s="207">
        <v>0</v>
      </c>
      <c r="P84" s="207">
        <v>0</v>
      </c>
    </row>
    <row r="85" spans="1:16" x14ac:dyDescent="0.15">
      <c r="A85" s="203">
        <f>A84+1</f>
        <v>4</v>
      </c>
      <c r="B85" s="208" t="s">
        <v>167</v>
      </c>
      <c r="C85" s="208"/>
      <c r="D85" s="207">
        <f>'FY 2003'!I77</f>
        <v>0</v>
      </c>
      <c r="E85" s="207">
        <f>'FY 2004'!I77</f>
        <v>0</v>
      </c>
      <c r="F85" s="207">
        <f>'FY 2005'!I77</f>
        <v>0</v>
      </c>
      <c r="G85" s="207">
        <f>'FY 2006'!I79</f>
        <v>3812154</v>
      </c>
      <c r="H85" s="207">
        <f>'FY 2007'!I79</f>
        <v>8579632</v>
      </c>
      <c r="I85" s="207">
        <f>'FY 2008'!I79</f>
        <v>11441209</v>
      </c>
      <c r="J85" s="207">
        <f>'FY 2009'!$I82</f>
        <v>11383078.92</v>
      </c>
      <c r="K85" s="207">
        <f>'FY 2010'!$J81</f>
        <v>11374782</v>
      </c>
      <c r="L85" s="207">
        <f>'FY 2011'!$J79</f>
        <v>11393282</v>
      </c>
      <c r="M85" s="207">
        <f>'FY 2012'!$J79</f>
        <v>11438304</v>
      </c>
      <c r="N85" s="207">
        <f>'FY 2013'!$J79</f>
        <v>11534322</v>
      </c>
      <c r="O85" s="207">
        <f>'FY 2014'!$J79</f>
        <v>11654338</v>
      </c>
      <c r="P85" s="207">
        <f>'FY 2015'!$J79</f>
        <v>11784125</v>
      </c>
    </row>
    <row r="86" spans="1:16" x14ac:dyDescent="0.15">
      <c r="A86" s="203">
        <f>A85+1</f>
        <v>5</v>
      </c>
      <c r="B86" s="203" t="s">
        <v>142</v>
      </c>
      <c r="D86" s="207">
        <f>'FY 2003'!I78</f>
        <v>0</v>
      </c>
      <c r="E86" s="207">
        <f>'FY 2004'!I78</f>
        <v>50351550</v>
      </c>
      <c r="F86" s="207">
        <f>'FY 2005'!I78</f>
        <v>52327357</v>
      </c>
      <c r="G86" s="207">
        <f>'FY 2006'!I80</f>
        <v>52766200</v>
      </c>
      <c r="H86" s="207">
        <f>'FY 2007'!I80</f>
        <v>55436989</v>
      </c>
      <c r="I86" s="207">
        <f>'FY 2008'!I80</f>
        <v>59590817</v>
      </c>
      <c r="J86" s="207">
        <f>'FY 2009'!$I83</f>
        <v>60995641.039999999</v>
      </c>
      <c r="K86" s="207">
        <f>'FY 2010'!$J82</f>
        <v>64754980</v>
      </c>
      <c r="L86" s="207">
        <f>'FY 2011'!$J80</f>
        <v>69226284</v>
      </c>
      <c r="M86" s="207">
        <f>'FY 2012'!$J80</f>
        <v>71911146</v>
      </c>
      <c r="N86" s="207">
        <f>'FY 2013'!$J80</f>
        <v>76200979</v>
      </c>
      <c r="O86" s="207">
        <f>'FY 2014'!$J80</f>
        <v>80574826</v>
      </c>
      <c r="P86" s="207">
        <f>'FY 2015'!$J80</f>
        <v>85121499</v>
      </c>
    </row>
    <row r="87" spans="1:16" x14ac:dyDescent="0.15">
      <c r="B87" s="208" t="s">
        <v>171</v>
      </c>
      <c r="D87" s="207"/>
      <c r="E87" s="207"/>
      <c r="F87" s="207"/>
      <c r="G87" s="207"/>
      <c r="H87" s="207"/>
      <c r="I87" s="207"/>
      <c r="J87" s="207"/>
      <c r="K87" s="207"/>
      <c r="L87" s="207"/>
      <c r="M87" s="207"/>
      <c r="N87" s="207"/>
      <c r="O87" s="207"/>
      <c r="P87" s="207"/>
    </row>
    <row r="88" spans="1:16" x14ac:dyDescent="0.15">
      <c r="A88" s="203">
        <f>A86+1</f>
        <v>6</v>
      </c>
      <c r="C88" s="203" t="s">
        <v>143</v>
      </c>
      <c r="D88" s="207">
        <f>'FY 2003'!I80</f>
        <v>262694686</v>
      </c>
      <c r="E88" s="207">
        <f>'FY 2004'!I80</f>
        <v>249146954</v>
      </c>
      <c r="F88" s="207">
        <f>'FY 2005'!I80</f>
        <v>265074502.92000026</v>
      </c>
      <c r="G88" s="207">
        <f>'FY 2006'!I82</f>
        <v>292547478</v>
      </c>
      <c r="H88" s="207">
        <f>'FY 2007'!I82</f>
        <v>315471905</v>
      </c>
      <c r="I88" s="207">
        <f>'FY 2008'!I82</f>
        <v>333928094</v>
      </c>
      <c r="J88" s="207">
        <f>'FY 2009'!$I85</f>
        <v>348510685.62</v>
      </c>
      <c r="K88" s="207">
        <f>'FY 2010'!$J84</f>
        <v>361172148</v>
      </c>
      <c r="L88" s="207">
        <f>'FY 2011'!$J82</f>
        <v>414257707</v>
      </c>
      <c r="M88" s="207">
        <f>'FY 2012'!$J82</f>
        <v>437710623</v>
      </c>
      <c r="N88" s="207">
        <f>'FY 2013'!$J82</f>
        <v>457014819</v>
      </c>
      <c r="O88" s="207">
        <f>'FY 2014'!$J82</f>
        <v>478412432</v>
      </c>
      <c r="P88" s="207">
        <f>'FY 2015'!$J82</f>
        <v>500648390</v>
      </c>
    </row>
    <row r="89" spans="1:16" x14ac:dyDescent="0.15">
      <c r="A89" s="203">
        <f t="shared" ref="A89:A100" si="28">A88+1</f>
        <v>7</v>
      </c>
      <c r="C89" s="203" t="s">
        <v>144</v>
      </c>
      <c r="D89" s="207">
        <f>'FY 2003'!I81</f>
        <v>36857227</v>
      </c>
      <c r="E89" s="207">
        <f>'FY 2004'!I81</f>
        <v>28818713</v>
      </c>
      <c r="F89" s="207">
        <f>'FY 2005'!I81</f>
        <v>29477721</v>
      </c>
      <c r="G89" s="207">
        <f>'FY 2006'!I83</f>
        <v>30912658</v>
      </c>
      <c r="H89" s="207">
        <f>'FY 2007'!I83</f>
        <v>31474254</v>
      </c>
      <c r="I89" s="207">
        <f>'FY 2008'!I83</f>
        <v>32316781</v>
      </c>
      <c r="J89" s="207">
        <f>'FY 2009'!$I86</f>
        <v>32058187</v>
      </c>
      <c r="K89" s="207">
        <f>'FY 2010'!$J85</f>
        <v>31812431</v>
      </c>
      <c r="L89" s="207">
        <f>'FY 2011'!$J83</f>
        <v>31727803</v>
      </c>
      <c r="M89" s="207">
        <f>'FY 2012'!$J83</f>
        <v>31763646</v>
      </c>
      <c r="N89" s="207">
        <f>'FY 2013'!$J83</f>
        <v>31922542</v>
      </c>
      <c r="O89" s="207">
        <f>'FY 2014'!$J83</f>
        <v>32235883</v>
      </c>
      <c r="P89" s="207">
        <f>'FY 2015'!$J83</f>
        <v>32595183</v>
      </c>
    </row>
    <row r="90" spans="1:16" x14ac:dyDescent="0.15">
      <c r="A90" s="203">
        <f t="shared" si="28"/>
        <v>8</v>
      </c>
      <c r="B90" s="208"/>
      <c r="C90" s="208" t="s">
        <v>170</v>
      </c>
      <c r="D90" s="207">
        <f>'FY 2003'!I82</f>
        <v>9779108</v>
      </c>
      <c r="E90" s="207">
        <f>'FY 2004'!I82</f>
        <v>7276758</v>
      </c>
      <c r="F90" s="207">
        <f>'FY 2005'!I82</f>
        <v>7434285</v>
      </c>
      <c r="G90" s="207">
        <f>'FY 2006'!I84</f>
        <v>7883168</v>
      </c>
      <c r="H90" s="207">
        <f>'FY 2007'!I84</f>
        <v>8057613</v>
      </c>
      <c r="I90" s="207">
        <f>'FY 2008'!I84</f>
        <v>8306508</v>
      </c>
      <c r="J90" s="207">
        <f>'FY 2009'!$I87</f>
        <v>8316835</v>
      </c>
      <c r="K90" s="207">
        <f>'FY 2010'!$J86</f>
        <v>8256617</v>
      </c>
      <c r="L90" s="207">
        <f>'FY 2011'!$J84</f>
        <v>8398467</v>
      </c>
      <c r="M90" s="207">
        <f>'FY 2012'!$J84</f>
        <v>8420986</v>
      </c>
      <c r="N90" s="207">
        <f>'FY 2013'!$J84</f>
        <v>8520070</v>
      </c>
      <c r="O90" s="207">
        <f>'FY 2014'!$J84</f>
        <v>8605364</v>
      </c>
      <c r="P90" s="207">
        <f>'FY 2015'!$J84</f>
        <v>8699484.0000000037</v>
      </c>
    </row>
    <row r="91" spans="1:16" x14ac:dyDescent="0.15">
      <c r="A91" s="203">
        <f t="shared" si="28"/>
        <v>9</v>
      </c>
      <c r="B91" s="203" t="s">
        <v>145</v>
      </c>
      <c r="D91" s="207">
        <f>'FY 2003'!I83</f>
        <v>16471551</v>
      </c>
      <c r="E91" s="207">
        <f>'FY 2004'!I83</f>
        <v>16909578</v>
      </c>
      <c r="F91" s="207">
        <f>'FY 2005'!I83</f>
        <v>17548649</v>
      </c>
      <c r="G91" s="207">
        <f>'FY 2006'!I85</f>
        <v>18853061</v>
      </c>
      <c r="H91" s="207">
        <f>'FY 2007'!I85</f>
        <v>20254233</v>
      </c>
      <c r="I91" s="207">
        <f>'FY 2008'!I85</f>
        <v>21637534</v>
      </c>
      <c r="J91" s="207">
        <f>'FY 2009'!$I88</f>
        <v>22898807.41</v>
      </c>
      <c r="K91" s="207">
        <f>'FY 2010'!$J87</f>
        <v>23367792</v>
      </c>
      <c r="L91" s="207">
        <f>'FY 2011'!$J85</f>
        <v>23450255</v>
      </c>
      <c r="M91" s="207">
        <f>'FY 2012'!$J85</f>
        <v>24120153</v>
      </c>
      <c r="N91" s="207">
        <f>'FY 2013'!$J85</f>
        <v>24365026</v>
      </c>
      <c r="O91" s="207">
        <f>'FY 2014'!$J85</f>
        <v>24718117</v>
      </c>
      <c r="P91" s="207">
        <f>'FY 2015'!$J85</f>
        <v>25112230</v>
      </c>
    </row>
    <row r="92" spans="1:16" x14ac:dyDescent="0.15">
      <c r="A92" s="203">
        <f t="shared" si="28"/>
        <v>10</v>
      </c>
      <c r="B92" s="203" t="s">
        <v>146</v>
      </c>
      <c r="D92" s="207">
        <f>'FY 2003'!I84</f>
        <v>56478364</v>
      </c>
      <c r="E92" s="207">
        <f>'FY 2004'!I84</f>
        <v>55913098</v>
      </c>
      <c r="F92" s="207">
        <f>'FY 2005'!I84</f>
        <v>55511195</v>
      </c>
      <c r="G92" s="207">
        <f>'FY 2006'!I86</f>
        <v>57332807</v>
      </c>
      <c r="H92" s="207">
        <f>'FY 2007'!I86</f>
        <v>59221788</v>
      </c>
      <c r="I92" s="207">
        <f>'FY 2008'!I86</f>
        <v>60083765</v>
      </c>
      <c r="J92" s="207">
        <f>'FY 2009'!$I89</f>
        <v>60159097.219999999</v>
      </c>
      <c r="K92" s="207">
        <f>'FY 2010'!$J88</f>
        <v>59886680</v>
      </c>
      <c r="L92" s="207">
        <f>'FY 2011'!$J86</f>
        <v>60310630</v>
      </c>
      <c r="M92" s="207">
        <f>'FY 2012'!$J86</f>
        <v>60119927</v>
      </c>
      <c r="N92" s="207">
        <f>'FY 2013'!$J86</f>
        <v>59879890</v>
      </c>
      <c r="O92" s="207">
        <f>'FY 2014'!$J86</f>
        <v>54545193</v>
      </c>
      <c r="P92" s="207">
        <f>'FY 2015'!$J86</f>
        <v>54382296</v>
      </c>
    </row>
    <row r="93" spans="1:16" x14ac:dyDescent="0.15">
      <c r="A93" s="203">
        <f t="shared" si="28"/>
        <v>11</v>
      </c>
      <c r="B93" s="203" t="s">
        <v>148</v>
      </c>
      <c r="D93" s="207">
        <f>'FY 2003'!I85</f>
        <v>25114308</v>
      </c>
      <c r="E93" s="207">
        <f>'FY 2004'!I85</f>
        <v>18869558</v>
      </c>
      <c r="F93" s="207">
        <f>'FY 2005'!I85</f>
        <v>12876818</v>
      </c>
      <c r="G93" s="207">
        <f>'FY 2006'!I87</f>
        <v>8213502</v>
      </c>
      <c r="H93" s="207">
        <f>'FY 2007'!I87</f>
        <v>4354428</v>
      </c>
      <c r="I93" s="207">
        <f>'FY 2008'!I87</f>
        <v>2146056</v>
      </c>
      <c r="J93" s="207">
        <f>'FY 2009'!$I90</f>
        <v>1207447.57</v>
      </c>
      <c r="K93" s="207">
        <f>'FY 2010'!$J89</f>
        <v>676135</v>
      </c>
      <c r="L93" s="207">
        <f>'FY 2011'!$J87</f>
        <v>372409</v>
      </c>
      <c r="M93" s="207">
        <f>'FY 2012'!$J87</f>
        <v>221683</v>
      </c>
      <c r="N93" s="207">
        <f>'FY 2013'!$J87</f>
        <v>157376</v>
      </c>
      <c r="O93" s="207">
        <f>'FY 2014'!$J87</f>
        <v>127229</v>
      </c>
      <c r="P93" s="207">
        <f>'FY 2015'!$J87</f>
        <v>102766</v>
      </c>
    </row>
    <row r="94" spans="1:16" x14ac:dyDescent="0.15">
      <c r="A94" s="203">
        <f t="shared" si="28"/>
        <v>12</v>
      </c>
      <c r="B94" s="208" t="s">
        <v>244</v>
      </c>
      <c r="D94" s="207">
        <f>'FY 2003'!I86</f>
        <v>0</v>
      </c>
      <c r="E94" s="207">
        <f>'FY 2004'!I86</f>
        <v>0</v>
      </c>
      <c r="F94" s="207">
        <f>'FY 2005'!I86</f>
        <v>0</v>
      </c>
      <c r="G94" s="207">
        <f>'FY 2006'!I88</f>
        <v>-344932</v>
      </c>
      <c r="H94" s="207">
        <f>'FY 2007'!I88</f>
        <v>0</v>
      </c>
      <c r="I94" s="207">
        <f>'FY 2008'!I88</f>
        <v>-730496</v>
      </c>
      <c r="J94" s="207">
        <f>'FY 2009'!$I91</f>
        <v>0</v>
      </c>
      <c r="K94" s="207">
        <f>'FY 2010'!$J90</f>
        <v>-2505728</v>
      </c>
      <c r="L94" s="207">
        <f>'FY 2011'!$J88</f>
        <v>0</v>
      </c>
      <c r="M94" s="207">
        <f>'FY 2012'!$J88</f>
        <v>-700000</v>
      </c>
      <c r="N94" s="207">
        <f>'FY 2013'!$J88</f>
        <v>0</v>
      </c>
      <c r="O94" s="207">
        <f>'FY 2014'!$J88</f>
        <v>-700000</v>
      </c>
      <c r="P94" s="207">
        <f>'FY 2015'!$J88</f>
        <v>0</v>
      </c>
    </row>
    <row r="95" spans="1:16" x14ac:dyDescent="0.15">
      <c r="A95" s="203">
        <f t="shared" si="28"/>
        <v>13</v>
      </c>
      <c r="B95" s="208" t="s">
        <v>360</v>
      </c>
      <c r="D95" s="207"/>
      <c r="E95" s="207"/>
      <c r="F95" s="207"/>
      <c r="G95" s="207"/>
      <c r="H95" s="207">
        <v>0</v>
      </c>
      <c r="I95" s="207">
        <v>0</v>
      </c>
      <c r="J95" s="207">
        <v>0</v>
      </c>
      <c r="K95" s="207">
        <f>'FY 2010'!$J91</f>
        <v>-500000000</v>
      </c>
      <c r="L95" s="207">
        <v>0</v>
      </c>
      <c r="M95" s="207">
        <v>0</v>
      </c>
      <c r="N95" s="207">
        <v>0</v>
      </c>
      <c r="O95" s="207">
        <v>0</v>
      </c>
      <c r="P95" s="207">
        <v>0</v>
      </c>
    </row>
    <row r="96" spans="1:16" x14ac:dyDescent="0.15">
      <c r="A96" s="203">
        <f t="shared" si="28"/>
        <v>14</v>
      </c>
      <c r="B96" s="203" t="s">
        <v>147</v>
      </c>
      <c r="D96" s="207">
        <f>'FY 2003'!I87</f>
        <v>198438434</v>
      </c>
      <c r="E96" s="207">
        <f>'FY 2004'!I87</f>
        <v>194217096</v>
      </c>
      <c r="F96" s="207">
        <f>'FY 2005'!I87</f>
        <v>193697081</v>
      </c>
      <c r="G96" s="207">
        <f>'FY 2006'!I89</f>
        <v>194018388</v>
      </c>
      <c r="H96" s="207">
        <f>'FY 2007'!I89</f>
        <v>194117024</v>
      </c>
      <c r="I96" s="207">
        <f>'FY 2008'!I89</f>
        <v>194635565</v>
      </c>
      <c r="J96" s="207">
        <f>'FY 2009'!$I92</f>
        <v>194299107.03</v>
      </c>
      <c r="K96" s="207">
        <f>'FY 2010'!$J92</f>
        <v>194556865</v>
      </c>
      <c r="L96" s="207">
        <f>'FY 2011'!$J89</f>
        <v>194883547</v>
      </c>
      <c r="M96" s="207">
        <f>'FY 2012'!$J89</f>
        <v>195614651</v>
      </c>
      <c r="N96" s="207">
        <f>'FY 2013'!$J89</f>
        <v>197226538</v>
      </c>
      <c r="O96" s="207">
        <f>'FY 2014'!$J89</f>
        <v>199264643</v>
      </c>
      <c r="P96" s="207">
        <f>'FY 2015'!$J89</f>
        <v>201474978</v>
      </c>
    </row>
    <row r="97" spans="1:16" x14ac:dyDescent="0.15">
      <c r="A97" s="203">
        <f t="shared" si="28"/>
        <v>15</v>
      </c>
      <c r="B97" s="203" t="s">
        <v>149</v>
      </c>
      <c r="D97" s="207">
        <f>'FY 2003'!I88</f>
        <v>34642490</v>
      </c>
      <c r="E97" s="207">
        <f>'FY 2004'!I88</f>
        <v>32112369</v>
      </c>
      <c r="F97" s="207">
        <f>'FY 2005'!I88</f>
        <v>41731237</v>
      </c>
      <c r="G97" s="207">
        <f>'FY 2006'!I90</f>
        <v>50999434</v>
      </c>
      <c r="H97" s="207">
        <f>'FY 2007'!I90</f>
        <v>94274069</v>
      </c>
      <c r="I97" s="207">
        <f>'FY 2008'!I90</f>
        <v>95708805</v>
      </c>
      <c r="J97" s="207">
        <f>'FY 2009'!$I93</f>
        <v>93361990.019999996</v>
      </c>
      <c r="K97" s="207">
        <f>'FY 2010'!$J93</f>
        <v>92597190</v>
      </c>
      <c r="L97" s="207">
        <f>'FY 2011'!$J90</f>
        <v>92389473</v>
      </c>
      <c r="M97" s="207">
        <f>'FY 2012'!$J90</f>
        <v>94004026</v>
      </c>
      <c r="N97" s="207">
        <f>'FY 2013'!$J90</f>
        <v>94785794</v>
      </c>
      <c r="O97" s="207">
        <f>'FY 2014'!$J90</f>
        <v>95424221</v>
      </c>
      <c r="P97" s="207">
        <f>'FY 2015'!$J90</f>
        <v>97120793</v>
      </c>
    </row>
    <row r="98" spans="1:16" x14ac:dyDescent="0.15">
      <c r="A98" s="203">
        <f t="shared" si="28"/>
        <v>16</v>
      </c>
      <c r="B98" s="208" t="s">
        <v>173</v>
      </c>
      <c r="D98" s="207">
        <f>'FY 2003'!I89</f>
        <v>0</v>
      </c>
      <c r="E98" s="207">
        <f>'FY 2004'!I89</f>
        <v>31986524</v>
      </c>
      <c r="F98" s="207">
        <f>'FY 2005'!I89</f>
        <v>31326609</v>
      </c>
      <c r="G98" s="207">
        <f>'FY 2006'!I91</f>
        <v>31033742</v>
      </c>
      <c r="H98" s="207">
        <f>'FY 2007'!I91</f>
        <v>30462514</v>
      </c>
      <c r="I98" s="207">
        <f>'FY 2008'!I91</f>
        <v>30143318</v>
      </c>
      <c r="J98" s="207">
        <f>'FY 2009'!$I94</f>
        <v>29711997.400000002</v>
      </c>
      <c r="K98" s="207">
        <f>'FY 2010'!$J94</f>
        <v>29474077</v>
      </c>
      <c r="L98" s="207">
        <f>'FY 2011'!$J91</f>
        <v>29230926</v>
      </c>
      <c r="M98" s="207">
        <f>'FY 2012'!$J91</f>
        <v>29122829</v>
      </c>
      <c r="N98" s="207">
        <f>'FY 2013'!$J91</f>
        <v>29417364</v>
      </c>
      <c r="O98" s="207">
        <f>'FY 2014'!$J91</f>
        <v>29971862</v>
      </c>
      <c r="P98" s="207">
        <f>'FY 2015'!$J91</f>
        <v>30488402</v>
      </c>
    </row>
    <row r="99" spans="1:16" x14ac:dyDescent="0.15">
      <c r="A99" s="203">
        <f t="shared" si="28"/>
        <v>17</v>
      </c>
      <c r="B99" s="208" t="s">
        <v>168</v>
      </c>
      <c r="C99" s="208"/>
      <c r="D99" s="207">
        <f>'FY 2003'!I90</f>
        <v>0</v>
      </c>
      <c r="E99" s="207">
        <f>'FY 2004'!I90</f>
        <v>0</v>
      </c>
      <c r="F99" s="207">
        <f>'FY 2005'!I90</f>
        <v>0</v>
      </c>
      <c r="G99" s="207">
        <f>'FY 2006'!I92</f>
        <v>16348850</v>
      </c>
      <c r="H99" s="207">
        <f>'FY 2007'!I92</f>
        <v>48603714</v>
      </c>
      <c r="I99" s="207">
        <f>'FY 2008'!I92</f>
        <v>60763648</v>
      </c>
      <c r="J99" s="207">
        <f>'FY 2009'!$I95</f>
        <v>63348360.07</v>
      </c>
      <c r="K99" s="207">
        <f>'FY 2010'!$J95</f>
        <v>58293197</v>
      </c>
      <c r="L99" s="207">
        <f>'FY 2011'!$J92</f>
        <v>64869028</v>
      </c>
      <c r="M99" s="207">
        <f>'FY 2012'!$J92</f>
        <v>79865157</v>
      </c>
      <c r="N99" s="207">
        <f>'FY 2013'!$J92</f>
        <v>82648038</v>
      </c>
      <c r="O99" s="207">
        <f>'FY 2014'!$J92</f>
        <v>84427081</v>
      </c>
      <c r="P99" s="207">
        <f>'FY 2015'!$J92</f>
        <v>86325972</v>
      </c>
    </row>
    <row r="100" spans="1:16" x14ac:dyDescent="0.15">
      <c r="A100" s="203">
        <f t="shared" si="28"/>
        <v>18</v>
      </c>
      <c r="B100" s="203" t="s">
        <v>150</v>
      </c>
      <c r="D100" s="207">
        <f>'FY 2003'!I91</f>
        <v>291708358</v>
      </c>
      <c r="E100" s="207">
        <f>'FY 2004'!I91</f>
        <v>426336542</v>
      </c>
      <c r="F100" s="207">
        <f>'FY 2005'!I91</f>
        <v>504721085</v>
      </c>
      <c r="G100" s="207">
        <f>'FY 2006'!I93</f>
        <v>534314512</v>
      </c>
      <c r="H100" s="207">
        <f>'FY 2007'!I93</f>
        <v>598966155</v>
      </c>
      <c r="I100" s="207">
        <f>'FY 2008'!I93</f>
        <v>644192179</v>
      </c>
      <c r="J100" s="207">
        <f>'FY 2009'!$I96</f>
        <v>720567181.45000005</v>
      </c>
      <c r="K100" s="207">
        <f>'FY 2010'!$J96</f>
        <v>782245992</v>
      </c>
      <c r="L100" s="207">
        <f>'FY 2011'!$J93</f>
        <v>805394833</v>
      </c>
      <c r="M100" s="207">
        <f>'FY 2012'!$J93</f>
        <v>822570396</v>
      </c>
      <c r="N100" s="207">
        <f>'FY 2013'!$J93</f>
        <v>895199708</v>
      </c>
      <c r="O100" s="207">
        <f>'FY 2014'!$J93</f>
        <v>945763982</v>
      </c>
      <c r="P100" s="207">
        <f>'FY 2015'!$J93</f>
        <v>1016465502</v>
      </c>
    </row>
    <row r="101" spans="1:16" x14ac:dyDescent="0.15">
      <c r="B101" s="208" t="s">
        <v>172</v>
      </c>
      <c r="D101" s="207"/>
      <c r="E101" s="207"/>
      <c r="F101" s="207"/>
      <c r="G101" s="207"/>
      <c r="H101" s="207"/>
      <c r="I101" s="207"/>
      <c r="J101" s="207"/>
      <c r="K101" s="207"/>
      <c r="L101" s="207"/>
      <c r="M101" s="207"/>
      <c r="N101" s="207"/>
      <c r="O101" s="207"/>
      <c r="P101" s="207"/>
    </row>
    <row r="102" spans="1:16" x14ac:dyDescent="0.15">
      <c r="A102" s="203">
        <f>A100+1</f>
        <v>19</v>
      </c>
      <c r="B102" s="208"/>
      <c r="C102" s="208" t="s">
        <v>175</v>
      </c>
      <c r="D102" s="207">
        <f>'FY 2003'!I93</f>
        <v>1341221</v>
      </c>
      <c r="E102" s="207">
        <f>'FY 2004'!I93</f>
        <v>-679857</v>
      </c>
      <c r="F102" s="207">
        <f>'FY 2005'!I93</f>
        <v>-1089963.94</v>
      </c>
      <c r="G102" s="207">
        <f>'FY 2006'!I95</f>
        <v>-895441.79</v>
      </c>
      <c r="H102" s="207">
        <f>'FY 2007'!I95</f>
        <v>-885672</v>
      </c>
      <c r="I102" s="207">
        <f>'FY 2008'!I95</f>
        <v>-181964</v>
      </c>
      <c r="J102" s="207">
        <f>'FY 2009'!$I98</f>
        <v>262096</v>
      </c>
      <c r="K102" s="207">
        <f>'FY 2010'!$J98</f>
        <v>623081</v>
      </c>
      <c r="L102" s="207">
        <f>'FY 2011'!$J95</f>
        <v>752179</v>
      </c>
      <c r="M102" s="207">
        <f>'FY 2012'!$J95</f>
        <v>523272</v>
      </c>
      <c r="N102" s="207">
        <f>'FY 2013'!$J95</f>
        <v>7554</v>
      </c>
      <c r="O102" s="207">
        <f>'FY 2014'!$J95</f>
        <v>-212305</v>
      </c>
      <c r="P102" s="207">
        <f>'FY 2015'!$J95</f>
        <v>-371775</v>
      </c>
    </row>
    <row r="103" spans="1:16" x14ac:dyDescent="0.15">
      <c r="A103" s="203">
        <f>A102+1</f>
        <v>20</v>
      </c>
      <c r="B103" s="208"/>
      <c r="C103" s="208" t="s">
        <v>182</v>
      </c>
      <c r="D103" s="207">
        <f>'FY 2003'!I94</f>
        <v>-1804253</v>
      </c>
      <c r="E103" s="207">
        <f>'FY 2004'!I94</f>
        <v>1059</v>
      </c>
      <c r="F103" s="207">
        <f>'FY 2005'!I94</f>
        <v>0</v>
      </c>
      <c r="G103" s="207">
        <f>'FY 2006'!I96</f>
        <v>0.43999999994412065</v>
      </c>
      <c r="H103" s="207">
        <f>'FY 2007'!I96</f>
        <v>0</v>
      </c>
      <c r="I103" s="207">
        <f>'FY 2008'!I96</f>
        <v>0</v>
      </c>
      <c r="J103" s="207">
        <f>'FY 2009'!$I99</f>
        <v>-9.9999995436519384E-3</v>
      </c>
      <c r="K103" s="207">
        <f>'FY 2010'!$J99</f>
        <v>1</v>
      </c>
      <c r="L103" s="207">
        <f>'FY 2011'!$J96</f>
        <v>15735</v>
      </c>
      <c r="M103" s="207">
        <f>'FY 2012'!$J96</f>
        <v>-703</v>
      </c>
      <c r="N103" s="207">
        <f>'FY 2013'!$J96</f>
        <v>-466</v>
      </c>
      <c r="O103" s="207">
        <f>'FY 2014'!$J96</f>
        <v>-375</v>
      </c>
      <c r="P103" s="207">
        <f>'FY 2015'!$J96</f>
        <v>-375</v>
      </c>
    </row>
    <row r="104" spans="1:16" x14ac:dyDescent="0.15">
      <c r="A104" s="203">
        <f>A103+1</f>
        <v>21</v>
      </c>
      <c r="B104" s="208"/>
      <c r="C104" s="208" t="s">
        <v>201</v>
      </c>
      <c r="D104" s="207">
        <f>'FY 2003'!I95</f>
        <v>0</v>
      </c>
      <c r="E104" s="207">
        <f>'FY 2004'!I95</f>
        <v>0</v>
      </c>
      <c r="F104" s="207">
        <f>'FY 2005'!I95</f>
        <v>0</v>
      </c>
      <c r="G104" s="207">
        <f>'FY 2006'!I97</f>
        <v>-0.18000000000029104</v>
      </c>
      <c r="H104" s="207">
        <f>'FY 2007'!I97</f>
        <v>0</v>
      </c>
      <c r="I104" s="207">
        <f>'FY 2008'!I97</f>
        <v>0</v>
      </c>
      <c r="J104" s="207">
        <f>'FY 2009'!$I100</f>
        <v>0</v>
      </c>
      <c r="K104" s="207">
        <f>'FY 2010'!$J100</f>
        <v>0</v>
      </c>
      <c r="L104" s="207">
        <f>'FY 2011'!$J97</f>
        <v>0</v>
      </c>
      <c r="M104" s="207">
        <f>'FY 2012'!$J97</f>
        <v>0</v>
      </c>
      <c r="N104" s="207">
        <f>'FY 2013'!$J97</f>
        <v>0</v>
      </c>
      <c r="O104" s="207">
        <f>'FY 2014'!$J97</f>
        <v>0</v>
      </c>
      <c r="P104" s="207">
        <f>'FY 2015'!$J97</f>
        <v>0</v>
      </c>
    </row>
    <row r="105" spans="1:16" x14ac:dyDescent="0.15">
      <c r="A105" s="203">
        <f>A104+1</f>
        <v>22</v>
      </c>
      <c r="B105" s="208"/>
      <c r="C105" s="208" t="s">
        <v>183</v>
      </c>
      <c r="D105" s="207">
        <f>'FY 2003'!I96</f>
        <v>0</v>
      </c>
      <c r="E105" s="207">
        <f>'FY 2004'!I96</f>
        <v>0</v>
      </c>
      <c r="F105" s="207">
        <f>'FY 2005'!I96</f>
        <v>0</v>
      </c>
      <c r="G105" s="207">
        <f>'FY 2006'!I98</f>
        <v>0.44000000000232831</v>
      </c>
      <c r="H105" s="207">
        <f>'FY 2007'!I98</f>
        <v>0</v>
      </c>
      <c r="I105" s="207">
        <f>'FY 2008'!I98</f>
        <v>0</v>
      </c>
      <c r="J105" s="207">
        <f>'FY 2009'!$I101</f>
        <v>-1.0000000009313226E-2</v>
      </c>
      <c r="K105" s="207">
        <f>'FY 2010'!$J101</f>
        <v>4</v>
      </c>
      <c r="L105" s="207">
        <f>'FY 2011'!$J98</f>
        <v>-890</v>
      </c>
      <c r="M105" s="207">
        <f>'FY 2012'!$J98</f>
        <v>20619</v>
      </c>
      <c r="N105" s="207">
        <f>'FY 2013'!$J98</f>
        <v>35506</v>
      </c>
      <c r="O105" s="207">
        <f>'FY 2014'!$J98</f>
        <v>9736</v>
      </c>
      <c r="P105" s="207">
        <f>'FY 2015'!$J98</f>
        <v>13239</v>
      </c>
    </row>
    <row r="106" spans="1:16" x14ac:dyDescent="0.15">
      <c r="A106" s="203">
        <f>A105+1</f>
        <v>23</v>
      </c>
      <c r="B106" s="208"/>
      <c r="C106" s="208" t="s">
        <v>251</v>
      </c>
      <c r="D106" s="207">
        <v>0</v>
      </c>
      <c r="E106" s="207">
        <v>0</v>
      </c>
      <c r="F106" s="207">
        <v>0</v>
      </c>
      <c r="G106" s="207">
        <f>'FY 2006'!I99</f>
        <v>0</v>
      </c>
      <c r="H106" s="207">
        <f>'FY 2007'!$I99</f>
        <v>-398</v>
      </c>
      <c r="I106" s="207">
        <f>'FY 2008'!$I99</f>
        <v>-355.17999999946915</v>
      </c>
      <c r="J106" s="207">
        <f>'FY 2009'!$I102</f>
        <v>-461.16000000014901</v>
      </c>
      <c r="K106" s="207">
        <f>'FY 2010'!$J102</f>
        <v>54640</v>
      </c>
      <c r="L106" s="207">
        <f>'FY 2011'!$J99</f>
        <v>-196</v>
      </c>
      <c r="M106" s="207">
        <f>'FY 2012'!$J99</f>
        <v>-196</v>
      </c>
      <c r="N106" s="207">
        <f>'FY 2013'!$J99</f>
        <v>-196</v>
      </c>
      <c r="O106" s="207">
        <f>'FY 2014'!$J99</f>
        <v>-196</v>
      </c>
      <c r="P106" s="207">
        <f>'FY 2015'!$J99</f>
        <v>-196</v>
      </c>
    </row>
    <row r="107" spans="1:16" x14ac:dyDescent="0.15"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</row>
    <row r="108" spans="1:16" x14ac:dyDescent="0.15">
      <c r="A108" s="203">
        <f>A106+1</f>
        <v>24</v>
      </c>
      <c r="B108" s="208" t="s">
        <v>158</v>
      </c>
      <c r="D108" s="207">
        <f>SUM(D83:D105)</f>
        <v>5421781814</v>
      </c>
      <c r="E108" s="207">
        <f>SUM(E83:E105)</f>
        <v>5514835219</v>
      </c>
      <c r="F108" s="207">
        <f t="shared" ref="F108:L108" si="29">SUM(F83:F106)</f>
        <v>5595610423.9800005</v>
      </c>
      <c r="G108" s="207">
        <f t="shared" si="29"/>
        <v>5856179300.9099989</v>
      </c>
      <c r="H108" s="207">
        <f t="shared" si="29"/>
        <v>6210065143</v>
      </c>
      <c r="I108" s="207">
        <f t="shared" si="29"/>
        <v>6391705934.8199997</v>
      </c>
      <c r="J108" s="207">
        <f t="shared" si="29"/>
        <v>6556032834.8199978</v>
      </c>
      <c r="K108" s="207">
        <f>SUM(K83:K106)</f>
        <v>6073672850</v>
      </c>
      <c r="L108" s="207">
        <f t="shared" si="29"/>
        <v>6671598496</v>
      </c>
      <c r="M108" s="207">
        <f>SUM(M83:M106)</f>
        <v>6750880174</v>
      </c>
      <c r="N108" s="207">
        <f>SUM(N83:N106)</f>
        <v>6894068865</v>
      </c>
      <c r="O108" s="207">
        <f>SUM(O83:O106)</f>
        <v>7021223824</v>
      </c>
      <c r="P108" s="207">
        <f>SUM(P83:P106)</f>
        <v>7181784873</v>
      </c>
    </row>
    <row r="109" spans="1:16" x14ac:dyDescent="0.15">
      <c r="D109" s="207"/>
      <c r="E109" s="207"/>
      <c r="F109" s="209"/>
      <c r="G109" s="207"/>
      <c r="H109" s="207"/>
      <c r="I109" s="207"/>
      <c r="J109" s="207"/>
      <c r="K109" s="207"/>
      <c r="L109" s="207"/>
      <c r="M109" s="207"/>
      <c r="N109" s="207"/>
      <c r="O109" s="207"/>
      <c r="P109" s="207"/>
    </row>
    <row r="110" spans="1:16" x14ac:dyDescent="0.15">
      <c r="B110" s="208" t="s">
        <v>156</v>
      </c>
      <c r="C110" s="208"/>
      <c r="D110" s="207"/>
      <c r="E110" s="207"/>
      <c r="F110" s="207"/>
      <c r="G110" s="207"/>
      <c r="H110" s="207"/>
      <c r="I110" s="207"/>
      <c r="J110" s="207"/>
      <c r="K110" s="207"/>
      <c r="L110" s="207"/>
      <c r="M110" s="207"/>
      <c r="N110" s="207"/>
      <c r="O110" s="207"/>
      <c r="P110" s="207"/>
    </row>
    <row r="111" spans="1:16" x14ac:dyDescent="0.15">
      <c r="A111" s="203">
        <f>A108+1</f>
        <v>25</v>
      </c>
      <c r="B111" s="203" t="s">
        <v>153</v>
      </c>
      <c r="D111" s="207">
        <f>'FY 2003'!I101</f>
        <v>0</v>
      </c>
      <c r="E111" s="207">
        <f>'FY 2004'!I101</f>
        <v>0</v>
      </c>
      <c r="F111" s="207">
        <f>'FY 2005'!I101</f>
        <v>40007254</v>
      </c>
      <c r="G111" s="207">
        <f>'FY 2006'!I104</f>
        <v>44268155</v>
      </c>
      <c r="H111" s="207">
        <f>'FY 2007'!I104</f>
        <v>101934454</v>
      </c>
      <c r="I111" s="207">
        <f>'FY 2008'!I104</f>
        <v>111830374</v>
      </c>
      <c r="J111" s="207">
        <f>'FY 2009'!$I107</f>
        <v>121253039.75</v>
      </c>
      <c r="K111" s="207">
        <f>'FY 2010'!$J107</f>
        <v>124372672</v>
      </c>
      <c r="L111" s="207">
        <f>'FY 2011'!$J104</f>
        <v>124597747</v>
      </c>
      <c r="M111" s="207">
        <f>'FY 2012'!$J104</f>
        <v>119995993</v>
      </c>
      <c r="N111" s="207">
        <f>'FY 2013'!$J104</f>
        <v>117136021</v>
      </c>
      <c r="O111" s="207">
        <f>'FY 2014'!$J104</f>
        <v>117326405</v>
      </c>
      <c r="P111" s="207">
        <f>'FY 2015'!$J104</f>
        <v>118314714</v>
      </c>
    </row>
    <row r="112" spans="1:16" x14ac:dyDescent="0.15">
      <c r="A112" s="203">
        <f>A111+1</f>
        <v>26</v>
      </c>
      <c r="B112" s="203" t="s">
        <v>152</v>
      </c>
      <c r="D112" s="207">
        <f>'FY 2003'!I102</f>
        <v>0</v>
      </c>
      <c r="E112" s="207">
        <f>'FY 2004'!I102</f>
        <v>0</v>
      </c>
      <c r="F112" s="207">
        <f>'FY 2005'!I102</f>
        <v>22380297</v>
      </c>
      <c r="G112" s="207">
        <f>'FY 2006'!I105</f>
        <v>25083314</v>
      </c>
      <c r="H112" s="207">
        <f>'FY 2007'!I105</f>
        <v>63740065</v>
      </c>
      <c r="I112" s="207">
        <f>'FY 2008'!I105</f>
        <v>70604296</v>
      </c>
      <c r="J112" s="207">
        <f>'FY 2009'!$I108</f>
        <v>73701614.290000007</v>
      </c>
      <c r="K112" s="207">
        <f>'FY 2010'!$J108</f>
        <v>75869421</v>
      </c>
      <c r="L112" s="207">
        <f>'FY 2011'!$J105</f>
        <v>76264279</v>
      </c>
      <c r="M112" s="207">
        <f>'FY 2012'!$J105</f>
        <v>75800227</v>
      </c>
      <c r="N112" s="207">
        <f>'FY 2013'!$J105</f>
        <v>73781262</v>
      </c>
      <c r="O112" s="207">
        <f>'FY 2014'!$J105</f>
        <v>73269758</v>
      </c>
      <c r="P112" s="207">
        <f>'FY 2015'!$J105</f>
        <v>74124161</v>
      </c>
    </row>
    <row r="113" spans="1:16" x14ac:dyDescent="0.15">
      <c r="A113" s="203">
        <f>A112+1</f>
        <v>27</v>
      </c>
      <c r="B113" s="208" t="s">
        <v>174</v>
      </c>
      <c r="D113" s="207">
        <f>'FY 2003'!I103</f>
        <v>0</v>
      </c>
      <c r="E113" s="207">
        <f>'FY 2004'!I103</f>
        <v>0</v>
      </c>
      <c r="F113" s="207">
        <f>'FY 2005'!I103</f>
        <v>18540609</v>
      </c>
      <c r="G113" s="207">
        <f>'FY 2006'!I106</f>
        <v>20383544</v>
      </c>
      <c r="H113" s="207">
        <f>'FY 2007'!I106</f>
        <v>21830489</v>
      </c>
      <c r="I113" s="207">
        <f>'FY 2008'!I106</f>
        <v>23010395</v>
      </c>
      <c r="J113" s="207">
        <f>'FY 2009'!$I109</f>
        <v>24292896.73</v>
      </c>
      <c r="K113" s="207">
        <f>'FY 2010'!$J109</f>
        <v>25223249</v>
      </c>
      <c r="L113" s="207">
        <f>'FY 2011'!$J106</f>
        <v>25220381</v>
      </c>
      <c r="M113" s="207">
        <f>'FY 2012'!$J106</f>
        <v>24544379</v>
      </c>
      <c r="N113" s="207">
        <f>'FY 2013'!$J106</f>
        <v>23904838</v>
      </c>
      <c r="O113" s="207">
        <f>'FY 2014'!$J106</f>
        <v>24071979</v>
      </c>
      <c r="P113" s="207">
        <f>'FY 2015'!$J106</f>
        <v>24361982</v>
      </c>
    </row>
    <row r="114" spans="1:16" x14ac:dyDescent="0.15">
      <c r="A114" s="203">
        <f>A113+1</f>
        <v>28</v>
      </c>
      <c r="B114" s="208" t="s">
        <v>168</v>
      </c>
      <c r="C114" s="208"/>
      <c r="D114" s="207">
        <f>'FY 2003'!I104</f>
        <v>0</v>
      </c>
      <c r="E114" s="207">
        <f>'FY 2004'!I104</f>
        <v>0</v>
      </c>
      <c r="F114" s="207">
        <f>'FY 2005'!I104</f>
        <v>0</v>
      </c>
      <c r="G114" s="207">
        <f>'FY 2006'!I107</f>
        <v>0</v>
      </c>
      <c r="H114" s="207">
        <f>'FY 2007'!I107</f>
        <v>9695468</v>
      </c>
      <c r="I114" s="207">
        <f>'FY 2008'!I107</f>
        <v>12779741</v>
      </c>
      <c r="J114" s="207">
        <f>'FY 2009'!$I110</f>
        <v>13353371.300000001</v>
      </c>
      <c r="K114" s="207">
        <f>'FY 2010'!$J110</f>
        <v>16808313</v>
      </c>
      <c r="L114" s="207">
        <f>'FY 2011'!$J107</f>
        <v>18764129</v>
      </c>
      <c r="M114" s="207">
        <f>'FY 2012'!$J107</f>
        <v>23054916</v>
      </c>
      <c r="N114" s="207">
        <f>'FY 2013'!$J107</f>
        <v>23061489</v>
      </c>
      <c r="O114" s="207">
        <f>'FY 2014'!$J107</f>
        <v>23474200</v>
      </c>
      <c r="P114" s="207">
        <f>'FY 2015'!$J107</f>
        <v>23994024</v>
      </c>
    </row>
    <row r="115" spans="1:16" x14ac:dyDescent="0.15">
      <c r="A115" s="203">
        <f>A114+1</f>
        <v>29</v>
      </c>
      <c r="B115" s="203" t="s">
        <v>154</v>
      </c>
      <c r="D115" s="207">
        <f>'FY 2003'!I105</f>
        <v>224945858</v>
      </c>
      <c r="E115" s="207">
        <f>'FY 2004'!I105</f>
        <v>351087875</v>
      </c>
      <c r="F115" s="207">
        <f>'FY 2005'!I105</f>
        <v>379954471</v>
      </c>
      <c r="G115" s="207">
        <f>'FY 2006'!I108</f>
        <v>410867894</v>
      </c>
      <c r="H115" s="207">
        <f>'FY 2007'!I108</f>
        <v>482421730</v>
      </c>
      <c r="I115" s="207">
        <f>'FY 2008'!I108</f>
        <v>540184289</v>
      </c>
      <c r="J115" s="207">
        <f>'FY 2009'!$I111</f>
        <v>635333526.83000004</v>
      </c>
      <c r="K115" s="207">
        <f>'FY 2010'!$J111</f>
        <v>712846777</v>
      </c>
      <c r="L115" s="207">
        <f>'FY 2011'!$J108</f>
        <v>738357903</v>
      </c>
      <c r="M115" s="207">
        <f>'FY 2012'!$J108</f>
        <v>745759060</v>
      </c>
      <c r="N115" s="207">
        <f>'FY 2013'!$J108</f>
        <v>802617290</v>
      </c>
      <c r="O115" s="207">
        <f>'FY 2014'!$J108</f>
        <v>847746647</v>
      </c>
      <c r="P115" s="207">
        <f>'FY 2015'!$J108</f>
        <v>914711468</v>
      </c>
    </row>
    <row r="116" spans="1:16" x14ac:dyDescent="0.15">
      <c r="D116" s="207"/>
      <c r="E116" s="207"/>
      <c r="F116" s="207"/>
      <c r="G116" s="207"/>
      <c r="H116" s="207"/>
      <c r="I116" s="207"/>
      <c r="J116" s="207"/>
      <c r="K116" s="207"/>
      <c r="L116" s="207"/>
      <c r="M116" s="207"/>
      <c r="N116" s="207"/>
      <c r="O116" s="207"/>
      <c r="P116" s="207"/>
    </row>
    <row r="117" spans="1:16" x14ac:dyDescent="0.15">
      <c r="A117" s="203">
        <f>A115+1</f>
        <v>30</v>
      </c>
      <c r="B117" s="208" t="s">
        <v>159</v>
      </c>
      <c r="C117" s="208"/>
      <c r="D117" s="207">
        <f t="shared" ref="D117:J117" si="30">SUM(D111:D115)</f>
        <v>224945858</v>
      </c>
      <c r="E117" s="207">
        <f t="shared" si="30"/>
        <v>351087875</v>
      </c>
      <c r="F117" s="207">
        <f t="shared" si="30"/>
        <v>460882631</v>
      </c>
      <c r="G117" s="207">
        <f t="shared" si="30"/>
        <v>500602907</v>
      </c>
      <c r="H117" s="207">
        <f t="shared" si="30"/>
        <v>679622206</v>
      </c>
      <c r="I117" s="207">
        <f t="shared" si="30"/>
        <v>758409095</v>
      </c>
      <c r="J117" s="207">
        <f t="shared" si="30"/>
        <v>867934448.9000001</v>
      </c>
      <c r="K117" s="207">
        <f t="shared" ref="K117:P117" si="31">SUM(K111:K115)</f>
        <v>955120432</v>
      </c>
      <c r="L117" s="207">
        <f t="shared" si="31"/>
        <v>983204439</v>
      </c>
      <c r="M117" s="207">
        <f t="shared" si="31"/>
        <v>989154575</v>
      </c>
      <c r="N117" s="207">
        <f t="shared" si="31"/>
        <v>1040500900</v>
      </c>
      <c r="O117" s="207">
        <f t="shared" si="31"/>
        <v>1085888989</v>
      </c>
      <c r="P117" s="207">
        <f t="shared" si="31"/>
        <v>1155506349</v>
      </c>
    </row>
    <row r="118" spans="1:16" x14ac:dyDescent="0.15">
      <c r="B118" s="208"/>
      <c r="C118" s="208"/>
      <c r="D118" s="207"/>
      <c r="E118" s="207"/>
      <c r="F118" s="207"/>
      <c r="G118" s="207"/>
      <c r="H118" s="207"/>
      <c r="I118" s="207"/>
      <c r="J118" s="207"/>
      <c r="K118" s="207"/>
      <c r="L118" s="207"/>
      <c r="M118" s="207"/>
      <c r="N118" s="207"/>
      <c r="O118" s="207"/>
      <c r="P118" s="207"/>
    </row>
    <row r="119" spans="1:16" x14ac:dyDescent="0.15">
      <c r="B119" s="208" t="s">
        <v>157</v>
      </c>
      <c r="C119" s="208"/>
      <c r="D119" s="207"/>
      <c r="E119" s="207"/>
      <c r="F119" s="207"/>
      <c r="G119" s="207"/>
      <c r="H119" s="207"/>
      <c r="I119" s="207"/>
      <c r="J119" s="207"/>
      <c r="K119" s="207"/>
      <c r="L119" s="207"/>
      <c r="M119" s="207"/>
      <c r="N119" s="207"/>
      <c r="O119" s="207"/>
      <c r="P119" s="207"/>
    </row>
    <row r="120" spans="1:16" x14ac:dyDescent="0.15">
      <c r="A120" s="203">
        <f>A117+1</f>
        <v>31</v>
      </c>
      <c r="B120" s="203" t="s">
        <v>141</v>
      </c>
      <c r="D120" s="207">
        <f t="shared" ref="D120:J120" si="32">D83</f>
        <v>4490060320</v>
      </c>
      <c r="E120" s="207">
        <f t="shared" si="32"/>
        <v>4403575277</v>
      </c>
      <c r="F120" s="207">
        <f t="shared" si="32"/>
        <v>4384973848</v>
      </c>
      <c r="G120" s="207">
        <f t="shared" si="32"/>
        <v>4558383720</v>
      </c>
      <c r="H120" s="207">
        <f t="shared" si="32"/>
        <v>4741676895</v>
      </c>
      <c r="I120" s="207">
        <f t="shared" si="32"/>
        <v>4837724471</v>
      </c>
      <c r="J120" s="207">
        <f t="shared" si="32"/>
        <v>4860574698.8399992</v>
      </c>
      <c r="K120" s="207">
        <f t="shared" ref="K120:P120" si="33">K83</f>
        <v>4857031966</v>
      </c>
      <c r="L120" s="207">
        <f t="shared" si="33"/>
        <v>4864927024</v>
      </c>
      <c r="M120" s="207">
        <f t="shared" si="33"/>
        <v>4884153655</v>
      </c>
      <c r="N120" s="207">
        <f t="shared" si="33"/>
        <v>4925154001</v>
      </c>
      <c r="O120" s="207">
        <f t="shared" si="33"/>
        <v>4976401793</v>
      </c>
      <c r="P120" s="207">
        <f t="shared" si="33"/>
        <v>5031822360</v>
      </c>
    </row>
    <row r="121" spans="1:16" x14ac:dyDescent="0.15">
      <c r="A121" s="203">
        <f>A120+1</f>
        <v>32</v>
      </c>
      <c r="B121" s="208" t="s">
        <v>299</v>
      </c>
      <c r="D121" s="207">
        <f t="shared" ref="D121:L122" si="34">D84</f>
        <v>0</v>
      </c>
      <c r="E121" s="207">
        <f t="shared" si="34"/>
        <v>0</v>
      </c>
      <c r="F121" s="207">
        <f t="shared" si="34"/>
        <v>0</v>
      </c>
      <c r="G121" s="207">
        <f t="shared" si="34"/>
        <v>0</v>
      </c>
      <c r="H121" s="207">
        <f t="shared" si="34"/>
        <v>0</v>
      </c>
      <c r="I121" s="207">
        <f t="shared" si="34"/>
        <v>0</v>
      </c>
      <c r="J121" s="207">
        <f t="shared" si="34"/>
        <v>48378085.410000004</v>
      </c>
      <c r="K121" s="207">
        <f t="shared" si="34"/>
        <v>0</v>
      </c>
      <c r="L121" s="207">
        <f t="shared" si="34"/>
        <v>0</v>
      </c>
      <c r="M121" s="207">
        <f t="shared" ref="M121:N123" si="35">M84</f>
        <v>0</v>
      </c>
      <c r="N121" s="207">
        <f t="shared" si="35"/>
        <v>0</v>
      </c>
      <c r="O121" s="207">
        <f t="shared" ref="O121:P123" si="36">O84</f>
        <v>0</v>
      </c>
      <c r="P121" s="207">
        <f t="shared" si="36"/>
        <v>0</v>
      </c>
    </row>
    <row r="122" spans="1:16" x14ac:dyDescent="0.15">
      <c r="A122" s="203">
        <f>A121+1</f>
        <v>33</v>
      </c>
      <c r="B122" s="208" t="s">
        <v>167</v>
      </c>
      <c r="C122" s="208"/>
      <c r="D122" s="207">
        <f t="shared" si="34"/>
        <v>0</v>
      </c>
      <c r="E122" s="207">
        <f t="shared" si="34"/>
        <v>0</v>
      </c>
      <c r="F122" s="207">
        <f t="shared" si="34"/>
        <v>0</v>
      </c>
      <c r="G122" s="207">
        <f t="shared" si="34"/>
        <v>3812154</v>
      </c>
      <c r="H122" s="207">
        <f t="shared" si="34"/>
        <v>8579632</v>
      </c>
      <c r="I122" s="207">
        <f t="shared" si="34"/>
        <v>11441209</v>
      </c>
      <c r="J122" s="207">
        <f t="shared" si="34"/>
        <v>11383078.92</v>
      </c>
      <c r="K122" s="207">
        <f>K85</f>
        <v>11374782</v>
      </c>
      <c r="L122" s="207">
        <f>L85</f>
        <v>11393282</v>
      </c>
      <c r="M122" s="207">
        <f t="shared" si="35"/>
        <v>11438304</v>
      </c>
      <c r="N122" s="207">
        <f t="shared" si="35"/>
        <v>11534322</v>
      </c>
      <c r="O122" s="207">
        <f t="shared" si="36"/>
        <v>11654338</v>
      </c>
      <c r="P122" s="207">
        <f t="shared" si="36"/>
        <v>11784125</v>
      </c>
    </row>
    <row r="123" spans="1:16" x14ac:dyDescent="0.15">
      <c r="A123" s="203">
        <f>A122+1</f>
        <v>34</v>
      </c>
      <c r="B123" s="203" t="s">
        <v>142</v>
      </c>
      <c r="D123" s="207">
        <f t="shared" ref="D123:J123" si="37">D86</f>
        <v>0</v>
      </c>
      <c r="E123" s="207">
        <f t="shared" si="37"/>
        <v>50351550</v>
      </c>
      <c r="F123" s="207">
        <f t="shared" si="37"/>
        <v>52327357</v>
      </c>
      <c r="G123" s="207">
        <f t="shared" si="37"/>
        <v>52766200</v>
      </c>
      <c r="H123" s="207">
        <f t="shared" si="37"/>
        <v>55436989</v>
      </c>
      <c r="I123" s="207">
        <f t="shared" si="37"/>
        <v>59590817</v>
      </c>
      <c r="J123" s="207">
        <f t="shared" si="37"/>
        <v>60995641.039999999</v>
      </c>
      <c r="K123" s="207">
        <f>K86</f>
        <v>64754980</v>
      </c>
      <c r="L123" s="207">
        <f>L86</f>
        <v>69226284</v>
      </c>
      <c r="M123" s="207">
        <f t="shared" si="35"/>
        <v>71911146</v>
      </c>
      <c r="N123" s="207">
        <f t="shared" si="35"/>
        <v>76200979</v>
      </c>
      <c r="O123" s="207">
        <f t="shared" si="36"/>
        <v>80574826</v>
      </c>
      <c r="P123" s="207">
        <f t="shared" si="36"/>
        <v>85121499</v>
      </c>
    </row>
    <row r="124" spans="1:16" x14ac:dyDescent="0.15">
      <c r="B124" s="208" t="s">
        <v>171</v>
      </c>
      <c r="D124" s="207"/>
      <c r="E124" s="207"/>
      <c r="F124" s="207"/>
      <c r="G124" s="207"/>
      <c r="H124" s="207"/>
      <c r="I124" s="207"/>
      <c r="J124" s="207"/>
      <c r="K124" s="207"/>
      <c r="L124" s="207"/>
      <c r="M124" s="207"/>
      <c r="N124" s="207"/>
      <c r="O124" s="207"/>
      <c r="P124" s="207"/>
    </row>
    <row r="125" spans="1:16" x14ac:dyDescent="0.15">
      <c r="A125" s="203">
        <f>A123+1</f>
        <v>35</v>
      </c>
      <c r="C125" s="203" t="s">
        <v>143</v>
      </c>
      <c r="D125" s="207">
        <f t="shared" ref="D125:J125" si="38">D88</f>
        <v>262694686</v>
      </c>
      <c r="E125" s="207">
        <f t="shared" si="38"/>
        <v>249146954</v>
      </c>
      <c r="F125" s="207">
        <f t="shared" si="38"/>
        <v>265074502.92000026</v>
      </c>
      <c r="G125" s="207">
        <f t="shared" si="38"/>
        <v>292547478</v>
      </c>
      <c r="H125" s="207">
        <f t="shared" si="38"/>
        <v>315471905</v>
      </c>
      <c r="I125" s="207">
        <f t="shared" si="38"/>
        <v>333928094</v>
      </c>
      <c r="J125" s="207">
        <f t="shared" si="38"/>
        <v>348510685.62</v>
      </c>
      <c r="K125" s="207">
        <f t="shared" ref="K125:L132" si="39">K88</f>
        <v>361172148</v>
      </c>
      <c r="L125" s="207">
        <f t="shared" si="39"/>
        <v>414257707</v>
      </c>
      <c r="M125" s="207">
        <f t="shared" ref="M125:N131" si="40">M88</f>
        <v>437710623</v>
      </c>
      <c r="N125" s="207">
        <f t="shared" si="40"/>
        <v>457014819</v>
      </c>
      <c r="O125" s="207">
        <f t="shared" ref="O125:P131" si="41">O88</f>
        <v>478412432</v>
      </c>
      <c r="P125" s="207">
        <f t="shared" si="41"/>
        <v>500648390</v>
      </c>
    </row>
    <row r="126" spans="1:16" x14ac:dyDescent="0.15">
      <c r="A126" s="203">
        <f t="shared" ref="A126:A138" si="42">A125+1</f>
        <v>36</v>
      </c>
      <c r="C126" s="203" t="s">
        <v>144</v>
      </c>
      <c r="D126" s="207">
        <f t="shared" ref="D126:J126" si="43">D89</f>
        <v>36857227</v>
      </c>
      <c r="E126" s="207">
        <f t="shared" si="43"/>
        <v>28818713</v>
      </c>
      <c r="F126" s="207">
        <f t="shared" si="43"/>
        <v>29477721</v>
      </c>
      <c r="G126" s="207">
        <f t="shared" si="43"/>
        <v>30912658</v>
      </c>
      <c r="H126" s="207">
        <f t="shared" si="43"/>
        <v>31474254</v>
      </c>
      <c r="I126" s="207">
        <f t="shared" si="43"/>
        <v>32316781</v>
      </c>
      <c r="J126" s="207">
        <f t="shared" si="43"/>
        <v>32058187</v>
      </c>
      <c r="K126" s="207">
        <f t="shared" si="39"/>
        <v>31812431</v>
      </c>
      <c r="L126" s="207">
        <f t="shared" si="39"/>
        <v>31727803</v>
      </c>
      <c r="M126" s="207">
        <f t="shared" si="40"/>
        <v>31763646</v>
      </c>
      <c r="N126" s="207">
        <f t="shared" si="40"/>
        <v>31922542</v>
      </c>
      <c r="O126" s="207">
        <f t="shared" si="41"/>
        <v>32235883</v>
      </c>
      <c r="P126" s="207">
        <f t="shared" si="41"/>
        <v>32595183</v>
      </c>
    </row>
    <row r="127" spans="1:16" x14ac:dyDescent="0.15">
      <c r="A127" s="203">
        <f t="shared" si="42"/>
        <v>37</v>
      </c>
      <c r="B127" s="208"/>
      <c r="C127" s="208" t="s">
        <v>170</v>
      </c>
      <c r="D127" s="207">
        <f t="shared" ref="D127:J127" si="44">D90</f>
        <v>9779108</v>
      </c>
      <c r="E127" s="207">
        <f t="shared" si="44"/>
        <v>7276758</v>
      </c>
      <c r="F127" s="207">
        <f t="shared" si="44"/>
        <v>7434285</v>
      </c>
      <c r="G127" s="207">
        <f t="shared" si="44"/>
        <v>7883168</v>
      </c>
      <c r="H127" s="207">
        <f t="shared" si="44"/>
        <v>8057613</v>
      </c>
      <c r="I127" s="207">
        <f t="shared" si="44"/>
        <v>8306508</v>
      </c>
      <c r="J127" s="207">
        <f t="shared" si="44"/>
        <v>8316835</v>
      </c>
      <c r="K127" s="207">
        <f t="shared" si="39"/>
        <v>8256617</v>
      </c>
      <c r="L127" s="207">
        <f t="shared" si="39"/>
        <v>8398467</v>
      </c>
      <c r="M127" s="207">
        <f t="shared" si="40"/>
        <v>8420986</v>
      </c>
      <c r="N127" s="207">
        <f t="shared" si="40"/>
        <v>8520070</v>
      </c>
      <c r="O127" s="207">
        <f t="shared" si="41"/>
        <v>8605364</v>
      </c>
      <c r="P127" s="207">
        <f t="shared" si="41"/>
        <v>8699484.0000000037</v>
      </c>
    </row>
    <row r="128" spans="1:16" x14ac:dyDescent="0.15">
      <c r="A128" s="203">
        <f t="shared" si="42"/>
        <v>38</v>
      </c>
      <c r="B128" s="203" t="s">
        <v>145</v>
      </c>
      <c r="D128" s="207">
        <f t="shared" ref="D128:J128" si="45">D91</f>
        <v>16471551</v>
      </c>
      <c r="E128" s="207">
        <f t="shared" si="45"/>
        <v>16909578</v>
      </c>
      <c r="F128" s="207">
        <f t="shared" si="45"/>
        <v>17548649</v>
      </c>
      <c r="G128" s="207">
        <f t="shared" si="45"/>
        <v>18853061</v>
      </c>
      <c r="H128" s="207">
        <f t="shared" si="45"/>
        <v>20254233</v>
      </c>
      <c r="I128" s="207">
        <f t="shared" si="45"/>
        <v>21637534</v>
      </c>
      <c r="J128" s="207">
        <f t="shared" si="45"/>
        <v>22898807.41</v>
      </c>
      <c r="K128" s="207">
        <f t="shared" si="39"/>
        <v>23367792</v>
      </c>
      <c r="L128" s="207">
        <f t="shared" si="39"/>
        <v>23450255</v>
      </c>
      <c r="M128" s="207">
        <f t="shared" si="40"/>
        <v>24120153</v>
      </c>
      <c r="N128" s="207">
        <f t="shared" si="40"/>
        <v>24365026</v>
      </c>
      <c r="O128" s="207">
        <f t="shared" si="41"/>
        <v>24718117</v>
      </c>
      <c r="P128" s="207">
        <f t="shared" si="41"/>
        <v>25112230</v>
      </c>
    </row>
    <row r="129" spans="1:16" x14ac:dyDescent="0.15">
      <c r="A129" s="203">
        <f t="shared" si="42"/>
        <v>39</v>
      </c>
      <c r="B129" s="203" t="s">
        <v>146</v>
      </c>
      <c r="D129" s="207">
        <f t="shared" ref="D129:J129" si="46">D92</f>
        <v>56478364</v>
      </c>
      <c r="E129" s="207">
        <f t="shared" si="46"/>
        <v>55913098</v>
      </c>
      <c r="F129" s="207">
        <f t="shared" si="46"/>
        <v>55511195</v>
      </c>
      <c r="G129" s="207">
        <f t="shared" si="46"/>
        <v>57332807</v>
      </c>
      <c r="H129" s="207">
        <f t="shared" si="46"/>
        <v>59221788</v>
      </c>
      <c r="I129" s="207">
        <f t="shared" si="46"/>
        <v>60083765</v>
      </c>
      <c r="J129" s="207">
        <f t="shared" si="46"/>
        <v>60159097.219999999</v>
      </c>
      <c r="K129" s="207">
        <f t="shared" si="39"/>
        <v>59886680</v>
      </c>
      <c r="L129" s="207">
        <f t="shared" si="39"/>
        <v>60310630</v>
      </c>
      <c r="M129" s="207">
        <f t="shared" si="40"/>
        <v>60119927</v>
      </c>
      <c r="N129" s="207">
        <f t="shared" si="40"/>
        <v>59879890</v>
      </c>
      <c r="O129" s="207">
        <f t="shared" si="41"/>
        <v>54545193</v>
      </c>
      <c r="P129" s="207">
        <f t="shared" si="41"/>
        <v>54382296</v>
      </c>
    </row>
    <row r="130" spans="1:16" x14ac:dyDescent="0.15">
      <c r="A130" s="203">
        <f t="shared" si="42"/>
        <v>40</v>
      </c>
      <c r="B130" s="203" t="s">
        <v>148</v>
      </c>
      <c r="D130" s="207">
        <f t="shared" ref="D130:J131" si="47">D93</f>
        <v>25114308</v>
      </c>
      <c r="E130" s="207">
        <f t="shared" si="47"/>
        <v>18869558</v>
      </c>
      <c r="F130" s="207">
        <f t="shared" si="47"/>
        <v>12876818</v>
      </c>
      <c r="G130" s="207">
        <f t="shared" si="47"/>
        <v>8213502</v>
      </c>
      <c r="H130" s="207">
        <f t="shared" si="47"/>
        <v>4354428</v>
      </c>
      <c r="I130" s="207">
        <f t="shared" si="47"/>
        <v>2146056</v>
      </c>
      <c r="J130" s="207">
        <f t="shared" si="47"/>
        <v>1207447.57</v>
      </c>
      <c r="K130" s="207">
        <f t="shared" si="39"/>
        <v>676135</v>
      </c>
      <c r="L130" s="207">
        <f t="shared" si="39"/>
        <v>372409</v>
      </c>
      <c r="M130" s="207">
        <f t="shared" si="40"/>
        <v>221683</v>
      </c>
      <c r="N130" s="207">
        <f t="shared" si="40"/>
        <v>157376</v>
      </c>
      <c r="O130" s="207">
        <f t="shared" si="41"/>
        <v>127229</v>
      </c>
      <c r="P130" s="207">
        <f t="shared" si="41"/>
        <v>102766</v>
      </c>
    </row>
    <row r="131" spans="1:16" x14ac:dyDescent="0.15">
      <c r="A131" s="203">
        <f t="shared" si="42"/>
        <v>41</v>
      </c>
      <c r="B131" s="208" t="s">
        <v>244</v>
      </c>
      <c r="D131" s="207">
        <f t="shared" si="47"/>
        <v>0</v>
      </c>
      <c r="E131" s="207">
        <f t="shared" si="47"/>
        <v>0</v>
      </c>
      <c r="F131" s="207">
        <f t="shared" si="47"/>
        <v>0</v>
      </c>
      <c r="G131" s="207">
        <f t="shared" si="47"/>
        <v>-344932</v>
      </c>
      <c r="H131" s="207">
        <f t="shared" si="47"/>
        <v>0</v>
      </c>
      <c r="I131" s="207">
        <f t="shared" si="47"/>
        <v>-730496</v>
      </c>
      <c r="J131" s="207">
        <f t="shared" si="47"/>
        <v>0</v>
      </c>
      <c r="K131" s="207">
        <f t="shared" si="39"/>
        <v>-2505728</v>
      </c>
      <c r="L131" s="207">
        <f t="shared" si="39"/>
        <v>0</v>
      </c>
      <c r="M131" s="207">
        <f t="shared" si="40"/>
        <v>-700000</v>
      </c>
      <c r="N131" s="207">
        <f t="shared" si="40"/>
        <v>0</v>
      </c>
      <c r="O131" s="207">
        <f t="shared" si="41"/>
        <v>-700000</v>
      </c>
      <c r="P131" s="207">
        <f t="shared" si="41"/>
        <v>0</v>
      </c>
    </row>
    <row r="132" spans="1:16" x14ac:dyDescent="0.15">
      <c r="A132" s="203">
        <f t="shared" si="42"/>
        <v>42</v>
      </c>
      <c r="B132" s="208" t="s">
        <v>360</v>
      </c>
      <c r="D132" s="207"/>
      <c r="E132" s="207"/>
      <c r="F132" s="207"/>
      <c r="G132" s="207"/>
      <c r="H132" s="207">
        <v>0</v>
      </c>
      <c r="I132" s="207">
        <v>0</v>
      </c>
      <c r="J132" s="207">
        <v>0</v>
      </c>
      <c r="K132" s="207">
        <f t="shared" si="39"/>
        <v>-500000000</v>
      </c>
      <c r="L132" s="207">
        <v>0</v>
      </c>
      <c r="M132" s="207">
        <v>0</v>
      </c>
      <c r="N132" s="207">
        <v>0</v>
      </c>
      <c r="O132" s="207">
        <v>0</v>
      </c>
      <c r="P132" s="207">
        <v>0</v>
      </c>
    </row>
    <row r="133" spans="1:16" x14ac:dyDescent="0.15">
      <c r="A133" s="203">
        <f t="shared" si="42"/>
        <v>43</v>
      </c>
      <c r="B133" s="203" t="s">
        <v>147</v>
      </c>
      <c r="D133" s="207">
        <f t="shared" ref="D133:N133" si="48">D96-D111</f>
        <v>198438434</v>
      </c>
      <c r="E133" s="207">
        <f t="shared" si="48"/>
        <v>194217096</v>
      </c>
      <c r="F133" s="207">
        <f t="shared" si="48"/>
        <v>153689827</v>
      </c>
      <c r="G133" s="207">
        <f t="shared" si="48"/>
        <v>149750233</v>
      </c>
      <c r="H133" s="207">
        <f t="shared" si="48"/>
        <v>92182570</v>
      </c>
      <c r="I133" s="207">
        <f t="shared" si="48"/>
        <v>82805191</v>
      </c>
      <c r="J133" s="207">
        <f t="shared" si="48"/>
        <v>73046067.280000001</v>
      </c>
      <c r="K133" s="207">
        <f t="shared" si="48"/>
        <v>70184193</v>
      </c>
      <c r="L133" s="207">
        <f t="shared" si="48"/>
        <v>70285800</v>
      </c>
      <c r="M133" s="207">
        <f t="shared" si="48"/>
        <v>75618658</v>
      </c>
      <c r="N133" s="207">
        <f t="shared" si="48"/>
        <v>80090517</v>
      </c>
      <c r="O133" s="207">
        <f t="shared" ref="O133:P136" si="49">O96-O111</f>
        <v>81938238</v>
      </c>
      <c r="P133" s="207">
        <f t="shared" si="49"/>
        <v>83160264</v>
      </c>
    </row>
    <row r="134" spans="1:16" x14ac:dyDescent="0.15">
      <c r="A134" s="203">
        <f t="shared" si="42"/>
        <v>44</v>
      </c>
      <c r="B134" s="203" t="s">
        <v>149</v>
      </c>
      <c r="D134" s="207">
        <f t="shared" ref="D134:N134" si="50">D97-D112</f>
        <v>34642490</v>
      </c>
      <c r="E134" s="207">
        <f t="shared" si="50"/>
        <v>32112369</v>
      </c>
      <c r="F134" s="207">
        <f t="shared" si="50"/>
        <v>19350940</v>
      </c>
      <c r="G134" s="207">
        <f t="shared" si="50"/>
        <v>25916120</v>
      </c>
      <c r="H134" s="207">
        <f t="shared" si="50"/>
        <v>30534004</v>
      </c>
      <c r="I134" s="207">
        <f t="shared" si="50"/>
        <v>25104509</v>
      </c>
      <c r="J134" s="207">
        <f t="shared" si="50"/>
        <v>19660375.729999989</v>
      </c>
      <c r="K134" s="207">
        <f t="shared" si="50"/>
        <v>16727769</v>
      </c>
      <c r="L134" s="207">
        <f t="shared" si="50"/>
        <v>16125194</v>
      </c>
      <c r="M134" s="207">
        <f t="shared" si="50"/>
        <v>18203799</v>
      </c>
      <c r="N134" s="207">
        <f t="shared" si="50"/>
        <v>21004532</v>
      </c>
      <c r="O134" s="207">
        <f t="shared" si="49"/>
        <v>22154463</v>
      </c>
      <c r="P134" s="207">
        <f t="shared" si="49"/>
        <v>22996632</v>
      </c>
    </row>
    <row r="135" spans="1:16" x14ac:dyDescent="0.15">
      <c r="A135" s="203">
        <f t="shared" si="42"/>
        <v>45</v>
      </c>
      <c r="B135" s="208" t="s">
        <v>173</v>
      </c>
      <c r="D135" s="207">
        <f t="shared" ref="D135:N135" si="51">D98-D113</f>
        <v>0</v>
      </c>
      <c r="E135" s="207">
        <f t="shared" si="51"/>
        <v>31986524</v>
      </c>
      <c r="F135" s="207">
        <f t="shared" si="51"/>
        <v>12786000</v>
      </c>
      <c r="G135" s="207">
        <f t="shared" si="51"/>
        <v>10650198</v>
      </c>
      <c r="H135" s="207">
        <f t="shared" si="51"/>
        <v>8632025</v>
      </c>
      <c r="I135" s="207">
        <f t="shared" si="51"/>
        <v>7132923</v>
      </c>
      <c r="J135" s="207">
        <f t="shared" si="51"/>
        <v>5419100.6700000018</v>
      </c>
      <c r="K135" s="207">
        <f t="shared" si="51"/>
        <v>4250828</v>
      </c>
      <c r="L135" s="207">
        <f t="shared" si="51"/>
        <v>4010545</v>
      </c>
      <c r="M135" s="207">
        <f t="shared" si="51"/>
        <v>4578450</v>
      </c>
      <c r="N135" s="207">
        <f t="shared" si="51"/>
        <v>5512526</v>
      </c>
      <c r="O135" s="207">
        <f t="shared" si="49"/>
        <v>5899883</v>
      </c>
      <c r="P135" s="207">
        <f t="shared" si="49"/>
        <v>6126420</v>
      </c>
    </row>
    <row r="136" spans="1:16" x14ac:dyDescent="0.15">
      <c r="A136" s="203">
        <f t="shared" si="42"/>
        <v>46</v>
      </c>
      <c r="B136" s="208" t="s">
        <v>168</v>
      </c>
      <c r="C136" s="208"/>
      <c r="D136" s="207">
        <f t="shared" ref="D136:N136" si="52">D99-D114</f>
        <v>0</v>
      </c>
      <c r="E136" s="207">
        <f t="shared" si="52"/>
        <v>0</v>
      </c>
      <c r="F136" s="207">
        <f t="shared" si="52"/>
        <v>0</v>
      </c>
      <c r="G136" s="207">
        <f t="shared" si="52"/>
        <v>16348850</v>
      </c>
      <c r="H136" s="207">
        <f t="shared" si="52"/>
        <v>38908246</v>
      </c>
      <c r="I136" s="207">
        <f t="shared" si="52"/>
        <v>47983907</v>
      </c>
      <c r="J136" s="207">
        <f t="shared" si="52"/>
        <v>49994988.769999996</v>
      </c>
      <c r="K136" s="207">
        <f t="shared" si="52"/>
        <v>41484884</v>
      </c>
      <c r="L136" s="207">
        <f t="shared" si="52"/>
        <v>46104899</v>
      </c>
      <c r="M136" s="207">
        <f t="shared" si="52"/>
        <v>56810241</v>
      </c>
      <c r="N136" s="207">
        <f t="shared" si="52"/>
        <v>59586549</v>
      </c>
      <c r="O136" s="207">
        <f t="shared" si="49"/>
        <v>60952881</v>
      </c>
      <c r="P136" s="207">
        <f t="shared" si="49"/>
        <v>62331948</v>
      </c>
    </row>
    <row r="137" spans="1:16" x14ac:dyDescent="0.15">
      <c r="A137" s="203">
        <f t="shared" si="42"/>
        <v>47</v>
      </c>
      <c r="B137" s="208" t="s">
        <v>163</v>
      </c>
      <c r="C137" s="208"/>
      <c r="D137" s="207">
        <f t="shared" ref="D137:N137" si="53">D100-D115-D138</f>
        <v>58417206</v>
      </c>
      <c r="E137" s="207">
        <f t="shared" si="53"/>
        <v>67208298</v>
      </c>
      <c r="F137" s="207">
        <f t="shared" si="53"/>
        <v>116067762</v>
      </c>
      <c r="G137" s="207">
        <f t="shared" si="53"/>
        <v>114774019</v>
      </c>
      <c r="H137" s="207">
        <f t="shared" si="53"/>
        <v>107935161</v>
      </c>
      <c r="I137" s="207">
        <f t="shared" si="53"/>
        <v>95398626</v>
      </c>
      <c r="J137" s="207">
        <f t="shared" si="53"/>
        <v>76645862.950000003</v>
      </c>
      <c r="K137" s="207">
        <f t="shared" si="53"/>
        <v>60780549</v>
      </c>
      <c r="L137" s="207">
        <f t="shared" si="53"/>
        <v>58443748</v>
      </c>
      <c r="M137" s="207">
        <f t="shared" si="53"/>
        <v>68309383</v>
      </c>
      <c r="N137" s="207">
        <f t="shared" si="53"/>
        <v>84080465</v>
      </c>
      <c r="O137" s="207">
        <f>O100-O115-O138</f>
        <v>89515382</v>
      </c>
      <c r="P137" s="207">
        <f>P100-P115-P138</f>
        <v>93252081</v>
      </c>
    </row>
    <row r="138" spans="1:16" x14ac:dyDescent="0.15">
      <c r="A138" s="203">
        <f t="shared" si="42"/>
        <v>48</v>
      </c>
      <c r="B138" s="203" t="s">
        <v>151</v>
      </c>
      <c r="D138" s="207">
        <f>'FY 2003'!I126</f>
        <v>8345294</v>
      </c>
      <c r="E138" s="207">
        <f>'FY 2004'!I126</f>
        <v>8040369</v>
      </c>
      <c r="F138" s="207">
        <f>'FY 2005'!I126</f>
        <v>8698852</v>
      </c>
      <c r="G138" s="207">
        <f>'FY 2006'!I129</f>
        <v>8672599</v>
      </c>
      <c r="H138" s="207">
        <f>'FY 2007'!I129</f>
        <v>8609264</v>
      </c>
      <c r="I138" s="207">
        <f>'FY 2008'!I129</f>
        <v>8609264</v>
      </c>
      <c r="J138" s="207">
        <f>'FY 2009'!$I133</f>
        <v>8587791.6699999981</v>
      </c>
      <c r="K138" s="207">
        <f>'FY 2010'!$J133</f>
        <v>8618666</v>
      </c>
      <c r="L138" s="207">
        <f>'FY 2011'!$J129</f>
        <v>8593182</v>
      </c>
      <c r="M138" s="207">
        <f>'FY 2012'!$J129</f>
        <v>8501953</v>
      </c>
      <c r="N138" s="207">
        <f>'FY 2013'!$J129</f>
        <v>8501953</v>
      </c>
      <c r="O138" s="207">
        <f>'FY 2014'!$J129</f>
        <v>8501953</v>
      </c>
      <c r="P138" s="207">
        <f>'FY 2015'!$J129</f>
        <v>8501953</v>
      </c>
    </row>
    <row r="139" spans="1:16" x14ac:dyDescent="0.15">
      <c r="B139" s="208" t="s">
        <v>172</v>
      </c>
      <c r="D139" s="207"/>
      <c r="E139" s="207"/>
      <c r="F139" s="207"/>
      <c r="G139" s="207"/>
      <c r="H139" s="207"/>
      <c r="I139" s="207"/>
      <c r="J139" s="207"/>
      <c r="K139" s="207"/>
      <c r="L139" s="207"/>
      <c r="M139" s="207"/>
      <c r="N139" s="207"/>
      <c r="O139" s="207"/>
      <c r="P139" s="207"/>
    </row>
    <row r="140" spans="1:16" x14ac:dyDescent="0.15">
      <c r="A140" s="203">
        <f>A138+1</f>
        <v>49</v>
      </c>
      <c r="B140" s="208"/>
      <c r="C140" s="208" t="s">
        <v>175</v>
      </c>
      <c r="D140" s="207">
        <f>'FY 2003'!I128</f>
        <v>1341221</v>
      </c>
      <c r="E140" s="207">
        <f>'FY 2004'!I128</f>
        <v>-679857</v>
      </c>
      <c r="F140" s="207">
        <f>'FY 2005'!I128</f>
        <v>-1089963.94</v>
      </c>
      <c r="G140" s="207">
        <f>'FY 2006'!I131</f>
        <v>-895441.79</v>
      </c>
      <c r="H140" s="207">
        <f>'FY 2007'!I131</f>
        <v>-885672</v>
      </c>
      <c r="I140" s="207">
        <f>'FY 2008'!I131</f>
        <v>-181964</v>
      </c>
      <c r="J140" s="207">
        <f>'FY 2009'!$I135</f>
        <v>262096</v>
      </c>
      <c r="K140" s="207">
        <f>'FY 2010'!$J135</f>
        <v>623081</v>
      </c>
      <c r="L140" s="207">
        <f>'FY 2011'!$J131</f>
        <v>752179</v>
      </c>
      <c r="M140" s="207">
        <f>'FY 2012'!$J131</f>
        <v>523272</v>
      </c>
      <c r="N140" s="207">
        <f>'FY 2013'!$J131</f>
        <v>7554</v>
      </c>
      <c r="O140" s="207">
        <f>'FY 2014'!$J131</f>
        <v>-212305</v>
      </c>
      <c r="P140" s="207">
        <f>'FY 2015'!$J131</f>
        <v>-371775</v>
      </c>
    </row>
    <row r="141" spans="1:16" x14ac:dyDescent="0.15">
      <c r="A141" s="203">
        <f>A140+1</f>
        <v>50</v>
      </c>
      <c r="B141" s="208"/>
      <c r="C141" s="208" t="s">
        <v>182</v>
      </c>
      <c r="D141" s="207">
        <f>'FY 2003'!I129</f>
        <v>-1804253</v>
      </c>
      <c r="E141" s="207">
        <f>'FY 2004'!I129</f>
        <v>1059</v>
      </c>
      <c r="F141" s="207">
        <f>'FY 2005'!I129</f>
        <v>0</v>
      </c>
      <c r="G141" s="207">
        <f>'FY 2006'!I132</f>
        <v>0.43999999994412065</v>
      </c>
      <c r="H141" s="207">
        <f>'FY 2007'!I132</f>
        <v>0</v>
      </c>
      <c r="I141" s="207">
        <f>'FY 2008'!I132</f>
        <v>0</v>
      </c>
      <c r="J141" s="207">
        <f>'FY 2009'!$I136</f>
        <v>-9.9999995436519384E-3</v>
      </c>
      <c r="K141" s="207">
        <f>'FY 2010'!$J136</f>
        <v>1</v>
      </c>
      <c r="L141" s="207">
        <f>'FY 2011'!$J132</f>
        <v>15735</v>
      </c>
      <c r="M141" s="207">
        <f>'FY 2012'!$J132</f>
        <v>-703</v>
      </c>
      <c r="N141" s="207">
        <f>'FY 2013'!$J132</f>
        <v>-466</v>
      </c>
      <c r="O141" s="207">
        <f>'FY 2014'!$J132</f>
        <v>-375</v>
      </c>
      <c r="P141" s="207">
        <f>'FY 2015'!$J132</f>
        <v>-375</v>
      </c>
    </row>
    <row r="142" spans="1:16" x14ac:dyDescent="0.15">
      <c r="A142" s="203">
        <f>A141+1</f>
        <v>51</v>
      </c>
      <c r="B142" s="208"/>
      <c r="C142" s="208" t="s">
        <v>201</v>
      </c>
      <c r="D142" s="207">
        <f>'FY 2003'!I130</f>
        <v>0</v>
      </c>
      <c r="E142" s="207">
        <f>'FY 2004'!I130</f>
        <v>0</v>
      </c>
      <c r="F142" s="207">
        <f>'FY 2005'!I130</f>
        <v>0</v>
      </c>
      <c r="G142" s="207">
        <f>'FY 2006'!I133</f>
        <v>-0.18000000000029104</v>
      </c>
      <c r="H142" s="207">
        <f>'FY 2007'!I133</f>
        <v>0</v>
      </c>
      <c r="I142" s="207">
        <f>'FY 2008'!I133</f>
        <v>0</v>
      </c>
      <c r="J142" s="207">
        <f>'FY 2009'!$I137</f>
        <v>0</v>
      </c>
      <c r="K142" s="207">
        <f>'FY 2010'!$J137</f>
        <v>0</v>
      </c>
      <c r="L142" s="207">
        <f>'FY 2011'!$J133</f>
        <v>0</v>
      </c>
      <c r="M142" s="207">
        <f>'FY 2012'!$J133</f>
        <v>0</v>
      </c>
      <c r="N142" s="207">
        <f>'FY 2013'!$J133</f>
        <v>0</v>
      </c>
      <c r="O142" s="207">
        <f>'FY 2014'!$J133</f>
        <v>0</v>
      </c>
      <c r="P142" s="207">
        <f>'FY 2015'!$J133</f>
        <v>0</v>
      </c>
    </row>
    <row r="143" spans="1:16" x14ac:dyDescent="0.15">
      <c r="A143" s="203">
        <f>A142+1</f>
        <v>52</v>
      </c>
      <c r="B143" s="208"/>
      <c r="C143" s="208" t="s">
        <v>183</v>
      </c>
      <c r="D143" s="207">
        <f>'FY 2003'!I131</f>
        <v>0</v>
      </c>
      <c r="E143" s="207">
        <f>'FY 2004'!I131</f>
        <v>0</v>
      </c>
      <c r="F143" s="207">
        <f>'FY 2005'!I131</f>
        <v>0</v>
      </c>
      <c r="G143" s="207">
        <f>'FY 2006'!I134</f>
        <v>0.44000000000232831</v>
      </c>
      <c r="H143" s="207">
        <f>'FY 2007'!I134</f>
        <v>0</v>
      </c>
      <c r="I143" s="207">
        <f>'FY 2008'!I134</f>
        <v>0</v>
      </c>
      <c r="J143" s="207">
        <f>'FY 2009'!$I138</f>
        <v>-1.0000000009313226E-2</v>
      </c>
      <c r="K143" s="207">
        <f>'FY 2010'!$J138</f>
        <v>4</v>
      </c>
      <c r="L143" s="207">
        <f>'FY 2011'!$J134</f>
        <v>-890</v>
      </c>
      <c r="M143" s="207">
        <f>'FY 2012'!$J134</f>
        <v>20619</v>
      </c>
      <c r="N143" s="207">
        <f>'FY 2013'!$J134</f>
        <v>35506</v>
      </c>
      <c r="O143" s="207">
        <f>'FY 2014'!$J134</f>
        <v>9736</v>
      </c>
      <c r="P143" s="207">
        <f>'FY 2015'!$J134</f>
        <v>13239</v>
      </c>
    </row>
    <row r="144" spans="1:16" x14ac:dyDescent="0.15">
      <c r="A144" s="203">
        <f>A143+1</f>
        <v>53</v>
      </c>
      <c r="B144" s="208"/>
      <c r="C144" s="208" t="s">
        <v>251</v>
      </c>
      <c r="D144" s="207">
        <v>0</v>
      </c>
      <c r="E144" s="207">
        <v>0</v>
      </c>
      <c r="F144" s="207">
        <v>0</v>
      </c>
      <c r="G144" s="207">
        <f>'FY 2006'!I135</f>
        <v>0</v>
      </c>
      <c r="H144" s="207">
        <f>'FY 2007'!I135</f>
        <v>-398</v>
      </c>
      <c r="I144" s="207">
        <f>'FY 2008'!I135</f>
        <v>-355.17999999946915</v>
      </c>
      <c r="J144" s="207">
        <f>'FY 2009'!I139</f>
        <v>-461.16000000014901</v>
      </c>
      <c r="K144" s="207">
        <f>'FY 2010'!J139</f>
        <v>54640</v>
      </c>
      <c r="L144" s="207">
        <f>'FY 2011'!J135</f>
        <v>-196</v>
      </c>
      <c r="M144" s="207">
        <f>'FY 2012'!$J135</f>
        <v>-196</v>
      </c>
      <c r="N144" s="207">
        <f>'FY 2013'!$J135</f>
        <v>-196</v>
      </c>
      <c r="O144" s="207">
        <f>'FY 2014'!$J135</f>
        <v>-196</v>
      </c>
      <c r="P144" s="207">
        <f>'FY 2015'!$J135</f>
        <v>-196</v>
      </c>
    </row>
    <row r="145" spans="1:16" x14ac:dyDescent="0.15">
      <c r="D145" s="207"/>
      <c r="E145" s="207"/>
      <c r="F145" s="207"/>
      <c r="G145" s="207"/>
      <c r="H145" s="207"/>
      <c r="I145" s="207"/>
      <c r="J145" s="207"/>
      <c r="K145" s="207"/>
      <c r="L145" s="207"/>
      <c r="M145" s="207"/>
      <c r="N145" s="207"/>
      <c r="O145" s="207"/>
      <c r="P145" s="207"/>
    </row>
    <row r="146" spans="1:16" x14ac:dyDescent="0.15">
      <c r="A146" s="203">
        <f>A144+1</f>
        <v>54</v>
      </c>
      <c r="B146" s="208" t="s">
        <v>184</v>
      </c>
      <c r="C146" s="208"/>
      <c r="D146" s="207">
        <f>SUM(D120:D144)</f>
        <v>5196835956</v>
      </c>
      <c r="E146" s="207">
        <f t="shared" ref="E146:J146" si="54">SUM(E120:E144)</f>
        <v>5163747344</v>
      </c>
      <c r="F146" s="207">
        <f t="shared" si="54"/>
        <v>5134727792.9800005</v>
      </c>
      <c r="G146" s="207">
        <f t="shared" si="54"/>
        <v>5355576393.9099989</v>
      </c>
      <c r="H146" s="207">
        <f t="shared" si="54"/>
        <v>5530442937</v>
      </c>
      <c r="I146" s="207">
        <f t="shared" si="54"/>
        <v>5633296839.8199997</v>
      </c>
      <c r="J146" s="207">
        <f t="shared" si="54"/>
        <v>5688098385.9199982</v>
      </c>
      <c r="K146" s="207">
        <f t="shared" ref="K146:P146" si="55">SUM(K120:K144)</f>
        <v>5118552418</v>
      </c>
      <c r="L146" s="207">
        <f t="shared" si="55"/>
        <v>5688394057</v>
      </c>
      <c r="M146" s="207">
        <f t="shared" si="55"/>
        <v>5761725599</v>
      </c>
      <c r="N146" s="207">
        <f t="shared" si="55"/>
        <v>5853567965</v>
      </c>
      <c r="O146" s="207">
        <f t="shared" si="55"/>
        <v>5935334835</v>
      </c>
      <c r="P146" s="207">
        <f t="shared" si="55"/>
        <v>6026278524</v>
      </c>
    </row>
    <row r="147" spans="1:16" x14ac:dyDescent="0.15">
      <c r="A147" s="203">
        <f>A146+1</f>
        <v>55</v>
      </c>
      <c r="B147" s="202" t="s">
        <v>397</v>
      </c>
      <c r="C147" s="208"/>
      <c r="D147" s="207">
        <f>D146-D138</f>
        <v>5188490662</v>
      </c>
      <c r="E147" s="207">
        <f>E146-E138</f>
        <v>5155706975</v>
      </c>
      <c r="F147" s="207">
        <f>F146-F138</f>
        <v>5126028940.9800005</v>
      </c>
      <c r="G147" s="207">
        <f>G146-G138</f>
        <v>5346903794.9099989</v>
      </c>
      <c r="H147" s="207">
        <f>H146-H138</f>
        <v>5521833673</v>
      </c>
      <c r="I147" s="207">
        <f t="shared" ref="I147:N147" si="56">I146</f>
        <v>5633296839.8199997</v>
      </c>
      <c r="J147" s="207">
        <f t="shared" si="56"/>
        <v>5688098385.9199982</v>
      </c>
      <c r="K147" s="207">
        <f t="shared" si="56"/>
        <v>5118552418</v>
      </c>
      <c r="L147" s="207">
        <f t="shared" si="56"/>
        <v>5688394057</v>
      </c>
      <c r="M147" s="207">
        <f t="shared" si="56"/>
        <v>5761725599</v>
      </c>
      <c r="N147" s="207">
        <f t="shared" si="56"/>
        <v>5853567965</v>
      </c>
      <c r="O147" s="207">
        <f>O146</f>
        <v>5935334835</v>
      </c>
      <c r="P147" s="207">
        <f>P146</f>
        <v>6026278524</v>
      </c>
    </row>
    <row r="148" spans="1:16" x14ac:dyDescent="0.15">
      <c r="A148" s="203">
        <f>A147+1</f>
        <v>56</v>
      </c>
      <c r="B148" s="208" t="s">
        <v>303</v>
      </c>
      <c r="C148" s="208"/>
      <c r="D148" s="207">
        <f>D138</f>
        <v>8345294</v>
      </c>
      <c r="E148" s="207">
        <f>E138</f>
        <v>8040369</v>
      </c>
      <c r="F148" s="207">
        <f>F138</f>
        <v>8698852</v>
      </c>
      <c r="G148" s="207">
        <f>G138</f>
        <v>8672599</v>
      </c>
      <c r="H148" s="207">
        <f>H138</f>
        <v>8609264</v>
      </c>
      <c r="I148" s="212" t="s">
        <v>302</v>
      </c>
      <c r="J148" s="212" t="s">
        <v>302</v>
      </c>
      <c r="K148" s="212" t="s">
        <v>302</v>
      </c>
      <c r="L148" s="212" t="s">
        <v>302</v>
      </c>
      <c r="M148" s="212" t="s">
        <v>302</v>
      </c>
      <c r="N148" s="212" t="s">
        <v>302</v>
      </c>
      <c r="O148" s="212" t="s">
        <v>302</v>
      </c>
      <c r="P148" s="212" t="s">
        <v>302</v>
      </c>
    </row>
    <row r="149" spans="1:16" x14ac:dyDescent="0.15">
      <c r="B149" s="208"/>
      <c r="C149" s="208"/>
      <c r="D149" s="207"/>
      <c r="E149" s="207"/>
      <c r="F149" s="207"/>
      <c r="G149" s="207"/>
      <c r="H149" s="207"/>
      <c r="I149" s="207"/>
      <c r="J149" s="207"/>
      <c r="K149" s="207"/>
      <c r="L149" s="207"/>
      <c r="M149" s="207"/>
      <c r="N149" s="207"/>
      <c r="O149" s="207"/>
      <c r="P149" s="207"/>
    </row>
    <row r="150" spans="1:16" x14ac:dyDescent="0.15">
      <c r="A150" s="203">
        <f>A148+1</f>
        <v>57</v>
      </c>
      <c r="B150" s="208" t="s">
        <v>166</v>
      </c>
      <c r="C150" s="208"/>
      <c r="D150" s="207">
        <f>'FY 2003'!I137</f>
        <v>-46570547</v>
      </c>
      <c r="E150" s="207">
        <f>'FY 2004'!I137</f>
        <v>-46686661</v>
      </c>
      <c r="F150" s="207">
        <f>'FY 2005'!I137</f>
        <v>-46733667</v>
      </c>
      <c r="G150" s="207">
        <f>'FY 2006'!I141</f>
        <v>-46807695</v>
      </c>
      <c r="H150" s="207">
        <f>'FY 2007'!I141</f>
        <v>-46967505</v>
      </c>
      <c r="I150" s="207">
        <f>'FY 2008'!I141</f>
        <v>-30637836</v>
      </c>
      <c r="J150" s="207">
        <f>'FY 2009'!$I145</f>
        <v>-30753089.780000001</v>
      </c>
      <c r="K150" s="207">
        <f>'FY 2010'!$J145</f>
        <v>-30857758</v>
      </c>
      <c r="L150" s="207">
        <f>'FY 2011'!$J141</f>
        <v>-30947302</v>
      </c>
      <c r="M150" s="207">
        <f>'FY 2012'!$J141</f>
        <v>-31109089</v>
      </c>
      <c r="N150" s="207">
        <f>'FY 2013'!$J141</f>
        <v>-31263848</v>
      </c>
      <c r="O150" s="207">
        <f>'FY 2014'!$J141</f>
        <v>-31426657</v>
      </c>
      <c r="P150" s="207">
        <f>'FY 2015'!$J141</f>
        <v>-31600540</v>
      </c>
    </row>
    <row r="152" spans="1:16" x14ac:dyDescent="0.15">
      <c r="A152" s="216" t="s">
        <v>162</v>
      </c>
      <c r="B152" s="216"/>
      <c r="C152" s="217"/>
      <c r="D152" s="218" t="s">
        <v>135</v>
      </c>
      <c r="E152" s="218" t="s">
        <v>136</v>
      </c>
      <c r="F152" s="218" t="s">
        <v>137</v>
      </c>
      <c r="G152" s="218" t="s">
        <v>138</v>
      </c>
      <c r="H152" s="218" t="s">
        <v>139</v>
      </c>
      <c r="I152" s="218" t="s">
        <v>164</v>
      </c>
      <c r="J152" s="218" t="s">
        <v>165</v>
      </c>
      <c r="K152" s="218" t="s">
        <v>249</v>
      </c>
      <c r="L152" s="218" t="s">
        <v>250</v>
      </c>
      <c r="M152" s="218" t="s">
        <v>300</v>
      </c>
      <c r="N152" s="218" t="s">
        <v>301</v>
      </c>
      <c r="O152" s="218" t="s">
        <v>388</v>
      </c>
      <c r="P152" s="218" t="s">
        <v>389</v>
      </c>
    </row>
    <row r="154" spans="1:16" x14ac:dyDescent="0.15">
      <c r="A154" s="203">
        <v>1</v>
      </c>
      <c r="B154" s="203" t="s">
        <v>140</v>
      </c>
      <c r="D154" s="219">
        <f t="shared" ref="D154:N154" si="57">D5-D80</f>
        <v>0</v>
      </c>
      <c r="E154" s="219">
        <f t="shared" si="57"/>
        <v>0</v>
      </c>
      <c r="F154" s="219">
        <f t="shared" si="57"/>
        <v>0</v>
      </c>
      <c r="G154" s="219">
        <f t="shared" si="57"/>
        <v>0</v>
      </c>
      <c r="H154" s="219">
        <f t="shared" si="57"/>
        <v>0</v>
      </c>
      <c r="I154" s="219">
        <f t="shared" si="57"/>
        <v>0</v>
      </c>
      <c r="J154" s="219">
        <f t="shared" si="57"/>
        <v>0</v>
      </c>
      <c r="K154" s="219">
        <f t="shared" si="57"/>
        <v>-576</v>
      </c>
      <c r="L154" s="219">
        <f t="shared" si="57"/>
        <v>-1342</v>
      </c>
      <c r="M154" s="219">
        <f t="shared" si="57"/>
        <v>-1522</v>
      </c>
      <c r="N154" s="219">
        <f t="shared" si="57"/>
        <v>-1739</v>
      </c>
      <c r="O154" s="219">
        <f>O5-O80</f>
        <v>-1797</v>
      </c>
      <c r="P154" s="219">
        <f>P5-P80</f>
        <v>-2736</v>
      </c>
    </row>
    <row r="155" spans="1:16" x14ac:dyDescent="0.15">
      <c r="E155" s="219"/>
      <c r="F155" s="219"/>
      <c r="G155" s="219"/>
      <c r="H155" s="219"/>
      <c r="I155" s="219"/>
      <c r="J155" s="219"/>
      <c r="K155" s="219"/>
      <c r="L155" s="219"/>
      <c r="M155" s="219"/>
      <c r="N155" s="219"/>
      <c r="O155" s="219"/>
      <c r="P155" s="219"/>
    </row>
    <row r="156" spans="1:16" x14ac:dyDescent="0.15">
      <c r="B156" s="208" t="s">
        <v>155</v>
      </c>
      <c r="D156" s="209"/>
      <c r="E156" s="209"/>
      <c r="F156" s="209"/>
      <c r="G156" s="209"/>
      <c r="H156" s="209"/>
      <c r="I156" s="209"/>
      <c r="J156" s="209"/>
      <c r="K156" s="209"/>
      <c r="L156" s="209"/>
      <c r="M156" s="209"/>
      <c r="N156" s="209"/>
      <c r="O156" s="209"/>
      <c r="P156" s="209"/>
    </row>
    <row r="157" spans="1:16" x14ac:dyDescent="0.15">
      <c r="A157" s="203">
        <f>A154+1</f>
        <v>2</v>
      </c>
      <c r="B157" s="203" t="s">
        <v>141</v>
      </c>
      <c r="D157" s="219">
        <f t="shared" ref="D157:N157" si="58">D8-D83</f>
        <v>0</v>
      </c>
      <c r="E157" s="219">
        <f t="shared" si="58"/>
        <v>0</v>
      </c>
      <c r="F157" s="219">
        <f t="shared" si="58"/>
        <v>0</v>
      </c>
      <c r="G157" s="219">
        <f t="shared" si="58"/>
        <v>0</v>
      </c>
      <c r="H157" s="219">
        <f t="shared" si="58"/>
        <v>0</v>
      </c>
      <c r="I157" s="219">
        <f t="shared" si="58"/>
        <v>0</v>
      </c>
      <c r="J157" s="219">
        <f t="shared" si="58"/>
        <v>0</v>
      </c>
      <c r="K157" s="219">
        <f t="shared" si="58"/>
        <v>-3537046</v>
      </c>
      <c r="L157" s="219">
        <f t="shared" si="58"/>
        <v>-6878967</v>
      </c>
      <c r="M157" s="219">
        <f t="shared" si="58"/>
        <v>-7796423</v>
      </c>
      <c r="N157" s="219">
        <f t="shared" si="58"/>
        <v>-8913808</v>
      </c>
      <c r="O157" s="219">
        <f t="shared" ref="O157:P160" si="59">O8-O83</f>
        <v>-9202649</v>
      </c>
      <c r="P157" s="219">
        <f t="shared" si="59"/>
        <v>-14017008</v>
      </c>
    </row>
    <row r="158" spans="1:16" x14ac:dyDescent="0.15">
      <c r="A158" s="203">
        <f>A157+1</f>
        <v>3</v>
      </c>
      <c r="B158" s="208" t="s">
        <v>299</v>
      </c>
      <c r="D158" s="219"/>
      <c r="E158" s="219"/>
      <c r="F158" s="219">
        <v>0</v>
      </c>
      <c r="G158" s="219">
        <v>0</v>
      </c>
      <c r="H158" s="219">
        <v>0</v>
      </c>
      <c r="I158" s="219">
        <v>0</v>
      </c>
      <c r="J158" s="219">
        <f t="shared" ref="J158:N160" si="60">J9-J84</f>
        <v>0</v>
      </c>
      <c r="K158" s="219">
        <f t="shared" si="60"/>
        <v>0</v>
      </c>
      <c r="L158" s="219">
        <f t="shared" si="60"/>
        <v>0</v>
      </c>
      <c r="M158" s="219">
        <f t="shared" si="60"/>
        <v>0</v>
      </c>
      <c r="N158" s="219">
        <f t="shared" si="60"/>
        <v>0</v>
      </c>
      <c r="O158" s="219">
        <f t="shared" si="59"/>
        <v>0</v>
      </c>
      <c r="P158" s="219">
        <f t="shared" si="59"/>
        <v>0</v>
      </c>
    </row>
    <row r="159" spans="1:16" x14ac:dyDescent="0.15">
      <c r="A159" s="203">
        <f>A158+1</f>
        <v>4</v>
      </c>
      <c r="B159" s="208" t="s">
        <v>167</v>
      </c>
      <c r="C159" s="208"/>
      <c r="D159" s="219">
        <f t="shared" ref="D159:I160" si="61">D10-D85</f>
        <v>0</v>
      </c>
      <c r="E159" s="219">
        <f t="shared" si="61"/>
        <v>0</v>
      </c>
      <c r="F159" s="219">
        <f t="shared" si="61"/>
        <v>0</v>
      </c>
      <c r="G159" s="219">
        <f t="shared" si="61"/>
        <v>0</v>
      </c>
      <c r="H159" s="219">
        <f t="shared" si="61"/>
        <v>0</v>
      </c>
      <c r="I159" s="219">
        <f t="shared" si="61"/>
        <v>0</v>
      </c>
      <c r="J159" s="219">
        <f t="shared" si="60"/>
        <v>0</v>
      </c>
      <c r="K159" s="219">
        <f t="shared" si="60"/>
        <v>-8869</v>
      </c>
      <c r="L159" s="219">
        <f t="shared" si="60"/>
        <v>-16119</v>
      </c>
      <c r="M159" s="219">
        <f t="shared" si="60"/>
        <v>-18264</v>
      </c>
      <c r="N159" s="219">
        <f t="shared" si="60"/>
        <v>-20876</v>
      </c>
      <c r="O159" s="219">
        <f t="shared" si="59"/>
        <v>-21558</v>
      </c>
      <c r="P159" s="219">
        <f t="shared" si="59"/>
        <v>-32823</v>
      </c>
    </row>
    <row r="160" spans="1:16" x14ac:dyDescent="0.15">
      <c r="A160" s="203">
        <f>A159+1</f>
        <v>5</v>
      </c>
      <c r="B160" s="203" t="s">
        <v>142</v>
      </c>
      <c r="D160" s="219">
        <f t="shared" si="61"/>
        <v>0</v>
      </c>
      <c r="E160" s="219">
        <f t="shared" si="61"/>
        <v>0</v>
      </c>
      <c r="F160" s="219">
        <f t="shared" si="61"/>
        <v>0</v>
      </c>
      <c r="G160" s="219">
        <f t="shared" si="61"/>
        <v>0</v>
      </c>
      <c r="H160" s="219">
        <f t="shared" si="61"/>
        <v>0</v>
      </c>
      <c r="I160" s="219">
        <f t="shared" si="61"/>
        <v>0</v>
      </c>
      <c r="J160" s="219">
        <f t="shared" si="60"/>
        <v>0</v>
      </c>
      <c r="K160" s="219">
        <f t="shared" si="60"/>
        <v>-189607</v>
      </c>
      <c r="L160" s="219">
        <f t="shared" si="60"/>
        <v>-153259</v>
      </c>
      <c r="M160" s="219">
        <f t="shared" si="60"/>
        <v>-133197</v>
      </c>
      <c r="N160" s="219">
        <f t="shared" si="60"/>
        <v>-134213</v>
      </c>
      <c r="O160" s="219">
        <f t="shared" si="59"/>
        <v>-133521</v>
      </c>
      <c r="P160" s="219">
        <f t="shared" si="59"/>
        <v>-218182</v>
      </c>
    </row>
    <row r="161" spans="1:16" x14ac:dyDescent="0.15">
      <c r="B161" s="208" t="s">
        <v>171</v>
      </c>
      <c r="D161" s="219"/>
      <c r="E161" s="219"/>
      <c r="F161" s="219"/>
      <c r="G161" s="219"/>
      <c r="H161" s="219"/>
      <c r="I161" s="219"/>
      <c r="J161" s="219"/>
      <c r="K161" s="219"/>
      <c r="L161" s="219"/>
      <c r="M161" s="219"/>
      <c r="N161" s="219"/>
      <c r="O161" s="219"/>
      <c r="P161" s="219"/>
    </row>
    <row r="162" spans="1:16" x14ac:dyDescent="0.15">
      <c r="A162" s="203">
        <f>A160+1</f>
        <v>6</v>
      </c>
      <c r="C162" s="203" t="s">
        <v>143</v>
      </c>
      <c r="D162" s="219">
        <f t="shared" ref="D162:N162" si="62">D13-D88</f>
        <v>0</v>
      </c>
      <c r="E162" s="219">
        <f t="shared" si="62"/>
        <v>0</v>
      </c>
      <c r="F162" s="219">
        <f t="shared" si="62"/>
        <v>0</v>
      </c>
      <c r="G162" s="219">
        <f t="shared" si="62"/>
        <v>0</v>
      </c>
      <c r="H162" s="219">
        <f t="shared" si="62"/>
        <v>0</v>
      </c>
      <c r="I162" s="219">
        <f t="shared" si="62"/>
        <v>0</v>
      </c>
      <c r="J162" s="219">
        <f t="shared" si="62"/>
        <v>0</v>
      </c>
      <c r="K162" s="219">
        <f t="shared" si="62"/>
        <v>-14880</v>
      </c>
      <c r="L162" s="219">
        <f t="shared" si="62"/>
        <v>2731</v>
      </c>
      <c r="M162" s="219">
        <f t="shared" si="62"/>
        <v>-4750173</v>
      </c>
      <c r="N162" s="219">
        <f t="shared" si="62"/>
        <v>-4454905</v>
      </c>
      <c r="O162" s="219">
        <f t="shared" ref="O162:P168" si="63">O13-O88</f>
        <v>-4791400</v>
      </c>
      <c r="P162" s="219">
        <f t="shared" si="63"/>
        <v>-5087330</v>
      </c>
    </row>
    <row r="163" spans="1:16" x14ac:dyDescent="0.15">
      <c r="A163" s="203">
        <f t="shared" ref="A163:A174" si="64">A162+1</f>
        <v>7</v>
      </c>
      <c r="C163" s="203" t="s">
        <v>144</v>
      </c>
      <c r="D163" s="219">
        <f t="shared" ref="D163:N163" si="65">D14-D89</f>
        <v>0</v>
      </c>
      <c r="E163" s="219">
        <f t="shared" si="65"/>
        <v>0</v>
      </c>
      <c r="F163" s="219">
        <f t="shared" si="65"/>
        <v>0</v>
      </c>
      <c r="G163" s="219">
        <f t="shared" si="65"/>
        <v>0</v>
      </c>
      <c r="H163" s="219">
        <f t="shared" si="65"/>
        <v>0</v>
      </c>
      <c r="I163" s="219">
        <f t="shared" si="65"/>
        <v>0</v>
      </c>
      <c r="J163" s="219">
        <f t="shared" si="65"/>
        <v>0</v>
      </c>
      <c r="K163" s="219">
        <f t="shared" si="65"/>
        <v>-4494</v>
      </c>
      <c r="L163" s="219">
        <f t="shared" si="65"/>
        <v>-54683</v>
      </c>
      <c r="M163" s="219">
        <f t="shared" si="65"/>
        <v>-53726</v>
      </c>
      <c r="N163" s="219">
        <f t="shared" si="65"/>
        <v>-55548</v>
      </c>
      <c r="O163" s="219">
        <f t="shared" si="63"/>
        <v>-56533</v>
      </c>
      <c r="P163" s="219">
        <f t="shared" si="63"/>
        <v>-115210</v>
      </c>
    </row>
    <row r="164" spans="1:16" x14ac:dyDescent="0.15">
      <c r="A164" s="203">
        <f t="shared" si="64"/>
        <v>8</v>
      </c>
      <c r="B164" s="208"/>
      <c r="C164" s="208" t="s">
        <v>170</v>
      </c>
      <c r="D164" s="219">
        <f t="shared" ref="D164:N164" si="66">D15-D90</f>
        <v>0</v>
      </c>
      <c r="E164" s="219">
        <f t="shared" si="66"/>
        <v>0</v>
      </c>
      <c r="F164" s="219">
        <f t="shared" si="66"/>
        <v>0</v>
      </c>
      <c r="G164" s="219">
        <f t="shared" si="66"/>
        <v>0</v>
      </c>
      <c r="H164" s="219">
        <f t="shared" si="66"/>
        <v>0</v>
      </c>
      <c r="I164" s="219">
        <f t="shared" si="66"/>
        <v>0</v>
      </c>
      <c r="J164" s="219">
        <f t="shared" si="66"/>
        <v>0</v>
      </c>
      <c r="K164" s="219">
        <f t="shared" si="66"/>
        <v>1659</v>
      </c>
      <c r="L164" s="219">
        <f t="shared" si="66"/>
        <v>-10943</v>
      </c>
      <c r="M164" s="219">
        <f t="shared" si="66"/>
        <v>-14179</v>
      </c>
      <c r="N164" s="219">
        <f t="shared" si="66"/>
        <v>-19858</v>
      </c>
      <c r="O164" s="219">
        <f t="shared" si="63"/>
        <v>-25932</v>
      </c>
      <c r="P164" s="219">
        <f t="shared" si="63"/>
        <v>-47827.000000003725</v>
      </c>
    </row>
    <row r="165" spans="1:16" x14ac:dyDescent="0.15">
      <c r="A165" s="203">
        <f t="shared" si="64"/>
        <v>9</v>
      </c>
      <c r="B165" s="203" t="s">
        <v>145</v>
      </c>
      <c r="D165" s="219">
        <f t="shared" ref="D165:N165" si="67">D16-D91</f>
        <v>0</v>
      </c>
      <c r="E165" s="219">
        <f t="shared" si="67"/>
        <v>0</v>
      </c>
      <c r="F165" s="219">
        <f t="shared" si="67"/>
        <v>0</v>
      </c>
      <c r="G165" s="219">
        <f t="shared" si="67"/>
        <v>0</v>
      </c>
      <c r="H165" s="219">
        <f t="shared" si="67"/>
        <v>0</v>
      </c>
      <c r="I165" s="219">
        <f t="shared" si="67"/>
        <v>0</v>
      </c>
      <c r="J165" s="219">
        <f t="shared" si="67"/>
        <v>0</v>
      </c>
      <c r="K165" s="219">
        <f t="shared" si="67"/>
        <v>841</v>
      </c>
      <c r="L165" s="219">
        <f t="shared" si="67"/>
        <v>60906</v>
      </c>
      <c r="M165" s="219">
        <f t="shared" si="67"/>
        <v>8525</v>
      </c>
      <c r="N165" s="219">
        <f t="shared" si="67"/>
        <v>1730</v>
      </c>
      <c r="O165" s="219">
        <f t="shared" si="63"/>
        <v>-81044</v>
      </c>
      <c r="P165" s="219">
        <f t="shared" si="63"/>
        <v>-99978</v>
      </c>
    </row>
    <row r="166" spans="1:16" x14ac:dyDescent="0.15">
      <c r="A166" s="203">
        <f t="shared" si="64"/>
        <v>10</v>
      </c>
      <c r="B166" s="203" t="s">
        <v>146</v>
      </c>
      <c r="D166" s="219">
        <f t="shared" ref="D166:N166" si="68">D17-D92</f>
        <v>0</v>
      </c>
      <c r="E166" s="219">
        <f t="shared" si="68"/>
        <v>0</v>
      </c>
      <c r="F166" s="219">
        <f t="shared" si="68"/>
        <v>0</v>
      </c>
      <c r="G166" s="219">
        <f t="shared" si="68"/>
        <v>0</v>
      </c>
      <c r="H166" s="219">
        <f t="shared" si="68"/>
        <v>0</v>
      </c>
      <c r="I166" s="219">
        <f t="shared" si="68"/>
        <v>0</v>
      </c>
      <c r="J166" s="219">
        <f t="shared" si="68"/>
        <v>0</v>
      </c>
      <c r="K166" s="219">
        <f t="shared" si="68"/>
        <v>-53451</v>
      </c>
      <c r="L166" s="219">
        <f t="shared" si="68"/>
        <v>60849</v>
      </c>
      <c r="M166" s="219">
        <f t="shared" si="68"/>
        <v>129656</v>
      </c>
      <c r="N166" s="219">
        <f t="shared" si="68"/>
        <v>129323</v>
      </c>
      <c r="O166" s="219">
        <f t="shared" si="63"/>
        <v>5264686</v>
      </c>
      <c r="P166" s="219">
        <f t="shared" si="63"/>
        <v>5301548</v>
      </c>
    </row>
    <row r="167" spans="1:16" x14ac:dyDescent="0.15">
      <c r="A167" s="203">
        <f t="shared" si="64"/>
        <v>11</v>
      </c>
      <c r="B167" s="203" t="s">
        <v>148</v>
      </c>
      <c r="D167" s="219">
        <f t="shared" ref="D167:N167" si="69">D18-D93</f>
        <v>0</v>
      </c>
      <c r="E167" s="219">
        <f t="shared" si="69"/>
        <v>0</v>
      </c>
      <c r="F167" s="219">
        <f t="shared" si="69"/>
        <v>0</v>
      </c>
      <c r="G167" s="219">
        <f t="shared" si="69"/>
        <v>0</v>
      </c>
      <c r="H167" s="219">
        <f t="shared" si="69"/>
        <v>0</v>
      </c>
      <c r="I167" s="219">
        <f t="shared" si="69"/>
        <v>0</v>
      </c>
      <c r="J167" s="219">
        <f t="shared" si="69"/>
        <v>0</v>
      </c>
      <c r="K167" s="219">
        <f t="shared" si="69"/>
        <v>-285</v>
      </c>
      <c r="L167" s="219">
        <f t="shared" si="69"/>
        <v>819</v>
      </c>
      <c r="M167" s="219">
        <f t="shared" si="69"/>
        <v>1480</v>
      </c>
      <c r="N167" s="219">
        <f t="shared" si="69"/>
        <v>1544</v>
      </c>
      <c r="O167" s="219">
        <f t="shared" si="63"/>
        <v>1524</v>
      </c>
      <c r="P167" s="219">
        <f t="shared" si="63"/>
        <v>1423</v>
      </c>
    </row>
    <row r="168" spans="1:16" x14ac:dyDescent="0.15">
      <c r="A168" s="203">
        <f t="shared" si="64"/>
        <v>12</v>
      </c>
      <c r="B168" s="208" t="s">
        <v>244</v>
      </c>
      <c r="D168" s="219">
        <f t="shared" ref="D168:N168" si="70">D19-D94</f>
        <v>0</v>
      </c>
      <c r="E168" s="219">
        <f t="shared" si="70"/>
        <v>0</v>
      </c>
      <c r="F168" s="219">
        <f t="shared" si="70"/>
        <v>0</v>
      </c>
      <c r="G168" s="219">
        <f t="shared" si="70"/>
        <v>0</v>
      </c>
      <c r="H168" s="219">
        <f t="shared" si="70"/>
        <v>0</v>
      </c>
      <c r="I168" s="219">
        <f t="shared" si="70"/>
        <v>0</v>
      </c>
      <c r="J168" s="219">
        <f t="shared" si="70"/>
        <v>0</v>
      </c>
      <c r="K168" s="219">
        <f t="shared" si="70"/>
        <v>-1342</v>
      </c>
      <c r="L168" s="219">
        <f t="shared" si="70"/>
        <v>0</v>
      </c>
      <c r="M168" s="219">
        <f t="shared" si="70"/>
        <v>0</v>
      </c>
      <c r="N168" s="219">
        <f t="shared" si="70"/>
        <v>0</v>
      </c>
      <c r="O168" s="219">
        <f t="shared" si="63"/>
        <v>0</v>
      </c>
      <c r="P168" s="219">
        <f t="shared" si="63"/>
        <v>0</v>
      </c>
    </row>
    <row r="169" spans="1:16" x14ac:dyDescent="0.15">
      <c r="A169" s="203">
        <f t="shared" si="64"/>
        <v>13</v>
      </c>
      <c r="B169" s="208" t="s">
        <v>360</v>
      </c>
      <c r="D169" s="219"/>
      <c r="E169" s="219"/>
      <c r="F169" s="219"/>
      <c r="G169" s="219"/>
      <c r="H169" s="219">
        <v>0</v>
      </c>
      <c r="I169" s="219">
        <v>0</v>
      </c>
      <c r="J169" s="219">
        <v>0</v>
      </c>
      <c r="K169" s="219">
        <f t="shared" ref="K169:K174" si="71">K20-K95</f>
        <v>0</v>
      </c>
      <c r="L169" s="219">
        <v>0</v>
      </c>
      <c r="M169" s="219">
        <v>0</v>
      </c>
      <c r="N169" s="219">
        <v>0</v>
      </c>
      <c r="O169" s="219">
        <v>0</v>
      </c>
      <c r="P169" s="219">
        <v>0</v>
      </c>
    </row>
    <row r="170" spans="1:16" x14ac:dyDescent="0.15">
      <c r="A170" s="203">
        <f t="shared" si="64"/>
        <v>14</v>
      </c>
      <c r="B170" s="203" t="s">
        <v>147</v>
      </c>
      <c r="D170" s="219">
        <f t="shared" ref="D170:J174" si="72">D21-D96</f>
        <v>0</v>
      </c>
      <c r="E170" s="219">
        <f t="shared" si="72"/>
        <v>0</v>
      </c>
      <c r="F170" s="219">
        <f t="shared" si="72"/>
        <v>0</v>
      </c>
      <c r="G170" s="219">
        <f t="shared" si="72"/>
        <v>0</v>
      </c>
      <c r="H170" s="219">
        <f t="shared" si="72"/>
        <v>0</v>
      </c>
      <c r="I170" s="219">
        <f t="shared" si="72"/>
        <v>0</v>
      </c>
      <c r="J170" s="219">
        <f t="shared" si="72"/>
        <v>0</v>
      </c>
      <c r="K170" s="219">
        <f t="shared" si="71"/>
        <v>-147105</v>
      </c>
      <c r="L170" s="219">
        <f t="shared" ref="L170:N174" si="73">L21-L96</f>
        <v>-271337</v>
      </c>
      <c r="M170" s="219">
        <f t="shared" si="73"/>
        <v>-311518</v>
      </c>
      <c r="N170" s="219">
        <f t="shared" si="73"/>
        <v>-360693</v>
      </c>
      <c r="O170" s="219">
        <f t="shared" ref="O170:P174" si="74">O21-O96</f>
        <v>-379522</v>
      </c>
      <c r="P170" s="219">
        <f t="shared" si="74"/>
        <v>-581040</v>
      </c>
    </row>
    <row r="171" spans="1:16" x14ac:dyDescent="0.15">
      <c r="A171" s="203">
        <f t="shared" si="64"/>
        <v>15</v>
      </c>
      <c r="B171" s="203" t="s">
        <v>149</v>
      </c>
      <c r="D171" s="219">
        <f t="shared" si="72"/>
        <v>0</v>
      </c>
      <c r="E171" s="219">
        <f t="shared" si="72"/>
        <v>0</v>
      </c>
      <c r="F171" s="219">
        <f t="shared" si="72"/>
        <v>0</v>
      </c>
      <c r="G171" s="219">
        <f t="shared" si="72"/>
        <v>0</v>
      </c>
      <c r="H171" s="219">
        <f t="shared" si="72"/>
        <v>0</v>
      </c>
      <c r="I171" s="219">
        <f t="shared" si="72"/>
        <v>0</v>
      </c>
      <c r="J171" s="219">
        <f t="shared" si="72"/>
        <v>0</v>
      </c>
      <c r="K171" s="219">
        <f t="shared" si="71"/>
        <v>-78420</v>
      </c>
      <c r="L171" s="219">
        <f t="shared" si="73"/>
        <v>-55461</v>
      </c>
      <c r="M171" s="219">
        <f t="shared" si="73"/>
        <v>-636846</v>
      </c>
      <c r="N171" s="219">
        <f t="shared" si="73"/>
        <v>-304092</v>
      </c>
      <c r="O171" s="219">
        <f t="shared" si="74"/>
        <v>912851</v>
      </c>
      <c r="P171" s="219">
        <f t="shared" si="74"/>
        <v>1461878</v>
      </c>
    </row>
    <row r="172" spans="1:16" x14ac:dyDescent="0.15">
      <c r="A172" s="203">
        <f t="shared" si="64"/>
        <v>16</v>
      </c>
      <c r="B172" s="208" t="s">
        <v>173</v>
      </c>
      <c r="D172" s="219">
        <f t="shared" si="72"/>
        <v>0</v>
      </c>
      <c r="E172" s="219">
        <f t="shared" si="72"/>
        <v>0</v>
      </c>
      <c r="F172" s="219">
        <f t="shared" si="72"/>
        <v>0</v>
      </c>
      <c r="G172" s="219">
        <f t="shared" si="72"/>
        <v>0</v>
      </c>
      <c r="H172" s="219">
        <f t="shared" si="72"/>
        <v>0</v>
      </c>
      <c r="I172" s="219">
        <f t="shared" si="72"/>
        <v>0</v>
      </c>
      <c r="J172" s="219">
        <f t="shared" si="72"/>
        <v>0</v>
      </c>
      <c r="K172" s="219">
        <f t="shared" si="71"/>
        <v>-20928</v>
      </c>
      <c r="L172" s="219">
        <f t="shared" si="73"/>
        <v>-15483</v>
      </c>
      <c r="M172" s="219">
        <f t="shared" si="73"/>
        <v>-20864</v>
      </c>
      <c r="N172" s="219">
        <f t="shared" si="73"/>
        <v>-123027</v>
      </c>
      <c r="O172" s="219">
        <f t="shared" si="74"/>
        <v>-358105</v>
      </c>
      <c r="P172" s="219">
        <f t="shared" si="74"/>
        <v>-604031</v>
      </c>
    </row>
    <row r="173" spans="1:16" x14ac:dyDescent="0.15">
      <c r="A173" s="203">
        <f t="shared" si="64"/>
        <v>17</v>
      </c>
      <c r="B173" s="208" t="s">
        <v>168</v>
      </c>
      <c r="C173" s="208"/>
      <c r="D173" s="219">
        <f t="shared" si="72"/>
        <v>0</v>
      </c>
      <c r="E173" s="219">
        <f t="shared" si="72"/>
        <v>0</v>
      </c>
      <c r="F173" s="219">
        <f t="shared" si="72"/>
        <v>0</v>
      </c>
      <c r="G173" s="219">
        <f t="shared" si="72"/>
        <v>0</v>
      </c>
      <c r="H173" s="219">
        <f t="shared" si="72"/>
        <v>0</v>
      </c>
      <c r="I173" s="219">
        <f t="shared" si="72"/>
        <v>0</v>
      </c>
      <c r="J173" s="219">
        <f t="shared" si="72"/>
        <v>0</v>
      </c>
      <c r="K173" s="219">
        <f t="shared" si="71"/>
        <v>-1677</v>
      </c>
      <c r="L173" s="219">
        <f t="shared" si="73"/>
        <v>-1812096</v>
      </c>
      <c r="M173" s="219">
        <f t="shared" si="73"/>
        <v>-833996</v>
      </c>
      <c r="N173" s="219">
        <f t="shared" si="73"/>
        <v>-739493</v>
      </c>
      <c r="O173" s="219">
        <f t="shared" si="74"/>
        <v>-450333</v>
      </c>
      <c r="P173" s="219">
        <f t="shared" si="74"/>
        <v>-309696</v>
      </c>
    </row>
    <row r="174" spans="1:16" x14ac:dyDescent="0.15">
      <c r="A174" s="203">
        <f t="shared" si="64"/>
        <v>18</v>
      </c>
      <c r="B174" s="203" t="s">
        <v>150</v>
      </c>
      <c r="D174" s="219">
        <f t="shared" si="72"/>
        <v>0</v>
      </c>
      <c r="E174" s="219">
        <f t="shared" si="72"/>
        <v>0</v>
      </c>
      <c r="F174" s="219">
        <f t="shared" si="72"/>
        <v>0</v>
      </c>
      <c r="G174" s="219">
        <f t="shared" si="72"/>
        <v>0</v>
      </c>
      <c r="H174" s="219">
        <f t="shared" si="72"/>
        <v>0</v>
      </c>
      <c r="I174" s="219">
        <f t="shared" si="72"/>
        <v>0</v>
      </c>
      <c r="J174" s="219">
        <f t="shared" si="72"/>
        <v>0</v>
      </c>
      <c r="K174" s="219">
        <f t="shared" si="71"/>
        <v>-570852</v>
      </c>
      <c r="L174" s="219">
        <f t="shared" si="73"/>
        <v>-562568</v>
      </c>
      <c r="M174" s="219">
        <f t="shared" si="73"/>
        <v>-72947</v>
      </c>
      <c r="N174" s="219">
        <f t="shared" si="73"/>
        <v>13258</v>
      </c>
      <c r="O174" s="219">
        <f t="shared" si="74"/>
        <v>127094</v>
      </c>
      <c r="P174" s="219">
        <f t="shared" si="74"/>
        <v>-172059</v>
      </c>
    </row>
    <row r="175" spans="1:16" x14ac:dyDescent="0.15">
      <c r="B175" s="208" t="s">
        <v>172</v>
      </c>
      <c r="D175" s="219"/>
      <c r="E175" s="219"/>
      <c r="F175" s="219"/>
      <c r="G175" s="219"/>
      <c r="H175" s="219"/>
      <c r="I175" s="219"/>
      <c r="J175" s="219"/>
      <c r="K175" s="219"/>
      <c r="L175" s="219"/>
      <c r="M175" s="219"/>
      <c r="N175" s="219"/>
      <c r="O175" s="219"/>
      <c r="P175" s="219"/>
    </row>
    <row r="176" spans="1:16" x14ac:dyDescent="0.15">
      <c r="A176" s="203">
        <f>A174+1</f>
        <v>19</v>
      </c>
      <c r="B176" s="208"/>
      <c r="C176" s="208" t="s">
        <v>175</v>
      </c>
      <c r="D176" s="219">
        <f t="shared" ref="D176:N176" si="75">D27-D102</f>
        <v>0</v>
      </c>
      <c r="E176" s="219">
        <f t="shared" si="75"/>
        <v>0</v>
      </c>
      <c r="F176" s="219">
        <f t="shared" si="75"/>
        <v>0</v>
      </c>
      <c r="G176" s="219">
        <f t="shared" si="75"/>
        <v>0</v>
      </c>
      <c r="H176" s="219">
        <f t="shared" si="75"/>
        <v>0</v>
      </c>
      <c r="I176" s="219">
        <f t="shared" si="75"/>
        <v>0</v>
      </c>
      <c r="J176" s="219">
        <f t="shared" si="75"/>
        <v>0</v>
      </c>
      <c r="K176" s="219">
        <f t="shared" si="75"/>
        <v>-15733</v>
      </c>
      <c r="L176" s="219">
        <f t="shared" si="75"/>
        <v>-94583</v>
      </c>
      <c r="M176" s="219">
        <f t="shared" si="75"/>
        <v>-213578</v>
      </c>
      <c r="N176" s="219">
        <f t="shared" si="75"/>
        <v>-199026</v>
      </c>
      <c r="O176" s="219">
        <f t="shared" ref="O176:P180" si="76">O27-O102</f>
        <v>-71704</v>
      </c>
      <c r="P176" s="219">
        <f t="shared" si="76"/>
        <v>2459</v>
      </c>
    </row>
    <row r="177" spans="1:16" x14ac:dyDescent="0.15">
      <c r="A177" s="203">
        <f>A176+1</f>
        <v>20</v>
      </c>
      <c r="B177" s="208"/>
      <c r="C177" s="208" t="s">
        <v>182</v>
      </c>
      <c r="D177" s="219">
        <f t="shared" ref="D177:N177" si="77">D28-D103</f>
        <v>0</v>
      </c>
      <c r="E177" s="219">
        <f t="shared" si="77"/>
        <v>0</v>
      </c>
      <c r="F177" s="219">
        <f t="shared" si="77"/>
        <v>0</v>
      </c>
      <c r="G177" s="219">
        <f t="shared" si="77"/>
        <v>0</v>
      </c>
      <c r="H177" s="219">
        <f t="shared" si="77"/>
        <v>0</v>
      </c>
      <c r="I177" s="219">
        <f t="shared" si="77"/>
        <v>0</v>
      </c>
      <c r="J177" s="219">
        <f t="shared" si="77"/>
        <v>0</v>
      </c>
      <c r="K177" s="219">
        <f t="shared" si="77"/>
        <v>-1</v>
      </c>
      <c r="L177" s="219">
        <f t="shared" si="77"/>
        <v>-15703</v>
      </c>
      <c r="M177" s="219">
        <f t="shared" si="77"/>
        <v>-77</v>
      </c>
      <c r="N177" s="219">
        <f t="shared" si="77"/>
        <v>1211</v>
      </c>
      <c r="O177" s="219">
        <f t="shared" si="76"/>
        <v>474</v>
      </c>
      <c r="P177" s="219">
        <f t="shared" si="76"/>
        <v>474</v>
      </c>
    </row>
    <row r="178" spans="1:16" x14ac:dyDescent="0.15">
      <c r="A178" s="203">
        <f>A177+1</f>
        <v>21</v>
      </c>
      <c r="B178" s="208"/>
      <c r="C178" s="208" t="s">
        <v>201</v>
      </c>
      <c r="D178" s="219">
        <f t="shared" ref="D178:N178" si="78">D29-D104</f>
        <v>0</v>
      </c>
      <c r="E178" s="219">
        <f t="shared" si="78"/>
        <v>0</v>
      </c>
      <c r="F178" s="219">
        <f t="shared" si="78"/>
        <v>0</v>
      </c>
      <c r="G178" s="219">
        <f t="shared" si="78"/>
        <v>0</v>
      </c>
      <c r="H178" s="219">
        <f t="shared" si="78"/>
        <v>0</v>
      </c>
      <c r="I178" s="219">
        <f t="shared" si="78"/>
        <v>0</v>
      </c>
      <c r="J178" s="219">
        <f t="shared" si="78"/>
        <v>0</v>
      </c>
      <c r="K178" s="219">
        <f t="shared" si="78"/>
        <v>0</v>
      </c>
      <c r="L178" s="219">
        <f t="shared" si="78"/>
        <v>777</v>
      </c>
      <c r="M178" s="219">
        <f t="shared" si="78"/>
        <v>0</v>
      </c>
      <c r="N178" s="219">
        <f t="shared" si="78"/>
        <v>0</v>
      </c>
      <c r="O178" s="219">
        <f t="shared" si="76"/>
        <v>0</v>
      </c>
      <c r="P178" s="219">
        <f t="shared" si="76"/>
        <v>0</v>
      </c>
    </row>
    <row r="179" spans="1:16" x14ac:dyDescent="0.15">
      <c r="A179" s="203">
        <f>A178+1</f>
        <v>22</v>
      </c>
      <c r="B179" s="208"/>
      <c r="C179" s="208" t="s">
        <v>183</v>
      </c>
      <c r="D179" s="219">
        <f t="shared" ref="D179:N179" si="79">D30-D105</f>
        <v>0</v>
      </c>
      <c r="E179" s="219">
        <f t="shared" si="79"/>
        <v>0</v>
      </c>
      <c r="F179" s="219">
        <f t="shared" si="79"/>
        <v>0</v>
      </c>
      <c r="G179" s="219">
        <f t="shared" si="79"/>
        <v>0</v>
      </c>
      <c r="H179" s="219">
        <f t="shared" si="79"/>
        <v>0</v>
      </c>
      <c r="I179" s="219">
        <f t="shared" si="79"/>
        <v>0</v>
      </c>
      <c r="J179" s="219">
        <f t="shared" si="79"/>
        <v>0</v>
      </c>
      <c r="K179" s="219">
        <f t="shared" si="79"/>
        <v>0</v>
      </c>
      <c r="L179" s="219">
        <f t="shared" si="79"/>
        <v>1055</v>
      </c>
      <c r="M179" s="219">
        <f t="shared" si="79"/>
        <v>9173</v>
      </c>
      <c r="N179" s="219">
        <f t="shared" si="79"/>
        <v>10376</v>
      </c>
      <c r="O179" s="219">
        <f t="shared" si="76"/>
        <v>41476</v>
      </c>
      <c r="P179" s="219">
        <f t="shared" si="76"/>
        <v>41208</v>
      </c>
    </row>
    <row r="180" spans="1:16" x14ac:dyDescent="0.15">
      <c r="A180" s="203">
        <f>A179+1</f>
        <v>23</v>
      </c>
      <c r="B180" s="208"/>
      <c r="C180" s="208" t="s">
        <v>251</v>
      </c>
      <c r="D180" s="219">
        <f t="shared" ref="D180:N180" si="80">D31-D106</f>
        <v>0</v>
      </c>
      <c r="E180" s="219">
        <f t="shared" si="80"/>
        <v>0</v>
      </c>
      <c r="F180" s="219">
        <f t="shared" si="80"/>
        <v>0</v>
      </c>
      <c r="G180" s="219">
        <f t="shared" si="80"/>
        <v>0</v>
      </c>
      <c r="H180" s="219">
        <f t="shared" si="80"/>
        <v>0</v>
      </c>
      <c r="I180" s="219">
        <f t="shared" si="80"/>
        <v>0</v>
      </c>
      <c r="J180" s="219">
        <f t="shared" si="80"/>
        <v>0</v>
      </c>
      <c r="K180" s="219">
        <f t="shared" si="80"/>
        <v>-55089</v>
      </c>
      <c r="L180" s="219">
        <f t="shared" si="80"/>
        <v>1</v>
      </c>
      <c r="M180" s="219">
        <f t="shared" si="80"/>
        <v>1</v>
      </c>
      <c r="N180" s="219">
        <f t="shared" si="80"/>
        <v>1</v>
      </c>
      <c r="O180" s="219">
        <f t="shared" si="76"/>
        <v>1</v>
      </c>
      <c r="P180" s="219">
        <f t="shared" si="76"/>
        <v>1</v>
      </c>
    </row>
    <row r="181" spans="1:16" x14ac:dyDescent="0.15">
      <c r="D181" s="207"/>
      <c r="E181" s="207"/>
      <c r="F181" s="207"/>
      <c r="G181" s="207"/>
      <c r="H181" s="207"/>
      <c r="I181" s="207"/>
      <c r="J181" s="207"/>
      <c r="K181" s="207"/>
      <c r="L181" s="207"/>
      <c r="M181" s="207"/>
      <c r="N181" s="207"/>
      <c r="O181" s="207"/>
      <c r="P181" s="207"/>
    </row>
    <row r="182" spans="1:16" x14ac:dyDescent="0.15">
      <c r="A182" s="203">
        <f>A180+1</f>
        <v>24</v>
      </c>
      <c r="B182" s="208" t="s">
        <v>158</v>
      </c>
      <c r="D182" s="219">
        <f t="shared" ref="D182:N182" si="81">D34-D108</f>
        <v>0</v>
      </c>
      <c r="E182" s="219">
        <f t="shared" si="81"/>
        <v>0</v>
      </c>
      <c r="F182" s="219">
        <f t="shared" si="81"/>
        <v>0</v>
      </c>
      <c r="G182" s="219">
        <f t="shared" si="81"/>
        <v>0</v>
      </c>
      <c r="H182" s="219">
        <f t="shared" si="81"/>
        <v>0</v>
      </c>
      <c r="I182" s="219">
        <f t="shared" si="81"/>
        <v>0</v>
      </c>
      <c r="J182" s="219">
        <f t="shared" si="81"/>
        <v>0</v>
      </c>
      <c r="K182" s="219">
        <f t="shared" si="81"/>
        <v>-4697279</v>
      </c>
      <c r="L182" s="219">
        <f t="shared" si="81"/>
        <v>-9814064</v>
      </c>
      <c r="M182" s="219">
        <f t="shared" si="81"/>
        <v>-14706953</v>
      </c>
      <c r="N182" s="219">
        <f t="shared" si="81"/>
        <v>-15168096</v>
      </c>
      <c r="O182" s="219">
        <f>O34-O108</f>
        <v>-9224195</v>
      </c>
      <c r="P182" s="219">
        <f>P34-P108</f>
        <v>-14476193</v>
      </c>
    </row>
    <row r="183" spans="1:16" x14ac:dyDescent="0.15">
      <c r="D183" s="207"/>
      <c r="E183" s="207"/>
      <c r="F183" s="207"/>
      <c r="G183" s="207"/>
      <c r="H183" s="207"/>
      <c r="I183" s="207"/>
      <c r="J183" s="207"/>
      <c r="K183" s="207"/>
      <c r="L183" s="207"/>
      <c r="M183" s="207"/>
      <c r="N183" s="207"/>
      <c r="O183" s="207"/>
      <c r="P183" s="207"/>
    </row>
    <row r="184" spans="1:16" x14ac:dyDescent="0.15">
      <c r="B184" s="208" t="s">
        <v>156</v>
      </c>
      <c r="C184" s="208"/>
      <c r="D184" s="207"/>
      <c r="E184" s="207"/>
      <c r="F184" s="207"/>
      <c r="G184" s="207"/>
      <c r="H184" s="207"/>
      <c r="I184" s="207"/>
      <c r="J184" s="207"/>
      <c r="K184" s="207"/>
      <c r="L184" s="207"/>
      <c r="M184" s="207"/>
      <c r="N184" s="207"/>
      <c r="O184" s="207"/>
      <c r="P184" s="207"/>
    </row>
    <row r="185" spans="1:16" x14ac:dyDescent="0.15">
      <c r="A185" s="203">
        <f>A182+1</f>
        <v>25</v>
      </c>
      <c r="B185" s="203" t="s">
        <v>153</v>
      </c>
      <c r="D185" s="219">
        <f t="shared" ref="D185:N185" si="82">D37-D111</f>
        <v>0</v>
      </c>
      <c r="E185" s="219">
        <f t="shared" si="82"/>
        <v>0</v>
      </c>
      <c r="F185" s="219">
        <f t="shared" si="82"/>
        <v>0</v>
      </c>
      <c r="G185" s="219">
        <f t="shared" si="82"/>
        <v>0</v>
      </c>
      <c r="H185" s="219">
        <f t="shared" si="82"/>
        <v>0</v>
      </c>
      <c r="I185" s="219">
        <f t="shared" si="82"/>
        <v>0</v>
      </c>
      <c r="J185" s="219">
        <f t="shared" si="82"/>
        <v>0</v>
      </c>
      <c r="K185" s="219">
        <f t="shared" si="82"/>
        <v>-96077</v>
      </c>
      <c r="L185" s="219">
        <f t="shared" si="82"/>
        <v>26112</v>
      </c>
      <c r="M185" s="219">
        <f t="shared" si="82"/>
        <v>37826</v>
      </c>
      <c r="N185" s="219">
        <f t="shared" si="82"/>
        <v>-3581776</v>
      </c>
      <c r="O185" s="219">
        <f t="shared" ref="O185:P189" si="83">O37-O111</f>
        <v>-3922311</v>
      </c>
      <c r="P185" s="219">
        <f t="shared" si="83"/>
        <v>-3999835</v>
      </c>
    </row>
    <row r="186" spans="1:16" x14ac:dyDescent="0.15">
      <c r="A186" s="203">
        <f>A185+1</f>
        <v>26</v>
      </c>
      <c r="B186" s="203" t="s">
        <v>152</v>
      </c>
      <c r="D186" s="219">
        <f t="shared" ref="D186:N186" si="84">D38-D112</f>
        <v>0</v>
      </c>
      <c r="E186" s="219">
        <f t="shared" si="84"/>
        <v>0</v>
      </c>
      <c r="F186" s="219">
        <f t="shared" si="84"/>
        <v>0</v>
      </c>
      <c r="G186" s="219">
        <f t="shared" si="84"/>
        <v>0</v>
      </c>
      <c r="H186" s="219">
        <f t="shared" si="84"/>
        <v>0</v>
      </c>
      <c r="I186" s="219">
        <f t="shared" si="84"/>
        <v>0</v>
      </c>
      <c r="J186" s="219">
        <f t="shared" si="84"/>
        <v>0</v>
      </c>
      <c r="K186" s="219">
        <f t="shared" si="84"/>
        <v>-70678</v>
      </c>
      <c r="L186" s="219">
        <f t="shared" si="84"/>
        <v>41081</v>
      </c>
      <c r="M186" s="219">
        <f t="shared" si="84"/>
        <v>-426299</v>
      </c>
      <c r="N186" s="219">
        <f t="shared" si="84"/>
        <v>-284057</v>
      </c>
      <c r="O186" s="219">
        <f t="shared" si="83"/>
        <v>777283</v>
      </c>
      <c r="P186" s="219">
        <f t="shared" si="83"/>
        <v>1229667</v>
      </c>
    </row>
    <row r="187" spans="1:16" x14ac:dyDescent="0.15">
      <c r="A187" s="203">
        <f>A186+1</f>
        <v>27</v>
      </c>
      <c r="B187" s="208" t="s">
        <v>174</v>
      </c>
      <c r="D187" s="219">
        <f t="shared" ref="D187:N187" si="85">D39-D113</f>
        <v>0</v>
      </c>
      <c r="E187" s="219">
        <f t="shared" si="85"/>
        <v>0</v>
      </c>
      <c r="F187" s="219">
        <f t="shared" si="85"/>
        <v>0</v>
      </c>
      <c r="G187" s="219">
        <f t="shared" si="85"/>
        <v>0</v>
      </c>
      <c r="H187" s="219">
        <f t="shared" si="85"/>
        <v>0</v>
      </c>
      <c r="I187" s="219">
        <f t="shared" si="85"/>
        <v>0</v>
      </c>
      <c r="J187" s="219">
        <f t="shared" si="85"/>
        <v>0</v>
      </c>
      <c r="K187" s="219">
        <f t="shared" si="85"/>
        <v>-27715</v>
      </c>
      <c r="L187" s="219">
        <f t="shared" si="85"/>
        <v>24150</v>
      </c>
      <c r="M187" s="219">
        <f t="shared" si="85"/>
        <v>25705</v>
      </c>
      <c r="N187" s="219">
        <f t="shared" si="85"/>
        <v>-150629</v>
      </c>
      <c r="O187" s="219">
        <f t="shared" si="83"/>
        <v>-348871</v>
      </c>
      <c r="P187" s="219">
        <f t="shared" si="83"/>
        <v>-540396</v>
      </c>
    </row>
    <row r="188" spans="1:16" x14ac:dyDescent="0.15">
      <c r="A188" s="203">
        <f>A187+1</f>
        <v>28</v>
      </c>
      <c r="B188" s="208" t="s">
        <v>168</v>
      </c>
      <c r="C188" s="208"/>
      <c r="D188" s="219">
        <f t="shared" ref="D188:N188" si="86">D40-D114</f>
        <v>0</v>
      </c>
      <c r="E188" s="219">
        <f t="shared" si="86"/>
        <v>0</v>
      </c>
      <c r="F188" s="219">
        <f t="shared" si="86"/>
        <v>0</v>
      </c>
      <c r="G188" s="219">
        <f t="shared" si="86"/>
        <v>0</v>
      </c>
      <c r="H188" s="219">
        <f t="shared" si="86"/>
        <v>0</v>
      </c>
      <c r="I188" s="219">
        <f t="shared" si="86"/>
        <v>0</v>
      </c>
      <c r="J188" s="219">
        <f t="shared" si="86"/>
        <v>0</v>
      </c>
      <c r="K188" s="219">
        <f t="shared" si="86"/>
        <v>-1179</v>
      </c>
      <c r="L188" s="219">
        <f t="shared" si="86"/>
        <v>-606125</v>
      </c>
      <c r="M188" s="219">
        <f t="shared" si="86"/>
        <v>-1008646</v>
      </c>
      <c r="N188" s="219">
        <f t="shared" si="86"/>
        <v>-1247968</v>
      </c>
      <c r="O188" s="219">
        <f t="shared" si="83"/>
        <v>-1203533</v>
      </c>
      <c r="P188" s="219">
        <f t="shared" si="83"/>
        <v>-1146550</v>
      </c>
    </row>
    <row r="189" spans="1:16" x14ac:dyDescent="0.15">
      <c r="A189" s="203">
        <f>A188+1</f>
        <v>29</v>
      </c>
      <c r="B189" s="203" t="s">
        <v>154</v>
      </c>
      <c r="D189" s="219">
        <f t="shared" ref="D189:N189" si="87">D41-D115</f>
        <v>0</v>
      </c>
      <c r="E189" s="219">
        <f t="shared" si="87"/>
        <v>0</v>
      </c>
      <c r="F189" s="219">
        <f t="shared" si="87"/>
        <v>0</v>
      </c>
      <c r="G189" s="219">
        <f t="shared" si="87"/>
        <v>0</v>
      </c>
      <c r="H189" s="219">
        <f t="shared" si="87"/>
        <v>0</v>
      </c>
      <c r="I189" s="219">
        <f t="shared" si="87"/>
        <v>0</v>
      </c>
      <c r="J189" s="219">
        <f t="shared" si="87"/>
        <v>0</v>
      </c>
      <c r="K189" s="219">
        <f t="shared" si="87"/>
        <v>-512538</v>
      </c>
      <c r="L189" s="219">
        <f t="shared" si="87"/>
        <v>-728507</v>
      </c>
      <c r="M189" s="219">
        <f t="shared" si="87"/>
        <v>-108311</v>
      </c>
      <c r="N189" s="219">
        <f t="shared" si="87"/>
        <v>-911115</v>
      </c>
      <c r="O189" s="219">
        <f t="shared" si="83"/>
        <v>-316915</v>
      </c>
      <c r="P189" s="219">
        <f t="shared" si="83"/>
        <v>-22647</v>
      </c>
    </row>
    <row r="190" spans="1:16" x14ac:dyDescent="0.15">
      <c r="D190" s="207"/>
      <c r="E190" s="207"/>
      <c r="F190" s="207"/>
      <c r="G190" s="207"/>
      <c r="H190" s="207"/>
      <c r="I190" s="207"/>
      <c r="J190" s="207"/>
      <c r="K190" s="207"/>
      <c r="L190" s="207"/>
      <c r="M190" s="207"/>
      <c r="N190" s="207"/>
      <c r="O190" s="207"/>
      <c r="P190" s="207"/>
    </row>
    <row r="191" spans="1:16" x14ac:dyDescent="0.15">
      <c r="A191" s="203">
        <f>A189+1</f>
        <v>30</v>
      </c>
      <c r="B191" s="208" t="s">
        <v>159</v>
      </c>
      <c r="C191" s="208"/>
      <c r="D191" s="219">
        <f t="shared" ref="D191:N191" si="88">D43-D117</f>
        <v>0</v>
      </c>
      <c r="E191" s="219">
        <f t="shared" si="88"/>
        <v>0</v>
      </c>
      <c r="F191" s="219">
        <f t="shared" si="88"/>
        <v>0</v>
      </c>
      <c r="G191" s="219">
        <f t="shared" si="88"/>
        <v>0</v>
      </c>
      <c r="H191" s="219">
        <f t="shared" si="88"/>
        <v>0</v>
      </c>
      <c r="I191" s="219">
        <f t="shared" si="88"/>
        <v>0</v>
      </c>
      <c r="J191" s="219">
        <f t="shared" si="88"/>
        <v>0</v>
      </c>
      <c r="K191" s="219">
        <f t="shared" si="88"/>
        <v>-708187</v>
      </c>
      <c r="L191" s="219">
        <f t="shared" si="88"/>
        <v>-1243289</v>
      </c>
      <c r="M191" s="219">
        <f t="shared" si="88"/>
        <v>-1479725</v>
      </c>
      <c r="N191" s="219">
        <f t="shared" si="88"/>
        <v>-6175545</v>
      </c>
      <c r="O191" s="219">
        <f>O43-O117</f>
        <v>-5014347</v>
      </c>
      <c r="P191" s="219">
        <f>P43-P117</f>
        <v>-4479761</v>
      </c>
    </row>
    <row r="192" spans="1:16" x14ac:dyDescent="0.15">
      <c r="B192" s="208"/>
      <c r="C192" s="208"/>
      <c r="D192" s="207"/>
      <c r="E192" s="207"/>
      <c r="F192" s="207"/>
      <c r="G192" s="207"/>
      <c r="H192" s="207"/>
      <c r="I192" s="207"/>
      <c r="J192" s="207"/>
      <c r="K192" s="207"/>
      <c r="L192" s="207"/>
      <c r="M192" s="207"/>
      <c r="N192" s="207"/>
      <c r="O192" s="207"/>
      <c r="P192" s="207"/>
    </row>
    <row r="193" spans="1:16" x14ac:dyDescent="0.15">
      <c r="B193" s="208" t="s">
        <v>157</v>
      </c>
      <c r="C193" s="208"/>
      <c r="D193" s="207"/>
      <c r="E193" s="207"/>
      <c r="F193" s="207"/>
      <c r="G193" s="207"/>
      <c r="H193" s="207"/>
      <c r="I193" s="207"/>
      <c r="J193" s="207"/>
      <c r="K193" s="207"/>
      <c r="L193" s="207"/>
      <c r="M193" s="207"/>
      <c r="N193" s="207"/>
      <c r="O193" s="207"/>
      <c r="P193" s="207"/>
    </row>
    <row r="194" spans="1:16" x14ac:dyDescent="0.15">
      <c r="A194" s="203">
        <f>A191+1</f>
        <v>31</v>
      </c>
      <c r="B194" s="203" t="s">
        <v>141</v>
      </c>
      <c r="D194" s="219">
        <f t="shared" ref="D194:N194" si="89">D46-D120</f>
        <v>0</v>
      </c>
      <c r="E194" s="219">
        <f t="shared" si="89"/>
        <v>0</v>
      </c>
      <c r="F194" s="219">
        <f t="shared" si="89"/>
        <v>0</v>
      </c>
      <c r="G194" s="219">
        <f t="shared" si="89"/>
        <v>0</v>
      </c>
      <c r="H194" s="219">
        <f t="shared" si="89"/>
        <v>0</v>
      </c>
      <c r="I194" s="219">
        <f t="shared" si="89"/>
        <v>0</v>
      </c>
      <c r="J194" s="219">
        <f t="shared" si="89"/>
        <v>0</v>
      </c>
      <c r="K194" s="219">
        <f t="shared" si="89"/>
        <v>-3537046</v>
      </c>
      <c r="L194" s="219">
        <f t="shared" si="89"/>
        <v>-6878967</v>
      </c>
      <c r="M194" s="219">
        <f t="shared" si="89"/>
        <v>-7796423</v>
      </c>
      <c r="N194" s="219">
        <f t="shared" si="89"/>
        <v>-8913808</v>
      </c>
      <c r="O194" s="219">
        <f t="shared" ref="O194:P197" si="90">O46-O120</f>
        <v>-9202649</v>
      </c>
      <c r="P194" s="219">
        <f t="shared" si="90"/>
        <v>-14017008</v>
      </c>
    </row>
    <row r="195" spans="1:16" x14ac:dyDescent="0.15">
      <c r="A195" s="203">
        <f>A194+1</f>
        <v>32</v>
      </c>
      <c r="B195" s="208" t="s">
        <v>299</v>
      </c>
      <c r="D195" s="219"/>
      <c r="E195" s="219"/>
      <c r="F195" s="219"/>
      <c r="G195" s="219">
        <f t="shared" ref="G195:N197" si="91">G47-G121</f>
        <v>0</v>
      </c>
      <c r="H195" s="219">
        <f t="shared" si="91"/>
        <v>0</v>
      </c>
      <c r="I195" s="219">
        <f t="shared" si="91"/>
        <v>0</v>
      </c>
      <c r="J195" s="219">
        <f t="shared" si="91"/>
        <v>0</v>
      </c>
      <c r="K195" s="219">
        <f t="shared" si="91"/>
        <v>0</v>
      </c>
      <c r="L195" s="219">
        <f t="shared" si="91"/>
        <v>0</v>
      </c>
      <c r="M195" s="219">
        <f t="shared" si="91"/>
        <v>0</v>
      </c>
      <c r="N195" s="219">
        <f t="shared" si="91"/>
        <v>0</v>
      </c>
      <c r="O195" s="219">
        <f t="shared" si="90"/>
        <v>0</v>
      </c>
      <c r="P195" s="219">
        <f t="shared" si="90"/>
        <v>0</v>
      </c>
    </row>
    <row r="196" spans="1:16" x14ac:dyDescent="0.15">
      <c r="A196" s="203">
        <f>A195+1</f>
        <v>33</v>
      </c>
      <c r="B196" s="208" t="s">
        <v>167</v>
      </c>
      <c r="C196" s="208"/>
      <c r="D196" s="219">
        <f t="shared" ref="D196:F197" si="92">D48-D122</f>
        <v>0</v>
      </c>
      <c r="E196" s="219">
        <f t="shared" si="92"/>
        <v>0</v>
      </c>
      <c r="F196" s="219">
        <f t="shared" si="92"/>
        <v>0</v>
      </c>
      <c r="G196" s="219">
        <f t="shared" si="91"/>
        <v>0</v>
      </c>
      <c r="H196" s="219">
        <f t="shared" si="91"/>
        <v>0</v>
      </c>
      <c r="I196" s="219">
        <f t="shared" si="91"/>
        <v>0</v>
      </c>
      <c r="J196" s="219">
        <f t="shared" si="91"/>
        <v>0</v>
      </c>
      <c r="K196" s="219">
        <f t="shared" si="91"/>
        <v>-8869</v>
      </c>
      <c r="L196" s="219">
        <f t="shared" si="91"/>
        <v>-16119</v>
      </c>
      <c r="M196" s="219">
        <f t="shared" si="91"/>
        <v>-18264</v>
      </c>
      <c r="N196" s="219">
        <f t="shared" si="91"/>
        <v>-20876</v>
      </c>
      <c r="O196" s="219">
        <f t="shared" si="90"/>
        <v>-21558</v>
      </c>
      <c r="P196" s="219">
        <f t="shared" si="90"/>
        <v>-32823</v>
      </c>
    </row>
    <row r="197" spans="1:16" x14ac:dyDescent="0.15">
      <c r="A197" s="203">
        <f>A196+1</f>
        <v>34</v>
      </c>
      <c r="B197" s="203" t="s">
        <v>142</v>
      </c>
      <c r="D197" s="219">
        <f t="shared" si="92"/>
        <v>0</v>
      </c>
      <c r="E197" s="219">
        <f t="shared" si="92"/>
        <v>0</v>
      </c>
      <c r="F197" s="219">
        <f t="shared" si="92"/>
        <v>0</v>
      </c>
      <c r="G197" s="219">
        <f t="shared" si="91"/>
        <v>0</v>
      </c>
      <c r="H197" s="219">
        <f t="shared" si="91"/>
        <v>0</v>
      </c>
      <c r="I197" s="219">
        <f t="shared" si="91"/>
        <v>0</v>
      </c>
      <c r="J197" s="219">
        <f t="shared" si="91"/>
        <v>0</v>
      </c>
      <c r="K197" s="219">
        <f t="shared" si="91"/>
        <v>-189607</v>
      </c>
      <c r="L197" s="219">
        <f t="shared" si="91"/>
        <v>-153259</v>
      </c>
      <c r="M197" s="219">
        <f t="shared" si="91"/>
        <v>-133197</v>
      </c>
      <c r="N197" s="219">
        <f t="shared" si="91"/>
        <v>-134213</v>
      </c>
      <c r="O197" s="219">
        <f t="shared" si="90"/>
        <v>-133521</v>
      </c>
      <c r="P197" s="219">
        <f t="shared" si="90"/>
        <v>-218182</v>
      </c>
    </row>
    <row r="198" spans="1:16" x14ac:dyDescent="0.15">
      <c r="B198" s="208" t="s">
        <v>171</v>
      </c>
      <c r="D198" s="219"/>
      <c r="E198" s="219"/>
      <c r="F198" s="219"/>
      <c r="G198" s="219"/>
      <c r="H198" s="219"/>
      <c r="I198" s="219"/>
      <c r="J198" s="219"/>
      <c r="K198" s="219"/>
      <c r="L198" s="219"/>
      <c r="M198" s="219"/>
      <c r="N198" s="219"/>
      <c r="O198" s="219"/>
      <c r="P198" s="219"/>
    </row>
    <row r="199" spans="1:16" x14ac:dyDescent="0.15">
      <c r="A199" s="203">
        <f>A197+1</f>
        <v>35</v>
      </c>
      <c r="C199" s="203" t="s">
        <v>143</v>
      </c>
      <c r="D199" s="219">
        <f t="shared" ref="D199:N199" si="93">D51-D125</f>
        <v>0</v>
      </c>
      <c r="E199" s="219">
        <f t="shared" si="93"/>
        <v>0</v>
      </c>
      <c r="F199" s="219">
        <f t="shared" si="93"/>
        <v>0</v>
      </c>
      <c r="G199" s="219">
        <f t="shared" si="93"/>
        <v>0</v>
      </c>
      <c r="H199" s="219">
        <f t="shared" si="93"/>
        <v>0</v>
      </c>
      <c r="I199" s="219">
        <f t="shared" si="93"/>
        <v>0</v>
      </c>
      <c r="J199" s="219">
        <f t="shared" si="93"/>
        <v>0</v>
      </c>
      <c r="K199" s="219">
        <f t="shared" si="93"/>
        <v>-14880</v>
      </c>
      <c r="L199" s="219">
        <f t="shared" si="93"/>
        <v>2731</v>
      </c>
      <c r="M199" s="219">
        <f t="shared" si="93"/>
        <v>-4750173</v>
      </c>
      <c r="N199" s="219">
        <f t="shared" si="93"/>
        <v>-4454905</v>
      </c>
      <c r="O199" s="219">
        <f t="shared" ref="O199:P205" si="94">O51-O125</f>
        <v>-4791400</v>
      </c>
      <c r="P199" s="219">
        <f t="shared" si="94"/>
        <v>-5087330</v>
      </c>
    </row>
    <row r="200" spans="1:16" x14ac:dyDescent="0.15">
      <c r="A200" s="203">
        <f t="shared" ref="A200:A212" si="95">A199+1</f>
        <v>36</v>
      </c>
      <c r="C200" s="203" t="s">
        <v>144</v>
      </c>
      <c r="D200" s="219">
        <f t="shared" ref="D200:N200" si="96">D52-D126</f>
        <v>0</v>
      </c>
      <c r="E200" s="219">
        <f t="shared" si="96"/>
        <v>0</v>
      </c>
      <c r="F200" s="219">
        <f t="shared" si="96"/>
        <v>0</v>
      </c>
      <c r="G200" s="219">
        <f t="shared" si="96"/>
        <v>0</v>
      </c>
      <c r="H200" s="219">
        <f t="shared" si="96"/>
        <v>0</v>
      </c>
      <c r="I200" s="219">
        <f t="shared" si="96"/>
        <v>0</v>
      </c>
      <c r="J200" s="219">
        <f t="shared" si="96"/>
        <v>0</v>
      </c>
      <c r="K200" s="219">
        <f t="shared" si="96"/>
        <v>-4494</v>
      </c>
      <c r="L200" s="219">
        <f t="shared" si="96"/>
        <v>-54683</v>
      </c>
      <c r="M200" s="219">
        <f t="shared" si="96"/>
        <v>-53726</v>
      </c>
      <c r="N200" s="219">
        <f t="shared" si="96"/>
        <v>-55548</v>
      </c>
      <c r="O200" s="219">
        <f t="shared" si="94"/>
        <v>-56533</v>
      </c>
      <c r="P200" s="219">
        <f t="shared" si="94"/>
        <v>-115210</v>
      </c>
    </row>
    <row r="201" spans="1:16" x14ac:dyDescent="0.15">
      <c r="A201" s="203">
        <f t="shared" si="95"/>
        <v>37</v>
      </c>
      <c r="B201" s="208"/>
      <c r="C201" s="208" t="s">
        <v>170</v>
      </c>
      <c r="D201" s="219">
        <f t="shared" ref="D201:N201" si="97">D53-D127</f>
        <v>0</v>
      </c>
      <c r="E201" s="219">
        <f t="shared" si="97"/>
        <v>0</v>
      </c>
      <c r="F201" s="219">
        <f t="shared" si="97"/>
        <v>0</v>
      </c>
      <c r="G201" s="219">
        <f t="shared" si="97"/>
        <v>0</v>
      </c>
      <c r="H201" s="219">
        <f t="shared" si="97"/>
        <v>0</v>
      </c>
      <c r="I201" s="219">
        <f t="shared" si="97"/>
        <v>0</v>
      </c>
      <c r="J201" s="219">
        <f t="shared" si="97"/>
        <v>0</v>
      </c>
      <c r="K201" s="219">
        <f t="shared" si="97"/>
        <v>1659</v>
      </c>
      <c r="L201" s="219">
        <f t="shared" si="97"/>
        <v>-10943</v>
      </c>
      <c r="M201" s="219">
        <f t="shared" si="97"/>
        <v>-14179</v>
      </c>
      <c r="N201" s="219">
        <f t="shared" si="97"/>
        <v>-19858</v>
      </c>
      <c r="O201" s="219">
        <f t="shared" si="94"/>
        <v>-25932</v>
      </c>
      <c r="P201" s="219">
        <f t="shared" si="94"/>
        <v>-47827.000000003725</v>
      </c>
    </row>
    <row r="202" spans="1:16" x14ac:dyDescent="0.15">
      <c r="A202" s="203">
        <f t="shared" si="95"/>
        <v>38</v>
      </c>
      <c r="B202" s="203" t="s">
        <v>145</v>
      </c>
      <c r="D202" s="219">
        <f t="shared" ref="D202:N202" si="98">D54-D128</f>
        <v>0</v>
      </c>
      <c r="E202" s="219">
        <f t="shared" si="98"/>
        <v>0</v>
      </c>
      <c r="F202" s="219">
        <f t="shared" si="98"/>
        <v>0</v>
      </c>
      <c r="G202" s="219">
        <f t="shared" si="98"/>
        <v>0</v>
      </c>
      <c r="H202" s="219">
        <f t="shared" si="98"/>
        <v>0</v>
      </c>
      <c r="I202" s="219">
        <f t="shared" si="98"/>
        <v>0</v>
      </c>
      <c r="J202" s="219">
        <f t="shared" si="98"/>
        <v>0</v>
      </c>
      <c r="K202" s="219">
        <f t="shared" si="98"/>
        <v>841</v>
      </c>
      <c r="L202" s="219">
        <f t="shared" si="98"/>
        <v>60906</v>
      </c>
      <c r="M202" s="219">
        <f t="shared" si="98"/>
        <v>8525</v>
      </c>
      <c r="N202" s="219">
        <f t="shared" si="98"/>
        <v>1730</v>
      </c>
      <c r="O202" s="219">
        <f t="shared" si="94"/>
        <v>-81044</v>
      </c>
      <c r="P202" s="219">
        <f t="shared" si="94"/>
        <v>-99978</v>
      </c>
    </row>
    <row r="203" spans="1:16" x14ac:dyDescent="0.15">
      <c r="A203" s="203">
        <f t="shared" si="95"/>
        <v>39</v>
      </c>
      <c r="B203" s="203" t="s">
        <v>146</v>
      </c>
      <c r="D203" s="219">
        <f t="shared" ref="D203:N203" si="99">D55-D129</f>
        <v>0</v>
      </c>
      <c r="E203" s="219">
        <f t="shared" si="99"/>
        <v>0</v>
      </c>
      <c r="F203" s="219">
        <f t="shared" si="99"/>
        <v>0</v>
      </c>
      <c r="G203" s="219">
        <f t="shared" si="99"/>
        <v>0</v>
      </c>
      <c r="H203" s="219">
        <f t="shared" si="99"/>
        <v>0</v>
      </c>
      <c r="I203" s="219">
        <f t="shared" si="99"/>
        <v>0</v>
      </c>
      <c r="J203" s="219">
        <f t="shared" si="99"/>
        <v>0</v>
      </c>
      <c r="K203" s="219">
        <f t="shared" si="99"/>
        <v>-53451</v>
      </c>
      <c r="L203" s="219">
        <f t="shared" si="99"/>
        <v>60849</v>
      </c>
      <c r="M203" s="219">
        <f t="shared" si="99"/>
        <v>129656</v>
      </c>
      <c r="N203" s="219">
        <f t="shared" si="99"/>
        <v>129323</v>
      </c>
      <c r="O203" s="219">
        <f t="shared" si="94"/>
        <v>5264686</v>
      </c>
      <c r="P203" s="219">
        <f t="shared" si="94"/>
        <v>5301548</v>
      </c>
    </row>
    <row r="204" spans="1:16" x14ac:dyDescent="0.15">
      <c r="A204" s="203">
        <f t="shared" si="95"/>
        <v>40</v>
      </c>
      <c r="B204" s="203" t="s">
        <v>148</v>
      </c>
      <c r="D204" s="219">
        <f t="shared" ref="D204:N204" si="100">D56-D130</f>
        <v>0</v>
      </c>
      <c r="E204" s="219">
        <f t="shared" si="100"/>
        <v>0</v>
      </c>
      <c r="F204" s="219">
        <f t="shared" si="100"/>
        <v>0</v>
      </c>
      <c r="G204" s="219">
        <f t="shared" si="100"/>
        <v>0</v>
      </c>
      <c r="H204" s="219">
        <f t="shared" si="100"/>
        <v>0</v>
      </c>
      <c r="I204" s="219">
        <f t="shared" si="100"/>
        <v>0</v>
      </c>
      <c r="J204" s="219">
        <f t="shared" si="100"/>
        <v>0</v>
      </c>
      <c r="K204" s="219">
        <f t="shared" si="100"/>
        <v>-285</v>
      </c>
      <c r="L204" s="219">
        <f t="shared" si="100"/>
        <v>819</v>
      </c>
      <c r="M204" s="219">
        <f t="shared" si="100"/>
        <v>1480</v>
      </c>
      <c r="N204" s="219">
        <f t="shared" si="100"/>
        <v>1544</v>
      </c>
      <c r="O204" s="219">
        <f t="shared" si="94"/>
        <v>1524</v>
      </c>
      <c r="P204" s="219">
        <f t="shared" si="94"/>
        <v>1423</v>
      </c>
    </row>
    <row r="205" spans="1:16" x14ac:dyDescent="0.15">
      <c r="A205" s="203">
        <f t="shared" si="95"/>
        <v>41</v>
      </c>
      <c r="B205" s="208" t="s">
        <v>244</v>
      </c>
      <c r="D205" s="219">
        <f t="shared" ref="D205:N205" si="101">D57-D131</f>
        <v>0</v>
      </c>
      <c r="E205" s="219">
        <f t="shared" si="101"/>
        <v>0</v>
      </c>
      <c r="F205" s="219">
        <f t="shared" si="101"/>
        <v>0</v>
      </c>
      <c r="G205" s="219">
        <f t="shared" si="101"/>
        <v>0</v>
      </c>
      <c r="H205" s="219">
        <f t="shared" si="101"/>
        <v>0</v>
      </c>
      <c r="I205" s="219">
        <f t="shared" si="101"/>
        <v>0</v>
      </c>
      <c r="J205" s="219">
        <f t="shared" si="101"/>
        <v>0</v>
      </c>
      <c r="K205" s="219">
        <f t="shared" si="101"/>
        <v>-1342</v>
      </c>
      <c r="L205" s="219">
        <f t="shared" si="101"/>
        <v>0</v>
      </c>
      <c r="M205" s="219">
        <f t="shared" si="101"/>
        <v>0</v>
      </c>
      <c r="N205" s="219">
        <f t="shared" si="101"/>
        <v>0</v>
      </c>
      <c r="O205" s="219">
        <f t="shared" si="94"/>
        <v>0</v>
      </c>
      <c r="P205" s="219">
        <f t="shared" si="94"/>
        <v>0</v>
      </c>
    </row>
    <row r="206" spans="1:16" x14ac:dyDescent="0.15">
      <c r="A206" s="203">
        <f t="shared" si="95"/>
        <v>42</v>
      </c>
      <c r="B206" s="208" t="s">
        <v>360</v>
      </c>
      <c r="D206" s="219"/>
      <c r="E206" s="219"/>
      <c r="F206" s="219"/>
      <c r="G206" s="219"/>
      <c r="H206" s="219">
        <v>0</v>
      </c>
      <c r="I206" s="219">
        <v>0</v>
      </c>
      <c r="J206" s="219">
        <v>0</v>
      </c>
      <c r="K206" s="219">
        <f t="shared" ref="K206:K212" si="102">K58-K132</f>
        <v>0</v>
      </c>
      <c r="L206" s="219">
        <v>0</v>
      </c>
      <c r="M206" s="219">
        <v>0</v>
      </c>
      <c r="N206" s="219">
        <v>0</v>
      </c>
      <c r="O206" s="219">
        <v>0</v>
      </c>
      <c r="P206" s="219">
        <v>0</v>
      </c>
    </row>
    <row r="207" spans="1:16" x14ac:dyDescent="0.15">
      <c r="A207" s="203">
        <f t="shared" si="95"/>
        <v>43</v>
      </c>
      <c r="B207" s="203" t="s">
        <v>147</v>
      </c>
      <c r="D207" s="219">
        <f t="shared" ref="D207:J212" si="103">D59-D133</f>
        <v>0</v>
      </c>
      <c r="E207" s="219">
        <f t="shared" si="103"/>
        <v>0</v>
      </c>
      <c r="F207" s="219">
        <f t="shared" si="103"/>
        <v>0</v>
      </c>
      <c r="G207" s="219">
        <f t="shared" si="103"/>
        <v>0</v>
      </c>
      <c r="H207" s="219">
        <f t="shared" si="103"/>
        <v>0</v>
      </c>
      <c r="I207" s="219">
        <f t="shared" si="103"/>
        <v>0</v>
      </c>
      <c r="J207" s="219">
        <f t="shared" si="103"/>
        <v>0</v>
      </c>
      <c r="K207" s="219">
        <f t="shared" si="102"/>
        <v>-51028</v>
      </c>
      <c r="L207" s="219">
        <f t="shared" ref="L207:N212" si="104">L59-L133</f>
        <v>-297449</v>
      </c>
      <c r="M207" s="219">
        <f t="shared" si="104"/>
        <v>-349344</v>
      </c>
      <c r="N207" s="219">
        <f t="shared" si="104"/>
        <v>3221083</v>
      </c>
      <c r="O207" s="219">
        <f t="shared" ref="O207:P212" si="105">O59-O133</f>
        <v>3542789</v>
      </c>
      <c r="P207" s="219">
        <f t="shared" si="105"/>
        <v>3418795</v>
      </c>
    </row>
    <row r="208" spans="1:16" x14ac:dyDescent="0.15">
      <c r="A208" s="203">
        <f t="shared" si="95"/>
        <v>44</v>
      </c>
      <c r="B208" s="203" t="s">
        <v>149</v>
      </c>
      <c r="D208" s="219">
        <f t="shared" si="103"/>
        <v>0</v>
      </c>
      <c r="E208" s="219">
        <f t="shared" si="103"/>
        <v>0</v>
      </c>
      <c r="F208" s="219">
        <f t="shared" si="103"/>
        <v>0</v>
      </c>
      <c r="G208" s="219">
        <f t="shared" si="103"/>
        <v>0</v>
      </c>
      <c r="H208" s="219">
        <f t="shared" si="103"/>
        <v>0</v>
      </c>
      <c r="I208" s="219">
        <f t="shared" si="103"/>
        <v>0</v>
      </c>
      <c r="J208" s="219">
        <f t="shared" si="103"/>
        <v>0</v>
      </c>
      <c r="K208" s="219">
        <f t="shared" si="102"/>
        <v>-7742</v>
      </c>
      <c r="L208" s="219">
        <f t="shared" si="104"/>
        <v>-96542</v>
      </c>
      <c r="M208" s="219">
        <f t="shared" si="104"/>
        <v>-210547</v>
      </c>
      <c r="N208" s="219">
        <f t="shared" si="104"/>
        <v>-20035</v>
      </c>
      <c r="O208" s="219">
        <f t="shared" si="105"/>
        <v>135568</v>
      </c>
      <c r="P208" s="219">
        <f t="shared" si="105"/>
        <v>232211</v>
      </c>
    </row>
    <row r="209" spans="1:16" x14ac:dyDescent="0.15">
      <c r="A209" s="203">
        <f t="shared" si="95"/>
        <v>45</v>
      </c>
      <c r="B209" s="208" t="s">
        <v>173</v>
      </c>
      <c r="D209" s="219">
        <f t="shared" si="103"/>
        <v>0</v>
      </c>
      <c r="E209" s="219">
        <f t="shared" si="103"/>
        <v>0</v>
      </c>
      <c r="F209" s="219">
        <f t="shared" si="103"/>
        <v>0</v>
      </c>
      <c r="G209" s="219">
        <f t="shared" si="103"/>
        <v>0</v>
      </c>
      <c r="H209" s="219">
        <f t="shared" si="103"/>
        <v>0</v>
      </c>
      <c r="I209" s="219">
        <f t="shared" si="103"/>
        <v>0</v>
      </c>
      <c r="J209" s="219">
        <f t="shared" si="103"/>
        <v>0</v>
      </c>
      <c r="K209" s="219">
        <f t="shared" si="102"/>
        <v>6787</v>
      </c>
      <c r="L209" s="219">
        <f t="shared" si="104"/>
        <v>-39633</v>
      </c>
      <c r="M209" s="219">
        <f t="shared" si="104"/>
        <v>-46569</v>
      </c>
      <c r="N209" s="219">
        <f t="shared" si="104"/>
        <v>27602</v>
      </c>
      <c r="O209" s="219">
        <f t="shared" si="105"/>
        <v>-9234</v>
      </c>
      <c r="P209" s="219">
        <f t="shared" si="105"/>
        <v>-63635</v>
      </c>
    </row>
    <row r="210" spans="1:16" x14ac:dyDescent="0.15">
      <c r="A210" s="203">
        <f t="shared" si="95"/>
        <v>46</v>
      </c>
      <c r="B210" s="208" t="s">
        <v>168</v>
      </c>
      <c r="C210" s="208"/>
      <c r="D210" s="219">
        <f t="shared" si="103"/>
        <v>0</v>
      </c>
      <c r="E210" s="219">
        <f t="shared" si="103"/>
        <v>0</v>
      </c>
      <c r="F210" s="219">
        <f t="shared" si="103"/>
        <v>0</v>
      </c>
      <c r="G210" s="219">
        <f t="shared" si="103"/>
        <v>0</v>
      </c>
      <c r="H210" s="219">
        <f t="shared" si="103"/>
        <v>0</v>
      </c>
      <c r="I210" s="219">
        <f t="shared" si="103"/>
        <v>0</v>
      </c>
      <c r="J210" s="219">
        <f t="shared" si="103"/>
        <v>0</v>
      </c>
      <c r="K210" s="219">
        <f t="shared" si="102"/>
        <v>-498</v>
      </c>
      <c r="L210" s="219">
        <f t="shared" si="104"/>
        <v>-1205971</v>
      </c>
      <c r="M210" s="219">
        <f t="shared" si="104"/>
        <v>174650</v>
      </c>
      <c r="N210" s="219">
        <f t="shared" si="104"/>
        <v>508475</v>
      </c>
      <c r="O210" s="219">
        <f t="shared" si="105"/>
        <v>753200</v>
      </c>
      <c r="P210" s="219">
        <f t="shared" si="105"/>
        <v>836854</v>
      </c>
    </row>
    <row r="211" spans="1:16" x14ac:dyDescent="0.15">
      <c r="A211" s="203">
        <f t="shared" si="95"/>
        <v>47</v>
      </c>
      <c r="B211" s="208" t="s">
        <v>163</v>
      </c>
      <c r="C211" s="208"/>
      <c r="D211" s="219">
        <f t="shared" si="103"/>
        <v>0</v>
      </c>
      <c r="E211" s="219">
        <f t="shared" si="103"/>
        <v>0</v>
      </c>
      <c r="F211" s="219">
        <f t="shared" si="103"/>
        <v>0</v>
      </c>
      <c r="G211" s="219">
        <f t="shared" si="103"/>
        <v>0</v>
      </c>
      <c r="H211" s="219">
        <f t="shared" si="103"/>
        <v>0</v>
      </c>
      <c r="I211" s="219">
        <f t="shared" si="103"/>
        <v>0</v>
      </c>
      <c r="J211" s="219">
        <f t="shared" si="103"/>
        <v>0</v>
      </c>
      <c r="K211" s="219">
        <f t="shared" si="102"/>
        <v>-58314</v>
      </c>
      <c r="L211" s="219">
        <f t="shared" si="104"/>
        <v>165939</v>
      </c>
      <c r="M211" s="219">
        <f t="shared" si="104"/>
        <v>35364</v>
      </c>
      <c r="N211" s="219">
        <f t="shared" si="104"/>
        <v>903685</v>
      </c>
      <c r="O211" s="219">
        <f t="shared" si="105"/>
        <v>423321</v>
      </c>
      <c r="P211" s="219">
        <f t="shared" si="105"/>
        <v>-170100</v>
      </c>
    </row>
    <row r="212" spans="1:16" x14ac:dyDescent="0.15">
      <c r="A212" s="203">
        <f t="shared" si="95"/>
        <v>48</v>
      </c>
      <c r="B212" s="203" t="s">
        <v>151</v>
      </c>
      <c r="D212" s="219">
        <f t="shared" si="103"/>
        <v>0</v>
      </c>
      <c r="E212" s="219">
        <f t="shared" si="103"/>
        <v>0</v>
      </c>
      <c r="F212" s="219">
        <f t="shared" si="103"/>
        <v>0</v>
      </c>
      <c r="G212" s="219">
        <f t="shared" si="103"/>
        <v>0</v>
      </c>
      <c r="H212" s="219">
        <f t="shared" si="103"/>
        <v>0</v>
      </c>
      <c r="I212" s="219">
        <f t="shared" si="103"/>
        <v>0</v>
      </c>
      <c r="J212" s="219">
        <f t="shared" si="103"/>
        <v>0</v>
      </c>
      <c r="K212" s="219">
        <f t="shared" si="102"/>
        <v>0</v>
      </c>
      <c r="L212" s="219">
        <f t="shared" si="104"/>
        <v>0</v>
      </c>
      <c r="M212" s="219">
        <f t="shared" si="104"/>
        <v>0</v>
      </c>
      <c r="N212" s="219">
        <f t="shared" si="104"/>
        <v>20688</v>
      </c>
      <c r="O212" s="219">
        <f t="shared" si="105"/>
        <v>20688</v>
      </c>
      <c r="P212" s="219">
        <f t="shared" si="105"/>
        <v>20688</v>
      </c>
    </row>
    <row r="213" spans="1:16" x14ac:dyDescent="0.15">
      <c r="B213" s="208" t="s">
        <v>172</v>
      </c>
      <c r="D213" s="219"/>
      <c r="E213" s="219"/>
      <c r="F213" s="219"/>
      <c r="G213" s="219"/>
      <c r="H213" s="219"/>
      <c r="I213" s="219"/>
      <c r="J213" s="219"/>
      <c r="K213" s="219"/>
      <c r="L213" s="219"/>
      <c r="M213" s="219"/>
      <c r="N213" s="219"/>
      <c r="O213" s="219"/>
      <c r="P213" s="219"/>
    </row>
    <row r="214" spans="1:16" x14ac:dyDescent="0.15">
      <c r="A214" s="203">
        <f>A212+1</f>
        <v>49</v>
      </c>
      <c r="B214" s="208"/>
      <c r="C214" s="208" t="s">
        <v>175</v>
      </c>
      <c r="D214" s="219">
        <f t="shared" ref="D214:N214" si="106">D66-D140</f>
        <v>0</v>
      </c>
      <c r="E214" s="219">
        <f t="shared" si="106"/>
        <v>0</v>
      </c>
      <c r="F214" s="219">
        <f t="shared" si="106"/>
        <v>0</v>
      </c>
      <c r="G214" s="219">
        <f t="shared" si="106"/>
        <v>0</v>
      </c>
      <c r="H214" s="219">
        <f t="shared" si="106"/>
        <v>0</v>
      </c>
      <c r="I214" s="219">
        <f t="shared" si="106"/>
        <v>0</v>
      </c>
      <c r="J214" s="219">
        <f t="shared" si="106"/>
        <v>0</v>
      </c>
      <c r="K214" s="219">
        <f t="shared" si="106"/>
        <v>-15733</v>
      </c>
      <c r="L214" s="219">
        <f t="shared" si="106"/>
        <v>-94583</v>
      </c>
      <c r="M214" s="219">
        <f t="shared" si="106"/>
        <v>-213578</v>
      </c>
      <c r="N214" s="219">
        <f t="shared" si="106"/>
        <v>-199026</v>
      </c>
      <c r="O214" s="219">
        <f t="shared" ref="O214:P218" si="107">O66-O140</f>
        <v>-71704</v>
      </c>
      <c r="P214" s="219">
        <f t="shared" si="107"/>
        <v>2459</v>
      </c>
    </row>
    <row r="215" spans="1:16" x14ac:dyDescent="0.15">
      <c r="A215" s="203">
        <f>A214+1</f>
        <v>50</v>
      </c>
      <c r="B215" s="208"/>
      <c r="C215" s="208" t="s">
        <v>182</v>
      </c>
      <c r="D215" s="219">
        <f t="shared" ref="D215:N215" si="108">D67-D141</f>
        <v>0</v>
      </c>
      <c r="E215" s="219">
        <f t="shared" si="108"/>
        <v>0</v>
      </c>
      <c r="F215" s="219">
        <f t="shared" si="108"/>
        <v>0</v>
      </c>
      <c r="G215" s="219">
        <f t="shared" si="108"/>
        <v>0</v>
      </c>
      <c r="H215" s="219">
        <f t="shared" si="108"/>
        <v>0</v>
      </c>
      <c r="I215" s="219">
        <f t="shared" si="108"/>
        <v>0</v>
      </c>
      <c r="J215" s="219">
        <f t="shared" si="108"/>
        <v>0</v>
      </c>
      <c r="K215" s="219">
        <f t="shared" si="108"/>
        <v>-1</v>
      </c>
      <c r="L215" s="219">
        <f t="shared" si="108"/>
        <v>-15703</v>
      </c>
      <c r="M215" s="219">
        <f t="shared" si="108"/>
        <v>-77</v>
      </c>
      <c r="N215" s="219">
        <f t="shared" si="108"/>
        <v>1211</v>
      </c>
      <c r="O215" s="219">
        <f t="shared" si="107"/>
        <v>474</v>
      </c>
      <c r="P215" s="219">
        <f t="shared" si="107"/>
        <v>474</v>
      </c>
    </row>
    <row r="216" spans="1:16" x14ac:dyDescent="0.15">
      <c r="A216" s="203">
        <f>A215+1</f>
        <v>51</v>
      </c>
      <c r="B216" s="208"/>
      <c r="C216" s="208" t="s">
        <v>201</v>
      </c>
      <c r="D216" s="219">
        <f t="shared" ref="D216:N216" si="109">D68-D142</f>
        <v>0</v>
      </c>
      <c r="E216" s="219">
        <f t="shared" si="109"/>
        <v>0</v>
      </c>
      <c r="F216" s="219">
        <f t="shared" si="109"/>
        <v>0</v>
      </c>
      <c r="G216" s="219">
        <f t="shared" si="109"/>
        <v>0</v>
      </c>
      <c r="H216" s="219">
        <f t="shared" si="109"/>
        <v>0</v>
      </c>
      <c r="I216" s="219">
        <f t="shared" si="109"/>
        <v>0</v>
      </c>
      <c r="J216" s="219">
        <f t="shared" si="109"/>
        <v>0</v>
      </c>
      <c r="K216" s="219">
        <f t="shared" si="109"/>
        <v>0</v>
      </c>
      <c r="L216" s="219">
        <f t="shared" si="109"/>
        <v>777</v>
      </c>
      <c r="M216" s="219">
        <f t="shared" si="109"/>
        <v>0</v>
      </c>
      <c r="N216" s="219">
        <f t="shared" si="109"/>
        <v>0</v>
      </c>
      <c r="O216" s="219">
        <f t="shared" si="107"/>
        <v>0</v>
      </c>
      <c r="P216" s="219">
        <f t="shared" si="107"/>
        <v>0</v>
      </c>
    </row>
    <row r="217" spans="1:16" x14ac:dyDescent="0.15">
      <c r="A217" s="203">
        <f>A216+1</f>
        <v>52</v>
      </c>
      <c r="B217" s="208"/>
      <c r="C217" s="208" t="s">
        <v>183</v>
      </c>
      <c r="D217" s="219">
        <f t="shared" ref="D217:N217" si="110">D69-D143</f>
        <v>0</v>
      </c>
      <c r="E217" s="219">
        <f t="shared" si="110"/>
        <v>0</v>
      </c>
      <c r="F217" s="219">
        <f t="shared" si="110"/>
        <v>0</v>
      </c>
      <c r="G217" s="219">
        <f t="shared" si="110"/>
        <v>0</v>
      </c>
      <c r="H217" s="219">
        <f t="shared" si="110"/>
        <v>0</v>
      </c>
      <c r="I217" s="219">
        <f t="shared" si="110"/>
        <v>0</v>
      </c>
      <c r="J217" s="219">
        <f t="shared" si="110"/>
        <v>0</v>
      </c>
      <c r="K217" s="219">
        <f t="shared" si="110"/>
        <v>0</v>
      </c>
      <c r="L217" s="219">
        <f t="shared" si="110"/>
        <v>1055</v>
      </c>
      <c r="M217" s="219">
        <f t="shared" si="110"/>
        <v>9173</v>
      </c>
      <c r="N217" s="219">
        <f t="shared" si="110"/>
        <v>10376</v>
      </c>
      <c r="O217" s="219">
        <f t="shared" si="107"/>
        <v>41476</v>
      </c>
      <c r="P217" s="219">
        <f t="shared" si="107"/>
        <v>41208</v>
      </c>
    </row>
    <row r="218" spans="1:16" x14ac:dyDescent="0.15">
      <c r="A218" s="203">
        <f>A217+1</f>
        <v>53</v>
      </c>
      <c r="B218" s="208"/>
      <c r="C218" s="208" t="s">
        <v>251</v>
      </c>
      <c r="D218" s="219">
        <f t="shared" ref="D218:N218" si="111">D70-D144</f>
        <v>0</v>
      </c>
      <c r="E218" s="219">
        <f t="shared" si="111"/>
        <v>0</v>
      </c>
      <c r="F218" s="219">
        <f t="shared" si="111"/>
        <v>0</v>
      </c>
      <c r="G218" s="219">
        <f t="shared" si="111"/>
        <v>0</v>
      </c>
      <c r="H218" s="219">
        <f t="shared" si="111"/>
        <v>0</v>
      </c>
      <c r="I218" s="219">
        <f t="shared" si="111"/>
        <v>0</v>
      </c>
      <c r="J218" s="219">
        <f t="shared" si="111"/>
        <v>0</v>
      </c>
      <c r="K218" s="219">
        <f t="shared" si="111"/>
        <v>-55089</v>
      </c>
      <c r="L218" s="219">
        <f t="shared" si="111"/>
        <v>1</v>
      </c>
      <c r="M218" s="219">
        <f t="shared" si="111"/>
        <v>1</v>
      </c>
      <c r="N218" s="219">
        <f t="shared" si="111"/>
        <v>1</v>
      </c>
      <c r="O218" s="219">
        <f t="shared" si="107"/>
        <v>1</v>
      </c>
      <c r="P218" s="219">
        <f t="shared" si="107"/>
        <v>1</v>
      </c>
    </row>
    <row r="219" spans="1:16" x14ac:dyDescent="0.15">
      <c r="D219" s="207"/>
      <c r="E219" s="207"/>
      <c r="F219" s="207"/>
      <c r="G219" s="207"/>
      <c r="H219" s="207"/>
      <c r="I219" s="207"/>
      <c r="J219" s="207"/>
      <c r="K219" s="207"/>
      <c r="L219" s="207"/>
      <c r="M219" s="207"/>
      <c r="N219" s="207"/>
      <c r="O219" s="207"/>
      <c r="P219" s="207"/>
    </row>
    <row r="220" spans="1:16" x14ac:dyDescent="0.15">
      <c r="A220" s="203">
        <f>A218+1</f>
        <v>54</v>
      </c>
      <c r="B220" s="208" t="s">
        <v>184</v>
      </c>
      <c r="C220" s="208"/>
      <c r="D220" s="219">
        <f t="shared" ref="D220:N220" si="112">D72-D146</f>
        <v>0</v>
      </c>
      <c r="E220" s="219">
        <f t="shared" si="112"/>
        <v>0</v>
      </c>
      <c r="F220" s="219">
        <f t="shared" si="112"/>
        <v>0</v>
      </c>
      <c r="G220" s="219">
        <f t="shared" si="112"/>
        <v>0</v>
      </c>
      <c r="H220" s="219">
        <f t="shared" si="112"/>
        <v>0</v>
      </c>
      <c r="I220" s="219">
        <f t="shared" si="112"/>
        <v>0</v>
      </c>
      <c r="J220" s="219">
        <f t="shared" si="112"/>
        <v>0</v>
      </c>
      <c r="K220" s="219">
        <f t="shared" si="112"/>
        <v>-3989092</v>
      </c>
      <c r="L220" s="219">
        <f t="shared" si="112"/>
        <v>-8570775</v>
      </c>
      <c r="M220" s="219">
        <f t="shared" si="112"/>
        <v>-13227228</v>
      </c>
      <c r="N220" s="219">
        <f t="shared" si="112"/>
        <v>-8992551</v>
      </c>
      <c r="O220" s="219">
        <f>O72-O146</f>
        <v>-4209848</v>
      </c>
      <c r="P220" s="219">
        <f>P72-P146</f>
        <v>-9996432</v>
      </c>
    </row>
    <row r="221" spans="1:16" x14ac:dyDescent="0.15">
      <c r="A221" s="203">
        <f>A220+1</f>
        <v>55</v>
      </c>
      <c r="B221" s="202" t="s">
        <v>398</v>
      </c>
      <c r="C221" s="208"/>
      <c r="D221" s="219">
        <f t="shared" ref="D221:N221" si="113">D73-D147</f>
        <v>0</v>
      </c>
      <c r="E221" s="219">
        <f t="shared" si="113"/>
        <v>0</v>
      </c>
      <c r="F221" s="219">
        <f t="shared" si="113"/>
        <v>0</v>
      </c>
      <c r="G221" s="219">
        <f t="shared" si="113"/>
        <v>0</v>
      </c>
      <c r="H221" s="219">
        <f t="shared" si="113"/>
        <v>0</v>
      </c>
      <c r="I221" s="219">
        <f t="shared" si="113"/>
        <v>0</v>
      </c>
      <c r="J221" s="219">
        <f t="shared" si="113"/>
        <v>0</v>
      </c>
      <c r="K221" s="219">
        <f t="shared" si="113"/>
        <v>-3989092</v>
      </c>
      <c r="L221" s="219">
        <f t="shared" si="113"/>
        <v>-8570775</v>
      </c>
      <c r="M221" s="219">
        <f t="shared" si="113"/>
        <v>-13227228</v>
      </c>
      <c r="N221" s="219">
        <f t="shared" si="113"/>
        <v>-8992551</v>
      </c>
      <c r="O221" s="219">
        <f>O73-O147</f>
        <v>-4209848</v>
      </c>
      <c r="P221" s="219">
        <f>P73-P147</f>
        <v>-9996432</v>
      </c>
    </row>
    <row r="222" spans="1:16" x14ac:dyDescent="0.15">
      <c r="A222" s="203">
        <f>A221+1</f>
        <v>56</v>
      </c>
      <c r="B222" s="208" t="s">
        <v>303</v>
      </c>
      <c r="C222" s="208"/>
      <c r="D222" s="219">
        <f>D74-D148</f>
        <v>0</v>
      </c>
      <c r="E222" s="219">
        <f>E74-E148</f>
        <v>0</v>
      </c>
      <c r="F222" s="219">
        <f>F74-F148</f>
        <v>0</v>
      </c>
      <c r="G222" s="219">
        <f>G74-G148</f>
        <v>0</v>
      </c>
      <c r="H222" s="219">
        <f>H74-H148</f>
        <v>0</v>
      </c>
      <c r="I222" s="212" t="s">
        <v>302</v>
      </c>
      <c r="J222" s="212" t="s">
        <v>302</v>
      </c>
      <c r="K222" s="212" t="s">
        <v>302</v>
      </c>
      <c r="L222" s="212" t="s">
        <v>302</v>
      </c>
      <c r="M222" s="212" t="s">
        <v>302</v>
      </c>
      <c r="N222" s="212" t="s">
        <v>302</v>
      </c>
      <c r="O222" s="212" t="s">
        <v>302</v>
      </c>
      <c r="P222" s="212" t="s">
        <v>302</v>
      </c>
    </row>
    <row r="223" spans="1:16" x14ac:dyDescent="0.15">
      <c r="B223" s="208"/>
      <c r="C223" s="208"/>
      <c r="D223" s="219"/>
      <c r="E223" s="219"/>
      <c r="F223" s="219"/>
      <c r="G223" s="219"/>
      <c r="H223" s="219"/>
      <c r="I223" s="219"/>
      <c r="J223" s="219"/>
      <c r="K223" s="219"/>
      <c r="L223" s="219"/>
      <c r="M223" s="219"/>
      <c r="N223" s="219"/>
      <c r="O223" s="219"/>
      <c r="P223" s="219"/>
    </row>
    <row r="224" spans="1:16" x14ac:dyDescent="0.15">
      <c r="A224" s="203">
        <f>A222+1</f>
        <v>57</v>
      </c>
      <c r="B224" s="208" t="s">
        <v>166</v>
      </c>
      <c r="C224" s="208"/>
      <c r="D224" s="219">
        <f t="shared" ref="D224:N224" si="114">D76-D150</f>
        <v>0</v>
      </c>
      <c r="E224" s="219">
        <f t="shared" si="114"/>
        <v>0</v>
      </c>
      <c r="F224" s="219">
        <f t="shared" si="114"/>
        <v>0</v>
      </c>
      <c r="G224" s="219">
        <f t="shared" si="114"/>
        <v>0</v>
      </c>
      <c r="H224" s="219">
        <f t="shared" si="114"/>
        <v>0</v>
      </c>
      <c r="I224" s="219">
        <f t="shared" si="114"/>
        <v>0</v>
      </c>
      <c r="J224" s="219">
        <f t="shared" si="114"/>
        <v>0</v>
      </c>
      <c r="K224" s="219">
        <f t="shared" si="114"/>
        <v>29896</v>
      </c>
      <c r="L224" s="219">
        <f t="shared" si="114"/>
        <v>18046</v>
      </c>
      <c r="M224" s="219">
        <f t="shared" si="114"/>
        <v>19153</v>
      </c>
      <c r="N224" s="219">
        <f t="shared" si="114"/>
        <v>20553</v>
      </c>
      <c r="O224" s="219">
        <f>O76-O150</f>
        <v>21441</v>
      </c>
      <c r="P224" s="219">
        <f>P76-P150</f>
        <v>21054</v>
      </c>
    </row>
    <row r="227" spans="1:16" x14ac:dyDescent="0.15">
      <c r="A227" s="213" t="s">
        <v>382</v>
      </c>
      <c r="B227" s="213"/>
      <c r="C227" s="214"/>
      <c r="D227" s="215" t="s">
        <v>135</v>
      </c>
      <c r="E227" s="215" t="s">
        <v>136</v>
      </c>
      <c r="F227" s="215" t="s">
        <v>137</v>
      </c>
      <c r="G227" s="215" t="s">
        <v>138</v>
      </c>
      <c r="H227" s="215" t="s">
        <v>139</v>
      </c>
      <c r="I227" s="215" t="s">
        <v>164</v>
      </c>
      <c r="J227" s="215" t="s">
        <v>165</v>
      </c>
      <c r="K227" s="215" t="s">
        <v>249</v>
      </c>
      <c r="L227" s="215" t="s">
        <v>250</v>
      </c>
      <c r="M227" s="215" t="s">
        <v>300</v>
      </c>
      <c r="N227" s="215" t="s">
        <v>301</v>
      </c>
      <c r="O227" s="215" t="s">
        <v>388</v>
      </c>
      <c r="P227" s="215" t="s">
        <v>389</v>
      </c>
    </row>
    <row r="229" spans="1:16" x14ac:dyDescent="0.15">
      <c r="B229" s="208" t="s">
        <v>384</v>
      </c>
      <c r="C229" s="208"/>
      <c r="D229" s="207"/>
      <c r="E229" s="207"/>
      <c r="F229" s="207"/>
      <c r="G229" s="207"/>
      <c r="H229" s="207"/>
      <c r="I229" s="207"/>
      <c r="J229" s="207"/>
      <c r="K229" s="207"/>
      <c r="L229" s="207"/>
      <c r="M229" s="207"/>
      <c r="N229" s="207"/>
      <c r="O229" s="207"/>
      <c r="P229" s="207"/>
    </row>
    <row r="230" spans="1:16" x14ac:dyDescent="0.15">
      <c r="B230" s="208"/>
      <c r="C230" s="208"/>
      <c r="D230" s="207"/>
      <c r="E230" s="207"/>
      <c r="F230" s="207"/>
      <c r="G230" s="207"/>
      <c r="H230" s="207"/>
      <c r="I230" s="207"/>
      <c r="J230" s="207"/>
      <c r="K230" s="207"/>
      <c r="L230" s="207"/>
      <c r="M230" s="207"/>
      <c r="N230" s="207"/>
      <c r="O230" s="207"/>
      <c r="P230" s="207"/>
    </row>
    <row r="231" spans="1:16" x14ac:dyDescent="0.15">
      <c r="B231" s="203" t="s">
        <v>147</v>
      </c>
      <c r="D231" s="210">
        <f t="shared" ref="D231:H232" si="115">ROUND(1-(D37/D21),3)</f>
        <v>1</v>
      </c>
      <c r="E231" s="210">
        <f t="shared" si="115"/>
        <v>1</v>
      </c>
      <c r="F231" s="210">
        <f t="shared" si="115"/>
        <v>0.79300000000000004</v>
      </c>
      <c r="G231" s="210">
        <f t="shared" si="115"/>
        <v>0.77200000000000002</v>
      </c>
      <c r="H231" s="210">
        <f t="shared" si="115"/>
        <v>0.47499999999999998</v>
      </c>
      <c r="I231" s="210">
        <f t="shared" ref="I231:N231" si="116">ROUND(1-(I37/I21),3)</f>
        <v>0.42499999999999999</v>
      </c>
      <c r="J231" s="210">
        <f t="shared" si="116"/>
        <v>0.376</v>
      </c>
      <c r="K231" s="210">
        <f t="shared" si="116"/>
        <v>0.36099999999999999</v>
      </c>
      <c r="L231" s="210">
        <f t="shared" si="116"/>
        <v>0.36</v>
      </c>
      <c r="M231" s="210">
        <f t="shared" si="116"/>
        <v>0.38500000000000001</v>
      </c>
      <c r="N231" s="210">
        <f t="shared" si="116"/>
        <v>0.42299999999999999</v>
      </c>
      <c r="O231" s="210">
        <f t="shared" ref="O231:P235" si="117">ROUND(1-(O37/O21),3)</f>
        <v>0.43</v>
      </c>
      <c r="P231" s="210">
        <f t="shared" si="117"/>
        <v>0.43099999999999999</v>
      </c>
    </row>
    <row r="232" spans="1:16" x14ac:dyDescent="0.15">
      <c r="B232" s="203" t="s">
        <v>149</v>
      </c>
      <c r="D232" s="210">
        <f t="shared" si="115"/>
        <v>1</v>
      </c>
      <c r="E232" s="210">
        <f t="shared" si="115"/>
        <v>1</v>
      </c>
      <c r="F232" s="210">
        <f t="shared" si="115"/>
        <v>0.46400000000000002</v>
      </c>
      <c r="G232" s="210">
        <f t="shared" si="115"/>
        <v>0.50800000000000001</v>
      </c>
      <c r="H232" s="210">
        <f t="shared" si="115"/>
        <v>0.32400000000000001</v>
      </c>
      <c r="I232" s="210">
        <f t="shared" ref="I232:N232" si="118">ROUND(1-(I38/I22),3)</f>
        <v>0.26200000000000001</v>
      </c>
      <c r="J232" s="210">
        <f t="shared" si="118"/>
        <v>0.21099999999999999</v>
      </c>
      <c r="K232" s="210">
        <f t="shared" si="118"/>
        <v>0.18099999999999999</v>
      </c>
      <c r="L232" s="210">
        <f t="shared" si="118"/>
        <v>0.17399999999999999</v>
      </c>
      <c r="M232" s="210">
        <f t="shared" si="118"/>
        <v>0.193</v>
      </c>
      <c r="N232" s="210">
        <f t="shared" si="118"/>
        <v>0.222</v>
      </c>
      <c r="O232" s="210">
        <f t="shared" si="117"/>
        <v>0.23100000000000001</v>
      </c>
      <c r="P232" s="210">
        <f t="shared" si="117"/>
        <v>0.23599999999999999</v>
      </c>
    </row>
    <row r="233" spans="1:16" x14ac:dyDescent="0.15">
      <c r="B233" s="208" t="s">
        <v>173</v>
      </c>
      <c r="D233" s="210"/>
      <c r="E233" s="210">
        <f>ROUND(1-(E39/E23),3)</f>
        <v>1</v>
      </c>
      <c r="F233" s="210">
        <f>ROUND(1-(F39/F23),3)</f>
        <v>0.40799999999999997</v>
      </c>
      <c r="G233" s="210">
        <f>ROUND(1-(G39/G23),3)</f>
        <v>0.34300000000000003</v>
      </c>
      <c r="H233" s="210">
        <f>ROUND(1-(H39/H23),3)</f>
        <v>0.28299999999999997</v>
      </c>
      <c r="I233" s="210">
        <f t="shared" ref="I233:N233" si="119">ROUND(1-(I39/I23),3)</f>
        <v>0.23699999999999999</v>
      </c>
      <c r="J233" s="210">
        <f t="shared" si="119"/>
        <v>0.182</v>
      </c>
      <c r="K233" s="210">
        <f t="shared" si="119"/>
        <v>0.14499999999999999</v>
      </c>
      <c r="L233" s="210">
        <f t="shared" si="119"/>
        <v>0.13600000000000001</v>
      </c>
      <c r="M233" s="210">
        <f t="shared" si="119"/>
        <v>0.156</v>
      </c>
      <c r="N233" s="210">
        <f t="shared" si="119"/>
        <v>0.189</v>
      </c>
      <c r="O233" s="210">
        <f t="shared" si="117"/>
        <v>0.19900000000000001</v>
      </c>
      <c r="P233" s="210">
        <f t="shared" si="117"/>
        <v>0.20300000000000001</v>
      </c>
    </row>
    <row r="234" spans="1:16" x14ac:dyDescent="0.15">
      <c r="B234" s="208" t="s">
        <v>168</v>
      </c>
      <c r="C234" s="208"/>
      <c r="D234" s="210"/>
      <c r="E234" s="210"/>
      <c r="F234" s="210"/>
      <c r="G234" s="210">
        <f>ROUND(1-(G40/G24),3)</f>
        <v>1</v>
      </c>
      <c r="H234" s="210">
        <f>ROUND(1-(H40/H24),3)</f>
        <v>0.80100000000000005</v>
      </c>
      <c r="I234" s="210">
        <f t="shared" ref="I234:N234" si="120">ROUND(1-(I40/I24),3)</f>
        <v>0.79</v>
      </c>
      <c r="J234" s="210">
        <f t="shared" si="120"/>
        <v>0.78900000000000003</v>
      </c>
      <c r="K234" s="210">
        <f t="shared" si="120"/>
        <v>0.71199999999999997</v>
      </c>
      <c r="L234" s="210">
        <f t="shared" si="120"/>
        <v>0.71199999999999997</v>
      </c>
      <c r="M234" s="210">
        <f t="shared" si="120"/>
        <v>0.72099999999999997</v>
      </c>
      <c r="N234" s="210">
        <f t="shared" si="120"/>
        <v>0.73399999999999999</v>
      </c>
      <c r="O234" s="210">
        <f t="shared" si="117"/>
        <v>0.73499999999999999</v>
      </c>
      <c r="P234" s="210">
        <f t="shared" si="117"/>
        <v>0.73399999999999999</v>
      </c>
    </row>
    <row r="235" spans="1:16" x14ac:dyDescent="0.15">
      <c r="B235" s="203" t="s">
        <v>377</v>
      </c>
      <c r="D235" s="210">
        <f>ROUND(1-(D41/D25),3)</f>
        <v>0.22900000000000001</v>
      </c>
      <c r="E235" s="210">
        <f>ROUND(1-(E41/E25),3)</f>
        <v>0.17699999999999999</v>
      </c>
      <c r="F235" s="210">
        <f>ROUND(1-(F41/F25),3)</f>
        <v>0.247</v>
      </c>
      <c r="G235" s="210">
        <f>ROUND(1-(G41/G25),3)</f>
        <v>0.23100000000000001</v>
      </c>
      <c r="H235" s="210">
        <f>ROUND(1-(H41/H25),3)</f>
        <v>0.19500000000000001</v>
      </c>
      <c r="I235" s="210">
        <f t="shared" ref="I235:N235" si="121">ROUND(1-(I41/I25),3)</f>
        <v>0.161</v>
      </c>
      <c r="J235" s="210">
        <f t="shared" si="121"/>
        <v>0.11799999999999999</v>
      </c>
      <c r="K235" s="210">
        <f t="shared" si="121"/>
        <v>8.8999999999999996E-2</v>
      </c>
      <c r="L235" s="210">
        <f t="shared" si="121"/>
        <v>8.3000000000000004E-2</v>
      </c>
      <c r="M235" s="210">
        <f t="shared" si="121"/>
        <v>9.2999999999999999E-2</v>
      </c>
      <c r="N235" s="210">
        <f t="shared" si="121"/>
        <v>0.104</v>
      </c>
      <c r="O235" s="210">
        <f t="shared" si="117"/>
        <v>0.104</v>
      </c>
      <c r="P235" s="210">
        <f t="shared" si="117"/>
        <v>0.1</v>
      </c>
    </row>
    <row r="236" spans="1:16" x14ac:dyDescent="0.15">
      <c r="D236" s="207"/>
      <c r="E236" s="207"/>
      <c r="F236" s="207"/>
      <c r="G236" s="207"/>
      <c r="H236" s="207"/>
      <c r="I236" s="207"/>
      <c r="J236" s="207"/>
      <c r="K236" s="207"/>
      <c r="L236" s="207"/>
      <c r="M236" s="207"/>
      <c r="N236" s="207"/>
      <c r="O236" s="207"/>
      <c r="P236" s="207"/>
    </row>
    <row r="237" spans="1:16" x14ac:dyDescent="0.15">
      <c r="B237" s="208" t="s">
        <v>392</v>
      </c>
      <c r="C237" s="208"/>
      <c r="D237" s="210">
        <f>ROUND(1-(D43/D34),3)</f>
        <v>0.95899999999999996</v>
      </c>
      <c r="E237" s="210">
        <f>ROUND(1-(E43/E34),3)</f>
        <v>0.93600000000000005</v>
      </c>
      <c r="F237" s="210">
        <f>ROUND(1-(F43/F34),3)</f>
        <v>0.91800000000000004</v>
      </c>
      <c r="G237" s="210">
        <f>ROUND(1-(G43/G34),3)</f>
        <v>0.91500000000000004</v>
      </c>
      <c r="H237" s="210">
        <f>ROUND(1-(H43/H34),3)</f>
        <v>0.89100000000000001</v>
      </c>
      <c r="I237" s="210">
        <f t="shared" ref="I237:N237" si="122">ROUND(1-(I43/I34),3)</f>
        <v>0.88100000000000001</v>
      </c>
      <c r="J237" s="210">
        <f t="shared" si="122"/>
        <v>0.86799999999999999</v>
      </c>
      <c r="K237" s="210">
        <f t="shared" si="122"/>
        <v>0.84299999999999997</v>
      </c>
      <c r="L237" s="210">
        <f t="shared" si="122"/>
        <v>0.85299999999999998</v>
      </c>
      <c r="M237" s="210">
        <f t="shared" si="122"/>
        <v>0.85299999999999998</v>
      </c>
      <c r="N237" s="210">
        <f t="shared" si="122"/>
        <v>0.85</v>
      </c>
      <c r="O237" s="210">
        <f>ROUND(1-(O43/O34),3)</f>
        <v>0.84599999999999997</v>
      </c>
      <c r="P237" s="210">
        <f>ROUND(1-(P43/P34),3)</f>
        <v>0.83899999999999997</v>
      </c>
    </row>
    <row r="240" spans="1:16" x14ac:dyDescent="0.15">
      <c r="H240" s="211"/>
    </row>
  </sheetData>
  <phoneticPr fontId="1" type="noConversion"/>
  <printOptions horizontalCentered="1" gridLines="1"/>
  <pageMargins left="0.5" right="0.25" top="1" bottom="0.5" header="0.5" footer="0.25"/>
  <pageSetup scale="68" fitToHeight="3" orientation="portrait" horizontalDpi="300" verticalDpi="300" r:id="rId1"/>
  <headerFooter alignWithMargins="0">
    <oddHeader>&amp;L&amp;"Arial,Bold"DEPT of EDUCATION
Program Finance Div.&amp;C&amp;"Arial,Bold"FY 09-15 GENERAL EDUCATION REVENUE
FEBRUARY 2011 FORECAST VS. NOVEMBER 2010 FORECAST&amp;R&amp;"Arial,Bold"&amp;D
&amp;T</oddHeader>
    <oddFooter>&amp;L&amp;"Arial,Regular"&amp;F&amp;R&amp;"Arial,Regular"&amp;A</oddFooter>
  </headerFooter>
  <rowBreaks count="2" manualBreakCount="2">
    <brk id="77" max="11" man="1"/>
    <brk id="151" max="11" man="1"/>
  </rowBreaks>
  <cellWatches>
    <cellWatch r="C18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codeName="Sheet3">
    <pageSetUpPr fitToPage="1"/>
  </sheetPr>
  <dimension ref="A1:G69"/>
  <sheetViews>
    <sheetView workbookViewId="0">
      <selection activeCell="C53" sqref="C53"/>
    </sheetView>
  </sheetViews>
  <sheetFormatPr defaultColWidth="10.875" defaultRowHeight="12" x14ac:dyDescent="0.15"/>
  <cols>
    <col min="1" max="1" width="10.125" style="2" customWidth="1"/>
    <col min="2" max="2" width="16.625" style="2" customWidth="1"/>
    <col min="3" max="3" width="16.75" style="2" customWidth="1"/>
    <col min="4" max="4" width="16.875" style="2" customWidth="1"/>
    <col min="5" max="5" width="17" style="2" customWidth="1"/>
    <col min="6" max="6" width="9.625" style="2" hidden="1" customWidth="1"/>
    <col min="7" max="7" width="14.875" style="2" bestFit="1" customWidth="1"/>
    <col min="8" max="19" width="12.625" style="2" customWidth="1"/>
    <col min="20" max="20" width="10.875" style="2"/>
    <col min="21" max="38" width="12.625" style="2" customWidth="1"/>
    <col min="39" max="16384" width="10.875" style="2"/>
  </cols>
  <sheetData>
    <row r="1" spans="1:7" x14ac:dyDescent="0.15">
      <c r="A1" s="1" t="s">
        <v>17</v>
      </c>
      <c r="E1" s="3"/>
    </row>
    <row r="2" spans="1:7" x14ac:dyDescent="0.15">
      <c r="A2" s="4" t="s">
        <v>101</v>
      </c>
      <c r="E2" s="3"/>
    </row>
    <row r="3" spans="1:7" ht="12.75" thickBot="1" x14ac:dyDescent="0.2">
      <c r="A3" s="5"/>
      <c r="B3" s="6"/>
      <c r="C3" s="6"/>
      <c r="D3" s="6"/>
      <c r="E3" s="7"/>
      <c r="F3" s="6"/>
    </row>
    <row r="4" spans="1:7" hidden="1" x14ac:dyDescent="0.15">
      <c r="B4" s="1" t="s">
        <v>0</v>
      </c>
      <c r="C4" s="8" t="s">
        <v>1</v>
      </c>
      <c r="D4" s="8" t="s">
        <v>2</v>
      </c>
      <c r="E4" s="9" t="s">
        <v>3</v>
      </c>
      <c r="F4" s="4"/>
    </row>
    <row r="5" spans="1:7" hidden="1" x14ac:dyDescent="0.15">
      <c r="B5" s="10" t="s">
        <v>4</v>
      </c>
      <c r="C5" s="11">
        <v>968211</v>
      </c>
      <c r="D5" s="12">
        <v>0</v>
      </c>
      <c r="E5" s="13">
        <f>C5+D5</f>
        <v>968211</v>
      </c>
    </row>
    <row r="6" spans="1:7" hidden="1" x14ac:dyDescent="0.15">
      <c r="B6" s="10" t="s">
        <v>5</v>
      </c>
      <c r="C6" s="11">
        <v>967747</v>
      </c>
      <c r="D6" s="12">
        <v>0</v>
      </c>
      <c r="E6" s="13">
        <f>C6+D6</f>
        <v>967747</v>
      </c>
    </row>
    <row r="7" spans="1:7" hidden="1" x14ac:dyDescent="0.15">
      <c r="B7" s="10" t="s">
        <v>6</v>
      </c>
      <c r="C7" s="11">
        <f>C5-C6</f>
        <v>464</v>
      </c>
      <c r="D7" s="12">
        <f>D5-D6</f>
        <v>0</v>
      </c>
      <c r="E7" s="13">
        <f>E5-E6</f>
        <v>464</v>
      </c>
    </row>
    <row r="8" spans="1:7" ht="12.75" thickBot="1" x14ac:dyDescent="0.2">
      <c r="A8" s="27"/>
      <c r="B8" s="28"/>
      <c r="C8" s="29" t="s">
        <v>7</v>
      </c>
      <c r="D8" s="30" t="s">
        <v>8</v>
      </c>
      <c r="E8" s="29" t="s">
        <v>3</v>
      </c>
      <c r="F8" s="14" t="s">
        <v>9</v>
      </c>
    </row>
    <row r="9" spans="1:7" x14ac:dyDescent="0.15">
      <c r="A9" s="32" t="s">
        <v>134</v>
      </c>
      <c r="B9" s="10" t="s">
        <v>10</v>
      </c>
      <c r="C9" s="12"/>
      <c r="D9" s="12"/>
      <c r="E9" s="13" t="s">
        <v>19</v>
      </c>
      <c r="F9" s="12">
        <f>E9/C$6</f>
        <v>0</v>
      </c>
    </row>
    <row r="10" spans="1:7" x14ac:dyDescent="0.15">
      <c r="A10" s="33" t="s">
        <v>18</v>
      </c>
      <c r="B10" s="10" t="s">
        <v>76</v>
      </c>
      <c r="C10" s="12"/>
      <c r="D10" s="12"/>
      <c r="E10" s="13" t="s">
        <v>91</v>
      </c>
      <c r="F10" s="12"/>
    </row>
    <row r="11" spans="1:7" x14ac:dyDescent="0.15">
      <c r="A11" s="34" t="s">
        <v>73</v>
      </c>
      <c r="B11" s="10" t="s">
        <v>77</v>
      </c>
      <c r="C11" s="12"/>
      <c r="D11" s="15"/>
      <c r="E11" s="24"/>
      <c r="F11" s="12">
        <f>E11/C$6</f>
        <v>0</v>
      </c>
      <c r="G11" s="31"/>
    </row>
    <row r="12" spans="1:7" x14ac:dyDescent="0.15">
      <c r="A12" s="34"/>
      <c r="B12" s="16" t="s">
        <v>11</v>
      </c>
      <c r="C12" s="12"/>
      <c r="D12" s="12"/>
      <c r="E12" s="13" t="s">
        <v>20</v>
      </c>
      <c r="F12" s="12"/>
    </row>
    <row r="13" spans="1:7" x14ac:dyDescent="0.15">
      <c r="A13" s="35"/>
      <c r="B13" s="16" t="s">
        <v>12</v>
      </c>
      <c r="C13" s="12"/>
      <c r="D13" s="12"/>
      <c r="E13" s="13" t="s">
        <v>21</v>
      </c>
      <c r="F13" s="12"/>
      <c r="G13" s="25"/>
    </row>
    <row r="14" spans="1:7" x14ac:dyDescent="0.15">
      <c r="A14" s="33"/>
      <c r="B14" s="16" t="s">
        <v>13</v>
      </c>
      <c r="C14" s="12"/>
      <c r="D14" s="12"/>
      <c r="E14" s="13" t="s">
        <v>22</v>
      </c>
      <c r="F14" s="12"/>
    </row>
    <row r="15" spans="1:7" x14ac:dyDescent="0.15">
      <c r="A15" s="33"/>
      <c r="B15" s="16" t="s">
        <v>14</v>
      </c>
      <c r="C15" s="12"/>
      <c r="D15" s="12"/>
      <c r="E15" s="13" t="s">
        <v>23</v>
      </c>
      <c r="F15" s="12"/>
    </row>
    <row r="16" spans="1:7" x14ac:dyDescent="0.15">
      <c r="A16" s="36"/>
      <c r="B16" s="10" t="s">
        <v>78</v>
      </c>
      <c r="C16" s="12"/>
      <c r="D16" s="12"/>
      <c r="E16" s="13" t="s">
        <v>24</v>
      </c>
      <c r="F16" s="12">
        <f>E16/C$6</f>
        <v>0</v>
      </c>
    </row>
    <row r="17" spans="1:6" x14ac:dyDescent="0.15">
      <c r="A17" s="33"/>
      <c r="B17" s="10" t="s">
        <v>79</v>
      </c>
      <c r="C17" s="12"/>
      <c r="D17" s="12"/>
      <c r="E17" s="13" t="s">
        <v>25</v>
      </c>
      <c r="F17" s="12">
        <f>E17/C$6</f>
        <v>0</v>
      </c>
    </row>
    <row r="18" spans="1:6" x14ac:dyDescent="0.15">
      <c r="A18" s="35"/>
      <c r="B18" s="10" t="s">
        <v>80</v>
      </c>
      <c r="C18" s="12" t="s">
        <v>95</v>
      </c>
      <c r="D18" s="12" t="s">
        <v>96</v>
      </c>
      <c r="E18" s="13" t="s">
        <v>26</v>
      </c>
      <c r="F18" s="12">
        <f>E18/C$6</f>
        <v>0</v>
      </c>
    </row>
    <row r="19" spans="1:6" x14ac:dyDescent="0.15">
      <c r="A19" s="37"/>
      <c r="B19" s="10" t="s">
        <v>81</v>
      </c>
      <c r="C19" s="12"/>
      <c r="D19" s="12"/>
      <c r="E19" s="13" t="s">
        <v>27</v>
      </c>
      <c r="F19" s="12">
        <f>E19/C$6</f>
        <v>0</v>
      </c>
    </row>
    <row r="20" spans="1:6" x14ac:dyDescent="0.15">
      <c r="A20" s="37"/>
      <c r="B20" s="10" t="s">
        <v>82</v>
      </c>
      <c r="C20" s="12" t="s">
        <v>93</v>
      </c>
      <c r="D20" s="12" t="s">
        <v>94</v>
      </c>
      <c r="E20" s="17" t="s">
        <v>28</v>
      </c>
      <c r="F20" s="12">
        <f>E20/C$6</f>
        <v>0</v>
      </c>
    </row>
    <row r="21" spans="1:6" hidden="1" x14ac:dyDescent="0.15">
      <c r="A21" s="37"/>
      <c r="B21" s="10" t="s">
        <v>83</v>
      </c>
      <c r="C21" s="12"/>
      <c r="D21" s="12"/>
      <c r="E21" s="17"/>
      <c r="F21" s="12"/>
    </row>
    <row r="22" spans="1:6" x14ac:dyDescent="0.15">
      <c r="A22" s="37"/>
      <c r="B22" s="10" t="s">
        <v>84</v>
      </c>
      <c r="C22" s="12" t="s">
        <v>29</v>
      </c>
      <c r="D22" s="12" t="s">
        <v>30</v>
      </c>
      <c r="E22" s="13" t="s">
        <v>31</v>
      </c>
      <c r="F22" s="12">
        <f>E22/C$6</f>
        <v>0</v>
      </c>
    </row>
    <row r="23" spans="1:6" x14ac:dyDescent="0.15">
      <c r="A23" s="37"/>
      <c r="B23" s="10" t="s">
        <v>85</v>
      </c>
      <c r="C23" s="12" t="s">
        <v>32</v>
      </c>
      <c r="D23" s="12" t="s">
        <v>33</v>
      </c>
      <c r="E23" s="13" t="s">
        <v>34</v>
      </c>
      <c r="F23" s="12">
        <f>E23/C$6</f>
        <v>0</v>
      </c>
    </row>
    <row r="24" spans="1:6" x14ac:dyDescent="0.15">
      <c r="A24" s="37"/>
      <c r="B24" s="10" t="s">
        <v>86</v>
      </c>
      <c r="C24" s="12" t="s">
        <v>35</v>
      </c>
      <c r="D24" s="12" t="s">
        <v>36</v>
      </c>
      <c r="E24" s="13" t="s">
        <v>37</v>
      </c>
      <c r="F24" s="12">
        <f>E24/C$6</f>
        <v>0</v>
      </c>
    </row>
    <row r="25" spans="1:6" x14ac:dyDescent="0.15">
      <c r="A25" s="37"/>
      <c r="B25" s="10" t="s">
        <v>87</v>
      </c>
      <c r="C25" s="12" t="s">
        <v>41</v>
      </c>
      <c r="D25" s="12" t="s">
        <v>38</v>
      </c>
      <c r="E25" s="13" t="s">
        <v>39</v>
      </c>
      <c r="F25" s="12">
        <f>E25/C$6</f>
        <v>0</v>
      </c>
    </row>
    <row r="26" spans="1:6" x14ac:dyDescent="0.15">
      <c r="A26" s="37"/>
      <c r="B26" s="10" t="s">
        <v>88</v>
      </c>
      <c r="C26" s="12" t="s">
        <v>40</v>
      </c>
      <c r="D26" s="12"/>
      <c r="E26" s="13"/>
      <c r="F26" s="12"/>
    </row>
    <row r="27" spans="1:6" x14ac:dyDescent="0.15">
      <c r="A27" s="37"/>
      <c r="B27" s="10" t="s">
        <v>89</v>
      </c>
      <c r="C27" s="12" t="s">
        <v>42</v>
      </c>
      <c r="D27" s="26"/>
      <c r="E27" s="13" t="s">
        <v>42</v>
      </c>
      <c r="F27" s="12">
        <f>E27/C$6</f>
        <v>0</v>
      </c>
    </row>
    <row r="28" spans="1:6" ht="12.75" thickBot="1" x14ac:dyDescent="0.2">
      <c r="A28" s="27"/>
      <c r="B28" s="18" t="s">
        <v>90</v>
      </c>
      <c r="C28" s="19" t="s">
        <v>43</v>
      </c>
      <c r="D28" s="19" t="s">
        <v>44</v>
      </c>
      <c r="E28" s="20" t="s">
        <v>45</v>
      </c>
      <c r="F28" s="19">
        <f>E28/C$6</f>
        <v>0</v>
      </c>
    </row>
    <row r="29" spans="1:6" x14ac:dyDescent="0.15">
      <c r="A29" s="32" t="s">
        <v>74</v>
      </c>
      <c r="B29" s="10" t="s">
        <v>10</v>
      </c>
      <c r="C29" s="12"/>
      <c r="D29" s="12"/>
      <c r="E29" s="13" t="s">
        <v>102</v>
      </c>
      <c r="F29" s="12" t="e">
        <f>E29/D$6</f>
        <v>#DIV/0!</v>
      </c>
    </row>
    <row r="30" spans="1:6" x14ac:dyDescent="0.15">
      <c r="A30" s="33" t="s">
        <v>75</v>
      </c>
      <c r="B30" s="10" t="s">
        <v>76</v>
      </c>
      <c r="C30" s="12"/>
      <c r="D30" s="12"/>
      <c r="E30" s="13" t="s">
        <v>103</v>
      </c>
      <c r="F30" s="12"/>
    </row>
    <row r="31" spans="1:6" x14ac:dyDescent="0.15">
      <c r="A31" s="34" t="s">
        <v>73</v>
      </c>
      <c r="B31" s="10" t="s">
        <v>77</v>
      </c>
      <c r="C31" s="12"/>
      <c r="D31" s="15"/>
      <c r="E31" s="24"/>
      <c r="F31" s="12" t="e">
        <f>E31/D$6</f>
        <v>#DIV/0!</v>
      </c>
    </row>
    <row r="32" spans="1:6" x14ac:dyDescent="0.15">
      <c r="A32" s="34"/>
      <c r="B32" s="16" t="s">
        <v>11</v>
      </c>
      <c r="C32" s="12"/>
      <c r="D32" s="12"/>
      <c r="E32" s="13" t="s">
        <v>104</v>
      </c>
      <c r="F32" s="12"/>
    </row>
    <row r="33" spans="1:6" x14ac:dyDescent="0.15">
      <c r="A33" s="35"/>
      <c r="B33" s="16" t="s">
        <v>12</v>
      </c>
      <c r="C33" s="12"/>
      <c r="D33" s="12"/>
      <c r="E33" s="13" t="s">
        <v>105</v>
      </c>
      <c r="F33" s="12"/>
    </row>
    <row r="34" spans="1:6" x14ac:dyDescent="0.15">
      <c r="A34" s="33"/>
      <c r="B34" s="16" t="s">
        <v>13</v>
      </c>
      <c r="C34" s="12"/>
      <c r="D34" s="12"/>
      <c r="E34" s="13" t="s">
        <v>106</v>
      </c>
      <c r="F34" s="12"/>
    </row>
    <row r="35" spans="1:6" x14ac:dyDescent="0.15">
      <c r="A35" s="33"/>
      <c r="B35" s="16" t="s">
        <v>14</v>
      </c>
      <c r="C35" s="12"/>
      <c r="D35" s="12"/>
      <c r="E35" s="13" t="s">
        <v>107</v>
      </c>
      <c r="F35" s="12"/>
    </row>
    <row r="36" spans="1:6" x14ac:dyDescent="0.15">
      <c r="A36" s="36"/>
      <c r="B36" s="10" t="s">
        <v>78</v>
      </c>
      <c r="C36" s="12"/>
      <c r="D36" s="12"/>
      <c r="E36" s="13" t="s">
        <v>108</v>
      </c>
      <c r="F36" s="12" t="e">
        <f>E36/D$6</f>
        <v>#DIV/0!</v>
      </c>
    </row>
    <row r="37" spans="1:6" x14ac:dyDescent="0.15">
      <c r="A37" s="35"/>
      <c r="B37" s="10" t="s">
        <v>79</v>
      </c>
      <c r="C37" s="12"/>
      <c r="D37" s="12"/>
      <c r="E37" s="13" t="s">
        <v>109</v>
      </c>
      <c r="F37" s="12" t="e">
        <f>E37/D$6</f>
        <v>#DIV/0!</v>
      </c>
    </row>
    <row r="38" spans="1:6" x14ac:dyDescent="0.15">
      <c r="A38" s="38"/>
      <c r="B38" s="10" t="s">
        <v>80</v>
      </c>
      <c r="C38" s="12" t="s">
        <v>110</v>
      </c>
      <c r="D38" s="12" t="s">
        <v>111</v>
      </c>
      <c r="E38" s="13" t="s">
        <v>112</v>
      </c>
      <c r="F38" s="12" t="e">
        <f>E38/D$6</f>
        <v>#DIV/0!</v>
      </c>
    </row>
    <row r="39" spans="1:6" x14ac:dyDescent="0.15">
      <c r="A39" s="37"/>
      <c r="B39" s="10" t="s">
        <v>81</v>
      </c>
      <c r="C39" s="12"/>
      <c r="D39" s="12"/>
      <c r="E39" s="13" t="s">
        <v>113</v>
      </c>
      <c r="F39" s="12" t="e">
        <f>E39/D$6</f>
        <v>#DIV/0!</v>
      </c>
    </row>
    <row r="40" spans="1:6" x14ac:dyDescent="0.15">
      <c r="A40" s="37"/>
      <c r="B40" s="10" t="s">
        <v>82</v>
      </c>
      <c r="C40" s="12" t="s">
        <v>114</v>
      </c>
      <c r="D40" s="12" t="s">
        <v>115</v>
      </c>
      <c r="E40" s="17" t="s">
        <v>116</v>
      </c>
      <c r="F40" s="12" t="e">
        <f>E40/D$6</f>
        <v>#DIV/0!</v>
      </c>
    </row>
    <row r="41" spans="1:6" hidden="1" x14ac:dyDescent="0.15">
      <c r="A41" s="37"/>
      <c r="B41" s="10" t="s">
        <v>83</v>
      </c>
      <c r="C41" s="12"/>
      <c r="D41" s="12"/>
      <c r="E41" s="17"/>
      <c r="F41" s="12"/>
    </row>
    <row r="42" spans="1:6" x14ac:dyDescent="0.15">
      <c r="A42" s="37"/>
      <c r="B42" s="10" t="s">
        <v>84</v>
      </c>
      <c r="C42" s="12" t="s">
        <v>117</v>
      </c>
      <c r="D42" s="12" t="s">
        <v>118</v>
      </c>
      <c r="E42" s="13" t="s">
        <v>119</v>
      </c>
      <c r="F42" s="12" t="e">
        <f>E42/D$6</f>
        <v>#DIV/0!</v>
      </c>
    </row>
    <row r="43" spans="1:6" x14ac:dyDescent="0.15">
      <c r="A43" s="37"/>
      <c r="B43" s="10" t="s">
        <v>85</v>
      </c>
      <c r="C43" s="12" t="s">
        <v>120</v>
      </c>
      <c r="D43" s="12" t="s">
        <v>121</v>
      </c>
      <c r="E43" s="13" t="s">
        <v>122</v>
      </c>
      <c r="F43" s="12" t="e">
        <f>E43/D$6</f>
        <v>#DIV/0!</v>
      </c>
    </row>
    <row r="44" spans="1:6" x14ac:dyDescent="0.15">
      <c r="A44" s="37"/>
      <c r="B44" s="10" t="s">
        <v>86</v>
      </c>
      <c r="C44" s="12" t="s">
        <v>123</v>
      </c>
      <c r="D44" s="12" t="s">
        <v>124</v>
      </c>
      <c r="E44" s="13" t="s">
        <v>125</v>
      </c>
      <c r="F44" s="12" t="e">
        <f>E44/D$6</f>
        <v>#DIV/0!</v>
      </c>
    </row>
    <row r="45" spans="1:6" x14ac:dyDescent="0.15">
      <c r="A45" s="37"/>
      <c r="B45" s="10" t="s">
        <v>87</v>
      </c>
      <c r="C45" s="12" t="s">
        <v>126</v>
      </c>
      <c r="D45" s="12" t="s">
        <v>127</v>
      </c>
      <c r="E45" s="13" t="s">
        <v>128</v>
      </c>
      <c r="F45" s="12" t="e">
        <f>E45/D$6</f>
        <v>#DIV/0!</v>
      </c>
    </row>
    <row r="46" spans="1:6" x14ac:dyDescent="0.15">
      <c r="A46" s="37"/>
      <c r="B46" s="10" t="s">
        <v>88</v>
      </c>
      <c r="C46" s="12" t="s">
        <v>129</v>
      </c>
      <c r="D46" s="12"/>
      <c r="E46" s="13"/>
      <c r="F46" s="12"/>
    </row>
    <row r="47" spans="1:6" x14ac:dyDescent="0.15">
      <c r="A47" s="37"/>
      <c r="B47" s="10" t="s">
        <v>89</v>
      </c>
      <c r="C47" s="12" t="s">
        <v>130</v>
      </c>
      <c r="D47" s="26"/>
      <c r="E47" s="13" t="s">
        <v>130</v>
      </c>
      <c r="F47" s="12" t="e">
        <f>E47/D$6</f>
        <v>#DIV/0!</v>
      </c>
    </row>
    <row r="48" spans="1:6" ht="12.75" thickBot="1" x14ac:dyDescent="0.2">
      <c r="A48" s="27"/>
      <c r="B48" s="18" t="s">
        <v>90</v>
      </c>
      <c r="C48" s="19" t="s">
        <v>131</v>
      </c>
      <c r="D48" s="19" t="s">
        <v>132</v>
      </c>
      <c r="E48" s="20" t="s">
        <v>133</v>
      </c>
      <c r="F48" s="19" t="e">
        <f>E48/D$6</f>
        <v>#DIV/0!</v>
      </c>
    </row>
    <row r="49" spans="1:6" x14ac:dyDescent="0.15">
      <c r="A49" s="33" t="s">
        <v>15</v>
      </c>
      <c r="B49" s="10" t="s">
        <v>10</v>
      </c>
      <c r="C49" s="12"/>
      <c r="D49" s="12"/>
      <c r="E49" s="13" t="s">
        <v>46</v>
      </c>
      <c r="F49" s="21" t="s">
        <v>16</v>
      </c>
    </row>
    <row r="50" spans="1:6" x14ac:dyDescent="0.15">
      <c r="A50" s="33"/>
      <c r="B50" s="10" t="s">
        <v>76</v>
      </c>
      <c r="C50" s="12"/>
      <c r="D50" s="12"/>
      <c r="E50" s="13" t="s">
        <v>92</v>
      </c>
      <c r="F50" s="21"/>
    </row>
    <row r="51" spans="1:6" x14ac:dyDescent="0.15">
      <c r="A51" s="34"/>
      <c r="B51" s="10" t="s">
        <v>77</v>
      </c>
      <c r="C51" s="12"/>
      <c r="D51" s="15"/>
      <c r="E51" s="24"/>
      <c r="F51" s="21" t="s">
        <v>16</v>
      </c>
    </row>
    <row r="52" spans="1:6" x14ac:dyDescent="0.15">
      <c r="A52" s="33"/>
      <c r="B52" s="16" t="s">
        <v>11</v>
      </c>
      <c r="C52" s="12"/>
      <c r="D52" s="12"/>
      <c r="E52" s="13" t="s">
        <v>47</v>
      </c>
      <c r="F52" s="12"/>
    </row>
    <row r="53" spans="1:6" x14ac:dyDescent="0.15">
      <c r="A53" s="34"/>
      <c r="B53" s="16" t="s">
        <v>12</v>
      </c>
      <c r="C53" s="12"/>
      <c r="D53" s="12"/>
      <c r="E53" s="13" t="s">
        <v>48</v>
      </c>
      <c r="F53" s="12"/>
    </row>
    <row r="54" spans="1:6" x14ac:dyDescent="0.15">
      <c r="A54" s="35"/>
      <c r="B54" s="16" t="s">
        <v>13</v>
      </c>
      <c r="C54" s="12"/>
      <c r="D54" s="12"/>
      <c r="E54" s="13" t="s">
        <v>49</v>
      </c>
      <c r="F54" s="12"/>
    </row>
    <row r="55" spans="1:6" x14ac:dyDescent="0.15">
      <c r="A55" s="33"/>
      <c r="B55" s="16" t="s">
        <v>14</v>
      </c>
      <c r="C55" s="12"/>
      <c r="D55" s="12"/>
      <c r="E55" s="13" t="s">
        <v>50</v>
      </c>
      <c r="F55" s="12"/>
    </row>
    <row r="56" spans="1:6" x14ac:dyDescent="0.15">
      <c r="A56" s="37"/>
      <c r="B56" s="10" t="s">
        <v>78</v>
      </c>
      <c r="C56" s="12"/>
      <c r="D56" s="12"/>
      <c r="E56" s="13" t="s">
        <v>51</v>
      </c>
      <c r="F56" s="21" t="s">
        <v>16</v>
      </c>
    </row>
    <row r="57" spans="1:6" x14ac:dyDescent="0.15">
      <c r="A57" s="37"/>
      <c r="B57" s="10" t="s">
        <v>79</v>
      </c>
      <c r="C57" s="12"/>
      <c r="D57" s="12"/>
      <c r="E57" s="13" t="s">
        <v>52</v>
      </c>
      <c r="F57" s="21" t="s">
        <v>16</v>
      </c>
    </row>
    <row r="58" spans="1:6" x14ac:dyDescent="0.15">
      <c r="A58" s="37"/>
      <c r="B58" s="10" t="s">
        <v>80</v>
      </c>
      <c r="C58" s="12" t="s">
        <v>97</v>
      </c>
      <c r="D58" s="12" t="s">
        <v>100</v>
      </c>
      <c r="E58" s="13" t="s">
        <v>53</v>
      </c>
      <c r="F58" s="21" t="s">
        <v>16</v>
      </c>
    </row>
    <row r="59" spans="1:6" x14ac:dyDescent="0.15">
      <c r="A59" s="37"/>
      <c r="B59" s="10" t="s">
        <v>81</v>
      </c>
      <c r="C59" s="12"/>
      <c r="D59" s="12"/>
      <c r="E59" s="13" t="s">
        <v>54</v>
      </c>
      <c r="F59" s="21" t="s">
        <v>16</v>
      </c>
    </row>
    <row r="60" spans="1:6" x14ac:dyDescent="0.15">
      <c r="A60" s="37"/>
      <c r="B60" s="10" t="s">
        <v>82</v>
      </c>
      <c r="C60" s="12" t="s">
        <v>98</v>
      </c>
      <c r="D60" s="12" t="s">
        <v>99</v>
      </c>
      <c r="E60" s="17" t="s">
        <v>55</v>
      </c>
      <c r="F60" s="21" t="s">
        <v>16</v>
      </c>
    </row>
    <row r="61" spans="1:6" hidden="1" x14ac:dyDescent="0.15">
      <c r="A61" s="37"/>
      <c r="B61" s="10" t="s">
        <v>83</v>
      </c>
      <c r="C61" s="12"/>
      <c r="D61" s="12"/>
      <c r="E61" s="17"/>
      <c r="F61" s="21"/>
    </row>
    <row r="62" spans="1:6" x14ac:dyDescent="0.15">
      <c r="A62" s="37"/>
      <c r="B62" s="10" t="s">
        <v>84</v>
      </c>
      <c r="C62" s="12" t="s">
        <v>67</v>
      </c>
      <c r="D62" s="12" t="s">
        <v>62</v>
      </c>
      <c r="E62" s="13" t="s">
        <v>56</v>
      </c>
      <c r="F62" s="21" t="s">
        <v>16</v>
      </c>
    </row>
    <row r="63" spans="1:6" x14ac:dyDescent="0.15">
      <c r="A63" s="37"/>
      <c r="B63" s="10" t="s">
        <v>85</v>
      </c>
      <c r="C63" s="12" t="s">
        <v>68</v>
      </c>
      <c r="D63" s="12" t="s">
        <v>63</v>
      </c>
      <c r="E63" s="13" t="s">
        <v>57</v>
      </c>
      <c r="F63" s="21" t="s">
        <v>16</v>
      </c>
    </row>
    <row r="64" spans="1:6" x14ac:dyDescent="0.15">
      <c r="A64" s="37"/>
      <c r="B64" s="10" t="s">
        <v>86</v>
      </c>
      <c r="C64" s="12" t="s">
        <v>69</v>
      </c>
      <c r="D64" s="12" t="s">
        <v>64</v>
      </c>
      <c r="E64" s="13" t="s">
        <v>58</v>
      </c>
      <c r="F64" s="21" t="s">
        <v>16</v>
      </c>
    </row>
    <row r="65" spans="1:6" x14ac:dyDescent="0.15">
      <c r="A65" s="37"/>
      <c r="B65" s="10" t="s">
        <v>87</v>
      </c>
      <c r="C65" s="12" t="s">
        <v>70</v>
      </c>
      <c r="D65" s="12" t="s">
        <v>65</v>
      </c>
      <c r="E65" s="13" t="s">
        <v>59</v>
      </c>
      <c r="F65" s="21" t="s">
        <v>16</v>
      </c>
    </row>
    <row r="66" spans="1:6" x14ac:dyDescent="0.15">
      <c r="A66" s="37"/>
      <c r="B66" s="10" t="s">
        <v>88</v>
      </c>
      <c r="C66" s="12" t="s">
        <v>71</v>
      </c>
      <c r="D66" s="12"/>
      <c r="E66" s="13"/>
      <c r="F66" s="21"/>
    </row>
    <row r="67" spans="1:6" x14ac:dyDescent="0.15">
      <c r="A67" s="37"/>
      <c r="B67" s="10" t="s">
        <v>89</v>
      </c>
      <c r="C67" s="12" t="s">
        <v>60</v>
      </c>
      <c r="D67" s="26"/>
      <c r="E67" s="13" t="s">
        <v>60</v>
      </c>
      <c r="F67" s="21" t="s">
        <v>16</v>
      </c>
    </row>
    <row r="68" spans="1:6" ht="12.75" thickBot="1" x14ac:dyDescent="0.2">
      <c r="A68" s="27"/>
      <c r="B68" s="18" t="s">
        <v>90</v>
      </c>
      <c r="C68" s="19" t="s">
        <v>72</v>
      </c>
      <c r="D68" s="19" t="s">
        <v>66</v>
      </c>
      <c r="E68" s="20" t="s">
        <v>61</v>
      </c>
      <c r="F68" s="22" t="s">
        <v>16</v>
      </c>
    </row>
    <row r="69" spans="1:6" x14ac:dyDescent="0.15">
      <c r="B69" s="10"/>
      <c r="C69" s="12"/>
      <c r="D69" s="23"/>
      <c r="E69" s="12"/>
      <c r="F69" s="21"/>
    </row>
  </sheetData>
  <phoneticPr fontId="0" type="noConversion"/>
  <printOptions horizontalCentered="1" gridLines="1"/>
  <pageMargins left="0.75" right="0.75" top="0.75" bottom="0.5" header="0.25" footer="0.25"/>
  <pageSetup scale="92" orientation="portrait" horizontalDpi="300" verticalDpi="300" r:id="rId1"/>
  <headerFooter alignWithMargins="0">
    <oddHeader>&amp;L&amp;"Courier,Bold"DEPT of EDUCATION
Program Finance Div.&amp;C&amp;"Courier,Bold"FY 2002 GENERAL EDUCATION TEMPLATE
NOV 2003 FORECAST VS. END OF SESSION 2003&amp;R&amp;"Courier,Bold"&amp;D
&amp;T</oddHeader>
    <oddFooter>&amp;L&amp;F&amp;R&amp;A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enableFormatConditionsCalculation="0">
    <tabColor indexed="44"/>
  </sheetPr>
  <dimension ref="A1:Z299"/>
  <sheetViews>
    <sheetView zoomScaleNormal="100" zoomScaleSheetLayoutView="85" workbookViewId="0">
      <pane xSplit="3" ySplit="3" topLeftCell="J16" activePane="bottomRight" state="frozen"/>
      <selection activeCell="E39" sqref="E39"/>
      <selection pane="topRight" activeCell="E39" sqref="E39"/>
      <selection pane="bottomLeft" activeCell="E39" sqref="E39"/>
      <selection pane="bottomRight" activeCell="K70" sqref="K70"/>
    </sheetView>
  </sheetViews>
  <sheetFormatPr defaultColWidth="8" defaultRowHeight="12.75" x14ac:dyDescent="0.15"/>
  <cols>
    <col min="1" max="1" width="4.125" style="203" customWidth="1"/>
    <col min="2" max="2" width="2.25" style="203" customWidth="1"/>
    <col min="3" max="3" width="28.625" style="203" customWidth="1"/>
    <col min="4" max="9" width="12.625" style="203" hidden="1" customWidth="1"/>
    <col min="10" max="16" width="12.625" style="203" customWidth="1"/>
    <col min="17" max="17" width="10.875" style="203" customWidth="1"/>
    <col min="18" max="20" width="12" style="203" customWidth="1"/>
    <col min="21" max="21" width="13.75" style="203" customWidth="1"/>
    <col min="22" max="22" width="8" style="203" customWidth="1"/>
    <col min="23" max="23" width="13.75" style="203" customWidth="1"/>
    <col min="24" max="24" width="8" style="203" customWidth="1"/>
    <col min="25" max="25" width="13.75" style="203" customWidth="1"/>
    <col min="26" max="28" width="8" style="203" customWidth="1"/>
    <col min="29" max="16384" width="8" style="203"/>
  </cols>
  <sheetData>
    <row r="1" spans="1:26" x14ac:dyDescent="0.15">
      <c r="A1" s="202" t="s">
        <v>439</v>
      </c>
      <c r="E1" s="209"/>
      <c r="F1" s="209"/>
      <c r="G1" s="209"/>
      <c r="H1" s="209"/>
      <c r="I1" s="209"/>
      <c r="J1" s="209"/>
      <c r="K1" s="238"/>
      <c r="L1" s="209"/>
    </row>
    <row r="3" spans="1:26" x14ac:dyDescent="0.15">
      <c r="A3" s="243" t="s">
        <v>438</v>
      </c>
      <c r="B3" s="243"/>
      <c r="C3" s="244"/>
      <c r="D3" s="245" t="s">
        <v>135</v>
      </c>
      <c r="E3" s="245" t="s">
        <v>136</v>
      </c>
      <c r="F3" s="245" t="s">
        <v>137</v>
      </c>
      <c r="G3" s="245" t="s">
        <v>138</v>
      </c>
      <c r="H3" s="245" t="s">
        <v>139</v>
      </c>
      <c r="I3" s="245" t="s">
        <v>164</v>
      </c>
      <c r="J3" s="245" t="s">
        <v>165</v>
      </c>
      <c r="K3" s="245" t="s">
        <v>249</v>
      </c>
      <c r="L3" s="245" t="s">
        <v>250</v>
      </c>
      <c r="M3" s="245" t="s">
        <v>300</v>
      </c>
      <c r="N3" s="245" t="s">
        <v>301</v>
      </c>
      <c r="O3" s="245" t="s">
        <v>388</v>
      </c>
      <c r="P3" s="245" t="s">
        <v>389</v>
      </c>
      <c r="Q3" s="246" t="s">
        <v>319</v>
      </c>
      <c r="R3" s="246" t="s">
        <v>320</v>
      </c>
      <c r="S3" s="246" t="s">
        <v>355</v>
      </c>
      <c r="T3" s="247" t="s">
        <v>393</v>
      </c>
      <c r="U3" s="246" t="s">
        <v>356</v>
      </c>
      <c r="V3" s="246" t="s">
        <v>321</v>
      </c>
      <c r="W3" s="246" t="s">
        <v>357</v>
      </c>
      <c r="X3" s="246" t="s">
        <v>321</v>
      </c>
      <c r="Y3" s="247" t="s">
        <v>394</v>
      </c>
      <c r="Z3" s="246" t="s">
        <v>321</v>
      </c>
    </row>
    <row r="5" spans="1:26" x14ac:dyDescent="0.15">
      <c r="A5" s="203">
        <v>1</v>
      </c>
      <c r="B5" s="203" t="s">
        <v>140</v>
      </c>
      <c r="D5" s="207">
        <f>'FY 2003'!I5</f>
        <v>962146</v>
      </c>
      <c r="E5" s="207">
        <f>'FY 2004'!I5</f>
        <v>957096</v>
      </c>
      <c r="F5" s="207">
        <f>'FY 2005'!I5</f>
        <v>953035</v>
      </c>
      <c r="G5" s="207">
        <f>'FY 2006'!I5</f>
        <v>953041</v>
      </c>
      <c r="H5" s="207">
        <f>'FY 2007'!I5</f>
        <v>953288</v>
      </c>
      <c r="I5" s="207">
        <f>'FY 2008'!I5</f>
        <v>953432</v>
      </c>
      <c r="J5" s="207">
        <f>'FY 2009'!$I5</f>
        <v>948587</v>
      </c>
      <c r="K5" s="207">
        <f>'FY 2010'!$J5</f>
        <v>947210</v>
      </c>
      <c r="L5" s="207">
        <f>'FY 2011'!$J5</f>
        <v>948097</v>
      </c>
      <c r="M5" s="207">
        <f>'FY 2012'!$J5</f>
        <v>951670</v>
      </c>
      <c r="N5" s="207">
        <f>'FY 2013'!$J5</f>
        <v>959454</v>
      </c>
      <c r="O5" s="207">
        <f>'FY 2014'!$J5</f>
        <v>969398</v>
      </c>
      <c r="P5" s="207">
        <f>'FY 2015'!$J5</f>
        <v>979275</v>
      </c>
    </row>
    <row r="7" spans="1:26" x14ac:dyDescent="0.15">
      <c r="B7" s="208" t="s">
        <v>155</v>
      </c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</row>
    <row r="8" spans="1:26" x14ac:dyDescent="0.15">
      <c r="A8" s="203">
        <f>A5+1</f>
        <v>2</v>
      </c>
      <c r="B8" s="203" t="s">
        <v>141</v>
      </c>
      <c r="D8" s="207">
        <f>'FY 2003'!I8</f>
        <v>4490060320</v>
      </c>
      <c r="E8" s="207">
        <f>'FY 2004'!I8</f>
        <v>4403575277</v>
      </c>
      <c r="F8" s="209">
        <f>ROUND('SUMMARY-ALL YEARS'!F8/1000,1)</f>
        <v>4384973.8</v>
      </c>
      <c r="G8" s="209">
        <f>ROUND('SUMMARY-ALL YEARS'!G8/1000,1)</f>
        <v>4558383.7</v>
      </c>
      <c r="H8" s="209">
        <f>ROUND('SUMMARY-ALL YEARS'!H8/1000,1)</f>
        <v>4741676.9000000004</v>
      </c>
      <c r="I8" s="209">
        <f>ROUND('SUMMARY-ALL YEARS'!I8/1000,1)</f>
        <v>4837724.5</v>
      </c>
      <c r="J8" s="209">
        <f>ROUND('SUMMARY-ALL YEARS'!J8/1000,1)</f>
        <v>4860574.7</v>
      </c>
      <c r="K8" s="209">
        <f>ROUND('SUMMARY-ALL YEARS'!K8/1000,1)</f>
        <v>4853494.9000000004</v>
      </c>
      <c r="L8" s="209">
        <f>ROUND('SUMMARY-ALL YEARS'!L8/1000,1)</f>
        <v>4858048.0999999996</v>
      </c>
      <c r="M8" s="209">
        <f>ROUND('SUMMARY-ALL YEARS'!M8/1000,1)</f>
        <v>4876357.2</v>
      </c>
      <c r="N8" s="209">
        <f>ROUND('SUMMARY-ALL YEARS'!N8/1000,1)</f>
        <v>4916240.2</v>
      </c>
      <c r="O8" s="209">
        <f>ROUND('SUMMARY-ALL YEARS'!O8/1000,1)</f>
        <v>4967199.0999999996</v>
      </c>
      <c r="P8" s="209">
        <f>ROUND('SUMMARY-ALL YEARS'!P8/1000,1)</f>
        <v>5017805.4000000004</v>
      </c>
      <c r="Q8" s="209">
        <f>SUM(I8:J8)</f>
        <v>9698299.1999999993</v>
      </c>
      <c r="R8" s="209">
        <f>SUM(K8:L8)</f>
        <v>9711543</v>
      </c>
      <c r="S8" s="209">
        <f>SUM(M8:N8)</f>
        <v>9792597.4000000004</v>
      </c>
      <c r="T8" s="209">
        <f>SUM(O8:P8)</f>
        <v>9985004.5</v>
      </c>
      <c r="U8" s="209">
        <f>R8-Q8</f>
        <v>13243.800000000745</v>
      </c>
      <c r="V8" s="222">
        <f>U8/Q8</f>
        <v>1.3655796472025472E-3</v>
      </c>
      <c r="W8" s="209">
        <f>S8-R8</f>
        <v>81054.400000000373</v>
      </c>
      <c r="X8" s="222">
        <f>W8/R8</f>
        <v>8.3461917431658771E-3</v>
      </c>
      <c r="Y8" s="209">
        <f>T8-S8</f>
        <v>192407.09999999963</v>
      </c>
      <c r="Z8" s="222">
        <f>Y8/S8</f>
        <v>1.9648219174210065E-2</v>
      </c>
    </row>
    <row r="9" spans="1:26" x14ac:dyDescent="0.15">
      <c r="A9" s="203">
        <f>A8+1</f>
        <v>3</v>
      </c>
      <c r="B9" s="208" t="s">
        <v>299</v>
      </c>
      <c r="D9" s="207"/>
      <c r="E9" s="207"/>
      <c r="F9" s="209">
        <v>0</v>
      </c>
      <c r="G9" s="209">
        <v>0</v>
      </c>
      <c r="H9" s="209">
        <v>0</v>
      </c>
      <c r="I9" s="209">
        <v>0</v>
      </c>
      <c r="J9" s="209">
        <f>ROUND('SUMMARY-ALL YEARS'!J9/1000,1)</f>
        <v>48378.1</v>
      </c>
      <c r="K9" s="209">
        <v>0</v>
      </c>
      <c r="L9" s="209">
        <v>0</v>
      </c>
      <c r="M9" s="209">
        <v>0</v>
      </c>
      <c r="N9" s="209">
        <v>0</v>
      </c>
      <c r="O9" s="209">
        <v>0</v>
      </c>
      <c r="P9" s="209">
        <v>0</v>
      </c>
      <c r="Q9" s="209">
        <f>SUM(I9:J9)</f>
        <v>48378.1</v>
      </c>
      <c r="R9" s="209">
        <f>SUM(K9:L9)</f>
        <v>0</v>
      </c>
      <c r="S9" s="209">
        <f>SUM(M9:N9)</f>
        <v>0</v>
      </c>
      <c r="T9" s="209">
        <f>SUM(O9:P9)</f>
        <v>0</v>
      </c>
      <c r="U9" s="209">
        <f>R9-Q9</f>
        <v>-48378.1</v>
      </c>
      <c r="V9" s="222">
        <f>U9/Q9</f>
        <v>-1</v>
      </c>
      <c r="W9" s="209">
        <f>S9-R9</f>
        <v>0</v>
      </c>
      <c r="X9" s="222" t="e">
        <f>W9/R9</f>
        <v>#DIV/0!</v>
      </c>
      <c r="Y9" s="209">
        <f>T9-S9</f>
        <v>0</v>
      </c>
      <c r="Z9" s="222" t="e">
        <f>Y9/S9</f>
        <v>#DIV/0!</v>
      </c>
    </row>
    <row r="10" spans="1:26" x14ac:dyDescent="0.15">
      <c r="A10" s="203">
        <f>A9+1</f>
        <v>4</v>
      </c>
      <c r="B10" s="208" t="s">
        <v>167</v>
      </c>
      <c r="C10" s="208"/>
      <c r="D10" s="207">
        <f>'FY 2003'!I9</f>
        <v>0</v>
      </c>
      <c r="E10" s="207">
        <f>'FY 2004'!I9</f>
        <v>0</v>
      </c>
      <c r="F10" s="209">
        <f>ROUND('SUMMARY-ALL YEARS'!F10/1000,1)</f>
        <v>0</v>
      </c>
      <c r="G10" s="209">
        <f>ROUND('SUMMARY-ALL YEARS'!G10/1000,1)</f>
        <v>3812.2</v>
      </c>
      <c r="H10" s="209">
        <f>ROUND('SUMMARY-ALL YEARS'!H10/1000,1)</f>
        <v>8579.6</v>
      </c>
      <c r="I10" s="209">
        <f>ROUND('SUMMARY-ALL YEARS'!I10/1000,1)</f>
        <v>11441.2</v>
      </c>
      <c r="J10" s="209">
        <f>ROUND('SUMMARY-ALL YEARS'!J10/1000,1)</f>
        <v>11383.1</v>
      </c>
      <c r="K10" s="209">
        <f>ROUND('SUMMARY-ALL YEARS'!K10/1000,1)</f>
        <v>11365.9</v>
      </c>
      <c r="L10" s="209">
        <f>ROUND('SUMMARY-ALL YEARS'!L10/1000,1)</f>
        <v>11377.2</v>
      </c>
      <c r="M10" s="209">
        <f>ROUND('SUMMARY-ALL YEARS'!M10/1000,1)</f>
        <v>11420</v>
      </c>
      <c r="N10" s="209">
        <f>ROUND('SUMMARY-ALL YEARS'!N10/1000,1)</f>
        <v>11513.4</v>
      </c>
      <c r="O10" s="209">
        <f>ROUND('SUMMARY-ALL YEARS'!O10/1000,1)</f>
        <v>11632.8</v>
      </c>
      <c r="P10" s="209">
        <f>ROUND('SUMMARY-ALL YEARS'!P10/1000,1)</f>
        <v>11751.3</v>
      </c>
      <c r="Q10" s="209">
        <f>SUM(I10:J10)</f>
        <v>22824.300000000003</v>
      </c>
      <c r="R10" s="209">
        <f>SUM(K10:L10)</f>
        <v>22743.1</v>
      </c>
      <c r="S10" s="209">
        <f>SUM(M10:N10)</f>
        <v>22933.4</v>
      </c>
      <c r="T10" s="209">
        <f>SUM(O10:P10)</f>
        <v>23384.1</v>
      </c>
      <c r="U10" s="209">
        <f>R10-Q10</f>
        <v>-81.200000000004366</v>
      </c>
      <c r="V10" s="222">
        <f>U10/Q10</f>
        <v>-3.5576118435178454E-3</v>
      </c>
      <c r="W10" s="209">
        <f>S10-R10</f>
        <v>190.30000000000291</v>
      </c>
      <c r="X10" s="222">
        <f>W10/R10</f>
        <v>8.3673729614697611E-3</v>
      </c>
      <c r="Y10" s="209">
        <f>T10-S10</f>
        <v>450.69999999999709</v>
      </c>
      <c r="Z10" s="222">
        <f>Y10/S10</f>
        <v>1.9652559149537226E-2</v>
      </c>
    </row>
    <row r="11" spans="1:26" x14ac:dyDescent="0.15">
      <c r="A11" s="203">
        <f>A10+1</f>
        <v>5</v>
      </c>
      <c r="B11" s="203" t="s">
        <v>142</v>
      </c>
      <c r="D11" s="207">
        <f>'FY 2003'!I10</f>
        <v>0</v>
      </c>
      <c r="E11" s="207">
        <f>'FY 2004'!I10</f>
        <v>50351550</v>
      </c>
      <c r="F11" s="209">
        <f>ROUND('SUMMARY-ALL YEARS'!F11/1000,1)</f>
        <v>52327.4</v>
      </c>
      <c r="G11" s="209">
        <f>ROUND('SUMMARY-ALL YEARS'!G11/1000,1)</f>
        <v>52766.2</v>
      </c>
      <c r="H11" s="209">
        <f>ROUND('SUMMARY-ALL YEARS'!H11/1000,1)</f>
        <v>55437</v>
      </c>
      <c r="I11" s="209">
        <f>ROUND('SUMMARY-ALL YEARS'!I11/1000,1)</f>
        <v>59590.8</v>
      </c>
      <c r="J11" s="209">
        <f>ROUND('SUMMARY-ALL YEARS'!J11/1000,1)</f>
        <v>60995.6</v>
      </c>
      <c r="K11" s="209">
        <f>ROUND('SUMMARY-ALL YEARS'!K11/1000,1)</f>
        <v>64565.4</v>
      </c>
      <c r="L11" s="209">
        <f>ROUND('SUMMARY-ALL YEARS'!L11/1000,1)</f>
        <v>69073</v>
      </c>
      <c r="M11" s="209">
        <f>ROUND('SUMMARY-ALL YEARS'!M11/1000,1)</f>
        <v>71777.899999999994</v>
      </c>
      <c r="N11" s="209">
        <f>ROUND('SUMMARY-ALL YEARS'!N11/1000,1)</f>
        <v>76066.8</v>
      </c>
      <c r="O11" s="209">
        <f>ROUND('SUMMARY-ALL YEARS'!O11/1000,1)</f>
        <v>80441.3</v>
      </c>
      <c r="P11" s="209">
        <f>ROUND('SUMMARY-ALL YEARS'!P11/1000,1)</f>
        <v>84903.3</v>
      </c>
      <c r="Q11" s="209">
        <f>SUM(I11:J11)</f>
        <v>120586.4</v>
      </c>
      <c r="R11" s="209">
        <f>SUM(K11:L11)</f>
        <v>133638.39999999999</v>
      </c>
      <c r="S11" s="209">
        <f>SUM(M11:N11)</f>
        <v>147844.70000000001</v>
      </c>
      <c r="T11" s="209">
        <f>SUM(O11:P11)</f>
        <v>165344.6</v>
      </c>
      <c r="U11" s="209">
        <f>R11-Q11</f>
        <v>13052</v>
      </c>
      <c r="V11" s="222">
        <f>U11/Q11</f>
        <v>0.10823774488665389</v>
      </c>
      <c r="W11" s="209">
        <f>S11-R11</f>
        <v>14206.300000000017</v>
      </c>
      <c r="X11" s="222">
        <f>W11/R11</f>
        <v>0.10630402638762525</v>
      </c>
      <c r="Y11" s="209">
        <f>T11-S11</f>
        <v>17499.899999999994</v>
      </c>
      <c r="Z11" s="222">
        <f>Y11/S11</f>
        <v>0.11836677270135482</v>
      </c>
    </row>
    <row r="12" spans="1:26" x14ac:dyDescent="0.15">
      <c r="B12" s="208" t="s">
        <v>171</v>
      </c>
      <c r="D12" s="207"/>
      <c r="E12" s="207"/>
      <c r="F12" s="207"/>
      <c r="G12" s="207"/>
      <c r="H12" s="207"/>
      <c r="I12" s="207"/>
      <c r="J12" s="207"/>
      <c r="K12" s="207"/>
      <c r="L12" s="207"/>
      <c r="M12" s="207"/>
      <c r="N12" s="207"/>
      <c r="O12" s="207"/>
      <c r="P12" s="207"/>
    </row>
    <row r="13" spans="1:26" x14ac:dyDescent="0.15">
      <c r="A13" s="203">
        <f>A11+1</f>
        <v>6</v>
      </c>
      <c r="C13" s="203" t="s">
        <v>143</v>
      </c>
      <c r="D13" s="207">
        <f>'FY 2003'!I12</f>
        <v>262694686</v>
      </c>
      <c r="E13" s="207">
        <f>'FY 2004'!I12</f>
        <v>249146954</v>
      </c>
      <c r="F13" s="209">
        <f>ROUND('SUMMARY-ALL YEARS'!F13/1000,1)</f>
        <v>265074.5</v>
      </c>
      <c r="G13" s="209">
        <f>ROUND('SUMMARY-ALL YEARS'!G13/1000,1)</f>
        <v>292547.5</v>
      </c>
      <c r="H13" s="209">
        <f>ROUND('SUMMARY-ALL YEARS'!H13/1000,1)</f>
        <v>315471.90000000002</v>
      </c>
      <c r="I13" s="209">
        <f>ROUND('SUMMARY-ALL YEARS'!I13/1000,1)</f>
        <v>333928.09999999998</v>
      </c>
      <c r="J13" s="209">
        <f>ROUND('SUMMARY-ALL YEARS'!J13/1000,1)</f>
        <v>348510.7</v>
      </c>
      <c r="K13" s="209">
        <f>ROUND('SUMMARY-ALL YEARS'!K13/1000,1)</f>
        <v>361157.3</v>
      </c>
      <c r="L13" s="209">
        <f>ROUND('SUMMARY-ALL YEARS'!L13/1000,1)</f>
        <v>414260.4</v>
      </c>
      <c r="M13" s="209">
        <f>ROUND('SUMMARY-ALL YEARS'!M13/1000,1)</f>
        <v>432960.5</v>
      </c>
      <c r="N13" s="209">
        <f>ROUND('SUMMARY-ALL YEARS'!N13/1000,1)</f>
        <v>452559.9</v>
      </c>
      <c r="O13" s="209">
        <f>ROUND('SUMMARY-ALL YEARS'!O13/1000,1)</f>
        <v>473621</v>
      </c>
      <c r="P13" s="209">
        <f>ROUND('SUMMARY-ALL YEARS'!P13/1000,1)</f>
        <v>495561.1</v>
      </c>
      <c r="Q13" s="209">
        <f t="shared" ref="Q13:Q19" si="0">SUM(I13:J13)</f>
        <v>682438.8</v>
      </c>
      <c r="R13" s="209">
        <f t="shared" ref="R13:R19" si="1">SUM(K13:L13)</f>
        <v>775417.7</v>
      </c>
      <c r="S13" s="209">
        <f t="shared" ref="S13:S19" si="2">SUM(M13:N13)</f>
        <v>885520.4</v>
      </c>
      <c r="T13" s="209">
        <f t="shared" ref="T13:T25" si="3">SUM(O13:P13)</f>
        <v>969182.1</v>
      </c>
      <c r="U13" s="209">
        <f t="shared" ref="U13:U19" si="4">R13-Q13</f>
        <v>92978.899999999907</v>
      </c>
      <c r="V13" s="222">
        <f t="shared" ref="V13:V25" si="5">U13/Q13</f>
        <v>0.13624503765026241</v>
      </c>
      <c r="W13" s="209">
        <f t="shared" ref="W13:W19" si="6">S13-R13</f>
        <v>110102.70000000007</v>
      </c>
      <c r="X13" s="222">
        <f t="shared" ref="X13:X25" si="7">W13/R13</f>
        <v>0.14199147117740551</v>
      </c>
      <c r="Y13" s="209">
        <f t="shared" ref="Y13:Y25" si="8">T13-S13</f>
        <v>83661.699999999953</v>
      </c>
      <c r="Z13" s="222">
        <f t="shared" ref="Z13:Z25" si="9">Y13/S13</f>
        <v>9.4477439480784353E-2</v>
      </c>
    </row>
    <row r="14" spans="1:26" x14ac:dyDescent="0.15">
      <c r="A14" s="203">
        <f t="shared" ref="A14:A25" si="10">A13+1</f>
        <v>7</v>
      </c>
      <c r="C14" s="203" t="s">
        <v>144</v>
      </c>
      <c r="D14" s="207">
        <f>'FY 2003'!I13</f>
        <v>36857227</v>
      </c>
      <c r="E14" s="207">
        <f>'FY 2004'!I13</f>
        <v>28818713</v>
      </c>
      <c r="F14" s="209">
        <f>ROUND('SUMMARY-ALL YEARS'!F14/1000,1)</f>
        <v>29477.7</v>
      </c>
      <c r="G14" s="209">
        <f>ROUND('SUMMARY-ALL YEARS'!G14/1000,1)</f>
        <v>30912.7</v>
      </c>
      <c r="H14" s="209">
        <f>ROUND('SUMMARY-ALL YEARS'!H14/1000,1)</f>
        <v>31474.3</v>
      </c>
      <c r="I14" s="209">
        <f>ROUND('SUMMARY-ALL YEARS'!I14/1000,1)</f>
        <v>32316.799999999999</v>
      </c>
      <c r="J14" s="209">
        <f>ROUND('SUMMARY-ALL YEARS'!J14/1000,1)</f>
        <v>32058.2</v>
      </c>
      <c r="K14" s="209">
        <f>ROUND('SUMMARY-ALL YEARS'!K14/1000,1)</f>
        <v>31807.9</v>
      </c>
      <c r="L14" s="209">
        <f>ROUND('SUMMARY-ALL YEARS'!L14/1000,1)</f>
        <v>31673.1</v>
      </c>
      <c r="M14" s="209">
        <f>ROUND('SUMMARY-ALL YEARS'!M14/1000,1)</f>
        <v>31709.9</v>
      </c>
      <c r="N14" s="209">
        <f>ROUND('SUMMARY-ALL YEARS'!N14/1000,1)</f>
        <v>31867</v>
      </c>
      <c r="O14" s="209">
        <f>ROUND('SUMMARY-ALL YEARS'!O14/1000,1)</f>
        <v>32179.4</v>
      </c>
      <c r="P14" s="209">
        <f>ROUND('SUMMARY-ALL YEARS'!P14/1000,1)</f>
        <v>32480</v>
      </c>
      <c r="Q14" s="209">
        <f t="shared" si="0"/>
        <v>64375</v>
      </c>
      <c r="R14" s="209">
        <f t="shared" si="1"/>
        <v>63481</v>
      </c>
      <c r="S14" s="209">
        <f t="shared" si="2"/>
        <v>63576.9</v>
      </c>
      <c r="T14" s="209">
        <f t="shared" si="3"/>
        <v>64659.4</v>
      </c>
      <c r="U14" s="209">
        <f t="shared" si="4"/>
        <v>-894</v>
      </c>
      <c r="V14" s="222">
        <f t="shared" si="5"/>
        <v>-1.38873786407767E-2</v>
      </c>
      <c r="W14" s="209">
        <f t="shared" si="6"/>
        <v>95.900000000001455</v>
      </c>
      <c r="X14" s="222">
        <f t="shared" si="7"/>
        <v>1.5106882374253943E-3</v>
      </c>
      <c r="Y14" s="209">
        <f t="shared" si="8"/>
        <v>1082.5</v>
      </c>
      <c r="Z14" s="222">
        <f t="shared" si="9"/>
        <v>1.7026624450075419E-2</v>
      </c>
    </row>
    <row r="15" spans="1:26" x14ac:dyDescent="0.15">
      <c r="A15" s="203">
        <f t="shared" si="10"/>
        <v>8</v>
      </c>
      <c r="B15" s="208"/>
      <c r="C15" s="208" t="s">
        <v>170</v>
      </c>
      <c r="D15" s="207">
        <f>'FY 2003'!I14</f>
        <v>9779108</v>
      </c>
      <c r="E15" s="207">
        <f>'FY 2004'!I14</f>
        <v>7276758</v>
      </c>
      <c r="F15" s="209">
        <f>ROUND('SUMMARY-ALL YEARS'!F15/1000,1)</f>
        <v>7434.3</v>
      </c>
      <c r="G15" s="209">
        <f>ROUND('SUMMARY-ALL YEARS'!G15/1000,1)</f>
        <v>7883.2</v>
      </c>
      <c r="H15" s="209">
        <f>ROUND('SUMMARY-ALL YEARS'!H15/1000,1)</f>
        <v>8057.6</v>
      </c>
      <c r="I15" s="209">
        <f>ROUND('SUMMARY-ALL YEARS'!I15/1000,1)</f>
        <v>8306.5</v>
      </c>
      <c r="J15" s="209">
        <f>ROUND('SUMMARY-ALL YEARS'!J15/1000,1)</f>
        <v>8316.7999999999993</v>
      </c>
      <c r="K15" s="209">
        <f>ROUND('SUMMARY-ALL YEARS'!K15/1000,1)</f>
        <v>8258.2999999999993</v>
      </c>
      <c r="L15" s="209">
        <f>ROUND('SUMMARY-ALL YEARS'!L15/1000,1)</f>
        <v>8387.5</v>
      </c>
      <c r="M15" s="209">
        <f>ROUND('SUMMARY-ALL YEARS'!M15/1000,1)</f>
        <v>8406.7999999999993</v>
      </c>
      <c r="N15" s="209">
        <f>ROUND('SUMMARY-ALL YEARS'!N15/1000,1)</f>
        <v>8500.2000000000007</v>
      </c>
      <c r="O15" s="209">
        <f>ROUND('SUMMARY-ALL YEARS'!O15/1000,1)</f>
        <v>8579.4</v>
      </c>
      <c r="P15" s="209">
        <f>ROUND('SUMMARY-ALL YEARS'!P15/1000,1)</f>
        <v>8651.7000000000007</v>
      </c>
      <c r="Q15" s="209">
        <f t="shared" si="0"/>
        <v>16623.3</v>
      </c>
      <c r="R15" s="209">
        <f t="shared" si="1"/>
        <v>16645.8</v>
      </c>
      <c r="S15" s="209">
        <f t="shared" si="2"/>
        <v>16907</v>
      </c>
      <c r="T15" s="209">
        <f t="shared" si="3"/>
        <v>17231.099999999999</v>
      </c>
      <c r="U15" s="209">
        <f t="shared" si="4"/>
        <v>22.5</v>
      </c>
      <c r="V15" s="222">
        <f t="shared" si="5"/>
        <v>1.3535218638898415E-3</v>
      </c>
      <c r="W15" s="209">
        <f t="shared" si="6"/>
        <v>261.20000000000073</v>
      </c>
      <c r="X15" s="222">
        <f t="shared" si="7"/>
        <v>1.5691645940717824E-2</v>
      </c>
      <c r="Y15" s="209">
        <f t="shared" si="8"/>
        <v>324.09999999999854</v>
      </c>
      <c r="Z15" s="222">
        <f t="shared" si="9"/>
        <v>1.9169574732359293E-2</v>
      </c>
    </row>
    <row r="16" spans="1:26" x14ac:dyDescent="0.15">
      <c r="A16" s="203">
        <f t="shared" si="10"/>
        <v>9</v>
      </c>
      <c r="B16" s="203" t="s">
        <v>145</v>
      </c>
      <c r="D16" s="207">
        <f>'FY 2003'!I15</f>
        <v>16471551</v>
      </c>
      <c r="E16" s="207">
        <f>'FY 2004'!I15</f>
        <v>16909578</v>
      </c>
      <c r="F16" s="209">
        <f>ROUND('SUMMARY-ALL YEARS'!F16/1000,1)</f>
        <v>17548.599999999999</v>
      </c>
      <c r="G16" s="209">
        <f>ROUND('SUMMARY-ALL YEARS'!G16/1000,1)</f>
        <v>18853.099999999999</v>
      </c>
      <c r="H16" s="209">
        <f>ROUND('SUMMARY-ALL YEARS'!H16/1000,1)</f>
        <v>20254.2</v>
      </c>
      <c r="I16" s="209">
        <f>ROUND('SUMMARY-ALL YEARS'!I16/1000,1)</f>
        <v>21637.5</v>
      </c>
      <c r="J16" s="209">
        <f>ROUND('SUMMARY-ALL YEARS'!J16/1000,1)</f>
        <v>22898.799999999999</v>
      </c>
      <c r="K16" s="209">
        <f>ROUND('SUMMARY-ALL YEARS'!K16/1000,1)</f>
        <v>23368.6</v>
      </c>
      <c r="L16" s="209">
        <f>ROUND('SUMMARY-ALL YEARS'!L16/1000,1)</f>
        <v>23511.200000000001</v>
      </c>
      <c r="M16" s="209">
        <f>ROUND('SUMMARY-ALL YEARS'!M16/1000,1)</f>
        <v>24128.7</v>
      </c>
      <c r="N16" s="209">
        <f>ROUND('SUMMARY-ALL YEARS'!N16/1000,1)</f>
        <v>24366.799999999999</v>
      </c>
      <c r="O16" s="209">
        <f>ROUND('SUMMARY-ALL YEARS'!O16/1000,1)</f>
        <v>24637.1</v>
      </c>
      <c r="P16" s="209">
        <f>ROUND('SUMMARY-ALL YEARS'!P16/1000,1)</f>
        <v>25012.3</v>
      </c>
      <c r="Q16" s="209">
        <f t="shared" si="0"/>
        <v>44536.3</v>
      </c>
      <c r="R16" s="209">
        <f t="shared" si="1"/>
        <v>46879.8</v>
      </c>
      <c r="S16" s="209">
        <f t="shared" si="2"/>
        <v>48495.5</v>
      </c>
      <c r="T16" s="209">
        <f t="shared" si="3"/>
        <v>49649.399999999994</v>
      </c>
      <c r="U16" s="209">
        <f t="shared" si="4"/>
        <v>2343.5</v>
      </c>
      <c r="V16" s="222">
        <f t="shared" si="5"/>
        <v>5.2619997619919028E-2</v>
      </c>
      <c r="W16" s="209">
        <f t="shared" si="6"/>
        <v>1615.6999999999971</v>
      </c>
      <c r="X16" s="222">
        <f t="shared" si="7"/>
        <v>3.4464737477548898E-2</v>
      </c>
      <c r="Y16" s="209">
        <f t="shared" si="8"/>
        <v>1153.8999999999942</v>
      </c>
      <c r="Z16" s="222">
        <f t="shared" si="9"/>
        <v>2.3793960264354305E-2</v>
      </c>
    </row>
    <row r="17" spans="1:26" x14ac:dyDescent="0.15">
      <c r="A17" s="203">
        <f t="shared" si="10"/>
        <v>10</v>
      </c>
      <c r="B17" s="203" t="s">
        <v>146</v>
      </c>
      <c r="D17" s="207">
        <f>'FY 2003'!I16</f>
        <v>56478364</v>
      </c>
      <c r="E17" s="207">
        <f>'FY 2004'!I16</f>
        <v>55913098</v>
      </c>
      <c r="F17" s="209">
        <f>ROUND('SUMMARY-ALL YEARS'!F17/1000,1)</f>
        <v>55511.199999999997</v>
      </c>
      <c r="G17" s="209">
        <f>ROUND('SUMMARY-ALL YEARS'!G17/1000,1)</f>
        <v>57332.800000000003</v>
      </c>
      <c r="H17" s="209">
        <f>ROUND('SUMMARY-ALL YEARS'!H17/1000,1)</f>
        <v>59221.8</v>
      </c>
      <c r="I17" s="209">
        <f>ROUND('SUMMARY-ALL YEARS'!I17/1000,1)</f>
        <v>60083.8</v>
      </c>
      <c r="J17" s="209">
        <f>ROUND('SUMMARY-ALL YEARS'!J17/1000,1)</f>
        <v>60159.1</v>
      </c>
      <c r="K17" s="209">
        <f>ROUND('SUMMARY-ALL YEARS'!K17/1000,1)</f>
        <v>59833.2</v>
      </c>
      <c r="L17" s="209">
        <f>ROUND('SUMMARY-ALL YEARS'!L17/1000,1)</f>
        <v>60371.5</v>
      </c>
      <c r="M17" s="209">
        <f>ROUND('SUMMARY-ALL YEARS'!M17/1000,1)</f>
        <v>60249.599999999999</v>
      </c>
      <c r="N17" s="209">
        <f>ROUND('SUMMARY-ALL YEARS'!N17/1000,1)</f>
        <v>60009.2</v>
      </c>
      <c r="O17" s="209">
        <f>ROUND('SUMMARY-ALL YEARS'!O17/1000,1)</f>
        <v>59809.9</v>
      </c>
      <c r="P17" s="209">
        <f>ROUND('SUMMARY-ALL YEARS'!P17/1000,1)</f>
        <v>59683.8</v>
      </c>
      <c r="Q17" s="209">
        <f t="shared" si="0"/>
        <v>120242.9</v>
      </c>
      <c r="R17" s="209">
        <f t="shared" si="1"/>
        <v>120204.7</v>
      </c>
      <c r="S17" s="209">
        <f t="shared" si="2"/>
        <v>120258.79999999999</v>
      </c>
      <c r="T17" s="209">
        <f t="shared" si="3"/>
        <v>119493.70000000001</v>
      </c>
      <c r="U17" s="209">
        <f t="shared" si="4"/>
        <v>-38.19999999999709</v>
      </c>
      <c r="V17" s="222">
        <f t="shared" si="5"/>
        <v>-3.1769027526778787E-4</v>
      </c>
      <c r="W17" s="209">
        <f t="shared" si="6"/>
        <v>54.099999999991269</v>
      </c>
      <c r="X17" s="222">
        <f t="shared" si="7"/>
        <v>4.5006559643667238E-4</v>
      </c>
      <c r="Y17" s="209">
        <f t="shared" si="8"/>
        <v>-765.09999999997672</v>
      </c>
      <c r="Z17" s="222">
        <f t="shared" si="9"/>
        <v>-6.3621123776386995E-3</v>
      </c>
    </row>
    <row r="18" spans="1:26" x14ac:dyDescent="0.15">
      <c r="A18" s="203">
        <f t="shared" si="10"/>
        <v>11</v>
      </c>
      <c r="B18" s="203" t="s">
        <v>148</v>
      </c>
      <c r="D18" s="207">
        <f>'FY 2003'!I17</f>
        <v>25114308</v>
      </c>
      <c r="E18" s="207">
        <f>'FY 2004'!I17</f>
        <v>18869558</v>
      </c>
      <c r="F18" s="209">
        <f>ROUND('SUMMARY-ALL YEARS'!F18/1000,1)</f>
        <v>12876.8</v>
      </c>
      <c r="G18" s="209">
        <f>ROUND('SUMMARY-ALL YEARS'!G18/1000,1)</f>
        <v>8213.5</v>
      </c>
      <c r="H18" s="209">
        <f>ROUND('SUMMARY-ALL YEARS'!H18/1000,1)</f>
        <v>4354.3999999999996</v>
      </c>
      <c r="I18" s="209">
        <f>ROUND('SUMMARY-ALL YEARS'!I18/1000,1)</f>
        <v>2146.1</v>
      </c>
      <c r="J18" s="209">
        <f>ROUND('SUMMARY-ALL YEARS'!J18/1000,1)</f>
        <v>1207.4000000000001</v>
      </c>
      <c r="K18" s="209">
        <f>ROUND('SUMMARY-ALL YEARS'!K18/1000,1)</f>
        <v>675.9</v>
      </c>
      <c r="L18" s="209">
        <f>ROUND('SUMMARY-ALL YEARS'!L18/1000,1)</f>
        <v>373.2</v>
      </c>
      <c r="M18" s="209">
        <f>ROUND('SUMMARY-ALL YEARS'!M18/1000,1)</f>
        <v>223.2</v>
      </c>
      <c r="N18" s="209">
        <f>ROUND('SUMMARY-ALL YEARS'!N18/1000,1)</f>
        <v>158.9</v>
      </c>
      <c r="O18" s="209">
        <f>ROUND('SUMMARY-ALL YEARS'!O18/1000,1)</f>
        <v>128.80000000000001</v>
      </c>
      <c r="P18" s="209">
        <f>ROUND('SUMMARY-ALL YEARS'!P18/1000,1)</f>
        <v>104.2</v>
      </c>
      <c r="Q18" s="209">
        <f t="shared" si="0"/>
        <v>3353.5</v>
      </c>
      <c r="R18" s="209">
        <f t="shared" si="1"/>
        <v>1049.0999999999999</v>
      </c>
      <c r="S18" s="209">
        <f t="shared" si="2"/>
        <v>382.1</v>
      </c>
      <c r="T18" s="209">
        <f t="shared" si="3"/>
        <v>233</v>
      </c>
      <c r="U18" s="209">
        <f t="shared" si="4"/>
        <v>-2304.4</v>
      </c>
      <c r="V18" s="222">
        <f t="shared" si="5"/>
        <v>-0.68716266587147756</v>
      </c>
      <c r="W18" s="209">
        <f t="shared" si="6"/>
        <v>-666.99999999999989</v>
      </c>
      <c r="X18" s="222">
        <f t="shared" si="7"/>
        <v>-0.63578305213992936</v>
      </c>
      <c r="Y18" s="209">
        <f t="shared" si="8"/>
        <v>-149.10000000000002</v>
      </c>
      <c r="Z18" s="222">
        <f t="shared" si="9"/>
        <v>-0.39021198639099713</v>
      </c>
    </row>
    <row r="19" spans="1:26" x14ac:dyDescent="0.15">
      <c r="A19" s="203">
        <f t="shared" si="10"/>
        <v>12</v>
      </c>
      <c r="B19" s="208" t="s">
        <v>244</v>
      </c>
      <c r="D19" s="207">
        <f>'FY 2003'!I18</f>
        <v>0</v>
      </c>
      <c r="E19" s="207">
        <f>'FY 2004'!I18</f>
        <v>0</v>
      </c>
      <c r="F19" s="209">
        <f>ROUND('SUMMARY-ALL YEARS'!F19/1000,1)</f>
        <v>0</v>
      </c>
      <c r="G19" s="209">
        <f>ROUND('SUMMARY-ALL YEARS'!G19/1000,1)</f>
        <v>-344.9</v>
      </c>
      <c r="H19" s="209">
        <f>ROUND('SUMMARY-ALL YEARS'!H19/1000,1)</f>
        <v>0</v>
      </c>
      <c r="I19" s="209">
        <f>ROUND('SUMMARY-ALL YEARS'!I19/1000,1)</f>
        <v>-730.5</v>
      </c>
      <c r="J19" s="209">
        <f>ROUND('SUMMARY-ALL YEARS'!J19/1000,1)</f>
        <v>0</v>
      </c>
      <c r="K19" s="209">
        <f>ROUND('SUMMARY-ALL YEARS'!K19/1000,1)</f>
        <v>-2507.1</v>
      </c>
      <c r="L19" s="209">
        <f>ROUND('SUMMARY-ALL YEARS'!L19/1000,1)</f>
        <v>0</v>
      </c>
      <c r="M19" s="209">
        <f>ROUND('SUMMARY-ALL YEARS'!M19/1000,1)</f>
        <v>-700</v>
      </c>
      <c r="N19" s="209">
        <f>ROUND('SUMMARY-ALL YEARS'!N19/1000,1)</f>
        <v>0</v>
      </c>
      <c r="O19" s="209">
        <f>ROUND('SUMMARY-ALL YEARS'!O19/1000,1)</f>
        <v>-700</v>
      </c>
      <c r="P19" s="209">
        <f>ROUND('SUMMARY-ALL YEARS'!P19/1000,1)</f>
        <v>0</v>
      </c>
      <c r="Q19" s="209">
        <f t="shared" si="0"/>
        <v>-730.5</v>
      </c>
      <c r="R19" s="209">
        <f t="shared" si="1"/>
        <v>-2507.1</v>
      </c>
      <c r="S19" s="209">
        <f t="shared" si="2"/>
        <v>-700</v>
      </c>
      <c r="T19" s="209">
        <f t="shared" si="3"/>
        <v>-700</v>
      </c>
      <c r="U19" s="209">
        <f t="shared" si="4"/>
        <v>-1776.6</v>
      </c>
      <c r="V19" s="222">
        <f t="shared" si="5"/>
        <v>2.4320328542094454</v>
      </c>
      <c r="W19" s="209">
        <f t="shared" si="6"/>
        <v>1807.1</v>
      </c>
      <c r="X19" s="222">
        <f t="shared" si="7"/>
        <v>-0.72079294802760163</v>
      </c>
      <c r="Y19" s="209">
        <f t="shared" si="8"/>
        <v>0</v>
      </c>
      <c r="Z19" s="222">
        <f t="shared" si="9"/>
        <v>0</v>
      </c>
    </row>
    <row r="20" spans="1:26" x14ac:dyDescent="0.15">
      <c r="A20" s="203">
        <f t="shared" si="10"/>
        <v>13</v>
      </c>
      <c r="B20" s="208" t="s">
        <v>360</v>
      </c>
      <c r="D20" s="207"/>
      <c r="E20" s="207"/>
      <c r="F20" s="209"/>
      <c r="G20" s="209"/>
      <c r="H20" s="209">
        <v>0</v>
      </c>
      <c r="I20" s="209">
        <v>0</v>
      </c>
      <c r="J20" s="209">
        <v>0</v>
      </c>
      <c r="K20" s="209">
        <f>ROUND('SUMMARY-ALL YEARS'!K20/1000,1)</f>
        <v>-500000</v>
      </c>
      <c r="L20" s="209">
        <v>0</v>
      </c>
      <c r="M20" s="209">
        <v>0</v>
      </c>
      <c r="N20" s="209">
        <v>0</v>
      </c>
      <c r="O20" s="209">
        <v>0</v>
      </c>
      <c r="P20" s="209">
        <v>0</v>
      </c>
      <c r="Q20" s="209">
        <f t="shared" ref="Q20:Q25" si="11">SUM(I20:J20)</f>
        <v>0</v>
      </c>
      <c r="R20" s="209">
        <f t="shared" ref="R20:R25" si="12">SUM(K20:L20)</f>
        <v>-500000</v>
      </c>
      <c r="S20" s="209">
        <f t="shared" ref="S20:S25" si="13">SUM(M20:N20)</f>
        <v>0</v>
      </c>
      <c r="T20" s="209">
        <f t="shared" si="3"/>
        <v>0</v>
      </c>
      <c r="U20" s="209">
        <f t="shared" ref="U20:U25" si="14">R20-Q20</f>
        <v>-500000</v>
      </c>
      <c r="V20" s="222" t="e">
        <f t="shared" si="5"/>
        <v>#DIV/0!</v>
      </c>
      <c r="W20" s="209">
        <f t="shared" ref="W20:W25" si="15">S20-R20</f>
        <v>500000</v>
      </c>
      <c r="X20" s="222">
        <f t="shared" si="7"/>
        <v>-1</v>
      </c>
      <c r="Y20" s="209">
        <f t="shared" si="8"/>
        <v>0</v>
      </c>
      <c r="Z20" s="222" t="e">
        <f t="shared" si="9"/>
        <v>#DIV/0!</v>
      </c>
    </row>
    <row r="21" spans="1:26" x14ac:dyDescent="0.15">
      <c r="A21" s="203">
        <f t="shared" si="10"/>
        <v>14</v>
      </c>
      <c r="B21" s="203" t="s">
        <v>147</v>
      </c>
      <c r="D21" s="207">
        <f>'FY 2003'!I19</f>
        <v>198438434</v>
      </c>
      <c r="E21" s="207">
        <f>'FY 2004'!I19</f>
        <v>194217096</v>
      </c>
      <c r="F21" s="209">
        <f>ROUND('SUMMARY-ALL YEARS'!F21/1000,1)</f>
        <v>193697.1</v>
      </c>
      <c r="G21" s="209">
        <f>ROUND('SUMMARY-ALL YEARS'!G21/1000,1)</f>
        <v>194018.4</v>
      </c>
      <c r="H21" s="209">
        <f>ROUND('SUMMARY-ALL YEARS'!H21/1000,1)</f>
        <v>194117</v>
      </c>
      <c r="I21" s="209">
        <f>ROUND('SUMMARY-ALL YEARS'!I21/1000,1)</f>
        <v>194635.6</v>
      </c>
      <c r="J21" s="209">
        <f>ROUND('SUMMARY-ALL YEARS'!J21/1000,1)</f>
        <v>194299.1</v>
      </c>
      <c r="K21" s="209">
        <f>ROUND('SUMMARY-ALL YEARS'!K21/1000,1)</f>
        <v>194409.8</v>
      </c>
      <c r="L21" s="209">
        <f>ROUND('SUMMARY-ALL YEARS'!L21/1000,1)</f>
        <v>194612.2</v>
      </c>
      <c r="M21" s="209">
        <f>ROUND('SUMMARY-ALL YEARS'!M21/1000,1)</f>
        <v>195303.1</v>
      </c>
      <c r="N21" s="209">
        <f>ROUND('SUMMARY-ALL YEARS'!N21/1000,1)</f>
        <v>196865.8</v>
      </c>
      <c r="O21" s="209">
        <f>ROUND('SUMMARY-ALL YEARS'!O21/1000,1)</f>
        <v>198885.1</v>
      </c>
      <c r="P21" s="209">
        <f>ROUND('SUMMARY-ALL YEARS'!P21/1000,1)</f>
        <v>200893.9</v>
      </c>
      <c r="Q21" s="209">
        <f t="shared" si="11"/>
        <v>388934.7</v>
      </c>
      <c r="R21" s="209">
        <f t="shared" si="12"/>
        <v>389022</v>
      </c>
      <c r="S21" s="209">
        <f t="shared" si="13"/>
        <v>392168.9</v>
      </c>
      <c r="T21" s="209">
        <f t="shared" si="3"/>
        <v>399779</v>
      </c>
      <c r="U21" s="209">
        <f t="shared" si="14"/>
        <v>87.299999999988358</v>
      </c>
      <c r="V21" s="222">
        <f t="shared" si="5"/>
        <v>2.244592729833269E-4</v>
      </c>
      <c r="W21" s="209">
        <f t="shared" si="15"/>
        <v>3146.9000000000233</v>
      </c>
      <c r="X21" s="222">
        <f t="shared" si="7"/>
        <v>8.0892597333827483E-3</v>
      </c>
      <c r="Y21" s="209">
        <f t="shared" si="8"/>
        <v>7610.0999999999767</v>
      </c>
      <c r="Z21" s="222">
        <f t="shared" si="9"/>
        <v>1.9405159358633427E-2</v>
      </c>
    </row>
    <row r="22" spans="1:26" x14ac:dyDescent="0.15">
      <c r="A22" s="203">
        <f t="shared" si="10"/>
        <v>15</v>
      </c>
      <c r="B22" s="203" t="s">
        <v>149</v>
      </c>
      <c r="D22" s="207">
        <f>'FY 2003'!I20</f>
        <v>34642490</v>
      </c>
      <c r="E22" s="207">
        <f>'FY 2004'!I20</f>
        <v>32112369</v>
      </c>
      <c r="F22" s="209">
        <f>ROUND('SUMMARY-ALL YEARS'!F22/1000,1)</f>
        <v>41731.199999999997</v>
      </c>
      <c r="G22" s="209">
        <f>ROUND('SUMMARY-ALL YEARS'!G22/1000,1)</f>
        <v>50999.4</v>
      </c>
      <c r="H22" s="209">
        <f>ROUND('SUMMARY-ALL YEARS'!H22/1000,1)</f>
        <v>94274.1</v>
      </c>
      <c r="I22" s="209">
        <f>ROUND('SUMMARY-ALL YEARS'!I22/1000,1)</f>
        <v>95708.800000000003</v>
      </c>
      <c r="J22" s="209">
        <f>ROUND('SUMMARY-ALL YEARS'!J22/1000,1)</f>
        <v>93362</v>
      </c>
      <c r="K22" s="209">
        <f>ROUND('SUMMARY-ALL YEARS'!K22/1000,1)</f>
        <v>92518.8</v>
      </c>
      <c r="L22" s="223">
        <f>ROUND('SUMMARY-ALL YEARS'!L22/1000,1)</f>
        <v>92334</v>
      </c>
      <c r="M22" s="223">
        <f>ROUND('SUMMARY-ALL YEARS'!M22/1000,1)</f>
        <v>93367.2</v>
      </c>
      <c r="N22" s="223">
        <f>ROUND('SUMMARY-ALL YEARS'!N22/1000,1)</f>
        <v>94481.7</v>
      </c>
      <c r="O22" s="223">
        <f>ROUND('SUMMARY-ALL YEARS'!O22/1000,1)</f>
        <v>96337.1</v>
      </c>
      <c r="P22" s="223">
        <f>ROUND('SUMMARY-ALL YEARS'!P22/1000,1)</f>
        <v>98582.7</v>
      </c>
      <c r="Q22" s="209">
        <f t="shared" si="11"/>
        <v>189070.8</v>
      </c>
      <c r="R22" s="209">
        <f t="shared" si="12"/>
        <v>184852.8</v>
      </c>
      <c r="S22" s="209">
        <f t="shared" si="13"/>
        <v>187848.9</v>
      </c>
      <c r="T22" s="209">
        <f t="shared" si="3"/>
        <v>194919.8</v>
      </c>
      <c r="U22" s="209">
        <f t="shared" si="14"/>
        <v>-4218</v>
      </c>
      <c r="V22" s="222">
        <f t="shared" si="5"/>
        <v>-2.2309103256557862E-2</v>
      </c>
      <c r="W22" s="209">
        <f t="shared" si="15"/>
        <v>2996.1000000000058</v>
      </c>
      <c r="X22" s="222">
        <f t="shared" si="7"/>
        <v>1.6208031471527648E-2</v>
      </c>
      <c r="Y22" s="209">
        <f t="shared" si="8"/>
        <v>7070.8999999999942</v>
      </c>
      <c r="Z22" s="222">
        <f t="shared" si="9"/>
        <v>3.7641423505807028E-2</v>
      </c>
    </row>
    <row r="23" spans="1:26" x14ac:dyDescent="0.15">
      <c r="A23" s="203">
        <f t="shared" si="10"/>
        <v>16</v>
      </c>
      <c r="B23" s="208" t="s">
        <v>173</v>
      </c>
      <c r="D23" s="207">
        <f>'FY 2003'!I21</f>
        <v>0</v>
      </c>
      <c r="E23" s="207">
        <f>'FY 2004'!I21</f>
        <v>31986524</v>
      </c>
      <c r="F23" s="209">
        <f>ROUND('SUMMARY-ALL YEARS'!F23/1000,1)</f>
        <v>31326.6</v>
      </c>
      <c r="G23" s="209">
        <f>ROUND('SUMMARY-ALL YEARS'!G23/1000,1)</f>
        <v>31033.7</v>
      </c>
      <c r="H23" s="209">
        <f>ROUND('SUMMARY-ALL YEARS'!H23/1000,1)</f>
        <v>30462.5</v>
      </c>
      <c r="I23" s="209">
        <f>ROUND('SUMMARY-ALL YEARS'!I23/1000,1)</f>
        <v>30143.3</v>
      </c>
      <c r="J23" s="209">
        <f>ROUND('SUMMARY-ALL YEARS'!J23/1000,1)</f>
        <v>29712</v>
      </c>
      <c r="K23" s="209">
        <f>ROUND('SUMMARY-ALL YEARS'!K23/1000,1)</f>
        <v>29453.1</v>
      </c>
      <c r="L23" s="223">
        <f>ROUND('SUMMARY-ALL YEARS'!L23/1000,1)</f>
        <v>29215.4</v>
      </c>
      <c r="M23" s="223">
        <f>ROUND('SUMMARY-ALL YEARS'!M23/1000,1)</f>
        <v>29102</v>
      </c>
      <c r="N23" s="223">
        <f>ROUND('SUMMARY-ALL YEARS'!N23/1000,1)</f>
        <v>29294.3</v>
      </c>
      <c r="O23" s="223">
        <f>ROUND('SUMMARY-ALL YEARS'!O23/1000,1)</f>
        <v>29613.8</v>
      </c>
      <c r="P23" s="223">
        <f>ROUND('SUMMARY-ALL YEARS'!P23/1000,1)</f>
        <v>29884.400000000001</v>
      </c>
      <c r="Q23" s="209">
        <f t="shared" si="11"/>
        <v>59855.3</v>
      </c>
      <c r="R23" s="209">
        <f t="shared" si="12"/>
        <v>58668.5</v>
      </c>
      <c r="S23" s="209">
        <f t="shared" si="13"/>
        <v>58396.3</v>
      </c>
      <c r="T23" s="209">
        <f t="shared" si="3"/>
        <v>59498.2</v>
      </c>
      <c r="U23" s="209">
        <f t="shared" si="14"/>
        <v>-1186.8000000000029</v>
      </c>
      <c r="V23" s="222">
        <f t="shared" si="5"/>
        <v>-1.9827818087955501E-2</v>
      </c>
      <c r="W23" s="209">
        <f t="shared" si="15"/>
        <v>-272.19999999999709</v>
      </c>
      <c r="X23" s="222">
        <f t="shared" si="7"/>
        <v>-4.639627738905837E-3</v>
      </c>
      <c r="Y23" s="209">
        <f t="shared" si="8"/>
        <v>1101.8999999999942</v>
      </c>
      <c r="Z23" s="222">
        <f t="shared" si="9"/>
        <v>1.8869346174329438E-2</v>
      </c>
    </row>
    <row r="24" spans="1:26" x14ac:dyDescent="0.15">
      <c r="A24" s="203">
        <f t="shared" si="10"/>
        <v>17</v>
      </c>
      <c r="B24" s="208" t="s">
        <v>168</v>
      </c>
      <c r="C24" s="208"/>
      <c r="D24" s="207">
        <f>'FY 2003'!I22</f>
        <v>0</v>
      </c>
      <c r="E24" s="207">
        <f>'FY 2004'!I22</f>
        <v>0</v>
      </c>
      <c r="F24" s="209">
        <f>ROUND('SUMMARY-ALL YEARS'!F24/1000,1)</f>
        <v>0</v>
      </c>
      <c r="G24" s="209">
        <f>ROUND('SUMMARY-ALL YEARS'!G24/1000,1)</f>
        <v>16348.9</v>
      </c>
      <c r="H24" s="209">
        <f>ROUND('SUMMARY-ALL YEARS'!H24/1000,1)</f>
        <v>48603.7</v>
      </c>
      <c r="I24" s="209">
        <f>ROUND('SUMMARY-ALL YEARS'!I24/1000,1)</f>
        <v>60763.6</v>
      </c>
      <c r="J24" s="209">
        <f>ROUND('SUMMARY-ALL YEARS'!J24/1000,1)</f>
        <v>63348.4</v>
      </c>
      <c r="K24" s="209">
        <f>ROUND('SUMMARY-ALL YEARS'!K24/1000,1)</f>
        <v>58291.5</v>
      </c>
      <c r="L24" s="223">
        <f>ROUND('SUMMARY-ALL YEARS'!L24/1000,1)</f>
        <v>63056.9</v>
      </c>
      <c r="M24" s="223">
        <f>ROUND('SUMMARY-ALL YEARS'!M24/1000,1)</f>
        <v>79031.199999999997</v>
      </c>
      <c r="N24" s="223">
        <f>ROUND('SUMMARY-ALL YEARS'!N24/1000,1)</f>
        <v>81908.5</v>
      </c>
      <c r="O24" s="223">
        <f>ROUND('SUMMARY-ALL YEARS'!O24/1000,1)</f>
        <v>83976.7</v>
      </c>
      <c r="P24" s="223">
        <f>ROUND('SUMMARY-ALL YEARS'!P24/1000,1)</f>
        <v>86016.3</v>
      </c>
      <c r="Q24" s="209">
        <f t="shared" si="11"/>
        <v>124112</v>
      </c>
      <c r="R24" s="209">
        <f t="shared" si="12"/>
        <v>121348.4</v>
      </c>
      <c r="S24" s="209">
        <f t="shared" si="13"/>
        <v>160939.70000000001</v>
      </c>
      <c r="T24" s="209">
        <f t="shared" si="3"/>
        <v>169993</v>
      </c>
      <c r="U24" s="209">
        <f t="shared" si="14"/>
        <v>-2763.6000000000058</v>
      </c>
      <c r="V24" s="222">
        <f t="shared" si="5"/>
        <v>-2.2266984659017709E-2</v>
      </c>
      <c r="W24" s="209">
        <f t="shared" si="15"/>
        <v>39591.300000000017</v>
      </c>
      <c r="X24" s="222">
        <f t="shared" si="7"/>
        <v>0.32626140929752695</v>
      </c>
      <c r="Y24" s="209">
        <f t="shared" si="8"/>
        <v>9053.2999999999884</v>
      </c>
      <c r="Z24" s="222">
        <f t="shared" si="9"/>
        <v>5.6252745593535887E-2</v>
      </c>
    </row>
    <row r="25" spans="1:26" x14ac:dyDescent="0.15">
      <c r="A25" s="203">
        <f t="shared" si="10"/>
        <v>18</v>
      </c>
      <c r="B25" s="203" t="s">
        <v>150</v>
      </c>
      <c r="D25" s="207">
        <f>'FY 2003'!I23</f>
        <v>291708358</v>
      </c>
      <c r="E25" s="207">
        <f>'FY 2004'!I23</f>
        <v>426336542</v>
      </c>
      <c r="F25" s="209">
        <f>ROUND('SUMMARY-ALL YEARS'!F25/1000,1)</f>
        <v>504721.1</v>
      </c>
      <c r="G25" s="209">
        <f>ROUND('SUMMARY-ALL YEARS'!G25/1000,1)</f>
        <v>534314.5</v>
      </c>
      <c r="H25" s="209">
        <f>ROUND('SUMMARY-ALL YEARS'!H25/1000,1)</f>
        <v>598966.19999999995</v>
      </c>
      <c r="I25" s="209">
        <f>ROUND('SUMMARY-ALL YEARS'!I25/1000,1)</f>
        <v>644192.19999999995</v>
      </c>
      <c r="J25" s="209">
        <f>ROUND('SUMMARY-ALL YEARS'!J25/1000,1)</f>
        <v>720567.2</v>
      </c>
      <c r="K25" s="209">
        <f>ROUND('SUMMARY-ALL YEARS'!K25/1000,1)</f>
        <v>781675.1</v>
      </c>
      <c r="L25" s="223">
        <f>ROUND('SUMMARY-ALL YEARS'!L25/1000,1)</f>
        <v>804832.3</v>
      </c>
      <c r="M25" s="223">
        <f>ROUND('SUMMARY-ALL YEARS'!M25/1000,1)</f>
        <v>822497.4</v>
      </c>
      <c r="N25" s="223">
        <f>ROUND('SUMMARY-ALL YEARS'!N25/1000,1)</f>
        <v>895213</v>
      </c>
      <c r="O25" s="223">
        <f>ROUND('SUMMARY-ALL YEARS'!O25/1000,1)</f>
        <v>945891.1</v>
      </c>
      <c r="P25" s="223">
        <f>ROUND('SUMMARY-ALL YEARS'!P25/1000,1)</f>
        <v>1016293.4</v>
      </c>
      <c r="Q25" s="209">
        <f t="shared" si="11"/>
        <v>1364759.4</v>
      </c>
      <c r="R25" s="209">
        <f t="shared" si="12"/>
        <v>1586507.4</v>
      </c>
      <c r="S25" s="209">
        <f t="shared" si="13"/>
        <v>1717710.4</v>
      </c>
      <c r="T25" s="209">
        <f t="shared" si="3"/>
        <v>1962184.5</v>
      </c>
      <c r="U25" s="209">
        <f t="shared" si="14"/>
        <v>221748</v>
      </c>
      <c r="V25" s="222">
        <f t="shared" si="5"/>
        <v>0.16248138682906307</v>
      </c>
      <c r="W25" s="209">
        <f t="shared" si="15"/>
        <v>131203</v>
      </c>
      <c r="X25" s="222">
        <f t="shared" si="7"/>
        <v>8.2699267586145528E-2</v>
      </c>
      <c r="Y25" s="209">
        <f t="shared" si="8"/>
        <v>244474.10000000009</v>
      </c>
      <c r="Z25" s="222">
        <f t="shared" si="9"/>
        <v>0.14232556314498654</v>
      </c>
    </row>
    <row r="26" spans="1:26" x14ac:dyDescent="0.15">
      <c r="L26" s="224"/>
      <c r="M26" s="224"/>
      <c r="N26" s="224"/>
      <c r="O26" s="224"/>
      <c r="P26" s="224"/>
    </row>
    <row r="27" spans="1:26" x14ac:dyDescent="0.15">
      <c r="B27" s="208" t="s">
        <v>172</v>
      </c>
      <c r="D27" s="207"/>
      <c r="E27" s="207"/>
      <c r="F27" s="209"/>
      <c r="G27" s="209"/>
      <c r="H27" s="209"/>
      <c r="I27" s="209"/>
      <c r="J27" s="209"/>
      <c r="K27" s="209"/>
      <c r="L27" s="223"/>
      <c r="M27" s="223"/>
      <c r="N27" s="223"/>
      <c r="O27" s="223"/>
      <c r="P27" s="223"/>
    </row>
    <row r="28" spans="1:26" x14ac:dyDescent="0.15">
      <c r="A28" s="203">
        <f>A25+1</f>
        <v>19</v>
      </c>
      <c r="B28" s="208"/>
      <c r="C28" s="208" t="s">
        <v>268</v>
      </c>
      <c r="D28" s="207">
        <f>'FY 2003'!I25</f>
        <v>1341221</v>
      </c>
      <c r="E28" s="207">
        <f>'FY 2004'!I25</f>
        <v>-679857</v>
      </c>
      <c r="F28" s="209">
        <f>ROUND(SUM('SUMMARY-ALL YEARS'!F27:F31)/1000,1)</f>
        <v>-1090</v>
      </c>
      <c r="G28" s="209">
        <f>ROUND(SUM('SUMMARY-ALL YEARS'!G27:G31)/1000,1)</f>
        <v>-895.4</v>
      </c>
      <c r="H28" s="209">
        <f>ROUND(SUM('SUMMARY-ALL YEARS'!H27:H31)/1000,1)</f>
        <v>-886.1</v>
      </c>
      <c r="I28" s="209">
        <f>ROUND(SUM('SUMMARY-ALL YEARS'!I27:I31)/1000,1)</f>
        <v>-182.3</v>
      </c>
      <c r="J28" s="209">
        <f>ROUND(SUM('SUMMARY-ALL YEARS'!J27:J31)/1000,1)</f>
        <v>261.60000000000002</v>
      </c>
      <c r="K28" s="209">
        <f>ROUND(SUM('SUMMARY-ALL YEARS'!K27:K31)/1000,1)</f>
        <v>606.9</v>
      </c>
      <c r="L28" s="223">
        <f>ROUND(SUM('SUMMARY-ALL YEARS'!L27:L31)/1000,1)</f>
        <v>658.4</v>
      </c>
      <c r="M28" s="223">
        <f>ROUND(SUM('SUMMARY-ALL YEARS'!M27:M31)/1000,1)</f>
        <v>338.5</v>
      </c>
      <c r="N28" s="223">
        <f>ROUND(SUM('SUMMARY-ALL YEARS'!N27:N31)/1000,1)</f>
        <v>-145</v>
      </c>
      <c r="O28" s="223">
        <f>ROUND(SUM('SUMMARY-ALL YEARS'!O27:O31)/1000,1)</f>
        <v>-232.9</v>
      </c>
      <c r="P28" s="223">
        <f>ROUND(SUM('SUMMARY-ALL YEARS'!P27:P31)/1000,1)</f>
        <v>-315</v>
      </c>
      <c r="Q28" s="209">
        <f>SUM(I28:J28)</f>
        <v>79.300000000000011</v>
      </c>
      <c r="R28" s="209">
        <f>SUM(K28:L28)</f>
        <v>1265.3</v>
      </c>
      <c r="S28" s="209">
        <f>SUM(M28:N28)</f>
        <v>193.5</v>
      </c>
      <c r="T28" s="209">
        <f>SUM(O28:P28)</f>
        <v>-547.9</v>
      </c>
      <c r="U28" s="209">
        <f>R28-Q28</f>
        <v>1186</v>
      </c>
      <c r="V28" s="222">
        <f>U28/Q28</f>
        <v>14.955863808322823</v>
      </c>
      <c r="W28" s="209">
        <f>S28-R28</f>
        <v>-1071.8</v>
      </c>
      <c r="X28" s="222">
        <f>W28/R28</f>
        <v>-0.84707184067019681</v>
      </c>
      <c r="Y28" s="209">
        <f>T28-S28</f>
        <v>-741.4</v>
      </c>
      <c r="Z28" s="222">
        <f>Y28/S28</f>
        <v>-3.8315245478036175</v>
      </c>
    </row>
    <row r="29" spans="1:26" x14ac:dyDescent="0.15">
      <c r="A29" s="203">
        <f>A28+1</f>
        <v>20</v>
      </c>
      <c r="B29" s="208"/>
      <c r="C29" s="208"/>
      <c r="D29" s="207">
        <f>'FY 2003'!I26</f>
        <v>-1804253</v>
      </c>
      <c r="E29" s="207">
        <f>'FY 2004'!I26</f>
        <v>1059</v>
      </c>
      <c r="F29" s="207">
        <v>0</v>
      </c>
      <c r="G29" s="207">
        <v>0</v>
      </c>
      <c r="H29" s="207">
        <v>0</v>
      </c>
      <c r="I29" s="207">
        <v>0</v>
      </c>
      <c r="J29" s="207">
        <v>0</v>
      </c>
      <c r="K29" s="207">
        <v>0</v>
      </c>
      <c r="L29" s="225">
        <v>0</v>
      </c>
      <c r="M29" s="225">
        <v>0</v>
      </c>
      <c r="N29" s="225">
        <v>0</v>
      </c>
      <c r="O29" s="225">
        <v>0</v>
      </c>
      <c r="P29" s="225">
        <v>0</v>
      </c>
    </row>
    <row r="30" spans="1:26" x14ac:dyDescent="0.15">
      <c r="A30" s="203">
        <f>A29+1</f>
        <v>21</v>
      </c>
      <c r="B30" s="208"/>
      <c r="C30" s="208"/>
      <c r="D30" s="207">
        <f>'FY 2003'!I27</f>
        <v>0</v>
      </c>
      <c r="E30" s="207">
        <f>'FY 2004'!I27</f>
        <v>0</v>
      </c>
      <c r="F30" s="207">
        <v>0</v>
      </c>
      <c r="G30" s="207">
        <v>0</v>
      </c>
      <c r="H30" s="207">
        <v>0</v>
      </c>
      <c r="I30" s="207">
        <v>0</v>
      </c>
      <c r="J30" s="207">
        <v>0</v>
      </c>
      <c r="K30" s="207">
        <v>0</v>
      </c>
      <c r="L30" s="225">
        <v>0</v>
      </c>
      <c r="M30" s="225">
        <v>0</v>
      </c>
      <c r="N30" s="225">
        <v>0</v>
      </c>
      <c r="O30" s="225">
        <v>0</v>
      </c>
      <c r="P30" s="225">
        <v>0</v>
      </c>
    </row>
    <row r="31" spans="1:26" x14ac:dyDescent="0.15">
      <c r="A31" s="203">
        <f>A30+1</f>
        <v>22</v>
      </c>
      <c r="B31" s="208"/>
      <c r="C31" s="208"/>
      <c r="D31" s="207">
        <f>'FY 2003'!I28</f>
        <v>0</v>
      </c>
      <c r="E31" s="207">
        <f>'FY 2004'!I28</f>
        <v>0</v>
      </c>
      <c r="F31" s="207">
        <v>0</v>
      </c>
      <c r="G31" s="207">
        <v>0</v>
      </c>
      <c r="H31" s="207">
        <v>0</v>
      </c>
      <c r="I31" s="207">
        <v>0</v>
      </c>
      <c r="J31" s="207">
        <v>0</v>
      </c>
      <c r="K31" s="207">
        <v>0</v>
      </c>
      <c r="L31" s="225">
        <v>0</v>
      </c>
      <c r="M31" s="225">
        <v>0</v>
      </c>
      <c r="N31" s="225">
        <v>0</v>
      </c>
      <c r="O31" s="225">
        <v>0</v>
      </c>
      <c r="P31" s="225">
        <v>0</v>
      </c>
    </row>
    <row r="32" spans="1:26" x14ac:dyDescent="0.15">
      <c r="A32" s="203">
        <f>A31+1</f>
        <v>23</v>
      </c>
      <c r="B32" s="208"/>
      <c r="C32" s="208"/>
      <c r="D32" s="207">
        <v>0</v>
      </c>
      <c r="E32" s="207">
        <v>0</v>
      </c>
      <c r="F32" s="207">
        <v>0</v>
      </c>
      <c r="G32" s="207">
        <v>0</v>
      </c>
      <c r="H32" s="207">
        <v>0</v>
      </c>
      <c r="I32" s="207">
        <v>0</v>
      </c>
      <c r="J32" s="207">
        <v>0</v>
      </c>
      <c r="K32" s="207">
        <v>0</v>
      </c>
      <c r="L32" s="225">
        <v>0</v>
      </c>
      <c r="M32" s="225">
        <v>0</v>
      </c>
      <c r="N32" s="225">
        <v>0</v>
      </c>
      <c r="O32" s="225">
        <v>0</v>
      </c>
      <c r="P32" s="225">
        <v>0</v>
      </c>
    </row>
    <row r="33" spans="1:26" x14ac:dyDescent="0.15">
      <c r="D33" s="207"/>
      <c r="E33" s="207"/>
      <c r="F33" s="207"/>
      <c r="G33" s="207"/>
      <c r="H33" s="207"/>
      <c r="I33" s="207"/>
      <c r="J33" s="207"/>
      <c r="K33" s="207"/>
      <c r="L33" s="225"/>
      <c r="M33" s="225"/>
      <c r="N33" s="225"/>
      <c r="O33" s="225"/>
      <c r="P33" s="225"/>
    </row>
    <row r="34" spans="1:26" x14ac:dyDescent="0.15">
      <c r="A34" s="203">
        <f>A32+1</f>
        <v>24</v>
      </c>
      <c r="B34" s="208" t="s">
        <v>158</v>
      </c>
      <c r="D34" s="207">
        <f t="shared" ref="D34:L34" si="16">SUM(D8:D32)</f>
        <v>5421781814</v>
      </c>
      <c r="E34" s="207">
        <f t="shared" si="16"/>
        <v>5514835219</v>
      </c>
      <c r="F34" s="209">
        <f t="shared" si="16"/>
        <v>5595610.2999999989</v>
      </c>
      <c r="G34" s="209">
        <f t="shared" si="16"/>
        <v>5856179.5000000009</v>
      </c>
      <c r="H34" s="209">
        <f t="shared" si="16"/>
        <v>6210065.1000000006</v>
      </c>
      <c r="I34" s="209">
        <f t="shared" si="16"/>
        <v>6391705.9999999981</v>
      </c>
      <c r="J34" s="209">
        <f t="shared" si="16"/>
        <v>6556032.7999999989</v>
      </c>
      <c r="K34" s="209">
        <f t="shared" si="16"/>
        <v>6068975.5000000009</v>
      </c>
      <c r="L34" s="223">
        <f t="shared" si="16"/>
        <v>6661784.4000000013</v>
      </c>
      <c r="M34" s="223">
        <f>SUM(M8:M32)</f>
        <v>6736173.2000000011</v>
      </c>
      <c r="N34" s="223">
        <f>SUM(N8:N32)</f>
        <v>6878900.7000000011</v>
      </c>
      <c r="O34" s="223">
        <f>SUM(O8:O32)</f>
        <v>7011999.6999999983</v>
      </c>
      <c r="P34" s="223">
        <f>SUM(P8:P32)</f>
        <v>7167308.8000000007</v>
      </c>
      <c r="Q34" s="209">
        <f>SUM(I34:J34)</f>
        <v>12947738.799999997</v>
      </c>
      <c r="R34" s="209">
        <f>SUM(K34:L34)</f>
        <v>12730759.900000002</v>
      </c>
      <c r="S34" s="209">
        <f>SUM(M34:N34)</f>
        <v>13615073.900000002</v>
      </c>
      <c r="T34" s="209">
        <f>SUM(O34:P34)</f>
        <v>14179308.5</v>
      </c>
      <c r="U34" s="209">
        <f>R34-Q34</f>
        <v>-216978.89999999478</v>
      </c>
      <c r="V34" s="222">
        <f>U34/Q34</f>
        <v>-1.6758053537502225E-2</v>
      </c>
      <c r="W34" s="209">
        <f>S34-R34</f>
        <v>884314</v>
      </c>
      <c r="X34" s="222">
        <f>W34/R34</f>
        <v>6.9462782029217268E-2</v>
      </c>
      <c r="Y34" s="209">
        <f>T34-S34</f>
        <v>564234.59999999776</v>
      </c>
      <c r="Z34" s="222">
        <f>Y34/S34</f>
        <v>4.1441905063768894E-2</v>
      </c>
    </row>
    <row r="35" spans="1:26" x14ac:dyDescent="0.15">
      <c r="D35" s="207"/>
      <c r="E35" s="207"/>
      <c r="F35" s="207"/>
      <c r="G35" s="207"/>
      <c r="H35" s="207"/>
      <c r="I35" s="207"/>
      <c r="J35" s="207"/>
      <c r="K35" s="207"/>
      <c r="L35" s="225"/>
      <c r="M35" s="225"/>
      <c r="N35" s="225"/>
      <c r="O35" s="225"/>
      <c r="P35" s="225"/>
    </row>
    <row r="36" spans="1:26" x14ac:dyDescent="0.15">
      <c r="B36" s="208" t="s">
        <v>156</v>
      </c>
      <c r="C36" s="208"/>
      <c r="D36" s="207"/>
      <c r="E36" s="207"/>
      <c r="F36" s="207"/>
      <c r="G36" s="207"/>
      <c r="H36" s="207"/>
      <c r="I36" s="207"/>
      <c r="J36" s="207"/>
      <c r="K36" s="207"/>
      <c r="L36" s="225"/>
      <c r="M36" s="225"/>
      <c r="N36" s="225"/>
      <c r="O36" s="225"/>
      <c r="P36" s="225"/>
    </row>
    <row r="37" spans="1:26" x14ac:dyDescent="0.15">
      <c r="A37" s="203">
        <f>A34+1</f>
        <v>25</v>
      </c>
      <c r="B37" s="203" t="s">
        <v>153</v>
      </c>
      <c r="D37" s="207">
        <f>'FY 2003'!I33</f>
        <v>0</v>
      </c>
      <c r="E37" s="207">
        <f>'FY 2004'!I33</f>
        <v>0</v>
      </c>
      <c r="F37" s="209">
        <f>ROUND('SUMMARY-ALL YEARS'!F37/1000,1)</f>
        <v>40007.300000000003</v>
      </c>
      <c r="G37" s="209">
        <f>ROUND('SUMMARY-ALL YEARS'!G37/1000,1)</f>
        <v>44268.2</v>
      </c>
      <c r="H37" s="209">
        <f>ROUND('SUMMARY-ALL YEARS'!H37/1000,1)</f>
        <v>101934.5</v>
      </c>
      <c r="I37" s="209">
        <f>ROUND('SUMMARY-ALL YEARS'!I37/1000,1)</f>
        <v>111830.39999999999</v>
      </c>
      <c r="J37" s="209">
        <f>ROUND('SUMMARY-ALL YEARS'!J37/1000,1)</f>
        <v>121253</v>
      </c>
      <c r="K37" s="209">
        <f>ROUND('SUMMARY-ALL YEARS'!K37/1000,1)</f>
        <v>124276.6</v>
      </c>
      <c r="L37" s="223">
        <f>ROUND('SUMMARY-ALL YEARS'!L37/1000,1)</f>
        <v>124623.9</v>
      </c>
      <c r="M37" s="223">
        <f>ROUND('SUMMARY-ALL YEARS'!M37/1000,1)</f>
        <v>120033.8</v>
      </c>
      <c r="N37" s="223">
        <f>ROUND('SUMMARY-ALL YEARS'!N37/1000,1)</f>
        <v>113554.2</v>
      </c>
      <c r="O37" s="223">
        <f>ROUND('SUMMARY-ALL YEARS'!O37/1000,1)</f>
        <v>113404.1</v>
      </c>
      <c r="P37" s="223">
        <f>ROUND('SUMMARY-ALL YEARS'!P37/1000,1)</f>
        <v>114314.9</v>
      </c>
      <c r="Q37" s="209">
        <f>SUM(I37:J37)</f>
        <v>233083.4</v>
      </c>
      <c r="R37" s="209">
        <f>SUM(K37:L37)</f>
        <v>248900.5</v>
      </c>
      <c r="S37" s="209">
        <f>SUM(M37:N37)</f>
        <v>233588</v>
      </c>
      <c r="T37" s="209">
        <f>SUM(O37:P37)</f>
        <v>227719</v>
      </c>
      <c r="U37" s="209">
        <f>R37-Q37</f>
        <v>15817.100000000006</v>
      </c>
      <c r="V37" s="222">
        <f>U37/Q37</f>
        <v>6.7860259460776728E-2</v>
      </c>
      <c r="W37" s="209">
        <f>S37-R37</f>
        <v>-15312.5</v>
      </c>
      <c r="X37" s="222">
        <f>W37/R37</f>
        <v>-6.1520567455670035E-2</v>
      </c>
      <c r="Y37" s="209">
        <f>T37-S37</f>
        <v>-5869</v>
      </c>
      <c r="Z37" s="222">
        <f>Y37/S37</f>
        <v>-2.5125434525746185E-2</v>
      </c>
    </row>
    <row r="38" spans="1:26" x14ac:dyDescent="0.15">
      <c r="A38" s="203">
        <f>A37+1</f>
        <v>26</v>
      </c>
      <c r="B38" s="203" t="s">
        <v>152</v>
      </c>
      <c r="D38" s="207">
        <f>'FY 2003'!I34</f>
        <v>0</v>
      </c>
      <c r="E38" s="207">
        <f>'FY 2004'!I34</f>
        <v>0</v>
      </c>
      <c r="F38" s="209">
        <f>ROUND('SUMMARY-ALL YEARS'!F38/1000,1)</f>
        <v>22380.3</v>
      </c>
      <c r="G38" s="209">
        <f>ROUND('SUMMARY-ALL YEARS'!G38/1000,1)</f>
        <v>25083.3</v>
      </c>
      <c r="H38" s="209">
        <f>ROUND('SUMMARY-ALL YEARS'!H38/1000,1)</f>
        <v>63740.1</v>
      </c>
      <c r="I38" s="209">
        <f>ROUND('SUMMARY-ALL YEARS'!I38/1000,1)</f>
        <v>70604.3</v>
      </c>
      <c r="J38" s="209">
        <f>ROUND('SUMMARY-ALL YEARS'!J38/1000,1)</f>
        <v>73701.600000000006</v>
      </c>
      <c r="K38" s="209">
        <f>ROUND('SUMMARY-ALL YEARS'!K38/1000,1)</f>
        <v>75798.7</v>
      </c>
      <c r="L38" s="223">
        <f>ROUND('SUMMARY-ALL YEARS'!L38/1000,1)</f>
        <v>76305.399999999994</v>
      </c>
      <c r="M38" s="223">
        <f>ROUND('SUMMARY-ALL YEARS'!M38/1000,1)</f>
        <v>75373.899999999994</v>
      </c>
      <c r="N38" s="223">
        <f>ROUND('SUMMARY-ALL YEARS'!N38/1000,1)</f>
        <v>73497.2</v>
      </c>
      <c r="O38" s="223">
        <f>ROUND('SUMMARY-ALL YEARS'!O38/1000,1)</f>
        <v>74047</v>
      </c>
      <c r="P38" s="223">
        <f>ROUND('SUMMARY-ALL YEARS'!P38/1000,1)</f>
        <v>75353.8</v>
      </c>
      <c r="Q38" s="209">
        <f>SUM(I38:J38)</f>
        <v>144305.90000000002</v>
      </c>
      <c r="R38" s="209">
        <f>SUM(K38:L38)</f>
        <v>152104.09999999998</v>
      </c>
      <c r="S38" s="209">
        <f>SUM(M38:N38)</f>
        <v>148871.09999999998</v>
      </c>
      <c r="T38" s="209">
        <f>SUM(O38:P38)</f>
        <v>149400.79999999999</v>
      </c>
      <c r="U38" s="209">
        <f>R38-Q38</f>
        <v>7798.1999999999534</v>
      </c>
      <c r="V38" s="222">
        <f>U38/Q38</f>
        <v>5.4039370531627273E-2</v>
      </c>
      <c r="W38" s="209">
        <f>S38-R38</f>
        <v>-3233</v>
      </c>
      <c r="X38" s="222">
        <f>W38/R38</f>
        <v>-2.1255179840648612E-2</v>
      </c>
      <c r="Y38" s="209">
        <f>T38-S38</f>
        <v>529.70000000001164</v>
      </c>
      <c r="Z38" s="222">
        <f>Y38/S38</f>
        <v>3.5581116818510223E-3</v>
      </c>
    </row>
    <row r="39" spans="1:26" x14ac:dyDescent="0.15">
      <c r="A39" s="203">
        <f>A38+1</f>
        <v>27</v>
      </c>
      <c r="B39" s="208" t="s">
        <v>174</v>
      </c>
      <c r="D39" s="207">
        <f>'FY 2003'!I35</f>
        <v>0</v>
      </c>
      <c r="E39" s="207">
        <f>'FY 2004'!I35</f>
        <v>0</v>
      </c>
      <c r="F39" s="209">
        <f>ROUND('SUMMARY-ALL YEARS'!F39/1000,1)</f>
        <v>18540.599999999999</v>
      </c>
      <c r="G39" s="209">
        <f>ROUND('SUMMARY-ALL YEARS'!G39/1000,1)</f>
        <v>20383.5</v>
      </c>
      <c r="H39" s="209">
        <f>ROUND('SUMMARY-ALL YEARS'!H39/1000,1)</f>
        <v>21830.5</v>
      </c>
      <c r="I39" s="209">
        <f>ROUND('SUMMARY-ALL YEARS'!I39/1000,1)</f>
        <v>23010.400000000001</v>
      </c>
      <c r="J39" s="209">
        <f>ROUND('SUMMARY-ALL YEARS'!J39/1000,1)</f>
        <v>24292.9</v>
      </c>
      <c r="K39" s="209">
        <f>ROUND('SUMMARY-ALL YEARS'!K39/1000,1)</f>
        <v>25195.5</v>
      </c>
      <c r="L39" s="223">
        <f>ROUND('SUMMARY-ALL YEARS'!L39/1000,1)</f>
        <v>25244.5</v>
      </c>
      <c r="M39" s="223">
        <f>ROUND('SUMMARY-ALL YEARS'!M39/1000,1)</f>
        <v>24570.1</v>
      </c>
      <c r="N39" s="223">
        <f>ROUND('SUMMARY-ALL YEARS'!N39/1000,1)</f>
        <v>23754.2</v>
      </c>
      <c r="O39" s="223">
        <f>ROUND('SUMMARY-ALL YEARS'!O39/1000,1)</f>
        <v>23723.1</v>
      </c>
      <c r="P39" s="223">
        <f>ROUND('SUMMARY-ALL YEARS'!P39/1000,1)</f>
        <v>23821.599999999999</v>
      </c>
      <c r="Q39" s="209">
        <f>SUM(I39:J39)</f>
        <v>47303.3</v>
      </c>
      <c r="R39" s="209">
        <f>SUM(K39:L39)</f>
        <v>50440</v>
      </c>
      <c r="S39" s="209">
        <f>SUM(M39:N39)</f>
        <v>48324.3</v>
      </c>
      <c r="T39" s="209">
        <f>SUM(O39:P39)</f>
        <v>47544.7</v>
      </c>
      <c r="U39" s="209">
        <f>R39-Q39</f>
        <v>3136.6999999999971</v>
      </c>
      <c r="V39" s="222">
        <f>U39/Q39</f>
        <v>6.631038426494551E-2</v>
      </c>
      <c r="W39" s="209">
        <f>S39-R39</f>
        <v>-2115.6999999999971</v>
      </c>
      <c r="X39" s="222">
        <f>W39/R39</f>
        <v>-4.1944885011895264E-2</v>
      </c>
      <c r="Y39" s="209">
        <f>T39-S39</f>
        <v>-779.60000000000582</v>
      </c>
      <c r="Z39" s="222">
        <f>Y39/S39</f>
        <v>-1.6132670312865489E-2</v>
      </c>
    </row>
    <row r="40" spans="1:26" x14ac:dyDescent="0.15">
      <c r="A40" s="203">
        <f>A39+1</f>
        <v>28</v>
      </c>
      <c r="B40" s="208" t="s">
        <v>168</v>
      </c>
      <c r="C40" s="208"/>
      <c r="D40" s="207">
        <f>'FY 2003'!I36</f>
        <v>0</v>
      </c>
      <c r="E40" s="207">
        <f>'FY 2004'!I36</f>
        <v>0</v>
      </c>
      <c r="F40" s="209">
        <f>ROUND('SUMMARY-ALL YEARS'!F40/1000,1)</f>
        <v>0</v>
      </c>
      <c r="G40" s="209">
        <f>ROUND('SUMMARY-ALL YEARS'!G40/1000,1)</f>
        <v>0</v>
      </c>
      <c r="H40" s="209">
        <f>ROUND('SUMMARY-ALL YEARS'!H40/1000,1)</f>
        <v>9695.5</v>
      </c>
      <c r="I40" s="209">
        <f>ROUND('SUMMARY-ALL YEARS'!I40/1000,1)</f>
        <v>12779.7</v>
      </c>
      <c r="J40" s="209">
        <f>ROUND('SUMMARY-ALL YEARS'!J40/1000,1)</f>
        <v>13353.4</v>
      </c>
      <c r="K40" s="209">
        <f>ROUND('SUMMARY-ALL YEARS'!K40/1000,1)</f>
        <v>16807.099999999999</v>
      </c>
      <c r="L40" s="223">
        <f>ROUND('SUMMARY-ALL YEARS'!L40/1000,1)</f>
        <v>18158</v>
      </c>
      <c r="M40" s="223">
        <f>ROUND('SUMMARY-ALL YEARS'!M40/1000,1)</f>
        <v>22046.3</v>
      </c>
      <c r="N40" s="223">
        <f>ROUND('SUMMARY-ALL YEARS'!N40/1000,1)</f>
        <v>21813.5</v>
      </c>
      <c r="O40" s="223">
        <f>ROUND('SUMMARY-ALL YEARS'!O40/1000,1)</f>
        <v>22270.7</v>
      </c>
      <c r="P40" s="223">
        <f>ROUND('SUMMARY-ALL YEARS'!P40/1000,1)</f>
        <v>22847.5</v>
      </c>
      <c r="Q40" s="209">
        <f>SUM(I40:J40)</f>
        <v>26133.1</v>
      </c>
      <c r="R40" s="209">
        <f>SUM(K40:L40)</f>
        <v>34965.1</v>
      </c>
      <c r="S40" s="209">
        <f>SUM(M40:N40)</f>
        <v>43859.8</v>
      </c>
      <c r="T40" s="209">
        <f>SUM(O40:P40)</f>
        <v>45118.2</v>
      </c>
      <c r="U40" s="209">
        <f>R40-Q40</f>
        <v>8832</v>
      </c>
      <c r="V40" s="222">
        <f>U40/Q40</f>
        <v>0.33796220119312292</v>
      </c>
      <c r="W40" s="209">
        <f>S40-R40</f>
        <v>8894.7000000000044</v>
      </c>
      <c r="X40" s="222">
        <f>W40/R40</f>
        <v>0.25438794683841903</v>
      </c>
      <c r="Y40" s="209">
        <f>T40-S40</f>
        <v>1258.3999999999942</v>
      </c>
      <c r="Z40" s="222">
        <f>Y40/S40</f>
        <v>2.8691421301510589E-2</v>
      </c>
    </row>
    <row r="41" spans="1:26" x14ac:dyDescent="0.15">
      <c r="A41" s="203">
        <f>A40+1</f>
        <v>29</v>
      </c>
      <c r="B41" s="203" t="s">
        <v>154</v>
      </c>
      <c r="D41" s="207">
        <f>'FY 2003'!I37</f>
        <v>224945858</v>
      </c>
      <c r="E41" s="207">
        <f>'FY 2004'!I37</f>
        <v>351087875</v>
      </c>
      <c r="F41" s="209">
        <f>ROUND('SUMMARY-ALL YEARS'!F41/1000,1)</f>
        <v>379954.5</v>
      </c>
      <c r="G41" s="209">
        <f>ROUND('SUMMARY-ALL YEARS'!G41/1000,1)</f>
        <v>410867.9</v>
      </c>
      <c r="H41" s="209">
        <f>ROUND('SUMMARY-ALL YEARS'!H41/1000,1)</f>
        <v>482421.7</v>
      </c>
      <c r="I41" s="209">
        <f>ROUND('SUMMARY-ALL YEARS'!I41/1000,1)</f>
        <v>540184.30000000005</v>
      </c>
      <c r="J41" s="209">
        <f>ROUND('SUMMARY-ALL YEARS'!J41/1000,1)</f>
        <v>635333.5</v>
      </c>
      <c r="K41" s="209">
        <f>ROUND('SUMMARY-ALL YEARS'!K41/1000,1)</f>
        <v>712334.2</v>
      </c>
      <c r="L41" s="223">
        <f>ROUND('SUMMARY-ALL YEARS'!L41/1000,1)</f>
        <v>737629.4</v>
      </c>
      <c r="M41" s="223">
        <f>ROUND('SUMMARY-ALL YEARS'!M41/1000,1)</f>
        <v>745650.7</v>
      </c>
      <c r="N41" s="223">
        <f>ROUND('SUMMARY-ALL YEARS'!N41/1000,1)</f>
        <v>801706.2</v>
      </c>
      <c r="O41" s="223">
        <f>ROUND('SUMMARY-ALL YEARS'!O41/1000,1)</f>
        <v>847429.7</v>
      </c>
      <c r="P41" s="223">
        <f>ROUND('SUMMARY-ALL YEARS'!P41/1000,1)</f>
        <v>914688.8</v>
      </c>
      <c r="Q41" s="209">
        <f>SUM(I41:J41)</f>
        <v>1175517.8</v>
      </c>
      <c r="R41" s="209">
        <f>SUM(K41:L41)</f>
        <v>1449963.6</v>
      </c>
      <c r="S41" s="209">
        <f>SUM(M41:N41)</f>
        <v>1547356.9</v>
      </c>
      <c r="T41" s="209">
        <f>SUM(O41:P41)</f>
        <v>1762118.5</v>
      </c>
      <c r="U41" s="209">
        <f>R41-Q41</f>
        <v>274445.80000000005</v>
      </c>
      <c r="V41" s="222">
        <f>U41/Q41</f>
        <v>0.23346800873623524</v>
      </c>
      <c r="W41" s="209">
        <f>S41-R41</f>
        <v>97393.299999999814</v>
      </c>
      <c r="X41" s="222">
        <f>W41/R41</f>
        <v>6.7169479288997191E-2</v>
      </c>
      <c r="Y41" s="209">
        <f>T41-S41</f>
        <v>214761.60000000009</v>
      </c>
      <c r="Z41" s="222">
        <f>Y41/S41</f>
        <v>0.13879254359482296</v>
      </c>
    </row>
    <row r="42" spans="1:26" x14ac:dyDescent="0.15">
      <c r="D42" s="207"/>
      <c r="E42" s="207"/>
      <c r="F42" s="207"/>
      <c r="G42" s="207"/>
      <c r="H42" s="207"/>
      <c r="I42" s="207"/>
      <c r="J42" s="207"/>
      <c r="K42" s="207"/>
      <c r="L42" s="225"/>
      <c r="M42" s="225"/>
      <c r="N42" s="225"/>
      <c r="O42" s="225"/>
      <c r="P42" s="225"/>
    </row>
    <row r="43" spans="1:26" x14ac:dyDescent="0.15">
      <c r="A43" s="203">
        <f>A41+1</f>
        <v>30</v>
      </c>
      <c r="B43" s="208" t="s">
        <v>159</v>
      </c>
      <c r="C43" s="208"/>
      <c r="D43" s="207">
        <f t="shared" ref="D43:L43" si="17">SUM(D37:D41)</f>
        <v>224945858</v>
      </c>
      <c r="E43" s="207">
        <f t="shared" si="17"/>
        <v>351087875</v>
      </c>
      <c r="F43" s="209">
        <f t="shared" si="17"/>
        <v>460882.7</v>
      </c>
      <c r="G43" s="209">
        <f t="shared" si="17"/>
        <v>500602.9</v>
      </c>
      <c r="H43" s="209">
        <f t="shared" si="17"/>
        <v>679622.3</v>
      </c>
      <c r="I43" s="209">
        <f t="shared" si="17"/>
        <v>758409.10000000009</v>
      </c>
      <c r="J43" s="209">
        <f t="shared" si="17"/>
        <v>867934.4</v>
      </c>
      <c r="K43" s="209">
        <f t="shared" si="17"/>
        <v>954412.1</v>
      </c>
      <c r="L43" s="223">
        <f t="shared" si="17"/>
        <v>981961.2</v>
      </c>
      <c r="M43" s="223">
        <f>SUM(M37:M41)</f>
        <v>987674.79999999993</v>
      </c>
      <c r="N43" s="223">
        <f>SUM(N37:N41)</f>
        <v>1034325.2999999999</v>
      </c>
      <c r="O43" s="223">
        <f>SUM(O37:O41)</f>
        <v>1080874.6000000001</v>
      </c>
      <c r="P43" s="223">
        <f>SUM(P37:P41)</f>
        <v>1151026.6000000001</v>
      </c>
      <c r="Q43" s="209">
        <f>SUM(I43:J43)</f>
        <v>1626343.5</v>
      </c>
      <c r="R43" s="209">
        <f>SUM(K43:L43)</f>
        <v>1936373.2999999998</v>
      </c>
      <c r="S43" s="209">
        <f>SUM(M43:N43)</f>
        <v>2022000.0999999999</v>
      </c>
      <c r="T43" s="209">
        <f>SUM(O43:P43)</f>
        <v>2231901.2000000002</v>
      </c>
      <c r="U43" s="209">
        <f>R43-Q43</f>
        <v>310029.79999999981</v>
      </c>
      <c r="V43" s="222">
        <f>U43/Q43</f>
        <v>0.19062996224352347</v>
      </c>
      <c r="W43" s="209">
        <f>S43-R43</f>
        <v>85626.800000000047</v>
      </c>
      <c r="X43" s="222">
        <f>W43/R43</f>
        <v>4.4220192459790711E-2</v>
      </c>
      <c r="Y43" s="209">
        <f>T43-S43</f>
        <v>209901.10000000033</v>
      </c>
      <c r="Z43" s="222">
        <f>Y43/S43</f>
        <v>0.1038086496632717</v>
      </c>
    </row>
    <row r="44" spans="1:26" x14ac:dyDescent="0.15">
      <c r="B44" s="208"/>
      <c r="C44" s="208"/>
      <c r="D44" s="207"/>
      <c r="E44" s="207"/>
      <c r="F44" s="210"/>
      <c r="G44" s="210"/>
      <c r="H44" s="210"/>
      <c r="I44" s="210"/>
      <c r="J44" s="210"/>
      <c r="K44" s="210"/>
      <c r="L44" s="226"/>
      <c r="M44" s="226"/>
      <c r="N44" s="226"/>
      <c r="O44" s="226"/>
      <c r="P44" s="226"/>
    </row>
    <row r="45" spans="1:26" s="264" customFormat="1" x14ac:dyDescent="0.15">
      <c r="B45" s="265" t="s">
        <v>157</v>
      </c>
      <c r="C45" s="265"/>
      <c r="D45" s="266"/>
      <c r="E45" s="266"/>
      <c r="F45" s="266"/>
      <c r="G45" s="267"/>
      <c r="H45" s="267"/>
      <c r="I45" s="267"/>
      <c r="J45" s="267"/>
      <c r="K45" s="267"/>
      <c r="L45" s="268"/>
      <c r="M45" s="268"/>
      <c r="N45" s="268"/>
      <c r="O45" s="268"/>
      <c r="P45" s="268"/>
    </row>
    <row r="46" spans="1:26" s="264" customFormat="1" x14ac:dyDescent="0.15">
      <c r="A46" s="264">
        <f>A43+1</f>
        <v>31</v>
      </c>
      <c r="B46" s="264" t="s">
        <v>141</v>
      </c>
      <c r="D46" s="266">
        <f t="shared" ref="D46:L47" si="18">D8</f>
        <v>4490060320</v>
      </c>
      <c r="E46" s="266">
        <f t="shared" si="18"/>
        <v>4403575277</v>
      </c>
      <c r="F46" s="269">
        <f t="shared" si="18"/>
        <v>4384973.8</v>
      </c>
      <c r="G46" s="269">
        <f t="shared" si="18"/>
        <v>4558383.7</v>
      </c>
      <c r="H46" s="269">
        <f t="shared" si="18"/>
        <v>4741676.9000000004</v>
      </c>
      <c r="I46" s="269">
        <f t="shared" si="18"/>
        <v>4837724.5</v>
      </c>
      <c r="J46" s="269">
        <f t="shared" si="18"/>
        <v>4860574.7</v>
      </c>
      <c r="K46" s="269">
        <f t="shared" si="18"/>
        <v>4853494.9000000004</v>
      </c>
      <c r="L46" s="270">
        <f t="shared" si="18"/>
        <v>4858048.0999999996</v>
      </c>
      <c r="M46" s="270">
        <f t="shared" ref="M46:N49" si="19">M8</f>
        <v>4876357.2</v>
      </c>
      <c r="N46" s="270">
        <f t="shared" si="19"/>
        <v>4916240.2</v>
      </c>
      <c r="O46" s="270">
        <f t="shared" ref="O46:P49" si="20">O8</f>
        <v>4967199.0999999996</v>
      </c>
      <c r="P46" s="270">
        <f t="shared" si="20"/>
        <v>5017805.4000000004</v>
      </c>
      <c r="Q46" s="269">
        <f>SUM(I46:J46)</f>
        <v>9698299.1999999993</v>
      </c>
      <c r="R46" s="269">
        <f>SUM(K46:L46)</f>
        <v>9711543</v>
      </c>
      <c r="S46" s="269">
        <f>SUM(M46:N46)</f>
        <v>9792597.4000000004</v>
      </c>
      <c r="T46" s="269">
        <f>SUM(O46:P46)</f>
        <v>9985004.5</v>
      </c>
      <c r="U46" s="269">
        <f>R46-Q46</f>
        <v>13243.800000000745</v>
      </c>
      <c r="V46" s="271">
        <f>U46/Q46</f>
        <v>1.3655796472025472E-3</v>
      </c>
      <c r="W46" s="269">
        <f>S46-R46</f>
        <v>81054.400000000373</v>
      </c>
      <c r="X46" s="271">
        <f>W46/R46</f>
        <v>8.3461917431658771E-3</v>
      </c>
      <c r="Y46" s="269">
        <f>T46-S46</f>
        <v>192407.09999999963</v>
      </c>
      <c r="Z46" s="271">
        <f>Y46/S46</f>
        <v>1.9648219174210065E-2</v>
      </c>
    </row>
    <row r="47" spans="1:26" s="264" customFormat="1" x14ac:dyDescent="0.15">
      <c r="A47" s="264">
        <f>A46+1</f>
        <v>32</v>
      </c>
      <c r="B47" s="265" t="s">
        <v>299</v>
      </c>
      <c r="D47" s="266"/>
      <c r="E47" s="266"/>
      <c r="F47" s="269"/>
      <c r="G47" s="269">
        <f t="shared" si="18"/>
        <v>0</v>
      </c>
      <c r="H47" s="269">
        <f t="shared" si="18"/>
        <v>0</v>
      </c>
      <c r="I47" s="269">
        <f t="shared" si="18"/>
        <v>0</v>
      </c>
      <c r="J47" s="269">
        <f t="shared" si="18"/>
        <v>48378.1</v>
      </c>
      <c r="K47" s="269">
        <f t="shared" si="18"/>
        <v>0</v>
      </c>
      <c r="L47" s="270">
        <f t="shared" si="18"/>
        <v>0</v>
      </c>
      <c r="M47" s="270">
        <f t="shared" si="19"/>
        <v>0</v>
      </c>
      <c r="N47" s="270">
        <f t="shared" si="19"/>
        <v>0</v>
      </c>
      <c r="O47" s="270">
        <f t="shared" si="20"/>
        <v>0</v>
      </c>
      <c r="P47" s="270">
        <f t="shared" si="20"/>
        <v>0</v>
      </c>
      <c r="Q47" s="269">
        <f>SUM(I47:J47)</f>
        <v>48378.1</v>
      </c>
      <c r="R47" s="269">
        <f>SUM(K47:L47)</f>
        <v>0</v>
      </c>
      <c r="S47" s="269">
        <f>SUM(M47:N47)</f>
        <v>0</v>
      </c>
      <c r="T47" s="269">
        <f>SUM(O47:P47)</f>
        <v>0</v>
      </c>
      <c r="U47" s="269">
        <f>R47-Q47</f>
        <v>-48378.1</v>
      </c>
      <c r="V47" s="271">
        <f>U47/Q47</f>
        <v>-1</v>
      </c>
      <c r="W47" s="269">
        <f>S47-R47</f>
        <v>0</v>
      </c>
      <c r="X47" s="271" t="e">
        <f>W47/R47</f>
        <v>#DIV/0!</v>
      </c>
      <c r="Y47" s="269">
        <f>T47-S47</f>
        <v>0</v>
      </c>
      <c r="Z47" s="271" t="e">
        <f>Y47/S47</f>
        <v>#DIV/0!</v>
      </c>
    </row>
    <row r="48" spans="1:26" s="264" customFormat="1" x14ac:dyDescent="0.15">
      <c r="A48" s="264">
        <f>A47+1</f>
        <v>33</v>
      </c>
      <c r="B48" s="265" t="s">
        <v>167</v>
      </c>
      <c r="C48" s="265"/>
      <c r="D48" s="266">
        <f t="shared" ref="D48:L48" si="21">D10</f>
        <v>0</v>
      </c>
      <c r="E48" s="266">
        <f t="shared" si="21"/>
        <v>0</v>
      </c>
      <c r="F48" s="269">
        <f t="shared" si="21"/>
        <v>0</v>
      </c>
      <c r="G48" s="269">
        <f t="shared" si="21"/>
        <v>3812.2</v>
      </c>
      <c r="H48" s="269">
        <f t="shared" si="21"/>
        <v>8579.6</v>
      </c>
      <c r="I48" s="269">
        <f t="shared" si="21"/>
        <v>11441.2</v>
      </c>
      <c r="J48" s="269">
        <f t="shared" si="21"/>
        <v>11383.1</v>
      </c>
      <c r="K48" s="269">
        <f t="shared" si="21"/>
        <v>11365.9</v>
      </c>
      <c r="L48" s="270">
        <f t="shared" si="21"/>
        <v>11377.2</v>
      </c>
      <c r="M48" s="270">
        <f t="shared" si="19"/>
        <v>11420</v>
      </c>
      <c r="N48" s="270">
        <f t="shared" si="19"/>
        <v>11513.4</v>
      </c>
      <c r="O48" s="270">
        <f t="shared" si="20"/>
        <v>11632.8</v>
      </c>
      <c r="P48" s="270">
        <f t="shared" si="20"/>
        <v>11751.3</v>
      </c>
      <c r="Q48" s="269">
        <f>SUM(I48:J48)</f>
        <v>22824.300000000003</v>
      </c>
      <c r="R48" s="269">
        <f>SUM(K48:L48)</f>
        <v>22743.1</v>
      </c>
      <c r="S48" s="269">
        <f>SUM(M48:N48)</f>
        <v>22933.4</v>
      </c>
      <c r="T48" s="269">
        <f>SUM(O48:P48)</f>
        <v>23384.1</v>
      </c>
      <c r="U48" s="269">
        <f>R48-Q48</f>
        <v>-81.200000000004366</v>
      </c>
      <c r="V48" s="271">
        <f>U48/Q48</f>
        <v>-3.5576118435178454E-3</v>
      </c>
      <c r="W48" s="269">
        <f>S48-R48</f>
        <v>190.30000000000291</v>
      </c>
      <c r="X48" s="271">
        <f>W48/R48</f>
        <v>8.3673729614697611E-3</v>
      </c>
      <c r="Y48" s="269">
        <f>T48-S48</f>
        <v>450.69999999999709</v>
      </c>
      <c r="Z48" s="271">
        <f>Y48/S48</f>
        <v>1.9652559149537226E-2</v>
      </c>
    </row>
    <row r="49" spans="1:26" s="264" customFormat="1" x14ac:dyDescent="0.15">
      <c r="A49" s="264">
        <f>A48+1</f>
        <v>34</v>
      </c>
      <c r="B49" s="264" t="s">
        <v>142</v>
      </c>
      <c r="D49" s="266">
        <f t="shared" ref="D49:L49" si="22">D11</f>
        <v>0</v>
      </c>
      <c r="E49" s="266">
        <f t="shared" si="22"/>
        <v>50351550</v>
      </c>
      <c r="F49" s="269">
        <f t="shared" si="22"/>
        <v>52327.4</v>
      </c>
      <c r="G49" s="269">
        <f t="shared" si="22"/>
        <v>52766.2</v>
      </c>
      <c r="H49" s="269">
        <f t="shared" si="22"/>
        <v>55437</v>
      </c>
      <c r="I49" s="269">
        <f t="shared" si="22"/>
        <v>59590.8</v>
      </c>
      <c r="J49" s="269">
        <f t="shared" si="22"/>
        <v>60995.6</v>
      </c>
      <c r="K49" s="269">
        <f t="shared" si="22"/>
        <v>64565.4</v>
      </c>
      <c r="L49" s="270">
        <f t="shared" si="22"/>
        <v>69073</v>
      </c>
      <c r="M49" s="270">
        <f t="shared" si="19"/>
        <v>71777.899999999994</v>
      </c>
      <c r="N49" s="270">
        <f t="shared" si="19"/>
        <v>76066.8</v>
      </c>
      <c r="O49" s="270">
        <f t="shared" si="20"/>
        <v>80441.3</v>
      </c>
      <c r="P49" s="270">
        <f t="shared" si="20"/>
        <v>84903.3</v>
      </c>
      <c r="Q49" s="269">
        <f>SUM(I49:J49)</f>
        <v>120586.4</v>
      </c>
      <c r="R49" s="269">
        <f>SUM(K49:L49)</f>
        <v>133638.39999999999</v>
      </c>
      <c r="S49" s="269">
        <f>SUM(M49:N49)</f>
        <v>147844.70000000001</v>
      </c>
      <c r="T49" s="269">
        <f>SUM(O49:P49)</f>
        <v>165344.6</v>
      </c>
      <c r="U49" s="269">
        <f>R49-Q49</f>
        <v>13052</v>
      </c>
      <c r="V49" s="271">
        <f>U49/Q49</f>
        <v>0.10823774488665389</v>
      </c>
      <c r="W49" s="269">
        <f>S49-R49</f>
        <v>14206.300000000017</v>
      </c>
      <c r="X49" s="271">
        <f>W49/R49</f>
        <v>0.10630402638762525</v>
      </c>
      <c r="Y49" s="269">
        <f>T49-S49</f>
        <v>17499.899999999994</v>
      </c>
      <c r="Z49" s="271">
        <f>Y49/S49</f>
        <v>0.11836677270135482</v>
      </c>
    </row>
    <row r="50" spans="1:26" s="264" customFormat="1" x14ac:dyDescent="0.15">
      <c r="B50" s="265" t="s">
        <v>171</v>
      </c>
      <c r="D50" s="266"/>
      <c r="E50" s="266"/>
      <c r="F50" s="266"/>
      <c r="G50" s="266"/>
      <c r="H50" s="266"/>
      <c r="I50" s="266"/>
      <c r="J50" s="266"/>
      <c r="K50" s="266"/>
      <c r="L50" s="272"/>
      <c r="M50" s="272"/>
      <c r="N50" s="272"/>
      <c r="O50" s="272"/>
      <c r="P50" s="272"/>
    </row>
    <row r="51" spans="1:26" s="264" customFormat="1" x14ac:dyDescent="0.15">
      <c r="A51" s="264">
        <f>A49+1</f>
        <v>35</v>
      </c>
      <c r="C51" s="264" t="s">
        <v>143</v>
      </c>
      <c r="D51" s="266">
        <f t="shared" ref="D51:L51" si="23">D13</f>
        <v>262694686</v>
      </c>
      <c r="E51" s="266">
        <f t="shared" si="23"/>
        <v>249146954</v>
      </c>
      <c r="F51" s="269">
        <f t="shared" si="23"/>
        <v>265074.5</v>
      </c>
      <c r="G51" s="269">
        <f t="shared" si="23"/>
        <v>292547.5</v>
      </c>
      <c r="H51" s="269">
        <f t="shared" si="23"/>
        <v>315471.90000000002</v>
      </c>
      <c r="I51" s="269">
        <f t="shared" si="23"/>
        <v>333928.09999999998</v>
      </c>
      <c r="J51" s="269">
        <f t="shared" si="23"/>
        <v>348510.7</v>
      </c>
      <c r="K51" s="269">
        <f t="shared" si="23"/>
        <v>361157.3</v>
      </c>
      <c r="L51" s="270">
        <f t="shared" si="23"/>
        <v>414260.4</v>
      </c>
      <c r="M51" s="270">
        <f t="shared" ref="M51:N57" si="24">M13</f>
        <v>432960.5</v>
      </c>
      <c r="N51" s="270">
        <f t="shared" si="24"/>
        <v>452559.9</v>
      </c>
      <c r="O51" s="270">
        <f t="shared" ref="O51:P57" si="25">O13</f>
        <v>473621</v>
      </c>
      <c r="P51" s="270">
        <f t="shared" si="25"/>
        <v>495561.1</v>
      </c>
      <c r="Q51" s="269">
        <f t="shared" ref="Q51:Q64" si="26">SUM(I51:J51)</f>
        <v>682438.8</v>
      </c>
      <c r="R51" s="269">
        <f t="shared" ref="R51:R64" si="27">SUM(K51:L51)</f>
        <v>775417.7</v>
      </c>
      <c r="S51" s="269">
        <f t="shared" ref="S51:S64" si="28">SUM(M51:N51)</f>
        <v>885520.4</v>
      </c>
      <c r="T51" s="269">
        <f t="shared" ref="T51:T64" si="29">SUM(O51:P51)</f>
        <v>969182.1</v>
      </c>
      <c r="U51" s="269">
        <f t="shared" ref="U51:U64" si="30">R51-Q51</f>
        <v>92978.899999999907</v>
      </c>
      <c r="V51" s="271">
        <f t="shared" ref="V51:V64" si="31">U51/Q51</f>
        <v>0.13624503765026241</v>
      </c>
      <c r="W51" s="269">
        <f t="shared" ref="W51:W64" si="32">S51-R51</f>
        <v>110102.70000000007</v>
      </c>
      <c r="X51" s="271">
        <f t="shared" ref="X51:X64" si="33">W51/R51</f>
        <v>0.14199147117740551</v>
      </c>
      <c r="Y51" s="269">
        <f t="shared" ref="Y51:Y64" si="34">T51-S51</f>
        <v>83661.699999999953</v>
      </c>
      <c r="Z51" s="271">
        <f t="shared" ref="Z51:Z64" si="35">Y51/S51</f>
        <v>9.4477439480784353E-2</v>
      </c>
    </row>
    <row r="52" spans="1:26" s="264" customFormat="1" x14ac:dyDescent="0.15">
      <c r="A52" s="264">
        <f t="shared" ref="A52:A64" si="36">A51+1</f>
        <v>36</v>
      </c>
      <c r="C52" s="264" t="s">
        <v>144</v>
      </c>
      <c r="D52" s="266">
        <f t="shared" ref="D52:L52" si="37">D14</f>
        <v>36857227</v>
      </c>
      <c r="E52" s="266">
        <f t="shared" si="37"/>
        <v>28818713</v>
      </c>
      <c r="F52" s="269">
        <f t="shared" si="37"/>
        <v>29477.7</v>
      </c>
      <c r="G52" s="269">
        <f t="shared" si="37"/>
        <v>30912.7</v>
      </c>
      <c r="H52" s="269">
        <f t="shared" si="37"/>
        <v>31474.3</v>
      </c>
      <c r="I52" s="269">
        <f t="shared" si="37"/>
        <v>32316.799999999999</v>
      </c>
      <c r="J52" s="269">
        <f t="shared" si="37"/>
        <v>32058.2</v>
      </c>
      <c r="K52" s="269">
        <f t="shared" si="37"/>
        <v>31807.9</v>
      </c>
      <c r="L52" s="270">
        <f t="shared" si="37"/>
        <v>31673.1</v>
      </c>
      <c r="M52" s="270">
        <f t="shared" si="24"/>
        <v>31709.9</v>
      </c>
      <c r="N52" s="270">
        <f t="shared" si="24"/>
        <v>31867</v>
      </c>
      <c r="O52" s="270">
        <f t="shared" si="25"/>
        <v>32179.4</v>
      </c>
      <c r="P52" s="270">
        <f t="shared" si="25"/>
        <v>32480</v>
      </c>
      <c r="Q52" s="269">
        <f t="shared" si="26"/>
        <v>64375</v>
      </c>
      <c r="R52" s="269">
        <f t="shared" si="27"/>
        <v>63481</v>
      </c>
      <c r="S52" s="269">
        <f t="shared" si="28"/>
        <v>63576.9</v>
      </c>
      <c r="T52" s="269">
        <f t="shared" si="29"/>
        <v>64659.4</v>
      </c>
      <c r="U52" s="269">
        <f t="shared" si="30"/>
        <v>-894</v>
      </c>
      <c r="V52" s="271">
        <f t="shared" si="31"/>
        <v>-1.38873786407767E-2</v>
      </c>
      <c r="W52" s="269">
        <f t="shared" si="32"/>
        <v>95.900000000001455</v>
      </c>
      <c r="X52" s="271">
        <f t="shared" si="33"/>
        <v>1.5106882374253943E-3</v>
      </c>
      <c r="Y52" s="269">
        <f t="shared" si="34"/>
        <v>1082.5</v>
      </c>
      <c r="Z52" s="271">
        <f t="shared" si="35"/>
        <v>1.7026624450075419E-2</v>
      </c>
    </row>
    <row r="53" spans="1:26" s="264" customFormat="1" x14ac:dyDescent="0.15">
      <c r="A53" s="264">
        <f t="shared" si="36"/>
        <v>37</v>
      </c>
      <c r="B53" s="265"/>
      <c r="C53" s="265" t="s">
        <v>170</v>
      </c>
      <c r="D53" s="266">
        <f t="shared" ref="D53:L53" si="38">D15</f>
        <v>9779108</v>
      </c>
      <c r="E53" s="266">
        <f t="shared" si="38"/>
        <v>7276758</v>
      </c>
      <c r="F53" s="269">
        <f t="shared" si="38"/>
        <v>7434.3</v>
      </c>
      <c r="G53" s="269">
        <f t="shared" si="38"/>
        <v>7883.2</v>
      </c>
      <c r="H53" s="269">
        <f t="shared" si="38"/>
        <v>8057.6</v>
      </c>
      <c r="I53" s="269">
        <f t="shared" si="38"/>
        <v>8306.5</v>
      </c>
      <c r="J53" s="269">
        <f t="shared" si="38"/>
        <v>8316.7999999999993</v>
      </c>
      <c r="K53" s="269">
        <f t="shared" si="38"/>
        <v>8258.2999999999993</v>
      </c>
      <c r="L53" s="270">
        <f t="shared" si="38"/>
        <v>8387.5</v>
      </c>
      <c r="M53" s="270">
        <f t="shared" si="24"/>
        <v>8406.7999999999993</v>
      </c>
      <c r="N53" s="270">
        <f t="shared" si="24"/>
        <v>8500.2000000000007</v>
      </c>
      <c r="O53" s="270">
        <f t="shared" si="25"/>
        <v>8579.4</v>
      </c>
      <c r="P53" s="270">
        <f t="shared" si="25"/>
        <v>8651.7000000000007</v>
      </c>
      <c r="Q53" s="269">
        <f t="shared" si="26"/>
        <v>16623.3</v>
      </c>
      <c r="R53" s="269">
        <f t="shared" si="27"/>
        <v>16645.8</v>
      </c>
      <c r="S53" s="269">
        <f t="shared" si="28"/>
        <v>16907</v>
      </c>
      <c r="T53" s="269">
        <f t="shared" si="29"/>
        <v>17231.099999999999</v>
      </c>
      <c r="U53" s="269">
        <f t="shared" si="30"/>
        <v>22.5</v>
      </c>
      <c r="V53" s="271">
        <f t="shared" si="31"/>
        <v>1.3535218638898415E-3</v>
      </c>
      <c r="W53" s="269">
        <f t="shared" si="32"/>
        <v>261.20000000000073</v>
      </c>
      <c r="X53" s="271">
        <f t="shared" si="33"/>
        <v>1.5691645940717824E-2</v>
      </c>
      <c r="Y53" s="269">
        <f t="shared" si="34"/>
        <v>324.09999999999854</v>
      </c>
      <c r="Z53" s="271">
        <f t="shared" si="35"/>
        <v>1.9169574732359293E-2</v>
      </c>
    </row>
    <row r="54" spans="1:26" s="264" customFormat="1" x14ac:dyDescent="0.15">
      <c r="A54" s="264">
        <f t="shared" si="36"/>
        <v>38</v>
      </c>
      <c r="B54" s="264" t="s">
        <v>145</v>
      </c>
      <c r="D54" s="266">
        <f t="shared" ref="D54:L54" si="39">D16</f>
        <v>16471551</v>
      </c>
      <c r="E54" s="266">
        <f t="shared" si="39"/>
        <v>16909578</v>
      </c>
      <c r="F54" s="269">
        <f t="shared" si="39"/>
        <v>17548.599999999999</v>
      </c>
      <c r="G54" s="269">
        <f t="shared" si="39"/>
        <v>18853.099999999999</v>
      </c>
      <c r="H54" s="269">
        <f t="shared" si="39"/>
        <v>20254.2</v>
      </c>
      <c r="I54" s="269">
        <f t="shared" si="39"/>
        <v>21637.5</v>
      </c>
      <c r="J54" s="269">
        <f t="shared" si="39"/>
        <v>22898.799999999999</v>
      </c>
      <c r="K54" s="269">
        <f t="shared" si="39"/>
        <v>23368.6</v>
      </c>
      <c r="L54" s="270">
        <f t="shared" si="39"/>
        <v>23511.200000000001</v>
      </c>
      <c r="M54" s="270">
        <f t="shared" si="24"/>
        <v>24128.7</v>
      </c>
      <c r="N54" s="270">
        <f t="shared" si="24"/>
        <v>24366.799999999999</v>
      </c>
      <c r="O54" s="270">
        <f t="shared" si="25"/>
        <v>24637.1</v>
      </c>
      <c r="P54" s="270">
        <f t="shared" si="25"/>
        <v>25012.3</v>
      </c>
      <c r="Q54" s="269">
        <f t="shared" si="26"/>
        <v>44536.3</v>
      </c>
      <c r="R54" s="269">
        <f t="shared" si="27"/>
        <v>46879.8</v>
      </c>
      <c r="S54" s="269">
        <f t="shared" si="28"/>
        <v>48495.5</v>
      </c>
      <c r="T54" s="269">
        <f t="shared" si="29"/>
        <v>49649.399999999994</v>
      </c>
      <c r="U54" s="269">
        <f t="shared" si="30"/>
        <v>2343.5</v>
      </c>
      <c r="V54" s="271">
        <f t="shared" si="31"/>
        <v>5.2619997619919028E-2</v>
      </c>
      <c r="W54" s="269">
        <f t="shared" si="32"/>
        <v>1615.6999999999971</v>
      </c>
      <c r="X54" s="271">
        <f t="shared" si="33"/>
        <v>3.4464737477548898E-2</v>
      </c>
      <c r="Y54" s="269">
        <f t="shared" si="34"/>
        <v>1153.8999999999942</v>
      </c>
      <c r="Z54" s="271">
        <f t="shared" si="35"/>
        <v>2.3793960264354305E-2</v>
      </c>
    </row>
    <row r="55" spans="1:26" s="264" customFormat="1" x14ac:dyDescent="0.15">
      <c r="A55" s="264">
        <f t="shared" si="36"/>
        <v>39</v>
      </c>
      <c r="B55" s="264" t="s">
        <v>146</v>
      </c>
      <c r="D55" s="266">
        <f t="shared" ref="D55:L55" si="40">D17</f>
        <v>56478364</v>
      </c>
      <c r="E55" s="266">
        <f t="shared" si="40"/>
        <v>55913098</v>
      </c>
      <c r="F55" s="269">
        <f t="shared" si="40"/>
        <v>55511.199999999997</v>
      </c>
      <c r="G55" s="269">
        <f t="shared" si="40"/>
        <v>57332.800000000003</v>
      </c>
      <c r="H55" s="269">
        <f t="shared" si="40"/>
        <v>59221.8</v>
      </c>
      <c r="I55" s="269">
        <f t="shared" si="40"/>
        <v>60083.8</v>
      </c>
      <c r="J55" s="269">
        <f t="shared" si="40"/>
        <v>60159.1</v>
      </c>
      <c r="K55" s="269">
        <f t="shared" si="40"/>
        <v>59833.2</v>
      </c>
      <c r="L55" s="270">
        <f t="shared" si="40"/>
        <v>60371.5</v>
      </c>
      <c r="M55" s="270">
        <f t="shared" si="24"/>
        <v>60249.599999999999</v>
      </c>
      <c r="N55" s="270">
        <f t="shared" si="24"/>
        <v>60009.2</v>
      </c>
      <c r="O55" s="270">
        <f t="shared" si="25"/>
        <v>59809.9</v>
      </c>
      <c r="P55" s="270">
        <f t="shared" si="25"/>
        <v>59683.8</v>
      </c>
      <c r="Q55" s="269">
        <f t="shared" si="26"/>
        <v>120242.9</v>
      </c>
      <c r="R55" s="269">
        <f t="shared" si="27"/>
        <v>120204.7</v>
      </c>
      <c r="S55" s="269">
        <f t="shared" si="28"/>
        <v>120258.79999999999</v>
      </c>
      <c r="T55" s="269">
        <f t="shared" si="29"/>
        <v>119493.70000000001</v>
      </c>
      <c r="U55" s="269">
        <f t="shared" si="30"/>
        <v>-38.19999999999709</v>
      </c>
      <c r="V55" s="271">
        <f t="shared" si="31"/>
        <v>-3.1769027526778787E-4</v>
      </c>
      <c r="W55" s="269">
        <f t="shared" si="32"/>
        <v>54.099999999991269</v>
      </c>
      <c r="X55" s="271">
        <f t="shared" si="33"/>
        <v>4.5006559643667238E-4</v>
      </c>
      <c r="Y55" s="269">
        <f t="shared" si="34"/>
        <v>-765.09999999997672</v>
      </c>
      <c r="Z55" s="271">
        <f t="shared" si="35"/>
        <v>-6.3621123776386995E-3</v>
      </c>
    </row>
    <row r="56" spans="1:26" s="264" customFormat="1" x14ac:dyDescent="0.15">
      <c r="A56" s="264">
        <f t="shared" si="36"/>
        <v>40</v>
      </c>
      <c r="B56" s="264" t="s">
        <v>148</v>
      </c>
      <c r="D56" s="266">
        <f t="shared" ref="D56:L56" si="41">D18</f>
        <v>25114308</v>
      </c>
      <c r="E56" s="266">
        <f t="shared" si="41"/>
        <v>18869558</v>
      </c>
      <c r="F56" s="269">
        <f t="shared" si="41"/>
        <v>12876.8</v>
      </c>
      <c r="G56" s="269">
        <f t="shared" si="41"/>
        <v>8213.5</v>
      </c>
      <c r="H56" s="269">
        <f t="shared" si="41"/>
        <v>4354.3999999999996</v>
      </c>
      <c r="I56" s="269">
        <f t="shared" si="41"/>
        <v>2146.1</v>
      </c>
      <c r="J56" s="269">
        <f t="shared" si="41"/>
        <v>1207.4000000000001</v>
      </c>
      <c r="K56" s="269">
        <f t="shared" si="41"/>
        <v>675.9</v>
      </c>
      <c r="L56" s="270">
        <f t="shared" si="41"/>
        <v>373.2</v>
      </c>
      <c r="M56" s="270">
        <f t="shared" si="24"/>
        <v>223.2</v>
      </c>
      <c r="N56" s="270">
        <f t="shared" si="24"/>
        <v>158.9</v>
      </c>
      <c r="O56" s="270">
        <f t="shared" si="25"/>
        <v>128.80000000000001</v>
      </c>
      <c r="P56" s="270">
        <f t="shared" si="25"/>
        <v>104.2</v>
      </c>
      <c r="Q56" s="269">
        <f t="shared" si="26"/>
        <v>3353.5</v>
      </c>
      <c r="R56" s="269">
        <f t="shared" si="27"/>
        <v>1049.0999999999999</v>
      </c>
      <c r="S56" s="269">
        <f t="shared" si="28"/>
        <v>382.1</v>
      </c>
      <c r="T56" s="269">
        <f t="shared" si="29"/>
        <v>233</v>
      </c>
      <c r="U56" s="269">
        <f t="shared" si="30"/>
        <v>-2304.4</v>
      </c>
      <c r="V56" s="271">
        <f t="shared" si="31"/>
        <v>-0.68716266587147756</v>
      </c>
      <c r="W56" s="269">
        <f t="shared" si="32"/>
        <v>-666.99999999999989</v>
      </c>
      <c r="X56" s="271">
        <f t="shared" si="33"/>
        <v>-0.63578305213992936</v>
      </c>
      <c r="Y56" s="269">
        <f t="shared" si="34"/>
        <v>-149.10000000000002</v>
      </c>
      <c r="Z56" s="271">
        <f t="shared" si="35"/>
        <v>-0.39021198639099713</v>
      </c>
    </row>
    <row r="57" spans="1:26" s="264" customFormat="1" x14ac:dyDescent="0.15">
      <c r="A57" s="264">
        <f t="shared" si="36"/>
        <v>41</v>
      </c>
      <c r="B57" s="265" t="s">
        <v>244</v>
      </c>
      <c r="D57" s="266">
        <f t="shared" ref="D57:L58" si="42">D19</f>
        <v>0</v>
      </c>
      <c r="E57" s="266">
        <f t="shared" si="42"/>
        <v>0</v>
      </c>
      <c r="F57" s="269">
        <f t="shared" si="42"/>
        <v>0</v>
      </c>
      <c r="G57" s="269">
        <f t="shared" si="42"/>
        <v>-344.9</v>
      </c>
      <c r="H57" s="269">
        <f t="shared" si="42"/>
        <v>0</v>
      </c>
      <c r="I57" s="269">
        <f t="shared" si="42"/>
        <v>-730.5</v>
      </c>
      <c r="J57" s="269">
        <f t="shared" si="42"/>
        <v>0</v>
      </c>
      <c r="K57" s="269">
        <f t="shared" si="42"/>
        <v>-2507.1</v>
      </c>
      <c r="L57" s="270">
        <f t="shared" si="42"/>
        <v>0</v>
      </c>
      <c r="M57" s="270">
        <f t="shared" si="24"/>
        <v>-700</v>
      </c>
      <c r="N57" s="270">
        <f t="shared" si="24"/>
        <v>0</v>
      </c>
      <c r="O57" s="270">
        <f t="shared" si="25"/>
        <v>-700</v>
      </c>
      <c r="P57" s="270">
        <f t="shared" si="25"/>
        <v>0</v>
      </c>
      <c r="Q57" s="269">
        <f t="shared" si="26"/>
        <v>-730.5</v>
      </c>
      <c r="R57" s="269">
        <f t="shared" si="27"/>
        <v>-2507.1</v>
      </c>
      <c r="S57" s="269">
        <f t="shared" si="28"/>
        <v>-700</v>
      </c>
      <c r="T57" s="269">
        <f t="shared" si="29"/>
        <v>-700</v>
      </c>
      <c r="U57" s="269">
        <f t="shared" si="30"/>
        <v>-1776.6</v>
      </c>
      <c r="V57" s="271">
        <f t="shared" si="31"/>
        <v>2.4320328542094454</v>
      </c>
      <c r="W57" s="269">
        <f t="shared" si="32"/>
        <v>1807.1</v>
      </c>
      <c r="X57" s="271">
        <f t="shared" si="33"/>
        <v>-0.72079294802760163</v>
      </c>
      <c r="Y57" s="269">
        <f t="shared" si="34"/>
        <v>0</v>
      </c>
      <c r="Z57" s="271">
        <f t="shared" si="35"/>
        <v>0</v>
      </c>
    </row>
    <row r="58" spans="1:26" s="264" customFormat="1" x14ac:dyDescent="0.15">
      <c r="A58" s="264">
        <f t="shared" si="36"/>
        <v>42</v>
      </c>
      <c r="B58" s="265" t="s">
        <v>360</v>
      </c>
      <c r="D58" s="266"/>
      <c r="E58" s="266"/>
      <c r="F58" s="269"/>
      <c r="G58" s="269"/>
      <c r="H58" s="269">
        <v>0</v>
      </c>
      <c r="I58" s="269">
        <v>0</v>
      </c>
      <c r="J58" s="269">
        <v>0</v>
      </c>
      <c r="K58" s="269">
        <f t="shared" si="42"/>
        <v>-500000</v>
      </c>
      <c r="L58" s="270">
        <v>0</v>
      </c>
      <c r="M58" s="270">
        <v>0</v>
      </c>
      <c r="N58" s="270">
        <v>0</v>
      </c>
      <c r="O58" s="270">
        <v>0</v>
      </c>
      <c r="P58" s="270">
        <v>0</v>
      </c>
      <c r="Q58" s="269">
        <f>SUM(I58:J58)</f>
        <v>0</v>
      </c>
      <c r="R58" s="269">
        <f>SUM(K58:L58)</f>
        <v>-500000</v>
      </c>
      <c r="S58" s="269">
        <f>SUM(M58:N58)</f>
        <v>0</v>
      </c>
      <c r="T58" s="269">
        <f t="shared" si="29"/>
        <v>0</v>
      </c>
      <c r="U58" s="269">
        <f>R58-Q58</f>
        <v>-500000</v>
      </c>
      <c r="V58" s="271" t="e">
        <f t="shared" si="31"/>
        <v>#DIV/0!</v>
      </c>
      <c r="W58" s="269">
        <f>S58-R58</f>
        <v>500000</v>
      </c>
      <c r="X58" s="271">
        <f t="shared" si="33"/>
        <v>-1</v>
      </c>
      <c r="Y58" s="269">
        <f t="shared" si="34"/>
        <v>0</v>
      </c>
      <c r="Z58" s="271" t="e">
        <f t="shared" si="35"/>
        <v>#DIV/0!</v>
      </c>
    </row>
    <row r="59" spans="1:26" s="264" customFormat="1" x14ac:dyDescent="0.15">
      <c r="A59" s="264">
        <f t="shared" si="36"/>
        <v>43</v>
      </c>
      <c r="B59" s="264" t="s">
        <v>147</v>
      </c>
      <c r="D59" s="266">
        <f t="shared" ref="D59:N59" si="43">D21-D37</f>
        <v>198438434</v>
      </c>
      <c r="E59" s="266">
        <f t="shared" si="43"/>
        <v>194217096</v>
      </c>
      <c r="F59" s="269">
        <f t="shared" si="43"/>
        <v>153689.79999999999</v>
      </c>
      <c r="G59" s="269">
        <f t="shared" si="43"/>
        <v>149750.20000000001</v>
      </c>
      <c r="H59" s="269">
        <f t="shared" si="43"/>
        <v>92182.5</v>
      </c>
      <c r="I59" s="269">
        <f t="shared" si="43"/>
        <v>82805.200000000012</v>
      </c>
      <c r="J59" s="269">
        <f t="shared" si="43"/>
        <v>73046.100000000006</v>
      </c>
      <c r="K59" s="269">
        <f t="shared" si="43"/>
        <v>70133.199999999983</v>
      </c>
      <c r="L59" s="270">
        <f t="shared" si="43"/>
        <v>69988.300000000017</v>
      </c>
      <c r="M59" s="270">
        <f t="shared" si="43"/>
        <v>75269.3</v>
      </c>
      <c r="N59" s="270">
        <f t="shared" si="43"/>
        <v>83311.599999999991</v>
      </c>
      <c r="O59" s="270">
        <f t="shared" ref="O59:P62" si="44">O21-O37</f>
        <v>85481</v>
      </c>
      <c r="P59" s="270">
        <f t="shared" si="44"/>
        <v>86579</v>
      </c>
      <c r="Q59" s="269">
        <f t="shared" si="26"/>
        <v>155851.30000000002</v>
      </c>
      <c r="R59" s="269">
        <f t="shared" si="27"/>
        <v>140121.5</v>
      </c>
      <c r="S59" s="269">
        <f t="shared" si="28"/>
        <v>158580.9</v>
      </c>
      <c r="T59" s="269">
        <f t="shared" si="29"/>
        <v>172060</v>
      </c>
      <c r="U59" s="269">
        <f t="shared" si="30"/>
        <v>-15729.800000000017</v>
      </c>
      <c r="V59" s="271">
        <f t="shared" si="31"/>
        <v>-0.10092825661383649</v>
      </c>
      <c r="W59" s="269">
        <f t="shared" si="32"/>
        <v>18459.399999999994</v>
      </c>
      <c r="X59" s="271">
        <f t="shared" si="33"/>
        <v>0.13173852692127899</v>
      </c>
      <c r="Y59" s="269">
        <f t="shared" si="34"/>
        <v>13479.100000000006</v>
      </c>
      <c r="Z59" s="271">
        <f t="shared" si="35"/>
        <v>8.4998256410450473E-2</v>
      </c>
    </row>
    <row r="60" spans="1:26" s="264" customFormat="1" x14ac:dyDescent="0.15">
      <c r="A60" s="264">
        <f t="shared" si="36"/>
        <v>44</v>
      </c>
      <c r="B60" s="264" t="s">
        <v>149</v>
      </c>
      <c r="D60" s="266">
        <f t="shared" ref="D60:N60" si="45">D22-D38</f>
        <v>34642490</v>
      </c>
      <c r="E60" s="266">
        <f t="shared" si="45"/>
        <v>32112369</v>
      </c>
      <c r="F60" s="269">
        <f t="shared" si="45"/>
        <v>19350.899999999998</v>
      </c>
      <c r="G60" s="269">
        <f t="shared" si="45"/>
        <v>25916.100000000002</v>
      </c>
      <c r="H60" s="269">
        <f t="shared" si="45"/>
        <v>30534.000000000007</v>
      </c>
      <c r="I60" s="269">
        <f t="shared" si="45"/>
        <v>25104.5</v>
      </c>
      <c r="J60" s="269">
        <f t="shared" si="45"/>
        <v>19660.399999999994</v>
      </c>
      <c r="K60" s="269">
        <f t="shared" si="45"/>
        <v>16720.100000000006</v>
      </c>
      <c r="L60" s="270">
        <f t="shared" si="45"/>
        <v>16028.600000000006</v>
      </c>
      <c r="M60" s="270">
        <f t="shared" si="45"/>
        <v>17993.300000000003</v>
      </c>
      <c r="N60" s="270">
        <f t="shared" si="45"/>
        <v>20984.5</v>
      </c>
      <c r="O60" s="270">
        <f t="shared" si="44"/>
        <v>22290.100000000006</v>
      </c>
      <c r="P60" s="270">
        <f t="shared" si="44"/>
        <v>23228.899999999994</v>
      </c>
      <c r="Q60" s="269">
        <f t="shared" si="26"/>
        <v>44764.899999999994</v>
      </c>
      <c r="R60" s="269">
        <f t="shared" si="27"/>
        <v>32748.700000000012</v>
      </c>
      <c r="S60" s="269">
        <f t="shared" si="28"/>
        <v>38977.800000000003</v>
      </c>
      <c r="T60" s="269">
        <f t="shared" si="29"/>
        <v>45519</v>
      </c>
      <c r="U60" s="269">
        <f t="shared" si="30"/>
        <v>-12016.199999999983</v>
      </c>
      <c r="V60" s="271">
        <f t="shared" si="31"/>
        <v>-0.26842905937464362</v>
      </c>
      <c r="W60" s="269">
        <f t="shared" si="32"/>
        <v>6229.0999999999913</v>
      </c>
      <c r="X60" s="271">
        <f t="shared" si="33"/>
        <v>0.1902090770015295</v>
      </c>
      <c r="Y60" s="269">
        <f t="shared" si="34"/>
        <v>6541.1999999999971</v>
      </c>
      <c r="Z60" s="271">
        <f t="shared" si="35"/>
        <v>0.16781860443637139</v>
      </c>
    </row>
    <row r="61" spans="1:26" s="264" customFormat="1" x14ac:dyDescent="0.15">
      <c r="A61" s="264">
        <f t="shared" si="36"/>
        <v>45</v>
      </c>
      <c r="B61" s="265" t="s">
        <v>173</v>
      </c>
      <c r="D61" s="266">
        <f t="shared" ref="D61:N61" si="46">D23-D39</f>
        <v>0</v>
      </c>
      <c r="E61" s="266">
        <f t="shared" si="46"/>
        <v>31986524</v>
      </c>
      <c r="F61" s="269">
        <f t="shared" si="46"/>
        <v>12786</v>
      </c>
      <c r="G61" s="269">
        <f t="shared" si="46"/>
        <v>10650.2</v>
      </c>
      <c r="H61" s="269">
        <f t="shared" si="46"/>
        <v>8632</v>
      </c>
      <c r="I61" s="269">
        <f t="shared" si="46"/>
        <v>7132.8999999999978</v>
      </c>
      <c r="J61" s="269">
        <f t="shared" si="46"/>
        <v>5419.0999999999985</v>
      </c>
      <c r="K61" s="269">
        <f t="shared" si="46"/>
        <v>4257.5999999999985</v>
      </c>
      <c r="L61" s="270">
        <f t="shared" si="46"/>
        <v>3970.9000000000015</v>
      </c>
      <c r="M61" s="270">
        <f t="shared" si="46"/>
        <v>4531.9000000000015</v>
      </c>
      <c r="N61" s="270">
        <f t="shared" si="46"/>
        <v>5540.0999999999985</v>
      </c>
      <c r="O61" s="270">
        <f t="shared" si="44"/>
        <v>5890.7000000000007</v>
      </c>
      <c r="P61" s="270">
        <f t="shared" si="44"/>
        <v>6062.8000000000029</v>
      </c>
      <c r="Q61" s="269">
        <f t="shared" si="26"/>
        <v>12551.999999999996</v>
      </c>
      <c r="R61" s="269">
        <f t="shared" si="27"/>
        <v>8228.5</v>
      </c>
      <c r="S61" s="269">
        <f t="shared" si="28"/>
        <v>10072</v>
      </c>
      <c r="T61" s="269">
        <f t="shared" si="29"/>
        <v>11953.500000000004</v>
      </c>
      <c r="U61" s="269">
        <f t="shared" si="30"/>
        <v>-4323.4999999999964</v>
      </c>
      <c r="V61" s="271">
        <f t="shared" si="31"/>
        <v>-0.34444710006373469</v>
      </c>
      <c r="W61" s="269">
        <f t="shared" si="32"/>
        <v>1843.5</v>
      </c>
      <c r="X61" s="271">
        <f t="shared" si="33"/>
        <v>0.22403840311113812</v>
      </c>
      <c r="Y61" s="269">
        <f t="shared" si="34"/>
        <v>1881.5000000000036</v>
      </c>
      <c r="Z61" s="271">
        <f t="shared" si="35"/>
        <v>0.18680500397140623</v>
      </c>
    </row>
    <row r="62" spans="1:26" s="264" customFormat="1" x14ac:dyDescent="0.15">
      <c r="A62" s="264">
        <f t="shared" si="36"/>
        <v>46</v>
      </c>
      <c r="B62" s="265" t="s">
        <v>168</v>
      </c>
      <c r="C62" s="265"/>
      <c r="D62" s="266">
        <f t="shared" ref="D62:N62" si="47">D24-D40</f>
        <v>0</v>
      </c>
      <c r="E62" s="266">
        <f t="shared" si="47"/>
        <v>0</v>
      </c>
      <c r="F62" s="269">
        <f t="shared" si="47"/>
        <v>0</v>
      </c>
      <c r="G62" s="269">
        <f t="shared" si="47"/>
        <v>16348.9</v>
      </c>
      <c r="H62" s="269">
        <f t="shared" si="47"/>
        <v>38908.199999999997</v>
      </c>
      <c r="I62" s="269">
        <f t="shared" si="47"/>
        <v>47983.899999999994</v>
      </c>
      <c r="J62" s="269">
        <f t="shared" si="47"/>
        <v>49995</v>
      </c>
      <c r="K62" s="269">
        <f t="shared" si="47"/>
        <v>41484.400000000001</v>
      </c>
      <c r="L62" s="270">
        <f t="shared" si="47"/>
        <v>44898.9</v>
      </c>
      <c r="M62" s="270">
        <f t="shared" si="47"/>
        <v>56984.899999999994</v>
      </c>
      <c r="N62" s="270">
        <f t="shared" si="47"/>
        <v>60095</v>
      </c>
      <c r="O62" s="270">
        <f t="shared" si="44"/>
        <v>61706</v>
      </c>
      <c r="P62" s="270">
        <f t="shared" si="44"/>
        <v>63168.800000000003</v>
      </c>
      <c r="Q62" s="269">
        <f t="shared" si="26"/>
        <v>97978.9</v>
      </c>
      <c r="R62" s="269">
        <f t="shared" si="27"/>
        <v>86383.3</v>
      </c>
      <c r="S62" s="269">
        <f t="shared" si="28"/>
        <v>117079.9</v>
      </c>
      <c r="T62" s="269">
        <f t="shared" si="29"/>
        <v>124874.8</v>
      </c>
      <c r="U62" s="269">
        <f t="shared" si="30"/>
        <v>-11595.599999999991</v>
      </c>
      <c r="V62" s="271">
        <f t="shared" si="31"/>
        <v>-0.11834793001350283</v>
      </c>
      <c r="W62" s="269">
        <f t="shared" si="32"/>
        <v>30696.599999999991</v>
      </c>
      <c r="X62" s="271">
        <f t="shared" si="33"/>
        <v>0.35535340742944516</v>
      </c>
      <c r="Y62" s="269">
        <f t="shared" si="34"/>
        <v>7794.9000000000087</v>
      </c>
      <c r="Z62" s="271">
        <f t="shared" si="35"/>
        <v>6.6577610674419849E-2</v>
      </c>
    </row>
    <row r="63" spans="1:26" s="264" customFormat="1" x14ac:dyDescent="0.15">
      <c r="A63" s="264">
        <f t="shared" si="36"/>
        <v>47</v>
      </c>
      <c r="B63" s="265" t="s">
        <v>163</v>
      </c>
      <c r="C63" s="265"/>
      <c r="D63" s="266">
        <f t="shared" ref="D63:N63" si="48">D25-D41-D64</f>
        <v>58417206</v>
      </c>
      <c r="E63" s="266">
        <f t="shared" si="48"/>
        <v>67208298</v>
      </c>
      <c r="F63" s="269">
        <f t="shared" si="48"/>
        <v>116067.69999999998</v>
      </c>
      <c r="G63" s="269">
        <f t="shared" si="48"/>
        <v>114773.99999999997</v>
      </c>
      <c r="H63" s="269">
        <f t="shared" si="48"/>
        <v>107935.19999999994</v>
      </c>
      <c r="I63" s="269">
        <f t="shared" si="48"/>
        <v>95398.599999999904</v>
      </c>
      <c r="J63" s="269">
        <f t="shared" si="48"/>
        <v>76645.899999999951</v>
      </c>
      <c r="K63" s="269">
        <f t="shared" si="48"/>
        <v>60722.200000000026</v>
      </c>
      <c r="L63" s="270">
        <f t="shared" si="48"/>
        <v>58609.700000000026</v>
      </c>
      <c r="M63" s="270">
        <f t="shared" si="48"/>
        <v>68344.70000000007</v>
      </c>
      <c r="N63" s="270">
        <f t="shared" si="48"/>
        <v>84984.200000000041</v>
      </c>
      <c r="O63" s="270">
        <f>O25-O41-O64</f>
        <v>89938.800000000017</v>
      </c>
      <c r="P63" s="270">
        <f>P25-P41-P64</f>
        <v>93081.999999999971</v>
      </c>
      <c r="Q63" s="269">
        <f t="shared" si="26"/>
        <v>172044.49999999985</v>
      </c>
      <c r="R63" s="269">
        <f t="shared" si="27"/>
        <v>119331.90000000005</v>
      </c>
      <c r="S63" s="269">
        <f t="shared" si="28"/>
        <v>153328.90000000011</v>
      </c>
      <c r="T63" s="269">
        <f t="shared" si="29"/>
        <v>183020.79999999999</v>
      </c>
      <c r="U63" s="269">
        <f t="shared" si="30"/>
        <v>-52712.599999999802</v>
      </c>
      <c r="V63" s="271">
        <f t="shared" si="31"/>
        <v>-0.30638933531731527</v>
      </c>
      <c r="W63" s="269">
        <f t="shared" si="32"/>
        <v>33997.000000000058</v>
      </c>
      <c r="X63" s="271">
        <f t="shared" si="33"/>
        <v>0.28489448336949336</v>
      </c>
      <c r="Y63" s="269">
        <f t="shared" si="34"/>
        <v>29691.899999999878</v>
      </c>
      <c r="Z63" s="271">
        <f t="shared" si="35"/>
        <v>0.19364842505228863</v>
      </c>
    </row>
    <row r="64" spans="1:26" s="264" customFormat="1" x14ac:dyDescent="0.15">
      <c r="A64" s="264">
        <f t="shared" si="36"/>
        <v>48</v>
      </c>
      <c r="B64" s="264" t="s">
        <v>151</v>
      </c>
      <c r="D64" s="266">
        <f>'FY 2003'!I58</f>
        <v>8345294</v>
      </c>
      <c r="E64" s="266">
        <f>'FY 2004'!I58</f>
        <v>8040369</v>
      </c>
      <c r="F64" s="269">
        <f>ROUND('SUMMARY-ALL YEARS'!F64/1000,1)</f>
        <v>8698.9</v>
      </c>
      <c r="G64" s="269">
        <f>ROUND('SUMMARY-ALL YEARS'!G64/1000,1)</f>
        <v>8672.6</v>
      </c>
      <c r="H64" s="269">
        <f>ROUND('SUMMARY-ALL YEARS'!H64/1000,1)</f>
        <v>8609.2999999999993</v>
      </c>
      <c r="I64" s="269">
        <f>ROUND('SUMMARY-ALL YEARS'!I64/1000,1)</f>
        <v>8609.2999999999993</v>
      </c>
      <c r="J64" s="269">
        <f>ROUND('SUMMARY-ALL YEARS'!J64/1000,1)</f>
        <v>8587.7999999999993</v>
      </c>
      <c r="K64" s="269">
        <f>ROUND('SUMMARY-ALL YEARS'!K64/1000,1)</f>
        <v>8618.7000000000007</v>
      </c>
      <c r="L64" s="270">
        <f>ROUND('SUMMARY-ALL YEARS'!L64/1000,1)</f>
        <v>8593.2000000000007</v>
      </c>
      <c r="M64" s="270">
        <f>ROUND('SUMMARY-ALL YEARS'!M64/1000,1)</f>
        <v>8502</v>
      </c>
      <c r="N64" s="270">
        <f>ROUND('SUMMARY-ALL YEARS'!N64/1000,1)</f>
        <v>8522.6</v>
      </c>
      <c r="O64" s="270">
        <f>ROUND('SUMMARY-ALL YEARS'!O64/1000,1)</f>
        <v>8522.6</v>
      </c>
      <c r="P64" s="270">
        <f>ROUND('SUMMARY-ALL YEARS'!P64/1000,1)</f>
        <v>8522.6</v>
      </c>
      <c r="Q64" s="269">
        <f t="shared" si="26"/>
        <v>17197.099999999999</v>
      </c>
      <c r="R64" s="269">
        <f t="shared" si="27"/>
        <v>17211.900000000001</v>
      </c>
      <c r="S64" s="269">
        <f t="shared" si="28"/>
        <v>17024.599999999999</v>
      </c>
      <c r="T64" s="269">
        <f t="shared" si="29"/>
        <v>17045.2</v>
      </c>
      <c r="U64" s="269">
        <f t="shared" si="30"/>
        <v>14.80000000000291</v>
      </c>
      <c r="V64" s="271">
        <f t="shared" si="31"/>
        <v>8.6061021916502851E-4</v>
      </c>
      <c r="W64" s="269">
        <f t="shared" si="32"/>
        <v>-187.30000000000291</v>
      </c>
      <c r="X64" s="271">
        <f t="shared" si="33"/>
        <v>-1.0882006053951213E-2</v>
      </c>
      <c r="Y64" s="269">
        <f t="shared" si="34"/>
        <v>20.600000000002183</v>
      </c>
      <c r="Z64" s="271">
        <f t="shared" si="35"/>
        <v>1.2100137448164529E-3</v>
      </c>
    </row>
    <row r="65" spans="1:26" s="264" customFormat="1" x14ac:dyDescent="0.15">
      <c r="B65" s="265" t="s">
        <v>172</v>
      </c>
      <c r="D65" s="266"/>
      <c r="E65" s="266"/>
      <c r="F65" s="269"/>
      <c r="G65" s="269"/>
      <c r="H65" s="269"/>
      <c r="I65" s="269"/>
      <c r="J65" s="269"/>
      <c r="K65" s="269"/>
      <c r="L65" s="270"/>
      <c r="M65" s="270"/>
      <c r="N65" s="270"/>
      <c r="O65" s="270"/>
      <c r="P65" s="270"/>
    </row>
    <row r="66" spans="1:26" s="264" customFormat="1" x14ac:dyDescent="0.15">
      <c r="A66" s="264">
        <f>A64+1</f>
        <v>49</v>
      </c>
      <c r="B66" s="265"/>
      <c r="C66" s="265" t="s">
        <v>268</v>
      </c>
      <c r="D66" s="266">
        <f>'FY 2003'!I60</f>
        <v>1341221</v>
      </c>
      <c r="E66" s="266">
        <f>'FY 2004'!I60</f>
        <v>-679857</v>
      </c>
      <c r="F66" s="269">
        <f>F28</f>
        <v>-1090</v>
      </c>
      <c r="G66" s="269">
        <f t="shared" ref="G66:L66" si="49">G28</f>
        <v>-895.4</v>
      </c>
      <c r="H66" s="269">
        <f t="shared" si="49"/>
        <v>-886.1</v>
      </c>
      <c r="I66" s="269">
        <f t="shared" si="49"/>
        <v>-182.3</v>
      </c>
      <c r="J66" s="269">
        <f t="shared" si="49"/>
        <v>261.60000000000002</v>
      </c>
      <c r="K66" s="269">
        <f t="shared" si="49"/>
        <v>606.9</v>
      </c>
      <c r="L66" s="270">
        <f t="shared" si="49"/>
        <v>658.4</v>
      </c>
      <c r="M66" s="270">
        <f>M28</f>
        <v>338.5</v>
      </c>
      <c r="N66" s="270">
        <f>N28</f>
        <v>-145</v>
      </c>
      <c r="O66" s="270">
        <f>O28</f>
        <v>-232.9</v>
      </c>
      <c r="P66" s="270">
        <f>P28</f>
        <v>-315</v>
      </c>
      <c r="Q66" s="269">
        <f>SUM(I66:J66)</f>
        <v>79.300000000000011</v>
      </c>
      <c r="R66" s="269">
        <f>SUM(K66:L66)</f>
        <v>1265.3</v>
      </c>
      <c r="S66" s="269">
        <f>SUM(M66:N66)</f>
        <v>193.5</v>
      </c>
      <c r="T66" s="269">
        <f>SUM(O66:P66)</f>
        <v>-547.9</v>
      </c>
      <c r="U66" s="269">
        <f>R66-Q66</f>
        <v>1186</v>
      </c>
      <c r="V66" s="271">
        <f>U66/Q66</f>
        <v>14.955863808322823</v>
      </c>
      <c r="W66" s="269">
        <f>S66-R66</f>
        <v>-1071.8</v>
      </c>
      <c r="X66" s="271">
        <f>W66/R66</f>
        <v>-0.84707184067019681</v>
      </c>
      <c r="Y66" s="269">
        <f>T66-S66</f>
        <v>-741.4</v>
      </c>
      <c r="Z66" s="271">
        <f>Y66/S66</f>
        <v>-3.8315245478036175</v>
      </c>
    </row>
    <row r="67" spans="1:26" s="264" customFormat="1" x14ac:dyDescent="0.15">
      <c r="A67" s="264">
        <f>A66+1</f>
        <v>50</v>
      </c>
      <c r="B67" s="265"/>
      <c r="C67" s="265"/>
      <c r="D67" s="266">
        <f>'FY 2003'!I61</f>
        <v>-1804253</v>
      </c>
      <c r="E67" s="266">
        <f>'FY 2004'!I61</f>
        <v>1059</v>
      </c>
      <c r="F67" s="269">
        <f>'FY 2005'!I61</f>
        <v>0</v>
      </c>
      <c r="G67" s="269">
        <f>'FY 2005'!J61</f>
        <v>0</v>
      </c>
      <c r="H67" s="269">
        <f>'FY 2005'!K61</f>
        <v>0</v>
      </c>
      <c r="I67" s="269">
        <f>'FY 2005'!L61</f>
        <v>0</v>
      </c>
      <c r="J67" s="269">
        <f>'FY 2005'!M61</f>
        <v>0</v>
      </c>
      <c r="K67" s="269">
        <f>'FY 2005'!N61</f>
        <v>0</v>
      </c>
      <c r="L67" s="270">
        <f>'FY 2005'!O61</f>
        <v>0</v>
      </c>
      <c r="M67" s="270">
        <f>'FY 2005'!P61</f>
        <v>0</v>
      </c>
      <c r="N67" s="270">
        <f>'FY 2005'!Q61</f>
        <v>0</v>
      </c>
      <c r="O67" s="270">
        <f>'FY 2005'!R61</f>
        <v>0</v>
      </c>
      <c r="P67" s="270">
        <f>'FY 2005'!S61</f>
        <v>0</v>
      </c>
    </row>
    <row r="68" spans="1:26" s="264" customFormat="1" x14ac:dyDescent="0.15">
      <c r="A68" s="264">
        <f>A67+1</f>
        <v>51</v>
      </c>
      <c r="B68" s="265"/>
      <c r="C68" s="265"/>
      <c r="D68" s="266">
        <f>'FY 2003'!I62</f>
        <v>0</v>
      </c>
      <c r="E68" s="266">
        <f>'FY 2004'!I62</f>
        <v>0</v>
      </c>
      <c r="F68" s="269">
        <f>'FY 2005'!I62</f>
        <v>0</v>
      </c>
      <c r="G68" s="269">
        <f>'FY 2005'!J62</f>
        <v>0</v>
      </c>
      <c r="H68" s="269">
        <f>'FY 2005'!K62</f>
        <v>0</v>
      </c>
      <c r="I68" s="269">
        <f>'FY 2005'!L62</f>
        <v>0</v>
      </c>
      <c r="J68" s="269">
        <f>'FY 2005'!M62</f>
        <v>0</v>
      </c>
      <c r="K68" s="269">
        <f>'FY 2005'!N62</f>
        <v>0</v>
      </c>
      <c r="L68" s="269">
        <f>'FY 2005'!O62</f>
        <v>0</v>
      </c>
      <c r="M68" s="269">
        <f>'FY 2005'!P62</f>
        <v>0</v>
      </c>
      <c r="N68" s="269">
        <f>'FY 2005'!Q62</f>
        <v>0</v>
      </c>
      <c r="O68" s="269">
        <f>'FY 2005'!R62</f>
        <v>0</v>
      </c>
      <c r="P68" s="269">
        <f>'FY 2005'!S62</f>
        <v>0</v>
      </c>
    </row>
    <row r="69" spans="1:26" s="264" customFormat="1" x14ac:dyDescent="0.15">
      <c r="A69" s="264">
        <f>A68+1</f>
        <v>52</v>
      </c>
      <c r="B69" s="265"/>
      <c r="C69" s="265"/>
      <c r="D69" s="266">
        <f>'FY 2003'!I63</f>
        <v>0</v>
      </c>
      <c r="E69" s="266">
        <f>'FY 2004'!I63</f>
        <v>0</v>
      </c>
      <c r="F69" s="269">
        <f>'FY 2005'!I63</f>
        <v>0</v>
      </c>
      <c r="G69" s="269">
        <f>'FY 2005'!J63</f>
        <v>0</v>
      </c>
      <c r="H69" s="269">
        <f>'FY 2005'!K63</f>
        <v>0</v>
      </c>
      <c r="I69" s="269">
        <f>'FY 2005'!L63</f>
        <v>0</v>
      </c>
      <c r="J69" s="269">
        <f>'FY 2005'!M63</f>
        <v>0</v>
      </c>
      <c r="K69" s="269">
        <f>'FY 2005'!N63</f>
        <v>0</v>
      </c>
      <c r="L69" s="269">
        <f>'FY 2005'!O63</f>
        <v>0</v>
      </c>
      <c r="M69" s="269">
        <f>'FY 2005'!P63</f>
        <v>0</v>
      </c>
      <c r="N69" s="269">
        <f>'FY 2005'!Q63</f>
        <v>0</v>
      </c>
      <c r="O69" s="269">
        <f>'FY 2005'!R63</f>
        <v>0</v>
      </c>
      <c r="P69" s="269">
        <f>'FY 2005'!S63</f>
        <v>0</v>
      </c>
    </row>
    <row r="70" spans="1:26" s="264" customFormat="1" x14ac:dyDescent="0.15">
      <c r="A70" s="264">
        <f>A69+1</f>
        <v>53</v>
      </c>
      <c r="B70" s="265"/>
      <c r="C70" s="265"/>
      <c r="D70" s="266">
        <v>0</v>
      </c>
      <c r="E70" s="266">
        <v>0</v>
      </c>
      <c r="F70" s="269">
        <v>0</v>
      </c>
      <c r="G70" s="269">
        <v>0</v>
      </c>
      <c r="H70" s="269">
        <v>0</v>
      </c>
      <c r="I70" s="269">
        <v>0</v>
      </c>
      <c r="J70" s="269">
        <v>0</v>
      </c>
      <c r="K70" s="269">
        <v>0</v>
      </c>
      <c r="L70" s="269">
        <v>0</v>
      </c>
      <c r="M70" s="269">
        <v>0</v>
      </c>
      <c r="N70" s="269">
        <v>0</v>
      </c>
      <c r="O70" s="269">
        <v>0</v>
      </c>
      <c r="P70" s="269">
        <v>0</v>
      </c>
    </row>
    <row r="71" spans="1:26" s="264" customFormat="1" x14ac:dyDescent="0.15">
      <c r="D71" s="266"/>
      <c r="E71" s="266"/>
      <c r="F71" s="269"/>
      <c r="G71" s="269"/>
      <c r="H71" s="269"/>
      <c r="I71" s="269"/>
      <c r="J71" s="269"/>
      <c r="K71" s="269"/>
      <c r="L71" s="269"/>
      <c r="M71" s="269"/>
      <c r="N71" s="269"/>
      <c r="O71" s="269"/>
      <c r="P71" s="269"/>
    </row>
    <row r="72" spans="1:26" s="264" customFormat="1" x14ac:dyDescent="0.15">
      <c r="A72" s="264">
        <f>A70+1</f>
        <v>54</v>
      </c>
      <c r="B72" s="265" t="s">
        <v>184</v>
      </c>
      <c r="C72" s="265"/>
      <c r="D72" s="266">
        <f t="shared" ref="D72:L72" si="50">SUM(D46:D70)</f>
        <v>5196835956</v>
      </c>
      <c r="E72" s="266">
        <f t="shared" si="50"/>
        <v>5163747344</v>
      </c>
      <c r="F72" s="269">
        <f t="shared" si="50"/>
        <v>5134727.6000000006</v>
      </c>
      <c r="G72" s="269">
        <f t="shared" si="50"/>
        <v>5355576.5999999996</v>
      </c>
      <c r="H72" s="269">
        <f t="shared" si="50"/>
        <v>5530442.8000000007</v>
      </c>
      <c r="I72" s="269">
        <f t="shared" si="50"/>
        <v>5633296.8999999994</v>
      </c>
      <c r="J72" s="269">
        <f t="shared" si="50"/>
        <v>5688098.3999999985</v>
      </c>
      <c r="K72" s="269">
        <f t="shared" si="50"/>
        <v>5114563.4000000022</v>
      </c>
      <c r="L72" s="270">
        <f t="shared" si="50"/>
        <v>5679823.2000000011</v>
      </c>
      <c r="M72" s="270">
        <f>SUM(M46:M70)</f>
        <v>5748498.4000000013</v>
      </c>
      <c r="N72" s="270">
        <f>SUM(N46:N70)</f>
        <v>5844575.4000000004</v>
      </c>
      <c r="O72" s="270">
        <f>SUM(O46:O70)</f>
        <v>5931125.0999999987</v>
      </c>
      <c r="P72" s="270">
        <f>SUM(P46:P70)</f>
        <v>6016282.1999999993</v>
      </c>
      <c r="Q72" s="269">
        <f>SUM(I72:J72)</f>
        <v>11321395.299999997</v>
      </c>
      <c r="R72" s="269">
        <f>SUM(K72:L72)</f>
        <v>10794386.600000003</v>
      </c>
      <c r="S72" s="269">
        <f>SUM(M72:N72)</f>
        <v>11593073.800000001</v>
      </c>
      <c r="T72" s="269">
        <f>SUM(O72:P72)</f>
        <v>11947407.299999997</v>
      </c>
      <c r="U72" s="269">
        <f>R72-Q72</f>
        <v>-527008.69999999367</v>
      </c>
      <c r="V72" s="271">
        <f>U72/Q72</f>
        <v>-4.6549801153926124E-2</v>
      </c>
      <c r="W72" s="269">
        <f>S72-R72</f>
        <v>798687.19999999739</v>
      </c>
      <c r="X72" s="271">
        <f>W72/R72</f>
        <v>7.3990976013402848E-2</v>
      </c>
      <c r="Y72" s="269">
        <f>T72-S72</f>
        <v>354333.49999999627</v>
      </c>
      <c r="Z72" s="271">
        <f>Y72/S72</f>
        <v>3.0564240865955349E-2</v>
      </c>
    </row>
    <row r="73" spans="1:26" s="264" customFormat="1" x14ac:dyDescent="0.15">
      <c r="A73" s="264">
        <f>A72+1</f>
        <v>55</v>
      </c>
      <c r="B73" s="273" t="s">
        <v>397</v>
      </c>
      <c r="C73" s="265"/>
      <c r="D73" s="266">
        <f>D72-D64</f>
        <v>5188490662</v>
      </c>
      <c r="E73" s="266">
        <f>E72-E64</f>
        <v>5155706975</v>
      </c>
      <c r="F73" s="269">
        <f>F72-F64</f>
        <v>5126028.7</v>
      </c>
      <c r="G73" s="269">
        <f>G72-G64</f>
        <v>5346904</v>
      </c>
      <c r="H73" s="269">
        <f>H72-H64</f>
        <v>5521833.5000000009</v>
      </c>
      <c r="I73" s="269">
        <f t="shared" ref="I73:N73" si="51">I72</f>
        <v>5633296.8999999994</v>
      </c>
      <c r="J73" s="269">
        <f t="shared" si="51"/>
        <v>5688098.3999999985</v>
      </c>
      <c r="K73" s="269">
        <f t="shared" si="51"/>
        <v>5114563.4000000022</v>
      </c>
      <c r="L73" s="270">
        <f t="shared" si="51"/>
        <v>5679823.2000000011</v>
      </c>
      <c r="M73" s="270">
        <f t="shared" si="51"/>
        <v>5748498.4000000013</v>
      </c>
      <c r="N73" s="270">
        <f t="shared" si="51"/>
        <v>5844575.4000000004</v>
      </c>
      <c r="O73" s="270">
        <f>O72</f>
        <v>5931125.0999999987</v>
      </c>
      <c r="P73" s="270">
        <f>P72</f>
        <v>6016282.1999999993</v>
      </c>
      <c r="Q73" s="269">
        <f>SUM(I73:J73)</f>
        <v>11321395.299999997</v>
      </c>
      <c r="R73" s="269">
        <f>SUM(K73:L73)</f>
        <v>10794386.600000003</v>
      </c>
      <c r="S73" s="269">
        <f>SUM(M73:N73)</f>
        <v>11593073.800000001</v>
      </c>
      <c r="T73" s="269">
        <f>SUM(O73:P73)</f>
        <v>11947407.299999997</v>
      </c>
      <c r="U73" s="269">
        <f>R73-Q73</f>
        <v>-527008.69999999367</v>
      </c>
      <c r="V73" s="271">
        <f>U73/Q73</f>
        <v>-4.6549801153926124E-2</v>
      </c>
      <c r="W73" s="269">
        <f>S73-R73</f>
        <v>798687.19999999739</v>
      </c>
      <c r="X73" s="271">
        <f>W73/R73</f>
        <v>7.3990976013402848E-2</v>
      </c>
      <c r="Y73" s="269">
        <f>T73-S73</f>
        <v>354333.49999999627</v>
      </c>
      <c r="Z73" s="271">
        <f>Y73/S73</f>
        <v>3.0564240865955349E-2</v>
      </c>
    </row>
    <row r="74" spans="1:26" s="264" customFormat="1" x14ac:dyDescent="0.15">
      <c r="A74" s="264">
        <f>A73+1</f>
        <v>56</v>
      </c>
      <c r="B74" s="265" t="s">
        <v>303</v>
      </c>
      <c r="C74" s="265"/>
      <c r="D74" s="266">
        <f>D64</f>
        <v>8345294</v>
      </c>
      <c r="E74" s="266">
        <f>E64</f>
        <v>8040369</v>
      </c>
      <c r="F74" s="269">
        <f>F64</f>
        <v>8698.9</v>
      </c>
      <c r="G74" s="269">
        <f>G64</f>
        <v>8672.6</v>
      </c>
      <c r="H74" s="269">
        <f>H64</f>
        <v>8609.2999999999993</v>
      </c>
      <c r="I74" s="274" t="s">
        <v>302</v>
      </c>
      <c r="J74" s="274" t="s">
        <v>302</v>
      </c>
      <c r="K74" s="274" t="s">
        <v>302</v>
      </c>
      <c r="L74" s="274" t="s">
        <v>302</v>
      </c>
      <c r="M74" s="274" t="s">
        <v>302</v>
      </c>
      <c r="N74" s="274" t="s">
        <v>302</v>
      </c>
      <c r="O74" s="274" t="s">
        <v>302</v>
      </c>
      <c r="P74" s="274" t="s">
        <v>302</v>
      </c>
    </row>
    <row r="75" spans="1:26" s="264" customFormat="1" x14ac:dyDescent="0.15">
      <c r="B75" s="265"/>
      <c r="C75" s="265"/>
      <c r="D75" s="266"/>
      <c r="E75" s="266"/>
      <c r="F75" s="269"/>
      <c r="G75" s="269"/>
      <c r="H75" s="269"/>
      <c r="I75" s="269"/>
      <c r="J75" s="269"/>
      <c r="K75" s="269"/>
      <c r="L75" s="269"/>
      <c r="M75" s="269"/>
      <c r="N75" s="269"/>
      <c r="O75" s="269"/>
      <c r="P75" s="269"/>
    </row>
    <row r="76" spans="1:26" s="264" customFormat="1" x14ac:dyDescent="0.15">
      <c r="A76" s="264">
        <f>A74+1</f>
        <v>57</v>
      </c>
      <c r="B76" s="265" t="s">
        <v>166</v>
      </c>
      <c r="C76" s="265"/>
      <c r="D76" s="266">
        <f>'FY 2003'!I69</f>
        <v>-46570547</v>
      </c>
      <c r="E76" s="266">
        <f>'FY 2004'!I69</f>
        <v>-46686661</v>
      </c>
      <c r="F76" s="269">
        <f>ROUND('SUMMARY-ALL YEARS'!F76/1000,1)</f>
        <v>-46733.7</v>
      </c>
      <c r="G76" s="269">
        <f>ROUND('SUMMARY-ALL YEARS'!G76/1000,1)</f>
        <v>-46807.7</v>
      </c>
      <c r="H76" s="269">
        <f>ROUND('SUMMARY-ALL YEARS'!H76/1000,1)</f>
        <v>-46967.5</v>
      </c>
      <c r="I76" s="269">
        <f>ROUND('SUMMARY-ALL YEARS'!I76/1000,1)</f>
        <v>-30637.8</v>
      </c>
      <c r="J76" s="269">
        <f>ROUND('SUMMARY-ALL YEARS'!J76/1000,1)</f>
        <v>-30753.1</v>
      </c>
      <c r="K76" s="269">
        <f>ROUND('SUMMARY-ALL YEARS'!K76/1000,1)</f>
        <v>-30827.9</v>
      </c>
      <c r="L76" s="269">
        <f>ROUND('SUMMARY-ALL YEARS'!L76/1000,1)</f>
        <v>-30929.3</v>
      </c>
      <c r="M76" s="269">
        <f>ROUND('SUMMARY-ALL YEARS'!M76/1000,1)</f>
        <v>-31089.9</v>
      </c>
      <c r="N76" s="269">
        <f>ROUND('SUMMARY-ALL YEARS'!N76/1000,1)</f>
        <v>-31243.3</v>
      </c>
      <c r="O76" s="269">
        <f>ROUND('SUMMARY-ALL YEARS'!O76/1000,1)</f>
        <v>-31405.200000000001</v>
      </c>
      <c r="P76" s="269">
        <f>ROUND('SUMMARY-ALL YEARS'!P76/1000,1)</f>
        <v>-31579.5</v>
      </c>
      <c r="Q76" s="269">
        <f>SUM(I76:J76)</f>
        <v>-61390.899999999994</v>
      </c>
      <c r="R76" s="269">
        <f>SUM(K76:L76)</f>
        <v>-61757.2</v>
      </c>
      <c r="S76" s="269">
        <f>SUM(M76:N76)</f>
        <v>-62333.2</v>
      </c>
      <c r="T76" s="269">
        <f>SUM(O76:P76)</f>
        <v>-62984.7</v>
      </c>
      <c r="U76" s="269">
        <f>R76-Q76</f>
        <v>-366.30000000000291</v>
      </c>
      <c r="V76" s="271">
        <f>U76/Q76</f>
        <v>5.9666823584603413E-3</v>
      </c>
      <c r="W76" s="269">
        <f>S76-R76</f>
        <v>-576</v>
      </c>
      <c r="X76" s="271">
        <f>W76/R76</f>
        <v>9.3268477197800421E-3</v>
      </c>
      <c r="Y76" s="269">
        <f>T76-S76</f>
        <v>-651.5</v>
      </c>
      <c r="Z76" s="271">
        <f>Y76/S76</f>
        <v>1.0451894014746556E-2</v>
      </c>
    </row>
    <row r="77" spans="1:26" x14ac:dyDescent="0.15">
      <c r="D77" s="209"/>
      <c r="E77" s="209"/>
      <c r="F77" s="209"/>
      <c r="G77" s="209"/>
      <c r="H77" s="209"/>
      <c r="I77" s="209"/>
      <c r="J77" s="209"/>
      <c r="K77" s="209"/>
      <c r="L77" s="209"/>
      <c r="M77" s="209"/>
      <c r="N77" s="209"/>
      <c r="O77" s="209"/>
      <c r="P77" s="209"/>
    </row>
    <row r="78" spans="1:26" x14ac:dyDescent="0.15">
      <c r="A78" s="204" t="s">
        <v>391</v>
      </c>
      <c r="B78" s="204"/>
      <c r="C78" s="205"/>
      <c r="D78" s="206" t="s">
        <v>135</v>
      </c>
      <c r="E78" s="206" t="s">
        <v>136</v>
      </c>
      <c r="F78" s="206" t="s">
        <v>137</v>
      </c>
      <c r="G78" s="206" t="s">
        <v>138</v>
      </c>
      <c r="H78" s="206" t="s">
        <v>139</v>
      </c>
      <c r="I78" s="206" t="s">
        <v>164</v>
      </c>
      <c r="J78" s="206" t="s">
        <v>165</v>
      </c>
      <c r="K78" s="206" t="s">
        <v>249</v>
      </c>
      <c r="L78" s="206" t="s">
        <v>250</v>
      </c>
      <c r="M78" s="206" t="s">
        <v>300</v>
      </c>
      <c r="N78" s="206" t="s">
        <v>301</v>
      </c>
      <c r="O78" s="206" t="s">
        <v>388</v>
      </c>
      <c r="P78" s="206" t="s">
        <v>389</v>
      </c>
      <c r="Q78" s="220" t="s">
        <v>319</v>
      </c>
      <c r="R78" s="220" t="s">
        <v>320</v>
      </c>
      <c r="S78" s="220" t="s">
        <v>355</v>
      </c>
      <c r="T78" s="221" t="s">
        <v>393</v>
      </c>
      <c r="U78" s="220" t="s">
        <v>356</v>
      </c>
      <c r="V78" s="220" t="s">
        <v>321</v>
      </c>
      <c r="W78" s="220" t="s">
        <v>357</v>
      </c>
      <c r="X78" s="220" t="s">
        <v>321</v>
      </c>
      <c r="Y78" s="221" t="s">
        <v>394</v>
      </c>
      <c r="Z78" s="220" t="s">
        <v>321</v>
      </c>
    </row>
    <row r="80" spans="1:26" x14ac:dyDescent="0.15">
      <c r="A80" s="203">
        <v>1</v>
      </c>
      <c r="B80" s="203" t="s">
        <v>140</v>
      </c>
      <c r="D80" s="207">
        <f>'FY 2003'!I73</f>
        <v>962146</v>
      </c>
      <c r="E80" s="207">
        <f>'FY 2004'!I73</f>
        <v>957096</v>
      </c>
      <c r="F80" s="207">
        <f>'FY 2005'!I73</f>
        <v>953035</v>
      </c>
      <c r="G80" s="207">
        <f>'FY 2006'!I75</f>
        <v>953041</v>
      </c>
      <c r="H80" s="207">
        <f>'FY 2007'!I75</f>
        <v>953288</v>
      </c>
      <c r="I80" s="207">
        <f>'FY 2008'!I75</f>
        <v>953432</v>
      </c>
      <c r="J80" s="207">
        <f>'FY 2009'!$I77</f>
        <v>948587</v>
      </c>
      <c r="K80" s="207">
        <f>'FY 2010'!$J77</f>
        <v>947786</v>
      </c>
      <c r="L80" s="207">
        <f>'FY 2011'!$J75</f>
        <v>949439</v>
      </c>
      <c r="M80" s="207">
        <f>'FY 2012'!$J75</f>
        <v>953192</v>
      </c>
      <c r="N80" s="207">
        <f>'FY 2013'!$J75</f>
        <v>961193</v>
      </c>
      <c r="O80" s="207">
        <f>'FY 2014'!$J75</f>
        <v>971195</v>
      </c>
      <c r="P80" s="207">
        <f>'FY 2015'!$J75</f>
        <v>982011</v>
      </c>
    </row>
    <row r="82" spans="1:26" x14ac:dyDescent="0.15">
      <c r="B82" s="208" t="s">
        <v>155</v>
      </c>
      <c r="D82" s="209"/>
      <c r="E82" s="209"/>
      <c r="F82" s="209"/>
      <c r="G82" s="209"/>
      <c r="H82" s="209"/>
      <c r="I82" s="209"/>
      <c r="J82" s="209"/>
      <c r="K82" s="209"/>
      <c r="L82" s="209"/>
      <c r="M82" s="209"/>
      <c r="N82" s="209"/>
      <c r="O82" s="209"/>
      <c r="P82" s="209"/>
    </row>
    <row r="83" spans="1:26" x14ac:dyDescent="0.15">
      <c r="A83" s="203">
        <f>A80+1</f>
        <v>2</v>
      </c>
      <c r="B83" s="203" t="s">
        <v>141</v>
      </c>
      <c r="D83" s="207">
        <f>'FY 2003'!I76</f>
        <v>4490060320</v>
      </c>
      <c r="E83" s="207">
        <f>'FY 2004'!I76</f>
        <v>4403575277</v>
      </c>
      <c r="F83" s="209">
        <f>ROUND('SUMMARY-ALL YEARS'!F83/1000,1)</f>
        <v>4384973.8</v>
      </c>
      <c r="G83" s="209">
        <f>ROUND('SUMMARY-ALL YEARS'!G83/1000,1)</f>
        <v>4558383.7</v>
      </c>
      <c r="H83" s="209">
        <f>ROUND('SUMMARY-ALL YEARS'!H83/1000,1)</f>
        <v>4741676.9000000004</v>
      </c>
      <c r="I83" s="209">
        <f>ROUND('SUMMARY-ALL YEARS'!I83/1000,1)</f>
        <v>4837724.5</v>
      </c>
      <c r="J83" s="209">
        <f>ROUND('SUMMARY-ALL YEARS'!J83/1000,1)</f>
        <v>4860574.7</v>
      </c>
      <c r="K83" s="209">
        <f>ROUND('SUMMARY-ALL YEARS'!K83/1000,1)</f>
        <v>4857032</v>
      </c>
      <c r="L83" s="209">
        <f>ROUND('SUMMARY-ALL YEARS'!L83/1000,1)</f>
        <v>4864927</v>
      </c>
      <c r="M83" s="209">
        <f>ROUND('SUMMARY-ALL YEARS'!M83/1000,1)</f>
        <v>4884153.7</v>
      </c>
      <c r="N83" s="209">
        <f>ROUND('SUMMARY-ALL YEARS'!N83/1000,1)</f>
        <v>4925154</v>
      </c>
      <c r="O83" s="209">
        <f>ROUND('SUMMARY-ALL YEARS'!O83/1000,1)</f>
        <v>4976401.8</v>
      </c>
      <c r="P83" s="209">
        <f>ROUND('SUMMARY-ALL YEARS'!P83/1000,1)</f>
        <v>5031822.4000000004</v>
      </c>
      <c r="Q83" s="209">
        <f>SUM(I83:J83)</f>
        <v>9698299.1999999993</v>
      </c>
      <c r="R83" s="209">
        <f>SUM(K83:L83)</f>
        <v>9721959</v>
      </c>
      <c r="S83" s="209">
        <f>SUM(M83:N83)</f>
        <v>9809307.6999999993</v>
      </c>
      <c r="T83" s="209">
        <f>SUM(O83:P83)</f>
        <v>10008224.199999999</v>
      </c>
      <c r="U83" s="209">
        <f>R83-Q83</f>
        <v>23659.800000000745</v>
      </c>
      <c r="V83" s="222">
        <f>U83/Q83</f>
        <v>2.4395823960556657E-3</v>
      </c>
      <c r="W83" s="209">
        <f>S83-R83</f>
        <v>87348.699999999255</v>
      </c>
      <c r="X83" s="222">
        <f>W83/R83</f>
        <v>8.9846809681052194E-3</v>
      </c>
      <c r="Y83" s="209">
        <f>T83-S83</f>
        <v>198916.5</v>
      </c>
      <c r="Z83" s="222">
        <f>Y83/S83</f>
        <v>2.0278342374763104E-2</v>
      </c>
    </row>
    <row r="84" spans="1:26" x14ac:dyDescent="0.15">
      <c r="A84" s="203">
        <f>A83+1</f>
        <v>3</v>
      </c>
      <c r="B84" s="208" t="s">
        <v>299</v>
      </c>
      <c r="D84" s="207"/>
      <c r="E84" s="207"/>
      <c r="F84" s="209"/>
      <c r="G84" s="209">
        <f>ROUND('SUMMARY-ALL YEARS'!G84/1000,1)</f>
        <v>0</v>
      </c>
      <c r="H84" s="209">
        <f>ROUND('SUMMARY-ALL YEARS'!H84/1000,1)</f>
        <v>0</v>
      </c>
      <c r="I84" s="209">
        <f>ROUND('SUMMARY-ALL YEARS'!I84/1000,1)</f>
        <v>0</v>
      </c>
      <c r="J84" s="209">
        <f>ROUND('SUMMARY-ALL YEARS'!J84/1000,1)</f>
        <v>48378.1</v>
      </c>
      <c r="K84" s="209">
        <f>ROUND('SUMMARY-ALL YEARS'!K84/1000,1)</f>
        <v>0</v>
      </c>
      <c r="L84" s="209">
        <f>ROUND('SUMMARY-ALL YEARS'!L84/1000,1)</f>
        <v>0</v>
      </c>
      <c r="M84" s="209">
        <f>ROUND('SUMMARY-ALL YEARS'!M84/1000,1)</f>
        <v>0</v>
      </c>
      <c r="N84" s="209">
        <f>ROUND('SUMMARY-ALL YEARS'!N84/1000,1)</f>
        <v>0</v>
      </c>
      <c r="O84" s="209">
        <f>ROUND('SUMMARY-ALL YEARS'!O84/1000,1)</f>
        <v>0</v>
      </c>
      <c r="P84" s="209">
        <f>ROUND('SUMMARY-ALL YEARS'!P84/1000,1)</f>
        <v>0</v>
      </c>
      <c r="Q84" s="209">
        <f>SUM(I84:J84)</f>
        <v>48378.1</v>
      </c>
      <c r="R84" s="209">
        <f>SUM(K84:L84)</f>
        <v>0</v>
      </c>
      <c r="S84" s="209">
        <f>SUM(M84:N84)</f>
        <v>0</v>
      </c>
      <c r="T84" s="209">
        <f>SUM(O84:P84)</f>
        <v>0</v>
      </c>
      <c r="U84" s="209">
        <f>R84-Q84</f>
        <v>-48378.1</v>
      </c>
      <c r="V84" s="222">
        <f>U84/Q84</f>
        <v>-1</v>
      </c>
      <c r="W84" s="209">
        <f>S84-R84</f>
        <v>0</v>
      </c>
      <c r="X84" s="222" t="e">
        <f>W84/R84</f>
        <v>#DIV/0!</v>
      </c>
      <c r="Y84" s="209">
        <f>T84-S84</f>
        <v>0</v>
      </c>
      <c r="Z84" s="222" t="e">
        <f>Y84/S84</f>
        <v>#DIV/0!</v>
      </c>
    </row>
    <row r="85" spans="1:26" x14ac:dyDescent="0.15">
      <c r="A85" s="203">
        <f>A84+1</f>
        <v>4</v>
      </c>
      <c r="B85" s="208" t="s">
        <v>167</v>
      </c>
      <c r="C85" s="208"/>
      <c r="D85" s="207">
        <f>'FY 2003'!I77</f>
        <v>0</v>
      </c>
      <c r="E85" s="207">
        <f>'FY 2004'!I77</f>
        <v>0</v>
      </c>
      <c r="F85" s="209">
        <f>ROUND('SUMMARY-ALL YEARS'!F85/1000,1)</f>
        <v>0</v>
      </c>
      <c r="G85" s="209">
        <f>ROUND('SUMMARY-ALL YEARS'!G85/1000,1)</f>
        <v>3812.2</v>
      </c>
      <c r="H85" s="209">
        <f>ROUND('SUMMARY-ALL YEARS'!H85/1000,1)</f>
        <v>8579.6</v>
      </c>
      <c r="I85" s="209">
        <f>ROUND('SUMMARY-ALL YEARS'!I85/1000,1)</f>
        <v>11441.2</v>
      </c>
      <c r="J85" s="209">
        <f>ROUND('SUMMARY-ALL YEARS'!J85/1000,1)</f>
        <v>11383.1</v>
      </c>
      <c r="K85" s="209">
        <f>ROUND('SUMMARY-ALL YEARS'!K85/1000,1)</f>
        <v>11374.8</v>
      </c>
      <c r="L85" s="209">
        <f>ROUND('SUMMARY-ALL YEARS'!L85/1000,1)</f>
        <v>11393.3</v>
      </c>
      <c r="M85" s="209">
        <f>ROUND('SUMMARY-ALL YEARS'!M85/1000,1)</f>
        <v>11438.3</v>
      </c>
      <c r="N85" s="209">
        <f>ROUND('SUMMARY-ALL YEARS'!N85/1000,1)</f>
        <v>11534.3</v>
      </c>
      <c r="O85" s="209">
        <f>ROUND('SUMMARY-ALL YEARS'!O85/1000,1)</f>
        <v>11654.3</v>
      </c>
      <c r="P85" s="209">
        <f>ROUND('SUMMARY-ALL YEARS'!P85/1000,1)</f>
        <v>11784.1</v>
      </c>
      <c r="Q85" s="209">
        <f>SUM(I85:J85)</f>
        <v>22824.300000000003</v>
      </c>
      <c r="R85" s="209">
        <f>SUM(K85:L85)</f>
        <v>22768.1</v>
      </c>
      <c r="S85" s="209">
        <f>SUM(M85:N85)</f>
        <v>22972.6</v>
      </c>
      <c r="T85" s="209">
        <f>SUM(O85:P85)</f>
        <v>23438.400000000001</v>
      </c>
      <c r="U85" s="209">
        <f>R85-Q85</f>
        <v>-56.200000000004366</v>
      </c>
      <c r="V85" s="222">
        <f>U85/Q85</f>
        <v>-2.4622880000702918E-3</v>
      </c>
      <c r="W85" s="209">
        <f>S85-R85</f>
        <v>204.5</v>
      </c>
      <c r="X85" s="222">
        <f>W85/R85</f>
        <v>8.9818649777539637E-3</v>
      </c>
      <c r="Y85" s="209">
        <f>T85-S85</f>
        <v>465.80000000000291</v>
      </c>
      <c r="Z85" s="222">
        <f>Y85/S85</f>
        <v>2.027632919216819E-2</v>
      </c>
    </row>
    <row r="86" spans="1:26" x14ac:dyDescent="0.15">
      <c r="A86" s="203">
        <f>A85+1</f>
        <v>5</v>
      </c>
      <c r="B86" s="203" t="s">
        <v>142</v>
      </c>
      <c r="D86" s="207">
        <f>'FY 2003'!I78</f>
        <v>0</v>
      </c>
      <c r="E86" s="207">
        <f>'FY 2004'!I78</f>
        <v>50351550</v>
      </c>
      <c r="F86" s="209">
        <f>ROUND('SUMMARY-ALL YEARS'!F86/1000,1)</f>
        <v>52327.4</v>
      </c>
      <c r="G86" s="209">
        <f>ROUND('SUMMARY-ALL YEARS'!G86/1000,1)</f>
        <v>52766.2</v>
      </c>
      <c r="H86" s="209">
        <f>ROUND('SUMMARY-ALL YEARS'!H86/1000,1)</f>
        <v>55437</v>
      </c>
      <c r="I86" s="209">
        <f>ROUND('SUMMARY-ALL YEARS'!I86/1000,1)</f>
        <v>59590.8</v>
      </c>
      <c r="J86" s="209">
        <f>ROUND('SUMMARY-ALL YEARS'!J86/1000,1)</f>
        <v>60995.6</v>
      </c>
      <c r="K86" s="209">
        <f>ROUND('SUMMARY-ALL YEARS'!K86/1000,1)</f>
        <v>64755</v>
      </c>
      <c r="L86" s="209">
        <f>ROUND('SUMMARY-ALL YEARS'!L86/1000,1)</f>
        <v>69226.3</v>
      </c>
      <c r="M86" s="209">
        <f>ROUND('SUMMARY-ALL YEARS'!M86/1000,1)</f>
        <v>71911.100000000006</v>
      </c>
      <c r="N86" s="209">
        <f>ROUND('SUMMARY-ALL YEARS'!N86/1000,1)</f>
        <v>76201</v>
      </c>
      <c r="O86" s="209">
        <f>ROUND('SUMMARY-ALL YEARS'!O86/1000,1)</f>
        <v>80574.8</v>
      </c>
      <c r="P86" s="209">
        <f>ROUND('SUMMARY-ALL YEARS'!P86/1000,1)</f>
        <v>85121.5</v>
      </c>
      <c r="Q86" s="209">
        <f>SUM(I86:J86)</f>
        <v>120586.4</v>
      </c>
      <c r="R86" s="209">
        <f>SUM(K86:L86)</f>
        <v>133981.29999999999</v>
      </c>
      <c r="S86" s="209">
        <f>SUM(M86:N86)</f>
        <v>148112.1</v>
      </c>
      <c r="T86" s="209">
        <f>SUM(O86:P86)</f>
        <v>165696.29999999999</v>
      </c>
      <c r="U86" s="209">
        <f>R86-Q86</f>
        <v>13394.899999999994</v>
      </c>
      <c r="V86" s="222">
        <f>U86/Q86</f>
        <v>0.11108134914053322</v>
      </c>
      <c r="W86" s="209">
        <f>S86-R86</f>
        <v>14130.800000000017</v>
      </c>
      <c r="X86" s="222">
        <f>W86/R86</f>
        <v>0.10546844970156297</v>
      </c>
      <c r="Y86" s="209">
        <f>T86-S86</f>
        <v>17584.199999999983</v>
      </c>
      <c r="Z86" s="222">
        <f>Y86/S86</f>
        <v>0.11872223808858279</v>
      </c>
    </row>
    <row r="87" spans="1:26" x14ac:dyDescent="0.15">
      <c r="B87" s="208" t="s">
        <v>171</v>
      </c>
      <c r="D87" s="207"/>
      <c r="E87" s="207"/>
      <c r="F87" s="207"/>
      <c r="G87" s="207"/>
      <c r="H87" s="207"/>
      <c r="I87" s="207"/>
      <c r="J87" s="207"/>
      <c r="K87" s="207"/>
      <c r="L87" s="207"/>
      <c r="M87" s="207"/>
      <c r="N87" s="207"/>
      <c r="O87" s="207"/>
      <c r="P87" s="207"/>
    </row>
    <row r="88" spans="1:26" x14ac:dyDescent="0.15">
      <c r="A88" s="203">
        <f>A86+1</f>
        <v>6</v>
      </c>
      <c r="C88" s="203" t="s">
        <v>143</v>
      </c>
      <c r="D88" s="207">
        <f>'FY 2003'!I80</f>
        <v>262694686</v>
      </c>
      <c r="E88" s="207">
        <f>'FY 2004'!I80</f>
        <v>249146954</v>
      </c>
      <c r="F88" s="209">
        <f>ROUND('SUMMARY-ALL YEARS'!F88/1000,1)</f>
        <v>265074.5</v>
      </c>
      <c r="G88" s="209">
        <f>ROUND('SUMMARY-ALL YEARS'!G88/1000,1)</f>
        <v>292547.5</v>
      </c>
      <c r="H88" s="209">
        <f>ROUND('SUMMARY-ALL YEARS'!H88/1000,1)</f>
        <v>315471.90000000002</v>
      </c>
      <c r="I88" s="209">
        <f>ROUND('SUMMARY-ALL YEARS'!I88/1000,1)</f>
        <v>333928.09999999998</v>
      </c>
      <c r="J88" s="209">
        <f>ROUND('SUMMARY-ALL YEARS'!J88/1000,1)</f>
        <v>348510.7</v>
      </c>
      <c r="K88" s="209">
        <f>ROUND('SUMMARY-ALL YEARS'!K88/1000,1)</f>
        <v>361172.1</v>
      </c>
      <c r="L88" s="209">
        <f>ROUND('SUMMARY-ALL YEARS'!L88/1000,1)</f>
        <v>414257.7</v>
      </c>
      <c r="M88" s="209">
        <f>ROUND('SUMMARY-ALL YEARS'!M88/1000,1)</f>
        <v>437710.6</v>
      </c>
      <c r="N88" s="209">
        <f>ROUND('SUMMARY-ALL YEARS'!N88/1000,1)</f>
        <v>457014.8</v>
      </c>
      <c r="O88" s="209">
        <f>ROUND('SUMMARY-ALL YEARS'!O88/1000,1)</f>
        <v>478412.4</v>
      </c>
      <c r="P88" s="209">
        <f>ROUND('SUMMARY-ALL YEARS'!P88/1000,1)</f>
        <v>500648.4</v>
      </c>
      <c r="Q88" s="209">
        <f t="shared" ref="Q88:Q100" si="52">SUM(I88:J88)</f>
        <v>682438.8</v>
      </c>
      <c r="R88" s="209">
        <f t="shared" ref="R88:R100" si="53">SUM(K88:L88)</f>
        <v>775429.8</v>
      </c>
      <c r="S88" s="209">
        <f t="shared" ref="S88:S100" si="54">SUM(M88:N88)</f>
        <v>894725.39999999991</v>
      </c>
      <c r="T88" s="209">
        <f t="shared" ref="T88:T100" si="55">SUM(O88:P88)</f>
        <v>979060.8</v>
      </c>
      <c r="U88" s="209">
        <f t="shared" ref="U88:U100" si="56">R88-Q88</f>
        <v>92991</v>
      </c>
      <c r="V88" s="222">
        <f t="shared" ref="V88:V100" si="57">U88/Q88</f>
        <v>0.13626276817789373</v>
      </c>
      <c r="W88" s="209">
        <f t="shared" ref="W88:W100" si="58">S88-R88</f>
        <v>119295.59999999986</v>
      </c>
      <c r="X88" s="222">
        <f t="shared" ref="X88:X100" si="59">W88/R88</f>
        <v>0.15384448727660435</v>
      </c>
      <c r="Y88" s="209">
        <f t="shared" ref="Y88:Y100" si="60">T88-S88</f>
        <v>84335.40000000014</v>
      </c>
      <c r="Z88" s="222">
        <f t="shared" ref="Z88:Z100" si="61">Y88/S88</f>
        <v>9.4258417163523192E-2</v>
      </c>
    </row>
    <row r="89" spans="1:26" x14ac:dyDescent="0.15">
      <c r="A89" s="203">
        <f t="shared" ref="A89:A100" si="62">A88+1</f>
        <v>7</v>
      </c>
      <c r="C89" s="203" t="s">
        <v>144</v>
      </c>
      <c r="D89" s="207">
        <f>'FY 2003'!I81</f>
        <v>36857227</v>
      </c>
      <c r="E89" s="207">
        <f>'FY 2004'!I81</f>
        <v>28818713</v>
      </c>
      <c r="F89" s="209">
        <f>ROUND('SUMMARY-ALL YEARS'!F89/1000,1)</f>
        <v>29477.7</v>
      </c>
      <c r="G89" s="209">
        <f>ROUND('SUMMARY-ALL YEARS'!G89/1000,1)</f>
        <v>30912.7</v>
      </c>
      <c r="H89" s="209">
        <f>ROUND('SUMMARY-ALL YEARS'!H89/1000,1)</f>
        <v>31474.3</v>
      </c>
      <c r="I89" s="209">
        <f>ROUND('SUMMARY-ALL YEARS'!I89/1000,1)</f>
        <v>32316.799999999999</v>
      </c>
      <c r="J89" s="209">
        <f>ROUND('SUMMARY-ALL YEARS'!J89/1000,1)</f>
        <v>32058.2</v>
      </c>
      <c r="K89" s="209">
        <f>ROUND('SUMMARY-ALL YEARS'!K89/1000,1)</f>
        <v>31812.400000000001</v>
      </c>
      <c r="L89" s="209">
        <f>ROUND('SUMMARY-ALL YEARS'!L89/1000,1)</f>
        <v>31727.8</v>
      </c>
      <c r="M89" s="209">
        <f>ROUND('SUMMARY-ALL YEARS'!M89/1000,1)</f>
        <v>31763.599999999999</v>
      </c>
      <c r="N89" s="209">
        <f>ROUND('SUMMARY-ALL YEARS'!N89/1000,1)</f>
        <v>31922.5</v>
      </c>
      <c r="O89" s="209">
        <f>ROUND('SUMMARY-ALL YEARS'!O89/1000,1)</f>
        <v>32235.9</v>
      </c>
      <c r="P89" s="209">
        <f>ROUND('SUMMARY-ALL YEARS'!P89/1000,1)</f>
        <v>32595.200000000001</v>
      </c>
      <c r="Q89" s="209">
        <f t="shared" si="52"/>
        <v>64375</v>
      </c>
      <c r="R89" s="209">
        <f t="shared" si="53"/>
        <v>63540.2</v>
      </c>
      <c r="S89" s="209">
        <f t="shared" si="54"/>
        <v>63686.1</v>
      </c>
      <c r="T89" s="209">
        <f t="shared" si="55"/>
        <v>64831.100000000006</v>
      </c>
      <c r="U89" s="209">
        <f t="shared" si="56"/>
        <v>-834.80000000000291</v>
      </c>
      <c r="V89" s="222">
        <f t="shared" si="57"/>
        <v>-1.2967766990291308E-2</v>
      </c>
      <c r="W89" s="209">
        <f t="shared" si="58"/>
        <v>145.90000000000146</v>
      </c>
      <c r="X89" s="222">
        <f t="shared" si="59"/>
        <v>2.2961841479882256E-3</v>
      </c>
      <c r="Y89" s="209">
        <f t="shared" si="60"/>
        <v>1145.0000000000073</v>
      </c>
      <c r="Z89" s="222">
        <f t="shared" si="61"/>
        <v>1.7978805422219406E-2</v>
      </c>
    </row>
    <row r="90" spans="1:26" x14ac:dyDescent="0.15">
      <c r="A90" s="203">
        <f t="shared" si="62"/>
        <v>8</v>
      </c>
      <c r="B90" s="208"/>
      <c r="C90" s="208" t="s">
        <v>170</v>
      </c>
      <c r="D90" s="207">
        <f>'FY 2003'!I82</f>
        <v>9779108</v>
      </c>
      <c r="E90" s="207">
        <f>'FY 2004'!I82</f>
        <v>7276758</v>
      </c>
      <c r="F90" s="209">
        <f>ROUND('SUMMARY-ALL YEARS'!F90/1000,1)</f>
        <v>7434.3</v>
      </c>
      <c r="G90" s="209">
        <f>ROUND('SUMMARY-ALL YEARS'!G90/1000,1)</f>
        <v>7883.2</v>
      </c>
      <c r="H90" s="209">
        <f>ROUND('SUMMARY-ALL YEARS'!H90/1000,1)</f>
        <v>8057.6</v>
      </c>
      <c r="I90" s="209">
        <f>ROUND('SUMMARY-ALL YEARS'!I90/1000,1)</f>
        <v>8306.5</v>
      </c>
      <c r="J90" s="209">
        <f>ROUND('SUMMARY-ALL YEARS'!J90/1000,1)</f>
        <v>8316.7999999999993</v>
      </c>
      <c r="K90" s="209">
        <f>ROUND('SUMMARY-ALL YEARS'!K90/1000,1)</f>
        <v>8256.6</v>
      </c>
      <c r="L90" s="209">
        <f>ROUND('SUMMARY-ALL YEARS'!L90/1000,1)</f>
        <v>8398.5</v>
      </c>
      <c r="M90" s="209">
        <f>ROUND('SUMMARY-ALL YEARS'!M90/1000,1)</f>
        <v>8421</v>
      </c>
      <c r="N90" s="209">
        <f>ROUND('SUMMARY-ALL YEARS'!N90/1000,1)</f>
        <v>8520.1</v>
      </c>
      <c r="O90" s="209">
        <f>ROUND('SUMMARY-ALL YEARS'!O90/1000,1)</f>
        <v>8605.4</v>
      </c>
      <c r="P90" s="209">
        <f>ROUND('SUMMARY-ALL YEARS'!P90/1000,1)</f>
        <v>8699.5</v>
      </c>
      <c r="Q90" s="209">
        <f t="shared" si="52"/>
        <v>16623.3</v>
      </c>
      <c r="R90" s="209">
        <f t="shared" si="53"/>
        <v>16655.099999999999</v>
      </c>
      <c r="S90" s="209">
        <f t="shared" si="54"/>
        <v>16941.099999999999</v>
      </c>
      <c r="T90" s="209">
        <f t="shared" si="55"/>
        <v>17304.900000000001</v>
      </c>
      <c r="U90" s="209">
        <f t="shared" si="56"/>
        <v>31.799999999999272</v>
      </c>
      <c r="V90" s="222">
        <f t="shared" si="57"/>
        <v>1.912977567630932E-3</v>
      </c>
      <c r="W90" s="209">
        <f t="shared" si="58"/>
        <v>286</v>
      </c>
      <c r="X90" s="222">
        <f t="shared" si="59"/>
        <v>1.7171917310613568E-2</v>
      </c>
      <c r="Y90" s="209">
        <f t="shared" si="60"/>
        <v>363.80000000000291</v>
      </c>
      <c r="Z90" s="222">
        <f t="shared" si="61"/>
        <v>2.1474402488622518E-2</v>
      </c>
    </row>
    <row r="91" spans="1:26" x14ac:dyDescent="0.15">
      <c r="A91" s="203">
        <f t="shared" si="62"/>
        <v>9</v>
      </c>
      <c r="B91" s="203" t="s">
        <v>145</v>
      </c>
      <c r="D91" s="207">
        <f>'FY 2003'!I83</f>
        <v>16471551</v>
      </c>
      <c r="E91" s="207">
        <f>'FY 2004'!I83</f>
        <v>16909578</v>
      </c>
      <c r="F91" s="209">
        <f>ROUND('SUMMARY-ALL YEARS'!F91/1000,1)</f>
        <v>17548.599999999999</v>
      </c>
      <c r="G91" s="209">
        <f>ROUND('SUMMARY-ALL YEARS'!G91/1000,1)</f>
        <v>18853.099999999999</v>
      </c>
      <c r="H91" s="209">
        <f>ROUND('SUMMARY-ALL YEARS'!H91/1000,1)</f>
        <v>20254.2</v>
      </c>
      <c r="I91" s="209">
        <f>ROUND('SUMMARY-ALL YEARS'!I91/1000,1)</f>
        <v>21637.5</v>
      </c>
      <c r="J91" s="209">
        <f>ROUND('SUMMARY-ALL YEARS'!J91/1000,1)</f>
        <v>22898.799999999999</v>
      </c>
      <c r="K91" s="209">
        <f>ROUND('SUMMARY-ALL YEARS'!K91/1000,1)</f>
        <v>23367.8</v>
      </c>
      <c r="L91" s="209">
        <f>ROUND('SUMMARY-ALL YEARS'!L91/1000,1)</f>
        <v>23450.3</v>
      </c>
      <c r="M91" s="209">
        <f>ROUND('SUMMARY-ALL YEARS'!M91/1000,1)</f>
        <v>24120.2</v>
      </c>
      <c r="N91" s="209">
        <f>ROUND('SUMMARY-ALL YEARS'!N91/1000,1)</f>
        <v>24365</v>
      </c>
      <c r="O91" s="209">
        <f>ROUND('SUMMARY-ALL YEARS'!O91/1000,1)</f>
        <v>24718.1</v>
      </c>
      <c r="P91" s="209">
        <f>ROUND('SUMMARY-ALL YEARS'!P91/1000,1)</f>
        <v>25112.2</v>
      </c>
      <c r="Q91" s="209">
        <f t="shared" si="52"/>
        <v>44536.3</v>
      </c>
      <c r="R91" s="209">
        <f t="shared" si="53"/>
        <v>46818.1</v>
      </c>
      <c r="S91" s="209">
        <f t="shared" si="54"/>
        <v>48485.2</v>
      </c>
      <c r="T91" s="209">
        <f t="shared" si="55"/>
        <v>49830.3</v>
      </c>
      <c r="U91" s="209">
        <f t="shared" si="56"/>
        <v>2281.7999999999956</v>
      </c>
      <c r="V91" s="222">
        <f t="shared" si="57"/>
        <v>5.1234610867988487E-2</v>
      </c>
      <c r="W91" s="209">
        <f t="shared" si="58"/>
        <v>1667.0999999999985</v>
      </c>
      <c r="X91" s="222">
        <f t="shared" si="59"/>
        <v>3.5608023392662211E-2</v>
      </c>
      <c r="Y91" s="209">
        <f t="shared" si="60"/>
        <v>1345.1000000000058</v>
      </c>
      <c r="Z91" s="222">
        <f t="shared" si="61"/>
        <v>2.7742486366973962E-2</v>
      </c>
    </row>
    <row r="92" spans="1:26" x14ac:dyDescent="0.15">
      <c r="A92" s="203">
        <f t="shared" si="62"/>
        <v>10</v>
      </c>
      <c r="B92" s="203" t="s">
        <v>146</v>
      </c>
      <c r="D92" s="207">
        <f>'FY 2003'!I84</f>
        <v>56478364</v>
      </c>
      <c r="E92" s="207">
        <f>'FY 2004'!I84</f>
        <v>55913098</v>
      </c>
      <c r="F92" s="209">
        <f>ROUND('SUMMARY-ALL YEARS'!F92/1000,1)</f>
        <v>55511.199999999997</v>
      </c>
      <c r="G92" s="209">
        <f>ROUND('SUMMARY-ALL YEARS'!G92/1000,1)</f>
        <v>57332.800000000003</v>
      </c>
      <c r="H92" s="209">
        <f>ROUND('SUMMARY-ALL YEARS'!H92/1000,1)</f>
        <v>59221.8</v>
      </c>
      <c r="I92" s="209">
        <f>ROUND('SUMMARY-ALL YEARS'!I92/1000,1)</f>
        <v>60083.8</v>
      </c>
      <c r="J92" s="209">
        <f>ROUND('SUMMARY-ALL YEARS'!J92/1000,1)</f>
        <v>60159.1</v>
      </c>
      <c r="K92" s="209">
        <f>ROUND('SUMMARY-ALL YEARS'!K92/1000,1)</f>
        <v>59886.7</v>
      </c>
      <c r="L92" s="209">
        <f>ROUND('SUMMARY-ALL YEARS'!L92/1000,1)</f>
        <v>60310.6</v>
      </c>
      <c r="M92" s="209">
        <f>ROUND('SUMMARY-ALL YEARS'!M92/1000,1)</f>
        <v>60119.9</v>
      </c>
      <c r="N92" s="209">
        <f>ROUND('SUMMARY-ALL YEARS'!N92/1000,1)</f>
        <v>59879.9</v>
      </c>
      <c r="O92" s="209">
        <f>ROUND('SUMMARY-ALL YEARS'!O92/1000,1)</f>
        <v>54545.2</v>
      </c>
      <c r="P92" s="209">
        <f>ROUND('SUMMARY-ALL YEARS'!P92/1000,1)</f>
        <v>54382.3</v>
      </c>
      <c r="Q92" s="209">
        <f t="shared" si="52"/>
        <v>120242.9</v>
      </c>
      <c r="R92" s="209">
        <f t="shared" si="53"/>
        <v>120197.29999999999</v>
      </c>
      <c r="S92" s="209">
        <f t="shared" si="54"/>
        <v>119999.8</v>
      </c>
      <c r="T92" s="209">
        <f t="shared" si="55"/>
        <v>108927.5</v>
      </c>
      <c r="U92" s="209">
        <f t="shared" si="56"/>
        <v>-45.600000000005821</v>
      </c>
      <c r="V92" s="222">
        <f t="shared" si="57"/>
        <v>-3.7923237047680837E-4</v>
      </c>
      <c r="W92" s="209">
        <f t="shared" si="58"/>
        <v>-197.49999999998545</v>
      </c>
      <c r="X92" s="222">
        <f t="shared" si="59"/>
        <v>-1.6431317508794746E-3</v>
      </c>
      <c r="Y92" s="209">
        <f t="shared" si="60"/>
        <v>-11072.300000000003</v>
      </c>
      <c r="Z92" s="222">
        <f t="shared" si="61"/>
        <v>-9.2269320448867431E-2</v>
      </c>
    </row>
    <row r="93" spans="1:26" x14ac:dyDescent="0.15">
      <c r="A93" s="203">
        <f t="shared" si="62"/>
        <v>11</v>
      </c>
      <c r="B93" s="203" t="s">
        <v>148</v>
      </c>
      <c r="D93" s="207">
        <f>'FY 2003'!I85</f>
        <v>25114308</v>
      </c>
      <c r="E93" s="207">
        <f>'FY 2004'!I85</f>
        <v>18869558</v>
      </c>
      <c r="F93" s="209">
        <f>ROUND('SUMMARY-ALL YEARS'!F93/1000,1)</f>
        <v>12876.8</v>
      </c>
      <c r="G93" s="209">
        <f>ROUND('SUMMARY-ALL YEARS'!G93/1000,1)</f>
        <v>8213.5</v>
      </c>
      <c r="H93" s="209">
        <f>ROUND('SUMMARY-ALL YEARS'!H93/1000,1)</f>
        <v>4354.3999999999996</v>
      </c>
      <c r="I93" s="209">
        <f>ROUND('SUMMARY-ALL YEARS'!I93/1000,1)</f>
        <v>2146.1</v>
      </c>
      <c r="J93" s="209">
        <f>ROUND('SUMMARY-ALL YEARS'!J93/1000,1)</f>
        <v>1207.4000000000001</v>
      </c>
      <c r="K93" s="209">
        <f>ROUND('SUMMARY-ALL YEARS'!K93/1000,1)</f>
        <v>676.1</v>
      </c>
      <c r="L93" s="209">
        <f>ROUND('SUMMARY-ALL YEARS'!L93/1000,1)</f>
        <v>372.4</v>
      </c>
      <c r="M93" s="209">
        <f>ROUND('SUMMARY-ALL YEARS'!M93/1000,1)</f>
        <v>221.7</v>
      </c>
      <c r="N93" s="209">
        <f>ROUND('SUMMARY-ALL YEARS'!N93/1000,1)</f>
        <v>157.4</v>
      </c>
      <c r="O93" s="209">
        <f>ROUND('SUMMARY-ALL YEARS'!O93/1000,1)</f>
        <v>127.2</v>
      </c>
      <c r="P93" s="209">
        <f>ROUND('SUMMARY-ALL YEARS'!P93/1000,1)</f>
        <v>102.8</v>
      </c>
      <c r="Q93" s="209">
        <f t="shared" si="52"/>
        <v>3353.5</v>
      </c>
      <c r="R93" s="209">
        <f t="shared" si="53"/>
        <v>1048.5</v>
      </c>
      <c r="S93" s="209">
        <f t="shared" si="54"/>
        <v>379.1</v>
      </c>
      <c r="T93" s="209">
        <f t="shared" si="55"/>
        <v>230</v>
      </c>
      <c r="U93" s="209">
        <f t="shared" si="56"/>
        <v>-2305</v>
      </c>
      <c r="V93" s="222">
        <f t="shared" si="57"/>
        <v>-0.68734158342030716</v>
      </c>
      <c r="W93" s="209">
        <f t="shared" si="58"/>
        <v>-669.4</v>
      </c>
      <c r="X93" s="222">
        <f t="shared" si="59"/>
        <v>-0.63843586075345726</v>
      </c>
      <c r="Y93" s="209">
        <f t="shared" si="60"/>
        <v>-149.10000000000002</v>
      </c>
      <c r="Z93" s="222">
        <f t="shared" si="61"/>
        <v>-0.3932999208652071</v>
      </c>
    </row>
    <row r="94" spans="1:26" x14ac:dyDescent="0.15">
      <c r="A94" s="203">
        <f t="shared" si="62"/>
        <v>12</v>
      </c>
      <c r="B94" s="208" t="s">
        <v>244</v>
      </c>
      <c r="D94" s="207">
        <f>'FY 2003'!I86</f>
        <v>0</v>
      </c>
      <c r="E94" s="207">
        <f>'FY 2004'!I86</f>
        <v>0</v>
      </c>
      <c r="F94" s="209">
        <f>ROUND('SUMMARY-ALL YEARS'!F94/1000,1)</f>
        <v>0</v>
      </c>
      <c r="G94" s="209">
        <f>ROUND('SUMMARY-ALL YEARS'!G94/1000,1)</f>
        <v>-344.9</v>
      </c>
      <c r="H94" s="209">
        <f>ROUND('SUMMARY-ALL YEARS'!H94/1000,1)</f>
        <v>0</v>
      </c>
      <c r="I94" s="209">
        <f>ROUND('SUMMARY-ALL YEARS'!I94/1000,1)</f>
        <v>-730.5</v>
      </c>
      <c r="J94" s="209">
        <f>ROUND('SUMMARY-ALL YEARS'!J94/1000,1)</f>
        <v>0</v>
      </c>
      <c r="K94" s="209">
        <f>ROUND('SUMMARY-ALL YEARS'!K94/1000,1)</f>
        <v>-2505.6999999999998</v>
      </c>
      <c r="L94" s="209">
        <f>ROUND('SUMMARY-ALL YEARS'!L94/1000,1)</f>
        <v>0</v>
      </c>
      <c r="M94" s="209">
        <f>ROUND('SUMMARY-ALL YEARS'!M94/1000,1)</f>
        <v>-700</v>
      </c>
      <c r="N94" s="209">
        <f>ROUND('SUMMARY-ALL YEARS'!N94/1000,1)</f>
        <v>0</v>
      </c>
      <c r="O94" s="209">
        <f>ROUND('SUMMARY-ALL YEARS'!O94/1000,1)</f>
        <v>-700</v>
      </c>
      <c r="P94" s="209">
        <f>ROUND('SUMMARY-ALL YEARS'!P94/1000,1)</f>
        <v>0</v>
      </c>
      <c r="Q94" s="209">
        <f t="shared" si="52"/>
        <v>-730.5</v>
      </c>
      <c r="R94" s="209">
        <f t="shared" si="53"/>
        <v>-2505.6999999999998</v>
      </c>
      <c r="S94" s="209">
        <f t="shared" si="54"/>
        <v>-700</v>
      </c>
      <c r="T94" s="209">
        <f t="shared" si="55"/>
        <v>-700</v>
      </c>
      <c r="U94" s="209">
        <f t="shared" si="56"/>
        <v>-1775.1999999999998</v>
      </c>
      <c r="V94" s="222">
        <f t="shared" si="57"/>
        <v>2.4301163586584527</v>
      </c>
      <c r="W94" s="209">
        <f t="shared" si="58"/>
        <v>1805.6999999999998</v>
      </c>
      <c r="X94" s="222">
        <f t="shared" si="59"/>
        <v>-0.72063694775910925</v>
      </c>
      <c r="Y94" s="209">
        <f t="shared" si="60"/>
        <v>0</v>
      </c>
      <c r="Z94" s="222">
        <f t="shared" si="61"/>
        <v>0</v>
      </c>
    </row>
    <row r="95" spans="1:26" x14ac:dyDescent="0.15">
      <c r="A95" s="203">
        <f t="shared" si="62"/>
        <v>13</v>
      </c>
      <c r="B95" s="208" t="s">
        <v>360</v>
      </c>
      <c r="D95" s="207"/>
      <c r="E95" s="207"/>
      <c r="F95" s="209"/>
      <c r="G95" s="209"/>
      <c r="H95" s="209">
        <v>0</v>
      </c>
      <c r="I95" s="209">
        <v>0</v>
      </c>
      <c r="J95" s="209">
        <v>0</v>
      </c>
      <c r="K95" s="209">
        <f>ROUND('SUMMARY-ALL YEARS'!K95/1000,1)</f>
        <v>-500000</v>
      </c>
      <c r="L95" s="209">
        <v>0</v>
      </c>
      <c r="M95" s="209">
        <v>0</v>
      </c>
      <c r="N95" s="209">
        <v>0</v>
      </c>
      <c r="O95" s="209">
        <v>0</v>
      </c>
      <c r="P95" s="209">
        <v>0</v>
      </c>
      <c r="Q95" s="209">
        <f>SUM(I95:J95)</f>
        <v>0</v>
      </c>
      <c r="R95" s="209">
        <f>SUM(K95:L95)</f>
        <v>-500000</v>
      </c>
      <c r="S95" s="209">
        <f>SUM(M95:N95)</f>
        <v>0</v>
      </c>
      <c r="T95" s="209">
        <f t="shared" si="55"/>
        <v>0</v>
      </c>
      <c r="U95" s="209">
        <f>R95-Q95</f>
        <v>-500000</v>
      </c>
      <c r="V95" s="222" t="e">
        <f t="shared" si="57"/>
        <v>#DIV/0!</v>
      </c>
      <c r="W95" s="209">
        <f>S95-R95</f>
        <v>500000</v>
      </c>
      <c r="X95" s="222">
        <f t="shared" si="59"/>
        <v>-1</v>
      </c>
      <c r="Y95" s="209">
        <f t="shared" si="60"/>
        <v>0</v>
      </c>
      <c r="Z95" s="222" t="e">
        <f t="shared" si="61"/>
        <v>#DIV/0!</v>
      </c>
    </row>
    <row r="96" spans="1:26" x14ac:dyDescent="0.15">
      <c r="A96" s="203">
        <f t="shared" si="62"/>
        <v>14</v>
      </c>
      <c r="B96" s="203" t="s">
        <v>147</v>
      </c>
      <c r="D96" s="207">
        <f>'FY 2003'!I87</f>
        <v>198438434</v>
      </c>
      <c r="E96" s="207">
        <f>'FY 2004'!I87</f>
        <v>194217096</v>
      </c>
      <c r="F96" s="209">
        <f>ROUND('SUMMARY-ALL YEARS'!F96/1000,1)</f>
        <v>193697.1</v>
      </c>
      <c r="G96" s="209">
        <f>ROUND('SUMMARY-ALL YEARS'!G96/1000,1)</f>
        <v>194018.4</v>
      </c>
      <c r="H96" s="209">
        <f>ROUND('SUMMARY-ALL YEARS'!H96/1000,1)</f>
        <v>194117</v>
      </c>
      <c r="I96" s="209">
        <f>ROUND('SUMMARY-ALL YEARS'!I96/1000,1)</f>
        <v>194635.6</v>
      </c>
      <c r="J96" s="209">
        <f>ROUND('SUMMARY-ALL YEARS'!J96/1000,1)</f>
        <v>194299.1</v>
      </c>
      <c r="K96" s="209">
        <f>ROUND('SUMMARY-ALL YEARS'!K96/1000,1)</f>
        <v>194556.9</v>
      </c>
      <c r="L96" s="209">
        <f>ROUND('SUMMARY-ALL YEARS'!L96/1000,1)</f>
        <v>194883.5</v>
      </c>
      <c r="M96" s="209">
        <f>ROUND('SUMMARY-ALL YEARS'!M96/1000,1)</f>
        <v>195614.7</v>
      </c>
      <c r="N96" s="209">
        <f>ROUND('SUMMARY-ALL YEARS'!N96/1000,1)</f>
        <v>197226.5</v>
      </c>
      <c r="O96" s="209">
        <f>ROUND('SUMMARY-ALL YEARS'!O96/1000,1)</f>
        <v>199264.6</v>
      </c>
      <c r="P96" s="209">
        <f>ROUND('SUMMARY-ALL YEARS'!P96/1000,1)</f>
        <v>201475</v>
      </c>
      <c r="Q96" s="209">
        <f t="shared" si="52"/>
        <v>388934.7</v>
      </c>
      <c r="R96" s="209">
        <f t="shared" si="53"/>
        <v>389440.4</v>
      </c>
      <c r="S96" s="209">
        <f t="shared" si="54"/>
        <v>392841.2</v>
      </c>
      <c r="T96" s="209">
        <f t="shared" si="55"/>
        <v>400739.6</v>
      </c>
      <c r="U96" s="209">
        <f t="shared" si="56"/>
        <v>505.70000000001164</v>
      </c>
      <c r="V96" s="222">
        <f t="shared" si="57"/>
        <v>1.3002182628600936E-3</v>
      </c>
      <c r="W96" s="209">
        <f t="shared" si="58"/>
        <v>3400.7999999999884</v>
      </c>
      <c r="X96" s="222">
        <f t="shared" si="59"/>
        <v>8.7325300610824868E-3</v>
      </c>
      <c r="Y96" s="209">
        <f t="shared" si="60"/>
        <v>7898.3999999999651</v>
      </c>
      <c r="Z96" s="222">
        <f t="shared" si="61"/>
        <v>2.0105834113122466E-2</v>
      </c>
    </row>
    <row r="97" spans="1:26" x14ac:dyDescent="0.15">
      <c r="A97" s="203">
        <f t="shared" si="62"/>
        <v>15</v>
      </c>
      <c r="B97" s="203" t="s">
        <v>149</v>
      </c>
      <c r="D97" s="207">
        <f>'FY 2003'!I88</f>
        <v>34642490</v>
      </c>
      <c r="E97" s="207">
        <f>'FY 2004'!I88</f>
        <v>32112369</v>
      </c>
      <c r="F97" s="209">
        <f>ROUND('SUMMARY-ALL YEARS'!F97/1000,1)</f>
        <v>41731.199999999997</v>
      </c>
      <c r="G97" s="209">
        <f>ROUND('SUMMARY-ALL YEARS'!G97/1000,1)</f>
        <v>50999.4</v>
      </c>
      <c r="H97" s="209">
        <f>ROUND('SUMMARY-ALL YEARS'!H97/1000,1)</f>
        <v>94274.1</v>
      </c>
      <c r="I97" s="209">
        <f>ROUND('SUMMARY-ALL YEARS'!I97/1000,1)</f>
        <v>95708.800000000003</v>
      </c>
      <c r="J97" s="209">
        <f>ROUND('SUMMARY-ALL YEARS'!J97/1000,1)</f>
        <v>93362</v>
      </c>
      <c r="K97" s="209">
        <f>ROUND('SUMMARY-ALL YEARS'!K97/1000,1)</f>
        <v>92597.2</v>
      </c>
      <c r="L97" s="209">
        <f>ROUND('SUMMARY-ALL YEARS'!L97/1000,1)</f>
        <v>92389.5</v>
      </c>
      <c r="M97" s="209">
        <f>ROUND('SUMMARY-ALL YEARS'!M97/1000,1)</f>
        <v>94004</v>
      </c>
      <c r="N97" s="209">
        <f>ROUND('SUMMARY-ALL YEARS'!N97/1000,1)</f>
        <v>94785.8</v>
      </c>
      <c r="O97" s="209">
        <f>ROUND('SUMMARY-ALL YEARS'!O97/1000,1)</f>
        <v>95424.2</v>
      </c>
      <c r="P97" s="209">
        <f>ROUND('SUMMARY-ALL YEARS'!P97/1000,1)</f>
        <v>97120.8</v>
      </c>
      <c r="Q97" s="209">
        <f t="shared" si="52"/>
        <v>189070.8</v>
      </c>
      <c r="R97" s="209">
        <f t="shared" si="53"/>
        <v>184986.7</v>
      </c>
      <c r="S97" s="209">
        <f t="shared" si="54"/>
        <v>188789.8</v>
      </c>
      <c r="T97" s="209">
        <f t="shared" si="55"/>
        <v>192545</v>
      </c>
      <c r="U97" s="209">
        <f t="shared" si="56"/>
        <v>-4084.0999999999767</v>
      </c>
      <c r="V97" s="222">
        <f t="shared" si="57"/>
        <v>-2.1600902942178153E-2</v>
      </c>
      <c r="W97" s="209">
        <f t="shared" si="58"/>
        <v>3803.0999999999767</v>
      </c>
      <c r="X97" s="222">
        <f t="shared" si="59"/>
        <v>2.0558775306548937E-2</v>
      </c>
      <c r="Y97" s="209">
        <f t="shared" si="60"/>
        <v>3755.2000000000116</v>
      </c>
      <c r="Z97" s="222">
        <f t="shared" si="61"/>
        <v>1.9890905123052263E-2</v>
      </c>
    </row>
    <row r="98" spans="1:26" x14ac:dyDescent="0.15">
      <c r="A98" s="203">
        <f t="shared" si="62"/>
        <v>16</v>
      </c>
      <c r="B98" s="208" t="s">
        <v>173</v>
      </c>
      <c r="D98" s="207">
        <f>'FY 2003'!I89</f>
        <v>0</v>
      </c>
      <c r="E98" s="207">
        <f>'FY 2004'!I89</f>
        <v>31986524</v>
      </c>
      <c r="F98" s="209">
        <f>ROUND('SUMMARY-ALL YEARS'!F98/1000,1)</f>
        <v>31326.6</v>
      </c>
      <c r="G98" s="209">
        <f>ROUND('SUMMARY-ALL YEARS'!G98/1000,1)</f>
        <v>31033.7</v>
      </c>
      <c r="H98" s="209">
        <f>ROUND('SUMMARY-ALL YEARS'!H98/1000,1)</f>
        <v>30462.5</v>
      </c>
      <c r="I98" s="209">
        <f>ROUND('SUMMARY-ALL YEARS'!I98/1000,1)</f>
        <v>30143.3</v>
      </c>
      <c r="J98" s="209">
        <f>ROUND('SUMMARY-ALL YEARS'!J98/1000,1)</f>
        <v>29712</v>
      </c>
      <c r="K98" s="209">
        <f>ROUND('SUMMARY-ALL YEARS'!K98/1000,1)</f>
        <v>29474.1</v>
      </c>
      <c r="L98" s="209">
        <f>ROUND('SUMMARY-ALL YEARS'!L98/1000,1)</f>
        <v>29230.9</v>
      </c>
      <c r="M98" s="209">
        <f>ROUND('SUMMARY-ALL YEARS'!M98/1000,1)</f>
        <v>29122.799999999999</v>
      </c>
      <c r="N98" s="209">
        <f>ROUND('SUMMARY-ALL YEARS'!N98/1000,1)</f>
        <v>29417.4</v>
      </c>
      <c r="O98" s="209">
        <f>ROUND('SUMMARY-ALL YEARS'!O98/1000,1)</f>
        <v>29971.9</v>
      </c>
      <c r="P98" s="209">
        <f>ROUND('SUMMARY-ALL YEARS'!P98/1000,1)</f>
        <v>30488.400000000001</v>
      </c>
      <c r="Q98" s="209">
        <f t="shared" si="52"/>
        <v>59855.3</v>
      </c>
      <c r="R98" s="209">
        <f t="shared" si="53"/>
        <v>58705</v>
      </c>
      <c r="S98" s="209">
        <f t="shared" si="54"/>
        <v>58540.2</v>
      </c>
      <c r="T98" s="209">
        <f t="shared" si="55"/>
        <v>60460.3</v>
      </c>
      <c r="U98" s="209">
        <f t="shared" si="56"/>
        <v>-1150.3000000000029</v>
      </c>
      <c r="V98" s="222">
        <f t="shared" si="57"/>
        <v>-1.9218014110697013E-2</v>
      </c>
      <c r="W98" s="209">
        <f t="shared" si="58"/>
        <v>-164.80000000000291</v>
      </c>
      <c r="X98" s="222">
        <f t="shared" si="59"/>
        <v>-2.8072566220935682E-3</v>
      </c>
      <c r="Y98" s="209">
        <f t="shared" si="60"/>
        <v>1920.1000000000058</v>
      </c>
      <c r="Z98" s="222">
        <f t="shared" si="61"/>
        <v>3.2799682952911094E-2</v>
      </c>
    </row>
    <row r="99" spans="1:26" x14ac:dyDescent="0.15">
      <c r="A99" s="203">
        <f t="shared" si="62"/>
        <v>17</v>
      </c>
      <c r="B99" s="208" t="s">
        <v>168</v>
      </c>
      <c r="C99" s="208"/>
      <c r="D99" s="207">
        <f>'FY 2003'!I90</f>
        <v>0</v>
      </c>
      <c r="E99" s="207">
        <f>'FY 2004'!I90</f>
        <v>0</v>
      </c>
      <c r="F99" s="209">
        <f>ROUND('SUMMARY-ALL YEARS'!F99/1000,1)</f>
        <v>0</v>
      </c>
      <c r="G99" s="209">
        <f>ROUND('SUMMARY-ALL YEARS'!G99/1000,1)</f>
        <v>16348.9</v>
      </c>
      <c r="H99" s="209">
        <f>ROUND('SUMMARY-ALL YEARS'!H99/1000,1)</f>
        <v>48603.7</v>
      </c>
      <c r="I99" s="209">
        <f>ROUND('SUMMARY-ALL YEARS'!I99/1000,1)</f>
        <v>60763.6</v>
      </c>
      <c r="J99" s="209">
        <f>ROUND('SUMMARY-ALL YEARS'!J99/1000,1)</f>
        <v>63348.4</v>
      </c>
      <c r="K99" s="209">
        <f>ROUND('SUMMARY-ALL YEARS'!K99/1000,1)</f>
        <v>58293.2</v>
      </c>
      <c r="L99" s="209">
        <f>ROUND('SUMMARY-ALL YEARS'!L99/1000,1)</f>
        <v>64869</v>
      </c>
      <c r="M99" s="209">
        <f>ROUND('SUMMARY-ALL YEARS'!M99/1000,1)</f>
        <v>79865.2</v>
      </c>
      <c r="N99" s="209">
        <f>ROUND('SUMMARY-ALL YEARS'!N99/1000,1)</f>
        <v>82648</v>
      </c>
      <c r="O99" s="209">
        <f>ROUND('SUMMARY-ALL YEARS'!O99/1000,1)</f>
        <v>84427.1</v>
      </c>
      <c r="P99" s="209">
        <f>ROUND('SUMMARY-ALL YEARS'!P99/1000,1)</f>
        <v>86326</v>
      </c>
      <c r="Q99" s="209">
        <f t="shared" si="52"/>
        <v>124112</v>
      </c>
      <c r="R99" s="209">
        <f t="shared" si="53"/>
        <v>123162.2</v>
      </c>
      <c r="S99" s="209">
        <f t="shared" si="54"/>
        <v>162513.20000000001</v>
      </c>
      <c r="T99" s="209">
        <f t="shared" si="55"/>
        <v>170753.1</v>
      </c>
      <c r="U99" s="209">
        <f t="shared" si="56"/>
        <v>-949.80000000000291</v>
      </c>
      <c r="V99" s="222">
        <f t="shared" si="57"/>
        <v>-7.6527652442954985E-3</v>
      </c>
      <c r="W99" s="209">
        <f t="shared" si="58"/>
        <v>39351.000000000015</v>
      </c>
      <c r="X99" s="222">
        <f t="shared" si="59"/>
        <v>0.31950549762833091</v>
      </c>
      <c r="Y99" s="209">
        <f t="shared" si="60"/>
        <v>8239.8999999999942</v>
      </c>
      <c r="Z99" s="222">
        <f t="shared" si="61"/>
        <v>5.0702958282773297E-2</v>
      </c>
    </row>
    <row r="100" spans="1:26" x14ac:dyDescent="0.15">
      <c r="A100" s="203">
        <f t="shared" si="62"/>
        <v>18</v>
      </c>
      <c r="B100" s="203" t="s">
        <v>150</v>
      </c>
      <c r="D100" s="207">
        <f>'FY 2003'!I91</f>
        <v>291708358</v>
      </c>
      <c r="E100" s="207">
        <f>'FY 2004'!I91</f>
        <v>426336542</v>
      </c>
      <c r="F100" s="209">
        <f>ROUND('SUMMARY-ALL YEARS'!F100/1000,1)</f>
        <v>504721.1</v>
      </c>
      <c r="G100" s="209">
        <f>ROUND('SUMMARY-ALL YEARS'!G100/1000,1)</f>
        <v>534314.5</v>
      </c>
      <c r="H100" s="209">
        <f>ROUND('SUMMARY-ALL YEARS'!H100/1000,1)</f>
        <v>598966.19999999995</v>
      </c>
      <c r="I100" s="209">
        <f>ROUND('SUMMARY-ALL YEARS'!I100/1000,1)</f>
        <v>644192.19999999995</v>
      </c>
      <c r="J100" s="209">
        <f>ROUND('SUMMARY-ALL YEARS'!J100/1000,1)</f>
        <v>720567.2</v>
      </c>
      <c r="K100" s="209">
        <f>ROUND('SUMMARY-ALL YEARS'!K100/1000,1)</f>
        <v>782246</v>
      </c>
      <c r="L100" s="209">
        <f>ROUND('SUMMARY-ALL YEARS'!L100/1000,1)</f>
        <v>805394.8</v>
      </c>
      <c r="M100" s="209">
        <f>ROUND('SUMMARY-ALL YEARS'!M100/1000,1)</f>
        <v>822570.4</v>
      </c>
      <c r="N100" s="209">
        <f>ROUND('SUMMARY-ALL YEARS'!N100/1000,1)</f>
        <v>895199.7</v>
      </c>
      <c r="O100" s="209">
        <f>ROUND('SUMMARY-ALL YEARS'!O100/1000,1)</f>
        <v>945764</v>
      </c>
      <c r="P100" s="209">
        <f>ROUND('SUMMARY-ALL YEARS'!P100/1000,1)</f>
        <v>1016465.5</v>
      </c>
      <c r="Q100" s="209">
        <f t="shared" si="52"/>
        <v>1364759.4</v>
      </c>
      <c r="R100" s="209">
        <f t="shared" si="53"/>
        <v>1587640.8</v>
      </c>
      <c r="S100" s="209">
        <f t="shared" si="54"/>
        <v>1717770.1</v>
      </c>
      <c r="T100" s="209">
        <f t="shared" si="55"/>
        <v>1962229.5</v>
      </c>
      <c r="U100" s="209">
        <f t="shared" si="56"/>
        <v>222881.40000000014</v>
      </c>
      <c r="V100" s="222">
        <f t="shared" si="57"/>
        <v>0.16331186288220484</v>
      </c>
      <c r="W100" s="209">
        <f t="shared" si="58"/>
        <v>130129.30000000005</v>
      </c>
      <c r="X100" s="222">
        <f t="shared" si="59"/>
        <v>8.1963942977529958E-2</v>
      </c>
      <c r="Y100" s="209">
        <f t="shared" si="60"/>
        <v>244459.39999999991</v>
      </c>
      <c r="Z100" s="222">
        <f t="shared" si="61"/>
        <v>0.14231205910499892</v>
      </c>
    </row>
    <row r="101" spans="1:26" x14ac:dyDescent="0.15">
      <c r="B101" s="208" t="s">
        <v>172</v>
      </c>
      <c r="D101" s="207"/>
      <c r="E101" s="207"/>
      <c r="F101" s="207"/>
      <c r="G101" s="207"/>
      <c r="H101" s="207"/>
      <c r="I101" s="207"/>
      <c r="J101" s="207"/>
      <c r="K101" s="207"/>
      <c r="L101" s="207"/>
      <c r="M101" s="207"/>
      <c r="N101" s="207"/>
      <c r="O101" s="207"/>
      <c r="P101" s="207"/>
    </row>
    <row r="102" spans="1:26" x14ac:dyDescent="0.15">
      <c r="A102" s="203">
        <f>A100+1</f>
        <v>19</v>
      </c>
      <c r="B102" s="208"/>
      <c r="C102" s="208" t="s">
        <v>268</v>
      </c>
      <c r="D102" s="207">
        <f>'FY 2003'!I93</f>
        <v>1341221</v>
      </c>
      <c r="E102" s="207">
        <f>'FY 2004'!I93</f>
        <v>-679857</v>
      </c>
      <c r="F102" s="207">
        <f>'FY 2005'!I93</f>
        <v>-1089963.94</v>
      </c>
      <c r="G102" s="209">
        <f>ROUND(SUM('SUMMARY-ALL YEARS'!G102:G106)/1000,1)</f>
        <v>-895.4</v>
      </c>
      <c r="H102" s="209">
        <f>ROUND(SUM('SUMMARY-ALL YEARS'!H102:H106)/1000,1)</f>
        <v>-886.1</v>
      </c>
      <c r="I102" s="209">
        <f>ROUND(SUM('SUMMARY-ALL YEARS'!I102:I106)/1000,1)</f>
        <v>-182.3</v>
      </c>
      <c r="J102" s="209">
        <f>ROUND(SUM('SUMMARY-ALL YEARS'!J102:J106)/1000,1)</f>
        <v>261.60000000000002</v>
      </c>
      <c r="K102" s="209">
        <f>ROUND(SUM('SUMMARY-ALL YEARS'!K102:K106)/1000,1)</f>
        <v>677.7</v>
      </c>
      <c r="L102" s="209">
        <f>ROUND(SUM('SUMMARY-ALL YEARS'!L102:L106)/1000,1)</f>
        <v>766.8</v>
      </c>
      <c r="M102" s="209">
        <f>ROUND(SUM('SUMMARY-ALL YEARS'!M102:M106)/1000,1)</f>
        <v>543</v>
      </c>
      <c r="N102" s="209">
        <f>ROUND(SUM('SUMMARY-ALL YEARS'!N102:N106)/1000,1)</f>
        <v>42.4</v>
      </c>
      <c r="O102" s="209">
        <f>ROUND(SUM('SUMMARY-ALL YEARS'!O102:O106)/1000,1)</f>
        <v>-203.1</v>
      </c>
      <c r="P102" s="209">
        <f>ROUND(SUM('SUMMARY-ALL YEARS'!P102:P106)/1000,1)</f>
        <v>-359.1</v>
      </c>
      <c r="Q102" s="209">
        <f>SUM(I102:J102)</f>
        <v>79.300000000000011</v>
      </c>
      <c r="R102" s="209">
        <f>SUM(K102:L102)</f>
        <v>1444.5</v>
      </c>
      <c r="S102" s="209">
        <f>SUM(M102:N102)</f>
        <v>585.4</v>
      </c>
      <c r="T102" s="209">
        <f>SUM(O102:P102)</f>
        <v>-562.20000000000005</v>
      </c>
      <c r="U102" s="209">
        <f>R102-Q102</f>
        <v>1365.2</v>
      </c>
      <c r="V102" s="222">
        <f>U102/Q102</f>
        <v>17.215636822194199</v>
      </c>
      <c r="W102" s="209">
        <f>S102-R102</f>
        <v>-859.1</v>
      </c>
      <c r="X102" s="222">
        <f>W102/R102</f>
        <v>-0.59473866389754237</v>
      </c>
      <c r="Y102" s="209">
        <f>T102-S102</f>
        <v>-1147.5999999999999</v>
      </c>
      <c r="Z102" s="222">
        <f>Y102/S102</f>
        <v>-1.9603689784762555</v>
      </c>
    </row>
    <row r="103" spans="1:26" x14ac:dyDescent="0.15">
      <c r="A103" s="203">
        <f>A102+1</f>
        <v>20</v>
      </c>
      <c r="B103" s="208"/>
      <c r="C103" s="208"/>
      <c r="D103" s="207">
        <f>'FY 2003'!I94</f>
        <v>-1804253</v>
      </c>
      <c r="E103" s="207">
        <f>'FY 2004'!I94</f>
        <v>1059</v>
      </c>
      <c r="F103" s="207">
        <f>'FY 2005'!I94</f>
        <v>0</v>
      </c>
      <c r="G103" s="209">
        <v>0</v>
      </c>
      <c r="H103" s="209">
        <v>0</v>
      </c>
      <c r="I103" s="209">
        <v>0</v>
      </c>
      <c r="J103" s="209">
        <v>0</v>
      </c>
      <c r="K103" s="209">
        <v>0</v>
      </c>
      <c r="L103" s="209">
        <v>0</v>
      </c>
      <c r="M103" s="209">
        <v>0</v>
      </c>
      <c r="N103" s="209">
        <v>0</v>
      </c>
      <c r="O103" s="209">
        <v>0</v>
      </c>
      <c r="P103" s="209">
        <v>0</v>
      </c>
      <c r="Q103" s="209">
        <f>SUM(I103:J103)</f>
        <v>0</v>
      </c>
      <c r="R103" s="209">
        <f>SUM(K103:L103)</f>
        <v>0</v>
      </c>
      <c r="S103" s="209">
        <f>SUM(M103:N103)</f>
        <v>0</v>
      </c>
      <c r="T103" s="209">
        <f>SUM(O103:P103)</f>
        <v>0</v>
      </c>
    </row>
    <row r="104" spans="1:26" x14ac:dyDescent="0.15">
      <c r="A104" s="203">
        <f>A103+1</f>
        <v>21</v>
      </c>
      <c r="B104" s="208"/>
      <c r="C104" s="208"/>
      <c r="D104" s="207">
        <f>'FY 2003'!I95</f>
        <v>0</v>
      </c>
      <c r="E104" s="207">
        <f>'FY 2004'!I95</f>
        <v>0</v>
      </c>
      <c r="F104" s="207">
        <f>'FY 2005'!I95</f>
        <v>0</v>
      </c>
      <c r="G104" s="209">
        <v>0</v>
      </c>
      <c r="H104" s="209">
        <v>0</v>
      </c>
      <c r="I104" s="209">
        <v>0</v>
      </c>
      <c r="J104" s="209">
        <v>0</v>
      </c>
      <c r="K104" s="209">
        <v>0</v>
      </c>
      <c r="L104" s="209">
        <v>0</v>
      </c>
      <c r="M104" s="209">
        <v>0</v>
      </c>
      <c r="N104" s="209">
        <v>0</v>
      </c>
      <c r="O104" s="209">
        <v>0</v>
      </c>
      <c r="P104" s="209">
        <v>0</v>
      </c>
      <c r="Q104" s="209">
        <f>SUM(I104:J104)</f>
        <v>0</v>
      </c>
      <c r="R104" s="209">
        <f>SUM(K104:L104)</f>
        <v>0</v>
      </c>
      <c r="S104" s="209">
        <f>SUM(M104:N104)</f>
        <v>0</v>
      </c>
      <c r="T104" s="209">
        <f>SUM(O104:P104)</f>
        <v>0</v>
      </c>
    </row>
    <row r="105" spans="1:26" x14ac:dyDescent="0.15">
      <c r="A105" s="203">
        <f>A104+1</f>
        <v>22</v>
      </c>
      <c r="B105" s="208"/>
      <c r="C105" s="208"/>
      <c r="D105" s="207">
        <f>'FY 2003'!I96</f>
        <v>0</v>
      </c>
      <c r="E105" s="207">
        <f>'FY 2004'!I96</f>
        <v>0</v>
      </c>
      <c r="F105" s="207">
        <f>'FY 2005'!I96</f>
        <v>0</v>
      </c>
      <c r="G105" s="209">
        <v>0</v>
      </c>
      <c r="H105" s="209">
        <v>0</v>
      </c>
      <c r="I105" s="209">
        <v>0</v>
      </c>
      <c r="J105" s="209">
        <v>0</v>
      </c>
      <c r="K105" s="209">
        <v>0</v>
      </c>
      <c r="L105" s="209">
        <v>0</v>
      </c>
      <c r="M105" s="209">
        <v>0</v>
      </c>
      <c r="N105" s="209">
        <v>0</v>
      </c>
      <c r="O105" s="209">
        <v>0</v>
      </c>
      <c r="P105" s="209">
        <v>0</v>
      </c>
      <c r="Q105" s="209">
        <f>SUM(I105:J105)</f>
        <v>0</v>
      </c>
      <c r="R105" s="209">
        <f>SUM(K105:L105)</f>
        <v>0</v>
      </c>
      <c r="S105" s="209">
        <f>SUM(M105:N105)</f>
        <v>0</v>
      </c>
      <c r="T105" s="209">
        <f>SUM(O105:P105)</f>
        <v>0</v>
      </c>
    </row>
    <row r="106" spans="1:26" x14ac:dyDescent="0.15">
      <c r="A106" s="203">
        <f>A105+1</f>
        <v>23</v>
      </c>
      <c r="B106" s="208"/>
      <c r="C106" s="208"/>
      <c r="D106" s="207">
        <v>0</v>
      </c>
      <c r="E106" s="207">
        <v>0</v>
      </c>
      <c r="F106" s="207">
        <v>0</v>
      </c>
      <c r="G106" s="209">
        <v>0</v>
      </c>
      <c r="H106" s="209">
        <v>0</v>
      </c>
      <c r="I106" s="209">
        <v>0</v>
      </c>
      <c r="J106" s="209">
        <v>0</v>
      </c>
      <c r="K106" s="209">
        <v>0</v>
      </c>
      <c r="L106" s="209">
        <v>0</v>
      </c>
      <c r="M106" s="209">
        <v>0</v>
      </c>
      <c r="N106" s="209">
        <v>0</v>
      </c>
      <c r="O106" s="209">
        <v>0</v>
      </c>
      <c r="P106" s="209">
        <v>0</v>
      </c>
      <c r="Q106" s="209">
        <f>SUM(I106:J106)</f>
        <v>0</v>
      </c>
      <c r="R106" s="209">
        <f>SUM(K106:L106)</f>
        <v>0</v>
      </c>
      <c r="S106" s="209">
        <f>SUM(M106:N106)</f>
        <v>0</v>
      </c>
      <c r="T106" s="209">
        <f>SUM(O106:P106)</f>
        <v>0</v>
      </c>
    </row>
    <row r="107" spans="1:26" x14ac:dyDescent="0.15"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</row>
    <row r="108" spans="1:26" x14ac:dyDescent="0.15">
      <c r="A108" s="203">
        <f>A106+1</f>
        <v>24</v>
      </c>
      <c r="B108" s="208" t="s">
        <v>158</v>
      </c>
      <c r="D108" s="207">
        <f>SUM(D83:D105)</f>
        <v>5421781814</v>
      </c>
      <c r="E108" s="207">
        <f>SUM(E83:E105)</f>
        <v>5514835219</v>
      </c>
      <c r="F108" s="207">
        <f t="shared" ref="F108:L108" si="63">SUM(F83:F106)</f>
        <v>4506736.3599999994</v>
      </c>
      <c r="G108" s="207">
        <f t="shared" si="63"/>
        <v>5856179.5000000009</v>
      </c>
      <c r="H108" s="207">
        <f t="shared" si="63"/>
        <v>6210065.1000000006</v>
      </c>
      <c r="I108" s="207">
        <f t="shared" si="63"/>
        <v>6391705.9999999981</v>
      </c>
      <c r="J108" s="207">
        <f t="shared" si="63"/>
        <v>6556032.7999999989</v>
      </c>
      <c r="K108" s="207">
        <f t="shared" si="63"/>
        <v>6073672.8999999994</v>
      </c>
      <c r="L108" s="207">
        <f t="shared" si="63"/>
        <v>6671598.3999999994</v>
      </c>
      <c r="M108" s="207">
        <f>SUM(M83:M106)</f>
        <v>6750880.2000000002</v>
      </c>
      <c r="N108" s="207">
        <f>SUM(N83:N106)</f>
        <v>6894068.8000000007</v>
      </c>
      <c r="O108" s="207">
        <f>SUM(O83:O106)</f>
        <v>7021223.8000000007</v>
      </c>
      <c r="P108" s="207">
        <f>SUM(P83:P106)</f>
        <v>7181785.0000000009</v>
      </c>
      <c r="Q108" s="209">
        <f>SUM(I108:J108)</f>
        <v>12947738.799999997</v>
      </c>
      <c r="R108" s="209">
        <f>SUM(K108:L108)</f>
        <v>12745271.299999999</v>
      </c>
      <c r="S108" s="209">
        <f>SUM(M108:N108)</f>
        <v>13644949</v>
      </c>
      <c r="T108" s="209">
        <f>SUM(O108:P108)</f>
        <v>14203008.800000001</v>
      </c>
      <c r="U108" s="209">
        <f>R108-Q108</f>
        <v>-202467.49999999814</v>
      </c>
      <c r="V108" s="222">
        <f>U108/Q108</f>
        <v>-1.5637286411739955E-2</v>
      </c>
      <c r="W108" s="209">
        <f>S108-R108</f>
        <v>899677.70000000112</v>
      </c>
      <c r="X108" s="222">
        <f>W108/R108</f>
        <v>7.0589136851092471E-2</v>
      </c>
      <c r="Y108" s="209">
        <f>T108-S108</f>
        <v>558059.80000000075</v>
      </c>
      <c r="Z108" s="222">
        <f>Y108/S108</f>
        <v>4.0898635824875622E-2</v>
      </c>
    </row>
    <row r="109" spans="1:26" x14ac:dyDescent="0.15">
      <c r="D109" s="207"/>
      <c r="E109" s="207"/>
      <c r="F109" s="209"/>
      <c r="G109" s="207"/>
      <c r="H109" s="207"/>
      <c r="I109" s="207"/>
      <c r="J109" s="207"/>
      <c r="K109" s="207"/>
      <c r="L109" s="207"/>
      <c r="M109" s="207"/>
      <c r="N109" s="207"/>
      <c r="O109" s="207"/>
      <c r="P109" s="207"/>
    </row>
    <row r="110" spans="1:26" x14ac:dyDescent="0.15">
      <c r="B110" s="208" t="s">
        <v>156</v>
      </c>
      <c r="C110" s="208"/>
      <c r="D110" s="207"/>
      <c r="E110" s="207"/>
      <c r="F110" s="207"/>
      <c r="G110" s="207"/>
      <c r="H110" s="207"/>
      <c r="I110" s="207"/>
      <c r="J110" s="207"/>
      <c r="K110" s="207"/>
      <c r="L110" s="207"/>
      <c r="M110" s="207"/>
      <c r="N110" s="207"/>
      <c r="O110" s="207"/>
      <c r="P110" s="207"/>
    </row>
    <row r="111" spans="1:26" x14ac:dyDescent="0.15">
      <c r="A111" s="203">
        <f>A108+1</f>
        <v>25</v>
      </c>
      <c r="B111" s="203" t="s">
        <v>153</v>
      </c>
      <c r="D111" s="207">
        <f>'FY 2003'!I101</f>
        <v>0</v>
      </c>
      <c r="E111" s="207">
        <f>'FY 2004'!I101</f>
        <v>0</v>
      </c>
      <c r="F111" s="209">
        <f>ROUND('SUMMARY-ALL YEARS'!F111/1000,1)</f>
        <v>40007.300000000003</v>
      </c>
      <c r="G111" s="209">
        <f>ROUND('SUMMARY-ALL YEARS'!G111/1000,1)</f>
        <v>44268.2</v>
      </c>
      <c r="H111" s="209">
        <f>ROUND('SUMMARY-ALL YEARS'!H111/1000,1)</f>
        <v>101934.5</v>
      </c>
      <c r="I111" s="209">
        <f>ROUND('SUMMARY-ALL YEARS'!I111/1000,1)</f>
        <v>111830.39999999999</v>
      </c>
      <c r="J111" s="209">
        <f>ROUND('SUMMARY-ALL YEARS'!J111/1000,1)</f>
        <v>121253</v>
      </c>
      <c r="K111" s="209">
        <f>ROUND('SUMMARY-ALL YEARS'!K111/1000,1)</f>
        <v>124372.7</v>
      </c>
      <c r="L111" s="209">
        <f>ROUND('SUMMARY-ALL YEARS'!L111/1000,1)</f>
        <v>124597.7</v>
      </c>
      <c r="M111" s="209">
        <f>ROUND('SUMMARY-ALL YEARS'!M111/1000,1)</f>
        <v>119996</v>
      </c>
      <c r="N111" s="209">
        <f>ROUND('SUMMARY-ALL YEARS'!N111/1000,1)</f>
        <v>117136</v>
      </c>
      <c r="O111" s="209">
        <f>ROUND('SUMMARY-ALL YEARS'!O111/1000,1)</f>
        <v>117326.39999999999</v>
      </c>
      <c r="P111" s="209">
        <f>ROUND('SUMMARY-ALL YEARS'!P111/1000,1)</f>
        <v>118314.7</v>
      </c>
      <c r="Q111" s="209">
        <f>SUM(I111:J111)</f>
        <v>233083.4</v>
      </c>
      <c r="R111" s="209">
        <f>SUM(K111:L111)</f>
        <v>248970.4</v>
      </c>
      <c r="S111" s="209">
        <f>SUM(M111:N111)</f>
        <v>237132</v>
      </c>
      <c r="T111" s="209">
        <f>SUM(O111:P111)</f>
        <v>235641.09999999998</v>
      </c>
      <c r="U111" s="209">
        <f>R111-Q111</f>
        <v>15887</v>
      </c>
      <c r="V111" s="222">
        <f>U111/Q111</f>
        <v>6.8160152117224995E-2</v>
      </c>
      <c r="W111" s="209">
        <f>S111-R111</f>
        <v>-11838.399999999994</v>
      </c>
      <c r="X111" s="222">
        <f>W111/R111</f>
        <v>-4.7549427562473268E-2</v>
      </c>
      <c r="Y111" s="209">
        <f>T111-S111</f>
        <v>-1490.9000000000233</v>
      </c>
      <c r="Z111" s="222">
        <f>Y111/S111</f>
        <v>-6.2872155592666673E-3</v>
      </c>
    </row>
    <row r="112" spans="1:26" x14ac:dyDescent="0.15">
      <c r="A112" s="203">
        <f>A111+1</f>
        <v>26</v>
      </c>
      <c r="B112" s="203" t="s">
        <v>152</v>
      </c>
      <c r="D112" s="207">
        <f>'FY 2003'!I102</f>
        <v>0</v>
      </c>
      <c r="E112" s="207">
        <f>'FY 2004'!I102</f>
        <v>0</v>
      </c>
      <c r="F112" s="209">
        <f>ROUND('SUMMARY-ALL YEARS'!F112/1000,1)</f>
        <v>22380.3</v>
      </c>
      <c r="G112" s="209">
        <f>ROUND('SUMMARY-ALL YEARS'!G112/1000,1)</f>
        <v>25083.3</v>
      </c>
      <c r="H112" s="209">
        <f>ROUND('SUMMARY-ALL YEARS'!H112/1000,1)</f>
        <v>63740.1</v>
      </c>
      <c r="I112" s="209">
        <f>ROUND('SUMMARY-ALL YEARS'!I112/1000,1)</f>
        <v>70604.3</v>
      </c>
      <c r="J112" s="209">
        <f>ROUND('SUMMARY-ALL YEARS'!J112/1000,1)</f>
        <v>73701.600000000006</v>
      </c>
      <c r="K112" s="209">
        <f>ROUND('SUMMARY-ALL YEARS'!K112/1000,1)</f>
        <v>75869.399999999994</v>
      </c>
      <c r="L112" s="209">
        <f>ROUND('SUMMARY-ALL YEARS'!L112/1000,1)</f>
        <v>76264.3</v>
      </c>
      <c r="M112" s="209">
        <f>ROUND('SUMMARY-ALL YEARS'!M112/1000,1)</f>
        <v>75800.2</v>
      </c>
      <c r="N112" s="209">
        <f>ROUND('SUMMARY-ALL YEARS'!N112/1000,1)</f>
        <v>73781.3</v>
      </c>
      <c r="O112" s="209">
        <f>ROUND('SUMMARY-ALL YEARS'!O112/1000,1)</f>
        <v>73269.8</v>
      </c>
      <c r="P112" s="209">
        <f>ROUND('SUMMARY-ALL YEARS'!P112/1000,1)</f>
        <v>74124.2</v>
      </c>
      <c r="Q112" s="209">
        <f>SUM(I112:J112)</f>
        <v>144305.90000000002</v>
      </c>
      <c r="R112" s="209">
        <f>SUM(K112:L112)</f>
        <v>152133.70000000001</v>
      </c>
      <c r="S112" s="209">
        <f>SUM(M112:N112)</f>
        <v>149581.5</v>
      </c>
      <c r="T112" s="209">
        <f>SUM(O112:P112)</f>
        <v>147394</v>
      </c>
      <c r="U112" s="209">
        <f>R112-Q112</f>
        <v>7827.7999999999884</v>
      </c>
      <c r="V112" s="222">
        <f>U112/Q112</f>
        <v>5.4244490350013316E-2</v>
      </c>
      <c r="W112" s="209">
        <f>S112-R112</f>
        <v>-2552.2000000000116</v>
      </c>
      <c r="X112" s="222">
        <f>W112/R112</f>
        <v>-1.6776033186598441E-2</v>
      </c>
      <c r="Y112" s="209">
        <f>T112-S112</f>
        <v>-2187.5</v>
      </c>
      <c r="Z112" s="222">
        <f>Y112/S112</f>
        <v>-1.4624134669060011E-2</v>
      </c>
    </row>
    <row r="113" spans="1:26" x14ac:dyDescent="0.15">
      <c r="A113" s="203">
        <f>A112+1</f>
        <v>27</v>
      </c>
      <c r="B113" s="208" t="s">
        <v>174</v>
      </c>
      <c r="D113" s="207">
        <f>'FY 2003'!I103</f>
        <v>0</v>
      </c>
      <c r="E113" s="207">
        <f>'FY 2004'!I103</f>
        <v>0</v>
      </c>
      <c r="F113" s="209">
        <f>ROUND('SUMMARY-ALL YEARS'!F113/1000,1)</f>
        <v>18540.599999999999</v>
      </c>
      <c r="G113" s="209">
        <f>ROUND('SUMMARY-ALL YEARS'!G113/1000,1)</f>
        <v>20383.5</v>
      </c>
      <c r="H113" s="209">
        <f>ROUND('SUMMARY-ALL YEARS'!H113/1000,1)</f>
        <v>21830.5</v>
      </c>
      <c r="I113" s="209">
        <f>ROUND('SUMMARY-ALL YEARS'!I113/1000,1)</f>
        <v>23010.400000000001</v>
      </c>
      <c r="J113" s="209">
        <f>ROUND('SUMMARY-ALL YEARS'!J113/1000,1)</f>
        <v>24292.9</v>
      </c>
      <c r="K113" s="209">
        <f>ROUND('SUMMARY-ALL YEARS'!K113/1000,1)</f>
        <v>25223.200000000001</v>
      </c>
      <c r="L113" s="209">
        <f>ROUND('SUMMARY-ALL YEARS'!L113/1000,1)</f>
        <v>25220.400000000001</v>
      </c>
      <c r="M113" s="209">
        <f>ROUND('SUMMARY-ALL YEARS'!M113/1000,1)</f>
        <v>24544.400000000001</v>
      </c>
      <c r="N113" s="209">
        <f>ROUND('SUMMARY-ALL YEARS'!N113/1000,1)</f>
        <v>23904.799999999999</v>
      </c>
      <c r="O113" s="209">
        <f>ROUND('SUMMARY-ALL YEARS'!O113/1000,1)</f>
        <v>24072</v>
      </c>
      <c r="P113" s="209">
        <f>ROUND('SUMMARY-ALL YEARS'!P113/1000,1)</f>
        <v>24362</v>
      </c>
      <c r="Q113" s="209">
        <f>SUM(I113:J113)</f>
        <v>47303.3</v>
      </c>
      <c r="R113" s="209">
        <f>SUM(K113:L113)</f>
        <v>50443.600000000006</v>
      </c>
      <c r="S113" s="209">
        <f>SUM(M113:N113)</f>
        <v>48449.2</v>
      </c>
      <c r="T113" s="209">
        <f>SUM(O113:P113)</f>
        <v>48434</v>
      </c>
      <c r="U113" s="209">
        <f>R113-Q113</f>
        <v>3140.3000000000029</v>
      </c>
      <c r="V113" s="222">
        <f>U113/Q113</f>
        <v>6.6386488891895551E-2</v>
      </c>
      <c r="W113" s="209">
        <f>S113-R113</f>
        <v>-1994.4000000000087</v>
      </c>
      <c r="X113" s="222">
        <f>W113/R113</f>
        <v>-3.9537225733294379E-2</v>
      </c>
      <c r="Y113" s="209">
        <f>T113-S113</f>
        <v>-15.19999999999709</v>
      </c>
      <c r="Z113" s="222">
        <f>Y113/S113</f>
        <v>-3.1373067047540704E-4</v>
      </c>
    </row>
    <row r="114" spans="1:26" x14ac:dyDescent="0.15">
      <c r="A114" s="203">
        <f>A113+1</f>
        <v>28</v>
      </c>
      <c r="B114" s="208" t="s">
        <v>168</v>
      </c>
      <c r="C114" s="208"/>
      <c r="D114" s="207">
        <f>'FY 2003'!I104</f>
        <v>0</v>
      </c>
      <c r="E114" s="207">
        <f>'FY 2004'!I104</f>
        <v>0</v>
      </c>
      <c r="F114" s="209">
        <f>ROUND('SUMMARY-ALL YEARS'!F114/1000,1)</f>
        <v>0</v>
      </c>
      <c r="G114" s="209">
        <f>ROUND('SUMMARY-ALL YEARS'!G114/1000,1)</f>
        <v>0</v>
      </c>
      <c r="H114" s="209">
        <f>ROUND('SUMMARY-ALL YEARS'!H114/1000,1)</f>
        <v>9695.5</v>
      </c>
      <c r="I114" s="209">
        <f>ROUND('SUMMARY-ALL YEARS'!I114/1000,1)</f>
        <v>12779.7</v>
      </c>
      <c r="J114" s="209">
        <f>ROUND('SUMMARY-ALL YEARS'!J114/1000,1)</f>
        <v>13353.4</v>
      </c>
      <c r="K114" s="209">
        <f>ROUND('SUMMARY-ALL YEARS'!K114/1000,1)</f>
        <v>16808.3</v>
      </c>
      <c r="L114" s="209">
        <f>ROUND('SUMMARY-ALL YEARS'!L114/1000,1)</f>
        <v>18764.099999999999</v>
      </c>
      <c r="M114" s="209">
        <f>ROUND('SUMMARY-ALL YEARS'!M114/1000,1)</f>
        <v>23054.9</v>
      </c>
      <c r="N114" s="209">
        <f>ROUND('SUMMARY-ALL YEARS'!N114/1000,1)</f>
        <v>23061.5</v>
      </c>
      <c r="O114" s="209">
        <f>ROUND('SUMMARY-ALL YEARS'!O114/1000,1)</f>
        <v>23474.2</v>
      </c>
      <c r="P114" s="209">
        <f>ROUND('SUMMARY-ALL YEARS'!P114/1000,1)</f>
        <v>23994</v>
      </c>
      <c r="Q114" s="209">
        <f>SUM(I114:J114)</f>
        <v>26133.1</v>
      </c>
      <c r="R114" s="209">
        <f>SUM(K114:L114)</f>
        <v>35572.399999999994</v>
      </c>
      <c r="S114" s="209">
        <f>SUM(M114:N114)</f>
        <v>46116.4</v>
      </c>
      <c r="T114" s="209">
        <f>SUM(O114:P114)</f>
        <v>47468.2</v>
      </c>
      <c r="U114" s="209">
        <f>R114-Q114</f>
        <v>9439.2999999999956</v>
      </c>
      <c r="V114" s="222">
        <f>U114/Q114</f>
        <v>0.36120092908992796</v>
      </c>
      <c r="W114" s="209">
        <f>S114-R114</f>
        <v>10544.000000000007</v>
      </c>
      <c r="X114" s="222">
        <f>W114/R114</f>
        <v>0.29640957596338757</v>
      </c>
      <c r="Y114" s="209">
        <f>T114-S114</f>
        <v>1351.7999999999956</v>
      </c>
      <c r="Z114" s="222">
        <f>Y114/S114</f>
        <v>2.9312782437484183E-2</v>
      </c>
    </row>
    <row r="115" spans="1:26" x14ac:dyDescent="0.15">
      <c r="A115" s="203">
        <f>A114+1</f>
        <v>29</v>
      </c>
      <c r="B115" s="203" t="s">
        <v>154</v>
      </c>
      <c r="D115" s="207">
        <f>'FY 2003'!I105</f>
        <v>224945858</v>
      </c>
      <c r="E115" s="207">
        <f>'FY 2004'!I105</f>
        <v>351087875</v>
      </c>
      <c r="F115" s="209">
        <f>ROUND('SUMMARY-ALL YEARS'!F115/1000,1)</f>
        <v>379954.5</v>
      </c>
      <c r="G115" s="209">
        <f>ROUND('SUMMARY-ALL YEARS'!G115/1000,1)</f>
        <v>410867.9</v>
      </c>
      <c r="H115" s="209">
        <f>ROUND('SUMMARY-ALL YEARS'!H115/1000,1)</f>
        <v>482421.7</v>
      </c>
      <c r="I115" s="209">
        <f>ROUND('SUMMARY-ALL YEARS'!I115/1000,1)</f>
        <v>540184.30000000005</v>
      </c>
      <c r="J115" s="209">
        <f>ROUND('SUMMARY-ALL YEARS'!J115/1000,1)</f>
        <v>635333.5</v>
      </c>
      <c r="K115" s="209">
        <f>ROUND('SUMMARY-ALL YEARS'!K115/1000,1)</f>
        <v>712846.8</v>
      </c>
      <c r="L115" s="209">
        <f>ROUND('SUMMARY-ALL YEARS'!L115/1000,1)</f>
        <v>738357.9</v>
      </c>
      <c r="M115" s="209">
        <f>ROUND('SUMMARY-ALL YEARS'!M115/1000,1)</f>
        <v>745759.1</v>
      </c>
      <c r="N115" s="209">
        <f>ROUND('SUMMARY-ALL YEARS'!N115/1000,1)</f>
        <v>802617.3</v>
      </c>
      <c r="O115" s="209">
        <f>ROUND('SUMMARY-ALL YEARS'!O115/1000,1)</f>
        <v>847746.6</v>
      </c>
      <c r="P115" s="209">
        <f>ROUND('SUMMARY-ALL YEARS'!P115/1000,1)</f>
        <v>914711.5</v>
      </c>
      <c r="Q115" s="209">
        <f>SUM(I115:J115)</f>
        <v>1175517.8</v>
      </c>
      <c r="R115" s="209">
        <f>SUM(K115:L115)</f>
        <v>1451204.7000000002</v>
      </c>
      <c r="S115" s="209">
        <f>SUM(M115:N115)</f>
        <v>1548376.4</v>
      </c>
      <c r="T115" s="209">
        <f>SUM(O115:P115)</f>
        <v>1762458.1</v>
      </c>
      <c r="U115" s="209">
        <f>R115-Q115</f>
        <v>275686.90000000014</v>
      </c>
      <c r="V115" s="222">
        <f>U115/Q115</f>
        <v>0.23452379878892529</v>
      </c>
      <c r="W115" s="209">
        <f>S115-R115</f>
        <v>97171.699999999721</v>
      </c>
      <c r="X115" s="222">
        <f>W115/R115</f>
        <v>6.695933385551997E-2</v>
      </c>
      <c r="Y115" s="209">
        <f>T115-S115</f>
        <v>214081.70000000019</v>
      </c>
      <c r="Z115" s="222">
        <f>Y115/S115</f>
        <v>0.13826205307701681</v>
      </c>
    </row>
    <row r="116" spans="1:26" x14ac:dyDescent="0.15">
      <c r="D116" s="207"/>
      <c r="E116" s="207"/>
      <c r="F116" s="207"/>
      <c r="G116" s="207"/>
      <c r="H116" s="207"/>
      <c r="I116" s="207"/>
      <c r="J116" s="207"/>
      <c r="K116" s="207"/>
      <c r="L116" s="207"/>
      <c r="M116" s="207"/>
      <c r="N116" s="207"/>
      <c r="O116" s="207"/>
      <c r="P116" s="207"/>
    </row>
    <row r="117" spans="1:26" x14ac:dyDescent="0.15">
      <c r="A117" s="203">
        <f>A115+1</f>
        <v>30</v>
      </c>
      <c r="B117" s="208" t="s">
        <v>159</v>
      </c>
      <c r="C117" s="208"/>
      <c r="D117" s="207">
        <f t="shared" ref="D117:L117" si="64">SUM(D111:D115)</f>
        <v>224945858</v>
      </c>
      <c r="E117" s="207">
        <f t="shared" si="64"/>
        <v>351087875</v>
      </c>
      <c r="F117" s="209">
        <f t="shared" si="64"/>
        <v>460882.7</v>
      </c>
      <c r="G117" s="209">
        <f t="shared" si="64"/>
        <v>500602.9</v>
      </c>
      <c r="H117" s="209">
        <f t="shared" si="64"/>
        <v>679622.3</v>
      </c>
      <c r="I117" s="209">
        <f t="shared" si="64"/>
        <v>758409.10000000009</v>
      </c>
      <c r="J117" s="209">
        <f t="shared" si="64"/>
        <v>867934.4</v>
      </c>
      <c r="K117" s="209">
        <f t="shared" si="64"/>
        <v>955120.4</v>
      </c>
      <c r="L117" s="209">
        <f t="shared" si="64"/>
        <v>983204.4</v>
      </c>
      <c r="M117" s="209">
        <f>SUM(M111:M115)</f>
        <v>989154.6</v>
      </c>
      <c r="N117" s="209">
        <f>SUM(N111:N115)</f>
        <v>1040500.9</v>
      </c>
      <c r="O117" s="209">
        <f>SUM(O111:O115)</f>
        <v>1085889</v>
      </c>
      <c r="P117" s="209">
        <f>SUM(P111:P115)</f>
        <v>1155506.3999999999</v>
      </c>
      <c r="Q117" s="209">
        <f>SUM(I117:J117)</f>
        <v>1626343.5</v>
      </c>
      <c r="R117" s="209">
        <f>SUM(K117:L117)</f>
        <v>1938324.8</v>
      </c>
      <c r="S117" s="209">
        <f>SUM(M117:N117)</f>
        <v>2029655.5</v>
      </c>
      <c r="T117" s="209">
        <f>SUM(O117:P117)</f>
        <v>2241395.4</v>
      </c>
      <c r="U117" s="209">
        <f>R117-Q117</f>
        <v>311981.30000000005</v>
      </c>
      <c r="V117" s="222">
        <f>U117/Q117</f>
        <v>0.19182989325440786</v>
      </c>
      <c r="W117" s="209">
        <f>S117-R117</f>
        <v>91330.699999999953</v>
      </c>
      <c r="X117" s="222">
        <f>W117/R117</f>
        <v>4.7118367365469371E-2</v>
      </c>
      <c r="Y117" s="209">
        <f>T117-S117</f>
        <v>211739.89999999991</v>
      </c>
      <c r="Z117" s="222">
        <f>Y117/S117</f>
        <v>0.10432307354622491</v>
      </c>
    </row>
    <row r="118" spans="1:26" x14ac:dyDescent="0.15">
      <c r="B118" s="208"/>
      <c r="C118" s="208"/>
      <c r="D118" s="207"/>
      <c r="E118" s="207"/>
      <c r="F118" s="209"/>
      <c r="G118" s="209"/>
      <c r="H118" s="209"/>
      <c r="I118" s="209"/>
      <c r="J118" s="209"/>
      <c r="K118" s="209"/>
      <c r="L118" s="209"/>
      <c r="M118" s="209"/>
      <c r="N118" s="209"/>
      <c r="O118" s="209"/>
      <c r="P118" s="209"/>
    </row>
    <row r="119" spans="1:26" x14ac:dyDescent="0.15">
      <c r="B119" s="208" t="s">
        <v>157</v>
      </c>
      <c r="C119" s="208"/>
      <c r="D119" s="207"/>
      <c r="E119" s="207"/>
      <c r="F119" s="209"/>
      <c r="G119" s="209"/>
      <c r="H119" s="209"/>
      <c r="I119" s="209"/>
      <c r="J119" s="209"/>
      <c r="K119" s="209"/>
      <c r="L119" s="209"/>
      <c r="M119" s="209"/>
      <c r="N119" s="209"/>
      <c r="O119" s="209"/>
      <c r="P119" s="209"/>
    </row>
    <row r="120" spans="1:26" x14ac:dyDescent="0.15">
      <c r="A120" s="203">
        <f>A117+1</f>
        <v>31</v>
      </c>
      <c r="B120" s="203" t="s">
        <v>141</v>
      </c>
      <c r="D120" s="207">
        <f t="shared" ref="D120:L120" si="65">D83</f>
        <v>4490060320</v>
      </c>
      <c r="E120" s="207">
        <f t="shared" si="65"/>
        <v>4403575277</v>
      </c>
      <c r="F120" s="209">
        <f t="shared" si="65"/>
        <v>4384973.8</v>
      </c>
      <c r="G120" s="209">
        <f t="shared" si="65"/>
        <v>4558383.7</v>
      </c>
      <c r="H120" s="209">
        <f t="shared" si="65"/>
        <v>4741676.9000000004</v>
      </c>
      <c r="I120" s="209">
        <f t="shared" si="65"/>
        <v>4837724.5</v>
      </c>
      <c r="J120" s="209">
        <f t="shared" si="65"/>
        <v>4860574.7</v>
      </c>
      <c r="K120" s="209">
        <f t="shared" si="65"/>
        <v>4857032</v>
      </c>
      <c r="L120" s="209">
        <f t="shared" si="65"/>
        <v>4864927</v>
      </c>
      <c r="M120" s="209">
        <f t="shared" ref="M120:N123" si="66">M83</f>
        <v>4884153.7</v>
      </c>
      <c r="N120" s="209">
        <f t="shared" si="66"/>
        <v>4925154</v>
      </c>
      <c r="O120" s="209">
        <f t="shared" ref="O120:P123" si="67">O83</f>
        <v>4976401.8</v>
      </c>
      <c r="P120" s="209">
        <f t="shared" si="67"/>
        <v>5031822.4000000004</v>
      </c>
      <c r="Q120" s="209">
        <f>SUM(I120:J120)</f>
        <v>9698299.1999999993</v>
      </c>
      <c r="R120" s="209">
        <f>SUM(K120:L120)</f>
        <v>9721959</v>
      </c>
      <c r="S120" s="209">
        <f>SUM(M120:N120)</f>
        <v>9809307.6999999993</v>
      </c>
      <c r="T120" s="209">
        <f>SUM(O120:P120)</f>
        <v>10008224.199999999</v>
      </c>
      <c r="U120" s="209">
        <f>R120-Q120</f>
        <v>23659.800000000745</v>
      </c>
      <c r="V120" s="222">
        <f>U120/Q120</f>
        <v>2.4395823960556657E-3</v>
      </c>
      <c r="W120" s="209">
        <f>S120-R120</f>
        <v>87348.699999999255</v>
      </c>
      <c r="X120" s="222">
        <f>W120/R120</f>
        <v>8.9846809681052194E-3</v>
      </c>
      <c r="Y120" s="209">
        <f>T120-S120</f>
        <v>198916.5</v>
      </c>
      <c r="Z120" s="222">
        <f>Y120/S120</f>
        <v>2.0278342374763104E-2</v>
      </c>
    </row>
    <row r="121" spans="1:26" x14ac:dyDescent="0.15">
      <c r="A121" s="203">
        <f>A120+1</f>
        <v>32</v>
      </c>
      <c r="B121" s="208" t="s">
        <v>299</v>
      </c>
      <c r="D121" s="207"/>
      <c r="E121" s="207"/>
      <c r="F121" s="209"/>
      <c r="G121" s="209">
        <f t="shared" ref="D121:L122" si="68">G84</f>
        <v>0</v>
      </c>
      <c r="H121" s="209">
        <f t="shared" si="68"/>
        <v>0</v>
      </c>
      <c r="I121" s="209">
        <f t="shared" si="68"/>
        <v>0</v>
      </c>
      <c r="J121" s="209">
        <f t="shared" si="68"/>
        <v>48378.1</v>
      </c>
      <c r="K121" s="209">
        <f t="shared" si="68"/>
        <v>0</v>
      </c>
      <c r="L121" s="209">
        <f t="shared" si="68"/>
        <v>0</v>
      </c>
      <c r="M121" s="209">
        <f t="shared" si="66"/>
        <v>0</v>
      </c>
      <c r="N121" s="209">
        <f t="shared" si="66"/>
        <v>0</v>
      </c>
      <c r="O121" s="209">
        <f t="shared" si="67"/>
        <v>0</v>
      </c>
      <c r="P121" s="209">
        <f t="shared" si="67"/>
        <v>0</v>
      </c>
      <c r="Q121" s="209">
        <f>SUM(I121:J121)</f>
        <v>48378.1</v>
      </c>
      <c r="R121" s="209">
        <f>SUM(K121:L121)</f>
        <v>0</v>
      </c>
      <c r="S121" s="209">
        <f>SUM(M121:N121)</f>
        <v>0</v>
      </c>
      <c r="T121" s="209">
        <f>SUM(O121:P121)</f>
        <v>0</v>
      </c>
      <c r="U121" s="209">
        <f>R121-Q121</f>
        <v>-48378.1</v>
      </c>
      <c r="V121" s="222">
        <f>U121/Q121</f>
        <v>-1</v>
      </c>
      <c r="W121" s="209">
        <f>S121-R121</f>
        <v>0</v>
      </c>
      <c r="X121" s="222" t="e">
        <f>W121/R121</f>
        <v>#DIV/0!</v>
      </c>
      <c r="Y121" s="209">
        <f>T121-S121</f>
        <v>0</v>
      </c>
      <c r="Z121" s="222" t="e">
        <f>Y121/S121</f>
        <v>#DIV/0!</v>
      </c>
    </row>
    <row r="122" spans="1:26" x14ac:dyDescent="0.15">
      <c r="A122" s="203">
        <f>A121+1</f>
        <v>33</v>
      </c>
      <c r="B122" s="208" t="s">
        <v>167</v>
      </c>
      <c r="C122" s="208"/>
      <c r="D122" s="207">
        <f t="shared" si="68"/>
        <v>0</v>
      </c>
      <c r="E122" s="207">
        <f t="shared" si="68"/>
        <v>0</v>
      </c>
      <c r="F122" s="209">
        <f t="shared" si="68"/>
        <v>0</v>
      </c>
      <c r="G122" s="209">
        <f t="shared" si="68"/>
        <v>3812.2</v>
      </c>
      <c r="H122" s="209">
        <f t="shared" si="68"/>
        <v>8579.6</v>
      </c>
      <c r="I122" s="209">
        <f t="shared" si="68"/>
        <v>11441.2</v>
      </c>
      <c r="J122" s="209">
        <f t="shared" si="68"/>
        <v>11383.1</v>
      </c>
      <c r="K122" s="209">
        <f t="shared" si="68"/>
        <v>11374.8</v>
      </c>
      <c r="L122" s="209">
        <f t="shared" si="68"/>
        <v>11393.3</v>
      </c>
      <c r="M122" s="209">
        <f t="shared" si="66"/>
        <v>11438.3</v>
      </c>
      <c r="N122" s="209">
        <f t="shared" si="66"/>
        <v>11534.3</v>
      </c>
      <c r="O122" s="209">
        <f t="shared" si="67"/>
        <v>11654.3</v>
      </c>
      <c r="P122" s="209">
        <f t="shared" si="67"/>
        <v>11784.1</v>
      </c>
      <c r="Q122" s="209">
        <f>SUM(I122:J122)</f>
        <v>22824.300000000003</v>
      </c>
      <c r="R122" s="209">
        <f>SUM(K122:L122)</f>
        <v>22768.1</v>
      </c>
      <c r="S122" s="209">
        <f>SUM(M122:N122)</f>
        <v>22972.6</v>
      </c>
      <c r="T122" s="209">
        <f>SUM(O122:P122)</f>
        <v>23438.400000000001</v>
      </c>
      <c r="U122" s="209">
        <f>R122-Q122</f>
        <v>-56.200000000004366</v>
      </c>
      <c r="V122" s="222">
        <f>U122/Q122</f>
        <v>-2.4622880000702918E-3</v>
      </c>
      <c r="W122" s="209">
        <f>S122-R122</f>
        <v>204.5</v>
      </c>
      <c r="X122" s="222">
        <f>W122/R122</f>
        <v>8.9818649777539637E-3</v>
      </c>
      <c r="Y122" s="209">
        <f>T122-S122</f>
        <v>465.80000000000291</v>
      </c>
      <c r="Z122" s="222">
        <f>Y122/S122</f>
        <v>2.027632919216819E-2</v>
      </c>
    </row>
    <row r="123" spans="1:26" x14ac:dyDescent="0.15">
      <c r="A123" s="203">
        <f>A122+1</f>
        <v>34</v>
      </c>
      <c r="B123" s="203" t="s">
        <v>142</v>
      </c>
      <c r="D123" s="207">
        <f t="shared" ref="D123:L123" si="69">D86</f>
        <v>0</v>
      </c>
      <c r="E123" s="207">
        <f t="shared" si="69"/>
        <v>50351550</v>
      </c>
      <c r="F123" s="209">
        <f t="shared" si="69"/>
        <v>52327.4</v>
      </c>
      <c r="G123" s="209">
        <f t="shared" si="69"/>
        <v>52766.2</v>
      </c>
      <c r="H123" s="209">
        <f t="shared" si="69"/>
        <v>55437</v>
      </c>
      <c r="I123" s="209">
        <f t="shared" si="69"/>
        <v>59590.8</v>
      </c>
      <c r="J123" s="209">
        <f t="shared" si="69"/>
        <v>60995.6</v>
      </c>
      <c r="K123" s="209">
        <f t="shared" si="69"/>
        <v>64755</v>
      </c>
      <c r="L123" s="209">
        <f t="shared" si="69"/>
        <v>69226.3</v>
      </c>
      <c r="M123" s="209">
        <f t="shared" si="66"/>
        <v>71911.100000000006</v>
      </c>
      <c r="N123" s="209">
        <f t="shared" si="66"/>
        <v>76201</v>
      </c>
      <c r="O123" s="209">
        <f t="shared" si="67"/>
        <v>80574.8</v>
      </c>
      <c r="P123" s="209">
        <f t="shared" si="67"/>
        <v>85121.5</v>
      </c>
      <c r="Q123" s="209">
        <f>SUM(I123:J123)</f>
        <v>120586.4</v>
      </c>
      <c r="R123" s="209">
        <f>SUM(K123:L123)</f>
        <v>133981.29999999999</v>
      </c>
      <c r="S123" s="209">
        <f>SUM(M123:N123)</f>
        <v>148112.1</v>
      </c>
      <c r="T123" s="209">
        <f>SUM(O123:P123)</f>
        <v>165696.29999999999</v>
      </c>
      <c r="U123" s="209">
        <f>R123-Q123</f>
        <v>13394.899999999994</v>
      </c>
      <c r="V123" s="222">
        <f>U123/Q123</f>
        <v>0.11108134914053322</v>
      </c>
      <c r="W123" s="209">
        <f>S123-R123</f>
        <v>14130.800000000017</v>
      </c>
      <c r="X123" s="222">
        <f>W123/R123</f>
        <v>0.10546844970156297</v>
      </c>
      <c r="Y123" s="209">
        <f>T123-S123</f>
        <v>17584.199999999983</v>
      </c>
      <c r="Z123" s="222">
        <f>Y123/S123</f>
        <v>0.11872223808858279</v>
      </c>
    </row>
    <row r="124" spans="1:26" x14ac:dyDescent="0.15">
      <c r="B124" s="208" t="s">
        <v>171</v>
      </c>
      <c r="D124" s="207"/>
      <c r="E124" s="207"/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209"/>
    </row>
    <row r="125" spans="1:26" x14ac:dyDescent="0.15">
      <c r="A125" s="203">
        <f>A123+1</f>
        <v>35</v>
      </c>
      <c r="C125" s="203" t="s">
        <v>143</v>
      </c>
      <c r="D125" s="207">
        <f t="shared" ref="D125:L125" si="70">D88</f>
        <v>262694686</v>
      </c>
      <c r="E125" s="207">
        <f t="shared" si="70"/>
        <v>249146954</v>
      </c>
      <c r="F125" s="209">
        <f t="shared" si="70"/>
        <v>265074.5</v>
      </c>
      <c r="G125" s="209">
        <f t="shared" si="70"/>
        <v>292547.5</v>
      </c>
      <c r="H125" s="209">
        <f t="shared" si="70"/>
        <v>315471.90000000002</v>
      </c>
      <c r="I125" s="209">
        <f t="shared" si="70"/>
        <v>333928.09999999998</v>
      </c>
      <c r="J125" s="209">
        <f t="shared" si="70"/>
        <v>348510.7</v>
      </c>
      <c r="K125" s="209">
        <f t="shared" si="70"/>
        <v>361172.1</v>
      </c>
      <c r="L125" s="209">
        <f t="shared" si="70"/>
        <v>414257.7</v>
      </c>
      <c r="M125" s="209">
        <f t="shared" ref="M125:N131" si="71">M88</f>
        <v>437710.6</v>
      </c>
      <c r="N125" s="209">
        <f t="shared" si="71"/>
        <v>457014.8</v>
      </c>
      <c r="O125" s="209">
        <f t="shared" ref="O125:P131" si="72">O88</f>
        <v>478412.4</v>
      </c>
      <c r="P125" s="209">
        <f t="shared" si="72"/>
        <v>500648.4</v>
      </c>
      <c r="Q125" s="209">
        <f t="shared" ref="Q125:Q138" si="73">SUM(I125:J125)</f>
        <v>682438.8</v>
      </c>
      <c r="R125" s="209">
        <f t="shared" ref="R125:R138" si="74">SUM(K125:L125)</f>
        <v>775429.8</v>
      </c>
      <c r="S125" s="209">
        <f t="shared" ref="S125:S138" si="75">SUM(M125:N125)</f>
        <v>894725.39999999991</v>
      </c>
      <c r="T125" s="209">
        <f t="shared" ref="T125:T138" si="76">SUM(O125:P125)</f>
        <v>979060.8</v>
      </c>
      <c r="U125" s="209">
        <f t="shared" ref="U125:U138" si="77">R125-Q125</f>
        <v>92991</v>
      </c>
      <c r="V125" s="222">
        <f t="shared" ref="V125:V138" si="78">U125/Q125</f>
        <v>0.13626276817789373</v>
      </c>
      <c r="W125" s="209">
        <f t="shared" ref="W125:W138" si="79">S125-R125</f>
        <v>119295.59999999986</v>
      </c>
      <c r="X125" s="222">
        <f t="shared" ref="X125:X138" si="80">W125/R125</f>
        <v>0.15384448727660435</v>
      </c>
      <c r="Y125" s="209">
        <f t="shared" ref="Y125:Y138" si="81">T125-S125</f>
        <v>84335.40000000014</v>
      </c>
      <c r="Z125" s="222">
        <f t="shared" ref="Z125:Z138" si="82">Y125/S125</f>
        <v>9.4258417163523192E-2</v>
      </c>
    </row>
    <row r="126" spans="1:26" x14ac:dyDescent="0.15">
      <c r="A126" s="203">
        <f t="shared" ref="A126:A138" si="83">A125+1</f>
        <v>36</v>
      </c>
      <c r="C126" s="203" t="s">
        <v>144</v>
      </c>
      <c r="D126" s="207">
        <f t="shared" ref="D126:L126" si="84">D89</f>
        <v>36857227</v>
      </c>
      <c r="E126" s="207">
        <f t="shared" si="84"/>
        <v>28818713</v>
      </c>
      <c r="F126" s="209">
        <f t="shared" si="84"/>
        <v>29477.7</v>
      </c>
      <c r="G126" s="209">
        <f t="shared" si="84"/>
        <v>30912.7</v>
      </c>
      <c r="H126" s="209">
        <f t="shared" si="84"/>
        <v>31474.3</v>
      </c>
      <c r="I126" s="209">
        <f t="shared" si="84"/>
        <v>32316.799999999999</v>
      </c>
      <c r="J126" s="209">
        <f t="shared" si="84"/>
        <v>32058.2</v>
      </c>
      <c r="K126" s="209">
        <f t="shared" si="84"/>
        <v>31812.400000000001</v>
      </c>
      <c r="L126" s="209">
        <f t="shared" si="84"/>
        <v>31727.8</v>
      </c>
      <c r="M126" s="209">
        <f t="shared" si="71"/>
        <v>31763.599999999999</v>
      </c>
      <c r="N126" s="209">
        <f t="shared" si="71"/>
        <v>31922.5</v>
      </c>
      <c r="O126" s="209">
        <f t="shared" si="72"/>
        <v>32235.9</v>
      </c>
      <c r="P126" s="209">
        <f t="shared" si="72"/>
        <v>32595.200000000001</v>
      </c>
      <c r="Q126" s="209">
        <f t="shared" si="73"/>
        <v>64375</v>
      </c>
      <c r="R126" s="209">
        <f t="shared" si="74"/>
        <v>63540.2</v>
      </c>
      <c r="S126" s="209">
        <f t="shared" si="75"/>
        <v>63686.1</v>
      </c>
      <c r="T126" s="209">
        <f t="shared" si="76"/>
        <v>64831.100000000006</v>
      </c>
      <c r="U126" s="209">
        <f t="shared" si="77"/>
        <v>-834.80000000000291</v>
      </c>
      <c r="V126" s="222">
        <f t="shared" si="78"/>
        <v>-1.2967766990291308E-2</v>
      </c>
      <c r="W126" s="209">
        <f t="shared" si="79"/>
        <v>145.90000000000146</v>
      </c>
      <c r="X126" s="222">
        <f t="shared" si="80"/>
        <v>2.2961841479882256E-3</v>
      </c>
      <c r="Y126" s="209">
        <f t="shared" si="81"/>
        <v>1145.0000000000073</v>
      </c>
      <c r="Z126" s="222">
        <f t="shared" si="82"/>
        <v>1.7978805422219406E-2</v>
      </c>
    </row>
    <row r="127" spans="1:26" x14ac:dyDescent="0.15">
      <c r="A127" s="203">
        <f t="shared" si="83"/>
        <v>37</v>
      </c>
      <c r="B127" s="208"/>
      <c r="C127" s="208" t="s">
        <v>170</v>
      </c>
      <c r="D127" s="207">
        <f t="shared" ref="D127:L127" si="85">D90</f>
        <v>9779108</v>
      </c>
      <c r="E127" s="207">
        <f t="shared" si="85"/>
        <v>7276758</v>
      </c>
      <c r="F127" s="209">
        <f t="shared" si="85"/>
        <v>7434.3</v>
      </c>
      <c r="G127" s="209">
        <f t="shared" si="85"/>
        <v>7883.2</v>
      </c>
      <c r="H127" s="209">
        <f t="shared" si="85"/>
        <v>8057.6</v>
      </c>
      <c r="I127" s="209">
        <f t="shared" si="85"/>
        <v>8306.5</v>
      </c>
      <c r="J127" s="209">
        <f t="shared" si="85"/>
        <v>8316.7999999999993</v>
      </c>
      <c r="K127" s="209">
        <f t="shared" si="85"/>
        <v>8256.6</v>
      </c>
      <c r="L127" s="209">
        <f t="shared" si="85"/>
        <v>8398.5</v>
      </c>
      <c r="M127" s="209">
        <f t="shared" si="71"/>
        <v>8421</v>
      </c>
      <c r="N127" s="209">
        <f t="shared" si="71"/>
        <v>8520.1</v>
      </c>
      <c r="O127" s="209">
        <f t="shared" si="72"/>
        <v>8605.4</v>
      </c>
      <c r="P127" s="209">
        <f t="shared" si="72"/>
        <v>8699.5</v>
      </c>
      <c r="Q127" s="209">
        <f t="shared" si="73"/>
        <v>16623.3</v>
      </c>
      <c r="R127" s="209">
        <f t="shared" si="74"/>
        <v>16655.099999999999</v>
      </c>
      <c r="S127" s="209">
        <f t="shared" si="75"/>
        <v>16941.099999999999</v>
      </c>
      <c r="T127" s="209">
        <f t="shared" si="76"/>
        <v>17304.900000000001</v>
      </c>
      <c r="U127" s="209">
        <f t="shared" si="77"/>
        <v>31.799999999999272</v>
      </c>
      <c r="V127" s="222">
        <f t="shared" si="78"/>
        <v>1.912977567630932E-3</v>
      </c>
      <c r="W127" s="209">
        <f t="shared" si="79"/>
        <v>286</v>
      </c>
      <c r="X127" s="222">
        <f t="shared" si="80"/>
        <v>1.7171917310613568E-2</v>
      </c>
      <c r="Y127" s="209">
        <f t="shared" si="81"/>
        <v>363.80000000000291</v>
      </c>
      <c r="Z127" s="222">
        <f t="shared" si="82"/>
        <v>2.1474402488622518E-2</v>
      </c>
    </row>
    <row r="128" spans="1:26" x14ac:dyDescent="0.15">
      <c r="A128" s="203">
        <f t="shared" si="83"/>
        <v>38</v>
      </c>
      <c r="B128" s="203" t="s">
        <v>145</v>
      </c>
      <c r="D128" s="207">
        <f t="shared" ref="D128:L128" si="86">D91</f>
        <v>16471551</v>
      </c>
      <c r="E128" s="207">
        <f t="shared" si="86"/>
        <v>16909578</v>
      </c>
      <c r="F128" s="209">
        <f t="shared" si="86"/>
        <v>17548.599999999999</v>
      </c>
      <c r="G128" s="209">
        <f t="shared" si="86"/>
        <v>18853.099999999999</v>
      </c>
      <c r="H128" s="209">
        <f t="shared" si="86"/>
        <v>20254.2</v>
      </c>
      <c r="I128" s="209">
        <f t="shared" si="86"/>
        <v>21637.5</v>
      </c>
      <c r="J128" s="209">
        <f t="shared" si="86"/>
        <v>22898.799999999999</v>
      </c>
      <c r="K128" s="209">
        <f t="shared" si="86"/>
        <v>23367.8</v>
      </c>
      <c r="L128" s="209">
        <f t="shared" si="86"/>
        <v>23450.3</v>
      </c>
      <c r="M128" s="209">
        <f t="shared" si="71"/>
        <v>24120.2</v>
      </c>
      <c r="N128" s="209">
        <f t="shared" si="71"/>
        <v>24365</v>
      </c>
      <c r="O128" s="209">
        <f t="shared" si="72"/>
        <v>24718.1</v>
      </c>
      <c r="P128" s="209">
        <f t="shared" si="72"/>
        <v>25112.2</v>
      </c>
      <c r="Q128" s="209">
        <f t="shared" si="73"/>
        <v>44536.3</v>
      </c>
      <c r="R128" s="209">
        <f t="shared" si="74"/>
        <v>46818.1</v>
      </c>
      <c r="S128" s="209">
        <f t="shared" si="75"/>
        <v>48485.2</v>
      </c>
      <c r="T128" s="209">
        <f t="shared" si="76"/>
        <v>49830.3</v>
      </c>
      <c r="U128" s="209">
        <f t="shared" si="77"/>
        <v>2281.7999999999956</v>
      </c>
      <c r="V128" s="222">
        <f t="shared" si="78"/>
        <v>5.1234610867988487E-2</v>
      </c>
      <c r="W128" s="209">
        <f t="shared" si="79"/>
        <v>1667.0999999999985</v>
      </c>
      <c r="X128" s="222">
        <f t="shared" si="80"/>
        <v>3.5608023392662211E-2</v>
      </c>
      <c r="Y128" s="209">
        <f t="shared" si="81"/>
        <v>1345.1000000000058</v>
      </c>
      <c r="Z128" s="222">
        <f t="shared" si="82"/>
        <v>2.7742486366973962E-2</v>
      </c>
    </row>
    <row r="129" spans="1:26" x14ac:dyDescent="0.15">
      <c r="A129" s="203">
        <f t="shared" si="83"/>
        <v>39</v>
      </c>
      <c r="B129" s="203" t="s">
        <v>146</v>
      </c>
      <c r="D129" s="207">
        <f t="shared" ref="D129:L129" si="87">D92</f>
        <v>56478364</v>
      </c>
      <c r="E129" s="207">
        <f t="shared" si="87"/>
        <v>55913098</v>
      </c>
      <c r="F129" s="209">
        <f t="shared" si="87"/>
        <v>55511.199999999997</v>
      </c>
      <c r="G129" s="209">
        <f t="shared" si="87"/>
        <v>57332.800000000003</v>
      </c>
      <c r="H129" s="209">
        <f t="shared" si="87"/>
        <v>59221.8</v>
      </c>
      <c r="I129" s="209">
        <f t="shared" si="87"/>
        <v>60083.8</v>
      </c>
      <c r="J129" s="209">
        <f t="shared" si="87"/>
        <v>60159.1</v>
      </c>
      <c r="K129" s="209">
        <f t="shared" si="87"/>
        <v>59886.7</v>
      </c>
      <c r="L129" s="209">
        <f t="shared" si="87"/>
        <v>60310.6</v>
      </c>
      <c r="M129" s="209">
        <f t="shared" si="71"/>
        <v>60119.9</v>
      </c>
      <c r="N129" s="209">
        <f t="shared" si="71"/>
        <v>59879.9</v>
      </c>
      <c r="O129" s="209">
        <f t="shared" si="72"/>
        <v>54545.2</v>
      </c>
      <c r="P129" s="209">
        <f t="shared" si="72"/>
        <v>54382.3</v>
      </c>
      <c r="Q129" s="209">
        <f t="shared" si="73"/>
        <v>120242.9</v>
      </c>
      <c r="R129" s="209">
        <f t="shared" si="74"/>
        <v>120197.29999999999</v>
      </c>
      <c r="S129" s="209">
        <f t="shared" si="75"/>
        <v>119999.8</v>
      </c>
      <c r="T129" s="209">
        <f t="shared" si="76"/>
        <v>108927.5</v>
      </c>
      <c r="U129" s="209">
        <f t="shared" si="77"/>
        <v>-45.600000000005821</v>
      </c>
      <c r="V129" s="222">
        <f t="shared" si="78"/>
        <v>-3.7923237047680837E-4</v>
      </c>
      <c r="W129" s="209">
        <f t="shared" si="79"/>
        <v>-197.49999999998545</v>
      </c>
      <c r="X129" s="222">
        <f t="shared" si="80"/>
        <v>-1.6431317508794746E-3</v>
      </c>
      <c r="Y129" s="209">
        <f t="shared" si="81"/>
        <v>-11072.300000000003</v>
      </c>
      <c r="Z129" s="222">
        <f t="shared" si="82"/>
        <v>-9.2269320448867431E-2</v>
      </c>
    </row>
    <row r="130" spans="1:26" x14ac:dyDescent="0.15">
      <c r="A130" s="203">
        <f t="shared" si="83"/>
        <v>40</v>
      </c>
      <c r="B130" s="203" t="s">
        <v>148</v>
      </c>
      <c r="D130" s="207">
        <f t="shared" ref="D130:L130" si="88">D93</f>
        <v>25114308</v>
      </c>
      <c r="E130" s="207">
        <f t="shared" si="88"/>
        <v>18869558</v>
      </c>
      <c r="F130" s="209">
        <f t="shared" si="88"/>
        <v>12876.8</v>
      </c>
      <c r="G130" s="209">
        <f t="shared" si="88"/>
        <v>8213.5</v>
      </c>
      <c r="H130" s="209">
        <f t="shared" si="88"/>
        <v>4354.3999999999996</v>
      </c>
      <c r="I130" s="209">
        <f t="shared" si="88"/>
        <v>2146.1</v>
      </c>
      <c r="J130" s="209">
        <f t="shared" si="88"/>
        <v>1207.4000000000001</v>
      </c>
      <c r="K130" s="209">
        <f t="shared" si="88"/>
        <v>676.1</v>
      </c>
      <c r="L130" s="209">
        <f t="shared" si="88"/>
        <v>372.4</v>
      </c>
      <c r="M130" s="209">
        <f t="shared" si="71"/>
        <v>221.7</v>
      </c>
      <c r="N130" s="209">
        <f t="shared" si="71"/>
        <v>157.4</v>
      </c>
      <c r="O130" s="209">
        <f t="shared" si="72"/>
        <v>127.2</v>
      </c>
      <c r="P130" s="209">
        <f t="shared" si="72"/>
        <v>102.8</v>
      </c>
      <c r="Q130" s="209">
        <f t="shared" si="73"/>
        <v>3353.5</v>
      </c>
      <c r="R130" s="209">
        <f t="shared" si="74"/>
        <v>1048.5</v>
      </c>
      <c r="S130" s="209">
        <f t="shared" si="75"/>
        <v>379.1</v>
      </c>
      <c r="T130" s="209">
        <f t="shared" si="76"/>
        <v>230</v>
      </c>
      <c r="U130" s="209">
        <f t="shared" si="77"/>
        <v>-2305</v>
      </c>
      <c r="V130" s="222">
        <f t="shared" si="78"/>
        <v>-0.68734158342030716</v>
      </c>
      <c r="W130" s="209">
        <f t="shared" si="79"/>
        <v>-669.4</v>
      </c>
      <c r="X130" s="222">
        <f t="shared" si="80"/>
        <v>-0.63843586075345726</v>
      </c>
      <c r="Y130" s="209">
        <f t="shared" si="81"/>
        <v>-149.10000000000002</v>
      </c>
      <c r="Z130" s="222">
        <f t="shared" si="82"/>
        <v>-0.3932999208652071</v>
      </c>
    </row>
    <row r="131" spans="1:26" x14ac:dyDescent="0.15">
      <c r="A131" s="203">
        <f t="shared" si="83"/>
        <v>41</v>
      </c>
      <c r="B131" s="208" t="s">
        <v>244</v>
      </c>
      <c r="D131" s="207">
        <f t="shared" ref="D131:L132" si="89">D94</f>
        <v>0</v>
      </c>
      <c r="E131" s="207">
        <f t="shared" si="89"/>
        <v>0</v>
      </c>
      <c r="F131" s="209">
        <f t="shared" si="89"/>
        <v>0</v>
      </c>
      <c r="G131" s="209">
        <f t="shared" si="89"/>
        <v>-344.9</v>
      </c>
      <c r="H131" s="209">
        <f t="shared" si="89"/>
        <v>0</v>
      </c>
      <c r="I131" s="209">
        <f t="shared" si="89"/>
        <v>-730.5</v>
      </c>
      <c r="J131" s="209">
        <f t="shared" si="89"/>
        <v>0</v>
      </c>
      <c r="K131" s="209">
        <f t="shared" si="89"/>
        <v>-2505.6999999999998</v>
      </c>
      <c r="L131" s="209">
        <f t="shared" si="89"/>
        <v>0</v>
      </c>
      <c r="M131" s="209">
        <f t="shared" si="71"/>
        <v>-700</v>
      </c>
      <c r="N131" s="209">
        <f t="shared" si="71"/>
        <v>0</v>
      </c>
      <c r="O131" s="209">
        <f t="shared" si="72"/>
        <v>-700</v>
      </c>
      <c r="P131" s="209">
        <f t="shared" si="72"/>
        <v>0</v>
      </c>
      <c r="Q131" s="209">
        <f t="shared" si="73"/>
        <v>-730.5</v>
      </c>
      <c r="R131" s="209">
        <f t="shared" si="74"/>
        <v>-2505.6999999999998</v>
      </c>
      <c r="S131" s="209">
        <f t="shared" si="75"/>
        <v>-700</v>
      </c>
      <c r="T131" s="209">
        <f t="shared" si="76"/>
        <v>-700</v>
      </c>
      <c r="U131" s="209">
        <f t="shared" si="77"/>
        <v>-1775.1999999999998</v>
      </c>
      <c r="V131" s="222">
        <f t="shared" si="78"/>
        <v>2.4301163586584527</v>
      </c>
      <c r="W131" s="209">
        <f t="shared" si="79"/>
        <v>1805.6999999999998</v>
      </c>
      <c r="X131" s="222">
        <f t="shared" si="80"/>
        <v>-0.72063694775910925</v>
      </c>
      <c r="Y131" s="209">
        <f t="shared" si="81"/>
        <v>0</v>
      </c>
      <c r="Z131" s="222">
        <f t="shared" si="82"/>
        <v>0</v>
      </c>
    </row>
    <row r="132" spans="1:26" x14ac:dyDescent="0.15">
      <c r="A132" s="203">
        <f t="shared" si="83"/>
        <v>42</v>
      </c>
      <c r="B132" s="208" t="s">
        <v>360</v>
      </c>
      <c r="D132" s="207"/>
      <c r="E132" s="207"/>
      <c r="F132" s="209"/>
      <c r="G132" s="209"/>
      <c r="H132" s="209">
        <v>0</v>
      </c>
      <c r="I132" s="209">
        <v>0</v>
      </c>
      <c r="J132" s="209">
        <v>0</v>
      </c>
      <c r="K132" s="209">
        <f t="shared" si="89"/>
        <v>-500000</v>
      </c>
      <c r="L132" s="209">
        <v>0</v>
      </c>
      <c r="M132" s="209">
        <v>0</v>
      </c>
      <c r="N132" s="209">
        <v>0</v>
      </c>
      <c r="O132" s="209">
        <v>0</v>
      </c>
      <c r="P132" s="209">
        <v>0</v>
      </c>
      <c r="Q132" s="209">
        <f>SUM(I132:J132)</f>
        <v>0</v>
      </c>
      <c r="R132" s="209">
        <f>SUM(K132:L132)</f>
        <v>-500000</v>
      </c>
      <c r="S132" s="209">
        <f>SUM(M132:N132)</f>
        <v>0</v>
      </c>
      <c r="T132" s="209">
        <f t="shared" si="76"/>
        <v>0</v>
      </c>
      <c r="U132" s="209">
        <f>R132-Q132</f>
        <v>-500000</v>
      </c>
      <c r="V132" s="222" t="e">
        <f t="shared" si="78"/>
        <v>#DIV/0!</v>
      </c>
      <c r="W132" s="209">
        <f>S132-R132</f>
        <v>500000</v>
      </c>
      <c r="X132" s="222">
        <f t="shared" si="80"/>
        <v>-1</v>
      </c>
      <c r="Y132" s="209">
        <f t="shared" si="81"/>
        <v>0</v>
      </c>
      <c r="Z132" s="222" t="e">
        <f t="shared" si="82"/>
        <v>#DIV/0!</v>
      </c>
    </row>
    <row r="133" spans="1:26" x14ac:dyDescent="0.15">
      <c r="A133" s="203">
        <f t="shared" si="83"/>
        <v>43</v>
      </c>
      <c r="B133" s="203" t="s">
        <v>147</v>
      </c>
      <c r="D133" s="207">
        <f t="shared" ref="D133:L133" si="90">D96-D111</f>
        <v>198438434</v>
      </c>
      <c r="E133" s="207">
        <f t="shared" si="90"/>
        <v>194217096</v>
      </c>
      <c r="F133" s="209">
        <f t="shared" si="90"/>
        <v>153689.79999999999</v>
      </c>
      <c r="G133" s="209">
        <f t="shared" si="90"/>
        <v>149750.20000000001</v>
      </c>
      <c r="H133" s="209">
        <f t="shared" si="90"/>
        <v>92182.5</v>
      </c>
      <c r="I133" s="209">
        <f t="shared" si="90"/>
        <v>82805.200000000012</v>
      </c>
      <c r="J133" s="209">
        <f t="shared" si="90"/>
        <v>73046.100000000006</v>
      </c>
      <c r="K133" s="209">
        <f t="shared" si="90"/>
        <v>70184.2</v>
      </c>
      <c r="L133" s="209">
        <f t="shared" si="90"/>
        <v>70285.8</v>
      </c>
      <c r="M133" s="209">
        <f t="shared" ref="M133:N136" si="91">M96-M111</f>
        <v>75618.700000000012</v>
      </c>
      <c r="N133" s="209">
        <f t="shared" si="91"/>
        <v>80090.5</v>
      </c>
      <c r="O133" s="209">
        <f t="shared" ref="O133:P136" si="92">O96-O111</f>
        <v>81938.200000000012</v>
      </c>
      <c r="P133" s="209">
        <f t="shared" si="92"/>
        <v>83160.3</v>
      </c>
      <c r="Q133" s="209">
        <f t="shared" si="73"/>
        <v>155851.30000000002</v>
      </c>
      <c r="R133" s="209">
        <f t="shared" si="74"/>
        <v>140470</v>
      </c>
      <c r="S133" s="209">
        <f t="shared" si="75"/>
        <v>155709.20000000001</v>
      </c>
      <c r="T133" s="209">
        <f t="shared" si="76"/>
        <v>165098.5</v>
      </c>
      <c r="U133" s="209">
        <f t="shared" si="77"/>
        <v>-15381.300000000017</v>
      </c>
      <c r="V133" s="222">
        <f t="shared" si="78"/>
        <v>-9.869215078732109E-2</v>
      </c>
      <c r="W133" s="209">
        <f t="shared" si="79"/>
        <v>15239.200000000012</v>
      </c>
      <c r="X133" s="222">
        <f t="shared" si="80"/>
        <v>0.10848722147077676</v>
      </c>
      <c r="Y133" s="209">
        <f t="shared" si="81"/>
        <v>9389.2999999999884</v>
      </c>
      <c r="Z133" s="222">
        <f t="shared" si="82"/>
        <v>6.0300226319318237E-2</v>
      </c>
    </row>
    <row r="134" spans="1:26" x14ac:dyDescent="0.15">
      <c r="A134" s="203">
        <f t="shared" si="83"/>
        <v>44</v>
      </c>
      <c r="B134" s="203" t="s">
        <v>149</v>
      </c>
      <c r="D134" s="207">
        <f t="shared" ref="D134:L134" si="93">D97-D112</f>
        <v>34642490</v>
      </c>
      <c r="E134" s="207">
        <f t="shared" si="93"/>
        <v>32112369</v>
      </c>
      <c r="F134" s="209">
        <f t="shared" si="93"/>
        <v>19350.899999999998</v>
      </c>
      <c r="G134" s="209">
        <f t="shared" si="93"/>
        <v>25916.100000000002</v>
      </c>
      <c r="H134" s="209">
        <f t="shared" si="93"/>
        <v>30534.000000000007</v>
      </c>
      <c r="I134" s="209">
        <f t="shared" si="93"/>
        <v>25104.5</v>
      </c>
      <c r="J134" s="209">
        <f t="shared" si="93"/>
        <v>19660.399999999994</v>
      </c>
      <c r="K134" s="209">
        <f t="shared" si="93"/>
        <v>16727.800000000003</v>
      </c>
      <c r="L134" s="209">
        <f t="shared" si="93"/>
        <v>16125.199999999997</v>
      </c>
      <c r="M134" s="209">
        <f t="shared" si="91"/>
        <v>18203.800000000003</v>
      </c>
      <c r="N134" s="209">
        <f t="shared" si="91"/>
        <v>21004.5</v>
      </c>
      <c r="O134" s="209">
        <f t="shared" si="92"/>
        <v>22154.399999999994</v>
      </c>
      <c r="P134" s="209">
        <f t="shared" si="92"/>
        <v>22996.600000000006</v>
      </c>
      <c r="Q134" s="209">
        <f t="shared" si="73"/>
        <v>44764.899999999994</v>
      </c>
      <c r="R134" s="209">
        <f t="shared" si="74"/>
        <v>32853</v>
      </c>
      <c r="S134" s="209">
        <f t="shared" si="75"/>
        <v>39208.300000000003</v>
      </c>
      <c r="T134" s="209">
        <f t="shared" si="76"/>
        <v>45151</v>
      </c>
      <c r="U134" s="209">
        <f t="shared" si="77"/>
        <v>-11911.899999999994</v>
      </c>
      <c r="V134" s="222">
        <f t="shared" si="78"/>
        <v>-0.26609910890005328</v>
      </c>
      <c r="W134" s="209">
        <f t="shared" si="79"/>
        <v>6355.3000000000029</v>
      </c>
      <c r="X134" s="222">
        <f t="shared" si="80"/>
        <v>0.1934465650016742</v>
      </c>
      <c r="Y134" s="209">
        <f t="shared" si="81"/>
        <v>5942.6999999999971</v>
      </c>
      <c r="Z134" s="222">
        <f t="shared" si="82"/>
        <v>0.15156739771936037</v>
      </c>
    </row>
    <row r="135" spans="1:26" x14ac:dyDescent="0.15">
      <c r="A135" s="203">
        <f t="shared" si="83"/>
        <v>45</v>
      </c>
      <c r="B135" s="208" t="s">
        <v>173</v>
      </c>
      <c r="D135" s="207">
        <f t="shared" ref="D135:L135" si="94">D98-D113</f>
        <v>0</v>
      </c>
      <c r="E135" s="207">
        <f t="shared" si="94"/>
        <v>31986524</v>
      </c>
      <c r="F135" s="209">
        <f t="shared" si="94"/>
        <v>12786</v>
      </c>
      <c r="G135" s="209">
        <f t="shared" si="94"/>
        <v>10650.2</v>
      </c>
      <c r="H135" s="209">
        <f t="shared" si="94"/>
        <v>8632</v>
      </c>
      <c r="I135" s="209">
        <f t="shared" si="94"/>
        <v>7132.8999999999978</v>
      </c>
      <c r="J135" s="209">
        <f t="shared" si="94"/>
        <v>5419.0999999999985</v>
      </c>
      <c r="K135" s="209">
        <f t="shared" si="94"/>
        <v>4250.8999999999978</v>
      </c>
      <c r="L135" s="209">
        <f t="shared" si="94"/>
        <v>4010.5</v>
      </c>
      <c r="M135" s="209">
        <f t="shared" si="91"/>
        <v>4578.3999999999978</v>
      </c>
      <c r="N135" s="209">
        <f t="shared" si="91"/>
        <v>5512.6000000000022</v>
      </c>
      <c r="O135" s="209">
        <f t="shared" si="92"/>
        <v>5899.9000000000015</v>
      </c>
      <c r="P135" s="209">
        <f t="shared" si="92"/>
        <v>6126.4000000000015</v>
      </c>
      <c r="Q135" s="209">
        <f t="shared" si="73"/>
        <v>12551.999999999996</v>
      </c>
      <c r="R135" s="209">
        <f t="shared" si="74"/>
        <v>8261.3999999999978</v>
      </c>
      <c r="S135" s="209">
        <f t="shared" si="75"/>
        <v>10091</v>
      </c>
      <c r="T135" s="209">
        <f t="shared" si="76"/>
        <v>12026.300000000003</v>
      </c>
      <c r="U135" s="209">
        <f t="shared" si="77"/>
        <v>-4290.5999999999985</v>
      </c>
      <c r="V135" s="222">
        <f t="shared" si="78"/>
        <v>-0.34182600382409178</v>
      </c>
      <c r="W135" s="209">
        <f t="shared" si="79"/>
        <v>1829.6000000000022</v>
      </c>
      <c r="X135" s="222">
        <f t="shared" si="80"/>
        <v>0.22146367443774695</v>
      </c>
      <c r="Y135" s="209">
        <f t="shared" si="81"/>
        <v>1935.3000000000029</v>
      </c>
      <c r="Z135" s="222">
        <f t="shared" si="82"/>
        <v>0.19178475869586789</v>
      </c>
    </row>
    <row r="136" spans="1:26" x14ac:dyDescent="0.15">
      <c r="A136" s="203">
        <f t="shared" si="83"/>
        <v>46</v>
      </c>
      <c r="B136" s="208" t="s">
        <v>168</v>
      </c>
      <c r="C136" s="208"/>
      <c r="D136" s="207">
        <f t="shared" ref="D136:L136" si="95">D99-D114</f>
        <v>0</v>
      </c>
      <c r="E136" s="207">
        <f t="shared" si="95"/>
        <v>0</v>
      </c>
      <c r="F136" s="209">
        <f t="shared" si="95"/>
        <v>0</v>
      </c>
      <c r="G136" s="209">
        <f t="shared" si="95"/>
        <v>16348.9</v>
      </c>
      <c r="H136" s="209">
        <f t="shared" si="95"/>
        <v>38908.199999999997</v>
      </c>
      <c r="I136" s="209">
        <f t="shared" si="95"/>
        <v>47983.899999999994</v>
      </c>
      <c r="J136" s="209">
        <f t="shared" si="95"/>
        <v>49995</v>
      </c>
      <c r="K136" s="209">
        <f t="shared" si="95"/>
        <v>41484.899999999994</v>
      </c>
      <c r="L136" s="209">
        <f t="shared" si="95"/>
        <v>46104.9</v>
      </c>
      <c r="M136" s="209">
        <f t="shared" si="91"/>
        <v>56810.299999999996</v>
      </c>
      <c r="N136" s="209">
        <f t="shared" si="91"/>
        <v>59586.5</v>
      </c>
      <c r="O136" s="209">
        <f t="shared" si="92"/>
        <v>60952.900000000009</v>
      </c>
      <c r="P136" s="209">
        <f t="shared" si="92"/>
        <v>62332</v>
      </c>
      <c r="Q136" s="209">
        <f t="shared" si="73"/>
        <v>97978.9</v>
      </c>
      <c r="R136" s="209">
        <f t="shared" si="74"/>
        <v>87589.799999999988</v>
      </c>
      <c r="S136" s="209">
        <f t="shared" si="75"/>
        <v>116396.79999999999</v>
      </c>
      <c r="T136" s="209">
        <f t="shared" si="76"/>
        <v>123284.90000000001</v>
      </c>
      <c r="U136" s="209">
        <f t="shared" si="77"/>
        <v>-10389.100000000006</v>
      </c>
      <c r="V136" s="222">
        <f t="shared" si="78"/>
        <v>-0.10603405427086859</v>
      </c>
      <c r="W136" s="209">
        <f t="shared" si="79"/>
        <v>28807</v>
      </c>
      <c r="X136" s="222">
        <f t="shared" si="80"/>
        <v>0.32888532683029309</v>
      </c>
      <c r="Y136" s="209">
        <f t="shared" si="81"/>
        <v>6888.1000000000204</v>
      </c>
      <c r="Z136" s="222">
        <f t="shared" si="82"/>
        <v>5.9177743718040542E-2</v>
      </c>
    </row>
    <row r="137" spans="1:26" x14ac:dyDescent="0.15">
      <c r="A137" s="203">
        <f t="shared" si="83"/>
        <v>47</v>
      </c>
      <c r="B137" s="208" t="s">
        <v>163</v>
      </c>
      <c r="C137" s="208"/>
      <c r="D137" s="207">
        <f t="shared" ref="D137:L137" si="96">D100-D115-D138</f>
        <v>58417206</v>
      </c>
      <c r="E137" s="207">
        <f t="shared" si="96"/>
        <v>67208298</v>
      </c>
      <c r="F137" s="209">
        <f t="shared" si="96"/>
        <v>116067.69999999998</v>
      </c>
      <c r="G137" s="209">
        <f t="shared" si="96"/>
        <v>114773.99999999997</v>
      </c>
      <c r="H137" s="209">
        <f t="shared" si="96"/>
        <v>107935.19999999994</v>
      </c>
      <c r="I137" s="209">
        <f t="shared" si="96"/>
        <v>95398.599999999904</v>
      </c>
      <c r="J137" s="209">
        <f t="shared" si="96"/>
        <v>76645.899999999951</v>
      </c>
      <c r="K137" s="209">
        <f t="shared" si="96"/>
        <v>60780.499999999956</v>
      </c>
      <c r="L137" s="209">
        <f t="shared" si="96"/>
        <v>58443.700000000026</v>
      </c>
      <c r="M137" s="209">
        <f>M100-M115-M138</f>
        <v>68309.300000000047</v>
      </c>
      <c r="N137" s="209">
        <f>N100-N115-N138</f>
        <v>84080.399999999907</v>
      </c>
      <c r="O137" s="209">
        <f>O100-O115-O138</f>
        <v>89515.400000000023</v>
      </c>
      <c r="P137" s="209">
        <f>P100-P115-P138</f>
        <v>93252</v>
      </c>
      <c r="Q137" s="209">
        <f t="shared" si="73"/>
        <v>172044.49999999985</v>
      </c>
      <c r="R137" s="209">
        <f t="shared" si="74"/>
        <v>119224.19999999998</v>
      </c>
      <c r="S137" s="209">
        <f t="shared" si="75"/>
        <v>152389.69999999995</v>
      </c>
      <c r="T137" s="209">
        <f t="shared" si="76"/>
        <v>182767.40000000002</v>
      </c>
      <c r="U137" s="209">
        <f t="shared" si="77"/>
        <v>-52820.299999999872</v>
      </c>
      <c r="V137" s="222">
        <f t="shared" si="78"/>
        <v>-0.30701533614849597</v>
      </c>
      <c r="W137" s="209">
        <f t="shared" si="79"/>
        <v>33165.499999999971</v>
      </c>
      <c r="X137" s="222">
        <f t="shared" si="80"/>
        <v>0.2781775847520887</v>
      </c>
      <c r="Y137" s="209">
        <f t="shared" si="81"/>
        <v>30377.70000000007</v>
      </c>
      <c r="Z137" s="222">
        <f t="shared" si="82"/>
        <v>0.1993422127610992</v>
      </c>
    </row>
    <row r="138" spans="1:26" x14ac:dyDescent="0.15">
      <c r="A138" s="203">
        <f t="shared" si="83"/>
        <v>48</v>
      </c>
      <c r="B138" s="203" t="s">
        <v>151</v>
      </c>
      <c r="D138" s="207">
        <f>'FY 2003'!I126</f>
        <v>8345294</v>
      </c>
      <c r="E138" s="207">
        <f>'FY 2004'!I126</f>
        <v>8040369</v>
      </c>
      <c r="F138" s="209">
        <f>ROUND('SUMMARY-ALL YEARS'!F138/1000,1)</f>
        <v>8698.9</v>
      </c>
      <c r="G138" s="209">
        <f>ROUND('SUMMARY-ALL YEARS'!G138/1000,1)</f>
        <v>8672.6</v>
      </c>
      <c r="H138" s="209">
        <f>ROUND('SUMMARY-ALL YEARS'!H138/1000,1)</f>
        <v>8609.2999999999993</v>
      </c>
      <c r="I138" s="209">
        <f>ROUND('SUMMARY-ALL YEARS'!I138/1000,1)</f>
        <v>8609.2999999999993</v>
      </c>
      <c r="J138" s="209">
        <f>ROUND('SUMMARY-ALL YEARS'!J138/1000,1)</f>
        <v>8587.7999999999993</v>
      </c>
      <c r="K138" s="209">
        <f>ROUND('SUMMARY-ALL YEARS'!K138/1000,1)</f>
        <v>8618.7000000000007</v>
      </c>
      <c r="L138" s="209">
        <f>ROUND('SUMMARY-ALL YEARS'!L138/1000,1)</f>
        <v>8593.2000000000007</v>
      </c>
      <c r="M138" s="209">
        <f>ROUND('SUMMARY-ALL YEARS'!M138/1000,1)</f>
        <v>8502</v>
      </c>
      <c r="N138" s="209">
        <f>ROUND('SUMMARY-ALL YEARS'!N138/1000,1)</f>
        <v>8502</v>
      </c>
      <c r="O138" s="209">
        <f>ROUND('SUMMARY-ALL YEARS'!O138/1000,1)</f>
        <v>8502</v>
      </c>
      <c r="P138" s="209">
        <f>ROUND('SUMMARY-ALL YEARS'!P138/1000,1)</f>
        <v>8502</v>
      </c>
      <c r="Q138" s="209">
        <f t="shared" si="73"/>
        <v>17197.099999999999</v>
      </c>
      <c r="R138" s="209">
        <f t="shared" si="74"/>
        <v>17211.900000000001</v>
      </c>
      <c r="S138" s="209">
        <f t="shared" si="75"/>
        <v>17004</v>
      </c>
      <c r="T138" s="209">
        <f t="shared" si="76"/>
        <v>17004</v>
      </c>
      <c r="U138" s="209">
        <f t="shared" si="77"/>
        <v>14.80000000000291</v>
      </c>
      <c r="V138" s="222">
        <f t="shared" si="78"/>
        <v>8.6061021916502851E-4</v>
      </c>
      <c r="W138" s="209">
        <f t="shared" si="79"/>
        <v>-207.90000000000146</v>
      </c>
      <c r="X138" s="222">
        <f t="shared" si="80"/>
        <v>-1.2078852421870999E-2</v>
      </c>
      <c r="Y138" s="209">
        <f t="shared" si="81"/>
        <v>0</v>
      </c>
      <c r="Z138" s="222">
        <f t="shared" si="82"/>
        <v>0</v>
      </c>
    </row>
    <row r="139" spans="1:26" x14ac:dyDescent="0.15">
      <c r="B139" s="208" t="s">
        <v>172</v>
      </c>
      <c r="D139" s="207"/>
      <c r="E139" s="207"/>
      <c r="F139" s="209"/>
      <c r="G139" s="209"/>
      <c r="H139" s="209"/>
      <c r="I139" s="209"/>
      <c r="J139" s="209"/>
      <c r="K139" s="209"/>
      <c r="L139" s="209"/>
      <c r="M139" s="209"/>
      <c r="N139" s="209"/>
      <c r="O139" s="209"/>
      <c r="P139" s="209"/>
    </row>
    <row r="140" spans="1:26" x14ac:dyDescent="0.15">
      <c r="A140" s="203">
        <f>A138+1</f>
        <v>49</v>
      </c>
      <c r="B140" s="208"/>
      <c r="C140" s="208" t="s">
        <v>268</v>
      </c>
      <c r="D140" s="207">
        <f>'FY 2003'!I131</f>
        <v>0</v>
      </c>
      <c r="E140" s="207">
        <f>'FY 2004'!I131</f>
        <v>0</v>
      </c>
      <c r="F140" s="209">
        <f>ROUND(SUM('SUMMARY-ALL YEARS'!F140:F144)/1000,1)</f>
        <v>-1090</v>
      </c>
      <c r="G140" s="209">
        <f t="shared" ref="G140:L140" si="97">G102</f>
        <v>-895.4</v>
      </c>
      <c r="H140" s="209">
        <f t="shared" si="97"/>
        <v>-886.1</v>
      </c>
      <c r="I140" s="209">
        <f t="shared" si="97"/>
        <v>-182.3</v>
      </c>
      <c r="J140" s="209">
        <f t="shared" si="97"/>
        <v>261.60000000000002</v>
      </c>
      <c r="K140" s="209">
        <f t="shared" si="97"/>
        <v>677.7</v>
      </c>
      <c r="L140" s="209">
        <f t="shared" si="97"/>
        <v>766.8</v>
      </c>
      <c r="M140" s="209">
        <f>M102</f>
        <v>543</v>
      </c>
      <c r="N140" s="209">
        <f>N102</f>
        <v>42.4</v>
      </c>
      <c r="O140" s="209">
        <f>O102</f>
        <v>-203.1</v>
      </c>
      <c r="P140" s="209">
        <f>P102</f>
        <v>-359.1</v>
      </c>
      <c r="Q140" s="209">
        <f>SUM(I140:J140)</f>
        <v>79.300000000000011</v>
      </c>
      <c r="R140" s="209">
        <f>SUM(K140:L140)</f>
        <v>1444.5</v>
      </c>
      <c r="S140" s="209">
        <f>SUM(M140:N140)</f>
        <v>585.4</v>
      </c>
      <c r="T140" s="209">
        <f>SUM(O140:P140)</f>
        <v>-562.20000000000005</v>
      </c>
      <c r="U140" s="209">
        <f>R140-Q140</f>
        <v>1365.2</v>
      </c>
      <c r="V140" s="222">
        <f>U140/Q140</f>
        <v>17.215636822194199</v>
      </c>
      <c r="W140" s="209">
        <f>S140-R140</f>
        <v>-859.1</v>
      </c>
      <c r="X140" s="222">
        <f>W140/R140</f>
        <v>-0.59473866389754237</v>
      </c>
      <c r="Y140" s="209">
        <f>T140-S140</f>
        <v>-1147.5999999999999</v>
      </c>
      <c r="Z140" s="222">
        <f>Y140/S140</f>
        <v>-1.9603689784762555</v>
      </c>
    </row>
    <row r="141" spans="1:26" x14ac:dyDescent="0.15">
      <c r="A141" s="203">
        <f>A140+1</f>
        <v>50</v>
      </c>
      <c r="B141" s="208"/>
      <c r="C141" s="208"/>
      <c r="D141" s="207">
        <f>'FY 2003'!I132</f>
        <v>0</v>
      </c>
      <c r="E141" s="207">
        <f>'FY 2004'!I132</f>
        <v>0</v>
      </c>
      <c r="F141" s="209">
        <v>0</v>
      </c>
      <c r="G141" s="209">
        <v>0</v>
      </c>
      <c r="H141" s="209">
        <v>0</v>
      </c>
      <c r="I141" s="209">
        <v>0</v>
      </c>
      <c r="J141" s="209">
        <v>0</v>
      </c>
      <c r="K141" s="209">
        <v>0</v>
      </c>
      <c r="L141" s="209">
        <v>0</v>
      </c>
      <c r="M141" s="209">
        <v>0</v>
      </c>
      <c r="N141" s="209">
        <v>0</v>
      </c>
      <c r="O141" s="209">
        <v>0</v>
      </c>
      <c r="P141" s="209">
        <v>0</v>
      </c>
    </row>
    <row r="142" spans="1:26" x14ac:dyDescent="0.15">
      <c r="A142" s="203">
        <f>A141+1</f>
        <v>51</v>
      </c>
      <c r="B142" s="208"/>
      <c r="C142" s="208"/>
      <c r="D142" s="207">
        <f>'FY 2003'!I133</f>
        <v>5196835956</v>
      </c>
      <c r="E142" s="207">
        <f>'FY 2004'!I133</f>
        <v>5163747344</v>
      </c>
      <c r="F142" s="209">
        <v>0</v>
      </c>
      <c r="G142" s="209">
        <v>0</v>
      </c>
      <c r="H142" s="209">
        <v>0</v>
      </c>
      <c r="I142" s="209">
        <v>0</v>
      </c>
      <c r="J142" s="209">
        <v>0</v>
      </c>
      <c r="K142" s="209">
        <v>0</v>
      </c>
      <c r="L142" s="209">
        <v>0</v>
      </c>
      <c r="M142" s="209">
        <v>0</v>
      </c>
      <c r="N142" s="209">
        <v>0</v>
      </c>
      <c r="O142" s="209">
        <v>0</v>
      </c>
      <c r="P142" s="209">
        <v>0</v>
      </c>
    </row>
    <row r="143" spans="1:26" x14ac:dyDescent="0.15">
      <c r="A143" s="203">
        <f>A142+1</f>
        <v>52</v>
      </c>
      <c r="B143" s="208"/>
      <c r="C143" s="208"/>
      <c r="D143" s="207">
        <f>'FY 2003'!I134</f>
        <v>5188490662</v>
      </c>
      <c r="E143" s="207">
        <f>'FY 2004'!I134</f>
        <v>5155706975</v>
      </c>
      <c r="F143" s="209">
        <v>0</v>
      </c>
      <c r="G143" s="209">
        <v>0</v>
      </c>
      <c r="H143" s="209">
        <v>0</v>
      </c>
      <c r="I143" s="209">
        <v>0</v>
      </c>
      <c r="J143" s="209">
        <v>0</v>
      </c>
      <c r="K143" s="209">
        <v>0</v>
      </c>
      <c r="L143" s="209">
        <v>0</v>
      </c>
      <c r="M143" s="209">
        <v>0</v>
      </c>
      <c r="N143" s="209">
        <v>0</v>
      </c>
      <c r="O143" s="209">
        <v>0</v>
      </c>
      <c r="P143" s="209">
        <v>0</v>
      </c>
    </row>
    <row r="144" spans="1:26" x14ac:dyDescent="0.15">
      <c r="A144" s="203">
        <f>A143+1</f>
        <v>53</v>
      </c>
      <c r="B144" s="208"/>
      <c r="C144" s="208"/>
      <c r="D144" s="207">
        <v>0</v>
      </c>
      <c r="E144" s="207">
        <v>0</v>
      </c>
      <c r="F144" s="209">
        <v>0</v>
      </c>
      <c r="G144" s="209">
        <v>0</v>
      </c>
      <c r="H144" s="209">
        <v>0</v>
      </c>
      <c r="I144" s="209">
        <v>0</v>
      </c>
      <c r="J144" s="209">
        <v>0</v>
      </c>
      <c r="K144" s="209">
        <v>0</v>
      </c>
      <c r="L144" s="209">
        <v>0</v>
      </c>
      <c r="M144" s="209">
        <v>0</v>
      </c>
      <c r="N144" s="209">
        <v>0</v>
      </c>
      <c r="O144" s="209">
        <v>0</v>
      </c>
      <c r="P144" s="209">
        <v>0</v>
      </c>
    </row>
    <row r="145" spans="1:26" x14ac:dyDescent="0.15">
      <c r="D145" s="207"/>
      <c r="E145" s="207"/>
      <c r="F145" s="209"/>
      <c r="G145" s="209"/>
      <c r="H145" s="209"/>
      <c r="I145" s="209"/>
      <c r="J145" s="209"/>
      <c r="K145" s="209"/>
      <c r="L145" s="209"/>
      <c r="M145" s="209"/>
      <c r="N145" s="209"/>
      <c r="O145" s="209"/>
      <c r="P145" s="209"/>
    </row>
    <row r="146" spans="1:26" x14ac:dyDescent="0.15">
      <c r="A146" s="203">
        <f>A144+1</f>
        <v>54</v>
      </c>
      <c r="B146" s="208" t="s">
        <v>184</v>
      </c>
      <c r="C146" s="208"/>
      <c r="D146" s="207">
        <f t="shared" ref="D146:L146" si="98">SUM(D120:D144)</f>
        <v>15582625606</v>
      </c>
      <c r="E146" s="207">
        <f t="shared" si="98"/>
        <v>15483880461</v>
      </c>
      <c r="F146" s="209">
        <f t="shared" si="98"/>
        <v>5134727.6000000006</v>
      </c>
      <c r="G146" s="209">
        <f t="shared" si="98"/>
        <v>5355576.5999999996</v>
      </c>
      <c r="H146" s="209">
        <f t="shared" si="98"/>
        <v>5530442.8000000007</v>
      </c>
      <c r="I146" s="209">
        <f t="shared" si="98"/>
        <v>5633296.8999999994</v>
      </c>
      <c r="J146" s="209">
        <f t="shared" si="98"/>
        <v>5688098.3999999985</v>
      </c>
      <c r="K146" s="209">
        <f t="shared" si="98"/>
        <v>5118552.5</v>
      </c>
      <c r="L146" s="209">
        <f t="shared" si="98"/>
        <v>5688394</v>
      </c>
      <c r="M146" s="209">
        <f>SUM(M120:M144)</f>
        <v>5761725.5999999996</v>
      </c>
      <c r="N146" s="209">
        <f>SUM(N120:N144)</f>
        <v>5853567.9000000004</v>
      </c>
      <c r="O146" s="209">
        <f>SUM(O120:O144)</f>
        <v>5935334.8000000026</v>
      </c>
      <c r="P146" s="209">
        <f>SUM(P120:P144)</f>
        <v>6026278.6000000006</v>
      </c>
      <c r="Q146" s="209">
        <f>SUM(I146:J146)</f>
        <v>11321395.299999997</v>
      </c>
      <c r="R146" s="209">
        <f>SUM(K146:L146)</f>
        <v>10806946.5</v>
      </c>
      <c r="S146" s="209">
        <f>SUM(M146:N146)</f>
        <v>11615293.5</v>
      </c>
      <c r="T146" s="209">
        <f>SUM(O146:P146)</f>
        <v>11961613.400000002</v>
      </c>
      <c r="U146" s="209">
        <f>R146-Q146</f>
        <v>-514448.79999999702</v>
      </c>
      <c r="V146" s="222">
        <f>U146/Q146</f>
        <v>-4.5440406095527568E-2</v>
      </c>
      <c r="W146" s="209">
        <f>S146-R146</f>
        <v>808347</v>
      </c>
      <c r="X146" s="222">
        <f>W146/R146</f>
        <v>7.4798834249804047E-2</v>
      </c>
      <c r="Y146" s="209">
        <f>T146-S146</f>
        <v>346319.90000000224</v>
      </c>
      <c r="Z146" s="222">
        <f>Y146/S146</f>
        <v>2.9815854416421095E-2</v>
      </c>
    </row>
    <row r="147" spans="1:26" x14ac:dyDescent="0.15">
      <c r="A147" s="203">
        <f>A146+1</f>
        <v>55</v>
      </c>
      <c r="B147" s="202" t="s">
        <v>397</v>
      </c>
      <c r="C147" s="208"/>
      <c r="D147" s="207">
        <f>D146-D138</f>
        <v>15574280312</v>
      </c>
      <c r="E147" s="207">
        <f>E146-E138</f>
        <v>15475840092</v>
      </c>
      <c r="F147" s="209">
        <f>F146-F138</f>
        <v>5126028.7</v>
      </c>
      <c r="G147" s="209">
        <f>G146-G138</f>
        <v>5346904</v>
      </c>
      <c r="H147" s="209">
        <f>H146-H138</f>
        <v>5521833.5000000009</v>
      </c>
      <c r="I147" s="209">
        <f t="shared" ref="I147:N147" si="99">I146</f>
        <v>5633296.8999999994</v>
      </c>
      <c r="J147" s="209">
        <f t="shared" si="99"/>
        <v>5688098.3999999985</v>
      </c>
      <c r="K147" s="209">
        <f t="shared" si="99"/>
        <v>5118552.5</v>
      </c>
      <c r="L147" s="209">
        <f t="shared" si="99"/>
        <v>5688394</v>
      </c>
      <c r="M147" s="209">
        <f t="shared" si="99"/>
        <v>5761725.5999999996</v>
      </c>
      <c r="N147" s="209">
        <f t="shared" si="99"/>
        <v>5853567.9000000004</v>
      </c>
      <c r="O147" s="209">
        <f>O146</f>
        <v>5935334.8000000026</v>
      </c>
      <c r="P147" s="209">
        <f>P146</f>
        <v>6026278.6000000006</v>
      </c>
      <c r="Q147" s="209">
        <f>SUM(I147:J147)</f>
        <v>11321395.299999997</v>
      </c>
      <c r="R147" s="209">
        <f>SUM(K147:L147)</f>
        <v>10806946.5</v>
      </c>
      <c r="S147" s="209">
        <f>SUM(M147:N147)</f>
        <v>11615293.5</v>
      </c>
      <c r="T147" s="209">
        <f>SUM(O147:P147)</f>
        <v>11961613.400000002</v>
      </c>
      <c r="U147" s="209">
        <f>R147-Q147</f>
        <v>-514448.79999999702</v>
      </c>
      <c r="V147" s="222">
        <f>U147/Q147</f>
        <v>-4.5440406095527568E-2</v>
      </c>
      <c r="W147" s="209">
        <f>S147-R147</f>
        <v>808347</v>
      </c>
      <c r="X147" s="222">
        <f>W147/R147</f>
        <v>7.4798834249804047E-2</v>
      </c>
      <c r="Y147" s="209">
        <f>T147-S147</f>
        <v>346319.90000000224</v>
      </c>
      <c r="Z147" s="222">
        <f>Y147/S147</f>
        <v>2.9815854416421095E-2</v>
      </c>
    </row>
    <row r="148" spans="1:26" x14ac:dyDescent="0.15">
      <c r="A148" s="203">
        <f>A147+1</f>
        <v>56</v>
      </c>
      <c r="B148" s="208" t="s">
        <v>303</v>
      </c>
      <c r="C148" s="208"/>
      <c r="D148" s="207">
        <f>D138</f>
        <v>8345294</v>
      </c>
      <c r="E148" s="207">
        <f>E138</f>
        <v>8040369</v>
      </c>
      <c r="F148" s="209">
        <f>F138</f>
        <v>8698.9</v>
      </c>
      <c r="G148" s="209">
        <f>G138</f>
        <v>8672.6</v>
      </c>
      <c r="H148" s="209">
        <f>H138</f>
        <v>8609.2999999999993</v>
      </c>
      <c r="I148" s="212" t="s">
        <v>302</v>
      </c>
      <c r="J148" s="212" t="s">
        <v>302</v>
      </c>
      <c r="K148" s="212" t="s">
        <v>302</v>
      </c>
      <c r="L148" s="212" t="s">
        <v>302</v>
      </c>
      <c r="M148" s="212" t="s">
        <v>302</v>
      </c>
      <c r="N148" s="212" t="s">
        <v>302</v>
      </c>
      <c r="O148" s="212" t="s">
        <v>302</v>
      </c>
      <c r="P148" s="212" t="s">
        <v>302</v>
      </c>
    </row>
    <row r="149" spans="1:26" x14ac:dyDescent="0.15">
      <c r="B149" s="208"/>
      <c r="C149" s="208"/>
      <c r="D149" s="207"/>
      <c r="E149" s="207"/>
      <c r="F149" s="209"/>
      <c r="G149" s="209"/>
      <c r="H149" s="209"/>
      <c r="I149" s="209"/>
      <c r="J149" s="209"/>
      <c r="K149" s="209"/>
      <c r="L149" s="209"/>
      <c r="M149" s="209"/>
      <c r="N149" s="209"/>
      <c r="O149" s="209"/>
      <c r="P149" s="209"/>
    </row>
    <row r="150" spans="1:26" x14ac:dyDescent="0.15">
      <c r="A150" s="203">
        <f>A148+1</f>
        <v>57</v>
      </c>
      <c r="B150" s="208" t="s">
        <v>166</v>
      </c>
      <c r="C150" s="208"/>
      <c r="D150" s="207">
        <f>'FY 2003'!I137</f>
        <v>-46570547</v>
      </c>
      <c r="E150" s="207">
        <f>'FY 2004'!I137</f>
        <v>-46686661</v>
      </c>
      <c r="F150" s="209">
        <f>ROUND('SUMMARY-ALL YEARS'!F150/1000,1)</f>
        <v>-46733.7</v>
      </c>
      <c r="G150" s="209">
        <f>ROUND('SUMMARY-ALL YEARS'!G150/1000,1)</f>
        <v>-46807.7</v>
      </c>
      <c r="H150" s="209">
        <f>ROUND('SUMMARY-ALL YEARS'!H150/1000,1)</f>
        <v>-46967.5</v>
      </c>
      <c r="I150" s="209">
        <f>ROUND('SUMMARY-ALL YEARS'!I150/1000,1)</f>
        <v>-30637.8</v>
      </c>
      <c r="J150" s="209">
        <f>ROUND('SUMMARY-ALL YEARS'!J150/1000,1)</f>
        <v>-30753.1</v>
      </c>
      <c r="K150" s="209">
        <f>ROUND('SUMMARY-ALL YEARS'!K150/1000,1)</f>
        <v>-30857.8</v>
      </c>
      <c r="L150" s="209">
        <f>ROUND('SUMMARY-ALL YEARS'!L150/1000,1)</f>
        <v>-30947.3</v>
      </c>
      <c r="M150" s="209">
        <f>ROUND('SUMMARY-ALL YEARS'!M150/1000,1)</f>
        <v>-31109.1</v>
      </c>
      <c r="N150" s="209">
        <f>ROUND('SUMMARY-ALL YEARS'!N150/1000,1)</f>
        <v>-31263.8</v>
      </c>
      <c r="O150" s="209">
        <f>ROUND('SUMMARY-ALL YEARS'!O150/1000,1)</f>
        <v>-31426.7</v>
      </c>
      <c r="P150" s="209">
        <f>ROUND('SUMMARY-ALL YEARS'!P150/1000,1)</f>
        <v>-31600.5</v>
      </c>
      <c r="Q150" s="209">
        <f>SUM(I150:J150)</f>
        <v>-61390.899999999994</v>
      </c>
      <c r="R150" s="209">
        <f>SUM(K150:L150)</f>
        <v>-61805.1</v>
      </c>
      <c r="S150" s="209">
        <f>SUM(M150:N150)</f>
        <v>-62372.899999999994</v>
      </c>
      <c r="T150" s="209">
        <f>SUM(O150:P150)</f>
        <v>-63027.199999999997</v>
      </c>
      <c r="U150" s="209">
        <f>R150-Q150</f>
        <v>-414.20000000000437</v>
      </c>
      <c r="V150" s="222">
        <f>U150/Q150</f>
        <v>6.7469282906750744E-3</v>
      </c>
      <c r="W150" s="209">
        <f>S150-R150</f>
        <v>-567.79999999999563</v>
      </c>
      <c r="X150" s="222">
        <f>W150/R150</f>
        <v>9.1869441194981586E-3</v>
      </c>
      <c r="Y150" s="209">
        <f>T150-S150</f>
        <v>-654.30000000000291</v>
      </c>
      <c r="Z150" s="222">
        <f>Y150/S150</f>
        <v>1.0490132733927763E-2</v>
      </c>
    </row>
    <row r="152" spans="1:26" x14ac:dyDescent="0.15">
      <c r="A152" s="216" t="s">
        <v>162</v>
      </c>
      <c r="B152" s="216"/>
      <c r="C152" s="217"/>
      <c r="D152" s="218" t="s">
        <v>135</v>
      </c>
      <c r="E152" s="218" t="s">
        <v>136</v>
      </c>
      <c r="F152" s="218" t="s">
        <v>137</v>
      </c>
      <c r="G152" s="218" t="s">
        <v>138</v>
      </c>
      <c r="H152" s="218" t="s">
        <v>139</v>
      </c>
      <c r="I152" s="218" t="s">
        <v>164</v>
      </c>
      <c r="J152" s="218" t="s">
        <v>165</v>
      </c>
      <c r="K152" s="218" t="s">
        <v>249</v>
      </c>
      <c r="L152" s="218" t="s">
        <v>250</v>
      </c>
      <c r="M152" s="218" t="s">
        <v>300</v>
      </c>
      <c r="N152" s="218" t="s">
        <v>301</v>
      </c>
      <c r="O152" s="218" t="s">
        <v>388</v>
      </c>
      <c r="P152" s="218" t="s">
        <v>389</v>
      </c>
      <c r="Q152" s="227" t="s">
        <v>319</v>
      </c>
      <c r="R152" s="227" t="s">
        <v>320</v>
      </c>
      <c r="S152" s="227" t="s">
        <v>355</v>
      </c>
      <c r="T152" s="227"/>
      <c r="U152" s="227" t="s">
        <v>356</v>
      </c>
      <c r="V152" s="227" t="s">
        <v>321</v>
      </c>
      <c r="W152" s="227" t="s">
        <v>357</v>
      </c>
      <c r="X152" s="227" t="s">
        <v>321</v>
      </c>
      <c r="Y152" s="228" t="s">
        <v>394</v>
      </c>
      <c r="Z152" s="227" t="s">
        <v>321</v>
      </c>
    </row>
    <row r="154" spans="1:26" x14ac:dyDescent="0.15">
      <c r="A154" s="203">
        <v>1</v>
      </c>
      <c r="B154" s="203" t="s">
        <v>140</v>
      </c>
      <c r="D154" s="219">
        <f t="shared" ref="D154:P154" si="100">D5-D80</f>
        <v>0</v>
      </c>
      <c r="E154" s="219">
        <f t="shared" si="100"/>
        <v>0</v>
      </c>
      <c r="F154" s="219">
        <f t="shared" si="100"/>
        <v>0</v>
      </c>
      <c r="G154" s="219">
        <f t="shared" si="100"/>
        <v>0</v>
      </c>
      <c r="H154" s="219">
        <f t="shared" si="100"/>
        <v>0</v>
      </c>
      <c r="I154" s="219">
        <f t="shared" si="100"/>
        <v>0</v>
      </c>
      <c r="J154" s="219">
        <f t="shared" si="100"/>
        <v>0</v>
      </c>
      <c r="K154" s="219">
        <f t="shared" si="100"/>
        <v>-576</v>
      </c>
      <c r="L154" s="219">
        <f t="shared" si="100"/>
        <v>-1342</v>
      </c>
      <c r="M154" s="219">
        <f t="shared" si="100"/>
        <v>-1522</v>
      </c>
      <c r="N154" s="219">
        <f t="shared" si="100"/>
        <v>-1739</v>
      </c>
      <c r="O154" s="219">
        <f t="shared" si="100"/>
        <v>-1797</v>
      </c>
      <c r="P154" s="219">
        <f t="shared" si="100"/>
        <v>-2736</v>
      </c>
    </row>
    <row r="155" spans="1:26" x14ac:dyDescent="0.15">
      <c r="E155" s="219"/>
      <c r="F155" s="219"/>
      <c r="G155" s="219"/>
      <c r="H155" s="219"/>
      <c r="I155" s="219"/>
      <c r="J155" s="219"/>
      <c r="K155" s="219"/>
      <c r="L155" s="219"/>
      <c r="M155" s="219"/>
      <c r="N155" s="219"/>
      <c r="O155" s="219"/>
      <c r="P155" s="219"/>
    </row>
    <row r="156" spans="1:26" x14ac:dyDescent="0.15">
      <c r="B156" s="208" t="s">
        <v>155</v>
      </c>
      <c r="D156" s="209"/>
      <c r="E156" s="209"/>
      <c r="F156" s="209"/>
      <c r="G156" s="209"/>
      <c r="H156" s="209"/>
      <c r="I156" s="209"/>
      <c r="J156" s="209"/>
      <c r="K156" s="209"/>
      <c r="L156" s="209"/>
      <c r="M156" s="209"/>
      <c r="N156" s="209"/>
      <c r="O156" s="209"/>
      <c r="P156" s="209"/>
    </row>
    <row r="157" spans="1:26" x14ac:dyDescent="0.15">
      <c r="A157" s="203">
        <f>A154+1</f>
        <v>2</v>
      </c>
      <c r="B157" s="203" t="s">
        <v>141</v>
      </c>
      <c r="D157" s="219">
        <f t="shared" ref="D157:T157" si="101">D8-D83</f>
        <v>0</v>
      </c>
      <c r="E157" s="219">
        <f t="shared" si="101"/>
        <v>0</v>
      </c>
      <c r="F157" s="229">
        <f t="shared" si="101"/>
        <v>0</v>
      </c>
      <c r="G157" s="229">
        <f t="shared" si="101"/>
        <v>0</v>
      </c>
      <c r="H157" s="229">
        <f t="shared" si="101"/>
        <v>0</v>
      </c>
      <c r="I157" s="229">
        <f t="shared" si="101"/>
        <v>0</v>
      </c>
      <c r="J157" s="229">
        <f t="shared" si="101"/>
        <v>0</v>
      </c>
      <c r="K157" s="229">
        <f t="shared" si="101"/>
        <v>-3537.0999999996275</v>
      </c>
      <c r="L157" s="229">
        <f t="shared" si="101"/>
        <v>-6878.9000000003725</v>
      </c>
      <c r="M157" s="229">
        <f t="shared" si="101"/>
        <v>-7796.5</v>
      </c>
      <c r="N157" s="229">
        <f t="shared" si="101"/>
        <v>-8913.7999999998137</v>
      </c>
      <c r="O157" s="229">
        <f t="shared" si="101"/>
        <v>-9202.7000000001863</v>
      </c>
      <c r="P157" s="229">
        <f t="shared" si="101"/>
        <v>-14017</v>
      </c>
      <c r="Q157" s="229">
        <f t="shared" si="101"/>
        <v>0</v>
      </c>
      <c r="R157" s="229">
        <f t="shared" si="101"/>
        <v>-10416</v>
      </c>
      <c r="S157" s="229">
        <f t="shared" si="101"/>
        <v>-16710.299999998882</v>
      </c>
      <c r="T157" s="229">
        <f t="shared" si="101"/>
        <v>-23219.699999999255</v>
      </c>
    </row>
    <row r="158" spans="1:26" x14ac:dyDescent="0.15">
      <c r="A158" s="203">
        <f>A157+1</f>
        <v>3</v>
      </c>
      <c r="B158" s="208" t="s">
        <v>299</v>
      </c>
      <c r="D158" s="219"/>
      <c r="E158" s="219"/>
      <c r="F158" s="229"/>
      <c r="G158" s="229">
        <f t="shared" ref="G158:T158" si="102">G9-G84</f>
        <v>0</v>
      </c>
      <c r="H158" s="229">
        <f t="shared" si="102"/>
        <v>0</v>
      </c>
      <c r="I158" s="229">
        <f t="shared" si="102"/>
        <v>0</v>
      </c>
      <c r="J158" s="229">
        <f t="shared" si="102"/>
        <v>0</v>
      </c>
      <c r="K158" s="229">
        <f t="shared" si="102"/>
        <v>0</v>
      </c>
      <c r="L158" s="229">
        <f t="shared" si="102"/>
        <v>0</v>
      </c>
      <c r="M158" s="229">
        <f t="shared" si="102"/>
        <v>0</v>
      </c>
      <c r="N158" s="229">
        <f t="shared" si="102"/>
        <v>0</v>
      </c>
      <c r="O158" s="229">
        <f t="shared" si="102"/>
        <v>0</v>
      </c>
      <c r="P158" s="229">
        <f t="shared" si="102"/>
        <v>0</v>
      </c>
      <c r="Q158" s="229">
        <f t="shared" si="102"/>
        <v>0</v>
      </c>
      <c r="R158" s="229">
        <f t="shared" si="102"/>
        <v>0</v>
      </c>
      <c r="S158" s="229">
        <f t="shared" si="102"/>
        <v>0</v>
      </c>
      <c r="T158" s="229">
        <f t="shared" si="102"/>
        <v>0</v>
      </c>
    </row>
    <row r="159" spans="1:26" x14ac:dyDescent="0.15">
      <c r="A159" s="203">
        <f>A158+1</f>
        <v>4</v>
      </c>
      <c r="B159" s="208" t="s">
        <v>167</v>
      </c>
      <c r="C159" s="208"/>
      <c r="D159" s="219">
        <f t="shared" ref="D159:F160" si="103">D10-D85</f>
        <v>0</v>
      </c>
      <c r="E159" s="219">
        <f t="shared" si="103"/>
        <v>0</v>
      </c>
      <c r="F159" s="229">
        <f t="shared" si="103"/>
        <v>0</v>
      </c>
      <c r="G159" s="229">
        <f t="shared" ref="G159:T159" si="104">G10-G85</f>
        <v>0</v>
      </c>
      <c r="H159" s="229">
        <f t="shared" si="104"/>
        <v>0</v>
      </c>
      <c r="I159" s="229">
        <f t="shared" si="104"/>
        <v>0</v>
      </c>
      <c r="J159" s="229">
        <f t="shared" si="104"/>
        <v>0</v>
      </c>
      <c r="K159" s="229">
        <f t="shared" si="104"/>
        <v>-8.8999999999996362</v>
      </c>
      <c r="L159" s="229">
        <f t="shared" si="104"/>
        <v>-16.099999999998545</v>
      </c>
      <c r="M159" s="229">
        <f t="shared" si="104"/>
        <v>-18.299999999999272</v>
      </c>
      <c r="N159" s="229">
        <f t="shared" si="104"/>
        <v>-20.899999999999636</v>
      </c>
      <c r="O159" s="229">
        <f t="shared" si="104"/>
        <v>-21.5</v>
      </c>
      <c r="P159" s="229">
        <f t="shared" si="104"/>
        <v>-32.800000000001091</v>
      </c>
      <c r="Q159" s="229">
        <f t="shared" si="104"/>
        <v>0</v>
      </c>
      <c r="R159" s="229">
        <f t="shared" si="104"/>
        <v>-25</v>
      </c>
      <c r="S159" s="229">
        <f t="shared" si="104"/>
        <v>-39.19999999999709</v>
      </c>
      <c r="T159" s="229">
        <f t="shared" si="104"/>
        <v>-54.30000000000291</v>
      </c>
    </row>
    <row r="160" spans="1:26" x14ac:dyDescent="0.15">
      <c r="A160" s="203">
        <f>A159+1</f>
        <v>5</v>
      </c>
      <c r="B160" s="203" t="s">
        <v>142</v>
      </c>
      <c r="D160" s="219">
        <f t="shared" si="103"/>
        <v>0</v>
      </c>
      <c r="E160" s="219">
        <f t="shared" si="103"/>
        <v>0</v>
      </c>
      <c r="F160" s="229">
        <f t="shared" si="103"/>
        <v>0</v>
      </c>
      <c r="G160" s="229">
        <f t="shared" ref="G160:T160" si="105">G11-G86</f>
        <v>0</v>
      </c>
      <c r="H160" s="229">
        <f t="shared" si="105"/>
        <v>0</v>
      </c>
      <c r="I160" s="229">
        <f t="shared" si="105"/>
        <v>0</v>
      </c>
      <c r="J160" s="229">
        <f t="shared" si="105"/>
        <v>0</v>
      </c>
      <c r="K160" s="229">
        <f t="shared" si="105"/>
        <v>-189.59999999999854</v>
      </c>
      <c r="L160" s="229">
        <f t="shared" si="105"/>
        <v>-153.30000000000291</v>
      </c>
      <c r="M160" s="229">
        <f t="shared" si="105"/>
        <v>-133.20000000001164</v>
      </c>
      <c r="N160" s="229">
        <f t="shared" si="105"/>
        <v>-134.19999999999709</v>
      </c>
      <c r="O160" s="229">
        <f t="shared" si="105"/>
        <v>-133.5</v>
      </c>
      <c r="P160" s="229">
        <f t="shared" si="105"/>
        <v>-218.19999999999709</v>
      </c>
      <c r="Q160" s="229">
        <f t="shared" si="105"/>
        <v>0</v>
      </c>
      <c r="R160" s="229">
        <f t="shared" si="105"/>
        <v>-342.89999999999418</v>
      </c>
      <c r="S160" s="229">
        <f t="shared" si="105"/>
        <v>-267.39999999999418</v>
      </c>
      <c r="T160" s="229">
        <f t="shared" si="105"/>
        <v>-351.69999999998254</v>
      </c>
    </row>
    <row r="161" spans="1:20" x14ac:dyDescent="0.15">
      <c r="B161" s="208" t="s">
        <v>171</v>
      </c>
      <c r="D161" s="219"/>
      <c r="E161" s="219"/>
      <c r="F161" s="229"/>
      <c r="G161" s="229"/>
      <c r="H161" s="229"/>
      <c r="I161" s="229"/>
      <c r="J161" s="229"/>
      <c r="K161" s="229"/>
      <c r="L161" s="229"/>
      <c r="M161" s="229"/>
      <c r="N161" s="229"/>
      <c r="O161" s="229"/>
      <c r="P161" s="229"/>
    </row>
    <row r="162" spans="1:20" x14ac:dyDescent="0.15">
      <c r="A162" s="203">
        <f>A160+1</f>
        <v>6</v>
      </c>
      <c r="C162" s="203" t="s">
        <v>143</v>
      </c>
      <c r="D162" s="219">
        <f t="shared" ref="D162:T162" si="106">D13-D88</f>
        <v>0</v>
      </c>
      <c r="E162" s="219">
        <f t="shared" si="106"/>
        <v>0</v>
      </c>
      <c r="F162" s="229">
        <f t="shared" si="106"/>
        <v>0</v>
      </c>
      <c r="G162" s="229">
        <f t="shared" si="106"/>
        <v>0</v>
      </c>
      <c r="H162" s="229">
        <f t="shared" si="106"/>
        <v>0</v>
      </c>
      <c r="I162" s="229">
        <f t="shared" si="106"/>
        <v>0</v>
      </c>
      <c r="J162" s="229">
        <f t="shared" si="106"/>
        <v>0</v>
      </c>
      <c r="K162" s="229">
        <f t="shared" si="106"/>
        <v>-14.799999999988358</v>
      </c>
      <c r="L162" s="229">
        <f t="shared" si="106"/>
        <v>2.7000000000116415</v>
      </c>
      <c r="M162" s="229">
        <f t="shared" si="106"/>
        <v>-4750.0999999999767</v>
      </c>
      <c r="N162" s="229">
        <f t="shared" si="106"/>
        <v>-4454.8999999999651</v>
      </c>
      <c r="O162" s="229">
        <f t="shared" si="106"/>
        <v>-4791.4000000000233</v>
      </c>
      <c r="P162" s="229">
        <f t="shared" si="106"/>
        <v>-5087.3000000000466</v>
      </c>
      <c r="Q162" s="229">
        <f t="shared" si="106"/>
        <v>0</v>
      </c>
      <c r="R162" s="229">
        <f t="shared" si="106"/>
        <v>-12.100000000093132</v>
      </c>
      <c r="S162" s="229">
        <f t="shared" si="106"/>
        <v>-9204.9999999998836</v>
      </c>
      <c r="T162" s="229">
        <f t="shared" si="106"/>
        <v>-9878.7000000000698</v>
      </c>
    </row>
    <row r="163" spans="1:20" x14ac:dyDescent="0.15">
      <c r="A163" s="203">
        <f t="shared" ref="A163:A174" si="107">A162+1</f>
        <v>7</v>
      </c>
      <c r="C163" s="203" t="s">
        <v>144</v>
      </c>
      <c r="D163" s="219">
        <f t="shared" ref="D163:T163" si="108">D14-D89</f>
        <v>0</v>
      </c>
      <c r="E163" s="219">
        <f t="shared" si="108"/>
        <v>0</v>
      </c>
      <c r="F163" s="229">
        <f t="shared" si="108"/>
        <v>0</v>
      </c>
      <c r="G163" s="229">
        <f t="shared" si="108"/>
        <v>0</v>
      </c>
      <c r="H163" s="229">
        <f t="shared" si="108"/>
        <v>0</v>
      </c>
      <c r="I163" s="229">
        <f t="shared" si="108"/>
        <v>0</v>
      </c>
      <c r="J163" s="229">
        <f t="shared" si="108"/>
        <v>0</v>
      </c>
      <c r="K163" s="229">
        <f t="shared" si="108"/>
        <v>-4.5</v>
      </c>
      <c r="L163" s="229">
        <f t="shared" si="108"/>
        <v>-54.700000000000728</v>
      </c>
      <c r="M163" s="229">
        <f t="shared" si="108"/>
        <v>-53.69999999999709</v>
      </c>
      <c r="N163" s="229">
        <f t="shared" si="108"/>
        <v>-55.5</v>
      </c>
      <c r="O163" s="229">
        <f t="shared" si="108"/>
        <v>-56.5</v>
      </c>
      <c r="P163" s="229">
        <f t="shared" si="108"/>
        <v>-115.20000000000073</v>
      </c>
      <c r="Q163" s="229">
        <f t="shared" si="108"/>
        <v>0</v>
      </c>
      <c r="R163" s="229">
        <f t="shared" si="108"/>
        <v>-59.19999999999709</v>
      </c>
      <c r="S163" s="229">
        <f t="shared" si="108"/>
        <v>-109.19999999999709</v>
      </c>
      <c r="T163" s="229">
        <f t="shared" si="108"/>
        <v>-171.70000000000437</v>
      </c>
    </row>
    <row r="164" spans="1:20" x14ac:dyDescent="0.15">
      <c r="A164" s="203">
        <f t="shared" si="107"/>
        <v>8</v>
      </c>
      <c r="B164" s="208"/>
      <c r="C164" s="208" t="s">
        <v>170</v>
      </c>
      <c r="D164" s="219">
        <f t="shared" ref="D164:T164" si="109">D15-D90</f>
        <v>0</v>
      </c>
      <c r="E164" s="219">
        <f t="shared" si="109"/>
        <v>0</v>
      </c>
      <c r="F164" s="229">
        <f t="shared" si="109"/>
        <v>0</v>
      </c>
      <c r="G164" s="229">
        <f t="shared" si="109"/>
        <v>0</v>
      </c>
      <c r="H164" s="229">
        <f t="shared" si="109"/>
        <v>0</v>
      </c>
      <c r="I164" s="229">
        <f t="shared" si="109"/>
        <v>0</v>
      </c>
      <c r="J164" s="229">
        <f t="shared" si="109"/>
        <v>0</v>
      </c>
      <c r="K164" s="229">
        <f t="shared" si="109"/>
        <v>1.6999999999989086</v>
      </c>
      <c r="L164" s="229">
        <f t="shared" si="109"/>
        <v>-11</v>
      </c>
      <c r="M164" s="229">
        <f t="shared" si="109"/>
        <v>-14.200000000000728</v>
      </c>
      <c r="N164" s="229">
        <f t="shared" si="109"/>
        <v>-19.899999999999636</v>
      </c>
      <c r="O164" s="229">
        <f t="shared" si="109"/>
        <v>-26</v>
      </c>
      <c r="P164" s="229">
        <f t="shared" si="109"/>
        <v>-47.799999999999272</v>
      </c>
      <c r="Q164" s="229">
        <f t="shared" si="109"/>
        <v>0</v>
      </c>
      <c r="R164" s="229">
        <f t="shared" si="109"/>
        <v>-9.2999999999992724</v>
      </c>
      <c r="S164" s="229">
        <f t="shared" si="109"/>
        <v>-34.099999999998545</v>
      </c>
      <c r="T164" s="229">
        <f t="shared" si="109"/>
        <v>-73.80000000000291</v>
      </c>
    </row>
    <row r="165" spans="1:20" x14ac:dyDescent="0.15">
      <c r="A165" s="203">
        <f t="shared" si="107"/>
        <v>9</v>
      </c>
      <c r="B165" s="203" t="s">
        <v>145</v>
      </c>
      <c r="D165" s="219">
        <f t="shared" ref="D165:T165" si="110">D16-D91</f>
        <v>0</v>
      </c>
      <c r="E165" s="219">
        <f t="shared" si="110"/>
        <v>0</v>
      </c>
      <c r="F165" s="229">
        <f t="shared" si="110"/>
        <v>0</v>
      </c>
      <c r="G165" s="229">
        <f t="shared" si="110"/>
        <v>0</v>
      </c>
      <c r="H165" s="229">
        <f t="shared" si="110"/>
        <v>0</v>
      </c>
      <c r="I165" s="229">
        <f t="shared" si="110"/>
        <v>0</v>
      </c>
      <c r="J165" s="229">
        <f t="shared" si="110"/>
        <v>0</v>
      </c>
      <c r="K165" s="229">
        <f t="shared" si="110"/>
        <v>0.7999999999992724</v>
      </c>
      <c r="L165" s="229">
        <f t="shared" si="110"/>
        <v>60.900000000001455</v>
      </c>
      <c r="M165" s="229">
        <f t="shared" si="110"/>
        <v>8.5</v>
      </c>
      <c r="N165" s="229">
        <f t="shared" si="110"/>
        <v>1.7999999999992724</v>
      </c>
      <c r="O165" s="229">
        <f t="shared" si="110"/>
        <v>-81</v>
      </c>
      <c r="P165" s="229">
        <f t="shared" si="110"/>
        <v>-99.900000000001455</v>
      </c>
      <c r="Q165" s="229">
        <f t="shared" si="110"/>
        <v>0</v>
      </c>
      <c r="R165" s="229">
        <f t="shared" si="110"/>
        <v>61.700000000004366</v>
      </c>
      <c r="S165" s="229">
        <f t="shared" si="110"/>
        <v>10.30000000000291</v>
      </c>
      <c r="T165" s="229">
        <f t="shared" si="110"/>
        <v>-180.90000000000873</v>
      </c>
    </row>
    <row r="166" spans="1:20" x14ac:dyDescent="0.15">
      <c r="A166" s="203">
        <f t="shared" si="107"/>
        <v>10</v>
      </c>
      <c r="B166" s="203" t="s">
        <v>146</v>
      </c>
      <c r="D166" s="219">
        <f t="shared" ref="D166:T166" si="111">D17-D92</f>
        <v>0</v>
      </c>
      <c r="E166" s="219">
        <f t="shared" si="111"/>
        <v>0</v>
      </c>
      <c r="F166" s="229">
        <f t="shared" si="111"/>
        <v>0</v>
      </c>
      <c r="G166" s="229">
        <f t="shared" si="111"/>
        <v>0</v>
      </c>
      <c r="H166" s="229">
        <f t="shared" si="111"/>
        <v>0</v>
      </c>
      <c r="I166" s="229">
        <f t="shared" si="111"/>
        <v>0</v>
      </c>
      <c r="J166" s="229">
        <f t="shared" si="111"/>
        <v>0</v>
      </c>
      <c r="K166" s="229">
        <f t="shared" si="111"/>
        <v>-53.5</v>
      </c>
      <c r="L166" s="229">
        <f t="shared" si="111"/>
        <v>60.900000000001455</v>
      </c>
      <c r="M166" s="229">
        <f t="shared" si="111"/>
        <v>129.69999999999709</v>
      </c>
      <c r="N166" s="229">
        <f t="shared" si="111"/>
        <v>129.29999999999563</v>
      </c>
      <c r="O166" s="229">
        <f t="shared" si="111"/>
        <v>5264.7000000000044</v>
      </c>
      <c r="P166" s="229">
        <f t="shared" si="111"/>
        <v>5301.5</v>
      </c>
      <c r="Q166" s="229">
        <f t="shared" si="111"/>
        <v>0</v>
      </c>
      <c r="R166" s="229">
        <f t="shared" si="111"/>
        <v>7.4000000000087311</v>
      </c>
      <c r="S166" s="229">
        <f t="shared" si="111"/>
        <v>258.99999999998545</v>
      </c>
      <c r="T166" s="229">
        <f t="shared" si="111"/>
        <v>10566.200000000012</v>
      </c>
    </row>
    <row r="167" spans="1:20" x14ac:dyDescent="0.15">
      <c r="A167" s="203">
        <f t="shared" si="107"/>
        <v>11</v>
      </c>
      <c r="B167" s="203" t="s">
        <v>148</v>
      </c>
      <c r="D167" s="219">
        <f t="shared" ref="D167:T167" si="112">D18-D93</f>
        <v>0</v>
      </c>
      <c r="E167" s="219">
        <f t="shared" si="112"/>
        <v>0</v>
      </c>
      <c r="F167" s="229">
        <f t="shared" si="112"/>
        <v>0</v>
      </c>
      <c r="G167" s="229">
        <f t="shared" si="112"/>
        <v>0</v>
      </c>
      <c r="H167" s="229">
        <f t="shared" si="112"/>
        <v>0</v>
      </c>
      <c r="I167" s="229">
        <f t="shared" si="112"/>
        <v>0</v>
      </c>
      <c r="J167" s="229">
        <f t="shared" si="112"/>
        <v>0</v>
      </c>
      <c r="K167" s="229">
        <f t="shared" si="112"/>
        <v>-0.20000000000004547</v>
      </c>
      <c r="L167" s="229">
        <f t="shared" si="112"/>
        <v>0.80000000000001137</v>
      </c>
      <c r="M167" s="229">
        <f t="shared" si="112"/>
        <v>1.5</v>
      </c>
      <c r="N167" s="229">
        <f t="shared" si="112"/>
        <v>1.5</v>
      </c>
      <c r="O167" s="229">
        <f t="shared" si="112"/>
        <v>1.6000000000000085</v>
      </c>
      <c r="P167" s="229">
        <f t="shared" si="112"/>
        <v>1.4000000000000057</v>
      </c>
      <c r="Q167" s="229">
        <f t="shared" si="112"/>
        <v>0</v>
      </c>
      <c r="R167" s="229">
        <f t="shared" si="112"/>
        <v>0.59999999999990905</v>
      </c>
      <c r="S167" s="229">
        <f t="shared" si="112"/>
        <v>3</v>
      </c>
      <c r="T167" s="229">
        <f t="shared" si="112"/>
        <v>3</v>
      </c>
    </row>
    <row r="168" spans="1:20" x14ac:dyDescent="0.15">
      <c r="A168" s="203">
        <f t="shared" si="107"/>
        <v>12</v>
      </c>
      <c r="B168" s="208" t="s">
        <v>244</v>
      </c>
      <c r="D168" s="219">
        <f t="shared" ref="D168:T168" si="113">D19-D94</f>
        <v>0</v>
      </c>
      <c r="E168" s="219">
        <f t="shared" si="113"/>
        <v>0</v>
      </c>
      <c r="F168" s="229">
        <f t="shared" si="113"/>
        <v>0</v>
      </c>
      <c r="G168" s="229">
        <f t="shared" si="113"/>
        <v>0</v>
      </c>
      <c r="H168" s="229">
        <f t="shared" si="113"/>
        <v>0</v>
      </c>
      <c r="I168" s="229">
        <f t="shared" si="113"/>
        <v>0</v>
      </c>
      <c r="J168" s="229">
        <f t="shared" si="113"/>
        <v>0</v>
      </c>
      <c r="K168" s="229">
        <f t="shared" si="113"/>
        <v>-1.4000000000000909</v>
      </c>
      <c r="L168" s="229">
        <f t="shared" si="113"/>
        <v>0</v>
      </c>
      <c r="M168" s="229">
        <f t="shared" si="113"/>
        <v>0</v>
      </c>
      <c r="N168" s="229">
        <f t="shared" si="113"/>
        <v>0</v>
      </c>
      <c r="O168" s="229">
        <f t="shared" si="113"/>
        <v>0</v>
      </c>
      <c r="P168" s="229">
        <f t="shared" si="113"/>
        <v>0</v>
      </c>
      <c r="Q168" s="229">
        <f t="shared" si="113"/>
        <v>0</v>
      </c>
      <c r="R168" s="229">
        <f t="shared" si="113"/>
        <v>-1.4000000000000909</v>
      </c>
      <c r="S168" s="229">
        <f t="shared" si="113"/>
        <v>0</v>
      </c>
      <c r="T168" s="229">
        <f t="shared" si="113"/>
        <v>0</v>
      </c>
    </row>
    <row r="169" spans="1:20" x14ac:dyDescent="0.15">
      <c r="A169" s="203">
        <f t="shared" si="107"/>
        <v>13</v>
      </c>
      <c r="B169" s="208" t="s">
        <v>360</v>
      </c>
      <c r="D169" s="219"/>
      <c r="E169" s="219"/>
      <c r="F169" s="229"/>
      <c r="G169" s="229"/>
      <c r="H169" s="229">
        <v>0</v>
      </c>
      <c r="I169" s="229">
        <v>0</v>
      </c>
      <c r="J169" s="229">
        <v>0</v>
      </c>
      <c r="K169" s="229">
        <f t="shared" ref="K169:K174" si="114">K20-K95</f>
        <v>0</v>
      </c>
      <c r="L169" s="229">
        <v>0</v>
      </c>
      <c r="M169" s="229">
        <v>0</v>
      </c>
      <c r="N169" s="229">
        <v>0</v>
      </c>
      <c r="O169" s="229">
        <v>0</v>
      </c>
      <c r="P169" s="229">
        <v>0</v>
      </c>
      <c r="Q169" s="229">
        <f>Q20</f>
        <v>0</v>
      </c>
      <c r="R169" s="229">
        <f>R20</f>
        <v>-500000</v>
      </c>
      <c r="S169" s="229">
        <f>S20</f>
        <v>0</v>
      </c>
      <c r="T169" s="229">
        <f>T20</f>
        <v>0</v>
      </c>
    </row>
    <row r="170" spans="1:20" x14ac:dyDescent="0.15">
      <c r="A170" s="203">
        <f t="shared" si="107"/>
        <v>14</v>
      </c>
      <c r="B170" s="203" t="s">
        <v>147</v>
      </c>
      <c r="D170" s="219">
        <f t="shared" ref="D170:J174" si="115">D21-D96</f>
        <v>0</v>
      </c>
      <c r="E170" s="219">
        <f t="shared" si="115"/>
        <v>0</v>
      </c>
      <c r="F170" s="229">
        <f t="shared" si="115"/>
        <v>0</v>
      </c>
      <c r="G170" s="229">
        <f t="shared" si="115"/>
        <v>0</v>
      </c>
      <c r="H170" s="229">
        <f t="shared" si="115"/>
        <v>0</v>
      </c>
      <c r="I170" s="229">
        <f t="shared" si="115"/>
        <v>0</v>
      </c>
      <c r="J170" s="229">
        <f t="shared" si="115"/>
        <v>0</v>
      </c>
      <c r="K170" s="229">
        <f t="shared" si="114"/>
        <v>-147.10000000000582</v>
      </c>
      <c r="L170" s="229">
        <f t="shared" ref="L170:T170" si="116">L21-L96</f>
        <v>-271.29999999998836</v>
      </c>
      <c r="M170" s="229">
        <f t="shared" si="116"/>
        <v>-311.60000000000582</v>
      </c>
      <c r="N170" s="229">
        <f t="shared" si="116"/>
        <v>-360.70000000001164</v>
      </c>
      <c r="O170" s="229">
        <f t="shared" si="116"/>
        <v>-379.5</v>
      </c>
      <c r="P170" s="229">
        <f t="shared" si="116"/>
        <v>-581.10000000000582</v>
      </c>
      <c r="Q170" s="229">
        <f t="shared" si="116"/>
        <v>0</v>
      </c>
      <c r="R170" s="229">
        <f t="shared" si="116"/>
        <v>-418.40000000002328</v>
      </c>
      <c r="S170" s="229">
        <f t="shared" si="116"/>
        <v>-672.29999999998836</v>
      </c>
      <c r="T170" s="229">
        <f t="shared" si="116"/>
        <v>-960.59999999997672</v>
      </c>
    </row>
    <row r="171" spans="1:20" x14ac:dyDescent="0.15">
      <c r="A171" s="203">
        <f t="shared" si="107"/>
        <v>15</v>
      </c>
      <c r="B171" s="203" t="s">
        <v>149</v>
      </c>
      <c r="D171" s="219">
        <f t="shared" si="115"/>
        <v>0</v>
      </c>
      <c r="E171" s="219">
        <f t="shared" si="115"/>
        <v>0</v>
      </c>
      <c r="F171" s="229">
        <f t="shared" si="115"/>
        <v>0</v>
      </c>
      <c r="G171" s="229">
        <f t="shared" si="115"/>
        <v>0</v>
      </c>
      <c r="H171" s="229">
        <f t="shared" si="115"/>
        <v>0</v>
      </c>
      <c r="I171" s="229">
        <f t="shared" si="115"/>
        <v>0</v>
      </c>
      <c r="J171" s="229">
        <f t="shared" si="115"/>
        <v>0</v>
      </c>
      <c r="K171" s="229">
        <f t="shared" si="114"/>
        <v>-78.399999999994179</v>
      </c>
      <c r="L171" s="229">
        <f t="shared" ref="L171:T171" si="117">L22-L97</f>
        <v>-55.5</v>
      </c>
      <c r="M171" s="229">
        <f t="shared" si="117"/>
        <v>-636.80000000000291</v>
      </c>
      <c r="N171" s="229">
        <f t="shared" si="117"/>
        <v>-304.10000000000582</v>
      </c>
      <c r="O171" s="229">
        <f t="shared" si="117"/>
        <v>912.90000000000873</v>
      </c>
      <c r="P171" s="229">
        <f t="shared" si="117"/>
        <v>1461.8999999999942</v>
      </c>
      <c r="Q171" s="229">
        <f t="shared" si="117"/>
        <v>0</v>
      </c>
      <c r="R171" s="229">
        <f t="shared" si="117"/>
        <v>-133.90000000002328</v>
      </c>
      <c r="S171" s="229">
        <f t="shared" si="117"/>
        <v>-940.89999999999418</v>
      </c>
      <c r="T171" s="229">
        <f t="shared" si="117"/>
        <v>2374.7999999999884</v>
      </c>
    </row>
    <row r="172" spans="1:20" x14ac:dyDescent="0.15">
      <c r="A172" s="203">
        <f t="shared" si="107"/>
        <v>16</v>
      </c>
      <c r="B172" s="208" t="s">
        <v>173</v>
      </c>
      <c r="D172" s="219">
        <f t="shared" si="115"/>
        <v>0</v>
      </c>
      <c r="E172" s="219">
        <f t="shared" si="115"/>
        <v>0</v>
      </c>
      <c r="F172" s="229">
        <f t="shared" si="115"/>
        <v>0</v>
      </c>
      <c r="G172" s="229">
        <f t="shared" si="115"/>
        <v>0</v>
      </c>
      <c r="H172" s="229">
        <f t="shared" si="115"/>
        <v>0</v>
      </c>
      <c r="I172" s="229">
        <f t="shared" si="115"/>
        <v>0</v>
      </c>
      <c r="J172" s="229">
        <f t="shared" si="115"/>
        <v>0</v>
      </c>
      <c r="K172" s="229">
        <f t="shared" si="114"/>
        <v>-21</v>
      </c>
      <c r="L172" s="229">
        <f t="shared" ref="L172:T172" si="118">L23-L98</f>
        <v>-15.5</v>
      </c>
      <c r="M172" s="229">
        <f t="shared" si="118"/>
        <v>-20.799999999999272</v>
      </c>
      <c r="N172" s="229">
        <f t="shared" si="118"/>
        <v>-123.10000000000218</v>
      </c>
      <c r="O172" s="229">
        <f t="shared" si="118"/>
        <v>-358.10000000000218</v>
      </c>
      <c r="P172" s="229">
        <f t="shared" si="118"/>
        <v>-604</v>
      </c>
      <c r="Q172" s="229">
        <f t="shared" si="118"/>
        <v>0</v>
      </c>
      <c r="R172" s="229">
        <f t="shared" si="118"/>
        <v>-36.5</v>
      </c>
      <c r="S172" s="229">
        <f t="shared" si="118"/>
        <v>-143.89999999999418</v>
      </c>
      <c r="T172" s="229">
        <f t="shared" si="118"/>
        <v>-962.10000000000582</v>
      </c>
    </row>
    <row r="173" spans="1:20" x14ac:dyDescent="0.15">
      <c r="A173" s="203">
        <f t="shared" si="107"/>
        <v>17</v>
      </c>
      <c r="B173" s="208" t="s">
        <v>168</v>
      </c>
      <c r="C173" s="208"/>
      <c r="D173" s="219">
        <f t="shared" si="115"/>
        <v>0</v>
      </c>
      <c r="E173" s="219">
        <f t="shared" si="115"/>
        <v>0</v>
      </c>
      <c r="F173" s="229">
        <f t="shared" si="115"/>
        <v>0</v>
      </c>
      <c r="G173" s="229">
        <f t="shared" si="115"/>
        <v>0</v>
      </c>
      <c r="H173" s="229">
        <f t="shared" si="115"/>
        <v>0</v>
      </c>
      <c r="I173" s="229">
        <f t="shared" si="115"/>
        <v>0</v>
      </c>
      <c r="J173" s="229">
        <f t="shared" si="115"/>
        <v>0</v>
      </c>
      <c r="K173" s="229">
        <f t="shared" si="114"/>
        <v>-1.6999999999970896</v>
      </c>
      <c r="L173" s="229">
        <f t="shared" ref="L173:T173" si="119">L24-L99</f>
        <v>-1812.0999999999985</v>
      </c>
      <c r="M173" s="229">
        <f t="shared" si="119"/>
        <v>-834</v>
      </c>
      <c r="N173" s="229">
        <f t="shared" si="119"/>
        <v>-739.5</v>
      </c>
      <c r="O173" s="229">
        <f t="shared" si="119"/>
        <v>-450.40000000000873</v>
      </c>
      <c r="P173" s="229">
        <f t="shared" si="119"/>
        <v>-309.69999999999709</v>
      </c>
      <c r="Q173" s="229">
        <f t="shared" si="119"/>
        <v>0</v>
      </c>
      <c r="R173" s="229">
        <f t="shared" si="119"/>
        <v>-1813.8000000000029</v>
      </c>
      <c r="S173" s="229">
        <f t="shared" si="119"/>
        <v>-1573.5</v>
      </c>
      <c r="T173" s="229">
        <f t="shared" si="119"/>
        <v>-760.10000000000582</v>
      </c>
    </row>
    <row r="174" spans="1:20" x14ac:dyDescent="0.15">
      <c r="A174" s="203">
        <f t="shared" si="107"/>
        <v>18</v>
      </c>
      <c r="B174" s="203" t="s">
        <v>150</v>
      </c>
      <c r="D174" s="219">
        <f t="shared" si="115"/>
        <v>0</v>
      </c>
      <c r="E174" s="219">
        <f t="shared" si="115"/>
        <v>0</v>
      </c>
      <c r="F174" s="229">
        <f t="shared" si="115"/>
        <v>0</v>
      </c>
      <c r="G174" s="229">
        <f t="shared" si="115"/>
        <v>0</v>
      </c>
      <c r="H174" s="229">
        <f t="shared" si="115"/>
        <v>0</v>
      </c>
      <c r="I174" s="229">
        <f t="shared" si="115"/>
        <v>0</v>
      </c>
      <c r="J174" s="229">
        <f t="shared" si="115"/>
        <v>0</v>
      </c>
      <c r="K174" s="229">
        <f t="shared" si="114"/>
        <v>-570.90000000002328</v>
      </c>
      <c r="L174" s="229">
        <f t="shared" ref="L174:T174" si="120">L25-L100</f>
        <v>-562.5</v>
      </c>
      <c r="M174" s="229">
        <f t="shared" si="120"/>
        <v>-73</v>
      </c>
      <c r="N174" s="229">
        <f t="shared" si="120"/>
        <v>13.300000000046566</v>
      </c>
      <c r="O174" s="229">
        <f t="shared" si="120"/>
        <v>127.09999999997672</v>
      </c>
      <c r="P174" s="229">
        <f t="shared" si="120"/>
        <v>-172.09999999997672</v>
      </c>
      <c r="Q174" s="229">
        <f t="shared" si="120"/>
        <v>0</v>
      </c>
      <c r="R174" s="229">
        <f t="shared" si="120"/>
        <v>-1133.4000000001397</v>
      </c>
      <c r="S174" s="229">
        <f t="shared" si="120"/>
        <v>-59.700000000186265</v>
      </c>
      <c r="T174" s="229">
        <f t="shared" si="120"/>
        <v>-45</v>
      </c>
    </row>
    <row r="175" spans="1:20" x14ac:dyDescent="0.15">
      <c r="B175" s="208" t="s">
        <v>172</v>
      </c>
      <c r="D175" s="219"/>
      <c r="E175" s="219"/>
      <c r="F175" s="229"/>
      <c r="G175" s="229"/>
      <c r="H175" s="229"/>
      <c r="I175" s="229"/>
      <c r="J175" s="229"/>
      <c r="K175" s="229"/>
      <c r="L175" s="229"/>
      <c r="M175" s="229"/>
      <c r="N175" s="229"/>
      <c r="O175" s="229"/>
      <c r="P175" s="229"/>
    </row>
    <row r="176" spans="1:20" x14ac:dyDescent="0.15">
      <c r="A176" s="203">
        <f>A174+1</f>
        <v>19</v>
      </c>
      <c r="B176" s="208"/>
      <c r="C176" s="208" t="s">
        <v>268</v>
      </c>
      <c r="D176" s="219">
        <f t="shared" ref="D176:T176" si="121">D28-D102</f>
        <v>0</v>
      </c>
      <c r="E176" s="219">
        <f t="shared" si="121"/>
        <v>0</v>
      </c>
      <c r="F176" s="229">
        <f t="shared" si="121"/>
        <v>1088873.94</v>
      </c>
      <c r="G176" s="229">
        <f t="shared" si="121"/>
        <v>0</v>
      </c>
      <c r="H176" s="229">
        <f t="shared" si="121"/>
        <v>0</v>
      </c>
      <c r="I176" s="229">
        <f t="shared" si="121"/>
        <v>0</v>
      </c>
      <c r="J176" s="229">
        <f t="shared" si="121"/>
        <v>0</v>
      </c>
      <c r="K176" s="229">
        <f t="shared" si="121"/>
        <v>-70.800000000000068</v>
      </c>
      <c r="L176" s="229">
        <f t="shared" si="121"/>
        <v>-108.39999999999998</v>
      </c>
      <c r="M176" s="229">
        <f t="shared" si="121"/>
        <v>-204.5</v>
      </c>
      <c r="N176" s="229">
        <f t="shared" si="121"/>
        <v>-187.4</v>
      </c>
      <c r="O176" s="229">
        <f t="shared" si="121"/>
        <v>-29.800000000000011</v>
      </c>
      <c r="P176" s="229">
        <f t="shared" si="121"/>
        <v>44.100000000000023</v>
      </c>
      <c r="Q176" s="229">
        <f t="shared" si="121"/>
        <v>0</v>
      </c>
      <c r="R176" s="229">
        <f t="shared" si="121"/>
        <v>-179.20000000000005</v>
      </c>
      <c r="S176" s="229">
        <f t="shared" si="121"/>
        <v>-391.9</v>
      </c>
      <c r="T176" s="229">
        <f t="shared" si="121"/>
        <v>14.300000000000068</v>
      </c>
    </row>
    <row r="177" spans="1:20" x14ac:dyDescent="0.15">
      <c r="A177" s="203">
        <f>A176+1</f>
        <v>20</v>
      </c>
      <c r="B177" s="208"/>
      <c r="C177" s="208"/>
      <c r="D177" s="219">
        <f t="shared" ref="D177:T177" si="122">D29-D103</f>
        <v>0</v>
      </c>
      <c r="E177" s="219">
        <f t="shared" si="122"/>
        <v>0</v>
      </c>
      <c r="F177" s="229">
        <f t="shared" si="122"/>
        <v>0</v>
      </c>
      <c r="G177" s="229">
        <f t="shared" si="122"/>
        <v>0</v>
      </c>
      <c r="H177" s="229">
        <f t="shared" si="122"/>
        <v>0</v>
      </c>
      <c r="I177" s="229">
        <f t="shared" si="122"/>
        <v>0</v>
      </c>
      <c r="J177" s="229">
        <f t="shared" si="122"/>
        <v>0</v>
      </c>
      <c r="K177" s="229">
        <f t="shared" si="122"/>
        <v>0</v>
      </c>
      <c r="L177" s="229">
        <f t="shared" si="122"/>
        <v>0</v>
      </c>
      <c r="M177" s="229">
        <f t="shared" si="122"/>
        <v>0</v>
      </c>
      <c r="N177" s="229">
        <f t="shared" si="122"/>
        <v>0</v>
      </c>
      <c r="O177" s="229">
        <f t="shared" si="122"/>
        <v>0</v>
      </c>
      <c r="P177" s="229">
        <f t="shared" si="122"/>
        <v>0</v>
      </c>
      <c r="Q177" s="229">
        <f t="shared" si="122"/>
        <v>0</v>
      </c>
      <c r="R177" s="229">
        <f t="shared" si="122"/>
        <v>0</v>
      </c>
      <c r="S177" s="229">
        <f t="shared" si="122"/>
        <v>0</v>
      </c>
      <c r="T177" s="229">
        <f t="shared" si="122"/>
        <v>0</v>
      </c>
    </row>
    <row r="178" spans="1:20" x14ac:dyDescent="0.15">
      <c r="A178" s="203">
        <f>A177+1</f>
        <v>21</v>
      </c>
      <c r="B178" s="208"/>
      <c r="C178" s="208"/>
      <c r="D178" s="219">
        <f t="shared" ref="D178:T178" si="123">D30-D104</f>
        <v>0</v>
      </c>
      <c r="E178" s="219">
        <f t="shared" si="123"/>
        <v>0</v>
      </c>
      <c r="F178" s="229">
        <f t="shared" si="123"/>
        <v>0</v>
      </c>
      <c r="G178" s="229">
        <f t="shared" si="123"/>
        <v>0</v>
      </c>
      <c r="H178" s="229">
        <f t="shared" si="123"/>
        <v>0</v>
      </c>
      <c r="I178" s="229">
        <f t="shared" si="123"/>
        <v>0</v>
      </c>
      <c r="J178" s="229">
        <f t="shared" si="123"/>
        <v>0</v>
      </c>
      <c r="K178" s="229">
        <f t="shared" si="123"/>
        <v>0</v>
      </c>
      <c r="L178" s="229">
        <f t="shared" si="123"/>
        <v>0</v>
      </c>
      <c r="M178" s="229">
        <f t="shared" si="123"/>
        <v>0</v>
      </c>
      <c r="N178" s="229">
        <f t="shared" si="123"/>
        <v>0</v>
      </c>
      <c r="O178" s="229">
        <f t="shared" si="123"/>
        <v>0</v>
      </c>
      <c r="P178" s="229">
        <f t="shared" si="123"/>
        <v>0</v>
      </c>
      <c r="Q178" s="229">
        <f t="shared" si="123"/>
        <v>0</v>
      </c>
      <c r="R178" s="229">
        <f t="shared" si="123"/>
        <v>0</v>
      </c>
      <c r="S178" s="229">
        <f t="shared" si="123"/>
        <v>0</v>
      </c>
      <c r="T178" s="229">
        <f t="shared" si="123"/>
        <v>0</v>
      </c>
    </row>
    <row r="179" spans="1:20" x14ac:dyDescent="0.15">
      <c r="A179" s="203">
        <f>A178+1</f>
        <v>22</v>
      </c>
      <c r="B179" s="208"/>
      <c r="C179" s="208"/>
      <c r="D179" s="219">
        <f t="shared" ref="D179:T179" si="124">D31-D105</f>
        <v>0</v>
      </c>
      <c r="E179" s="219">
        <f t="shared" si="124"/>
        <v>0</v>
      </c>
      <c r="F179" s="229">
        <f t="shared" si="124"/>
        <v>0</v>
      </c>
      <c r="G179" s="229">
        <f t="shared" si="124"/>
        <v>0</v>
      </c>
      <c r="H179" s="229">
        <f t="shared" si="124"/>
        <v>0</v>
      </c>
      <c r="I179" s="229">
        <f t="shared" si="124"/>
        <v>0</v>
      </c>
      <c r="J179" s="229">
        <f t="shared" si="124"/>
        <v>0</v>
      </c>
      <c r="K179" s="229">
        <f t="shared" si="124"/>
        <v>0</v>
      </c>
      <c r="L179" s="229">
        <f t="shared" si="124"/>
        <v>0</v>
      </c>
      <c r="M179" s="229">
        <f t="shared" si="124"/>
        <v>0</v>
      </c>
      <c r="N179" s="229">
        <f t="shared" si="124"/>
        <v>0</v>
      </c>
      <c r="O179" s="229">
        <f t="shared" si="124"/>
        <v>0</v>
      </c>
      <c r="P179" s="229">
        <f t="shared" si="124"/>
        <v>0</v>
      </c>
      <c r="Q179" s="229">
        <f t="shared" si="124"/>
        <v>0</v>
      </c>
      <c r="R179" s="229">
        <f t="shared" si="124"/>
        <v>0</v>
      </c>
      <c r="S179" s="229">
        <f t="shared" si="124"/>
        <v>0</v>
      </c>
      <c r="T179" s="229">
        <f t="shared" si="124"/>
        <v>0</v>
      </c>
    </row>
    <row r="180" spans="1:20" x14ac:dyDescent="0.15">
      <c r="A180" s="203">
        <f>A179+1</f>
        <v>23</v>
      </c>
      <c r="B180" s="208"/>
      <c r="C180" s="208"/>
      <c r="D180" s="219">
        <f t="shared" ref="D180:T180" si="125">D32-D106</f>
        <v>0</v>
      </c>
      <c r="E180" s="219">
        <f t="shared" si="125"/>
        <v>0</v>
      </c>
      <c r="F180" s="229">
        <f t="shared" si="125"/>
        <v>0</v>
      </c>
      <c r="G180" s="229">
        <f t="shared" si="125"/>
        <v>0</v>
      </c>
      <c r="H180" s="229">
        <f t="shared" si="125"/>
        <v>0</v>
      </c>
      <c r="I180" s="229">
        <f t="shared" si="125"/>
        <v>0</v>
      </c>
      <c r="J180" s="229">
        <f t="shared" si="125"/>
        <v>0</v>
      </c>
      <c r="K180" s="229">
        <f t="shared" si="125"/>
        <v>0</v>
      </c>
      <c r="L180" s="229">
        <f t="shared" si="125"/>
        <v>0</v>
      </c>
      <c r="M180" s="229">
        <f t="shared" si="125"/>
        <v>0</v>
      </c>
      <c r="N180" s="229">
        <f t="shared" si="125"/>
        <v>0</v>
      </c>
      <c r="O180" s="229">
        <f t="shared" si="125"/>
        <v>0</v>
      </c>
      <c r="P180" s="229">
        <f t="shared" si="125"/>
        <v>0</v>
      </c>
      <c r="Q180" s="229">
        <f t="shared" si="125"/>
        <v>0</v>
      </c>
      <c r="R180" s="229">
        <f t="shared" si="125"/>
        <v>0</v>
      </c>
      <c r="S180" s="229">
        <f t="shared" si="125"/>
        <v>0</v>
      </c>
      <c r="T180" s="229">
        <f t="shared" si="125"/>
        <v>0</v>
      </c>
    </row>
    <row r="181" spans="1:20" x14ac:dyDescent="0.15">
      <c r="D181" s="207"/>
      <c r="E181" s="207"/>
      <c r="F181" s="230"/>
      <c r="G181" s="230"/>
      <c r="H181" s="230"/>
      <c r="I181" s="230"/>
      <c r="J181" s="230"/>
      <c r="K181" s="230"/>
      <c r="L181" s="230"/>
      <c r="M181" s="230"/>
      <c r="N181" s="230"/>
      <c r="O181" s="230"/>
      <c r="P181" s="230"/>
    </row>
    <row r="182" spans="1:20" x14ac:dyDescent="0.15">
      <c r="A182" s="203">
        <f>A180+1</f>
        <v>24</v>
      </c>
      <c r="B182" s="208" t="s">
        <v>158</v>
      </c>
      <c r="D182" s="219">
        <f t="shared" ref="D182:T182" si="126">D34-D108</f>
        <v>0</v>
      </c>
      <c r="E182" s="219">
        <f t="shared" si="126"/>
        <v>0</v>
      </c>
      <c r="F182" s="229">
        <f t="shared" si="126"/>
        <v>1088873.9399999995</v>
      </c>
      <c r="G182" s="229">
        <f t="shared" si="126"/>
        <v>0</v>
      </c>
      <c r="H182" s="229">
        <f t="shared" si="126"/>
        <v>0</v>
      </c>
      <c r="I182" s="229">
        <f t="shared" si="126"/>
        <v>0</v>
      </c>
      <c r="J182" s="229">
        <f t="shared" si="126"/>
        <v>0</v>
      </c>
      <c r="K182" s="229">
        <f t="shared" si="126"/>
        <v>-4697.3999999985099</v>
      </c>
      <c r="L182" s="229">
        <f t="shared" si="126"/>
        <v>-9813.9999999981374</v>
      </c>
      <c r="M182" s="229">
        <f t="shared" si="126"/>
        <v>-14706.999999999069</v>
      </c>
      <c r="N182" s="229">
        <f t="shared" si="126"/>
        <v>-15168.099999999627</v>
      </c>
      <c r="O182" s="229">
        <f t="shared" si="126"/>
        <v>-9224.1000000024214</v>
      </c>
      <c r="P182" s="229">
        <f t="shared" si="126"/>
        <v>-14476.200000000186</v>
      </c>
      <c r="Q182" s="229">
        <f t="shared" si="126"/>
        <v>0</v>
      </c>
      <c r="R182" s="229">
        <f t="shared" si="126"/>
        <v>-14511.399999996647</v>
      </c>
      <c r="S182" s="229">
        <f t="shared" si="126"/>
        <v>-29875.099999997765</v>
      </c>
      <c r="T182" s="229">
        <f t="shared" si="126"/>
        <v>-23700.300000000745</v>
      </c>
    </row>
    <row r="183" spans="1:20" x14ac:dyDescent="0.15">
      <c r="D183" s="207"/>
      <c r="E183" s="207"/>
      <c r="F183" s="230"/>
      <c r="G183" s="230"/>
      <c r="H183" s="230"/>
      <c r="I183" s="230"/>
      <c r="J183" s="230"/>
      <c r="K183" s="230"/>
      <c r="L183" s="230"/>
      <c r="M183" s="230"/>
      <c r="N183" s="230"/>
      <c r="O183" s="230"/>
      <c r="P183" s="230"/>
    </row>
    <row r="184" spans="1:20" x14ac:dyDescent="0.15">
      <c r="B184" s="208" t="s">
        <v>156</v>
      </c>
      <c r="C184" s="208"/>
      <c r="D184" s="207"/>
      <c r="E184" s="207"/>
      <c r="F184" s="230"/>
      <c r="G184" s="230"/>
      <c r="H184" s="230"/>
      <c r="I184" s="230"/>
      <c r="J184" s="230"/>
      <c r="K184" s="230"/>
      <c r="L184" s="230"/>
      <c r="M184" s="230"/>
      <c r="N184" s="230"/>
      <c r="O184" s="230"/>
      <c r="P184" s="230"/>
    </row>
    <row r="185" spans="1:20" x14ac:dyDescent="0.15">
      <c r="A185" s="203">
        <f>A182+1</f>
        <v>25</v>
      </c>
      <c r="B185" s="203" t="s">
        <v>153</v>
      </c>
      <c r="D185" s="219">
        <f t="shared" ref="D185:T185" si="127">D37-D111</f>
        <v>0</v>
      </c>
      <c r="E185" s="219">
        <f t="shared" si="127"/>
        <v>0</v>
      </c>
      <c r="F185" s="229">
        <f t="shared" si="127"/>
        <v>0</v>
      </c>
      <c r="G185" s="229">
        <f t="shared" si="127"/>
        <v>0</v>
      </c>
      <c r="H185" s="229">
        <f t="shared" si="127"/>
        <v>0</v>
      </c>
      <c r="I185" s="229">
        <f t="shared" si="127"/>
        <v>0</v>
      </c>
      <c r="J185" s="229">
        <f t="shared" si="127"/>
        <v>0</v>
      </c>
      <c r="K185" s="229">
        <f t="shared" si="127"/>
        <v>-96.099999999991269</v>
      </c>
      <c r="L185" s="229">
        <f t="shared" si="127"/>
        <v>26.19999999999709</v>
      </c>
      <c r="M185" s="229">
        <f t="shared" si="127"/>
        <v>37.80000000000291</v>
      </c>
      <c r="N185" s="229">
        <f t="shared" si="127"/>
        <v>-3581.8000000000029</v>
      </c>
      <c r="O185" s="229">
        <f>O37-O111</f>
        <v>-3922.2999999999884</v>
      </c>
      <c r="P185" s="229">
        <f t="shared" si="127"/>
        <v>-3999.8000000000029</v>
      </c>
      <c r="Q185" s="229">
        <f t="shared" si="127"/>
        <v>0</v>
      </c>
      <c r="R185" s="229">
        <f t="shared" si="127"/>
        <v>-69.899999999994179</v>
      </c>
      <c r="S185" s="229">
        <f t="shared" si="127"/>
        <v>-3544</v>
      </c>
      <c r="T185" s="229">
        <f t="shared" si="127"/>
        <v>-7922.0999999999767</v>
      </c>
    </row>
    <row r="186" spans="1:20" x14ac:dyDescent="0.15">
      <c r="A186" s="203">
        <f>A185+1</f>
        <v>26</v>
      </c>
      <c r="B186" s="203" t="s">
        <v>152</v>
      </c>
      <c r="D186" s="219">
        <f t="shared" ref="D186:T186" si="128">D38-D112</f>
        <v>0</v>
      </c>
      <c r="E186" s="219">
        <f t="shared" si="128"/>
        <v>0</v>
      </c>
      <c r="F186" s="229">
        <f t="shared" si="128"/>
        <v>0</v>
      </c>
      <c r="G186" s="229">
        <f t="shared" si="128"/>
        <v>0</v>
      </c>
      <c r="H186" s="229">
        <f t="shared" si="128"/>
        <v>0</v>
      </c>
      <c r="I186" s="229">
        <f t="shared" si="128"/>
        <v>0</v>
      </c>
      <c r="J186" s="229">
        <f t="shared" si="128"/>
        <v>0</v>
      </c>
      <c r="K186" s="229">
        <f t="shared" si="128"/>
        <v>-70.69999999999709</v>
      </c>
      <c r="L186" s="229">
        <f t="shared" si="128"/>
        <v>41.099999999991269</v>
      </c>
      <c r="M186" s="229">
        <f t="shared" si="128"/>
        <v>-426.30000000000291</v>
      </c>
      <c r="N186" s="229">
        <f t="shared" si="128"/>
        <v>-284.10000000000582</v>
      </c>
      <c r="O186" s="229">
        <f t="shared" si="128"/>
        <v>777.19999999999709</v>
      </c>
      <c r="P186" s="229">
        <f t="shared" si="128"/>
        <v>1229.6000000000058</v>
      </c>
      <c r="Q186" s="229">
        <f t="shared" si="128"/>
        <v>0</v>
      </c>
      <c r="R186" s="229">
        <f t="shared" si="128"/>
        <v>-29.600000000034925</v>
      </c>
      <c r="S186" s="229">
        <f t="shared" si="128"/>
        <v>-710.40000000002328</v>
      </c>
      <c r="T186" s="229">
        <f t="shared" si="128"/>
        <v>2006.7999999999884</v>
      </c>
    </row>
    <row r="187" spans="1:20" x14ac:dyDescent="0.15">
      <c r="A187" s="203">
        <f>A186+1</f>
        <v>27</v>
      </c>
      <c r="B187" s="208" t="s">
        <v>174</v>
      </c>
      <c r="D187" s="219">
        <f t="shared" ref="D187:T187" si="129">D39-D113</f>
        <v>0</v>
      </c>
      <c r="E187" s="219">
        <f t="shared" si="129"/>
        <v>0</v>
      </c>
      <c r="F187" s="229">
        <f t="shared" si="129"/>
        <v>0</v>
      </c>
      <c r="G187" s="229">
        <f t="shared" si="129"/>
        <v>0</v>
      </c>
      <c r="H187" s="229">
        <f t="shared" si="129"/>
        <v>0</v>
      </c>
      <c r="I187" s="229">
        <f t="shared" si="129"/>
        <v>0</v>
      </c>
      <c r="J187" s="229">
        <f t="shared" si="129"/>
        <v>0</v>
      </c>
      <c r="K187" s="229">
        <f t="shared" si="129"/>
        <v>-27.700000000000728</v>
      </c>
      <c r="L187" s="229">
        <f t="shared" si="129"/>
        <v>24.099999999998545</v>
      </c>
      <c r="M187" s="229">
        <f t="shared" si="129"/>
        <v>25.69999999999709</v>
      </c>
      <c r="N187" s="229">
        <f t="shared" si="129"/>
        <v>-150.59999999999854</v>
      </c>
      <c r="O187" s="229">
        <f t="shared" si="129"/>
        <v>-348.90000000000146</v>
      </c>
      <c r="P187" s="229">
        <f t="shared" si="129"/>
        <v>-540.40000000000146</v>
      </c>
      <c r="Q187" s="229">
        <f t="shared" si="129"/>
        <v>0</v>
      </c>
      <c r="R187" s="229">
        <f t="shared" si="129"/>
        <v>-3.6000000000058208</v>
      </c>
      <c r="S187" s="229">
        <f t="shared" si="129"/>
        <v>-124.89999999999418</v>
      </c>
      <c r="T187" s="229">
        <f t="shared" si="129"/>
        <v>-889.30000000000291</v>
      </c>
    </row>
    <row r="188" spans="1:20" x14ac:dyDescent="0.15">
      <c r="A188" s="203">
        <f>A187+1</f>
        <v>28</v>
      </c>
      <c r="B188" s="208" t="s">
        <v>168</v>
      </c>
      <c r="C188" s="208"/>
      <c r="D188" s="219">
        <f t="shared" ref="D188:T188" si="130">D40-D114</f>
        <v>0</v>
      </c>
      <c r="E188" s="219">
        <f t="shared" si="130"/>
        <v>0</v>
      </c>
      <c r="F188" s="229">
        <f t="shared" si="130"/>
        <v>0</v>
      </c>
      <c r="G188" s="229">
        <f t="shared" si="130"/>
        <v>0</v>
      </c>
      <c r="H188" s="229">
        <f t="shared" si="130"/>
        <v>0</v>
      </c>
      <c r="I188" s="229">
        <f t="shared" si="130"/>
        <v>0</v>
      </c>
      <c r="J188" s="229">
        <f t="shared" si="130"/>
        <v>0</v>
      </c>
      <c r="K188" s="229">
        <f t="shared" si="130"/>
        <v>-1.2000000000007276</v>
      </c>
      <c r="L188" s="229">
        <f t="shared" si="130"/>
        <v>-606.09999999999854</v>
      </c>
      <c r="M188" s="229">
        <f t="shared" si="130"/>
        <v>-1008.6000000000022</v>
      </c>
      <c r="N188" s="229">
        <f t="shared" si="130"/>
        <v>-1248</v>
      </c>
      <c r="O188" s="229">
        <f t="shared" si="130"/>
        <v>-1203.5</v>
      </c>
      <c r="P188" s="229">
        <f t="shared" si="130"/>
        <v>-1146.5</v>
      </c>
      <c r="Q188" s="229">
        <f t="shared" si="130"/>
        <v>0</v>
      </c>
      <c r="R188" s="229">
        <f t="shared" si="130"/>
        <v>-607.29999999999563</v>
      </c>
      <c r="S188" s="229">
        <f t="shared" si="130"/>
        <v>-2256.5999999999985</v>
      </c>
      <c r="T188" s="229">
        <f t="shared" si="130"/>
        <v>-2350</v>
      </c>
    </row>
    <row r="189" spans="1:20" x14ac:dyDescent="0.15">
      <c r="A189" s="203">
        <f>A188+1</f>
        <v>29</v>
      </c>
      <c r="B189" s="203" t="s">
        <v>154</v>
      </c>
      <c r="D189" s="219">
        <f t="shared" ref="D189:T189" si="131">D41-D115</f>
        <v>0</v>
      </c>
      <c r="E189" s="219">
        <f t="shared" si="131"/>
        <v>0</v>
      </c>
      <c r="F189" s="229">
        <f t="shared" si="131"/>
        <v>0</v>
      </c>
      <c r="G189" s="229">
        <f t="shared" si="131"/>
        <v>0</v>
      </c>
      <c r="H189" s="229">
        <f t="shared" si="131"/>
        <v>0</v>
      </c>
      <c r="I189" s="229">
        <f t="shared" si="131"/>
        <v>0</v>
      </c>
      <c r="J189" s="229">
        <f t="shared" si="131"/>
        <v>0</v>
      </c>
      <c r="K189" s="229">
        <f t="shared" si="131"/>
        <v>-512.60000000009313</v>
      </c>
      <c r="L189" s="229">
        <f t="shared" si="131"/>
        <v>-728.5</v>
      </c>
      <c r="M189" s="229">
        <f t="shared" si="131"/>
        <v>-108.40000000002328</v>
      </c>
      <c r="N189" s="229">
        <f t="shared" si="131"/>
        <v>-911.10000000009313</v>
      </c>
      <c r="O189" s="229">
        <f t="shared" si="131"/>
        <v>-316.90000000002328</v>
      </c>
      <c r="P189" s="229">
        <f t="shared" si="131"/>
        <v>-22.699999999953434</v>
      </c>
      <c r="Q189" s="229">
        <f t="shared" si="131"/>
        <v>0</v>
      </c>
      <c r="R189" s="229">
        <f t="shared" si="131"/>
        <v>-1241.1000000000931</v>
      </c>
      <c r="S189" s="229">
        <f t="shared" si="131"/>
        <v>-1019.5</v>
      </c>
      <c r="T189" s="229">
        <f t="shared" si="131"/>
        <v>-339.60000000009313</v>
      </c>
    </row>
    <row r="190" spans="1:20" x14ac:dyDescent="0.15">
      <c r="D190" s="207"/>
      <c r="E190" s="207"/>
      <c r="F190" s="230"/>
      <c r="G190" s="230"/>
      <c r="H190" s="230"/>
      <c r="I190" s="230"/>
      <c r="J190" s="230"/>
      <c r="K190" s="230"/>
      <c r="L190" s="230"/>
      <c r="M190" s="230"/>
      <c r="N190" s="230"/>
      <c r="O190" s="230"/>
      <c r="P190" s="230"/>
    </row>
    <row r="191" spans="1:20" x14ac:dyDescent="0.15">
      <c r="A191" s="203">
        <f>A189+1</f>
        <v>30</v>
      </c>
      <c r="B191" s="208" t="s">
        <v>159</v>
      </c>
      <c r="C191" s="208"/>
      <c r="D191" s="219">
        <f t="shared" ref="D191:T191" si="132">D43-D117</f>
        <v>0</v>
      </c>
      <c r="E191" s="219">
        <f t="shared" si="132"/>
        <v>0</v>
      </c>
      <c r="F191" s="229">
        <f t="shared" si="132"/>
        <v>0</v>
      </c>
      <c r="G191" s="229">
        <f t="shared" si="132"/>
        <v>0</v>
      </c>
      <c r="H191" s="229">
        <f t="shared" si="132"/>
        <v>0</v>
      </c>
      <c r="I191" s="229">
        <f t="shared" si="132"/>
        <v>0</v>
      </c>
      <c r="J191" s="229">
        <f t="shared" si="132"/>
        <v>0</v>
      </c>
      <c r="K191" s="229">
        <f t="shared" si="132"/>
        <v>-708.30000000004657</v>
      </c>
      <c r="L191" s="229">
        <f t="shared" si="132"/>
        <v>-1243.2000000000698</v>
      </c>
      <c r="M191" s="229">
        <f t="shared" si="132"/>
        <v>-1479.8000000000466</v>
      </c>
      <c r="N191" s="229">
        <f t="shared" si="132"/>
        <v>-6175.6000000000931</v>
      </c>
      <c r="O191" s="229">
        <f t="shared" si="132"/>
        <v>-5014.3999999999069</v>
      </c>
      <c r="P191" s="229">
        <f t="shared" si="132"/>
        <v>-4479.7999999998137</v>
      </c>
      <c r="Q191" s="229">
        <f t="shared" si="132"/>
        <v>0</v>
      </c>
      <c r="R191" s="229">
        <f t="shared" si="132"/>
        <v>-1951.5000000002328</v>
      </c>
      <c r="S191" s="229">
        <f t="shared" si="132"/>
        <v>-7655.4000000001397</v>
      </c>
      <c r="T191" s="229">
        <f t="shared" si="132"/>
        <v>-9494.1999999997206</v>
      </c>
    </row>
    <row r="192" spans="1:20" x14ac:dyDescent="0.15">
      <c r="B192" s="208"/>
      <c r="C192" s="208"/>
      <c r="D192" s="207"/>
      <c r="E192" s="207"/>
      <c r="F192" s="230"/>
      <c r="G192" s="230"/>
      <c r="H192" s="230"/>
      <c r="I192" s="230"/>
      <c r="J192" s="230"/>
      <c r="K192" s="230"/>
      <c r="L192" s="230"/>
      <c r="M192" s="230"/>
      <c r="N192" s="230"/>
      <c r="O192" s="230"/>
      <c r="P192" s="230"/>
    </row>
    <row r="193" spans="1:20" x14ac:dyDescent="0.15">
      <c r="B193" s="208" t="s">
        <v>157</v>
      </c>
      <c r="C193" s="208"/>
      <c r="D193" s="207"/>
      <c r="E193" s="207"/>
      <c r="F193" s="230"/>
      <c r="G193" s="230"/>
      <c r="H193" s="230"/>
      <c r="I193" s="230"/>
      <c r="J193" s="230"/>
      <c r="K193" s="230"/>
      <c r="L193" s="230"/>
      <c r="M193" s="230"/>
      <c r="N193" s="230"/>
      <c r="O193" s="230"/>
      <c r="P193" s="230"/>
    </row>
    <row r="194" spans="1:20" x14ac:dyDescent="0.15">
      <c r="A194" s="203">
        <f>A191+1</f>
        <v>31</v>
      </c>
      <c r="B194" s="203" t="s">
        <v>141</v>
      </c>
      <c r="D194" s="219">
        <f t="shared" ref="D194:T194" si="133">D46-D120</f>
        <v>0</v>
      </c>
      <c r="E194" s="219">
        <f t="shared" si="133"/>
        <v>0</v>
      </c>
      <c r="F194" s="229">
        <f t="shared" si="133"/>
        <v>0</v>
      </c>
      <c r="G194" s="229">
        <f t="shared" si="133"/>
        <v>0</v>
      </c>
      <c r="H194" s="229">
        <f t="shared" si="133"/>
        <v>0</v>
      </c>
      <c r="I194" s="229">
        <f t="shared" si="133"/>
        <v>0</v>
      </c>
      <c r="J194" s="229">
        <f t="shared" si="133"/>
        <v>0</v>
      </c>
      <c r="K194" s="229">
        <f t="shared" si="133"/>
        <v>-3537.0999999996275</v>
      </c>
      <c r="L194" s="229">
        <f t="shared" si="133"/>
        <v>-6878.9000000003725</v>
      </c>
      <c r="M194" s="229">
        <f t="shared" si="133"/>
        <v>-7796.5</v>
      </c>
      <c r="N194" s="229">
        <f t="shared" si="133"/>
        <v>-8913.7999999998137</v>
      </c>
      <c r="O194" s="229">
        <f t="shared" si="133"/>
        <v>-9202.7000000001863</v>
      </c>
      <c r="P194" s="229">
        <f t="shared" si="133"/>
        <v>-14017</v>
      </c>
      <c r="Q194" s="229">
        <f t="shared" si="133"/>
        <v>0</v>
      </c>
      <c r="R194" s="229">
        <f t="shared" si="133"/>
        <v>-10416</v>
      </c>
      <c r="S194" s="229">
        <f t="shared" si="133"/>
        <v>-16710.299999998882</v>
      </c>
      <c r="T194" s="229">
        <f t="shared" si="133"/>
        <v>-23219.699999999255</v>
      </c>
    </row>
    <row r="195" spans="1:20" x14ac:dyDescent="0.15">
      <c r="A195" s="203">
        <f>A194+1</f>
        <v>32</v>
      </c>
      <c r="B195" s="208" t="s">
        <v>299</v>
      </c>
      <c r="D195" s="219"/>
      <c r="E195" s="219"/>
      <c r="F195" s="229">
        <f>F9</f>
        <v>0</v>
      </c>
      <c r="G195" s="229">
        <f>G9-G121</f>
        <v>0</v>
      </c>
      <c r="H195" s="229">
        <f t="shared" ref="H195:T195" si="134">H47-H121</f>
        <v>0</v>
      </c>
      <c r="I195" s="229">
        <f t="shared" si="134"/>
        <v>0</v>
      </c>
      <c r="J195" s="229">
        <f t="shared" si="134"/>
        <v>0</v>
      </c>
      <c r="K195" s="229">
        <f t="shared" si="134"/>
        <v>0</v>
      </c>
      <c r="L195" s="229">
        <f t="shared" si="134"/>
        <v>0</v>
      </c>
      <c r="M195" s="229">
        <f t="shared" si="134"/>
        <v>0</v>
      </c>
      <c r="N195" s="229">
        <f t="shared" si="134"/>
        <v>0</v>
      </c>
      <c r="O195" s="229">
        <f t="shared" si="134"/>
        <v>0</v>
      </c>
      <c r="P195" s="229">
        <f t="shared" si="134"/>
        <v>0</v>
      </c>
      <c r="Q195" s="229">
        <f t="shared" si="134"/>
        <v>0</v>
      </c>
      <c r="R195" s="229">
        <f t="shared" si="134"/>
        <v>0</v>
      </c>
      <c r="S195" s="229">
        <f t="shared" si="134"/>
        <v>0</v>
      </c>
      <c r="T195" s="229">
        <f t="shared" si="134"/>
        <v>0</v>
      </c>
    </row>
    <row r="196" spans="1:20" x14ac:dyDescent="0.15">
      <c r="A196" s="203">
        <f>A195+1</f>
        <v>33</v>
      </c>
      <c r="B196" s="208" t="s">
        <v>167</v>
      </c>
      <c r="C196" s="208"/>
      <c r="D196" s="219">
        <f t="shared" ref="D196:G197" si="135">D48-D122</f>
        <v>0</v>
      </c>
      <c r="E196" s="219">
        <f t="shared" si="135"/>
        <v>0</v>
      </c>
      <c r="F196" s="229">
        <f t="shared" si="135"/>
        <v>0</v>
      </c>
      <c r="G196" s="229">
        <f t="shared" si="135"/>
        <v>0</v>
      </c>
      <c r="H196" s="229">
        <f t="shared" ref="H196:T196" si="136">H48-H122</f>
        <v>0</v>
      </c>
      <c r="I196" s="229">
        <f t="shared" si="136"/>
        <v>0</v>
      </c>
      <c r="J196" s="229">
        <f t="shared" si="136"/>
        <v>0</v>
      </c>
      <c r="K196" s="229">
        <f t="shared" si="136"/>
        <v>-8.8999999999996362</v>
      </c>
      <c r="L196" s="229">
        <f t="shared" si="136"/>
        <v>-16.099999999998545</v>
      </c>
      <c r="M196" s="229">
        <f t="shared" si="136"/>
        <v>-18.299999999999272</v>
      </c>
      <c r="N196" s="229">
        <f t="shared" si="136"/>
        <v>-20.899999999999636</v>
      </c>
      <c r="O196" s="229">
        <f t="shared" si="136"/>
        <v>-21.5</v>
      </c>
      <c r="P196" s="229">
        <f t="shared" si="136"/>
        <v>-32.800000000001091</v>
      </c>
      <c r="Q196" s="229">
        <f t="shared" si="136"/>
        <v>0</v>
      </c>
      <c r="R196" s="229">
        <f t="shared" si="136"/>
        <v>-25</v>
      </c>
      <c r="S196" s="229">
        <f t="shared" si="136"/>
        <v>-39.19999999999709</v>
      </c>
      <c r="T196" s="229">
        <f t="shared" si="136"/>
        <v>-54.30000000000291</v>
      </c>
    </row>
    <row r="197" spans="1:20" x14ac:dyDescent="0.15">
      <c r="A197" s="203">
        <f>A196+1</f>
        <v>34</v>
      </c>
      <c r="B197" s="203" t="s">
        <v>142</v>
      </c>
      <c r="D197" s="219">
        <f t="shared" si="135"/>
        <v>0</v>
      </c>
      <c r="E197" s="219">
        <f t="shared" si="135"/>
        <v>0</v>
      </c>
      <c r="F197" s="229">
        <f t="shared" si="135"/>
        <v>0</v>
      </c>
      <c r="G197" s="229">
        <f t="shared" si="135"/>
        <v>0</v>
      </c>
      <c r="H197" s="229">
        <f t="shared" ref="H197:T197" si="137">H49-H123</f>
        <v>0</v>
      </c>
      <c r="I197" s="229">
        <f t="shared" si="137"/>
        <v>0</v>
      </c>
      <c r="J197" s="229">
        <f t="shared" si="137"/>
        <v>0</v>
      </c>
      <c r="K197" s="229">
        <f t="shared" si="137"/>
        <v>-189.59999999999854</v>
      </c>
      <c r="L197" s="229">
        <f t="shared" si="137"/>
        <v>-153.30000000000291</v>
      </c>
      <c r="M197" s="229">
        <f t="shared" si="137"/>
        <v>-133.20000000001164</v>
      </c>
      <c r="N197" s="229">
        <f t="shared" si="137"/>
        <v>-134.19999999999709</v>
      </c>
      <c r="O197" s="229">
        <f t="shared" si="137"/>
        <v>-133.5</v>
      </c>
      <c r="P197" s="229">
        <f t="shared" si="137"/>
        <v>-218.19999999999709</v>
      </c>
      <c r="Q197" s="229">
        <f t="shared" si="137"/>
        <v>0</v>
      </c>
      <c r="R197" s="229">
        <f t="shared" si="137"/>
        <v>-342.89999999999418</v>
      </c>
      <c r="S197" s="229">
        <f t="shared" si="137"/>
        <v>-267.39999999999418</v>
      </c>
      <c r="T197" s="229">
        <f t="shared" si="137"/>
        <v>-351.69999999998254</v>
      </c>
    </row>
    <row r="198" spans="1:20" x14ac:dyDescent="0.15">
      <c r="B198" s="208" t="s">
        <v>171</v>
      </c>
      <c r="D198" s="219"/>
      <c r="E198" s="219"/>
      <c r="F198" s="229"/>
      <c r="G198" s="229"/>
      <c r="H198" s="229"/>
      <c r="I198" s="229"/>
      <c r="J198" s="229"/>
      <c r="K198" s="229"/>
      <c r="L198" s="229"/>
      <c r="M198" s="229"/>
      <c r="N198" s="229"/>
      <c r="O198" s="229"/>
      <c r="P198" s="229"/>
    </row>
    <row r="199" spans="1:20" x14ac:dyDescent="0.15">
      <c r="A199" s="203">
        <f>A197+1</f>
        <v>35</v>
      </c>
      <c r="C199" s="203" t="s">
        <v>143</v>
      </c>
      <c r="D199" s="219">
        <f t="shared" ref="D199:T199" si="138">D51-D125</f>
        <v>0</v>
      </c>
      <c r="E199" s="219">
        <f t="shared" si="138"/>
        <v>0</v>
      </c>
      <c r="F199" s="229">
        <f t="shared" si="138"/>
        <v>0</v>
      </c>
      <c r="G199" s="229">
        <f t="shared" si="138"/>
        <v>0</v>
      </c>
      <c r="H199" s="229">
        <f t="shared" si="138"/>
        <v>0</v>
      </c>
      <c r="I199" s="229">
        <f t="shared" si="138"/>
        <v>0</v>
      </c>
      <c r="J199" s="229">
        <f t="shared" si="138"/>
        <v>0</v>
      </c>
      <c r="K199" s="229">
        <f t="shared" si="138"/>
        <v>-14.799999999988358</v>
      </c>
      <c r="L199" s="229">
        <f t="shared" si="138"/>
        <v>2.7000000000116415</v>
      </c>
      <c r="M199" s="229">
        <f t="shared" si="138"/>
        <v>-4750.0999999999767</v>
      </c>
      <c r="N199" s="229">
        <f t="shared" si="138"/>
        <v>-4454.8999999999651</v>
      </c>
      <c r="O199" s="229">
        <f t="shared" si="138"/>
        <v>-4791.4000000000233</v>
      </c>
      <c r="P199" s="229">
        <f t="shared" si="138"/>
        <v>-5087.3000000000466</v>
      </c>
      <c r="Q199" s="229">
        <f t="shared" si="138"/>
        <v>0</v>
      </c>
      <c r="R199" s="229">
        <f t="shared" si="138"/>
        <v>-12.100000000093132</v>
      </c>
      <c r="S199" s="229">
        <f t="shared" si="138"/>
        <v>-9204.9999999998836</v>
      </c>
      <c r="T199" s="229">
        <f t="shared" si="138"/>
        <v>-9878.7000000000698</v>
      </c>
    </row>
    <row r="200" spans="1:20" x14ac:dyDescent="0.15">
      <c r="A200" s="203">
        <f t="shared" ref="A200:A212" si="139">A199+1</f>
        <v>36</v>
      </c>
      <c r="C200" s="203" t="s">
        <v>144</v>
      </c>
      <c r="D200" s="219">
        <f t="shared" ref="D200:T200" si="140">D52-D126</f>
        <v>0</v>
      </c>
      <c r="E200" s="219">
        <f t="shared" si="140"/>
        <v>0</v>
      </c>
      <c r="F200" s="229">
        <f t="shared" si="140"/>
        <v>0</v>
      </c>
      <c r="G200" s="229">
        <f t="shared" si="140"/>
        <v>0</v>
      </c>
      <c r="H200" s="229">
        <f t="shared" si="140"/>
        <v>0</v>
      </c>
      <c r="I200" s="229">
        <f t="shared" si="140"/>
        <v>0</v>
      </c>
      <c r="J200" s="229">
        <f t="shared" si="140"/>
        <v>0</v>
      </c>
      <c r="K200" s="229">
        <f t="shared" si="140"/>
        <v>-4.5</v>
      </c>
      <c r="L200" s="229">
        <f t="shared" si="140"/>
        <v>-54.700000000000728</v>
      </c>
      <c r="M200" s="229">
        <f t="shared" si="140"/>
        <v>-53.69999999999709</v>
      </c>
      <c r="N200" s="229">
        <f t="shared" si="140"/>
        <v>-55.5</v>
      </c>
      <c r="O200" s="229">
        <f t="shared" si="140"/>
        <v>-56.5</v>
      </c>
      <c r="P200" s="229">
        <f t="shared" si="140"/>
        <v>-115.20000000000073</v>
      </c>
      <c r="Q200" s="229">
        <f t="shared" si="140"/>
        <v>0</v>
      </c>
      <c r="R200" s="229">
        <f t="shared" si="140"/>
        <v>-59.19999999999709</v>
      </c>
      <c r="S200" s="229">
        <f t="shared" si="140"/>
        <v>-109.19999999999709</v>
      </c>
      <c r="T200" s="229">
        <f t="shared" si="140"/>
        <v>-171.70000000000437</v>
      </c>
    </row>
    <row r="201" spans="1:20" x14ac:dyDescent="0.15">
      <c r="A201" s="203">
        <f t="shared" si="139"/>
        <v>37</v>
      </c>
      <c r="B201" s="208"/>
      <c r="C201" s="208" t="s">
        <v>170</v>
      </c>
      <c r="D201" s="219">
        <f t="shared" ref="D201:T201" si="141">D53-D127</f>
        <v>0</v>
      </c>
      <c r="E201" s="219">
        <f t="shared" si="141"/>
        <v>0</v>
      </c>
      <c r="F201" s="229">
        <f t="shared" si="141"/>
        <v>0</v>
      </c>
      <c r="G201" s="229">
        <f t="shared" si="141"/>
        <v>0</v>
      </c>
      <c r="H201" s="229">
        <f t="shared" si="141"/>
        <v>0</v>
      </c>
      <c r="I201" s="229">
        <f t="shared" si="141"/>
        <v>0</v>
      </c>
      <c r="J201" s="229">
        <f t="shared" si="141"/>
        <v>0</v>
      </c>
      <c r="K201" s="229">
        <f t="shared" si="141"/>
        <v>1.6999999999989086</v>
      </c>
      <c r="L201" s="229">
        <f t="shared" si="141"/>
        <v>-11</v>
      </c>
      <c r="M201" s="229">
        <f t="shared" si="141"/>
        <v>-14.200000000000728</v>
      </c>
      <c r="N201" s="229">
        <f t="shared" si="141"/>
        <v>-19.899999999999636</v>
      </c>
      <c r="O201" s="229">
        <f t="shared" si="141"/>
        <v>-26</v>
      </c>
      <c r="P201" s="229">
        <f t="shared" si="141"/>
        <v>-47.799999999999272</v>
      </c>
      <c r="Q201" s="229">
        <f t="shared" si="141"/>
        <v>0</v>
      </c>
      <c r="R201" s="229">
        <f t="shared" si="141"/>
        <v>-9.2999999999992724</v>
      </c>
      <c r="S201" s="229">
        <f t="shared" si="141"/>
        <v>-34.099999999998545</v>
      </c>
      <c r="T201" s="229">
        <f t="shared" si="141"/>
        <v>-73.80000000000291</v>
      </c>
    </row>
    <row r="202" spans="1:20" x14ac:dyDescent="0.15">
      <c r="A202" s="203">
        <f t="shared" si="139"/>
        <v>38</v>
      </c>
      <c r="B202" s="203" t="s">
        <v>145</v>
      </c>
      <c r="D202" s="219">
        <f t="shared" ref="D202:T202" si="142">D54-D128</f>
        <v>0</v>
      </c>
      <c r="E202" s="219">
        <f t="shared" si="142"/>
        <v>0</v>
      </c>
      <c r="F202" s="229">
        <f t="shared" si="142"/>
        <v>0</v>
      </c>
      <c r="G202" s="229">
        <f t="shared" si="142"/>
        <v>0</v>
      </c>
      <c r="H202" s="229">
        <f t="shared" si="142"/>
        <v>0</v>
      </c>
      <c r="I202" s="229">
        <f t="shared" si="142"/>
        <v>0</v>
      </c>
      <c r="J202" s="229">
        <f t="shared" si="142"/>
        <v>0</v>
      </c>
      <c r="K202" s="229">
        <f t="shared" si="142"/>
        <v>0.7999999999992724</v>
      </c>
      <c r="L202" s="229">
        <f t="shared" si="142"/>
        <v>60.900000000001455</v>
      </c>
      <c r="M202" s="229">
        <f t="shared" si="142"/>
        <v>8.5</v>
      </c>
      <c r="N202" s="229">
        <f t="shared" si="142"/>
        <v>1.7999999999992724</v>
      </c>
      <c r="O202" s="229">
        <f t="shared" si="142"/>
        <v>-81</v>
      </c>
      <c r="P202" s="229">
        <f t="shared" si="142"/>
        <v>-99.900000000001455</v>
      </c>
      <c r="Q202" s="229">
        <f t="shared" si="142"/>
        <v>0</v>
      </c>
      <c r="R202" s="229">
        <f t="shared" si="142"/>
        <v>61.700000000004366</v>
      </c>
      <c r="S202" s="229">
        <f t="shared" si="142"/>
        <v>10.30000000000291</v>
      </c>
      <c r="T202" s="229">
        <f t="shared" si="142"/>
        <v>-180.90000000000873</v>
      </c>
    </row>
    <row r="203" spans="1:20" x14ac:dyDescent="0.15">
      <c r="A203" s="203">
        <f t="shared" si="139"/>
        <v>39</v>
      </c>
      <c r="B203" s="203" t="s">
        <v>146</v>
      </c>
      <c r="D203" s="219">
        <f t="shared" ref="D203:T203" si="143">D55-D129</f>
        <v>0</v>
      </c>
      <c r="E203" s="219">
        <f t="shared" si="143"/>
        <v>0</v>
      </c>
      <c r="F203" s="229">
        <f t="shared" si="143"/>
        <v>0</v>
      </c>
      <c r="G203" s="229">
        <f t="shared" si="143"/>
        <v>0</v>
      </c>
      <c r="H203" s="229">
        <f t="shared" si="143"/>
        <v>0</v>
      </c>
      <c r="I203" s="229">
        <f t="shared" si="143"/>
        <v>0</v>
      </c>
      <c r="J203" s="229">
        <f t="shared" si="143"/>
        <v>0</v>
      </c>
      <c r="K203" s="229">
        <f t="shared" si="143"/>
        <v>-53.5</v>
      </c>
      <c r="L203" s="229">
        <f t="shared" si="143"/>
        <v>60.900000000001455</v>
      </c>
      <c r="M203" s="229">
        <f t="shared" si="143"/>
        <v>129.69999999999709</v>
      </c>
      <c r="N203" s="229">
        <f t="shared" si="143"/>
        <v>129.29999999999563</v>
      </c>
      <c r="O203" s="229">
        <f t="shared" si="143"/>
        <v>5264.7000000000044</v>
      </c>
      <c r="P203" s="229">
        <f t="shared" si="143"/>
        <v>5301.5</v>
      </c>
      <c r="Q203" s="229">
        <f t="shared" si="143"/>
        <v>0</v>
      </c>
      <c r="R203" s="229">
        <f t="shared" si="143"/>
        <v>7.4000000000087311</v>
      </c>
      <c r="S203" s="229">
        <f t="shared" si="143"/>
        <v>258.99999999998545</v>
      </c>
      <c r="T203" s="229">
        <f t="shared" si="143"/>
        <v>10566.200000000012</v>
      </c>
    </row>
    <row r="204" spans="1:20" x14ac:dyDescent="0.15">
      <c r="A204" s="203">
        <f t="shared" si="139"/>
        <v>40</v>
      </c>
      <c r="B204" s="203" t="s">
        <v>148</v>
      </c>
      <c r="D204" s="219">
        <f t="shared" ref="D204:T204" si="144">D56-D130</f>
        <v>0</v>
      </c>
      <c r="E204" s="219">
        <f t="shared" si="144"/>
        <v>0</v>
      </c>
      <c r="F204" s="229">
        <f t="shared" si="144"/>
        <v>0</v>
      </c>
      <c r="G204" s="229">
        <f t="shared" si="144"/>
        <v>0</v>
      </c>
      <c r="H204" s="229">
        <f t="shared" si="144"/>
        <v>0</v>
      </c>
      <c r="I204" s="229">
        <f t="shared" si="144"/>
        <v>0</v>
      </c>
      <c r="J204" s="229">
        <f t="shared" si="144"/>
        <v>0</v>
      </c>
      <c r="K204" s="229">
        <f t="shared" si="144"/>
        <v>-0.20000000000004547</v>
      </c>
      <c r="L204" s="229">
        <f t="shared" si="144"/>
        <v>0.80000000000001137</v>
      </c>
      <c r="M204" s="229">
        <f t="shared" si="144"/>
        <v>1.5</v>
      </c>
      <c r="N204" s="229">
        <f t="shared" si="144"/>
        <v>1.5</v>
      </c>
      <c r="O204" s="229">
        <f t="shared" si="144"/>
        <v>1.6000000000000085</v>
      </c>
      <c r="P204" s="229">
        <f t="shared" si="144"/>
        <v>1.4000000000000057</v>
      </c>
      <c r="Q204" s="229">
        <f t="shared" si="144"/>
        <v>0</v>
      </c>
      <c r="R204" s="229">
        <f t="shared" si="144"/>
        <v>0.59999999999990905</v>
      </c>
      <c r="S204" s="229">
        <f t="shared" si="144"/>
        <v>3</v>
      </c>
      <c r="T204" s="229">
        <f t="shared" si="144"/>
        <v>3</v>
      </c>
    </row>
    <row r="205" spans="1:20" x14ac:dyDescent="0.15">
      <c r="A205" s="203">
        <f t="shared" si="139"/>
        <v>41</v>
      </c>
      <c r="B205" s="208" t="s">
        <v>244</v>
      </c>
      <c r="D205" s="219">
        <f t="shared" ref="D205:T205" si="145">D57-D131</f>
        <v>0</v>
      </c>
      <c r="E205" s="219">
        <f t="shared" si="145"/>
        <v>0</v>
      </c>
      <c r="F205" s="229">
        <f t="shared" si="145"/>
        <v>0</v>
      </c>
      <c r="G205" s="229">
        <f t="shared" si="145"/>
        <v>0</v>
      </c>
      <c r="H205" s="229">
        <f t="shared" si="145"/>
        <v>0</v>
      </c>
      <c r="I205" s="229">
        <f t="shared" si="145"/>
        <v>0</v>
      </c>
      <c r="J205" s="229">
        <f t="shared" si="145"/>
        <v>0</v>
      </c>
      <c r="K205" s="229">
        <f t="shared" si="145"/>
        <v>-1.4000000000000909</v>
      </c>
      <c r="L205" s="229">
        <f t="shared" si="145"/>
        <v>0</v>
      </c>
      <c r="M205" s="229">
        <f t="shared" si="145"/>
        <v>0</v>
      </c>
      <c r="N205" s="229">
        <f t="shared" si="145"/>
        <v>0</v>
      </c>
      <c r="O205" s="229">
        <f t="shared" si="145"/>
        <v>0</v>
      </c>
      <c r="P205" s="229">
        <f t="shared" si="145"/>
        <v>0</v>
      </c>
      <c r="Q205" s="229">
        <f t="shared" si="145"/>
        <v>0</v>
      </c>
      <c r="R205" s="229">
        <f t="shared" si="145"/>
        <v>-1.4000000000000909</v>
      </c>
      <c r="S205" s="229">
        <f t="shared" si="145"/>
        <v>0</v>
      </c>
      <c r="T205" s="229">
        <f t="shared" si="145"/>
        <v>0</v>
      </c>
    </row>
    <row r="206" spans="1:20" x14ac:dyDescent="0.15">
      <c r="A206" s="203">
        <f t="shared" si="139"/>
        <v>42</v>
      </c>
      <c r="B206" s="208" t="s">
        <v>360</v>
      </c>
      <c r="D206" s="219"/>
      <c r="E206" s="219"/>
      <c r="F206" s="229"/>
      <c r="G206" s="229"/>
      <c r="H206" s="229">
        <v>0</v>
      </c>
      <c r="I206" s="229">
        <v>0</v>
      </c>
      <c r="J206" s="229">
        <v>0</v>
      </c>
      <c r="K206" s="229">
        <f t="shared" ref="K206:K212" si="146">K58-K132</f>
        <v>0</v>
      </c>
      <c r="L206" s="229">
        <v>0</v>
      </c>
      <c r="M206" s="229">
        <v>0</v>
      </c>
      <c r="N206" s="229">
        <v>0</v>
      </c>
      <c r="O206" s="229">
        <v>0</v>
      </c>
      <c r="P206" s="229">
        <v>0</v>
      </c>
      <c r="Q206" s="229">
        <f>Q20</f>
        <v>0</v>
      </c>
      <c r="R206" s="229">
        <f>R20</f>
        <v>-500000</v>
      </c>
      <c r="S206" s="229">
        <f>S20</f>
        <v>0</v>
      </c>
      <c r="T206" s="229">
        <f>T20</f>
        <v>0</v>
      </c>
    </row>
    <row r="207" spans="1:20" x14ac:dyDescent="0.15">
      <c r="A207" s="203">
        <f t="shared" si="139"/>
        <v>43</v>
      </c>
      <c r="B207" s="203" t="s">
        <v>147</v>
      </c>
      <c r="D207" s="219">
        <f t="shared" ref="D207:J212" si="147">D59-D133</f>
        <v>0</v>
      </c>
      <c r="E207" s="219">
        <f t="shared" si="147"/>
        <v>0</v>
      </c>
      <c r="F207" s="229">
        <f t="shared" si="147"/>
        <v>0</v>
      </c>
      <c r="G207" s="229">
        <f t="shared" si="147"/>
        <v>0</v>
      </c>
      <c r="H207" s="229">
        <f t="shared" si="147"/>
        <v>0</v>
      </c>
      <c r="I207" s="229">
        <f t="shared" si="147"/>
        <v>0</v>
      </c>
      <c r="J207" s="229">
        <f t="shared" si="147"/>
        <v>0</v>
      </c>
      <c r="K207" s="229">
        <f t="shared" si="146"/>
        <v>-51.000000000014552</v>
      </c>
      <c r="L207" s="229">
        <f t="shared" ref="L207:T207" si="148">L59-L133</f>
        <v>-297.49999999998545</v>
      </c>
      <c r="M207" s="229">
        <f t="shared" si="148"/>
        <v>-349.40000000000873</v>
      </c>
      <c r="N207" s="229">
        <f t="shared" si="148"/>
        <v>3221.0999999999913</v>
      </c>
      <c r="O207" s="229">
        <f t="shared" si="148"/>
        <v>3542.7999999999884</v>
      </c>
      <c r="P207" s="229">
        <f t="shared" si="148"/>
        <v>3418.6999999999971</v>
      </c>
      <c r="Q207" s="229">
        <f t="shared" si="148"/>
        <v>0</v>
      </c>
      <c r="R207" s="229">
        <f t="shared" si="148"/>
        <v>-348.5</v>
      </c>
      <c r="S207" s="229">
        <f t="shared" si="148"/>
        <v>2871.6999999999825</v>
      </c>
      <c r="T207" s="229">
        <f t="shared" si="148"/>
        <v>6961.5</v>
      </c>
    </row>
    <row r="208" spans="1:20" x14ac:dyDescent="0.15">
      <c r="A208" s="203">
        <f t="shared" si="139"/>
        <v>44</v>
      </c>
      <c r="B208" s="203" t="s">
        <v>149</v>
      </c>
      <c r="D208" s="219">
        <f t="shared" si="147"/>
        <v>0</v>
      </c>
      <c r="E208" s="219">
        <f t="shared" si="147"/>
        <v>0</v>
      </c>
      <c r="F208" s="229">
        <f t="shared" si="147"/>
        <v>0</v>
      </c>
      <c r="G208" s="229">
        <f t="shared" si="147"/>
        <v>0</v>
      </c>
      <c r="H208" s="229">
        <f t="shared" si="147"/>
        <v>0</v>
      </c>
      <c r="I208" s="229">
        <f t="shared" si="147"/>
        <v>0</v>
      </c>
      <c r="J208" s="229">
        <f t="shared" si="147"/>
        <v>0</v>
      </c>
      <c r="K208" s="229">
        <f t="shared" si="146"/>
        <v>-7.6999999999970896</v>
      </c>
      <c r="L208" s="229">
        <f t="shared" ref="L208:T208" si="149">L60-L134</f>
        <v>-96.599999999991269</v>
      </c>
      <c r="M208" s="229">
        <f t="shared" si="149"/>
        <v>-210.5</v>
      </c>
      <c r="N208" s="229">
        <f t="shared" si="149"/>
        <v>-20</v>
      </c>
      <c r="O208" s="229">
        <f t="shared" si="149"/>
        <v>135.70000000001164</v>
      </c>
      <c r="P208" s="229">
        <f t="shared" si="149"/>
        <v>232.29999999998836</v>
      </c>
      <c r="Q208" s="229">
        <f t="shared" si="149"/>
        <v>0</v>
      </c>
      <c r="R208" s="229">
        <f t="shared" si="149"/>
        <v>-104.29999999998836</v>
      </c>
      <c r="S208" s="229">
        <f t="shared" si="149"/>
        <v>-230.5</v>
      </c>
      <c r="T208" s="229">
        <f t="shared" si="149"/>
        <v>368</v>
      </c>
    </row>
    <row r="209" spans="1:20" x14ac:dyDescent="0.15">
      <c r="A209" s="203">
        <f t="shared" si="139"/>
        <v>45</v>
      </c>
      <c r="B209" s="208" t="s">
        <v>173</v>
      </c>
      <c r="D209" s="219">
        <f t="shared" si="147"/>
        <v>0</v>
      </c>
      <c r="E209" s="219">
        <f t="shared" si="147"/>
        <v>0</v>
      </c>
      <c r="F209" s="229">
        <f t="shared" si="147"/>
        <v>0</v>
      </c>
      <c r="G209" s="229">
        <f t="shared" si="147"/>
        <v>0</v>
      </c>
      <c r="H209" s="229">
        <f t="shared" si="147"/>
        <v>0</v>
      </c>
      <c r="I209" s="229">
        <f t="shared" si="147"/>
        <v>0</v>
      </c>
      <c r="J209" s="229">
        <f t="shared" si="147"/>
        <v>0</v>
      </c>
      <c r="K209" s="229">
        <f t="shared" si="146"/>
        <v>6.7000000000007276</v>
      </c>
      <c r="L209" s="229">
        <f t="shared" ref="L209:T209" si="150">L61-L135</f>
        <v>-39.599999999998545</v>
      </c>
      <c r="M209" s="229">
        <f t="shared" si="150"/>
        <v>-46.499999999996362</v>
      </c>
      <c r="N209" s="229">
        <f t="shared" si="150"/>
        <v>27.499999999996362</v>
      </c>
      <c r="O209" s="229">
        <f t="shared" si="150"/>
        <v>-9.2000000000007276</v>
      </c>
      <c r="P209" s="229">
        <f t="shared" si="150"/>
        <v>-63.599999999998545</v>
      </c>
      <c r="Q209" s="229">
        <f t="shared" si="150"/>
        <v>0</v>
      </c>
      <c r="R209" s="229">
        <f t="shared" si="150"/>
        <v>-32.899999999997817</v>
      </c>
      <c r="S209" s="229">
        <f t="shared" si="150"/>
        <v>-19</v>
      </c>
      <c r="T209" s="229">
        <f t="shared" si="150"/>
        <v>-72.799999999999272</v>
      </c>
    </row>
    <row r="210" spans="1:20" x14ac:dyDescent="0.15">
      <c r="A210" s="203">
        <f t="shared" si="139"/>
        <v>46</v>
      </c>
      <c r="B210" s="208" t="s">
        <v>168</v>
      </c>
      <c r="C210" s="208"/>
      <c r="D210" s="219">
        <f t="shared" si="147"/>
        <v>0</v>
      </c>
      <c r="E210" s="219">
        <f t="shared" si="147"/>
        <v>0</v>
      </c>
      <c r="F210" s="229">
        <f t="shared" si="147"/>
        <v>0</v>
      </c>
      <c r="G210" s="229">
        <f t="shared" si="147"/>
        <v>0</v>
      </c>
      <c r="H210" s="229">
        <f t="shared" si="147"/>
        <v>0</v>
      </c>
      <c r="I210" s="229">
        <f t="shared" si="147"/>
        <v>0</v>
      </c>
      <c r="J210" s="229">
        <f t="shared" si="147"/>
        <v>0</v>
      </c>
      <c r="K210" s="229">
        <f t="shared" si="146"/>
        <v>-0.49999999999272404</v>
      </c>
      <c r="L210" s="229">
        <f t="shared" ref="L210:T210" si="151">L62-L136</f>
        <v>-1206</v>
      </c>
      <c r="M210" s="229">
        <f t="shared" si="151"/>
        <v>174.59999999999854</v>
      </c>
      <c r="N210" s="229">
        <f t="shared" si="151"/>
        <v>508.5</v>
      </c>
      <c r="O210" s="229">
        <f t="shared" si="151"/>
        <v>753.09999999999127</v>
      </c>
      <c r="P210" s="229">
        <f t="shared" si="151"/>
        <v>836.80000000000291</v>
      </c>
      <c r="Q210" s="229">
        <f t="shared" si="151"/>
        <v>0</v>
      </c>
      <c r="R210" s="229">
        <f t="shared" si="151"/>
        <v>-1206.4999999999854</v>
      </c>
      <c r="S210" s="229">
        <f t="shared" si="151"/>
        <v>683.10000000000582</v>
      </c>
      <c r="T210" s="229">
        <f t="shared" si="151"/>
        <v>1589.8999999999942</v>
      </c>
    </row>
    <row r="211" spans="1:20" x14ac:dyDescent="0.15">
      <c r="A211" s="203">
        <f t="shared" si="139"/>
        <v>47</v>
      </c>
      <c r="B211" s="208" t="s">
        <v>163</v>
      </c>
      <c r="C211" s="208"/>
      <c r="D211" s="219">
        <f t="shared" si="147"/>
        <v>0</v>
      </c>
      <c r="E211" s="219">
        <f t="shared" si="147"/>
        <v>0</v>
      </c>
      <c r="F211" s="229">
        <f t="shared" si="147"/>
        <v>0</v>
      </c>
      <c r="G211" s="229">
        <f t="shared" si="147"/>
        <v>0</v>
      </c>
      <c r="H211" s="229">
        <f t="shared" si="147"/>
        <v>0</v>
      </c>
      <c r="I211" s="229">
        <f t="shared" si="147"/>
        <v>0</v>
      </c>
      <c r="J211" s="229">
        <f t="shared" si="147"/>
        <v>0</v>
      </c>
      <c r="K211" s="229">
        <f t="shared" si="146"/>
        <v>-58.299999999930151</v>
      </c>
      <c r="L211" s="229">
        <f t="shared" ref="L211:T211" si="152">L63-L137</f>
        <v>166</v>
      </c>
      <c r="M211" s="229">
        <f t="shared" si="152"/>
        <v>35.400000000023283</v>
      </c>
      <c r="N211" s="229">
        <f t="shared" si="152"/>
        <v>903.80000000013388</v>
      </c>
      <c r="O211" s="229">
        <f t="shared" si="152"/>
        <v>423.39999999999418</v>
      </c>
      <c r="P211" s="229">
        <f>P63-P137</f>
        <v>-170.0000000000291</v>
      </c>
      <c r="Q211" s="229">
        <f t="shared" si="152"/>
        <v>0</v>
      </c>
      <c r="R211" s="229">
        <f t="shared" si="152"/>
        <v>107.70000000006985</v>
      </c>
      <c r="S211" s="229">
        <f t="shared" si="152"/>
        <v>939.20000000015716</v>
      </c>
      <c r="T211" s="229">
        <f t="shared" si="152"/>
        <v>253.39999999996508</v>
      </c>
    </row>
    <row r="212" spans="1:20" x14ac:dyDescent="0.15">
      <c r="A212" s="203">
        <f t="shared" si="139"/>
        <v>48</v>
      </c>
      <c r="B212" s="203" t="s">
        <v>151</v>
      </c>
      <c r="D212" s="219">
        <f t="shared" si="147"/>
        <v>0</v>
      </c>
      <c r="E212" s="219">
        <f t="shared" si="147"/>
        <v>0</v>
      </c>
      <c r="F212" s="229">
        <f t="shared" si="147"/>
        <v>0</v>
      </c>
      <c r="G212" s="229">
        <f t="shared" si="147"/>
        <v>0</v>
      </c>
      <c r="H212" s="229">
        <f t="shared" si="147"/>
        <v>0</v>
      </c>
      <c r="I212" s="229">
        <f t="shared" si="147"/>
        <v>0</v>
      </c>
      <c r="J212" s="229">
        <f t="shared" si="147"/>
        <v>0</v>
      </c>
      <c r="K212" s="229">
        <f t="shared" si="146"/>
        <v>0</v>
      </c>
      <c r="L212" s="229">
        <f t="shared" ref="L212:T212" si="153">L64-L138</f>
        <v>0</v>
      </c>
      <c r="M212" s="229">
        <f t="shared" si="153"/>
        <v>0</v>
      </c>
      <c r="N212" s="229">
        <f t="shared" si="153"/>
        <v>20.600000000000364</v>
      </c>
      <c r="O212" s="229">
        <f t="shared" si="153"/>
        <v>20.600000000000364</v>
      </c>
      <c r="P212" s="229">
        <f t="shared" si="153"/>
        <v>20.600000000000364</v>
      </c>
      <c r="Q212" s="229">
        <f t="shared" si="153"/>
        <v>0</v>
      </c>
      <c r="R212" s="229">
        <f t="shared" si="153"/>
        <v>0</v>
      </c>
      <c r="S212" s="229">
        <f t="shared" si="153"/>
        <v>20.599999999998545</v>
      </c>
      <c r="T212" s="229">
        <f t="shared" si="153"/>
        <v>41.200000000000728</v>
      </c>
    </row>
    <row r="214" spans="1:20" x14ac:dyDescent="0.15">
      <c r="B214" s="208" t="s">
        <v>172</v>
      </c>
      <c r="D214" s="219"/>
      <c r="E214" s="219"/>
      <c r="F214" s="229"/>
      <c r="G214" s="229"/>
      <c r="H214" s="229"/>
      <c r="I214" s="229"/>
      <c r="J214" s="229"/>
      <c r="K214" s="229"/>
      <c r="L214" s="229"/>
      <c r="M214" s="229"/>
      <c r="N214" s="229"/>
      <c r="O214" s="229"/>
      <c r="P214" s="229"/>
    </row>
    <row r="215" spans="1:20" x14ac:dyDescent="0.15">
      <c r="A215" s="203">
        <f>A212+1</f>
        <v>49</v>
      </c>
      <c r="B215" s="208"/>
      <c r="C215" s="208" t="s">
        <v>268</v>
      </c>
      <c r="D215" s="219">
        <f t="shared" ref="D215:L215" si="154">D66-D140</f>
        <v>1341221</v>
      </c>
      <c r="E215" s="219">
        <f t="shared" si="154"/>
        <v>-679857</v>
      </c>
      <c r="F215" s="229">
        <f t="shared" si="154"/>
        <v>0</v>
      </c>
      <c r="G215" s="229">
        <f t="shared" si="154"/>
        <v>0</v>
      </c>
      <c r="H215" s="229">
        <f t="shared" si="154"/>
        <v>0</v>
      </c>
      <c r="I215" s="229">
        <f t="shared" si="154"/>
        <v>0</v>
      </c>
      <c r="J215" s="229">
        <f t="shared" si="154"/>
        <v>0</v>
      </c>
      <c r="K215" s="229">
        <f t="shared" si="154"/>
        <v>-70.800000000000068</v>
      </c>
      <c r="L215" s="229">
        <f t="shared" si="154"/>
        <v>-108.39999999999998</v>
      </c>
      <c r="M215" s="229">
        <f t="shared" ref="M215:T215" si="155">M66-M140</f>
        <v>-204.5</v>
      </c>
      <c r="N215" s="229">
        <f t="shared" si="155"/>
        <v>-187.4</v>
      </c>
      <c r="O215" s="229">
        <f t="shared" si="155"/>
        <v>-29.800000000000011</v>
      </c>
      <c r="P215" s="229">
        <f t="shared" si="155"/>
        <v>44.100000000000023</v>
      </c>
      <c r="Q215" s="229">
        <f t="shared" si="155"/>
        <v>0</v>
      </c>
      <c r="R215" s="229">
        <f t="shared" si="155"/>
        <v>-179.20000000000005</v>
      </c>
      <c r="S215" s="229">
        <f t="shared" si="155"/>
        <v>-391.9</v>
      </c>
      <c r="T215" s="229">
        <f t="shared" si="155"/>
        <v>14.300000000000068</v>
      </c>
    </row>
    <row r="216" spans="1:20" x14ac:dyDescent="0.15">
      <c r="A216" s="203">
        <f>A215+1</f>
        <v>50</v>
      </c>
      <c r="B216" s="208"/>
      <c r="C216" s="208"/>
      <c r="D216" s="219">
        <f t="shared" ref="D216:L216" si="156">D67-D141</f>
        <v>-1804253</v>
      </c>
      <c r="E216" s="219">
        <f t="shared" si="156"/>
        <v>1059</v>
      </c>
      <c r="F216" s="229">
        <f t="shared" si="156"/>
        <v>0</v>
      </c>
      <c r="G216" s="229">
        <f t="shared" si="156"/>
        <v>0</v>
      </c>
      <c r="H216" s="229">
        <f t="shared" si="156"/>
        <v>0</v>
      </c>
      <c r="I216" s="229">
        <f t="shared" si="156"/>
        <v>0</v>
      </c>
      <c r="J216" s="229">
        <f t="shared" si="156"/>
        <v>0</v>
      </c>
      <c r="K216" s="229">
        <f t="shared" si="156"/>
        <v>0</v>
      </c>
      <c r="L216" s="229">
        <f t="shared" si="156"/>
        <v>0</v>
      </c>
      <c r="M216" s="229">
        <f t="shared" ref="M216:N219" si="157">M67-M141</f>
        <v>0</v>
      </c>
      <c r="N216" s="229">
        <f t="shared" si="157"/>
        <v>0</v>
      </c>
      <c r="O216" s="229">
        <f t="shared" ref="O216:P219" si="158">O67-O141</f>
        <v>0</v>
      </c>
      <c r="P216" s="229">
        <f t="shared" si="158"/>
        <v>0</v>
      </c>
    </row>
    <row r="217" spans="1:20" x14ac:dyDescent="0.15">
      <c r="A217" s="203">
        <f>A216+1</f>
        <v>51</v>
      </c>
      <c r="B217" s="208"/>
      <c r="C217" s="208"/>
      <c r="D217" s="219">
        <f t="shared" ref="D217:L217" si="159">D68-D142</f>
        <v>-5196835956</v>
      </c>
      <c r="E217" s="219">
        <f t="shared" si="159"/>
        <v>-5163747344</v>
      </c>
      <c r="F217" s="229">
        <f t="shared" si="159"/>
        <v>0</v>
      </c>
      <c r="G217" s="229">
        <f t="shared" si="159"/>
        <v>0</v>
      </c>
      <c r="H217" s="229">
        <f t="shared" si="159"/>
        <v>0</v>
      </c>
      <c r="I217" s="229">
        <f t="shared" si="159"/>
        <v>0</v>
      </c>
      <c r="J217" s="229">
        <f t="shared" si="159"/>
        <v>0</v>
      </c>
      <c r="K217" s="229">
        <f t="shared" si="159"/>
        <v>0</v>
      </c>
      <c r="L217" s="229">
        <f t="shared" si="159"/>
        <v>0</v>
      </c>
      <c r="M217" s="229">
        <f t="shared" si="157"/>
        <v>0</v>
      </c>
      <c r="N217" s="229">
        <f t="shared" si="157"/>
        <v>0</v>
      </c>
      <c r="O217" s="229">
        <f t="shared" si="158"/>
        <v>0</v>
      </c>
      <c r="P217" s="229">
        <f t="shared" si="158"/>
        <v>0</v>
      </c>
    </row>
    <row r="218" spans="1:20" x14ac:dyDescent="0.15">
      <c r="A218" s="203">
        <f>A217+1</f>
        <v>52</v>
      </c>
      <c r="B218" s="208"/>
      <c r="C218" s="208"/>
      <c r="D218" s="219">
        <f t="shared" ref="D218:L218" si="160">D69-D143</f>
        <v>-5188490662</v>
      </c>
      <c r="E218" s="219">
        <f t="shared" si="160"/>
        <v>-5155706975</v>
      </c>
      <c r="F218" s="229">
        <f t="shared" si="160"/>
        <v>0</v>
      </c>
      <c r="G218" s="229">
        <f t="shared" si="160"/>
        <v>0</v>
      </c>
      <c r="H218" s="229">
        <f t="shared" si="160"/>
        <v>0</v>
      </c>
      <c r="I218" s="229">
        <f t="shared" si="160"/>
        <v>0</v>
      </c>
      <c r="J218" s="229">
        <f t="shared" si="160"/>
        <v>0</v>
      </c>
      <c r="K218" s="229">
        <f t="shared" si="160"/>
        <v>0</v>
      </c>
      <c r="L218" s="229">
        <f t="shared" si="160"/>
        <v>0</v>
      </c>
      <c r="M218" s="229">
        <f t="shared" si="157"/>
        <v>0</v>
      </c>
      <c r="N218" s="229">
        <f t="shared" si="157"/>
        <v>0</v>
      </c>
      <c r="O218" s="229">
        <f t="shared" si="158"/>
        <v>0</v>
      </c>
      <c r="P218" s="229">
        <f t="shared" si="158"/>
        <v>0</v>
      </c>
    </row>
    <row r="219" spans="1:20" x14ac:dyDescent="0.15">
      <c r="A219" s="203">
        <f>A218+1</f>
        <v>53</v>
      </c>
      <c r="B219" s="208"/>
      <c r="C219" s="208"/>
      <c r="D219" s="219">
        <f t="shared" ref="D219:L219" si="161">D70-D144</f>
        <v>0</v>
      </c>
      <c r="E219" s="219">
        <f t="shared" si="161"/>
        <v>0</v>
      </c>
      <c r="F219" s="229">
        <f t="shared" si="161"/>
        <v>0</v>
      </c>
      <c r="G219" s="229">
        <f t="shared" si="161"/>
        <v>0</v>
      </c>
      <c r="H219" s="229">
        <f t="shared" si="161"/>
        <v>0</v>
      </c>
      <c r="I219" s="229">
        <f t="shared" si="161"/>
        <v>0</v>
      </c>
      <c r="J219" s="229">
        <f t="shared" si="161"/>
        <v>0</v>
      </c>
      <c r="K219" s="229">
        <f t="shared" si="161"/>
        <v>0</v>
      </c>
      <c r="L219" s="229">
        <f t="shared" si="161"/>
        <v>0</v>
      </c>
      <c r="M219" s="229">
        <f t="shared" si="157"/>
        <v>0</v>
      </c>
      <c r="N219" s="229">
        <f t="shared" si="157"/>
        <v>0</v>
      </c>
      <c r="O219" s="229">
        <f t="shared" si="158"/>
        <v>0</v>
      </c>
      <c r="P219" s="229">
        <f t="shared" si="158"/>
        <v>0</v>
      </c>
    </row>
    <row r="220" spans="1:20" x14ac:dyDescent="0.15">
      <c r="D220" s="207"/>
      <c r="E220" s="207"/>
      <c r="F220" s="230"/>
      <c r="G220" s="230"/>
      <c r="H220" s="230"/>
      <c r="I220" s="230"/>
      <c r="J220" s="230"/>
      <c r="K220" s="230"/>
      <c r="L220" s="230"/>
      <c r="M220" s="230"/>
      <c r="N220" s="230"/>
      <c r="O220" s="230"/>
      <c r="P220" s="230"/>
    </row>
    <row r="221" spans="1:20" x14ac:dyDescent="0.15">
      <c r="A221" s="203">
        <f>A219+1</f>
        <v>54</v>
      </c>
      <c r="B221" s="208" t="s">
        <v>184</v>
      </c>
      <c r="C221" s="208"/>
      <c r="D221" s="219">
        <f t="shared" ref="D221:L221" si="162">D72-D146</f>
        <v>-10385789650</v>
      </c>
      <c r="E221" s="219">
        <f t="shared" si="162"/>
        <v>-10320133117</v>
      </c>
      <c r="F221" s="229">
        <f t="shared" si="162"/>
        <v>0</v>
      </c>
      <c r="G221" s="229">
        <f t="shared" si="162"/>
        <v>0</v>
      </c>
      <c r="H221" s="229">
        <f t="shared" si="162"/>
        <v>0</v>
      </c>
      <c r="I221" s="229">
        <f t="shared" si="162"/>
        <v>0</v>
      </c>
      <c r="J221" s="229">
        <f t="shared" si="162"/>
        <v>0</v>
      </c>
      <c r="K221" s="229">
        <f t="shared" si="162"/>
        <v>-3989.0999999977648</v>
      </c>
      <c r="L221" s="229">
        <f t="shared" si="162"/>
        <v>-8570.7999999988824</v>
      </c>
      <c r="M221" s="229">
        <f t="shared" ref="M221:S222" si="163">M72-M146</f>
        <v>-13227.199999998324</v>
      </c>
      <c r="N221" s="229">
        <f t="shared" si="163"/>
        <v>-8992.5</v>
      </c>
      <c r="O221" s="229">
        <f>O72-O146</f>
        <v>-4209.7000000039116</v>
      </c>
      <c r="P221" s="229">
        <f>P72-P146</f>
        <v>-9996.4000000013039</v>
      </c>
      <c r="Q221" s="229">
        <f t="shared" si="163"/>
        <v>0</v>
      </c>
      <c r="R221" s="229">
        <f t="shared" si="163"/>
        <v>-12559.899999996647</v>
      </c>
      <c r="S221" s="229">
        <f t="shared" si="163"/>
        <v>-22219.699999999255</v>
      </c>
      <c r="T221" s="229">
        <f>T72-T146</f>
        <v>-14206.100000005215</v>
      </c>
    </row>
    <row r="222" spans="1:20" x14ac:dyDescent="0.15">
      <c r="A222" s="203">
        <f>A221+1</f>
        <v>55</v>
      </c>
      <c r="B222" s="202" t="s">
        <v>397</v>
      </c>
      <c r="C222" s="208"/>
      <c r="D222" s="219">
        <f t="shared" ref="D222:L222" si="164">D73-D147</f>
        <v>-10385789650</v>
      </c>
      <c r="E222" s="219">
        <f t="shared" si="164"/>
        <v>-10320133117</v>
      </c>
      <c r="F222" s="229">
        <f t="shared" si="164"/>
        <v>0</v>
      </c>
      <c r="G222" s="229">
        <f t="shared" si="164"/>
        <v>0</v>
      </c>
      <c r="H222" s="229">
        <f t="shared" si="164"/>
        <v>0</v>
      </c>
      <c r="I222" s="229">
        <f t="shared" si="164"/>
        <v>0</v>
      </c>
      <c r="J222" s="229">
        <f t="shared" si="164"/>
        <v>0</v>
      </c>
      <c r="K222" s="229">
        <f t="shared" si="164"/>
        <v>-3989.0999999977648</v>
      </c>
      <c r="L222" s="229">
        <f t="shared" si="164"/>
        <v>-8570.7999999988824</v>
      </c>
      <c r="M222" s="229">
        <f t="shared" si="163"/>
        <v>-13227.199999998324</v>
      </c>
      <c r="N222" s="229">
        <f t="shared" si="163"/>
        <v>-8992.5</v>
      </c>
      <c r="O222" s="229">
        <f>O73-O147</f>
        <v>-4209.7000000039116</v>
      </c>
      <c r="P222" s="229">
        <f>P73-P147</f>
        <v>-9996.4000000013039</v>
      </c>
      <c r="Q222" s="229">
        <f t="shared" si="163"/>
        <v>0</v>
      </c>
      <c r="R222" s="229">
        <f t="shared" si="163"/>
        <v>-12559.899999996647</v>
      </c>
      <c r="S222" s="229">
        <f t="shared" si="163"/>
        <v>-22219.699999999255</v>
      </c>
      <c r="T222" s="229">
        <f>T73-T147</f>
        <v>-14206.100000005215</v>
      </c>
    </row>
    <row r="223" spans="1:20" x14ac:dyDescent="0.15">
      <c r="A223" s="203">
        <f>A222+1</f>
        <v>56</v>
      </c>
      <c r="B223" s="208" t="s">
        <v>303</v>
      </c>
      <c r="C223" s="208"/>
      <c r="D223" s="219">
        <f>D74-D148</f>
        <v>0</v>
      </c>
      <c r="E223" s="219">
        <f>E74-E148</f>
        <v>0</v>
      </c>
      <c r="F223" s="229">
        <f>F74-F148</f>
        <v>0</v>
      </c>
      <c r="G223" s="229">
        <f>G74-G148</f>
        <v>0</v>
      </c>
      <c r="H223" s="229">
        <f>H74-H148</f>
        <v>0</v>
      </c>
      <c r="I223" s="212" t="s">
        <v>302</v>
      </c>
      <c r="J223" s="212" t="s">
        <v>302</v>
      </c>
      <c r="K223" s="212" t="s">
        <v>302</v>
      </c>
      <c r="L223" s="212" t="s">
        <v>302</v>
      </c>
      <c r="M223" s="212" t="s">
        <v>302</v>
      </c>
      <c r="N223" s="212" t="s">
        <v>302</v>
      </c>
      <c r="O223" s="212" t="s">
        <v>302</v>
      </c>
      <c r="P223" s="212" t="s">
        <v>302</v>
      </c>
    </row>
    <row r="224" spans="1:20" x14ac:dyDescent="0.15">
      <c r="B224" s="208"/>
      <c r="C224" s="208"/>
      <c r="D224" s="219"/>
      <c r="E224" s="21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</row>
    <row r="225" spans="1:26" x14ac:dyDescent="0.15">
      <c r="A225" s="203">
        <f>A223+1</f>
        <v>57</v>
      </c>
      <c r="B225" s="208" t="s">
        <v>166</v>
      </c>
      <c r="C225" s="208"/>
      <c r="D225" s="219">
        <f t="shared" ref="D225:L225" si="165">D76-D150</f>
        <v>0</v>
      </c>
      <c r="E225" s="219">
        <f t="shared" si="165"/>
        <v>0</v>
      </c>
      <c r="F225" s="229">
        <f t="shared" si="165"/>
        <v>0</v>
      </c>
      <c r="G225" s="229">
        <f t="shared" si="165"/>
        <v>0</v>
      </c>
      <c r="H225" s="229">
        <f t="shared" si="165"/>
        <v>0</v>
      </c>
      <c r="I225" s="229">
        <f t="shared" si="165"/>
        <v>0</v>
      </c>
      <c r="J225" s="229">
        <f t="shared" si="165"/>
        <v>0</v>
      </c>
      <c r="K225" s="229">
        <f t="shared" si="165"/>
        <v>29.899999999997817</v>
      </c>
      <c r="L225" s="229">
        <f t="shared" si="165"/>
        <v>18</v>
      </c>
      <c r="M225" s="229">
        <f t="shared" ref="M225:T225" si="166">M76-M150</f>
        <v>19.19999999999709</v>
      </c>
      <c r="N225" s="229">
        <f t="shared" si="166"/>
        <v>20.5</v>
      </c>
      <c r="O225" s="229">
        <f t="shared" si="166"/>
        <v>21.5</v>
      </c>
      <c r="P225" s="229">
        <f t="shared" si="166"/>
        <v>21</v>
      </c>
      <c r="Q225" s="229">
        <f t="shared" si="166"/>
        <v>0</v>
      </c>
      <c r="R225" s="229">
        <f t="shared" si="166"/>
        <v>47.900000000001455</v>
      </c>
      <c r="S225" s="229">
        <f t="shared" si="166"/>
        <v>39.69999999999709</v>
      </c>
      <c r="T225" s="229">
        <f t="shared" si="166"/>
        <v>42.5</v>
      </c>
    </row>
    <row r="227" spans="1:26" x14ac:dyDescent="0.15">
      <c r="A227" s="231" t="s">
        <v>354</v>
      </c>
      <c r="B227" s="231"/>
      <c r="C227" s="232"/>
      <c r="D227" s="233" t="s">
        <v>135</v>
      </c>
      <c r="E227" s="233" t="s">
        <v>136</v>
      </c>
      <c r="F227" s="233" t="s">
        <v>137</v>
      </c>
      <c r="G227" s="233" t="s">
        <v>138</v>
      </c>
      <c r="H227" s="233" t="s">
        <v>139</v>
      </c>
      <c r="I227" s="233" t="s">
        <v>164</v>
      </c>
      <c r="J227" s="233" t="s">
        <v>165</v>
      </c>
      <c r="K227" s="233" t="s">
        <v>249</v>
      </c>
      <c r="L227" s="233" t="s">
        <v>250</v>
      </c>
      <c r="M227" s="233" t="s">
        <v>300</v>
      </c>
      <c r="N227" s="233" t="s">
        <v>301</v>
      </c>
      <c r="O227" s="233" t="s">
        <v>388</v>
      </c>
      <c r="P227" s="233" t="s">
        <v>389</v>
      </c>
      <c r="Q227" s="234" t="s">
        <v>319</v>
      </c>
      <c r="R227" s="234" t="s">
        <v>320</v>
      </c>
      <c r="S227" s="234" t="s">
        <v>355</v>
      </c>
      <c r="T227" s="234"/>
      <c r="U227" s="234" t="s">
        <v>356</v>
      </c>
      <c r="V227" s="234" t="s">
        <v>321</v>
      </c>
      <c r="W227" s="234" t="s">
        <v>357</v>
      </c>
      <c r="X227" s="234" t="s">
        <v>321</v>
      </c>
      <c r="Y227" s="235" t="s">
        <v>394</v>
      </c>
      <c r="Z227" s="234" t="s">
        <v>321</v>
      </c>
    </row>
    <row r="229" spans="1:26" x14ac:dyDescent="0.15">
      <c r="A229" s="203">
        <v>1</v>
      </c>
      <c r="B229" s="203" t="s">
        <v>140</v>
      </c>
      <c r="D229" s="219">
        <f t="shared" ref="D229:L229" si="167">D80-D154</f>
        <v>962146</v>
      </c>
      <c r="E229" s="219">
        <f t="shared" si="167"/>
        <v>957096</v>
      </c>
      <c r="F229" s="219">
        <f t="shared" si="167"/>
        <v>953035</v>
      </c>
      <c r="G229" s="219">
        <f t="shared" si="167"/>
        <v>953041</v>
      </c>
      <c r="H229" s="219">
        <f t="shared" si="167"/>
        <v>953288</v>
      </c>
      <c r="I229" s="219">
        <f t="shared" si="167"/>
        <v>953432</v>
      </c>
      <c r="J229" s="219">
        <f t="shared" si="167"/>
        <v>948587</v>
      </c>
      <c r="K229" s="219">
        <f t="shared" si="167"/>
        <v>948362</v>
      </c>
      <c r="L229" s="219">
        <f t="shared" si="167"/>
        <v>950781</v>
      </c>
      <c r="M229" s="219">
        <f>M80-M154</f>
        <v>954714</v>
      </c>
      <c r="N229" s="219">
        <f>N80-N154</f>
        <v>962932</v>
      </c>
      <c r="O229" s="219">
        <f>O80-O154</f>
        <v>972992</v>
      </c>
      <c r="P229" s="219">
        <f>P80-P154</f>
        <v>984747</v>
      </c>
    </row>
    <row r="230" spans="1:26" x14ac:dyDescent="0.15"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</row>
    <row r="231" spans="1:26" x14ac:dyDescent="0.15">
      <c r="B231" s="208" t="s">
        <v>155</v>
      </c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</row>
    <row r="232" spans="1:26" x14ac:dyDescent="0.15">
      <c r="A232" s="203">
        <f>A229+1</f>
        <v>2</v>
      </c>
      <c r="B232" s="203" t="s">
        <v>141</v>
      </c>
      <c r="D232" s="219">
        <f>D83-D157</f>
        <v>4490060320</v>
      </c>
      <c r="E232" s="219">
        <f>E83-E157</f>
        <v>4403575277</v>
      </c>
      <c r="F232" s="229">
        <f>F83-F157</f>
        <v>4384973.8</v>
      </c>
      <c r="G232" s="229">
        <f>G83-G157</f>
        <v>4558383.7</v>
      </c>
      <c r="H232" s="236">
        <f>IF(H83&gt;0,H157/H83,0)</f>
        <v>0</v>
      </c>
      <c r="I232" s="236">
        <f t="shared" ref="I232:R232" si="168">IF(I83&gt;0,I157/I83,0)</f>
        <v>0</v>
      </c>
      <c r="J232" s="236">
        <f t="shared" si="168"/>
        <v>0</v>
      </c>
      <c r="K232" s="236">
        <f t="shared" si="168"/>
        <v>-7.2824309166578016E-4</v>
      </c>
      <c r="L232" s="236">
        <f t="shared" si="168"/>
        <v>-1.4139780514692969E-3</v>
      </c>
      <c r="M232" s="236">
        <f t="shared" si="168"/>
        <v>-1.59628473608437E-3</v>
      </c>
      <c r="N232" s="236">
        <f t="shared" si="168"/>
        <v>-1.8098520371139285E-3</v>
      </c>
      <c r="O232" s="236">
        <f t="shared" ref="O232:P235" si="169">IF(O83&gt;0,O157/O83,0)</f>
        <v>-1.849267878650833E-3</v>
      </c>
      <c r="P232" s="236">
        <f t="shared" si="169"/>
        <v>-2.7856706548307427E-3</v>
      </c>
      <c r="Q232" s="236">
        <f t="shared" si="168"/>
        <v>0</v>
      </c>
      <c r="R232" s="236">
        <f t="shared" si="168"/>
        <v>-1.0713890070920891E-3</v>
      </c>
      <c r="S232" s="236">
        <f>IF(S83&gt;0,S157/S83,0)</f>
        <v>-1.7035147138873912E-3</v>
      </c>
      <c r="T232" s="236">
        <f>IF(T83&gt;0,T157/T83,0)</f>
        <v>-2.3200619346636195E-3</v>
      </c>
    </row>
    <row r="233" spans="1:26" x14ac:dyDescent="0.15">
      <c r="A233" s="203">
        <f>A232+1</f>
        <v>3</v>
      </c>
      <c r="B233" s="208" t="s">
        <v>299</v>
      </c>
      <c r="D233" s="219"/>
      <c r="E233" s="219"/>
      <c r="F233" s="229"/>
      <c r="G233" s="229">
        <f>G84-G158</f>
        <v>0</v>
      </c>
      <c r="H233" s="236">
        <f>IF(H84&gt;0,H158/H84,0)</f>
        <v>0</v>
      </c>
      <c r="I233" s="236">
        <f t="shared" ref="I233:S233" si="170">IF(I84&gt;0,I158/I84,0)</f>
        <v>0</v>
      </c>
      <c r="J233" s="236">
        <f t="shared" si="170"/>
        <v>0</v>
      </c>
      <c r="K233" s="236">
        <f t="shared" si="170"/>
        <v>0</v>
      </c>
      <c r="L233" s="236">
        <f t="shared" si="170"/>
        <v>0</v>
      </c>
      <c r="M233" s="236">
        <f t="shared" si="170"/>
        <v>0</v>
      </c>
      <c r="N233" s="236">
        <f t="shared" si="170"/>
        <v>0</v>
      </c>
      <c r="O233" s="236">
        <f t="shared" si="169"/>
        <v>0</v>
      </c>
      <c r="P233" s="236">
        <f t="shared" si="169"/>
        <v>0</v>
      </c>
      <c r="Q233" s="236">
        <f t="shared" si="170"/>
        <v>0</v>
      </c>
      <c r="R233" s="236">
        <f t="shared" si="170"/>
        <v>0</v>
      </c>
      <c r="S233" s="236">
        <f t="shared" si="170"/>
        <v>0</v>
      </c>
      <c r="T233" s="236">
        <f>IF(T84&gt;0,T158/T84,0)</f>
        <v>0</v>
      </c>
    </row>
    <row r="234" spans="1:26" x14ac:dyDescent="0.15">
      <c r="A234" s="203">
        <f>A233+1</f>
        <v>4</v>
      </c>
      <c r="B234" s="208" t="s">
        <v>167</v>
      </c>
      <c r="C234" s="208"/>
      <c r="D234" s="219">
        <f t="shared" ref="D234:F235" si="171">D85-D159</f>
        <v>0</v>
      </c>
      <c r="E234" s="219">
        <f t="shared" si="171"/>
        <v>0</v>
      </c>
      <c r="F234" s="229">
        <f t="shared" si="171"/>
        <v>0</v>
      </c>
      <c r="G234" s="229">
        <f>G85-G159</f>
        <v>3812.2</v>
      </c>
      <c r="H234" s="236">
        <f t="shared" ref="H234:S234" si="172">IF(H85&gt;0,H159/H85,0)</f>
        <v>0</v>
      </c>
      <c r="I234" s="236">
        <f t="shared" si="172"/>
        <v>0</v>
      </c>
      <c r="J234" s="236">
        <f t="shared" si="172"/>
        <v>0</v>
      </c>
      <c r="K234" s="236">
        <f t="shared" si="172"/>
        <v>-7.8243133945209034E-4</v>
      </c>
      <c r="L234" s="236">
        <f t="shared" si="172"/>
        <v>-1.4131112144855789E-3</v>
      </c>
      <c r="M234" s="236">
        <f t="shared" si="172"/>
        <v>-1.5998880952588473E-3</v>
      </c>
      <c r="N234" s="236">
        <f t="shared" si="172"/>
        <v>-1.8119868565929132E-3</v>
      </c>
      <c r="O234" s="236">
        <f t="shared" si="169"/>
        <v>-1.8448126442600586E-3</v>
      </c>
      <c r="P234" s="236">
        <f t="shared" si="169"/>
        <v>-2.7834115460664021E-3</v>
      </c>
      <c r="Q234" s="236">
        <f t="shared" si="172"/>
        <v>0</v>
      </c>
      <c r="R234" s="236">
        <f t="shared" si="172"/>
        <v>-1.098027503392905E-3</v>
      </c>
      <c r="S234" s="236">
        <f t="shared" si="172"/>
        <v>-1.7063806447679885E-3</v>
      </c>
      <c r="T234" s="236">
        <f>IF(T85&gt;0,T159/T85,0)</f>
        <v>-2.3167110382962533E-3</v>
      </c>
    </row>
    <row r="235" spans="1:26" x14ac:dyDescent="0.15">
      <c r="A235" s="203">
        <f>A234+1</f>
        <v>5</v>
      </c>
      <c r="B235" s="203" t="s">
        <v>142</v>
      </c>
      <c r="D235" s="219">
        <f t="shared" si="171"/>
        <v>0</v>
      </c>
      <c r="E235" s="219">
        <f t="shared" si="171"/>
        <v>50351550</v>
      </c>
      <c r="F235" s="229">
        <f t="shared" si="171"/>
        <v>52327.4</v>
      </c>
      <c r="G235" s="229">
        <f>G86-G160</f>
        <v>52766.2</v>
      </c>
      <c r="H235" s="236">
        <f t="shared" ref="H235:S235" si="173">IF(H86&gt;0,H160/H86,0)</f>
        <v>0</v>
      </c>
      <c r="I235" s="236">
        <f t="shared" si="173"/>
        <v>0</v>
      </c>
      <c r="J235" s="236">
        <f t="shared" si="173"/>
        <v>0</v>
      </c>
      <c r="K235" s="236">
        <f t="shared" si="173"/>
        <v>-2.9279592309473948E-3</v>
      </c>
      <c r="L235" s="236">
        <f t="shared" si="173"/>
        <v>-2.2144762900805459E-3</v>
      </c>
      <c r="M235" s="236">
        <f t="shared" si="173"/>
        <v>-1.852287059995072E-3</v>
      </c>
      <c r="N235" s="236">
        <f t="shared" si="173"/>
        <v>-1.7611317436778662E-3</v>
      </c>
      <c r="O235" s="236">
        <f t="shared" si="169"/>
        <v>-1.656845564618218E-3</v>
      </c>
      <c r="P235" s="236">
        <f t="shared" si="169"/>
        <v>-2.5633946770204602E-3</v>
      </c>
      <c r="Q235" s="236">
        <f t="shared" si="173"/>
        <v>0</v>
      </c>
      <c r="R235" s="236">
        <f t="shared" si="173"/>
        <v>-2.5593123816532175E-3</v>
      </c>
      <c r="S235" s="236">
        <f t="shared" si="173"/>
        <v>-1.8053892963504951E-3</v>
      </c>
      <c r="T235" s="236">
        <f>IF(T86&gt;0,T160/T86,0)</f>
        <v>-2.1225579569367726E-3</v>
      </c>
    </row>
    <row r="236" spans="1:26" x14ac:dyDescent="0.15">
      <c r="B236" s="208" t="s">
        <v>171</v>
      </c>
      <c r="D236" s="219"/>
      <c r="E236" s="219"/>
      <c r="F236" s="229"/>
      <c r="G236" s="229"/>
      <c r="H236" s="229"/>
      <c r="I236" s="229"/>
      <c r="J236" s="229"/>
      <c r="K236" s="229"/>
      <c r="L236" s="229"/>
      <c r="M236" s="229"/>
      <c r="N236" s="229"/>
      <c r="O236" s="229"/>
      <c r="P236" s="229"/>
    </row>
    <row r="237" spans="1:26" x14ac:dyDescent="0.15">
      <c r="A237" s="203">
        <f>A235+1</f>
        <v>6</v>
      </c>
      <c r="C237" s="203" t="s">
        <v>143</v>
      </c>
      <c r="D237" s="219">
        <f t="shared" ref="D237:G243" si="174">D88-D162</f>
        <v>262694686</v>
      </c>
      <c r="E237" s="219">
        <f t="shared" si="174"/>
        <v>249146954</v>
      </c>
      <c r="F237" s="229">
        <f t="shared" si="174"/>
        <v>265074.5</v>
      </c>
      <c r="G237" s="229">
        <f t="shared" si="174"/>
        <v>292547.5</v>
      </c>
      <c r="H237" s="236">
        <f t="shared" ref="H237:S237" si="175">IF(H88&gt;0,H162/H88,0)</f>
        <v>0</v>
      </c>
      <c r="I237" s="236">
        <f t="shared" si="175"/>
        <v>0</v>
      </c>
      <c r="J237" s="236">
        <f t="shared" si="175"/>
        <v>0</v>
      </c>
      <c r="K237" s="236">
        <f t="shared" si="175"/>
        <v>-4.0977694567183788E-5</v>
      </c>
      <c r="L237" s="236">
        <f t="shared" si="175"/>
        <v>6.5176821094976425E-6</v>
      </c>
      <c r="M237" s="236">
        <f t="shared" si="175"/>
        <v>-1.08521475148191E-2</v>
      </c>
      <c r="N237" s="236">
        <f t="shared" si="175"/>
        <v>-9.7478243592985722E-3</v>
      </c>
      <c r="O237" s="236">
        <f t="shared" ref="O237:P249" si="176">IF(O88&gt;0,O162/O88,0)</f>
        <v>-1.0015208635896609E-2</v>
      </c>
      <c r="P237" s="236">
        <f t="shared" si="176"/>
        <v>-1.0161422667085416E-2</v>
      </c>
      <c r="Q237" s="236">
        <f t="shared" si="175"/>
        <v>0</v>
      </c>
      <c r="R237" s="236">
        <f t="shared" si="175"/>
        <v>-1.5604249411220889E-5</v>
      </c>
      <c r="S237" s="236">
        <f t="shared" si="175"/>
        <v>-1.0288072742765417E-2</v>
      </c>
      <c r="T237" s="236">
        <f t="shared" ref="T237:T249" si="177">IF(T88&gt;0,T162/T88,0)</f>
        <v>-1.0089976026003767E-2</v>
      </c>
    </row>
    <row r="238" spans="1:26" x14ac:dyDescent="0.15">
      <c r="A238" s="203">
        <f t="shared" ref="A238:A249" si="178">A237+1</f>
        <v>7</v>
      </c>
      <c r="C238" s="203" t="s">
        <v>144</v>
      </c>
      <c r="D238" s="219">
        <f t="shared" si="174"/>
        <v>36857227</v>
      </c>
      <c r="E238" s="219">
        <f t="shared" si="174"/>
        <v>28818713</v>
      </c>
      <c r="F238" s="229">
        <f t="shared" si="174"/>
        <v>29477.7</v>
      </c>
      <c r="G238" s="229">
        <f t="shared" si="174"/>
        <v>30912.7</v>
      </c>
      <c r="H238" s="236">
        <f t="shared" ref="H238:S238" si="179">IF(H89&gt;0,H163/H89,0)</f>
        <v>0</v>
      </c>
      <c r="I238" s="236">
        <f t="shared" si="179"/>
        <v>0</v>
      </c>
      <c r="J238" s="236">
        <f t="shared" si="179"/>
        <v>0</v>
      </c>
      <c r="K238" s="236">
        <f t="shared" si="179"/>
        <v>-1.4145427569123989E-4</v>
      </c>
      <c r="L238" s="236">
        <f t="shared" si="179"/>
        <v>-1.7240401162387788E-3</v>
      </c>
      <c r="M238" s="236">
        <f t="shared" si="179"/>
        <v>-1.6906144139832101E-3</v>
      </c>
      <c r="N238" s="236">
        <f t="shared" si="179"/>
        <v>-1.738585637089827E-3</v>
      </c>
      <c r="O238" s="236">
        <f t="shared" si="176"/>
        <v>-1.7527042831129269E-3</v>
      </c>
      <c r="P238" s="236">
        <f t="shared" si="176"/>
        <v>-3.5342627135283946E-3</v>
      </c>
      <c r="Q238" s="236">
        <f t="shared" si="179"/>
        <v>0</v>
      </c>
      <c r="R238" s="236">
        <f t="shared" si="179"/>
        <v>-9.3169363646946484E-4</v>
      </c>
      <c r="S238" s="236">
        <f t="shared" si="179"/>
        <v>-1.7146598708351916E-3</v>
      </c>
      <c r="T238" s="236">
        <f t="shared" si="177"/>
        <v>-2.6484202797732006E-3</v>
      </c>
    </row>
    <row r="239" spans="1:26" x14ac:dyDescent="0.15">
      <c r="A239" s="203">
        <f t="shared" si="178"/>
        <v>8</v>
      </c>
      <c r="B239" s="208"/>
      <c r="C239" s="208" t="s">
        <v>170</v>
      </c>
      <c r="D239" s="219">
        <f t="shared" si="174"/>
        <v>9779108</v>
      </c>
      <c r="E239" s="219">
        <f t="shared" si="174"/>
        <v>7276758</v>
      </c>
      <c r="F239" s="229">
        <f t="shared" si="174"/>
        <v>7434.3</v>
      </c>
      <c r="G239" s="229">
        <f t="shared" si="174"/>
        <v>7883.2</v>
      </c>
      <c r="H239" s="236">
        <f t="shared" ref="H239:S239" si="180">IF(H90&gt;0,H164/H90,0)</f>
        <v>0</v>
      </c>
      <c r="I239" s="236">
        <f t="shared" si="180"/>
        <v>0</v>
      </c>
      <c r="J239" s="236">
        <f t="shared" si="180"/>
        <v>0</v>
      </c>
      <c r="K239" s="236">
        <f t="shared" si="180"/>
        <v>2.0589588934899456E-4</v>
      </c>
      <c r="L239" s="236">
        <f t="shared" si="180"/>
        <v>-1.3097576948264572E-3</v>
      </c>
      <c r="M239" s="236">
        <f t="shared" si="180"/>
        <v>-1.686260539128456E-3</v>
      </c>
      <c r="N239" s="236">
        <f t="shared" si="180"/>
        <v>-2.3356533374021002E-3</v>
      </c>
      <c r="O239" s="236">
        <f t="shared" si="176"/>
        <v>-3.0213586817579661E-3</v>
      </c>
      <c r="P239" s="236">
        <f t="shared" si="176"/>
        <v>-5.4945686533707993E-3</v>
      </c>
      <c r="Q239" s="236">
        <f t="shared" si="180"/>
        <v>0</v>
      </c>
      <c r="R239" s="236">
        <f t="shared" si="180"/>
        <v>-5.5838752093948841E-4</v>
      </c>
      <c r="S239" s="236">
        <f t="shared" si="180"/>
        <v>-2.0128563080318604E-3</v>
      </c>
      <c r="T239" s="236">
        <f t="shared" si="177"/>
        <v>-4.2646880363366967E-3</v>
      </c>
    </row>
    <row r="240" spans="1:26" x14ac:dyDescent="0.15">
      <c r="A240" s="203">
        <f t="shared" si="178"/>
        <v>9</v>
      </c>
      <c r="B240" s="203" t="s">
        <v>145</v>
      </c>
      <c r="D240" s="219">
        <f t="shared" si="174"/>
        <v>16471551</v>
      </c>
      <c r="E240" s="219">
        <f t="shared" si="174"/>
        <v>16909578</v>
      </c>
      <c r="F240" s="229">
        <f t="shared" si="174"/>
        <v>17548.599999999999</v>
      </c>
      <c r="G240" s="229">
        <f t="shared" si="174"/>
        <v>18853.099999999999</v>
      </c>
      <c r="H240" s="236">
        <f t="shared" ref="H240:S240" si="181">IF(H91&gt;0,H165/H91,0)</f>
        <v>0</v>
      </c>
      <c r="I240" s="236">
        <f t="shared" si="181"/>
        <v>0</v>
      </c>
      <c r="J240" s="236">
        <f t="shared" si="181"/>
        <v>0</v>
      </c>
      <c r="K240" s="236">
        <f t="shared" si="181"/>
        <v>3.4235144087131542E-5</v>
      </c>
      <c r="L240" s="236">
        <f t="shared" si="181"/>
        <v>2.5969817017266923E-3</v>
      </c>
      <c r="M240" s="236">
        <f t="shared" si="181"/>
        <v>3.5240172137876138E-4</v>
      </c>
      <c r="N240" s="236">
        <f t="shared" si="181"/>
        <v>7.3876462138283298E-5</v>
      </c>
      <c r="O240" s="236">
        <f t="shared" si="176"/>
        <v>-3.2769508983295642E-3</v>
      </c>
      <c r="P240" s="236">
        <f t="shared" si="176"/>
        <v>-3.9781460803912623E-3</v>
      </c>
      <c r="Q240" s="236">
        <f t="shared" si="181"/>
        <v>0</v>
      </c>
      <c r="R240" s="236">
        <f t="shared" si="181"/>
        <v>1.3178663807374576E-3</v>
      </c>
      <c r="S240" s="236">
        <f t="shared" si="181"/>
        <v>2.124359598393512E-4</v>
      </c>
      <c r="T240" s="236">
        <f t="shared" si="177"/>
        <v>-3.6303213105281069E-3</v>
      </c>
    </row>
    <row r="241" spans="1:20" x14ac:dyDescent="0.15">
      <c r="A241" s="203">
        <f t="shared" si="178"/>
        <v>10</v>
      </c>
      <c r="B241" s="203" t="s">
        <v>146</v>
      </c>
      <c r="D241" s="219">
        <f t="shared" si="174"/>
        <v>56478364</v>
      </c>
      <c r="E241" s="219">
        <f t="shared" si="174"/>
        <v>55913098</v>
      </c>
      <c r="F241" s="229">
        <f t="shared" si="174"/>
        <v>55511.199999999997</v>
      </c>
      <c r="G241" s="229">
        <f t="shared" si="174"/>
        <v>57332.800000000003</v>
      </c>
      <c r="H241" s="236">
        <f t="shared" ref="H241:S241" si="182">IF(H92&gt;0,H166/H92,0)</f>
        <v>0</v>
      </c>
      <c r="I241" s="236">
        <f t="shared" si="182"/>
        <v>0</v>
      </c>
      <c r="J241" s="236">
        <f t="shared" si="182"/>
        <v>0</v>
      </c>
      <c r="K241" s="236">
        <f t="shared" si="182"/>
        <v>-8.9335361607836134E-4</v>
      </c>
      <c r="L241" s="236">
        <f t="shared" si="182"/>
        <v>1.0097727430999103E-3</v>
      </c>
      <c r="M241" s="236">
        <f t="shared" si="182"/>
        <v>2.1573555511568898E-3</v>
      </c>
      <c r="N241" s="236">
        <f t="shared" si="182"/>
        <v>2.1593222433570467E-3</v>
      </c>
      <c r="O241" s="236">
        <f t="shared" si="176"/>
        <v>9.6519950426435408E-2</v>
      </c>
      <c r="P241" s="236">
        <f t="shared" si="176"/>
        <v>9.7485762830921086E-2</v>
      </c>
      <c r="Q241" s="236">
        <f t="shared" si="182"/>
        <v>0</v>
      </c>
      <c r="R241" s="236">
        <f t="shared" si="182"/>
        <v>6.1565442817839767E-5</v>
      </c>
      <c r="S241" s="236">
        <f t="shared" si="182"/>
        <v>2.1583369305614294E-3</v>
      </c>
      <c r="T241" s="236">
        <f t="shared" si="177"/>
        <v>9.7002134447224178E-2</v>
      </c>
    </row>
    <row r="242" spans="1:20" x14ac:dyDescent="0.15">
      <c r="A242" s="203">
        <f t="shared" si="178"/>
        <v>11</v>
      </c>
      <c r="B242" s="203" t="s">
        <v>148</v>
      </c>
      <c r="D242" s="219">
        <f t="shared" si="174"/>
        <v>25114308</v>
      </c>
      <c r="E242" s="219">
        <f t="shared" si="174"/>
        <v>18869558</v>
      </c>
      <c r="F242" s="229">
        <f t="shared" si="174"/>
        <v>12876.8</v>
      </c>
      <c r="G242" s="229">
        <f t="shared" si="174"/>
        <v>8213.5</v>
      </c>
      <c r="H242" s="236">
        <f t="shared" ref="H242:S242" si="183">IF(H93&gt;0,H167/H93,0)</f>
        <v>0</v>
      </c>
      <c r="I242" s="236">
        <f t="shared" si="183"/>
        <v>0</v>
      </c>
      <c r="J242" s="236">
        <f t="shared" si="183"/>
        <v>0</v>
      </c>
      <c r="K242" s="236">
        <f t="shared" si="183"/>
        <v>-2.9581422866446603E-4</v>
      </c>
      <c r="L242" s="236">
        <f t="shared" si="183"/>
        <v>2.1482277121375173E-3</v>
      </c>
      <c r="M242" s="236">
        <f t="shared" si="183"/>
        <v>6.7658998646820028E-3</v>
      </c>
      <c r="N242" s="236">
        <f t="shared" si="183"/>
        <v>9.5298602287166457E-3</v>
      </c>
      <c r="O242" s="236">
        <f t="shared" si="176"/>
        <v>1.2578616352201324E-2</v>
      </c>
      <c r="P242" s="236">
        <f t="shared" si="176"/>
        <v>1.3618677042801612E-2</v>
      </c>
      <c r="Q242" s="236">
        <f t="shared" si="183"/>
        <v>0</v>
      </c>
      <c r="R242" s="236">
        <f t="shared" si="183"/>
        <v>5.7224606580821087E-4</v>
      </c>
      <c r="S242" s="236">
        <f t="shared" si="183"/>
        <v>7.9134792930625163E-3</v>
      </c>
      <c r="T242" s="236">
        <f t="shared" si="177"/>
        <v>1.3043478260869565E-2</v>
      </c>
    </row>
    <row r="243" spans="1:20" x14ac:dyDescent="0.15">
      <c r="A243" s="203">
        <f t="shared" si="178"/>
        <v>12</v>
      </c>
      <c r="B243" s="208" t="s">
        <v>244</v>
      </c>
      <c r="D243" s="219">
        <f t="shared" si="174"/>
        <v>0</v>
      </c>
      <c r="E243" s="219">
        <f t="shared" si="174"/>
        <v>0</v>
      </c>
      <c r="F243" s="229">
        <f t="shared" si="174"/>
        <v>0</v>
      </c>
      <c r="G243" s="229">
        <f t="shared" si="174"/>
        <v>-344.9</v>
      </c>
      <c r="H243" s="236">
        <f>IF(H94&gt;0,H168/H94,0)</f>
        <v>0</v>
      </c>
      <c r="I243" s="236">
        <f t="shared" ref="I243:S244" si="184">IF(I94&gt;0,I168/I94,0)</f>
        <v>0</v>
      </c>
      <c r="J243" s="236">
        <f t="shared" si="184"/>
        <v>0</v>
      </c>
      <c r="K243" s="236">
        <f t="shared" si="184"/>
        <v>0</v>
      </c>
      <c r="L243" s="236">
        <f t="shared" si="184"/>
        <v>0</v>
      </c>
      <c r="M243" s="236">
        <f t="shared" si="184"/>
        <v>0</v>
      </c>
      <c r="N243" s="236">
        <f t="shared" si="184"/>
        <v>0</v>
      </c>
      <c r="O243" s="236">
        <f t="shared" si="176"/>
        <v>0</v>
      </c>
      <c r="P243" s="236">
        <f t="shared" si="176"/>
        <v>0</v>
      </c>
      <c r="Q243" s="236">
        <f t="shared" si="184"/>
        <v>0</v>
      </c>
      <c r="R243" s="236">
        <f t="shared" si="184"/>
        <v>0</v>
      </c>
      <c r="S243" s="236">
        <f t="shared" si="184"/>
        <v>0</v>
      </c>
      <c r="T243" s="236">
        <f t="shared" si="177"/>
        <v>0</v>
      </c>
    </row>
    <row r="244" spans="1:20" x14ac:dyDescent="0.15">
      <c r="A244" s="203">
        <f t="shared" si="178"/>
        <v>13</v>
      </c>
      <c r="B244" s="208" t="s">
        <v>360</v>
      </c>
      <c r="D244" s="219"/>
      <c r="E244" s="219"/>
      <c r="F244" s="229"/>
      <c r="G244" s="229"/>
      <c r="H244" s="236">
        <f>IF(H95&gt;0,H169/H95,0)</f>
        <v>0</v>
      </c>
      <c r="I244" s="236">
        <f t="shared" si="184"/>
        <v>0</v>
      </c>
      <c r="J244" s="236">
        <f t="shared" si="184"/>
        <v>0</v>
      </c>
      <c r="K244" s="236">
        <f t="shared" si="184"/>
        <v>0</v>
      </c>
      <c r="L244" s="236">
        <f t="shared" si="184"/>
        <v>0</v>
      </c>
      <c r="M244" s="236">
        <f t="shared" si="184"/>
        <v>0</v>
      </c>
      <c r="N244" s="236">
        <f t="shared" si="184"/>
        <v>0</v>
      </c>
      <c r="O244" s="236">
        <f t="shared" si="176"/>
        <v>0</v>
      </c>
      <c r="P244" s="236">
        <f t="shared" si="176"/>
        <v>0</v>
      </c>
      <c r="Q244" s="236">
        <f t="shared" si="184"/>
        <v>0</v>
      </c>
      <c r="R244" s="236">
        <f t="shared" si="184"/>
        <v>0</v>
      </c>
      <c r="S244" s="236">
        <f t="shared" si="184"/>
        <v>0</v>
      </c>
      <c r="T244" s="236">
        <f t="shared" si="177"/>
        <v>0</v>
      </c>
    </row>
    <row r="245" spans="1:20" x14ac:dyDescent="0.15">
      <c r="A245" s="203">
        <f t="shared" si="178"/>
        <v>14</v>
      </c>
      <c r="B245" s="203" t="s">
        <v>147</v>
      </c>
      <c r="D245" s="219">
        <f t="shared" ref="D245:G249" si="185">D96-D170</f>
        <v>198438434</v>
      </c>
      <c r="E245" s="219">
        <f t="shared" si="185"/>
        <v>194217096</v>
      </c>
      <c r="F245" s="229">
        <f t="shared" si="185"/>
        <v>193697.1</v>
      </c>
      <c r="G245" s="229">
        <f t="shared" si="185"/>
        <v>194018.4</v>
      </c>
      <c r="H245" s="236">
        <f t="shared" ref="H245:S245" si="186">IF(H96&gt;0,H170/H96,0)</f>
        <v>0</v>
      </c>
      <c r="I245" s="236">
        <f t="shared" si="186"/>
        <v>0</v>
      </c>
      <c r="J245" s="236">
        <f t="shared" si="186"/>
        <v>0</v>
      </c>
      <c r="K245" s="236">
        <f t="shared" si="186"/>
        <v>-7.5607701397383399E-4</v>
      </c>
      <c r="L245" s="236">
        <f t="shared" si="186"/>
        <v>-1.3921137500095613E-3</v>
      </c>
      <c r="M245" s="236">
        <f t="shared" si="186"/>
        <v>-1.592927320901782E-3</v>
      </c>
      <c r="N245" s="236">
        <f t="shared" si="186"/>
        <v>-1.8288617401820326E-3</v>
      </c>
      <c r="O245" s="236">
        <f t="shared" si="176"/>
        <v>-1.9045028570052081E-3</v>
      </c>
      <c r="P245" s="236">
        <f t="shared" si="176"/>
        <v>-2.8842288125077841E-3</v>
      </c>
      <c r="Q245" s="236">
        <f t="shared" si="186"/>
        <v>0</v>
      </c>
      <c r="R245" s="236">
        <f t="shared" si="186"/>
        <v>-1.0743620846733499E-3</v>
      </c>
      <c r="S245" s="236">
        <f t="shared" si="186"/>
        <v>-1.7113785417618833E-3</v>
      </c>
      <c r="T245" s="236">
        <f t="shared" si="177"/>
        <v>-2.3970678215978077E-3</v>
      </c>
    </row>
    <row r="246" spans="1:20" x14ac:dyDescent="0.15">
      <c r="A246" s="203">
        <f t="shared" si="178"/>
        <v>15</v>
      </c>
      <c r="B246" s="203" t="s">
        <v>149</v>
      </c>
      <c r="D246" s="219">
        <f t="shared" si="185"/>
        <v>34642490</v>
      </c>
      <c r="E246" s="219">
        <f t="shared" si="185"/>
        <v>32112369</v>
      </c>
      <c r="F246" s="229">
        <f t="shared" si="185"/>
        <v>41731.199999999997</v>
      </c>
      <c r="G246" s="229">
        <f t="shared" si="185"/>
        <v>50999.4</v>
      </c>
      <c r="H246" s="236">
        <f t="shared" ref="H246:S246" si="187">IF(H97&gt;0,H171/H97,0)</f>
        <v>0</v>
      </c>
      <c r="I246" s="236">
        <f t="shared" si="187"/>
        <v>0</v>
      </c>
      <c r="J246" s="236">
        <f t="shared" si="187"/>
        <v>0</v>
      </c>
      <c r="K246" s="236">
        <f t="shared" si="187"/>
        <v>-8.4667786930916035E-4</v>
      </c>
      <c r="L246" s="236">
        <f t="shared" si="187"/>
        <v>-6.0071761401457959E-4</v>
      </c>
      <c r="M246" s="236">
        <f t="shared" si="187"/>
        <v>-6.7741798221352591E-3</v>
      </c>
      <c r="N246" s="236">
        <f t="shared" si="187"/>
        <v>-3.2082864732903642E-3</v>
      </c>
      <c r="O246" s="236">
        <f t="shared" si="176"/>
        <v>9.5667556028765106E-3</v>
      </c>
      <c r="P246" s="236">
        <f t="shared" si="176"/>
        <v>1.5052388365828886E-2</v>
      </c>
      <c r="Q246" s="236">
        <f t="shared" si="187"/>
        <v>0</v>
      </c>
      <c r="R246" s="236">
        <f t="shared" si="187"/>
        <v>-7.2383582171055153E-4</v>
      </c>
      <c r="S246" s="236">
        <f t="shared" si="187"/>
        <v>-4.983849763069796E-3</v>
      </c>
      <c r="T246" s="236">
        <f t="shared" si="177"/>
        <v>1.2333740164636777E-2</v>
      </c>
    </row>
    <row r="247" spans="1:20" x14ac:dyDescent="0.15">
      <c r="A247" s="203">
        <f t="shared" si="178"/>
        <v>16</v>
      </c>
      <c r="B247" s="208" t="s">
        <v>173</v>
      </c>
      <c r="D247" s="219">
        <f t="shared" si="185"/>
        <v>0</v>
      </c>
      <c r="E247" s="219">
        <f t="shared" si="185"/>
        <v>31986524</v>
      </c>
      <c r="F247" s="229">
        <f t="shared" si="185"/>
        <v>31326.6</v>
      </c>
      <c r="G247" s="229">
        <f t="shared" si="185"/>
        <v>31033.7</v>
      </c>
      <c r="H247" s="236">
        <f t="shared" ref="H247:S247" si="188">IF(H98&gt;0,H172/H98,0)</f>
        <v>0</v>
      </c>
      <c r="I247" s="236">
        <f t="shared" si="188"/>
        <v>0</v>
      </c>
      <c r="J247" s="236">
        <f t="shared" si="188"/>
        <v>0</v>
      </c>
      <c r="K247" s="236">
        <f t="shared" si="188"/>
        <v>-7.1248994880250798E-4</v>
      </c>
      <c r="L247" s="236">
        <f t="shared" si="188"/>
        <v>-5.3026078567543244E-4</v>
      </c>
      <c r="M247" s="236">
        <f t="shared" si="188"/>
        <v>-7.1421703957034598E-4</v>
      </c>
      <c r="N247" s="236">
        <f t="shared" si="188"/>
        <v>-4.1845982309790183E-3</v>
      </c>
      <c r="O247" s="236">
        <f t="shared" si="176"/>
        <v>-1.1947857826831203E-2</v>
      </c>
      <c r="P247" s="236">
        <f t="shared" si="176"/>
        <v>-1.9810813292924521E-2</v>
      </c>
      <c r="Q247" s="236">
        <f t="shared" si="188"/>
        <v>0</v>
      </c>
      <c r="R247" s="236">
        <f t="shared" si="188"/>
        <v>-6.2175283195639217E-4</v>
      </c>
      <c r="S247" s="236">
        <f t="shared" si="188"/>
        <v>-2.4581398765291915E-3</v>
      </c>
      <c r="T247" s="236">
        <f t="shared" si="177"/>
        <v>-1.5912921371544729E-2</v>
      </c>
    </row>
    <row r="248" spans="1:20" x14ac:dyDescent="0.15">
      <c r="A248" s="203">
        <f t="shared" si="178"/>
        <v>17</v>
      </c>
      <c r="B248" s="208" t="s">
        <v>168</v>
      </c>
      <c r="C248" s="208"/>
      <c r="D248" s="219">
        <f t="shared" si="185"/>
        <v>0</v>
      </c>
      <c r="E248" s="219">
        <f t="shared" si="185"/>
        <v>0</v>
      </c>
      <c r="F248" s="229">
        <f t="shared" si="185"/>
        <v>0</v>
      </c>
      <c r="G248" s="229">
        <f t="shared" si="185"/>
        <v>16348.9</v>
      </c>
      <c r="H248" s="236">
        <f t="shared" ref="H248:S248" si="189">IF(H99&gt;0,H173/H99,0)</f>
        <v>0</v>
      </c>
      <c r="I248" s="236">
        <f t="shared" si="189"/>
        <v>0</v>
      </c>
      <c r="J248" s="236">
        <f t="shared" si="189"/>
        <v>0</v>
      </c>
      <c r="K248" s="236">
        <f t="shared" si="189"/>
        <v>-2.9162921232615291E-5</v>
      </c>
      <c r="L248" s="236">
        <f t="shared" si="189"/>
        <v>-2.7934760825664009E-2</v>
      </c>
      <c r="M248" s="236">
        <f t="shared" si="189"/>
        <v>-1.0442595773878986E-2</v>
      </c>
      <c r="N248" s="236">
        <f t="shared" si="189"/>
        <v>-8.9475849385345085E-3</v>
      </c>
      <c r="O248" s="236">
        <f t="shared" si="176"/>
        <v>-5.3347799462495895E-3</v>
      </c>
      <c r="P248" s="236">
        <f t="shared" si="176"/>
        <v>-3.5875634223756121E-3</v>
      </c>
      <c r="Q248" s="236">
        <f t="shared" si="189"/>
        <v>0</v>
      </c>
      <c r="R248" s="236">
        <f t="shared" si="189"/>
        <v>-1.4726921084553564E-2</v>
      </c>
      <c r="S248" s="236">
        <f t="shared" si="189"/>
        <v>-9.6822904231779316E-3</v>
      </c>
      <c r="T248" s="236">
        <f t="shared" si="177"/>
        <v>-4.4514565182125878E-3</v>
      </c>
    </row>
    <row r="249" spans="1:20" x14ac:dyDescent="0.15">
      <c r="A249" s="203">
        <f t="shared" si="178"/>
        <v>18</v>
      </c>
      <c r="B249" s="203" t="s">
        <v>150</v>
      </c>
      <c r="D249" s="219">
        <f t="shared" si="185"/>
        <v>291708358</v>
      </c>
      <c r="E249" s="219">
        <f t="shared" si="185"/>
        <v>426336542</v>
      </c>
      <c r="F249" s="229">
        <f t="shared" si="185"/>
        <v>504721.1</v>
      </c>
      <c r="G249" s="229">
        <f t="shared" si="185"/>
        <v>534314.5</v>
      </c>
      <c r="H249" s="236">
        <f t="shared" ref="H249:S249" si="190">IF(H100&gt;0,H174/H100,0)</f>
        <v>0</v>
      </c>
      <c r="I249" s="236">
        <f t="shared" si="190"/>
        <v>0</v>
      </c>
      <c r="J249" s="236">
        <f t="shared" si="190"/>
        <v>0</v>
      </c>
      <c r="K249" s="236">
        <f t="shared" si="190"/>
        <v>-7.2982156508313661E-4</v>
      </c>
      <c r="L249" s="236">
        <f t="shared" si="190"/>
        <v>-6.9841523685029998E-4</v>
      </c>
      <c r="M249" s="236">
        <f t="shared" si="190"/>
        <v>-8.8746203364477975E-5</v>
      </c>
      <c r="N249" s="236">
        <f t="shared" si="190"/>
        <v>1.4857020171082014E-5</v>
      </c>
      <c r="O249" s="236">
        <f t="shared" si="176"/>
        <v>1.3438870585048355E-4</v>
      </c>
      <c r="P249" s="236">
        <f t="shared" si="176"/>
        <v>-1.6931219013333626E-4</v>
      </c>
      <c r="Q249" s="236">
        <f t="shared" si="190"/>
        <v>0</v>
      </c>
      <c r="R249" s="236">
        <f t="shared" si="190"/>
        <v>-7.1388943897142203E-4</v>
      </c>
      <c r="S249" s="236">
        <f t="shared" si="190"/>
        <v>-3.4754359736606348E-5</v>
      </c>
      <c r="T249" s="236">
        <f t="shared" si="177"/>
        <v>-2.2933097275318712E-5</v>
      </c>
    </row>
    <row r="250" spans="1:20" x14ac:dyDescent="0.15">
      <c r="B250" s="208" t="s">
        <v>172</v>
      </c>
      <c r="D250" s="219"/>
      <c r="E250" s="219"/>
      <c r="F250" s="229"/>
      <c r="G250" s="229"/>
      <c r="H250" s="229"/>
      <c r="I250" s="229"/>
      <c r="J250" s="229"/>
      <c r="K250" s="229"/>
      <c r="L250" s="229"/>
      <c r="M250" s="229"/>
      <c r="N250" s="229"/>
      <c r="O250" s="229"/>
      <c r="P250" s="229"/>
    </row>
    <row r="251" spans="1:20" x14ac:dyDescent="0.15">
      <c r="A251" s="203">
        <f>A249+1</f>
        <v>19</v>
      </c>
      <c r="B251" s="208"/>
      <c r="C251" s="208" t="s">
        <v>268</v>
      </c>
      <c r="D251" s="219">
        <f t="shared" ref="D251:G255" si="191">D102-D176</f>
        <v>1341221</v>
      </c>
      <c r="E251" s="219">
        <f t="shared" si="191"/>
        <v>-679857</v>
      </c>
      <c r="F251" s="229">
        <f t="shared" si="191"/>
        <v>-2178837.88</v>
      </c>
      <c r="G251" s="229">
        <f t="shared" si="191"/>
        <v>-895.4</v>
      </c>
      <c r="H251" s="236">
        <f t="shared" ref="H251:S251" si="192">IF(H102&gt;0,H176/H102,0)</f>
        <v>0</v>
      </c>
      <c r="I251" s="236">
        <f t="shared" si="192"/>
        <v>0</v>
      </c>
      <c r="J251" s="236">
        <f t="shared" si="192"/>
        <v>0</v>
      </c>
      <c r="K251" s="236">
        <f t="shared" si="192"/>
        <v>-0.10447100486941134</v>
      </c>
      <c r="L251" s="236">
        <f t="shared" si="192"/>
        <v>-0.14136671883150753</v>
      </c>
      <c r="M251" s="236">
        <f t="shared" si="192"/>
        <v>-0.37661141804788212</v>
      </c>
      <c r="N251" s="236">
        <f t="shared" si="192"/>
        <v>-4.4198113207547172</v>
      </c>
      <c r="O251" s="236">
        <f>IF(O102&gt;0,O176/O102,0)</f>
        <v>0</v>
      </c>
      <c r="P251" s="236">
        <f>IF(P102&gt;0,P176/P102,0)</f>
        <v>0</v>
      </c>
      <c r="Q251" s="236">
        <f t="shared" si="192"/>
        <v>0</v>
      </c>
      <c r="R251" s="236">
        <f t="shared" si="192"/>
        <v>-0.12405676704742129</v>
      </c>
      <c r="S251" s="236">
        <f t="shared" si="192"/>
        <v>-0.66945678168773481</v>
      </c>
      <c r="T251" s="236">
        <f>IF(T102&gt;0,T176/T102,0)</f>
        <v>0</v>
      </c>
    </row>
    <row r="252" spans="1:20" x14ac:dyDescent="0.15">
      <c r="A252" s="203">
        <f>A251+1</f>
        <v>20</v>
      </c>
      <c r="B252" s="208"/>
      <c r="C252" s="208"/>
      <c r="D252" s="219">
        <f t="shared" si="191"/>
        <v>-1804253</v>
      </c>
      <c r="E252" s="219">
        <f t="shared" si="191"/>
        <v>1059</v>
      </c>
      <c r="F252" s="229">
        <f t="shared" si="191"/>
        <v>0</v>
      </c>
      <c r="G252" s="229">
        <f t="shared" si="191"/>
        <v>0</v>
      </c>
      <c r="H252" s="229">
        <f t="shared" ref="H252:N255" si="193">H103-H177</f>
        <v>0</v>
      </c>
      <c r="I252" s="229">
        <f t="shared" si="193"/>
        <v>0</v>
      </c>
      <c r="J252" s="229">
        <f t="shared" si="193"/>
        <v>0</v>
      </c>
      <c r="K252" s="229">
        <f t="shared" si="193"/>
        <v>0</v>
      </c>
      <c r="L252" s="229">
        <f t="shared" si="193"/>
        <v>0</v>
      </c>
      <c r="M252" s="229">
        <f t="shared" si="193"/>
        <v>0</v>
      </c>
      <c r="N252" s="229">
        <f t="shared" si="193"/>
        <v>0</v>
      </c>
      <c r="O252" s="229">
        <f t="shared" ref="O252:P255" si="194">O103-O177</f>
        <v>0</v>
      </c>
      <c r="P252" s="229">
        <f t="shared" si="194"/>
        <v>0</v>
      </c>
    </row>
    <row r="253" spans="1:20" x14ac:dyDescent="0.15">
      <c r="A253" s="203">
        <f>A252+1</f>
        <v>21</v>
      </c>
      <c r="B253" s="208"/>
      <c r="C253" s="208"/>
      <c r="D253" s="219">
        <f t="shared" si="191"/>
        <v>0</v>
      </c>
      <c r="E253" s="219">
        <f t="shared" si="191"/>
        <v>0</v>
      </c>
      <c r="F253" s="229">
        <f t="shared" si="191"/>
        <v>0</v>
      </c>
      <c r="G253" s="229">
        <f t="shared" si="191"/>
        <v>0</v>
      </c>
      <c r="H253" s="229">
        <f t="shared" si="193"/>
        <v>0</v>
      </c>
      <c r="I253" s="229">
        <f t="shared" si="193"/>
        <v>0</v>
      </c>
      <c r="J253" s="229">
        <f t="shared" si="193"/>
        <v>0</v>
      </c>
      <c r="K253" s="229">
        <f t="shared" si="193"/>
        <v>0</v>
      </c>
      <c r="L253" s="229">
        <f t="shared" si="193"/>
        <v>0</v>
      </c>
      <c r="M253" s="229">
        <f t="shared" si="193"/>
        <v>0</v>
      </c>
      <c r="N253" s="229">
        <f t="shared" si="193"/>
        <v>0</v>
      </c>
      <c r="O253" s="229">
        <f t="shared" si="194"/>
        <v>0</v>
      </c>
      <c r="P253" s="229">
        <f t="shared" si="194"/>
        <v>0</v>
      </c>
    </row>
    <row r="254" spans="1:20" x14ac:dyDescent="0.15">
      <c r="A254" s="203">
        <f>A253+1</f>
        <v>22</v>
      </c>
      <c r="B254" s="208"/>
      <c r="C254" s="208"/>
      <c r="D254" s="219">
        <f t="shared" si="191"/>
        <v>0</v>
      </c>
      <c r="E254" s="219">
        <f t="shared" si="191"/>
        <v>0</v>
      </c>
      <c r="F254" s="229">
        <f t="shared" si="191"/>
        <v>0</v>
      </c>
      <c r="G254" s="229">
        <f t="shared" si="191"/>
        <v>0</v>
      </c>
      <c r="H254" s="229">
        <f t="shared" si="193"/>
        <v>0</v>
      </c>
      <c r="I254" s="229">
        <f t="shared" si="193"/>
        <v>0</v>
      </c>
      <c r="J254" s="229">
        <f t="shared" si="193"/>
        <v>0</v>
      </c>
      <c r="K254" s="229">
        <f t="shared" si="193"/>
        <v>0</v>
      </c>
      <c r="L254" s="229">
        <f t="shared" si="193"/>
        <v>0</v>
      </c>
      <c r="M254" s="229">
        <f t="shared" si="193"/>
        <v>0</v>
      </c>
      <c r="N254" s="229">
        <f t="shared" si="193"/>
        <v>0</v>
      </c>
      <c r="O254" s="229">
        <f t="shared" si="194"/>
        <v>0</v>
      </c>
      <c r="P254" s="229">
        <f t="shared" si="194"/>
        <v>0</v>
      </c>
    </row>
    <row r="255" spans="1:20" x14ac:dyDescent="0.15">
      <c r="A255" s="203">
        <f>A254+1</f>
        <v>23</v>
      </c>
      <c r="B255" s="208"/>
      <c r="C255" s="208"/>
      <c r="D255" s="219">
        <f t="shared" si="191"/>
        <v>0</v>
      </c>
      <c r="E255" s="219">
        <f t="shared" si="191"/>
        <v>0</v>
      </c>
      <c r="F255" s="229">
        <f t="shared" si="191"/>
        <v>0</v>
      </c>
      <c r="G255" s="229">
        <f t="shared" si="191"/>
        <v>0</v>
      </c>
      <c r="H255" s="229">
        <f t="shared" si="193"/>
        <v>0</v>
      </c>
      <c r="I255" s="229">
        <f t="shared" si="193"/>
        <v>0</v>
      </c>
      <c r="J255" s="229">
        <f t="shared" si="193"/>
        <v>0</v>
      </c>
      <c r="K255" s="229">
        <f t="shared" si="193"/>
        <v>0</v>
      </c>
      <c r="L255" s="229">
        <f t="shared" si="193"/>
        <v>0</v>
      </c>
      <c r="M255" s="229">
        <f t="shared" si="193"/>
        <v>0</v>
      </c>
      <c r="N255" s="229">
        <f t="shared" si="193"/>
        <v>0</v>
      </c>
      <c r="O255" s="229">
        <f t="shared" si="194"/>
        <v>0</v>
      </c>
      <c r="P255" s="229">
        <f t="shared" si="194"/>
        <v>0</v>
      </c>
    </row>
    <row r="256" spans="1:20" x14ac:dyDescent="0.15">
      <c r="D256" s="207"/>
      <c r="E256" s="207"/>
      <c r="F256" s="230"/>
      <c r="G256" s="230"/>
      <c r="H256" s="230"/>
      <c r="I256" s="230"/>
      <c r="J256" s="230"/>
      <c r="K256" s="230"/>
      <c r="L256" s="230"/>
      <c r="M256" s="230"/>
      <c r="N256" s="230"/>
      <c r="O256" s="230"/>
      <c r="P256" s="230"/>
    </row>
    <row r="257" spans="1:20" x14ac:dyDescent="0.15">
      <c r="A257" s="203">
        <f>A255+1</f>
        <v>24</v>
      </c>
      <c r="B257" s="208" t="s">
        <v>158</v>
      </c>
      <c r="D257" s="219">
        <f>D108-D182</f>
        <v>5421781814</v>
      </c>
      <c r="E257" s="219">
        <f>E108-E182</f>
        <v>5514835219</v>
      </c>
      <c r="F257" s="229">
        <f>F108-F182</f>
        <v>3417862.42</v>
      </c>
      <c r="G257" s="229">
        <f>G108-G182</f>
        <v>5856179.5000000009</v>
      </c>
      <c r="H257" s="236">
        <f t="shared" ref="H257:S257" si="195">IF(H108&gt;0,H182/H108,0)</f>
        <v>0</v>
      </c>
      <c r="I257" s="236">
        <f t="shared" si="195"/>
        <v>0</v>
      </c>
      <c r="J257" s="236">
        <f t="shared" si="195"/>
        <v>0</v>
      </c>
      <c r="K257" s="236">
        <f t="shared" si="195"/>
        <v>-7.7340351996870132E-4</v>
      </c>
      <c r="L257" s="236">
        <f t="shared" si="195"/>
        <v>-1.4710118043073663E-3</v>
      </c>
      <c r="M257" s="236">
        <f t="shared" si="195"/>
        <v>-2.17853073440691E-3</v>
      </c>
      <c r="N257" s="236">
        <f t="shared" si="195"/>
        <v>-2.200166612784547E-3</v>
      </c>
      <c r="O257" s="236">
        <f>IF(O108&gt;0,O182/O108,0)</f>
        <v>-1.313745333114495E-3</v>
      </c>
      <c r="P257" s="236">
        <f>IF(P108&gt;0,P182/P108,0)</f>
        <v>-2.0156827306860598E-3</v>
      </c>
      <c r="Q257" s="236">
        <f t="shared" si="195"/>
        <v>0</v>
      </c>
      <c r="R257" s="236">
        <f t="shared" si="195"/>
        <v>-1.1385712911420448E-3</v>
      </c>
      <c r="S257" s="236">
        <f t="shared" si="195"/>
        <v>-2.1894621958644012E-3</v>
      </c>
      <c r="T257" s="236">
        <f>IF(T108&gt;0,T182/T108,0)</f>
        <v>-1.6686816387807028E-3</v>
      </c>
    </row>
    <row r="258" spans="1:20" x14ac:dyDescent="0.15">
      <c r="D258" s="207"/>
      <c r="E258" s="207"/>
      <c r="F258" s="230"/>
      <c r="G258" s="230"/>
      <c r="H258" s="230"/>
      <c r="I258" s="230"/>
      <c r="J258" s="230"/>
      <c r="K258" s="230"/>
      <c r="L258" s="230"/>
      <c r="M258" s="230"/>
      <c r="N258" s="230"/>
      <c r="O258" s="230"/>
      <c r="P258" s="230"/>
    </row>
    <row r="259" spans="1:20" x14ac:dyDescent="0.15">
      <c r="B259" s="208" t="s">
        <v>156</v>
      </c>
      <c r="C259" s="208"/>
      <c r="D259" s="207"/>
      <c r="E259" s="207"/>
      <c r="F259" s="230"/>
      <c r="G259" s="230"/>
      <c r="H259" s="230"/>
      <c r="I259" s="230"/>
      <c r="J259" s="230"/>
      <c r="K259" s="230"/>
      <c r="L259" s="230"/>
      <c r="M259" s="230"/>
      <c r="N259" s="230"/>
      <c r="O259" s="230"/>
      <c r="P259" s="230"/>
    </row>
    <row r="260" spans="1:20" x14ac:dyDescent="0.15">
      <c r="A260" s="203">
        <f>A257+1</f>
        <v>25</v>
      </c>
      <c r="B260" s="203" t="s">
        <v>153</v>
      </c>
      <c r="D260" s="219">
        <f t="shared" ref="D260:G264" si="196">D111-D185</f>
        <v>0</v>
      </c>
      <c r="E260" s="219">
        <f t="shared" si="196"/>
        <v>0</v>
      </c>
      <c r="F260" s="229">
        <f t="shared" si="196"/>
        <v>40007.300000000003</v>
      </c>
      <c r="G260" s="229">
        <f t="shared" si="196"/>
        <v>44268.2</v>
      </c>
      <c r="H260" s="236">
        <f t="shared" ref="H260:S260" si="197">IF(H111&gt;0,H185/H111,0)</f>
        <v>0</v>
      </c>
      <c r="I260" s="236">
        <f t="shared" si="197"/>
        <v>0</v>
      </c>
      <c r="J260" s="236">
        <f t="shared" si="197"/>
        <v>0</v>
      </c>
      <c r="K260" s="236">
        <f t="shared" si="197"/>
        <v>-7.7267760529433932E-4</v>
      </c>
      <c r="L260" s="236">
        <f t="shared" si="197"/>
        <v>2.1027675470732679E-4</v>
      </c>
      <c r="M260" s="236">
        <f t="shared" si="197"/>
        <v>3.1501050035003593E-4</v>
      </c>
      <c r="N260" s="236">
        <f t="shared" si="197"/>
        <v>-3.057813140281385E-2</v>
      </c>
      <c r="O260" s="236">
        <f t="shared" ref="O260:P264" si="198">IF(O111&gt;0,O185/O111,0)</f>
        <v>-3.3430668630418971E-2</v>
      </c>
      <c r="P260" s="236">
        <f t="shared" si="198"/>
        <v>-3.3806450086084003E-2</v>
      </c>
      <c r="Q260" s="236">
        <f t="shared" si="197"/>
        <v>0</v>
      </c>
      <c r="R260" s="236">
        <f t="shared" si="197"/>
        <v>-2.8075626660837666E-4</v>
      </c>
      <c r="S260" s="236">
        <f t="shared" si="197"/>
        <v>-1.4945262554189228E-2</v>
      </c>
      <c r="T260" s="236">
        <f>IF(T111&gt;0,T185/T111,0)</f>
        <v>-3.3619347388889192E-2</v>
      </c>
    </row>
    <row r="261" spans="1:20" x14ac:dyDescent="0.15">
      <c r="A261" s="203">
        <f>A260+1</f>
        <v>26</v>
      </c>
      <c r="B261" s="203" t="s">
        <v>152</v>
      </c>
      <c r="D261" s="219">
        <f t="shared" si="196"/>
        <v>0</v>
      </c>
      <c r="E261" s="219">
        <f t="shared" si="196"/>
        <v>0</v>
      </c>
      <c r="F261" s="229">
        <f t="shared" si="196"/>
        <v>22380.3</v>
      </c>
      <c r="G261" s="229">
        <f t="shared" si="196"/>
        <v>25083.3</v>
      </c>
      <c r="H261" s="236">
        <f t="shared" ref="H261:S261" si="199">IF(H112&gt;0,H186/H112,0)</f>
        <v>0</v>
      </c>
      <c r="I261" s="236">
        <f t="shared" si="199"/>
        <v>0</v>
      </c>
      <c r="J261" s="236">
        <f t="shared" si="199"/>
        <v>0</v>
      </c>
      <c r="K261" s="236">
        <f t="shared" si="199"/>
        <v>-9.3186449345845749E-4</v>
      </c>
      <c r="L261" s="236">
        <f t="shared" si="199"/>
        <v>5.3891532473242742E-4</v>
      </c>
      <c r="M261" s="236">
        <f t="shared" si="199"/>
        <v>-5.6239957150509227E-3</v>
      </c>
      <c r="N261" s="236">
        <f t="shared" si="199"/>
        <v>-3.8505691821641231E-3</v>
      </c>
      <c r="O261" s="236">
        <f t="shared" si="198"/>
        <v>1.060737165926476E-2</v>
      </c>
      <c r="P261" s="236">
        <f t="shared" si="198"/>
        <v>1.6588374646876538E-2</v>
      </c>
      <c r="Q261" s="236">
        <f t="shared" si="199"/>
        <v>0</v>
      </c>
      <c r="R261" s="236">
        <f t="shared" si="199"/>
        <v>-1.9456570109078344E-4</v>
      </c>
      <c r="S261" s="236">
        <f t="shared" si="199"/>
        <v>-4.7492504086402614E-3</v>
      </c>
      <c r="T261" s="236">
        <f>IF(T112&gt;0,T186/T112,0)</f>
        <v>1.3615208217430752E-2</v>
      </c>
    </row>
    <row r="262" spans="1:20" x14ac:dyDescent="0.15">
      <c r="A262" s="203">
        <f>A261+1</f>
        <v>27</v>
      </c>
      <c r="B262" s="208" t="s">
        <v>174</v>
      </c>
      <c r="D262" s="219">
        <f t="shared" si="196"/>
        <v>0</v>
      </c>
      <c r="E262" s="219">
        <f t="shared" si="196"/>
        <v>0</v>
      </c>
      <c r="F262" s="229">
        <f t="shared" si="196"/>
        <v>18540.599999999999</v>
      </c>
      <c r="G262" s="229">
        <f t="shared" si="196"/>
        <v>20383.5</v>
      </c>
      <c r="H262" s="236">
        <f t="shared" ref="H262:S262" si="200">IF(H113&gt;0,H187/H113,0)</f>
        <v>0</v>
      </c>
      <c r="I262" s="236">
        <f t="shared" si="200"/>
        <v>0</v>
      </c>
      <c r="J262" s="236">
        <f t="shared" si="200"/>
        <v>0</v>
      </c>
      <c r="K262" s="236">
        <f t="shared" si="200"/>
        <v>-1.0981953122522412E-3</v>
      </c>
      <c r="L262" s="236">
        <f t="shared" si="200"/>
        <v>9.5557564511262875E-4</v>
      </c>
      <c r="M262" s="236">
        <f t="shared" si="200"/>
        <v>1.0470820227830825E-3</v>
      </c>
      <c r="N262" s="236">
        <f t="shared" si="200"/>
        <v>-6.2999899601753019E-3</v>
      </c>
      <c r="O262" s="236">
        <f t="shared" si="198"/>
        <v>-1.4494017946161576E-2</v>
      </c>
      <c r="P262" s="236">
        <f t="shared" si="198"/>
        <v>-2.2182086856579981E-2</v>
      </c>
      <c r="Q262" s="236">
        <f t="shared" si="200"/>
        <v>0</v>
      </c>
      <c r="R262" s="236">
        <f t="shared" si="200"/>
        <v>-7.1366833453715041E-5</v>
      </c>
      <c r="S262" s="236">
        <f t="shared" si="200"/>
        <v>-2.5779579435778956E-3</v>
      </c>
      <c r="T262" s="236">
        <f>IF(T113&gt;0,T187/T113,0)</f>
        <v>-1.8361068670768529E-2</v>
      </c>
    </row>
    <row r="263" spans="1:20" x14ac:dyDescent="0.15">
      <c r="A263" s="203">
        <f>A262+1</f>
        <v>28</v>
      </c>
      <c r="B263" s="208" t="s">
        <v>168</v>
      </c>
      <c r="C263" s="208"/>
      <c r="D263" s="219">
        <f t="shared" si="196"/>
        <v>0</v>
      </c>
      <c r="E263" s="219">
        <f t="shared" si="196"/>
        <v>0</v>
      </c>
      <c r="F263" s="229">
        <f t="shared" si="196"/>
        <v>0</v>
      </c>
      <c r="G263" s="229">
        <f t="shared" si="196"/>
        <v>0</v>
      </c>
      <c r="H263" s="236">
        <f t="shared" ref="H263:S263" si="201">IF(H114&gt;0,H188/H114,0)</f>
        <v>0</v>
      </c>
      <c r="I263" s="236">
        <f t="shared" si="201"/>
        <v>0</v>
      </c>
      <c r="J263" s="236">
        <f t="shared" si="201"/>
        <v>0</v>
      </c>
      <c r="K263" s="236">
        <f t="shared" si="201"/>
        <v>-7.1393299738862798E-5</v>
      </c>
      <c r="L263" s="236">
        <f t="shared" si="201"/>
        <v>-3.2301042949035581E-2</v>
      </c>
      <c r="M263" s="236">
        <f t="shared" si="201"/>
        <v>-4.3747749936022366E-2</v>
      </c>
      <c r="N263" s="236">
        <f t="shared" si="201"/>
        <v>-5.41161676387052E-2</v>
      </c>
      <c r="O263" s="236">
        <f t="shared" si="198"/>
        <v>-5.1269052832471393E-2</v>
      </c>
      <c r="P263" s="236">
        <f t="shared" si="198"/>
        <v>-4.7782779028090354E-2</v>
      </c>
      <c r="Q263" s="236">
        <f t="shared" si="201"/>
        <v>0</v>
      </c>
      <c r="R263" s="236">
        <f t="shared" si="201"/>
        <v>-1.7072224533627074E-2</v>
      </c>
      <c r="S263" s="236">
        <f t="shared" si="201"/>
        <v>-4.8932700731193206E-2</v>
      </c>
      <c r="T263" s="236">
        <f>IF(T114&gt;0,T188/T114,0)</f>
        <v>-4.950682772887955E-2</v>
      </c>
    </row>
    <row r="264" spans="1:20" x14ac:dyDescent="0.15">
      <c r="A264" s="203">
        <f>A263+1</f>
        <v>29</v>
      </c>
      <c r="B264" s="203" t="s">
        <v>154</v>
      </c>
      <c r="D264" s="219">
        <f t="shared" si="196"/>
        <v>224945858</v>
      </c>
      <c r="E264" s="219">
        <f t="shared" si="196"/>
        <v>351087875</v>
      </c>
      <c r="F264" s="229">
        <f t="shared" si="196"/>
        <v>379954.5</v>
      </c>
      <c r="G264" s="229">
        <f t="shared" si="196"/>
        <v>410867.9</v>
      </c>
      <c r="H264" s="236">
        <f t="shared" ref="H264:S264" si="202">IF(H115&gt;0,H189/H115,0)</f>
        <v>0</v>
      </c>
      <c r="I264" s="236">
        <f t="shared" si="202"/>
        <v>0</v>
      </c>
      <c r="J264" s="236">
        <f t="shared" si="202"/>
        <v>0</v>
      </c>
      <c r="K264" s="236">
        <f t="shared" si="202"/>
        <v>-7.1908858958207164E-4</v>
      </c>
      <c r="L264" s="236">
        <f t="shared" si="202"/>
        <v>-9.8664888667135539E-4</v>
      </c>
      <c r="M264" s="236">
        <f t="shared" si="202"/>
        <v>-1.4535524943647794E-4</v>
      </c>
      <c r="N264" s="236">
        <f t="shared" si="202"/>
        <v>-1.1351611783101275E-3</v>
      </c>
      <c r="O264" s="236">
        <f t="shared" si="198"/>
        <v>-3.7381453372980003E-4</v>
      </c>
      <c r="P264" s="236">
        <f t="shared" si="198"/>
        <v>-2.4816567846751063E-5</v>
      </c>
      <c r="Q264" s="236">
        <f t="shared" si="202"/>
        <v>0</v>
      </c>
      <c r="R264" s="236">
        <f t="shared" si="202"/>
        <v>-8.552204937043637E-4</v>
      </c>
      <c r="S264" s="236">
        <f t="shared" si="202"/>
        <v>-6.5843163199852438E-4</v>
      </c>
      <c r="T264" s="236">
        <f>IF(T115&gt;0,T189/T115,0)</f>
        <v>-1.9268543178421835E-4</v>
      </c>
    </row>
    <row r="265" spans="1:20" x14ac:dyDescent="0.15">
      <c r="D265" s="207"/>
      <c r="E265" s="207"/>
      <c r="F265" s="230"/>
      <c r="G265" s="230"/>
      <c r="H265" s="230"/>
      <c r="I265" s="230"/>
      <c r="J265" s="230"/>
      <c r="K265" s="230"/>
      <c r="L265" s="230"/>
      <c r="M265" s="230"/>
      <c r="N265" s="230"/>
      <c r="O265" s="230"/>
      <c r="P265" s="230"/>
    </row>
    <row r="266" spans="1:20" x14ac:dyDescent="0.15">
      <c r="A266" s="203">
        <f>A264+1</f>
        <v>30</v>
      </c>
      <c r="B266" s="208" t="s">
        <v>159</v>
      </c>
      <c r="C266" s="208"/>
      <c r="D266" s="219">
        <f>D117-D191</f>
        <v>224945858</v>
      </c>
      <c r="E266" s="219">
        <f>E117-E191</f>
        <v>351087875</v>
      </c>
      <c r="F266" s="229">
        <f>F117-F191</f>
        <v>460882.7</v>
      </c>
      <c r="G266" s="229">
        <f>G117-G191</f>
        <v>500602.9</v>
      </c>
      <c r="H266" s="236">
        <f t="shared" ref="H266:S266" si="203">IF(H117&gt;0,H191/H117,0)</f>
        <v>0</v>
      </c>
      <c r="I266" s="236">
        <f t="shared" si="203"/>
        <v>0</v>
      </c>
      <c r="J266" s="236">
        <f t="shared" si="203"/>
        <v>0</v>
      </c>
      <c r="K266" s="236">
        <f t="shared" si="203"/>
        <v>-7.4158189899414416E-4</v>
      </c>
      <c r="L266" s="236">
        <f t="shared" si="203"/>
        <v>-1.2644369777027745E-3</v>
      </c>
      <c r="M266" s="236">
        <f t="shared" si="203"/>
        <v>-1.4960249894203055E-3</v>
      </c>
      <c r="N266" s="236">
        <f t="shared" si="203"/>
        <v>-5.9352183164859277E-3</v>
      </c>
      <c r="O266" s="236">
        <f>IF(O117&gt;0,O191/O117,0)</f>
        <v>-4.6177832172532435E-3</v>
      </c>
      <c r="P266" s="236">
        <f>IF(P117&gt;0,P191/P117,0)</f>
        <v>-3.8769149179959661E-3</v>
      </c>
      <c r="Q266" s="236">
        <f t="shared" si="203"/>
        <v>0</v>
      </c>
      <c r="R266" s="236">
        <f t="shared" si="203"/>
        <v>-1.0067972096318599E-3</v>
      </c>
      <c r="S266" s="236">
        <f t="shared" si="203"/>
        <v>-3.7717730915419584E-3</v>
      </c>
      <c r="T266" s="236">
        <f>IF(T117&gt;0,T191/T117,0)</f>
        <v>-4.2358434393145097E-3</v>
      </c>
    </row>
    <row r="267" spans="1:20" x14ac:dyDescent="0.15">
      <c r="B267" s="208"/>
      <c r="C267" s="208"/>
      <c r="D267" s="207"/>
      <c r="E267" s="207"/>
      <c r="F267" s="230"/>
      <c r="G267" s="230"/>
      <c r="H267" s="230"/>
      <c r="I267" s="230"/>
      <c r="J267" s="230"/>
      <c r="K267" s="230"/>
      <c r="L267" s="230"/>
      <c r="M267" s="230"/>
      <c r="N267" s="230"/>
      <c r="O267" s="230"/>
      <c r="P267" s="230"/>
    </row>
    <row r="268" spans="1:20" x14ac:dyDescent="0.15">
      <c r="B268" s="208" t="s">
        <v>157</v>
      </c>
      <c r="C268" s="208"/>
      <c r="D268" s="207"/>
      <c r="E268" s="207"/>
      <c r="F268" s="230"/>
      <c r="G268" s="230"/>
      <c r="H268" s="230"/>
      <c r="I268" s="230"/>
      <c r="J268" s="230"/>
      <c r="K268" s="230"/>
      <c r="L268" s="230"/>
      <c r="M268" s="230"/>
      <c r="N268" s="230"/>
      <c r="O268" s="230"/>
      <c r="P268" s="230"/>
    </row>
    <row r="269" spans="1:20" x14ac:dyDescent="0.15">
      <c r="A269" s="203">
        <f>A266+1</f>
        <v>31</v>
      </c>
      <c r="B269" s="203" t="s">
        <v>141</v>
      </c>
      <c r="D269" s="219">
        <f>D120-D194</f>
        <v>4490060320</v>
      </c>
      <c r="E269" s="219">
        <f>E120-E194</f>
        <v>4403575277</v>
      </c>
      <c r="F269" s="229">
        <f>F120-F194</f>
        <v>4384973.8</v>
      </c>
      <c r="G269" s="229">
        <f>G120-G194</f>
        <v>4558383.7</v>
      </c>
      <c r="H269" s="236">
        <f t="shared" ref="H269:S269" si="204">IF(H120&gt;0,H194/H120,0)</f>
        <v>0</v>
      </c>
      <c r="I269" s="236">
        <f t="shared" si="204"/>
        <v>0</v>
      </c>
      <c r="J269" s="236">
        <f t="shared" si="204"/>
        <v>0</v>
      </c>
      <c r="K269" s="236">
        <f t="shared" si="204"/>
        <v>-7.2824309166578016E-4</v>
      </c>
      <c r="L269" s="236">
        <f t="shared" si="204"/>
        <v>-1.4139780514692969E-3</v>
      </c>
      <c r="M269" s="236">
        <f t="shared" si="204"/>
        <v>-1.59628473608437E-3</v>
      </c>
      <c r="N269" s="236">
        <f t="shared" si="204"/>
        <v>-1.8098520371139285E-3</v>
      </c>
      <c r="O269" s="236">
        <f t="shared" ref="O269:P272" si="205">IF(O120&gt;0,O194/O120,0)</f>
        <v>-1.849267878650833E-3</v>
      </c>
      <c r="P269" s="236">
        <f t="shared" si="205"/>
        <v>-2.7856706548307427E-3</v>
      </c>
      <c r="Q269" s="236">
        <f t="shared" si="204"/>
        <v>0</v>
      </c>
      <c r="R269" s="236">
        <f t="shared" si="204"/>
        <v>-1.0713890070920891E-3</v>
      </c>
      <c r="S269" s="236">
        <f t="shared" si="204"/>
        <v>-1.7035147138873912E-3</v>
      </c>
      <c r="T269" s="236">
        <f>IF(T120&gt;0,T194/T120,0)</f>
        <v>-2.3200619346636195E-3</v>
      </c>
    </row>
    <row r="270" spans="1:20" x14ac:dyDescent="0.15">
      <c r="A270" s="203">
        <f>A269+1</f>
        <v>32</v>
      </c>
      <c r="B270" s="208" t="s">
        <v>299</v>
      </c>
      <c r="D270" s="219"/>
      <c r="E270" s="219"/>
      <c r="F270" s="229">
        <f>F84</f>
        <v>0</v>
      </c>
      <c r="G270" s="229">
        <f>G84-G195</f>
        <v>0</v>
      </c>
      <c r="H270" s="236">
        <f t="shared" ref="H270:S270" si="206">IF(H121&gt;0,H195/H121,0)</f>
        <v>0</v>
      </c>
      <c r="I270" s="236">
        <f t="shared" si="206"/>
        <v>0</v>
      </c>
      <c r="J270" s="236">
        <f t="shared" si="206"/>
        <v>0</v>
      </c>
      <c r="K270" s="236">
        <f t="shared" si="206"/>
        <v>0</v>
      </c>
      <c r="L270" s="236">
        <f t="shared" si="206"/>
        <v>0</v>
      </c>
      <c r="M270" s="236">
        <f t="shared" si="206"/>
        <v>0</v>
      </c>
      <c r="N270" s="236">
        <f t="shared" si="206"/>
        <v>0</v>
      </c>
      <c r="O270" s="236">
        <f t="shared" si="205"/>
        <v>0</v>
      </c>
      <c r="P270" s="236">
        <f t="shared" si="205"/>
        <v>0</v>
      </c>
      <c r="Q270" s="236">
        <f t="shared" si="206"/>
        <v>0</v>
      </c>
      <c r="R270" s="236">
        <f t="shared" si="206"/>
        <v>0</v>
      </c>
      <c r="S270" s="236">
        <f t="shared" si="206"/>
        <v>0</v>
      </c>
      <c r="T270" s="236">
        <f>IF(T121&gt;0,T195/T121,0)</f>
        <v>0</v>
      </c>
    </row>
    <row r="271" spans="1:20" x14ac:dyDescent="0.15">
      <c r="A271" s="203">
        <f>A270+1</f>
        <v>33</v>
      </c>
      <c r="B271" s="208" t="s">
        <v>167</v>
      </c>
      <c r="C271" s="208"/>
      <c r="D271" s="219">
        <f t="shared" ref="D271:G272" si="207">D122-D196</f>
        <v>0</v>
      </c>
      <c r="E271" s="219">
        <f t="shared" si="207"/>
        <v>0</v>
      </c>
      <c r="F271" s="229">
        <f t="shared" si="207"/>
        <v>0</v>
      </c>
      <c r="G271" s="229">
        <f t="shared" si="207"/>
        <v>3812.2</v>
      </c>
      <c r="H271" s="236">
        <f t="shared" ref="H271:S271" si="208">IF(H122&gt;0,H196/H122,0)</f>
        <v>0</v>
      </c>
      <c r="I271" s="236">
        <f t="shared" si="208"/>
        <v>0</v>
      </c>
      <c r="J271" s="236">
        <f t="shared" si="208"/>
        <v>0</v>
      </c>
      <c r="K271" s="236">
        <f t="shared" si="208"/>
        <v>-7.8243133945209034E-4</v>
      </c>
      <c r="L271" s="236">
        <f t="shared" si="208"/>
        <v>-1.4131112144855789E-3</v>
      </c>
      <c r="M271" s="236">
        <f t="shared" si="208"/>
        <v>-1.5998880952588473E-3</v>
      </c>
      <c r="N271" s="236">
        <f t="shared" si="208"/>
        <v>-1.8119868565929132E-3</v>
      </c>
      <c r="O271" s="236">
        <f t="shared" si="205"/>
        <v>-1.8448126442600586E-3</v>
      </c>
      <c r="P271" s="236">
        <f t="shared" si="205"/>
        <v>-2.7834115460664021E-3</v>
      </c>
      <c r="Q271" s="236">
        <f t="shared" si="208"/>
        <v>0</v>
      </c>
      <c r="R271" s="236">
        <f t="shared" si="208"/>
        <v>-1.098027503392905E-3</v>
      </c>
      <c r="S271" s="236">
        <f t="shared" si="208"/>
        <v>-1.7063806447679885E-3</v>
      </c>
      <c r="T271" s="236">
        <f>IF(T122&gt;0,T196/T122,0)</f>
        <v>-2.3167110382962533E-3</v>
      </c>
    </row>
    <row r="272" spans="1:20" x14ac:dyDescent="0.15">
      <c r="A272" s="203">
        <f>A271+1</f>
        <v>34</v>
      </c>
      <c r="B272" s="203" t="s">
        <v>142</v>
      </c>
      <c r="D272" s="219">
        <f t="shared" si="207"/>
        <v>0</v>
      </c>
      <c r="E272" s="219">
        <f t="shared" si="207"/>
        <v>50351550</v>
      </c>
      <c r="F272" s="229">
        <f t="shared" si="207"/>
        <v>52327.4</v>
      </c>
      <c r="G272" s="229">
        <f t="shared" si="207"/>
        <v>52766.2</v>
      </c>
      <c r="H272" s="236">
        <f t="shared" ref="H272:S272" si="209">IF(H123&gt;0,H197/H123,0)</f>
        <v>0</v>
      </c>
      <c r="I272" s="236">
        <f t="shared" si="209"/>
        <v>0</v>
      </c>
      <c r="J272" s="236">
        <f t="shared" si="209"/>
        <v>0</v>
      </c>
      <c r="K272" s="236">
        <f t="shared" si="209"/>
        <v>-2.9279592309473948E-3</v>
      </c>
      <c r="L272" s="236">
        <f t="shared" si="209"/>
        <v>-2.2144762900805459E-3</v>
      </c>
      <c r="M272" s="236">
        <f t="shared" si="209"/>
        <v>-1.852287059995072E-3</v>
      </c>
      <c r="N272" s="236">
        <f t="shared" si="209"/>
        <v>-1.7611317436778662E-3</v>
      </c>
      <c r="O272" s="236">
        <f t="shared" si="205"/>
        <v>-1.656845564618218E-3</v>
      </c>
      <c r="P272" s="236">
        <f t="shared" si="205"/>
        <v>-2.5633946770204602E-3</v>
      </c>
      <c r="Q272" s="236">
        <f t="shared" si="209"/>
        <v>0</v>
      </c>
      <c r="R272" s="236">
        <f t="shared" si="209"/>
        <v>-2.5593123816532175E-3</v>
      </c>
      <c r="S272" s="236">
        <f t="shared" si="209"/>
        <v>-1.8053892963504951E-3</v>
      </c>
      <c r="T272" s="236">
        <f>IF(T123&gt;0,T197/T123,0)</f>
        <v>-2.1225579569367726E-3</v>
      </c>
    </row>
    <row r="273" spans="1:20" x14ac:dyDescent="0.15">
      <c r="B273" s="208" t="s">
        <v>171</v>
      </c>
      <c r="D273" s="219"/>
      <c r="E273" s="219"/>
      <c r="F273" s="229"/>
      <c r="G273" s="229"/>
      <c r="H273" s="229"/>
      <c r="I273" s="229"/>
      <c r="J273" s="229"/>
      <c r="K273" s="229"/>
      <c r="L273" s="229"/>
      <c r="M273" s="229"/>
      <c r="N273" s="229"/>
      <c r="O273" s="229"/>
      <c r="P273" s="229"/>
    </row>
    <row r="274" spans="1:20" x14ac:dyDescent="0.15">
      <c r="A274" s="203">
        <f>A272+1</f>
        <v>35</v>
      </c>
      <c r="C274" s="203" t="s">
        <v>143</v>
      </c>
      <c r="D274" s="219">
        <f t="shared" ref="D274:G280" si="210">D125-D199</f>
        <v>262694686</v>
      </c>
      <c r="E274" s="219">
        <f t="shared" si="210"/>
        <v>249146954</v>
      </c>
      <c r="F274" s="229">
        <f t="shared" si="210"/>
        <v>265074.5</v>
      </c>
      <c r="G274" s="229">
        <f t="shared" si="210"/>
        <v>292547.5</v>
      </c>
      <c r="H274" s="236">
        <f t="shared" ref="H274:S274" si="211">IF(H125&gt;0,H199/H125,0)</f>
        <v>0</v>
      </c>
      <c r="I274" s="236">
        <f t="shared" si="211"/>
        <v>0</v>
      </c>
      <c r="J274" s="236">
        <f t="shared" si="211"/>
        <v>0</v>
      </c>
      <c r="K274" s="236">
        <f t="shared" si="211"/>
        <v>-4.0977694567183788E-5</v>
      </c>
      <c r="L274" s="236">
        <f t="shared" si="211"/>
        <v>6.5176821094976425E-6</v>
      </c>
      <c r="M274" s="236">
        <f t="shared" si="211"/>
        <v>-1.08521475148191E-2</v>
      </c>
      <c r="N274" s="236">
        <f t="shared" si="211"/>
        <v>-9.7478243592985722E-3</v>
      </c>
      <c r="O274" s="236">
        <f t="shared" ref="O274:P280" si="212">IF(O125&gt;0,O199/O125,0)</f>
        <v>-1.0015208635896609E-2</v>
      </c>
      <c r="P274" s="236">
        <f t="shared" si="212"/>
        <v>-1.0161422667085416E-2</v>
      </c>
      <c r="Q274" s="236">
        <f t="shared" si="211"/>
        <v>0</v>
      </c>
      <c r="R274" s="236">
        <f t="shared" si="211"/>
        <v>-1.5604249411220889E-5</v>
      </c>
      <c r="S274" s="236">
        <f t="shared" si="211"/>
        <v>-1.0288072742765417E-2</v>
      </c>
      <c r="T274" s="236">
        <f t="shared" ref="T274:T280" si="213">IF(T125&gt;0,T199/T125,0)</f>
        <v>-1.0089976026003767E-2</v>
      </c>
    </row>
    <row r="275" spans="1:20" x14ac:dyDescent="0.15">
      <c r="A275" s="203">
        <f t="shared" ref="A275:A287" si="214">A274+1</f>
        <v>36</v>
      </c>
      <c r="C275" s="203" t="s">
        <v>144</v>
      </c>
      <c r="D275" s="219">
        <f t="shared" si="210"/>
        <v>36857227</v>
      </c>
      <c r="E275" s="219">
        <f t="shared" si="210"/>
        <v>28818713</v>
      </c>
      <c r="F275" s="229">
        <f t="shared" si="210"/>
        <v>29477.7</v>
      </c>
      <c r="G275" s="229">
        <f t="shared" si="210"/>
        <v>30912.7</v>
      </c>
      <c r="H275" s="236">
        <f t="shared" ref="H275:S275" si="215">IF(H126&gt;0,H200/H126,0)</f>
        <v>0</v>
      </c>
      <c r="I275" s="236">
        <f t="shared" si="215"/>
        <v>0</v>
      </c>
      <c r="J275" s="236">
        <f t="shared" si="215"/>
        <v>0</v>
      </c>
      <c r="K275" s="236">
        <f t="shared" si="215"/>
        <v>-1.4145427569123989E-4</v>
      </c>
      <c r="L275" s="236">
        <f t="shared" si="215"/>
        <v>-1.7240401162387788E-3</v>
      </c>
      <c r="M275" s="236">
        <f t="shared" si="215"/>
        <v>-1.6906144139832101E-3</v>
      </c>
      <c r="N275" s="236">
        <f t="shared" si="215"/>
        <v>-1.738585637089827E-3</v>
      </c>
      <c r="O275" s="236">
        <f t="shared" si="212"/>
        <v>-1.7527042831129269E-3</v>
      </c>
      <c r="P275" s="236">
        <f t="shared" si="212"/>
        <v>-3.5342627135283946E-3</v>
      </c>
      <c r="Q275" s="236">
        <f t="shared" si="215"/>
        <v>0</v>
      </c>
      <c r="R275" s="236">
        <f t="shared" si="215"/>
        <v>-9.3169363646946484E-4</v>
      </c>
      <c r="S275" s="236">
        <f t="shared" si="215"/>
        <v>-1.7146598708351916E-3</v>
      </c>
      <c r="T275" s="236">
        <f t="shared" si="213"/>
        <v>-2.6484202797732006E-3</v>
      </c>
    </row>
    <row r="276" spans="1:20" x14ac:dyDescent="0.15">
      <c r="A276" s="203">
        <f t="shared" si="214"/>
        <v>37</v>
      </c>
      <c r="B276" s="208"/>
      <c r="C276" s="208" t="s">
        <v>170</v>
      </c>
      <c r="D276" s="219">
        <f t="shared" si="210"/>
        <v>9779108</v>
      </c>
      <c r="E276" s="219">
        <f t="shared" si="210"/>
        <v>7276758</v>
      </c>
      <c r="F276" s="229">
        <f t="shared" si="210"/>
        <v>7434.3</v>
      </c>
      <c r="G276" s="229">
        <f t="shared" si="210"/>
        <v>7883.2</v>
      </c>
      <c r="H276" s="236">
        <f t="shared" ref="H276:S276" si="216">IF(H127&gt;0,H201/H127,0)</f>
        <v>0</v>
      </c>
      <c r="I276" s="236">
        <f t="shared" si="216"/>
        <v>0</v>
      </c>
      <c r="J276" s="236">
        <f t="shared" si="216"/>
        <v>0</v>
      </c>
      <c r="K276" s="236">
        <f t="shared" si="216"/>
        <v>2.0589588934899456E-4</v>
      </c>
      <c r="L276" s="236">
        <f t="shared" si="216"/>
        <v>-1.3097576948264572E-3</v>
      </c>
      <c r="M276" s="236">
        <f t="shared" si="216"/>
        <v>-1.686260539128456E-3</v>
      </c>
      <c r="N276" s="236">
        <f t="shared" si="216"/>
        <v>-2.3356533374021002E-3</v>
      </c>
      <c r="O276" s="236">
        <f t="shared" si="212"/>
        <v>-3.0213586817579661E-3</v>
      </c>
      <c r="P276" s="236">
        <f t="shared" si="212"/>
        <v>-5.4945686533707993E-3</v>
      </c>
      <c r="Q276" s="236">
        <f t="shared" si="216"/>
        <v>0</v>
      </c>
      <c r="R276" s="236">
        <f t="shared" si="216"/>
        <v>-5.5838752093948841E-4</v>
      </c>
      <c r="S276" s="236">
        <f t="shared" si="216"/>
        <v>-2.0128563080318604E-3</v>
      </c>
      <c r="T276" s="236">
        <f t="shared" si="213"/>
        <v>-4.2646880363366967E-3</v>
      </c>
    </row>
    <row r="277" spans="1:20" x14ac:dyDescent="0.15">
      <c r="A277" s="203">
        <f t="shared" si="214"/>
        <v>38</v>
      </c>
      <c r="B277" s="203" t="s">
        <v>145</v>
      </c>
      <c r="D277" s="219">
        <f t="shared" si="210"/>
        <v>16471551</v>
      </c>
      <c r="E277" s="219">
        <f t="shared" si="210"/>
        <v>16909578</v>
      </c>
      <c r="F277" s="229">
        <f t="shared" si="210"/>
        <v>17548.599999999999</v>
      </c>
      <c r="G277" s="229">
        <f t="shared" si="210"/>
        <v>18853.099999999999</v>
      </c>
      <c r="H277" s="236">
        <f t="shared" ref="H277:S277" si="217">IF(H128&gt;0,H202/H128,0)</f>
        <v>0</v>
      </c>
      <c r="I277" s="236">
        <f t="shared" si="217"/>
        <v>0</v>
      </c>
      <c r="J277" s="236">
        <f t="shared" si="217"/>
        <v>0</v>
      </c>
      <c r="K277" s="236">
        <f t="shared" si="217"/>
        <v>3.4235144087131542E-5</v>
      </c>
      <c r="L277" s="236">
        <f t="shared" si="217"/>
        <v>2.5969817017266923E-3</v>
      </c>
      <c r="M277" s="236">
        <f t="shared" si="217"/>
        <v>3.5240172137876138E-4</v>
      </c>
      <c r="N277" s="236">
        <f t="shared" si="217"/>
        <v>7.3876462138283298E-5</v>
      </c>
      <c r="O277" s="236">
        <f t="shared" si="212"/>
        <v>-3.2769508983295642E-3</v>
      </c>
      <c r="P277" s="236">
        <f t="shared" si="212"/>
        <v>-3.9781460803912623E-3</v>
      </c>
      <c r="Q277" s="236">
        <f t="shared" si="217"/>
        <v>0</v>
      </c>
      <c r="R277" s="236">
        <f t="shared" si="217"/>
        <v>1.3178663807374576E-3</v>
      </c>
      <c r="S277" s="236">
        <f t="shared" si="217"/>
        <v>2.124359598393512E-4</v>
      </c>
      <c r="T277" s="236">
        <f t="shared" si="213"/>
        <v>-3.6303213105281069E-3</v>
      </c>
    </row>
    <row r="278" spans="1:20" x14ac:dyDescent="0.15">
      <c r="A278" s="203">
        <f t="shared" si="214"/>
        <v>39</v>
      </c>
      <c r="B278" s="203" t="s">
        <v>146</v>
      </c>
      <c r="D278" s="219">
        <f t="shared" si="210"/>
        <v>56478364</v>
      </c>
      <c r="E278" s="219">
        <f t="shared" si="210"/>
        <v>55913098</v>
      </c>
      <c r="F278" s="229">
        <f t="shared" si="210"/>
        <v>55511.199999999997</v>
      </c>
      <c r="G278" s="229">
        <f t="shared" si="210"/>
        <v>57332.800000000003</v>
      </c>
      <c r="H278" s="236">
        <f t="shared" ref="H278:S278" si="218">IF(H129&gt;0,H203/H129,0)</f>
        <v>0</v>
      </c>
      <c r="I278" s="236">
        <f t="shared" si="218"/>
        <v>0</v>
      </c>
      <c r="J278" s="236">
        <f t="shared" si="218"/>
        <v>0</v>
      </c>
      <c r="K278" s="236">
        <f t="shared" si="218"/>
        <v>-8.9335361607836134E-4</v>
      </c>
      <c r="L278" s="236">
        <f t="shared" si="218"/>
        <v>1.0097727430999103E-3</v>
      </c>
      <c r="M278" s="236">
        <f t="shared" si="218"/>
        <v>2.1573555511568898E-3</v>
      </c>
      <c r="N278" s="236">
        <f t="shared" si="218"/>
        <v>2.1593222433570467E-3</v>
      </c>
      <c r="O278" s="236">
        <f t="shared" si="212"/>
        <v>9.6519950426435408E-2</v>
      </c>
      <c r="P278" s="236">
        <f t="shared" si="212"/>
        <v>9.7485762830921086E-2</v>
      </c>
      <c r="Q278" s="236">
        <f t="shared" si="218"/>
        <v>0</v>
      </c>
      <c r="R278" s="236">
        <f t="shared" si="218"/>
        <v>6.1565442817839767E-5</v>
      </c>
      <c r="S278" s="236">
        <f t="shared" si="218"/>
        <v>2.1583369305614294E-3</v>
      </c>
      <c r="T278" s="236">
        <f t="shared" si="213"/>
        <v>9.7002134447224178E-2</v>
      </c>
    </row>
    <row r="279" spans="1:20" x14ac:dyDescent="0.15">
      <c r="A279" s="203">
        <f t="shared" si="214"/>
        <v>40</v>
      </c>
      <c r="B279" s="203" t="s">
        <v>148</v>
      </c>
      <c r="D279" s="219">
        <f t="shared" si="210"/>
        <v>25114308</v>
      </c>
      <c r="E279" s="219">
        <f t="shared" si="210"/>
        <v>18869558</v>
      </c>
      <c r="F279" s="229">
        <f t="shared" si="210"/>
        <v>12876.8</v>
      </c>
      <c r="G279" s="229">
        <f t="shared" si="210"/>
        <v>8213.5</v>
      </c>
      <c r="H279" s="236">
        <f t="shared" ref="H279:S279" si="219">IF(H130&gt;0,H204/H130,0)</f>
        <v>0</v>
      </c>
      <c r="I279" s="236">
        <f t="shared" si="219"/>
        <v>0</v>
      </c>
      <c r="J279" s="236">
        <f t="shared" si="219"/>
        <v>0</v>
      </c>
      <c r="K279" s="236">
        <f t="shared" si="219"/>
        <v>-2.9581422866446603E-4</v>
      </c>
      <c r="L279" s="236">
        <f t="shared" si="219"/>
        <v>2.1482277121375173E-3</v>
      </c>
      <c r="M279" s="236">
        <f t="shared" si="219"/>
        <v>6.7658998646820028E-3</v>
      </c>
      <c r="N279" s="236">
        <f t="shared" si="219"/>
        <v>9.5298602287166457E-3</v>
      </c>
      <c r="O279" s="236">
        <f t="shared" si="212"/>
        <v>1.2578616352201324E-2</v>
      </c>
      <c r="P279" s="236">
        <f t="shared" si="212"/>
        <v>1.3618677042801612E-2</v>
      </c>
      <c r="Q279" s="236">
        <f t="shared" si="219"/>
        <v>0</v>
      </c>
      <c r="R279" s="236">
        <f t="shared" si="219"/>
        <v>5.7224606580821087E-4</v>
      </c>
      <c r="S279" s="236">
        <f t="shared" si="219"/>
        <v>7.9134792930625163E-3</v>
      </c>
      <c r="T279" s="236">
        <f t="shared" si="213"/>
        <v>1.3043478260869565E-2</v>
      </c>
    </row>
    <row r="280" spans="1:20" x14ac:dyDescent="0.15">
      <c r="A280" s="203">
        <f t="shared" si="214"/>
        <v>41</v>
      </c>
      <c r="B280" s="208" t="s">
        <v>244</v>
      </c>
      <c r="D280" s="219">
        <f t="shared" si="210"/>
        <v>0</v>
      </c>
      <c r="E280" s="219">
        <f t="shared" si="210"/>
        <v>0</v>
      </c>
      <c r="F280" s="229">
        <f t="shared" si="210"/>
        <v>0</v>
      </c>
      <c r="G280" s="229">
        <f t="shared" si="210"/>
        <v>-344.9</v>
      </c>
      <c r="H280" s="236">
        <f t="shared" ref="H280:S280" si="220">IF(H131&gt;0,H205/H131,0)</f>
        <v>0</v>
      </c>
      <c r="I280" s="236">
        <f t="shared" si="220"/>
        <v>0</v>
      </c>
      <c r="J280" s="236">
        <f t="shared" si="220"/>
        <v>0</v>
      </c>
      <c r="K280" s="236">
        <f t="shared" si="220"/>
        <v>0</v>
      </c>
      <c r="L280" s="236">
        <f t="shared" si="220"/>
        <v>0</v>
      </c>
      <c r="M280" s="236">
        <f t="shared" si="220"/>
        <v>0</v>
      </c>
      <c r="N280" s="236">
        <f t="shared" si="220"/>
        <v>0</v>
      </c>
      <c r="O280" s="236">
        <f t="shared" si="212"/>
        <v>0</v>
      </c>
      <c r="P280" s="236">
        <f t="shared" si="212"/>
        <v>0</v>
      </c>
      <c r="Q280" s="236">
        <f t="shared" si="220"/>
        <v>0</v>
      </c>
      <c r="R280" s="236">
        <f t="shared" si="220"/>
        <v>0</v>
      </c>
      <c r="S280" s="236">
        <f t="shared" si="220"/>
        <v>0</v>
      </c>
      <c r="T280" s="236">
        <f t="shared" si="213"/>
        <v>0</v>
      </c>
    </row>
    <row r="281" spans="1:20" x14ac:dyDescent="0.15">
      <c r="A281" s="203">
        <f t="shared" si="214"/>
        <v>42</v>
      </c>
      <c r="B281" s="208" t="s">
        <v>360</v>
      </c>
      <c r="D281" s="219"/>
      <c r="E281" s="219"/>
      <c r="F281" s="229"/>
      <c r="G281" s="229"/>
      <c r="H281" s="236"/>
      <c r="I281" s="236"/>
      <c r="J281" s="236"/>
      <c r="K281" s="236"/>
      <c r="L281" s="236"/>
      <c r="M281" s="236"/>
      <c r="N281" s="236"/>
      <c r="O281" s="236"/>
      <c r="P281" s="236"/>
      <c r="Q281" s="236"/>
      <c r="R281" s="236"/>
      <c r="S281" s="236"/>
      <c r="T281" s="236"/>
    </row>
    <row r="282" spans="1:20" x14ac:dyDescent="0.15">
      <c r="A282" s="203">
        <f t="shared" si="214"/>
        <v>43</v>
      </c>
      <c r="B282" s="203" t="s">
        <v>147</v>
      </c>
      <c r="D282" s="219">
        <f t="shared" ref="D282:G287" si="221">D133-D207</f>
        <v>198438434</v>
      </c>
      <c r="E282" s="219">
        <f t="shared" si="221"/>
        <v>194217096</v>
      </c>
      <c r="F282" s="229">
        <f t="shared" si="221"/>
        <v>153689.79999999999</v>
      </c>
      <c r="G282" s="229">
        <f t="shared" si="221"/>
        <v>149750.20000000001</v>
      </c>
      <c r="H282" s="236">
        <f t="shared" ref="H282:S282" si="222">IF(H133&gt;0,H207/H133,0)</f>
        <v>0</v>
      </c>
      <c r="I282" s="236">
        <f t="shared" si="222"/>
        <v>0</v>
      </c>
      <c r="J282" s="236">
        <f t="shared" si="222"/>
        <v>0</v>
      </c>
      <c r="K282" s="236">
        <f t="shared" si="222"/>
        <v>-7.2665927658952521E-4</v>
      </c>
      <c r="L282" s="236">
        <f t="shared" si="222"/>
        <v>-4.2327184153838392E-3</v>
      </c>
      <c r="M282" s="236">
        <f t="shared" si="222"/>
        <v>-4.6205502078190798E-3</v>
      </c>
      <c r="N282" s="236">
        <f t="shared" si="222"/>
        <v>4.0218253101179179E-2</v>
      </c>
      <c r="O282" s="236">
        <f t="shared" ref="O282:P287" si="223">IF(O133&gt;0,O207/O133,0)</f>
        <v>4.323746433287512E-2</v>
      </c>
      <c r="P282" s="236">
        <f t="shared" si="223"/>
        <v>4.1109760306299967E-2</v>
      </c>
      <c r="Q282" s="236">
        <f t="shared" si="222"/>
        <v>0</v>
      </c>
      <c r="R282" s="236">
        <f t="shared" si="222"/>
        <v>-2.4809567879262476E-3</v>
      </c>
      <c r="S282" s="236">
        <f t="shared" si="222"/>
        <v>1.8442712440883278E-2</v>
      </c>
      <c r="T282" s="236">
        <f t="shared" ref="T282:T287" si="224">IF(T133&gt;0,T207/T133,0)</f>
        <v>4.2165737423416928E-2</v>
      </c>
    </row>
    <row r="283" spans="1:20" x14ac:dyDescent="0.15">
      <c r="A283" s="203">
        <f t="shared" si="214"/>
        <v>44</v>
      </c>
      <c r="B283" s="203" t="s">
        <v>149</v>
      </c>
      <c r="D283" s="219">
        <f t="shared" si="221"/>
        <v>34642490</v>
      </c>
      <c r="E283" s="219">
        <f t="shared" si="221"/>
        <v>32112369</v>
      </c>
      <c r="F283" s="229">
        <f t="shared" si="221"/>
        <v>19350.899999999998</v>
      </c>
      <c r="G283" s="229">
        <f t="shared" si="221"/>
        <v>25916.100000000002</v>
      </c>
      <c r="H283" s="236">
        <f t="shared" ref="H283:S283" si="225">IF(H134&gt;0,H208/H134,0)</f>
        <v>0</v>
      </c>
      <c r="I283" s="236">
        <f t="shared" si="225"/>
        <v>0</v>
      </c>
      <c r="J283" s="236">
        <f t="shared" si="225"/>
        <v>0</v>
      </c>
      <c r="K283" s="236">
        <f t="shared" si="225"/>
        <v>-4.6031157713489449E-4</v>
      </c>
      <c r="L283" s="236">
        <f t="shared" si="225"/>
        <v>-5.9906233721126736E-3</v>
      </c>
      <c r="M283" s="236">
        <f t="shared" si="225"/>
        <v>-1.1563519704677044E-2</v>
      </c>
      <c r="N283" s="236">
        <f t="shared" si="225"/>
        <v>-9.5217691447070868E-4</v>
      </c>
      <c r="O283" s="236">
        <f t="shared" si="223"/>
        <v>6.1251940923704399E-3</v>
      </c>
      <c r="P283" s="236">
        <f t="shared" si="223"/>
        <v>1.0101493264221158E-2</v>
      </c>
      <c r="Q283" s="236">
        <f t="shared" si="225"/>
        <v>0</v>
      </c>
      <c r="R283" s="236">
        <f t="shared" si="225"/>
        <v>-3.1747481204148285E-3</v>
      </c>
      <c r="S283" s="236">
        <f t="shared" si="225"/>
        <v>-5.8788572827692094E-3</v>
      </c>
      <c r="T283" s="236">
        <f t="shared" si="224"/>
        <v>8.1504285619366131E-3</v>
      </c>
    </row>
    <row r="284" spans="1:20" x14ac:dyDescent="0.15">
      <c r="A284" s="203">
        <f t="shared" si="214"/>
        <v>45</v>
      </c>
      <c r="B284" s="208" t="s">
        <v>173</v>
      </c>
      <c r="D284" s="219">
        <f t="shared" si="221"/>
        <v>0</v>
      </c>
      <c r="E284" s="219">
        <f t="shared" si="221"/>
        <v>31986524</v>
      </c>
      <c r="F284" s="229">
        <f t="shared" si="221"/>
        <v>12786</v>
      </c>
      <c r="G284" s="229">
        <f t="shared" si="221"/>
        <v>10650.2</v>
      </c>
      <c r="H284" s="236">
        <f t="shared" ref="H284:S284" si="226">IF(H135&gt;0,H209/H135,0)</f>
        <v>0</v>
      </c>
      <c r="I284" s="236">
        <f t="shared" si="226"/>
        <v>0</v>
      </c>
      <c r="J284" s="236">
        <f t="shared" si="226"/>
        <v>0</v>
      </c>
      <c r="K284" s="236">
        <f t="shared" si="226"/>
        <v>1.5761368180857538E-3</v>
      </c>
      <c r="L284" s="236">
        <f t="shared" si="226"/>
        <v>-9.8740805385858482E-3</v>
      </c>
      <c r="M284" s="236">
        <f t="shared" si="226"/>
        <v>-1.0156386510570589E-2</v>
      </c>
      <c r="N284" s="236">
        <f t="shared" si="226"/>
        <v>4.9885716358880295E-3</v>
      </c>
      <c r="O284" s="236">
        <f t="shared" si="223"/>
        <v>-1.5593484635334032E-3</v>
      </c>
      <c r="P284" s="236">
        <f t="shared" si="223"/>
        <v>-1.0381300600678789E-2</v>
      </c>
      <c r="Q284" s="236">
        <f t="shared" si="226"/>
        <v>0</v>
      </c>
      <c r="R284" s="236">
        <f t="shared" si="226"/>
        <v>-3.9823758684966017E-3</v>
      </c>
      <c r="S284" s="236">
        <f t="shared" si="226"/>
        <v>-1.8828659201268457E-3</v>
      </c>
      <c r="T284" s="236">
        <f t="shared" si="224"/>
        <v>-6.0533996324721034E-3</v>
      </c>
    </row>
    <row r="285" spans="1:20" x14ac:dyDescent="0.15">
      <c r="A285" s="203">
        <f t="shared" si="214"/>
        <v>46</v>
      </c>
      <c r="B285" s="208" t="s">
        <v>168</v>
      </c>
      <c r="C285" s="208"/>
      <c r="D285" s="219">
        <f t="shared" si="221"/>
        <v>0</v>
      </c>
      <c r="E285" s="219">
        <f t="shared" si="221"/>
        <v>0</v>
      </c>
      <c r="F285" s="229">
        <f t="shared" si="221"/>
        <v>0</v>
      </c>
      <c r="G285" s="229">
        <f t="shared" si="221"/>
        <v>16348.9</v>
      </c>
      <c r="H285" s="236">
        <f t="shared" ref="H285:S285" si="227">IF(H136&gt;0,H210/H136,0)</f>
        <v>0</v>
      </c>
      <c r="I285" s="236">
        <f t="shared" si="227"/>
        <v>0</v>
      </c>
      <c r="J285" s="236">
        <f t="shared" si="227"/>
        <v>0</v>
      </c>
      <c r="K285" s="236">
        <f t="shared" si="227"/>
        <v>-1.2052578166820315E-5</v>
      </c>
      <c r="L285" s="236">
        <f t="shared" si="227"/>
        <v>-2.6157740283570725E-2</v>
      </c>
      <c r="M285" s="236">
        <f t="shared" si="227"/>
        <v>3.0733863401530806E-3</v>
      </c>
      <c r="N285" s="236">
        <f t="shared" si="227"/>
        <v>8.5338121890025428E-3</v>
      </c>
      <c r="O285" s="236">
        <f t="shared" si="223"/>
        <v>1.2355441660691963E-2</v>
      </c>
      <c r="P285" s="236">
        <f t="shared" si="223"/>
        <v>1.3424886093820235E-2</v>
      </c>
      <c r="Q285" s="236">
        <f t="shared" si="227"/>
        <v>0</v>
      </c>
      <c r="R285" s="236">
        <f t="shared" si="227"/>
        <v>-1.3774434922787649E-2</v>
      </c>
      <c r="S285" s="236">
        <f t="shared" si="227"/>
        <v>5.8687180403585483E-3</v>
      </c>
      <c r="T285" s="236">
        <f t="shared" si="224"/>
        <v>1.2896145432246724E-2</v>
      </c>
    </row>
    <row r="286" spans="1:20" x14ac:dyDescent="0.15">
      <c r="A286" s="203">
        <f t="shared" si="214"/>
        <v>47</v>
      </c>
      <c r="B286" s="208" t="s">
        <v>163</v>
      </c>
      <c r="C286" s="208"/>
      <c r="D286" s="219">
        <f t="shared" si="221"/>
        <v>58417206</v>
      </c>
      <c r="E286" s="219">
        <f t="shared" si="221"/>
        <v>67208298</v>
      </c>
      <c r="F286" s="229">
        <f t="shared" si="221"/>
        <v>116067.69999999998</v>
      </c>
      <c r="G286" s="229">
        <f t="shared" si="221"/>
        <v>114773.99999999997</v>
      </c>
      <c r="H286" s="236">
        <f t="shared" ref="H286:S286" si="228">IF(H137&gt;0,H211/H137,0)</f>
        <v>0</v>
      </c>
      <c r="I286" s="236">
        <f t="shared" si="228"/>
        <v>0</v>
      </c>
      <c r="J286" s="236">
        <f t="shared" si="228"/>
        <v>0</v>
      </c>
      <c r="K286" s="236">
        <f t="shared" si="228"/>
        <v>-9.5918921364467535E-4</v>
      </c>
      <c r="L286" s="236">
        <f t="shared" si="228"/>
        <v>2.8403403617498538E-3</v>
      </c>
      <c r="M286" s="236">
        <f t="shared" si="228"/>
        <v>5.1823104613900686E-4</v>
      </c>
      <c r="N286" s="236">
        <f t="shared" si="228"/>
        <v>1.0749235255780597E-2</v>
      </c>
      <c r="O286" s="236">
        <f t="shared" si="223"/>
        <v>4.7299123949621413E-3</v>
      </c>
      <c r="P286" s="236">
        <f t="shared" si="223"/>
        <v>-1.8230172007037823E-3</v>
      </c>
      <c r="Q286" s="236">
        <f t="shared" si="228"/>
        <v>0</v>
      </c>
      <c r="R286" s="236">
        <f t="shared" si="228"/>
        <v>9.0334009370639408E-4</v>
      </c>
      <c r="S286" s="236">
        <f t="shared" si="228"/>
        <v>6.1631461968896682E-3</v>
      </c>
      <c r="T286" s="236">
        <f t="shared" si="224"/>
        <v>1.3864616994057203E-3</v>
      </c>
    </row>
    <row r="287" spans="1:20" x14ac:dyDescent="0.15">
      <c r="A287" s="203">
        <f t="shared" si="214"/>
        <v>48</v>
      </c>
      <c r="B287" s="203" t="s">
        <v>151</v>
      </c>
      <c r="D287" s="219">
        <f t="shared" si="221"/>
        <v>8345294</v>
      </c>
      <c r="E287" s="219">
        <f t="shared" si="221"/>
        <v>8040369</v>
      </c>
      <c r="F287" s="229">
        <f t="shared" si="221"/>
        <v>8698.9</v>
      </c>
      <c r="G287" s="229">
        <f t="shared" si="221"/>
        <v>8672.6</v>
      </c>
      <c r="H287" s="236">
        <f t="shared" ref="H287:S287" si="229">IF(H138&gt;0,H212/H138,0)</f>
        <v>0</v>
      </c>
      <c r="I287" s="236">
        <f t="shared" si="229"/>
        <v>0</v>
      </c>
      <c r="J287" s="236">
        <f t="shared" si="229"/>
        <v>0</v>
      </c>
      <c r="K287" s="236">
        <f t="shared" si="229"/>
        <v>0</v>
      </c>
      <c r="L287" s="236">
        <f t="shared" si="229"/>
        <v>0</v>
      </c>
      <c r="M287" s="236">
        <f t="shared" si="229"/>
        <v>0</v>
      </c>
      <c r="N287" s="236">
        <f t="shared" si="229"/>
        <v>2.4229593036932916E-3</v>
      </c>
      <c r="O287" s="236">
        <f t="shared" si="223"/>
        <v>2.4229593036932916E-3</v>
      </c>
      <c r="P287" s="236">
        <f t="shared" si="223"/>
        <v>2.4229593036932916E-3</v>
      </c>
      <c r="Q287" s="236">
        <f t="shared" si="229"/>
        <v>0</v>
      </c>
      <c r="R287" s="236">
        <f t="shared" si="229"/>
        <v>0</v>
      </c>
      <c r="S287" s="236">
        <f t="shared" si="229"/>
        <v>1.2114796518465387E-3</v>
      </c>
      <c r="T287" s="236">
        <f t="shared" si="224"/>
        <v>2.4229593036932916E-3</v>
      </c>
    </row>
    <row r="288" spans="1:20" x14ac:dyDescent="0.15">
      <c r="B288" s="208" t="s">
        <v>172</v>
      </c>
      <c r="D288" s="219"/>
      <c r="E288" s="219"/>
      <c r="F288" s="229"/>
      <c r="G288" s="229"/>
      <c r="H288" s="229"/>
      <c r="I288" s="229"/>
      <c r="J288" s="229"/>
      <c r="K288" s="229"/>
      <c r="L288" s="229"/>
      <c r="M288" s="229"/>
      <c r="N288" s="229"/>
      <c r="O288" s="229"/>
      <c r="P288" s="229"/>
    </row>
    <row r="289" spans="1:20" x14ac:dyDescent="0.15">
      <c r="A289" s="203">
        <f>A287+1</f>
        <v>49</v>
      </c>
      <c r="B289" s="208"/>
      <c r="C289" s="208" t="s">
        <v>268</v>
      </c>
      <c r="D289" s="219">
        <f t="shared" ref="D289:G293" si="230">D140-D215</f>
        <v>-1341221</v>
      </c>
      <c r="E289" s="219">
        <f t="shared" si="230"/>
        <v>679857</v>
      </c>
      <c r="F289" s="229">
        <f t="shared" si="230"/>
        <v>-1090</v>
      </c>
      <c r="G289" s="229">
        <f t="shared" si="230"/>
        <v>-895.4</v>
      </c>
      <c r="H289" s="236">
        <f t="shared" ref="H289:S289" si="231">IF(H140&gt;0,H215/H140,0)</f>
        <v>0</v>
      </c>
      <c r="I289" s="236">
        <f t="shared" si="231"/>
        <v>0</v>
      </c>
      <c r="J289" s="236">
        <f t="shared" si="231"/>
        <v>0</v>
      </c>
      <c r="K289" s="236">
        <f t="shared" si="231"/>
        <v>-0.10447100486941134</v>
      </c>
      <c r="L289" s="236">
        <f t="shared" si="231"/>
        <v>-0.14136671883150753</v>
      </c>
      <c r="M289" s="236">
        <f t="shared" si="231"/>
        <v>-0.37661141804788212</v>
      </c>
      <c r="N289" s="236">
        <f t="shared" si="231"/>
        <v>-4.4198113207547172</v>
      </c>
      <c r="O289" s="236">
        <f>IF(O140&gt;0,O215/O140,0)</f>
        <v>0</v>
      </c>
      <c r="P289" s="236">
        <f>IF(P140&gt;0,P215/P140,0)</f>
        <v>0</v>
      </c>
      <c r="Q289" s="236">
        <f t="shared" si="231"/>
        <v>0</v>
      </c>
      <c r="R289" s="236">
        <f t="shared" si="231"/>
        <v>-0.12405676704742129</v>
      </c>
      <c r="S289" s="236">
        <f t="shared" si="231"/>
        <v>-0.66945678168773481</v>
      </c>
      <c r="T289" s="236">
        <f>IF(T140&gt;0,T215/T140,0)</f>
        <v>0</v>
      </c>
    </row>
    <row r="290" spans="1:20" x14ac:dyDescent="0.15">
      <c r="A290" s="203">
        <f>A289+1</f>
        <v>50</v>
      </c>
      <c r="B290" s="208"/>
      <c r="C290" s="208"/>
      <c r="D290" s="219">
        <f t="shared" si="230"/>
        <v>1804253</v>
      </c>
      <c r="E290" s="219">
        <f t="shared" si="230"/>
        <v>-1059</v>
      </c>
      <c r="F290" s="229">
        <f t="shared" si="230"/>
        <v>0</v>
      </c>
      <c r="G290" s="229">
        <f t="shared" si="230"/>
        <v>0</v>
      </c>
      <c r="H290" s="229">
        <f t="shared" ref="H290:N293" si="232">H141-H216</f>
        <v>0</v>
      </c>
      <c r="I290" s="229">
        <f t="shared" si="232"/>
        <v>0</v>
      </c>
      <c r="J290" s="229">
        <f t="shared" si="232"/>
        <v>0</v>
      </c>
      <c r="K290" s="229">
        <f t="shared" si="232"/>
        <v>0</v>
      </c>
      <c r="L290" s="229">
        <f t="shared" si="232"/>
        <v>0</v>
      </c>
      <c r="M290" s="229">
        <f t="shared" si="232"/>
        <v>0</v>
      </c>
      <c r="N290" s="229">
        <f t="shared" si="232"/>
        <v>0</v>
      </c>
      <c r="O290" s="229">
        <f t="shared" ref="O290:P293" si="233">O141-O216</f>
        <v>0</v>
      </c>
      <c r="P290" s="229">
        <f t="shared" si="233"/>
        <v>0</v>
      </c>
    </row>
    <row r="291" spans="1:20" x14ac:dyDescent="0.15">
      <c r="A291" s="203">
        <f>A290+1</f>
        <v>51</v>
      </c>
      <c r="B291" s="208"/>
      <c r="C291" s="208"/>
      <c r="D291" s="219">
        <f t="shared" si="230"/>
        <v>10393671912</v>
      </c>
      <c r="E291" s="219">
        <f t="shared" si="230"/>
        <v>10327494688</v>
      </c>
      <c r="F291" s="229">
        <f t="shared" si="230"/>
        <v>0</v>
      </c>
      <c r="G291" s="229">
        <f t="shared" si="230"/>
        <v>0</v>
      </c>
      <c r="H291" s="229">
        <f t="shared" si="232"/>
        <v>0</v>
      </c>
      <c r="I291" s="229">
        <f t="shared" si="232"/>
        <v>0</v>
      </c>
      <c r="J291" s="229">
        <f t="shared" si="232"/>
        <v>0</v>
      </c>
      <c r="K291" s="229">
        <f t="shared" si="232"/>
        <v>0</v>
      </c>
      <c r="L291" s="229">
        <f t="shared" si="232"/>
        <v>0</v>
      </c>
      <c r="M291" s="229">
        <f t="shared" si="232"/>
        <v>0</v>
      </c>
      <c r="N291" s="229">
        <f t="shared" si="232"/>
        <v>0</v>
      </c>
      <c r="O291" s="229">
        <f t="shared" si="233"/>
        <v>0</v>
      </c>
      <c r="P291" s="229">
        <f t="shared" si="233"/>
        <v>0</v>
      </c>
    </row>
    <row r="292" spans="1:20" x14ac:dyDescent="0.15">
      <c r="A292" s="203">
        <f>A291+1</f>
        <v>52</v>
      </c>
      <c r="B292" s="208"/>
      <c r="C292" s="208"/>
      <c r="D292" s="219">
        <f t="shared" si="230"/>
        <v>10376981324</v>
      </c>
      <c r="E292" s="219">
        <f t="shared" si="230"/>
        <v>10311413950</v>
      </c>
      <c r="F292" s="229">
        <f t="shared" si="230"/>
        <v>0</v>
      </c>
      <c r="G292" s="229">
        <f t="shared" si="230"/>
        <v>0</v>
      </c>
      <c r="H292" s="229">
        <f t="shared" si="232"/>
        <v>0</v>
      </c>
      <c r="I292" s="229">
        <f t="shared" si="232"/>
        <v>0</v>
      </c>
      <c r="J292" s="229">
        <f t="shared" si="232"/>
        <v>0</v>
      </c>
      <c r="K292" s="229">
        <f t="shared" si="232"/>
        <v>0</v>
      </c>
      <c r="L292" s="229">
        <f t="shared" si="232"/>
        <v>0</v>
      </c>
      <c r="M292" s="229">
        <f t="shared" si="232"/>
        <v>0</v>
      </c>
      <c r="N292" s="229">
        <f t="shared" si="232"/>
        <v>0</v>
      </c>
      <c r="O292" s="229">
        <f t="shared" si="233"/>
        <v>0</v>
      </c>
      <c r="P292" s="229">
        <f t="shared" si="233"/>
        <v>0</v>
      </c>
    </row>
    <row r="293" spans="1:20" x14ac:dyDescent="0.15">
      <c r="A293" s="203">
        <f>A292+1</f>
        <v>53</v>
      </c>
      <c r="B293" s="208"/>
      <c r="C293" s="208"/>
      <c r="D293" s="219">
        <f t="shared" si="230"/>
        <v>0</v>
      </c>
      <c r="E293" s="219">
        <f t="shared" si="230"/>
        <v>0</v>
      </c>
      <c r="F293" s="229">
        <f t="shared" si="230"/>
        <v>0</v>
      </c>
      <c r="G293" s="229">
        <f t="shared" si="230"/>
        <v>0</v>
      </c>
      <c r="H293" s="229">
        <f t="shared" si="232"/>
        <v>0</v>
      </c>
      <c r="I293" s="229">
        <f t="shared" si="232"/>
        <v>0</v>
      </c>
      <c r="J293" s="229">
        <f t="shared" si="232"/>
        <v>0</v>
      </c>
      <c r="K293" s="229">
        <f t="shared" si="232"/>
        <v>0</v>
      </c>
      <c r="L293" s="229">
        <f t="shared" si="232"/>
        <v>0</v>
      </c>
      <c r="M293" s="229">
        <f t="shared" si="232"/>
        <v>0</v>
      </c>
      <c r="N293" s="229">
        <f t="shared" si="232"/>
        <v>0</v>
      </c>
      <c r="O293" s="229">
        <f t="shared" si="233"/>
        <v>0</v>
      </c>
      <c r="P293" s="229">
        <f t="shared" si="233"/>
        <v>0</v>
      </c>
    </row>
    <row r="294" spans="1:20" x14ac:dyDescent="0.15">
      <c r="D294" s="207"/>
      <c r="E294" s="207"/>
      <c r="F294" s="230"/>
      <c r="G294" s="230"/>
      <c r="H294" s="230"/>
      <c r="I294" s="230"/>
      <c r="J294" s="230"/>
      <c r="K294" s="230"/>
      <c r="L294" s="230"/>
      <c r="M294" s="230"/>
      <c r="N294" s="230"/>
      <c r="O294" s="230"/>
      <c r="P294" s="230"/>
    </row>
    <row r="295" spans="1:20" x14ac:dyDescent="0.15">
      <c r="A295" s="203">
        <f>A293+1</f>
        <v>54</v>
      </c>
      <c r="B295" s="208" t="s">
        <v>184</v>
      </c>
      <c r="C295" s="208"/>
      <c r="D295" s="219">
        <f t="shared" ref="D295:G297" si="234">D146-D221</f>
        <v>25968415256</v>
      </c>
      <c r="E295" s="219">
        <f t="shared" si="234"/>
        <v>25804013578</v>
      </c>
      <c r="F295" s="229">
        <f t="shared" si="234"/>
        <v>5134727.6000000006</v>
      </c>
      <c r="G295" s="229">
        <f t="shared" si="234"/>
        <v>5355576.5999999996</v>
      </c>
      <c r="H295" s="236">
        <f t="shared" ref="H295:S295" si="235">IF(H146&gt;0,H221/H146,0)</f>
        <v>0</v>
      </c>
      <c r="I295" s="236">
        <f t="shared" si="235"/>
        <v>0</v>
      </c>
      <c r="J295" s="236">
        <f t="shared" si="235"/>
        <v>0</v>
      </c>
      <c r="K295" s="236">
        <f t="shared" si="235"/>
        <v>-7.7934142513879951E-4</v>
      </c>
      <c r="L295" s="236">
        <f t="shared" si="235"/>
        <v>-1.5067170101084563E-3</v>
      </c>
      <c r="M295" s="236">
        <f t="shared" si="235"/>
        <v>-2.2957011350902105E-3</v>
      </c>
      <c r="N295" s="236">
        <f t="shared" si="235"/>
        <v>-1.5362425367953789E-3</v>
      </c>
      <c r="O295" s="236">
        <f>IF(O146&gt;0,O221/O146,0)</f>
        <v>-7.0926074802114109E-4</v>
      </c>
      <c r="P295" s="236">
        <f>IF(P146&gt;0,P221/P146,0)</f>
        <v>-1.6588015031368285E-3</v>
      </c>
      <c r="Q295" s="236">
        <f t="shared" si="235"/>
        <v>0</v>
      </c>
      <c r="R295" s="236">
        <f t="shared" si="235"/>
        <v>-1.1622061791456677E-3</v>
      </c>
      <c r="S295" s="236">
        <f t="shared" si="235"/>
        <v>-1.9129693106764161E-3</v>
      </c>
      <c r="T295" s="236">
        <f>IF(T146&gt;0,T221/T146,0)</f>
        <v>-1.1876407909994159E-3</v>
      </c>
    </row>
    <row r="296" spans="1:20" x14ac:dyDescent="0.15">
      <c r="A296" s="203">
        <f>A295+1</f>
        <v>55</v>
      </c>
      <c r="B296" s="202" t="s">
        <v>397</v>
      </c>
      <c r="C296" s="208"/>
      <c r="D296" s="219">
        <f t="shared" si="234"/>
        <v>25960069962</v>
      </c>
      <c r="E296" s="219">
        <f t="shared" si="234"/>
        <v>25795973209</v>
      </c>
      <c r="F296" s="229">
        <f t="shared" si="234"/>
        <v>5126028.7</v>
      </c>
      <c r="G296" s="229">
        <f t="shared" si="234"/>
        <v>5346904</v>
      </c>
      <c r="H296" s="236">
        <f t="shared" ref="H296:S296" si="236">IF(H147&gt;0,H222/H147,0)</f>
        <v>0</v>
      </c>
      <c r="I296" s="236">
        <f t="shared" si="236"/>
        <v>0</v>
      </c>
      <c r="J296" s="236">
        <f t="shared" si="236"/>
        <v>0</v>
      </c>
      <c r="K296" s="236">
        <f t="shared" si="236"/>
        <v>-7.7934142513879951E-4</v>
      </c>
      <c r="L296" s="236">
        <f t="shared" si="236"/>
        <v>-1.5067170101084563E-3</v>
      </c>
      <c r="M296" s="236">
        <f t="shared" si="236"/>
        <v>-2.2957011350902105E-3</v>
      </c>
      <c r="N296" s="236">
        <f t="shared" si="236"/>
        <v>-1.5362425367953789E-3</v>
      </c>
      <c r="O296" s="236">
        <f>IF(O147&gt;0,O222/O147,0)</f>
        <v>-7.0926074802114109E-4</v>
      </c>
      <c r="P296" s="236">
        <f>IF(P147&gt;0,P222/P147,0)</f>
        <v>-1.6588015031368285E-3</v>
      </c>
      <c r="Q296" s="236">
        <f t="shared" si="236"/>
        <v>0</v>
      </c>
      <c r="R296" s="236">
        <f t="shared" si="236"/>
        <v>-1.1622061791456677E-3</v>
      </c>
      <c r="S296" s="236">
        <f t="shared" si="236"/>
        <v>-1.9129693106764161E-3</v>
      </c>
      <c r="T296" s="236">
        <f>IF(T147&gt;0,T222/T147,0)</f>
        <v>-1.1876407909994159E-3</v>
      </c>
    </row>
    <row r="297" spans="1:20" x14ac:dyDescent="0.15">
      <c r="A297" s="203">
        <f>A296+1</f>
        <v>56</v>
      </c>
      <c r="B297" s="208" t="s">
        <v>303</v>
      </c>
      <c r="C297" s="208"/>
      <c r="D297" s="219">
        <f t="shared" si="234"/>
        <v>8345294</v>
      </c>
      <c r="E297" s="219">
        <f t="shared" si="234"/>
        <v>8040369</v>
      </c>
      <c r="F297" s="229">
        <f t="shared" si="234"/>
        <v>8698.9</v>
      </c>
      <c r="G297" s="229">
        <f t="shared" si="234"/>
        <v>8672.6</v>
      </c>
      <c r="H297" s="236">
        <f>IF(H148&gt;0,H223/H148,0)</f>
        <v>0</v>
      </c>
      <c r="I297" s="236"/>
      <c r="J297" s="236"/>
      <c r="K297" s="236"/>
      <c r="L297" s="236"/>
      <c r="M297" s="236"/>
      <c r="N297" s="236"/>
      <c r="O297" s="236"/>
      <c r="P297" s="236"/>
    </row>
    <row r="298" spans="1:20" x14ac:dyDescent="0.15">
      <c r="B298" s="208"/>
      <c r="C298" s="208"/>
      <c r="D298" s="219"/>
      <c r="E298" s="219"/>
      <c r="F298" s="229"/>
      <c r="G298" s="229"/>
      <c r="H298" s="229"/>
      <c r="I298" s="229"/>
      <c r="J298" s="229"/>
      <c r="K298" s="229"/>
      <c r="L298" s="229"/>
      <c r="M298" s="229"/>
      <c r="N298" s="229"/>
      <c r="O298" s="229"/>
      <c r="P298" s="229"/>
    </row>
    <row r="299" spans="1:20" x14ac:dyDescent="0.15">
      <c r="A299" s="203">
        <f>A297+1</f>
        <v>57</v>
      </c>
      <c r="B299" s="208" t="s">
        <v>166</v>
      </c>
      <c r="C299" s="208"/>
      <c r="D299" s="219">
        <f>D150-D225</f>
        <v>-46570547</v>
      </c>
      <c r="E299" s="219">
        <f>E150-E225</f>
        <v>-46686661</v>
      </c>
      <c r="F299" s="229">
        <f>F150-F225</f>
        <v>-46733.7</v>
      </c>
      <c r="G299" s="229">
        <f>G150-G225</f>
        <v>-46807.7</v>
      </c>
      <c r="H299" s="236">
        <f t="shared" ref="H299:S299" si="237">IF(H150&gt;0,H225/H150,0)</f>
        <v>0</v>
      </c>
      <c r="I299" s="236">
        <f t="shared" si="237"/>
        <v>0</v>
      </c>
      <c r="J299" s="236">
        <f t="shared" si="237"/>
        <v>0</v>
      </c>
      <c r="K299" s="236">
        <f t="shared" si="237"/>
        <v>0</v>
      </c>
      <c r="L299" s="236">
        <f t="shared" si="237"/>
        <v>0</v>
      </c>
      <c r="M299" s="236">
        <f t="shared" si="237"/>
        <v>0</v>
      </c>
      <c r="N299" s="236">
        <f t="shared" si="237"/>
        <v>0</v>
      </c>
      <c r="O299" s="236">
        <f>IF(O150&gt;0,O225/O150,0)</f>
        <v>0</v>
      </c>
      <c r="P299" s="236">
        <f>IF(P150&gt;0,P225/P150,0)</f>
        <v>0</v>
      </c>
      <c r="Q299" s="236">
        <f t="shared" si="237"/>
        <v>0</v>
      </c>
      <c r="R299" s="236">
        <f t="shared" si="237"/>
        <v>0</v>
      </c>
      <c r="S299" s="236">
        <f t="shared" si="237"/>
        <v>0</v>
      </c>
      <c r="T299" s="236">
        <f>IF(T150&gt;0,T225/T150,0)</f>
        <v>0</v>
      </c>
    </row>
  </sheetData>
  <phoneticPr fontId="1" type="noConversion"/>
  <printOptions horizontalCentered="1" gridLines="1"/>
  <pageMargins left="0.5" right="0.25" top="1" bottom="0.5" header="0.5" footer="0.25"/>
  <pageSetup scale="68" fitToWidth="2" fitToHeight="3" orientation="portrait" horizontalDpi="300" verticalDpi="300" r:id="rId1"/>
  <headerFooter alignWithMargins="0">
    <oddHeader>&amp;L&amp;"Arial,Bold"DEPT of EDUCATION
Program Finance Div.&amp;C&amp;"Arial,Bold"FY 09-15 GENERAL EDUCATION REVENUE
FEBRUARY 2011 FORECAST VS. NOVEMBER 2010 FORECAST&amp;R&amp;"Arial,Bold"&amp;D
&amp;T</oddHeader>
    <oddFooter>&amp;L&amp;"Arial,Regular"&amp;F&amp;R&amp;"Arial,Regular"&amp;A</oddFooter>
  </headerFooter>
  <rowBreaks count="3" manualBreakCount="3">
    <brk id="77" max="15" man="1"/>
    <brk id="151" min="3" max="20" man="1"/>
    <brk id="226" max="13" man="1"/>
  </rowBreaks>
  <colBreaks count="1" manualBreakCount="1">
    <brk id="16" min="2" max="226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205"/>
  <sheetViews>
    <sheetView zoomScaleNormal="100" zoomScaleSheetLayoutView="85" workbookViewId="0">
      <pane xSplit="3" ySplit="4" topLeftCell="D5" activePane="bottomRight" state="frozen"/>
      <selection activeCell="C64" sqref="C64"/>
      <selection pane="topRight" activeCell="C64" sqref="C64"/>
      <selection pane="bottomLeft" activeCell="C64" sqref="C64"/>
      <selection pane="bottomRight" activeCell="A4" sqref="A4"/>
    </sheetView>
  </sheetViews>
  <sheetFormatPr defaultColWidth="8" defaultRowHeight="12.75" x14ac:dyDescent="0.2"/>
  <cols>
    <col min="1" max="1" width="4.125" style="39" customWidth="1"/>
    <col min="2" max="2" width="2.25" style="39" customWidth="1"/>
    <col min="3" max="3" width="28.625" style="39" customWidth="1"/>
    <col min="4" max="9" width="13.625" style="39" customWidth="1"/>
    <col min="10" max="16384" width="8" style="39"/>
  </cols>
  <sheetData>
    <row r="1" spans="1:9" x14ac:dyDescent="0.2">
      <c r="A1" s="42" t="s">
        <v>259</v>
      </c>
    </row>
    <row r="3" spans="1:9" x14ac:dyDescent="0.2">
      <c r="A3" s="107" t="s">
        <v>257</v>
      </c>
      <c r="B3" s="107"/>
      <c r="C3" s="108"/>
      <c r="D3" s="109" t="s">
        <v>176</v>
      </c>
      <c r="E3" s="109" t="s">
        <v>181</v>
      </c>
      <c r="F3" s="109" t="s">
        <v>177</v>
      </c>
      <c r="G3" s="109" t="s">
        <v>178</v>
      </c>
      <c r="H3" s="109" t="s">
        <v>179</v>
      </c>
      <c r="I3" s="109" t="s">
        <v>180</v>
      </c>
    </row>
    <row r="5" spans="1:9" x14ac:dyDescent="0.2">
      <c r="A5" s="39">
        <v>1</v>
      </c>
      <c r="B5" s="39" t="s">
        <v>140</v>
      </c>
      <c r="D5" s="41">
        <f>'Pupil Data'!C36</f>
        <v>948532</v>
      </c>
      <c r="E5" s="41">
        <v>0</v>
      </c>
      <c r="F5" s="41">
        <f>'Pupil Data'!D36</f>
        <v>0</v>
      </c>
      <c r="G5" s="41">
        <f>'Pupil Data'!E36</f>
        <v>13614</v>
      </c>
      <c r="H5" s="41">
        <f>'Pupil Data'!F36</f>
        <v>0</v>
      </c>
      <c r="I5" s="41">
        <f>SUM(D5:H5)</f>
        <v>962146</v>
      </c>
    </row>
    <row r="7" spans="1:9" x14ac:dyDescent="0.2">
      <c r="B7" s="42" t="s">
        <v>155</v>
      </c>
      <c r="D7" s="40"/>
      <c r="E7" s="40"/>
      <c r="F7" s="40"/>
      <c r="G7" s="40"/>
      <c r="H7" s="40"/>
      <c r="I7" s="40"/>
    </row>
    <row r="8" spans="1:9" x14ac:dyDescent="0.2">
      <c r="A8" s="39">
        <f>A5+1</f>
        <v>2</v>
      </c>
      <c r="B8" s="39" t="s">
        <v>141</v>
      </c>
      <c r="D8" s="41">
        <v>4426308266</v>
      </c>
      <c r="E8" s="41">
        <v>0</v>
      </c>
      <c r="F8" s="41">
        <v>0</v>
      </c>
      <c r="G8" s="41">
        <v>63752054</v>
      </c>
      <c r="H8" s="41">
        <v>0</v>
      </c>
      <c r="I8" s="41">
        <f>SUM(D8:H8)</f>
        <v>4490060320</v>
      </c>
    </row>
    <row r="9" spans="1:9" x14ac:dyDescent="0.2">
      <c r="A9" s="39">
        <f>A8+1</f>
        <v>3</v>
      </c>
      <c r="B9" s="42" t="s">
        <v>167</v>
      </c>
      <c r="C9" s="42"/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41">
        <f>SUM(D9:H9)</f>
        <v>0</v>
      </c>
    </row>
    <row r="10" spans="1:9" x14ac:dyDescent="0.2">
      <c r="A10" s="39">
        <f>A9+1</f>
        <v>4</v>
      </c>
      <c r="B10" s="39" t="s">
        <v>142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f>SUM(D10:H10)</f>
        <v>0</v>
      </c>
    </row>
    <row r="11" spans="1:9" x14ac:dyDescent="0.2">
      <c r="B11" s="42" t="s">
        <v>171</v>
      </c>
      <c r="D11" s="41"/>
      <c r="E11" s="41"/>
      <c r="F11" s="41"/>
      <c r="G11" s="41"/>
      <c r="H11" s="41"/>
      <c r="I11" s="41"/>
    </row>
    <row r="12" spans="1:9" x14ac:dyDescent="0.2">
      <c r="A12" s="39">
        <f>A10+1</f>
        <v>5</v>
      </c>
      <c r="C12" s="39" t="s">
        <v>143</v>
      </c>
      <c r="D12" s="41">
        <v>250666023</v>
      </c>
      <c r="E12" s="41">
        <v>0</v>
      </c>
      <c r="F12" s="41">
        <v>0</v>
      </c>
      <c r="G12" s="41">
        <v>12028663</v>
      </c>
      <c r="H12" s="41">
        <v>0</v>
      </c>
      <c r="I12" s="41">
        <f t="shared" ref="I12:I23" si="0">SUM(D12:H12)</f>
        <v>262694686</v>
      </c>
    </row>
    <row r="13" spans="1:9" x14ac:dyDescent="0.2">
      <c r="A13" s="39">
        <f t="shared" ref="A13:A23" si="1">A12+1</f>
        <v>6</v>
      </c>
      <c r="C13" s="39" t="s">
        <v>144</v>
      </c>
      <c r="D13" s="41">
        <v>35700072</v>
      </c>
      <c r="E13" s="41">
        <v>0</v>
      </c>
      <c r="F13" s="41">
        <v>0</v>
      </c>
      <c r="G13" s="41">
        <v>1157155</v>
      </c>
      <c r="H13" s="41">
        <v>0</v>
      </c>
      <c r="I13" s="41">
        <f t="shared" si="0"/>
        <v>36857227</v>
      </c>
    </row>
    <row r="14" spans="1:9" x14ac:dyDescent="0.2">
      <c r="A14" s="39">
        <f t="shared" si="1"/>
        <v>7</v>
      </c>
      <c r="B14" s="42"/>
      <c r="C14" s="42" t="s">
        <v>170</v>
      </c>
      <c r="D14" s="41">
        <v>9436234</v>
      </c>
      <c r="E14" s="41">
        <v>0</v>
      </c>
      <c r="F14" s="41">
        <v>0</v>
      </c>
      <c r="G14" s="41">
        <v>342874</v>
      </c>
      <c r="H14" s="41">
        <v>0</v>
      </c>
      <c r="I14" s="41">
        <f t="shared" si="0"/>
        <v>9779108</v>
      </c>
    </row>
    <row r="15" spans="1:9" x14ac:dyDescent="0.2">
      <c r="A15" s="39">
        <f t="shared" si="1"/>
        <v>8</v>
      </c>
      <c r="B15" s="39" t="s">
        <v>145</v>
      </c>
      <c r="D15" s="41">
        <v>16237664</v>
      </c>
      <c r="E15" s="41">
        <v>0</v>
      </c>
      <c r="F15" s="41">
        <v>0</v>
      </c>
      <c r="G15" s="41">
        <v>233887</v>
      </c>
      <c r="H15" s="41">
        <v>0</v>
      </c>
      <c r="I15" s="41">
        <f t="shared" si="0"/>
        <v>16471551</v>
      </c>
    </row>
    <row r="16" spans="1:9" x14ac:dyDescent="0.2">
      <c r="A16" s="39">
        <f t="shared" si="1"/>
        <v>9</v>
      </c>
      <c r="B16" s="39" t="s">
        <v>146</v>
      </c>
      <c r="D16" s="41">
        <v>56116444</v>
      </c>
      <c r="E16" s="41">
        <v>0</v>
      </c>
      <c r="F16" s="41">
        <v>0</v>
      </c>
      <c r="G16" s="41">
        <v>361920</v>
      </c>
      <c r="H16" s="41">
        <v>0</v>
      </c>
      <c r="I16" s="41">
        <f t="shared" si="0"/>
        <v>56478364</v>
      </c>
    </row>
    <row r="17" spans="1:9" x14ac:dyDescent="0.2">
      <c r="A17" s="39">
        <f t="shared" si="1"/>
        <v>10</v>
      </c>
      <c r="B17" s="39" t="s">
        <v>148</v>
      </c>
      <c r="D17" s="41">
        <v>24757826</v>
      </c>
      <c r="E17" s="41">
        <v>0</v>
      </c>
      <c r="F17" s="41">
        <v>0</v>
      </c>
      <c r="G17" s="41">
        <v>356482</v>
      </c>
      <c r="H17" s="41">
        <v>0</v>
      </c>
      <c r="I17" s="41">
        <f t="shared" si="0"/>
        <v>25114308</v>
      </c>
    </row>
    <row r="18" spans="1:9" x14ac:dyDescent="0.2">
      <c r="A18" s="39">
        <f t="shared" si="1"/>
        <v>11</v>
      </c>
      <c r="B18" s="42" t="s">
        <v>244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f t="shared" si="0"/>
        <v>0</v>
      </c>
    </row>
    <row r="19" spans="1:9" x14ac:dyDescent="0.2">
      <c r="A19" s="39">
        <f t="shared" si="1"/>
        <v>12</v>
      </c>
      <c r="B19" s="39" t="s">
        <v>147</v>
      </c>
      <c r="D19" s="41">
        <v>195620930</v>
      </c>
      <c r="E19" s="41">
        <v>0</v>
      </c>
      <c r="F19" s="41">
        <v>0</v>
      </c>
      <c r="G19" s="41">
        <v>2817504</v>
      </c>
      <c r="H19" s="41">
        <v>0</v>
      </c>
      <c r="I19" s="41">
        <f t="shared" si="0"/>
        <v>198438434</v>
      </c>
    </row>
    <row r="20" spans="1:9" x14ac:dyDescent="0.2">
      <c r="A20" s="39">
        <f t="shared" si="1"/>
        <v>13</v>
      </c>
      <c r="B20" s="39" t="s">
        <v>149</v>
      </c>
      <c r="D20" s="41">
        <v>34150600</v>
      </c>
      <c r="E20" s="41">
        <v>0</v>
      </c>
      <c r="F20" s="41">
        <v>0</v>
      </c>
      <c r="G20" s="41">
        <v>491890</v>
      </c>
      <c r="H20" s="41">
        <v>0</v>
      </c>
      <c r="I20" s="41">
        <f t="shared" si="0"/>
        <v>34642490</v>
      </c>
    </row>
    <row r="21" spans="1:9" x14ac:dyDescent="0.2">
      <c r="A21" s="39">
        <f t="shared" si="1"/>
        <v>14</v>
      </c>
      <c r="B21" s="42" t="s">
        <v>173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f t="shared" si="0"/>
        <v>0</v>
      </c>
    </row>
    <row r="22" spans="1:9" x14ac:dyDescent="0.2">
      <c r="A22" s="39">
        <f t="shared" si="1"/>
        <v>15</v>
      </c>
      <c r="B22" s="42" t="s">
        <v>168</v>
      </c>
      <c r="C22" s="42"/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f t="shared" si="0"/>
        <v>0</v>
      </c>
    </row>
    <row r="23" spans="1:9" x14ac:dyDescent="0.2">
      <c r="A23" s="39">
        <f t="shared" si="1"/>
        <v>16</v>
      </c>
      <c r="B23" s="39" t="s">
        <v>150</v>
      </c>
      <c r="D23" s="41">
        <v>291708358</v>
      </c>
      <c r="E23" s="41">
        <v>0</v>
      </c>
      <c r="F23" s="41">
        <v>0</v>
      </c>
      <c r="G23" s="41">
        <v>0</v>
      </c>
      <c r="H23" s="41">
        <v>0</v>
      </c>
      <c r="I23" s="41">
        <f t="shared" si="0"/>
        <v>291708358</v>
      </c>
    </row>
    <row r="24" spans="1:9" x14ac:dyDescent="0.2">
      <c r="B24" s="42" t="s">
        <v>172</v>
      </c>
      <c r="D24" s="41"/>
      <c r="E24" s="41"/>
      <c r="F24" s="41"/>
      <c r="G24" s="41"/>
      <c r="H24" s="41"/>
      <c r="I24" s="41"/>
    </row>
    <row r="25" spans="1:9" x14ac:dyDescent="0.2">
      <c r="A25" s="39">
        <f>A23+1</f>
        <v>17</v>
      </c>
      <c r="B25" s="42"/>
      <c r="C25" s="42" t="s">
        <v>175</v>
      </c>
      <c r="D25" s="41">
        <v>824218</v>
      </c>
      <c r="E25" s="41">
        <v>0</v>
      </c>
      <c r="F25" s="41">
        <v>0</v>
      </c>
      <c r="G25" s="41">
        <v>517003</v>
      </c>
      <c r="H25" s="41">
        <v>0</v>
      </c>
      <c r="I25" s="41">
        <f>SUM(D25:H25)</f>
        <v>1341221</v>
      </c>
    </row>
    <row r="26" spans="1:9" x14ac:dyDescent="0.2">
      <c r="A26" s="39">
        <f>A25+1</f>
        <v>18</v>
      </c>
      <c r="B26" s="42"/>
      <c r="C26" s="42" t="s">
        <v>182</v>
      </c>
      <c r="D26" s="41">
        <v>0</v>
      </c>
      <c r="E26" s="41">
        <v>0</v>
      </c>
      <c r="F26" s="41">
        <v>0</v>
      </c>
      <c r="G26" s="41">
        <v>-1804253</v>
      </c>
      <c r="H26" s="41">
        <v>0</v>
      </c>
      <c r="I26" s="41">
        <f>SUM(D26:H26)</f>
        <v>-1804253</v>
      </c>
    </row>
    <row r="27" spans="1:9" x14ac:dyDescent="0.2">
      <c r="A27" s="39">
        <f>A26+1</f>
        <v>19</v>
      </c>
      <c r="B27" s="42"/>
      <c r="C27" s="42" t="s">
        <v>201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f>SUM(D27:H27)</f>
        <v>0</v>
      </c>
    </row>
    <row r="28" spans="1:9" x14ac:dyDescent="0.2">
      <c r="A28" s="39">
        <f>A27+1</f>
        <v>20</v>
      </c>
      <c r="B28" s="42"/>
      <c r="C28" s="42" t="s">
        <v>183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f>SUM(D28:H28)</f>
        <v>0</v>
      </c>
    </row>
    <row r="29" spans="1:9" x14ac:dyDescent="0.2">
      <c r="D29" s="41"/>
      <c r="E29" s="41"/>
      <c r="F29" s="41"/>
      <c r="G29" s="41"/>
      <c r="H29" s="41"/>
      <c r="I29" s="41"/>
    </row>
    <row r="30" spans="1:9" x14ac:dyDescent="0.2">
      <c r="A30" s="39">
        <f>A28+1</f>
        <v>21</v>
      </c>
      <c r="B30" s="42" t="s">
        <v>158</v>
      </c>
      <c r="D30" s="41">
        <f t="shared" ref="D30:I30" si="2">SUM(D8:D28)</f>
        <v>5341526635</v>
      </c>
      <c r="E30" s="41">
        <f t="shared" si="2"/>
        <v>0</v>
      </c>
      <c r="F30" s="41">
        <f t="shared" si="2"/>
        <v>0</v>
      </c>
      <c r="G30" s="41">
        <f t="shared" si="2"/>
        <v>80255179</v>
      </c>
      <c r="H30" s="41">
        <f t="shared" si="2"/>
        <v>0</v>
      </c>
      <c r="I30" s="41">
        <f t="shared" si="2"/>
        <v>5421781814</v>
      </c>
    </row>
    <row r="31" spans="1:9" x14ac:dyDescent="0.2">
      <c r="D31" s="41"/>
      <c r="E31" s="41"/>
      <c r="F31" s="41"/>
      <c r="G31" s="41"/>
      <c r="H31" s="41"/>
      <c r="I31" s="41"/>
    </row>
    <row r="32" spans="1:9" x14ac:dyDescent="0.2">
      <c r="B32" s="42" t="s">
        <v>156</v>
      </c>
      <c r="C32" s="42"/>
      <c r="D32" s="41"/>
      <c r="E32" s="41"/>
      <c r="F32" s="41"/>
      <c r="G32" s="41"/>
      <c r="H32" s="41"/>
      <c r="I32" s="41"/>
    </row>
    <row r="33" spans="1:9" x14ac:dyDescent="0.2">
      <c r="A33" s="39">
        <f>A30+1</f>
        <v>22</v>
      </c>
      <c r="B33" s="39" t="s">
        <v>153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f>SUM(D33:H33)</f>
        <v>0</v>
      </c>
    </row>
    <row r="34" spans="1:9" x14ac:dyDescent="0.2">
      <c r="A34" s="39">
        <f>A33+1</f>
        <v>23</v>
      </c>
      <c r="B34" s="39" t="s">
        <v>152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f>SUM(D34:H34)</f>
        <v>0</v>
      </c>
    </row>
    <row r="35" spans="1:9" x14ac:dyDescent="0.2">
      <c r="A35" s="39">
        <f>A34+1</f>
        <v>24</v>
      </c>
      <c r="B35" s="42" t="s">
        <v>174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f>SUM(D35:H35)</f>
        <v>0</v>
      </c>
    </row>
    <row r="36" spans="1:9" x14ac:dyDescent="0.2">
      <c r="A36" s="39">
        <f>A35+1</f>
        <v>25</v>
      </c>
      <c r="B36" s="42" t="s">
        <v>168</v>
      </c>
      <c r="C36" s="42"/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f>SUM(D36:H36)</f>
        <v>0</v>
      </c>
    </row>
    <row r="37" spans="1:9" x14ac:dyDescent="0.2">
      <c r="A37" s="39">
        <f>A36+1</f>
        <v>26</v>
      </c>
      <c r="B37" s="39" t="s">
        <v>154</v>
      </c>
      <c r="D37" s="41">
        <v>224945858</v>
      </c>
      <c r="E37" s="41">
        <v>0</v>
      </c>
      <c r="F37" s="41">
        <v>0</v>
      </c>
      <c r="G37" s="41">
        <v>0</v>
      </c>
      <c r="H37" s="41">
        <v>0</v>
      </c>
      <c r="I37" s="41">
        <f>SUM(D37:H37)</f>
        <v>224945858</v>
      </c>
    </row>
    <row r="38" spans="1:9" x14ac:dyDescent="0.2">
      <c r="D38" s="41"/>
      <c r="E38" s="41"/>
      <c r="F38" s="41"/>
      <c r="G38" s="41"/>
      <c r="H38" s="41"/>
      <c r="I38" s="41"/>
    </row>
    <row r="39" spans="1:9" x14ac:dyDescent="0.2">
      <c r="A39" s="39">
        <f>A37+1</f>
        <v>27</v>
      </c>
      <c r="B39" s="42" t="s">
        <v>159</v>
      </c>
      <c r="C39" s="42"/>
      <c r="D39" s="41">
        <f t="shared" ref="D39:I39" si="3">SUM(D33:D37)</f>
        <v>224945858</v>
      </c>
      <c r="E39" s="41">
        <f>SUM(E33:E37)</f>
        <v>0</v>
      </c>
      <c r="F39" s="41">
        <f>SUM(F33:F37)</f>
        <v>0</v>
      </c>
      <c r="G39" s="41">
        <f t="shared" si="3"/>
        <v>0</v>
      </c>
      <c r="H39" s="41">
        <f>SUM(H33:H37)</f>
        <v>0</v>
      </c>
      <c r="I39" s="41">
        <f t="shared" si="3"/>
        <v>224945858</v>
      </c>
    </row>
    <row r="40" spans="1:9" x14ac:dyDescent="0.2">
      <c r="B40" s="42"/>
      <c r="C40" s="42"/>
      <c r="D40" s="41"/>
      <c r="E40" s="41"/>
      <c r="F40" s="41"/>
      <c r="G40" s="41"/>
      <c r="H40" s="41"/>
      <c r="I40" s="41"/>
    </row>
    <row r="41" spans="1:9" x14ac:dyDescent="0.2">
      <c r="B41" s="42" t="s">
        <v>157</v>
      </c>
      <c r="C41" s="42"/>
      <c r="D41" s="41"/>
      <c r="E41" s="41"/>
      <c r="F41" s="41"/>
      <c r="G41" s="41"/>
      <c r="H41" s="41"/>
      <c r="I41" s="41"/>
    </row>
    <row r="42" spans="1:9" x14ac:dyDescent="0.2">
      <c r="A42" s="39">
        <f>A39+1</f>
        <v>28</v>
      </c>
      <c r="B42" s="39" t="s">
        <v>141</v>
      </c>
      <c r="D42" s="41">
        <f t="shared" ref="D42:H44" si="4">D8</f>
        <v>4426308266</v>
      </c>
      <c r="E42" s="41">
        <f t="shared" si="4"/>
        <v>0</v>
      </c>
      <c r="F42" s="41">
        <f t="shared" si="4"/>
        <v>0</v>
      </c>
      <c r="G42" s="41">
        <f t="shared" si="4"/>
        <v>63752054</v>
      </c>
      <c r="H42" s="41">
        <f t="shared" si="4"/>
        <v>0</v>
      </c>
      <c r="I42" s="41">
        <f>SUM(D42:H42)</f>
        <v>4490060320</v>
      </c>
    </row>
    <row r="43" spans="1:9" x14ac:dyDescent="0.2">
      <c r="A43" s="39">
        <f>A42+1</f>
        <v>29</v>
      </c>
      <c r="B43" s="42" t="s">
        <v>167</v>
      </c>
      <c r="C43" s="42"/>
      <c r="D43" s="41">
        <f t="shared" si="4"/>
        <v>0</v>
      </c>
      <c r="E43" s="41">
        <f t="shared" si="4"/>
        <v>0</v>
      </c>
      <c r="F43" s="41">
        <f t="shared" si="4"/>
        <v>0</v>
      </c>
      <c r="G43" s="41">
        <f t="shared" si="4"/>
        <v>0</v>
      </c>
      <c r="H43" s="41">
        <f t="shared" si="4"/>
        <v>0</v>
      </c>
      <c r="I43" s="41">
        <f>SUM(D43:H43)</f>
        <v>0</v>
      </c>
    </row>
    <row r="44" spans="1:9" x14ac:dyDescent="0.2">
      <c r="A44" s="39">
        <f>A43+1</f>
        <v>30</v>
      </c>
      <c r="B44" s="39" t="s">
        <v>142</v>
      </c>
      <c r="D44" s="41">
        <f t="shared" si="4"/>
        <v>0</v>
      </c>
      <c r="E44" s="41">
        <f t="shared" si="4"/>
        <v>0</v>
      </c>
      <c r="F44" s="41">
        <f t="shared" si="4"/>
        <v>0</v>
      </c>
      <c r="G44" s="41">
        <f t="shared" si="4"/>
        <v>0</v>
      </c>
      <c r="H44" s="41">
        <f t="shared" si="4"/>
        <v>0</v>
      </c>
      <c r="I44" s="41">
        <f>SUM(D44:H44)</f>
        <v>0</v>
      </c>
    </row>
    <row r="45" spans="1:9" x14ac:dyDescent="0.2">
      <c r="B45" s="42" t="s">
        <v>171</v>
      </c>
      <c r="D45" s="41"/>
      <c r="E45" s="41"/>
      <c r="F45" s="41"/>
      <c r="G45" s="41"/>
      <c r="H45" s="41"/>
      <c r="I45" s="41"/>
    </row>
    <row r="46" spans="1:9" x14ac:dyDescent="0.2">
      <c r="A46" s="39">
        <f>A44+1</f>
        <v>31</v>
      </c>
      <c r="C46" s="39" t="s">
        <v>143</v>
      </c>
      <c r="D46" s="41">
        <f t="shared" ref="D46:H52" si="5">D12</f>
        <v>250666023</v>
      </c>
      <c r="E46" s="41">
        <f t="shared" si="5"/>
        <v>0</v>
      </c>
      <c r="F46" s="41">
        <f t="shared" si="5"/>
        <v>0</v>
      </c>
      <c r="G46" s="41">
        <f t="shared" si="5"/>
        <v>12028663</v>
      </c>
      <c r="H46" s="41">
        <f t="shared" si="5"/>
        <v>0</v>
      </c>
      <c r="I46" s="41">
        <f t="shared" ref="I46:I58" si="6">SUM(D46:H46)</f>
        <v>262694686</v>
      </c>
    </row>
    <row r="47" spans="1:9" x14ac:dyDescent="0.2">
      <c r="A47" s="39">
        <f t="shared" ref="A47:A58" si="7">A46+1</f>
        <v>32</v>
      </c>
      <c r="C47" s="39" t="s">
        <v>144</v>
      </c>
      <c r="D47" s="41">
        <f t="shared" si="5"/>
        <v>35700072</v>
      </c>
      <c r="E47" s="41">
        <f t="shared" si="5"/>
        <v>0</v>
      </c>
      <c r="F47" s="41">
        <f t="shared" si="5"/>
        <v>0</v>
      </c>
      <c r="G47" s="41">
        <f t="shared" si="5"/>
        <v>1157155</v>
      </c>
      <c r="H47" s="41">
        <f t="shared" si="5"/>
        <v>0</v>
      </c>
      <c r="I47" s="41">
        <f t="shared" si="6"/>
        <v>36857227</v>
      </c>
    </row>
    <row r="48" spans="1:9" x14ac:dyDescent="0.2">
      <c r="A48" s="39">
        <f t="shared" si="7"/>
        <v>33</v>
      </c>
      <c r="B48" s="42"/>
      <c r="C48" s="42" t="s">
        <v>170</v>
      </c>
      <c r="D48" s="41">
        <f t="shared" si="5"/>
        <v>9436234</v>
      </c>
      <c r="E48" s="41">
        <f t="shared" si="5"/>
        <v>0</v>
      </c>
      <c r="F48" s="41">
        <f t="shared" si="5"/>
        <v>0</v>
      </c>
      <c r="G48" s="41">
        <f t="shared" si="5"/>
        <v>342874</v>
      </c>
      <c r="H48" s="41">
        <f t="shared" si="5"/>
        <v>0</v>
      </c>
      <c r="I48" s="41">
        <f t="shared" si="6"/>
        <v>9779108</v>
      </c>
    </row>
    <row r="49" spans="1:9" x14ac:dyDescent="0.2">
      <c r="A49" s="39">
        <f t="shared" si="7"/>
        <v>34</v>
      </c>
      <c r="B49" s="39" t="s">
        <v>145</v>
      </c>
      <c r="D49" s="41">
        <f t="shared" si="5"/>
        <v>16237664</v>
      </c>
      <c r="E49" s="41">
        <f t="shared" si="5"/>
        <v>0</v>
      </c>
      <c r="F49" s="41">
        <f t="shared" si="5"/>
        <v>0</v>
      </c>
      <c r="G49" s="41">
        <f t="shared" si="5"/>
        <v>233887</v>
      </c>
      <c r="H49" s="41">
        <f t="shared" si="5"/>
        <v>0</v>
      </c>
      <c r="I49" s="41">
        <f t="shared" si="6"/>
        <v>16471551</v>
      </c>
    </row>
    <row r="50" spans="1:9" x14ac:dyDescent="0.2">
      <c r="A50" s="39">
        <f t="shared" si="7"/>
        <v>35</v>
      </c>
      <c r="B50" s="39" t="s">
        <v>146</v>
      </c>
      <c r="D50" s="41">
        <f t="shared" si="5"/>
        <v>56116444</v>
      </c>
      <c r="E50" s="41">
        <f t="shared" si="5"/>
        <v>0</v>
      </c>
      <c r="F50" s="41">
        <f t="shared" si="5"/>
        <v>0</v>
      </c>
      <c r="G50" s="41">
        <f t="shared" si="5"/>
        <v>361920</v>
      </c>
      <c r="H50" s="41">
        <f t="shared" si="5"/>
        <v>0</v>
      </c>
      <c r="I50" s="41">
        <f t="shared" si="6"/>
        <v>56478364</v>
      </c>
    </row>
    <row r="51" spans="1:9" x14ac:dyDescent="0.2">
      <c r="A51" s="39">
        <f t="shared" si="7"/>
        <v>36</v>
      </c>
      <c r="B51" s="39" t="s">
        <v>148</v>
      </c>
      <c r="D51" s="41">
        <f t="shared" si="5"/>
        <v>24757826</v>
      </c>
      <c r="E51" s="41">
        <f t="shared" si="5"/>
        <v>0</v>
      </c>
      <c r="F51" s="41">
        <f t="shared" si="5"/>
        <v>0</v>
      </c>
      <c r="G51" s="41">
        <f t="shared" si="5"/>
        <v>356482</v>
      </c>
      <c r="H51" s="41">
        <f t="shared" si="5"/>
        <v>0</v>
      </c>
      <c r="I51" s="41">
        <f t="shared" si="6"/>
        <v>25114308</v>
      </c>
    </row>
    <row r="52" spans="1:9" x14ac:dyDescent="0.2">
      <c r="A52" s="39">
        <f t="shared" si="7"/>
        <v>37</v>
      </c>
      <c r="B52" s="42" t="s">
        <v>244</v>
      </c>
      <c r="D52" s="41">
        <f t="shared" si="5"/>
        <v>0</v>
      </c>
      <c r="E52" s="41">
        <f t="shared" si="5"/>
        <v>0</v>
      </c>
      <c r="F52" s="41">
        <f t="shared" si="5"/>
        <v>0</v>
      </c>
      <c r="G52" s="41">
        <f t="shared" si="5"/>
        <v>0</v>
      </c>
      <c r="H52" s="41">
        <f t="shared" si="5"/>
        <v>0</v>
      </c>
      <c r="I52" s="41">
        <f>SUM(D52:H52)</f>
        <v>0</v>
      </c>
    </row>
    <row r="53" spans="1:9" x14ac:dyDescent="0.2">
      <c r="A53" s="39">
        <f t="shared" si="7"/>
        <v>38</v>
      </c>
      <c r="B53" s="39" t="s">
        <v>147</v>
      </c>
      <c r="D53" s="41">
        <f t="shared" ref="D53:H56" si="8">D19-D33</f>
        <v>195620930</v>
      </c>
      <c r="E53" s="41">
        <f t="shared" si="8"/>
        <v>0</v>
      </c>
      <c r="F53" s="41">
        <f t="shared" si="8"/>
        <v>0</v>
      </c>
      <c r="G53" s="41">
        <f t="shared" si="8"/>
        <v>2817504</v>
      </c>
      <c r="H53" s="41">
        <f t="shared" si="8"/>
        <v>0</v>
      </c>
      <c r="I53" s="41">
        <f t="shared" si="6"/>
        <v>198438434</v>
      </c>
    </row>
    <row r="54" spans="1:9" x14ac:dyDescent="0.2">
      <c r="A54" s="39">
        <f t="shared" si="7"/>
        <v>39</v>
      </c>
      <c r="B54" s="39" t="s">
        <v>149</v>
      </c>
      <c r="D54" s="41">
        <f t="shared" si="8"/>
        <v>34150600</v>
      </c>
      <c r="E54" s="41">
        <f t="shared" si="8"/>
        <v>0</v>
      </c>
      <c r="F54" s="41">
        <f t="shared" si="8"/>
        <v>0</v>
      </c>
      <c r="G54" s="41">
        <f t="shared" si="8"/>
        <v>491890</v>
      </c>
      <c r="H54" s="41">
        <f t="shared" si="8"/>
        <v>0</v>
      </c>
      <c r="I54" s="41">
        <f t="shared" si="6"/>
        <v>34642490</v>
      </c>
    </row>
    <row r="55" spans="1:9" x14ac:dyDescent="0.2">
      <c r="A55" s="39">
        <f t="shared" si="7"/>
        <v>40</v>
      </c>
      <c r="B55" s="42" t="s">
        <v>173</v>
      </c>
      <c r="D55" s="41">
        <f t="shared" si="8"/>
        <v>0</v>
      </c>
      <c r="E55" s="41">
        <f t="shared" si="8"/>
        <v>0</v>
      </c>
      <c r="F55" s="41">
        <f t="shared" si="8"/>
        <v>0</v>
      </c>
      <c r="G55" s="41">
        <f t="shared" si="8"/>
        <v>0</v>
      </c>
      <c r="H55" s="41">
        <f t="shared" si="8"/>
        <v>0</v>
      </c>
      <c r="I55" s="41">
        <f t="shared" si="6"/>
        <v>0</v>
      </c>
    </row>
    <row r="56" spans="1:9" x14ac:dyDescent="0.2">
      <c r="A56" s="39">
        <f t="shared" si="7"/>
        <v>41</v>
      </c>
      <c r="B56" s="42" t="s">
        <v>168</v>
      </c>
      <c r="C56" s="42"/>
      <c r="D56" s="41">
        <f t="shared" si="8"/>
        <v>0</v>
      </c>
      <c r="E56" s="41">
        <f t="shared" si="8"/>
        <v>0</v>
      </c>
      <c r="F56" s="41">
        <f t="shared" si="8"/>
        <v>0</v>
      </c>
      <c r="G56" s="41">
        <f t="shared" si="8"/>
        <v>0</v>
      </c>
      <c r="H56" s="41">
        <f t="shared" si="8"/>
        <v>0</v>
      </c>
      <c r="I56" s="41">
        <f t="shared" si="6"/>
        <v>0</v>
      </c>
    </row>
    <row r="57" spans="1:9" x14ac:dyDescent="0.2">
      <c r="A57" s="39">
        <f t="shared" si="7"/>
        <v>42</v>
      </c>
      <c r="B57" s="42" t="s">
        <v>163</v>
      </c>
      <c r="C57" s="42"/>
      <c r="D57" s="41">
        <f>D23-D37-D58</f>
        <v>58417206</v>
      </c>
      <c r="E57" s="41">
        <f>E23-E37-E58</f>
        <v>0</v>
      </c>
      <c r="F57" s="41">
        <f>F23-F37-F58</f>
        <v>0</v>
      </c>
      <c r="G57" s="41">
        <f>G23-G37-G58</f>
        <v>0</v>
      </c>
      <c r="H57" s="41">
        <f>H23-H37-H58</f>
        <v>0</v>
      </c>
      <c r="I57" s="41">
        <f t="shared" si="6"/>
        <v>58417206</v>
      </c>
    </row>
    <row r="58" spans="1:9" x14ac:dyDescent="0.2">
      <c r="A58" s="39">
        <f t="shared" si="7"/>
        <v>43</v>
      </c>
      <c r="B58" s="39" t="s">
        <v>151</v>
      </c>
      <c r="D58" s="41">
        <v>8345294</v>
      </c>
      <c r="E58" s="41">
        <v>0</v>
      </c>
      <c r="F58" s="41">
        <v>0</v>
      </c>
      <c r="G58" s="41">
        <v>0</v>
      </c>
      <c r="H58" s="41">
        <v>0</v>
      </c>
      <c r="I58" s="41">
        <f t="shared" si="6"/>
        <v>8345294</v>
      </c>
    </row>
    <row r="59" spans="1:9" x14ac:dyDescent="0.2">
      <c r="B59" s="42" t="s">
        <v>172</v>
      </c>
      <c r="D59" s="41"/>
      <c r="E59" s="41"/>
      <c r="F59" s="41"/>
      <c r="G59" s="41"/>
      <c r="H59" s="41"/>
      <c r="I59" s="41"/>
    </row>
    <row r="60" spans="1:9" x14ac:dyDescent="0.2">
      <c r="A60" s="39">
        <f>A58+1</f>
        <v>44</v>
      </c>
      <c r="B60" s="42"/>
      <c r="C60" s="42" t="s">
        <v>175</v>
      </c>
      <c r="D60" s="41">
        <f>D25</f>
        <v>824218</v>
      </c>
      <c r="E60" s="41">
        <f>E25</f>
        <v>0</v>
      </c>
      <c r="F60" s="41">
        <f>F25</f>
        <v>0</v>
      </c>
      <c r="G60" s="41">
        <f>G25</f>
        <v>517003</v>
      </c>
      <c r="H60" s="41">
        <f>H25</f>
        <v>0</v>
      </c>
      <c r="I60" s="41">
        <f>SUM(D60:H60)</f>
        <v>1341221</v>
      </c>
    </row>
    <row r="61" spans="1:9" x14ac:dyDescent="0.2">
      <c r="A61" s="39">
        <f>A60+1</f>
        <v>45</v>
      </c>
      <c r="B61" s="42"/>
      <c r="C61" s="42" t="s">
        <v>182</v>
      </c>
      <c r="D61" s="41">
        <f t="shared" ref="D61:E63" si="9">D26</f>
        <v>0</v>
      </c>
      <c r="E61" s="41">
        <f t="shared" si="9"/>
        <v>0</v>
      </c>
      <c r="F61" s="41">
        <f t="shared" ref="F61:H63" si="10">F26</f>
        <v>0</v>
      </c>
      <c r="G61" s="41">
        <f t="shared" si="10"/>
        <v>-1804253</v>
      </c>
      <c r="H61" s="41">
        <f t="shared" si="10"/>
        <v>0</v>
      </c>
      <c r="I61" s="41">
        <f>SUM(D61:H61)</f>
        <v>-1804253</v>
      </c>
    </row>
    <row r="62" spans="1:9" x14ac:dyDescent="0.2">
      <c r="A62" s="39">
        <f>A61+1</f>
        <v>46</v>
      </c>
      <c r="B62" s="42"/>
      <c r="C62" s="42" t="s">
        <v>201</v>
      </c>
      <c r="D62" s="41">
        <f t="shared" si="9"/>
        <v>0</v>
      </c>
      <c r="E62" s="41">
        <f t="shared" si="9"/>
        <v>0</v>
      </c>
      <c r="F62" s="41">
        <f t="shared" si="10"/>
        <v>0</v>
      </c>
      <c r="G62" s="41">
        <f t="shared" si="10"/>
        <v>0</v>
      </c>
      <c r="H62" s="41">
        <f t="shared" si="10"/>
        <v>0</v>
      </c>
      <c r="I62" s="41">
        <f>SUM(D62:H62)</f>
        <v>0</v>
      </c>
    </row>
    <row r="63" spans="1:9" x14ac:dyDescent="0.2">
      <c r="A63" s="39">
        <f>A62+1</f>
        <v>47</v>
      </c>
      <c r="B63" s="42"/>
      <c r="C63" s="42" t="s">
        <v>183</v>
      </c>
      <c r="D63" s="41">
        <f t="shared" si="9"/>
        <v>0</v>
      </c>
      <c r="E63" s="41">
        <f t="shared" si="9"/>
        <v>0</v>
      </c>
      <c r="F63" s="41">
        <f t="shared" si="10"/>
        <v>0</v>
      </c>
      <c r="G63" s="41">
        <f t="shared" si="10"/>
        <v>0</v>
      </c>
      <c r="H63" s="41">
        <f t="shared" si="10"/>
        <v>0</v>
      </c>
      <c r="I63" s="41">
        <f>SUM(D63:H63)</f>
        <v>0</v>
      </c>
    </row>
    <row r="64" spans="1:9" x14ac:dyDescent="0.2">
      <c r="D64" s="41"/>
      <c r="E64" s="41"/>
      <c r="F64" s="41"/>
      <c r="G64" s="41"/>
      <c r="H64" s="41"/>
      <c r="I64" s="41"/>
    </row>
    <row r="65" spans="1:9" x14ac:dyDescent="0.2">
      <c r="A65" s="39">
        <f>A63+1</f>
        <v>48</v>
      </c>
      <c r="B65" s="42" t="s">
        <v>184</v>
      </c>
      <c r="C65" s="42"/>
      <c r="D65" s="41">
        <f t="shared" ref="D65:I65" si="11">SUM(D42:D63)</f>
        <v>5116580777</v>
      </c>
      <c r="E65" s="41">
        <f t="shared" si="11"/>
        <v>0</v>
      </c>
      <c r="F65" s="41">
        <f t="shared" si="11"/>
        <v>0</v>
      </c>
      <c r="G65" s="41">
        <f t="shared" si="11"/>
        <v>80255179</v>
      </c>
      <c r="H65" s="41">
        <f t="shared" si="11"/>
        <v>0</v>
      </c>
      <c r="I65" s="41">
        <f t="shared" si="11"/>
        <v>5196835956</v>
      </c>
    </row>
    <row r="66" spans="1:9" x14ac:dyDescent="0.2">
      <c r="A66" s="39">
        <f>A65+1</f>
        <v>49</v>
      </c>
      <c r="B66" s="42" t="s">
        <v>160</v>
      </c>
      <c r="C66" s="42"/>
      <c r="D66" s="41">
        <f t="shared" ref="D66:I66" si="12">D65-D58</f>
        <v>5108235483</v>
      </c>
      <c r="E66" s="41">
        <f t="shared" si="12"/>
        <v>0</v>
      </c>
      <c r="F66" s="41">
        <f t="shared" si="12"/>
        <v>0</v>
      </c>
      <c r="G66" s="41">
        <f t="shared" si="12"/>
        <v>80255179</v>
      </c>
      <c r="H66" s="41">
        <f t="shared" si="12"/>
        <v>0</v>
      </c>
      <c r="I66" s="41">
        <f t="shared" si="12"/>
        <v>5188490662</v>
      </c>
    </row>
    <row r="67" spans="1:9" x14ac:dyDescent="0.2">
      <c r="A67" s="39">
        <f>A66+1</f>
        <v>50</v>
      </c>
      <c r="B67" s="42" t="s">
        <v>161</v>
      </c>
      <c r="C67" s="42"/>
      <c r="D67" s="41">
        <f t="shared" ref="D67:I67" si="13">D58</f>
        <v>8345294</v>
      </c>
      <c r="E67" s="41">
        <f t="shared" si="13"/>
        <v>0</v>
      </c>
      <c r="F67" s="41">
        <f t="shared" si="13"/>
        <v>0</v>
      </c>
      <c r="G67" s="41">
        <f t="shared" si="13"/>
        <v>0</v>
      </c>
      <c r="H67" s="41">
        <f t="shared" si="13"/>
        <v>0</v>
      </c>
      <c r="I67" s="41">
        <f t="shared" si="13"/>
        <v>8345294</v>
      </c>
    </row>
    <row r="68" spans="1:9" x14ac:dyDescent="0.2">
      <c r="B68" s="42"/>
      <c r="C68" s="42"/>
      <c r="D68" s="41"/>
      <c r="E68" s="41"/>
      <c r="F68" s="41"/>
      <c r="G68" s="41"/>
      <c r="H68" s="41"/>
      <c r="I68" s="41"/>
    </row>
    <row r="69" spans="1:9" x14ac:dyDescent="0.2">
      <c r="A69" s="39">
        <f>A67+1</f>
        <v>51</v>
      </c>
      <c r="B69" s="42" t="s">
        <v>166</v>
      </c>
      <c r="C69" s="42"/>
      <c r="D69" s="41">
        <v>-45908384</v>
      </c>
      <c r="E69" s="41">
        <v>0</v>
      </c>
      <c r="F69" s="41">
        <v>0</v>
      </c>
      <c r="G69" s="41">
        <f>-46570547-D69</f>
        <v>-662163</v>
      </c>
      <c r="H69" s="41">
        <v>0</v>
      </c>
      <c r="I69" s="41">
        <f>SUM(D69:H69)</f>
        <v>-46570547</v>
      </c>
    </row>
    <row r="70" spans="1:9" x14ac:dyDescent="0.2">
      <c r="D70" s="40"/>
      <c r="E70" s="40"/>
      <c r="F70" s="40"/>
      <c r="G70" s="40"/>
      <c r="H70" s="40"/>
      <c r="I70" s="40"/>
    </row>
    <row r="71" spans="1:9" x14ac:dyDescent="0.2">
      <c r="A71" s="101" t="s">
        <v>248</v>
      </c>
      <c r="B71" s="101"/>
      <c r="C71" s="102"/>
      <c r="D71" s="103" t="s">
        <v>176</v>
      </c>
      <c r="E71" s="103" t="s">
        <v>181</v>
      </c>
      <c r="F71" s="103" t="s">
        <v>177</v>
      </c>
      <c r="G71" s="103" t="s">
        <v>178</v>
      </c>
      <c r="H71" s="103" t="s">
        <v>179</v>
      </c>
      <c r="I71" s="103" t="s">
        <v>180</v>
      </c>
    </row>
    <row r="73" spans="1:9" x14ac:dyDescent="0.2">
      <c r="A73" s="39">
        <v>1</v>
      </c>
      <c r="B73" s="39" t="s">
        <v>140</v>
      </c>
      <c r="D73" s="41">
        <f>'Pupil Data'!C197</f>
        <v>948532</v>
      </c>
      <c r="E73" s="41">
        <v>0</v>
      </c>
      <c r="F73" s="41">
        <f>'Pupil Data'!D197</f>
        <v>0</v>
      </c>
      <c r="G73" s="41">
        <f>'Pupil Data'!E197</f>
        <v>13614</v>
      </c>
      <c r="H73" s="41">
        <f>'Pupil Data'!F197</f>
        <v>0</v>
      </c>
      <c r="I73" s="41">
        <f>SUM(D73:H73)</f>
        <v>962146</v>
      </c>
    </row>
    <row r="75" spans="1:9" x14ac:dyDescent="0.2">
      <c r="B75" s="42" t="s">
        <v>155</v>
      </c>
      <c r="D75" s="40"/>
      <c r="E75" s="40"/>
      <c r="F75" s="40"/>
      <c r="G75" s="40"/>
      <c r="H75" s="40"/>
      <c r="I75" s="40"/>
    </row>
    <row r="76" spans="1:9" x14ac:dyDescent="0.2">
      <c r="A76" s="39">
        <f>A73+1</f>
        <v>2</v>
      </c>
      <c r="B76" s="39" t="s">
        <v>141</v>
      </c>
      <c r="D76" s="41">
        <v>4426308266</v>
      </c>
      <c r="E76" s="41">
        <v>0</v>
      </c>
      <c r="F76" s="41">
        <v>0</v>
      </c>
      <c r="G76" s="41">
        <v>63752054</v>
      </c>
      <c r="H76" s="41">
        <v>0</v>
      </c>
      <c r="I76" s="41">
        <f>SUM(D76:H76)</f>
        <v>4490060320</v>
      </c>
    </row>
    <row r="77" spans="1:9" x14ac:dyDescent="0.2">
      <c r="A77" s="39">
        <f>A76+1</f>
        <v>3</v>
      </c>
      <c r="B77" s="42" t="s">
        <v>167</v>
      </c>
      <c r="C77" s="42"/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f>SUM(D77:H77)</f>
        <v>0</v>
      </c>
    </row>
    <row r="78" spans="1:9" x14ac:dyDescent="0.2">
      <c r="A78" s="39">
        <f>A77+1</f>
        <v>4</v>
      </c>
      <c r="B78" s="39" t="s">
        <v>142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f>SUM(D78:H78)</f>
        <v>0</v>
      </c>
    </row>
    <row r="79" spans="1:9" x14ac:dyDescent="0.2">
      <c r="B79" s="42" t="s">
        <v>171</v>
      </c>
      <c r="D79" s="41"/>
      <c r="E79" s="41"/>
      <c r="F79" s="41"/>
      <c r="G79" s="41"/>
      <c r="H79" s="41"/>
      <c r="I79" s="41"/>
    </row>
    <row r="80" spans="1:9" x14ac:dyDescent="0.2">
      <c r="A80" s="39">
        <f>A78+1</f>
        <v>5</v>
      </c>
      <c r="C80" s="39" t="s">
        <v>143</v>
      </c>
      <c r="D80" s="41">
        <v>250666023</v>
      </c>
      <c r="E80" s="41">
        <v>0</v>
      </c>
      <c r="F80" s="41">
        <v>0</v>
      </c>
      <c r="G80" s="41">
        <v>12028663</v>
      </c>
      <c r="H80" s="41">
        <v>0</v>
      </c>
      <c r="I80" s="41">
        <f t="shared" ref="I80:I91" si="14">SUM(D80:H80)</f>
        <v>262694686</v>
      </c>
    </row>
    <row r="81" spans="1:9" x14ac:dyDescent="0.2">
      <c r="A81" s="39">
        <f t="shared" ref="A81:A91" si="15">A80+1</f>
        <v>6</v>
      </c>
      <c r="C81" s="39" t="s">
        <v>144</v>
      </c>
      <c r="D81" s="41">
        <v>35700072</v>
      </c>
      <c r="E81" s="41">
        <v>0</v>
      </c>
      <c r="F81" s="41">
        <v>0</v>
      </c>
      <c r="G81" s="41">
        <v>1157155</v>
      </c>
      <c r="H81" s="41">
        <v>0</v>
      </c>
      <c r="I81" s="41">
        <f t="shared" si="14"/>
        <v>36857227</v>
      </c>
    </row>
    <row r="82" spans="1:9" x14ac:dyDescent="0.2">
      <c r="A82" s="39">
        <f t="shared" si="15"/>
        <v>7</v>
      </c>
      <c r="B82" s="42"/>
      <c r="C82" s="42" t="s">
        <v>170</v>
      </c>
      <c r="D82" s="41">
        <v>9436234</v>
      </c>
      <c r="E82" s="41">
        <v>0</v>
      </c>
      <c r="F82" s="41">
        <v>0</v>
      </c>
      <c r="G82" s="41">
        <v>342874</v>
      </c>
      <c r="H82" s="41">
        <v>0</v>
      </c>
      <c r="I82" s="41">
        <f t="shared" si="14"/>
        <v>9779108</v>
      </c>
    </row>
    <row r="83" spans="1:9" x14ac:dyDescent="0.2">
      <c r="A83" s="39">
        <f t="shared" si="15"/>
        <v>8</v>
      </c>
      <c r="B83" s="39" t="s">
        <v>145</v>
      </c>
      <c r="D83" s="41">
        <v>16237664</v>
      </c>
      <c r="E83" s="41">
        <v>0</v>
      </c>
      <c r="F83" s="41">
        <v>0</v>
      </c>
      <c r="G83" s="41">
        <v>233887</v>
      </c>
      <c r="H83" s="41">
        <v>0</v>
      </c>
      <c r="I83" s="41">
        <f t="shared" si="14"/>
        <v>16471551</v>
      </c>
    </row>
    <row r="84" spans="1:9" x14ac:dyDescent="0.2">
      <c r="A84" s="39">
        <f t="shared" si="15"/>
        <v>9</v>
      </c>
      <c r="B84" s="39" t="s">
        <v>146</v>
      </c>
      <c r="D84" s="41">
        <v>56116444</v>
      </c>
      <c r="E84" s="41">
        <v>0</v>
      </c>
      <c r="F84" s="41">
        <v>0</v>
      </c>
      <c r="G84" s="41">
        <v>361920</v>
      </c>
      <c r="H84" s="41">
        <v>0</v>
      </c>
      <c r="I84" s="41">
        <f t="shared" si="14"/>
        <v>56478364</v>
      </c>
    </row>
    <row r="85" spans="1:9" x14ac:dyDescent="0.2">
      <c r="A85" s="39">
        <f t="shared" si="15"/>
        <v>10</v>
      </c>
      <c r="B85" s="39" t="s">
        <v>148</v>
      </c>
      <c r="D85" s="41">
        <v>24757826</v>
      </c>
      <c r="E85" s="41">
        <v>0</v>
      </c>
      <c r="F85" s="41">
        <v>0</v>
      </c>
      <c r="G85" s="41">
        <v>356482</v>
      </c>
      <c r="H85" s="41">
        <v>0</v>
      </c>
      <c r="I85" s="41">
        <f t="shared" si="14"/>
        <v>25114308</v>
      </c>
    </row>
    <row r="86" spans="1:9" x14ac:dyDescent="0.2">
      <c r="A86" s="39">
        <f t="shared" si="15"/>
        <v>11</v>
      </c>
      <c r="B86" s="42" t="s">
        <v>244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41">
        <f t="shared" si="14"/>
        <v>0</v>
      </c>
    </row>
    <row r="87" spans="1:9" x14ac:dyDescent="0.2">
      <c r="A87" s="39">
        <f t="shared" si="15"/>
        <v>12</v>
      </c>
      <c r="B87" s="39" t="s">
        <v>147</v>
      </c>
      <c r="D87" s="41">
        <v>195620930</v>
      </c>
      <c r="E87" s="41">
        <v>0</v>
      </c>
      <c r="F87" s="41">
        <v>0</v>
      </c>
      <c r="G87" s="41">
        <v>2817504</v>
      </c>
      <c r="H87" s="41">
        <v>0</v>
      </c>
      <c r="I87" s="41">
        <f t="shared" si="14"/>
        <v>198438434</v>
      </c>
    </row>
    <row r="88" spans="1:9" x14ac:dyDescent="0.2">
      <c r="A88" s="39">
        <f t="shared" si="15"/>
        <v>13</v>
      </c>
      <c r="B88" s="39" t="s">
        <v>149</v>
      </c>
      <c r="D88" s="41">
        <v>34150600</v>
      </c>
      <c r="E88" s="41">
        <v>0</v>
      </c>
      <c r="F88" s="41">
        <v>0</v>
      </c>
      <c r="G88" s="41">
        <v>491890</v>
      </c>
      <c r="H88" s="41">
        <v>0</v>
      </c>
      <c r="I88" s="41">
        <f t="shared" si="14"/>
        <v>34642490</v>
      </c>
    </row>
    <row r="89" spans="1:9" x14ac:dyDescent="0.2">
      <c r="A89" s="39">
        <f t="shared" si="15"/>
        <v>14</v>
      </c>
      <c r="B89" s="42" t="s">
        <v>173</v>
      </c>
      <c r="D89" s="41">
        <v>0</v>
      </c>
      <c r="E89" s="41">
        <v>0</v>
      </c>
      <c r="F89" s="41">
        <v>0</v>
      </c>
      <c r="G89" s="41">
        <v>0</v>
      </c>
      <c r="H89" s="41">
        <v>0</v>
      </c>
      <c r="I89" s="41">
        <f t="shared" si="14"/>
        <v>0</v>
      </c>
    </row>
    <row r="90" spans="1:9" x14ac:dyDescent="0.2">
      <c r="A90" s="39">
        <f t="shared" si="15"/>
        <v>15</v>
      </c>
      <c r="B90" s="42" t="s">
        <v>168</v>
      </c>
      <c r="C90" s="42"/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f t="shared" si="14"/>
        <v>0</v>
      </c>
    </row>
    <row r="91" spans="1:9" x14ac:dyDescent="0.2">
      <c r="A91" s="39">
        <f t="shared" si="15"/>
        <v>16</v>
      </c>
      <c r="B91" s="39" t="s">
        <v>150</v>
      </c>
      <c r="D91" s="41">
        <v>291708358</v>
      </c>
      <c r="E91" s="41">
        <v>0</v>
      </c>
      <c r="F91" s="41">
        <v>0</v>
      </c>
      <c r="G91" s="41">
        <v>0</v>
      </c>
      <c r="H91" s="41">
        <v>0</v>
      </c>
      <c r="I91" s="41">
        <f t="shared" si="14"/>
        <v>291708358</v>
      </c>
    </row>
    <row r="92" spans="1:9" x14ac:dyDescent="0.2">
      <c r="B92" s="42" t="s">
        <v>172</v>
      </c>
      <c r="D92" s="41"/>
      <c r="E92" s="41"/>
      <c r="F92" s="41"/>
      <c r="G92" s="41"/>
      <c r="H92" s="41"/>
      <c r="I92" s="41"/>
    </row>
    <row r="93" spans="1:9" x14ac:dyDescent="0.2">
      <c r="A93" s="39">
        <f>A91+1</f>
        <v>17</v>
      </c>
      <c r="B93" s="42"/>
      <c r="C93" s="42" t="s">
        <v>175</v>
      </c>
      <c r="D93" s="41">
        <v>824218</v>
      </c>
      <c r="E93" s="41">
        <v>0</v>
      </c>
      <c r="F93" s="41">
        <v>0</v>
      </c>
      <c r="G93" s="41">
        <v>517003</v>
      </c>
      <c r="H93" s="41">
        <v>0</v>
      </c>
      <c r="I93" s="41">
        <f>SUM(D93:H93)</f>
        <v>1341221</v>
      </c>
    </row>
    <row r="94" spans="1:9" x14ac:dyDescent="0.2">
      <c r="A94" s="39">
        <f>A93+1</f>
        <v>18</v>
      </c>
      <c r="B94" s="42"/>
      <c r="C94" s="42" t="s">
        <v>182</v>
      </c>
      <c r="D94" s="41">
        <v>0</v>
      </c>
      <c r="E94" s="41">
        <v>0</v>
      </c>
      <c r="F94" s="41">
        <v>0</v>
      </c>
      <c r="G94" s="41">
        <v>-1804253</v>
      </c>
      <c r="H94" s="41">
        <v>0</v>
      </c>
      <c r="I94" s="41">
        <f>SUM(D94:H94)</f>
        <v>-1804253</v>
      </c>
    </row>
    <row r="95" spans="1:9" x14ac:dyDescent="0.2">
      <c r="A95" s="39">
        <f>A94+1</f>
        <v>19</v>
      </c>
      <c r="B95" s="42"/>
      <c r="C95" s="42" t="s">
        <v>201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f>SUM(D95:H95)</f>
        <v>0</v>
      </c>
    </row>
    <row r="96" spans="1:9" x14ac:dyDescent="0.2">
      <c r="A96" s="39">
        <f>A95+1</f>
        <v>20</v>
      </c>
      <c r="B96" s="42"/>
      <c r="C96" s="42" t="s">
        <v>183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f>SUM(D96:H96)</f>
        <v>0</v>
      </c>
    </row>
    <row r="97" spans="1:9" x14ac:dyDescent="0.2">
      <c r="D97" s="41"/>
      <c r="E97" s="41"/>
      <c r="F97" s="41"/>
      <c r="G97" s="41"/>
      <c r="H97" s="41"/>
      <c r="I97" s="41"/>
    </row>
    <row r="98" spans="1:9" x14ac:dyDescent="0.2">
      <c r="A98" s="39">
        <f>A96+1</f>
        <v>21</v>
      </c>
      <c r="B98" s="42" t="s">
        <v>158</v>
      </c>
      <c r="D98" s="41">
        <f t="shared" ref="D98:I98" si="16">SUM(D76:D96)</f>
        <v>5341526635</v>
      </c>
      <c r="E98" s="41">
        <f t="shared" si="16"/>
        <v>0</v>
      </c>
      <c r="F98" s="41">
        <f t="shared" si="16"/>
        <v>0</v>
      </c>
      <c r="G98" s="41">
        <f t="shared" si="16"/>
        <v>80255179</v>
      </c>
      <c r="H98" s="41">
        <f t="shared" si="16"/>
        <v>0</v>
      </c>
      <c r="I98" s="41">
        <f t="shared" si="16"/>
        <v>5421781814</v>
      </c>
    </row>
    <row r="99" spans="1:9" x14ac:dyDescent="0.2">
      <c r="D99" s="41"/>
      <c r="E99" s="41"/>
      <c r="F99" s="41"/>
      <c r="G99" s="41"/>
      <c r="H99" s="41"/>
      <c r="I99" s="41"/>
    </row>
    <row r="100" spans="1:9" x14ac:dyDescent="0.2">
      <c r="B100" s="42" t="s">
        <v>156</v>
      </c>
      <c r="C100" s="42"/>
      <c r="D100" s="41"/>
      <c r="E100" s="41"/>
      <c r="F100" s="41"/>
      <c r="G100" s="41"/>
      <c r="H100" s="41"/>
      <c r="I100" s="41"/>
    </row>
    <row r="101" spans="1:9" x14ac:dyDescent="0.2">
      <c r="A101" s="39">
        <f>A98+1</f>
        <v>22</v>
      </c>
      <c r="B101" s="39" t="s">
        <v>153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f>SUM(D101:H101)</f>
        <v>0</v>
      </c>
    </row>
    <row r="102" spans="1:9" x14ac:dyDescent="0.2">
      <c r="A102" s="39">
        <f>A101+1</f>
        <v>23</v>
      </c>
      <c r="B102" s="39" t="s">
        <v>152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f>SUM(D102:H102)</f>
        <v>0</v>
      </c>
    </row>
    <row r="103" spans="1:9" x14ac:dyDescent="0.2">
      <c r="A103" s="39">
        <f>A102+1</f>
        <v>24</v>
      </c>
      <c r="B103" s="42" t="s">
        <v>174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f>SUM(D103:H103)</f>
        <v>0</v>
      </c>
    </row>
    <row r="104" spans="1:9" x14ac:dyDescent="0.2">
      <c r="A104" s="39">
        <f>A103+1</f>
        <v>25</v>
      </c>
      <c r="B104" s="42" t="s">
        <v>168</v>
      </c>
      <c r="C104" s="42"/>
      <c r="D104" s="41">
        <v>0</v>
      </c>
      <c r="E104" s="41">
        <v>0</v>
      </c>
      <c r="F104" s="41">
        <v>0</v>
      </c>
      <c r="G104" s="41">
        <v>0</v>
      </c>
      <c r="H104" s="41">
        <v>0</v>
      </c>
      <c r="I104" s="41">
        <f>SUM(D104:H104)</f>
        <v>0</v>
      </c>
    </row>
    <row r="105" spans="1:9" x14ac:dyDescent="0.2">
      <c r="A105" s="39">
        <f>A104+1</f>
        <v>26</v>
      </c>
      <c r="B105" s="39" t="s">
        <v>154</v>
      </c>
      <c r="D105" s="41">
        <v>224945858</v>
      </c>
      <c r="E105" s="41">
        <v>0</v>
      </c>
      <c r="F105" s="41">
        <v>0</v>
      </c>
      <c r="G105" s="41">
        <v>0</v>
      </c>
      <c r="H105" s="41">
        <v>0</v>
      </c>
      <c r="I105" s="41">
        <f>SUM(D105:H105)</f>
        <v>224945858</v>
      </c>
    </row>
    <row r="106" spans="1:9" x14ac:dyDescent="0.2">
      <c r="D106" s="41"/>
      <c r="E106" s="41"/>
      <c r="F106" s="41"/>
      <c r="G106" s="41"/>
      <c r="H106" s="41"/>
      <c r="I106" s="41"/>
    </row>
    <row r="107" spans="1:9" x14ac:dyDescent="0.2">
      <c r="A107" s="39">
        <f>A105+1</f>
        <v>27</v>
      </c>
      <c r="B107" s="42" t="s">
        <v>159</v>
      </c>
      <c r="C107" s="42"/>
      <c r="D107" s="41">
        <f t="shared" ref="D107:I107" si="17">SUM(D101:D105)</f>
        <v>224945858</v>
      </c>
      <c r="E107" s="41">
        <f t="shared" si="17"/>
        <v>0</v>
      </c>
      <c r="F107" s="41">
        <f t="shared" si="17"/>
        <v>0</v>
      </c>
      <c r="G107" s="41">
        <f t="shared" si="17"/>
        <v>0</v>
      </c>
      <c r="H107" s="41">
        <f t="shared" si="17"/>
        <v>0</v>
      </c>
      <c r="I107" s="41">
        <f t="shared" si="17"/>
        <v>224945858</v>
      </c>
    </row>
    <row r="108" spans="1:9" x14ac:dyDescent="0.2">
      <c r="B108" s="42"/>
      <c r="C108" s="42"/>
      <c r="D108" s="41"/>
      <c r="E108" s="41"/>
      <c r="F108" s="41"/>
      <c r="G108" s="41"/>
      <c r="H108" s="41"/>
      <c r="I108" s="41"/>
    </row>
    <row r="109" spans="1:9" x14ac:dyDescent="0.2">
      <c r="B109" s="42" t="s">
        <v>157</v>
      </c>
      <c r="C109" s="42"/>
      <c r="D109" s="41"/>
      <c r="E109" s="41"/>
      <c r="F109" s="41"/>
      <c r="G109" s="41"/>
      <c r="H109" s="41"/>
      <c r="I109" s="41"/>
    </row>
    <row r="110" spans="1:9" x14ac:dyDescent="0.2">
      <c r="A110" s="39">
        <f>A107+1</f>
        <v>28</v>
      </c>
      <c r="B110" s="39" t="s">
        <v>141</v>
      </c>
      <c r="D110" s="41">
        <f t="shared" ref="D110:H112" si="18">D76</f>
        <v>4426308266</v>
      </c>
      <c r="E110" s="41">
        <f t="shared" si="18"/>
        <v>0</v>
      </c>
      <c r="F110" s="41">
        <f t="shared" si="18"/>
        <v>0</v>
      </c>
      <c r="G110" s="41">
        <f t="shared" si="18"/>
        <v>63752054</v>
      </c>
      <c r="H110" s="41">
        <f t="shared" si="18"/>
        <v>0</v>
      </c>
      <c r="I110" s="41">
        <f>SUM(D110:H110)</f>
        <v>4490060320</v>
      </c>
    </row>
    <row r="111" spans="1:9" x14ac:dyDescent="0.2">
      <c r="A111" s="39">
        <f>A110+1</f>
        <v>29</v>
      </c>
      <c r="B111" s="42" t="s">
        <v>167</v>
      </c>
      <c r="C111" s="42"/>
      <c r="D111" s="41">
        <f t="shared" si="18"/>
        <v>0</v>
      </c>
      <c r="E111" s="41">
        <f t="shared" si="18"/>
        <v>0</v>
      </c>
      <c r="F111" s="41">
        <f t="shared" si="18"/>
        <v>0</v>
      </c>
      <c r="G111" s="41">
        <f t="shared" si="18"/>
        <v>0</v>
      </c>
      <c r="H111" s="41">
        <f t="shared" si="18"/>
        <v>0</v>
      </c>
      <c r="I111" s="41">
        <f>SUM(D111:H111)</f>
        <v>0</v>
      </c>
    </row>
    <row r="112" spans="1:9" x14ac:dyDescent="0.2">
      <c r="A112" s="39">
        <f>A111+1</f>
        <v>30</v>
      </c>
      <c r="B112" s="39" t="s">
        <v>142</v>
      </c>
      <c r="D112" s="41">
        <f t="shared" si="18"/>
        <v>0</v>
      </c>
      <c r="E112" s="41">
        <f t="shared" si="18"/>
        <v>0</v>
      </c>
      <c r="F112" s="41">
        <f t="shared" si="18"/>
        <v>0</v>
      </c>
      <c r="G112" s="41">
        <f t="shared" si="18"/>
        <v>0</v>
      </c>
      <c r="H112" s="41">
        <f t="shared" si="18"/>
        <v>0</v>
      </c>
      <c r="I112" s="41">
        <f>SUM(D112:H112)</f>
        <v>0</v>
      </c>
    </row>
    <row r="113" spans="1:9" x14ac:dyDescent="0.2">
      <c r="B113" s="42" t="s">
        <v>171</v>
      </c>
      <c r="D113" s="41"/>
      <c r="E113" s="41"/>
      <c r="F113" s="41"/>
      <c r="G113" s="41"/>
      <c r="H113" s="41"/>
      <c r="I113" s="41"/>
    </row>
    <row r="114" spans="1:9" x14ac:dyDescent="0.2">
      <c r="A114" s="39">
        <f>A112+1</f>
        <v>31</v>
      </c>
      <c r="C114" s="39" t="s">
        <v>143</v>
      </c>
      <c r="D114" s="41">
        <f t="shared" ref="D114:H120" si="19">D80</f>
        <v>250666023</v>
      </c>
      <c r="E114" s="41">
        <f t="shared" si="19"/>
        <v>0</v>
      </c>
      <c r="F114" s="41">
        <f t="shared" si="19"/>
        <v>0</v>
      </c>
      <c r="G114" s="41">
        <f t="shared" si="19"/>
        <v>12028663</v>
      </c>
      <c r="H114" s="41">
        <f t="shared" si="19"/>
        <v>0</v>
      </c>
      <c r="I114" s="41">
        <f t="shared" ref="I114:I119" si="20">SUM(D114:H114)</f>
        <v>262694686</v>
      </c>
    </row>
    <row r="115" spans="1:9" x14ac:dyDescent="0.2">
      <c r="A115" s="39">
        <f t="shared" ref="A115:A126" si="21">A114+1</f>
        <v>32</v>
      </c>
      <c r="C115" s="39" t="s">
        <v>144</v>
      </c>
      <c r="D115" s="41">
        <f t="shared" si="19"/>
        <v>35700072</v>
      </c>
      <c r="E115" s="41">
        <f t="shared" si="19"/>
        <v>0</v>
      </c>
      <c r="F115" s="41">
        <f t="shared" si="19"/>
        <v>0</v>
      </c>
      <c r="G115" s="41">
        <f t="shared" si="19"/>
        <v>1157155</v>
      </c>
      <c r="H115" s="41">
        <f t="shared" si="19"/>
        <v>0</v>
      </c>
      <c r="I115" s="41">
        <f t="shared" si="20"/>
        <v>36857227</v>
      </c>
    </row>
    <row r="116" spans="1:9" x14ac:dyDescent="0.2">
      <c r="A116" s="39">
        <f t="shared" si="21"/>
        <v>33</v>
      </c>
      <c r="B116" s="42"/>
      <c r="C116" s="42" t="s">
        <v>170</v>
      </c>
      <c r="D116" s="41">
        <f t="shared" si="19"/>
        <v>9436234</v>
      </c>
      <c r="E116" s="41">
        <f t="shared" si="19"/>
        <v>0</v>
      </c>
      <c r="F116" s="41">
        <f t="shared" si="19"/>
        <v>0</v>
      </c>
      <c r="G116" s="41">
        <f t="shared" si="19"/>
        <v>342874</v>
      </c>
      <c r="H116" s="41">
        <f t="shared" si="19"/>
        <v>0</v>
      </c>
      <c r="I116" s="41">
        <f t="shared" si="20"/>
        <v>9779108</v>
      </c>
    </row>
    <row r="117" spans="1:9" x14ac:dyDescent="0.2">
      <c r="A117" s="39">
        <f t="shared" si="21"/>
        <v>34</v>
      </c>
      <c r="B117" s="39" t="s">
        <v>145</v>
      </c>
      <c r="D117" s="41">
        <f t="shared" si="19"/>
        <v>16237664</v>
      </c>
      <c r="E117" s="41">
        <f t="shared" si="19"/>
        <v>0</v>
      </c>
      <c r="F117" s="41">
        <f t="shared" si="19"/>
        <v>0</v>
      </c>
      <c r="G117" s="41">
        <f t="shared" si="19"/>
        <v>233887</v>
      </c>
      <c r="H117" s="41">
        <f t="shared" si="19"/>
        <v>0</v>
      </c>
      <c r="I117" s="41">
        <f t="shared" si="20"/>
        <v>16471551</v>
      </c>
    </row>
    <row r="118" spans="1:9" x14ac:dyDescent="0.2">
      <c r="A118" s="39">
        <f t="shared" si="21"/>
        <v>35</v>
      </c>
      <c r="B118" s="39" t="s">
        <v>146</v>
      </c>
      <c r="D118" s="41">
        <f t="shared" si="19"/>
        <v>56116444</v>
      </c>
      <c r="E118" s="41">
        <f t="shared" si="19"/>
        <v>0</v>
      </c>
      <c r="F118" s="41">
        <f t="shared" si="19"/>
        <v>0</v>
      </c>
      <c r="G118" s="41">
        <f t="shared" si="19"/>
        <v>361920</v>
      </c>
      <c r="H118" s="41">
        <f t="shared" si="19"/>
        <v>0</v>
      </c>
      <c r="I118" s="41">
        <f t="shared" si="20"/>
        <v>56478364</v>
      </c>
    </row>
    <row r="119" spans="1:9" x14ac:dyDescent="0.2">
      <c r="A119" s="39">
        <f t="shared" si="21"/>
        <v>36</v>
      </c>
      <c r="B119" s="39" t="s">
        <v>148</v>
      </c>
      <c r="D119" s="41">
        <f t="shared" si="19"/>
        <v>24757826</v>
      </c>
      <c r="E119" s="41">
        <f t="shared" si="19"/>
        <v>0</v>
      </c>
      <c r="F119" s="41">
        <f t="shared" si="19"/>
        <v>0</v>
      </c>
      <c r="G119" s="41">
        <f t="shared" si="19"/>
        <v>356482</v>
      </c>
      <c r="H119" s="41">
        <f t="shared" si="19"/>
        <v>0</v>
      </c>
      <c r="I119" s="41">
        <f t="shared" si="20"/>
        <v>25114308</v>
      </c>
    </row>
    <row r="120" spans="1:9" x14ac:dyDescent="0.2">
      <c r="A120" s="39">
        <f t="shared" si="21"/>
        <v>37</v>
      </c>
      <c r="B120" s="42" t="s">
        <v>244</v>
      </c>
      <c r="D120" s="41">
        <f t="shared" si="19"/>
        <v>0</v>
      </c>
      <c r="E120" s="41">
        <f t="shared" si="19"/>
        <v>0</v>
      </c>
      <c r="F120" s="41">
        <f t="shared" si="19"/>
        <v>0</v>
      </c>
      <c r="G120" s="41">
        <f t="shared" si="19"/>
        <v>0</v>
      </c>
      <c r="H120" s="41">
        <f t="shared" si="19"/>
        <v>0</v>
      </c>
      <c r="I120" s="41">
        <f>SUM(D120:H120)</f>
        <v>0</v>
      </c>
    </row>
    <row r="121" spans="1:9" x14ac:dyDescent="0.2">
      <c r="A121" s="39">
        <f t="shared" si="21"/>
        <v>38</v>
      </c>
      <c r="B121" s="39" t="s">
        <v>147</v>
      </c>
      <c r="D121" s="41">
        <f t="shared" ref="D121:H124" si="22">D87-D101</f>
        <v>195620930</v>
      </c>
      <c r="E121" s="41">
        <f t="shared" si="22"/>
        <v>0</v>
      </c>
      <c r="F121" s="41">
        <f t="shared" si="22"/>
        <v>0</v>
      </c>
      <c r="G121" s="41">
        <f t="shared" si="22"/>
        <v>2817504</v>
      </c>
      <c r="H121" s="41">
        <f t="shared" si="22"/>
        <v>0</v>
      </c>
      <c r="I121" s="41">
        <f t="shared" ref="I121:I126" si="23">SUM(D121:H121)</f>
        <v>198438434</v>
      </c>
    </row>
    <row r="122" spans="1:9" x14ac:dyDescent="0.2">
      <c r="A122" s="39">
        <f t="shared" si="21"/>
        <v>39</v>
      </c>
      <c r="B122" s="39" t="s">
        <v>149</v>
      </c>
      <c r="D122" s="41">
        <f t="shared" si="22"/>
        <v>34150600</v>
      </c>
      <c r="E122" s="41">
        <f t="shared" si="22"/>
        <v>0</v>
      </c>
      <c r="F122" s="41">
        <f t="shared" si="22"/>
        <v>0</v>
      </c>
      <c r="G122" s="41">
        <f t="shared" si="22"/>
        <v>491890</v>
      </c>
      <c r="H122" s="41">
        <f t="shared" si="22"/>
        <v>0</v>
      </c>
      <c r="I122" s="41">
        <f t="shared" si="23"/>
        <v>34642490</v>
      </c>
    </row>
    <row r="123" spans="1:9" x14ac:dyDescent="0.2">
      <c r="A123" s="39">
        <f t="shared" si="21"/>
        <v>40</v>
      </c>
      <c r="B123" s="42" t="s">
        <v>173</v>
      </c>
      <c r="D123" s="41">
        <f t="shared" si="22"/>
        <v>0</v>
      </c>
      <c r="E123" s="41">
        <f t="shared" si="22"/>
        <v>0</v>
      </c>
      <c r="F123" s="41">
        <f t="shared" si="22"/>
        <v>0</v>
      </c>
      <c r="G123" s="41">
        <f t="shared" si="22"/>
        <v>0</v>
      </c>
      <c r="H123" s="41">
        <f t="shared" si="22"/>
        <v>0</v>
      </c>
      <c r="I123" s="41">
        <f t="shared" si="23"/>
        <v>0</v>
      </c>
    </row>
    <row r="124" spans="1:9" x14ac:dyDescent="0.2">
      <c r="A124" s="39">
        <f t="shared" si="21"/>
        <v>41</v>
      </c>
      <c r="B124" s="42" t="s">
        <v>168</v>
      </c>
      <c r="C124" s="42"/>
      <c r="D124" s="41">
        <f t="shared" si="22"/>
        <v>0</v>
      </c>
      <c r="E124" s="41">
        <f t="shared" si="22"/>
        <v>0</v>
      </c>
      <c r="F124" s="41">
        <f t="shared" si="22"/>
        <v>0</v>
      </c>
      <c r="G124" s="41">
        <f t="shared" si="22"/>
        <v>0</v>
      </c>
      <c r="H124" s="41">
        <f t="shared" si="22"/>
        <v>0</v>
      </c>
      <c r="I124" s="41">
        <f t="shared" si="23"/>
        <v>0</v>
      </c>
    </row>
    <row r="125" spans="1:9" x14ac:dyDescent="0.2">
      <c r="A125" s="39">
        <f t="shared" si="21"/>
        <v>42</v>
      </c>
      <c r="B125" s="42" t="s">
        <v>163</v>
      </c>
      <c r="C125" s="42"/>
      <c r="D125" s="41">
        <f>D91-D105-D126</f>
        <v>58417206</v>
      </c>
      <c r="E125" s="41">
        <f>E91-E105-E126</f>
        <v>0</v>
      </c>
      <c r="F125" s="41">
        <f>F91-F105-F126</f>
        <v>0</v>
      </c>
      <c r="G125" s="41">
        <f>G91-G105-G126</f>
        <v>0</v>
      </c>
      <c r="H125" s="41">
        <f>H91-H105-H126</f>
        <v>0</v>
      </c>
      <c r="I125" s="41">
        <f t="shared" si="23"/>
        <v>58417206</v>
      </c>
    </row>
    <row r="126" spans="1:9" x14ac:dyDescent="0.2">
      <c r="A126" s="39">
        <f t="shared" si="21"/>
        <v>43</v>
      </c>
      <c r="B126" s="39" t="s">
        <v>151</v>
      </c>
      <c r="D126" s="41">
        <v>8345294</v>
      </c>
      <c r="E126" s="41">
        <v>0</v>
      </c>
      <c r="F126" s="41">
        <v>0</v>
      </c>
      <c r="G126" s="41">
        <v>0</v>
      </c>
      <c r="H126" s="41">
        <v>0</v>
      </c>
      <c r="I126" s="41">
        <f t="shared" si="23"/>
        <v>8345294</v>
      </c>
    </row>
    <row r="127" spans="1:9" x14ac:dyDescent="0.2">
      <c r="B127" s="42" t="s">
        <v>172</v>
      </c>
      <c r="D127" s="41"/>
      <c r="E127" s="41"/>
      <c r="F127" s="41"/>
      <c r="G127" s="41"/>
      <c r="H127" s="41"/>
      <c r="I127" s="41"/>
    </row>
    <row r="128" spans="1:9" x14ac:dyDescent="0.2">
      <c r="A128" s="39">
        <f>A126+1</f>
        <v>44</v>
      </c>
      <c r="B128" s="42"/>
      <c r="C128" s="42" t="s">
        <v>175</v>
      </c>
      <c r="D128" s="41">
        <f t="shared" ref="D128:H131" si="24">D93</f>
        <v>824218</v>
      </c>
      <c r="E128" s="41">
        <f t="shared" si="24"/>
        <v>0</v>
      </c>
      <c r="F128" s="41">
        <f t="shared" si="24"/>
        <v>0</v>
      </c>
      <c r="G128" s="41">
        <f t="shared" si="24"/>
        <v>517003</v>
      </c>
      <c r="H128" s="41">
        <f t="shared" si="24"/>
        <v>0</v>
      </c>
      <c r="I128" s="41">
        <f>SUM(D128:H128)</f>
        <v>1341221</v>
      </c>
    </row>
    <row r="129" spans="1:9" x14ac:dyDescent="0.2">
      <c r="A129" s="39">
        <f>A128+1</f>
        <v>45</v>
      </c>
      <c r="B129" s="42"/>
      <c r="C129" s="42" t="s">
        <v>182</v>
      </c>
      <c r="D129" s="41">
        <f t="shared" si="24"/>
        <v>0</v>
      </c>
      <c r="E129" s="41">
        <f t="shared" si="24"/>
        <v>0</v>
      </c>
      <c r="F129" s="41">
        <f t="shared" si="24"/>
        <v>0</v>
      </c>
      <c r="G129" s="41">
        <f t="shared" si="24"/>
        <v>-1804253</v>
      </c>
      <c r="H129" s="41">
        <f t="shared" si="24"/>
        <v>0</v>
      </c>
      <c r="I129" s="41">
        <f>SUM(D129:H129)</f>
        <v>-1804253</v>
      </c>
    </row>
    <row r="130" spans="1:9" x14ac:dyDescent="0.2">
      <c r="A130" s="39">
        <f>A129+1</f>
        <v>46</v>
      </c>
      <c r="B130" s="42"/>
      <c r="C130" s="42" t="s">
        <v>201</v>
      </c>
      <c r="D130" s="41">
        <f t="shared" si="24"/>
        <v>0</v>
      </c>
      <c r="E130" s="41">
        <f t="shared" si="24"/>
        <v>0</v>
      </c>
      <c r="F130" s="41">
        <f t="shared" si="24"/>
        <v>0</v>
      </c>
      <c r="G130" s="41">
        <f t="shared" si="24"/>
        <v>0</v>
      </c>
      <c r="H130" s="41">
        <f t="shared" si="24"/>
        <v>0</v>
      </c>
      <c r="I130" s="41">
        <f>SUM(D130:H130)</f>
        <v>0</v>
      </c>
    </row>
    <row r="131" spans="1:9" x14ac:dyDescent="0.2">
      <c r="A131" s="39">
        <f>A130+1</f>
        <v>47</v>
      </c>
      <c r="B131" s="42"/>
      <c r="C131" s="42" t="s">
        <v>183</v>
      </c>
      <c r="D131" s="41">
        <f t="shared" si="24"/>
        <v>0</v>
      </c>
      <c r="E131" s="41">
        <f t="shared" si="24"/>
        <v>0</v>
      </c>
      <c r="F131" s="41">
        <f t="shared" si="24"/>
        <v>0</v>
      </c>
      <c r="G131" s="41">
        <f t="shared" si="24"/>
        <v>0</v>
      </c>
      <c r="H131" s="41">
        <f t="shared" si="24"/>
        <v>0</v>
      </c>
      <c r="I131" s="41">
        <f>SUM(D131:H131)</f>
        <v>0</v>
      </c>
    </row>
    <row r="132" spans="1:9" x14ac:dyDescent="0.2">
      <c r="D132" s="41"/>
      <c r="E132" s="41"/>
      <c r="F132" s="41"/>
      <c r="G132" s="41"/>
      <c r="H132" s="41"/>
      <c r="I132" s="41"/>
    </row>
    <row r="133" spans="1:9" x14ac:dyDescent="0.2">
      <c r="A133" s="39">
        <f>A131+1</f>
        <v>48</v>
      </c>
      <c r="B133" s="42" t="s">
        <v>184</v>
      </c>
      <c r="C133" s="42"/>
      <c r="D133" s="41">
        <f t="shared" ref="D133:I133" si="25">SUM(D110:D131)</f>
        <v>5116580777</v>
      </c>
      <c r="E133" s="41">
        <f t="shared" si="25"/>
        <v>0</v>
      </c>
      <c r="F133" s="41">
        <f t="shared" si="25"/>
        <v>0</v>
      </c>
      <c r="G133" s="41">
        <f t="shared" si="25"/>
        <v>80255179</v>
      </c>
      <c r="H133" s="41">
        <f t="shared" si="25"/>
        <v>0</v>
      </c>
      <c r="I133" s="41">
        <f t="shared" si="25"/>
        <v>5196835956</v>
      </c>
    </row>
    <row r="134" spans="1:9" x14ac:dyDescent="0.2">
      <c r="A134" s="39">
        <f>A133+1</f>
        <v>49</v>
      </c>
      <c r="B134" s="42" t="s">
        <v>160</v>
      </c>
      <c r="C134" s="42"/>
      <c r="D134" s="41">
        <f t="shared" ref="D134:I134" si="26">D133-D126</f>
        <v>5108235483</v>
      </c>
      <c r="E134" s="41">
        <f t="shared" si="26"/>
        <v>0</v>
      </c>
      <c r="F134" s="41">
        <f t="shared" si="26"/>
        <v>0</v>
      </c>
      <c r="G134" s="41">
        <f t="shared" si="26"/>
        <v>80255179</v>
      </c>
      <c r="H134" s="41">
        <f t="shared" si="26"/>
        <v>0</v>
      </c>
      <c r="I134" s="41">
        <f t="shared" si="26"/>
        <v>5188490662</v>
      </c>
    </row>
    <row r="135" spans="1:9" x14ac:dyDescent="0.2">
      <c r="A135" s="39">
        <f>A134+1</f>
        <v>50</v>
      </c>
      <c r="B135" s="42" t="s">
        <v>161</v>
      </c>
      <c r="C135" s="42"/>
      <c r="D135" s="41">
        <f t="shared" ref="D135:I135" si="27">D126</f>
        <v>8345294</v>
      </c>
      <c r="E135" s="41">
        <f t="shared" si="27"/>
        <v>0</v>
      </c>
      <c r="F135" s="41">
        <f t="shared" si="27"/>
        <v>0</v>
      </c>
      <c r="G135" s="41">
        <f t="shared" si="27"/>
        <v>0</v>
      </c>
      <c r="H135" s="41">
        <f t="shared" si="27"/>
        <v>0</v>
      </c>
      <c r="I135" s="41">
        <f t="shared" si="27"/>
        <v>8345294</v>
      </c>
    </row>
    <row r="136" spans="1:9" x14ac:dyDescent="0.2">
      <c r="B136" s="42"/>
      <c r="C136" s="42"/>
      <c r="D136" s="41"/>
      <c r="E136" s="41"/>
      <c r="F136" s="41"/>
      <c r="G136" s="41"/>
      <c r="H136" s="41"/>
      <c r="I136" s="41"/>
    </row>
    <row r="137" spans="1:9" x14ac:dyDescent="0.2">
      <c r="A137" s="39">
        <f>A135+1</f>
        <v>51</v>
      </c>
      <c r="B137" s="42" t="s">
        <v>166</v>
      </c>
      <c r="C137" s="42"/>
      <c r="D137" s="41">
        <v>-45908384</v>
      </c>
      <c r="E137" s="41">
        <v>0</v>
      </c>
      <c r="F137" s="41">
        <v>0</v>
      </c>
      <c r="G137" s="41">
        <f>-46570547-D137</f>
        <v>-662163</v>
      </c>
      <c r="H137" s="41">
        <v>0</v>
      </c>
      <c r="I137" s="41">
        <f>SUM(D137:H137)</f>
        <v>-46570547</v>
      </c>
    </row>
    <row r="139" spans="1:9" x14ac:dyDescent="0.2">
      <c r="A139" s="107" t="s">
        <v>162</v>
      </c>
      <c r="B139" s="107"/>
      <c r="C139" s="108"/>
      <c r="D139" s="109" t="s">
        <v>176</v>
      </c>
      <c r="E139" s="109" t="s">
        <v>181</v>
      </c>
      <c r="F139" s="109" t="s">
        <v>177</v>
      </c>
      <c r="G139" s="109" t="s">
        <v>178</v>
      </c>
      <c r="H139" s="109" t="s">
        <v>179</v>
      </c>
      <c r="I139" s="109" t="s">
        <v>180</v>
      </c>
    </row>
    <row r="141" spans="1:9" x14ac:dyDescent="0.2">
      <c r="A141" s="39">
        <v>1</v>
      </c>
      <c r="B141" s="39" t="s">
        <v>140</v>
      </c>
      <c r="D141" s="43">
        <f t="shared" ref="D141:I141" si="28">D5-D73</f>
        <v>0</v>
      </c>
      <c r="E141" s="43">
        <f t="shared" si="28"/>
        <v>0</v>
      </c>
      <c r="F141" s="43">
        <f t="shared" si="28"/>
        <v>0</v>
      </c>
      <c r="G141" s="43">
        <f t="shared" si="28"/>
        <v>0</v>
      </c>
      <c r="H141" s="43">
        <f t="shared" si="28"/>
        <v>0</v>
      </c>
      <c r="I141" s="43">
        <f t="shared" si="28"/>
        <v>0</v>
      </c>
    </row>
    <row r="142" spans="1:9" x14ac:dyDescent="0.2">
      <c r="E142" s="43"/>
      <c r="F142" s="43"/>
      <c r="G142" s="43"/>
      <c r="H142" s="43"/>
      <c r="I142" s="43"/>
    </row>
    <row r="143" spans="1:9" x14ac:dyDescent="0.2">
      <c r="B143" s="42" t="s">
        <v>155</v>
      </c>
      <c r="D143" s="40"/>
      <c r="E143" s="40"/>
      <c r="F143" s="40"/>
      <c r="G143" s="40"/>
      <c r="H143" s="40"/>
      <c r="I143" s="40"/>
    </row>
    <row r="144" spans="1:9" x14ac:dyDescent="0.2">
      <c r="A144" s="39">
        <f>A141+1</f>
        <v>2</v>
      </c>
      <c r="B144" s="39" t="s">
        <v>141</v>
      </c>
      <c r="D144" s="43">
        <f t="shared" ref="D144:I146" si="29">D8-D76</f>
        <v>0</v>
      </c>
      <c r="E144" s="43">
        <f t="shared" si="29"/>
        <v>0</v>
      </c>
      <c r="F144" s="43">
        <f t="shared" si="29"/>
        <v>0</v>
      </c>
      <c r="G144" s="43">
        <f t="shared" si="29"/>
        <v>0</v>
      </c>
      <c r="H144" s="43">
        <f t="shared" si="29"/>
        <v>0</v>
      </c>
      <c r="I144" s="43">
        <f t="shared" si="29"/>
        <v>0</v>
      </c>
    </row>
    <row r="145" spans="1:9" x14ac:dyDescent="0.2">
      <c r="A145" s="39">
        <f>A144+1</f>
        <v>3</v>
      </c>
      <c r="B145" s="42" t="s">
        <v>167</v>
      </c>
      <c r="C145" s="42"/>
      <c r="D145" s="43">
        <f t="shared" si="29"/>
        <v>0</v>
      </c>
      <c r="E145" s="43">
        <f t="shared" si="29"/>
        <v>0</v>
      </c>
      <c r="F145" s="43">
        <f t="shared" si="29"/>
        <v>0</v>
      </c>
      <c r="G145" s="43">
        <f t="shared" si="29"/>
        <v>0</v>
      </c>
      <c r="H145" s="43">
        <f t="shared" si="29"/>
        <v>0</v>
      </c>
      <c r="I145" s="43">
        <f t="shared" si="29"/>
        <v>0</v>
      </c>
    </row>
    <row r="146" spans="1:9" x14ac:dyDescent="0.2">
      <c r="A146" s="39">
        <f>A145+1</f>
        <v>4</v>
      </c>
      <c r="B146" s="39" t="s">
        <v>142</v>
      </c>
      <c r="D146" s="43">
        <f t="shared" si="29"/>
        <v>0</v>
      </c>
      <c r="E146" s="43">
        <f t="shared" si="29"/>
        <v>0</v>
      </c>
      <c r="F146" s="43">
        <f t="shared" si="29"/>
        <v>0</v>
      </c>
      <c r="G146" s="43">
        <f t="shared" si="29"/>
        <v>0</v>
      </c>
      <c r="H146" s="43">
        <f t="shared" si="29"/>
        <v>0</v>
      </c>
      <c r="I146" s="43">
        <f t="shared" si="29"/>
        <v>0</v>
      </c>
    </row>
    <row r="147" spans="1:9" x14ac:dyDescent="0.2">
      <c r="B147" s="42" t="s">
        <v>171</v>
      </c>
      <c r="D147" s="43"/>
      <c r="E147" s="43"/>
      <c r="F147" s="43"/>
      <c r="G147" s="43"/>
      <c r="H147" s="43"/>
      <c r="I147" s="43"/>
    </row>
    <row r="148" spans="1:9" x14ac:dyDescent="0.2">
      <c r="A148" s="39">
        <f>A146+1</f>
        <v>5</v>
      </c>
      <c r="C148" s="39" t="s">
        <v>143</v>
      </c>
      <c r="D148" s="43">
        <f t="shared" ref="D148:I159" si="30">D12-D80</f>
        <v>0</v>
      </c>
      <c r="E148" s="43">
        <f t="shared" si="30"/>
        <v>0</v>
      </c>
      <c r="F148" s="43">
        <f t="shared" si="30"/>
        <v>0</v>
      </c>
      <c r="G148" s="43">
        <f t="shared" si="30"/>
        <v>0</v>
      </c>
      <c r="H148" s="43">
        <f t="shared" si="30"/>
        <v>0</v>
      </c>
      <c r="I148" s="43">
        <f t="shared" si="30"/>
        <v>0</v>
      </c>
    </row>
    <row r="149" spans="1:9" x14ac:dyDescent="0.2">
      <c r="A149" s="39">
        <f t="shared" ref="A149:A159" si="31">A148+1</f>
        <v>6</v>
      </c>
      <c r="C149" s="39" t="s">
        <v>144</v>
      </c>
      <c r="D149" s="43">
        <f t="shared" si="30"/>
        <v>0</v>
      </c>
      <c r="E149" s="43">
        <f t="shared" si="30"/>
        <v>0</v>
      </c>
      <c r="F149" s="43">
        <f t="shared" si="30"/>
        <v>0</v>
      </c>
      <c r="G149" s="43">
        <f t="shared" si="30"/>
        <v>0</v>
      </c>
      <c r="H149" s="43">
        <f t="shared" si="30"/>
        <v>0</v>
      </c>
      <c r="I149" s="43">
        <f t="shared" si="30"/>
        <v>0</v>
      </c>
    </row>
    <row r="150" spans="1:9" x14ac:dyDescent="0.2">
      <c r="A150" s="39">
        <f t="shared" si="31"/>
        <v>7</v>
      </c>
      <c r="B150" s="42"/>
      <c r="C150" s="42" t="s">
        <v>170</v>
      </c>
      <c r="D150" s="43">
        <f t="shared" si="30"/>
        <v>0</v>
      </c>
      <c r="E150" s="43">
        <f t="shared" si="30"/>
        <v>0</v>
      </c>
      <c r="F150" s="43">
        <f t="shared" si="30"/>
        <v>0</v>
      </c>
      <c r="G150" s="43">
        <f t="shared" si="30"/>
        <v>0</v>
      </c>
      <c r="H150" s="43">
        <f t="shared" si="30"/>
        <v>0</v>
      </c>
      <c r="I150" s="43">
        <f t="shared" si="30"/>
        <v>0</v>
      </c>
    </row>
    <row r="151" spans="1:9" x14ac:dyDescent="0.2">
      <c r="A151" s="39">
        <f t="shared" si="31"/>
        <v>8</v>
      </c>
      <c r="B151" s="39" t="s">
        <v>145</v>
      </c>
      <c r="D151" s="43">
        <f t="shared" si="30"/>
        <v>0</v>
      </c>
      <c r="E151" s="43">
        <f t="shared" si="30"/>
        <v>0</v>
      </c>
      <c r="F151" s="43">
        <f t="shared" si="30"/>
        <v>0</v>
      </c>
      <c r="G151" s="43">
        <f t="shared" si="30"/>
        <v>0</v>
      </c>
      <c r="H151" s="43">
        <f t="shared" si="30"/>
        <v>0</v>
      </c>
      <c r="I151" s="43">
        <f t="shared" si="30"/>
        <v>0</v>
      </c>
    </row>
    <row r="152" spans="1:9" x14ac:dyDescent="0.2">
      <c r="A152" s="39">
        <f t="shared" si="31"/>
        <v>9</v>
      </c>
      <c r="B152" s="39" t="s">
        <v>146</v>
      </c>
      <c r="D152" s="43">
        <f t="shared" si="30"/>
        <v>0</v>
      </c>
      <c r="E152" s="43">
        <f t="shared" si="30"/>
        <v>0</v>
      </c>
      <c r="F152" s="43">
        <f t="shared" si="30"/>
        <v>0</v>
      </c>
      <c r="G152" s="43">
        <f t="shared" si="30"/>
        <v>0</v>
      </c>
      <c r="H152" s="43">
        <f t="shared" si="30"/>
        <v>0</v>
      </c>
      <c r="I152" s="43">
        <f t="shared" si="30"/>
        <v>0</v>
      </c>
    </row>
    <row r="153" spans="1:9" x14ac:dyDescent="0.2">
      <c r="A153" s="39">
        <f t="shared" si="31"/>
        <v>10</v>
      </c>
      <c r="B153" s="39" t="s">
        <v>148</v>
      </c>
      <c r="D153" s="43">
        <f t="shared" si="30"/>
        <v>0</v>
      </c>
      <c r="E153" s="43">
        <f t="shared" si="30"/>
        <v>0</v>
      </c>
      <c r="F153" s="43">
        <f t="shared" si="30"/>
        <v>0</v>
      </c>
      <c r="G153" s="43">
        <f t="shared" si="30"/>
        <v>0</v>
      </c>
      <c r="H153" s="43">
        <f t="shared" si="30"/>
        <v>0</v>
      </c>
      <c r="I153" s="43">
        <f t="shared" si="30"/>
        <v>0</v>
      </c>
    </row>
    <row r="154" spans="1:9" x14ac:dyDescent="0.2">
      <c r="A154" s="39">
        <f t="shared" si="31"/>
        <v>11</v>
      </c>
      <c r="B154" s="42" t="s">
        <v>244</v>
      </c>
      <c r="D154" s="43">
        <f t="shared" si="30"/>
        <v>0</v>
      </c>
      <c r="E154" s="43">
        <f t="shared" si="30"/>
        <v>0</v>
      </c>
      <c r="F154" s="43">
        <f t="shared" si="30"/>
        <v>0</v>
      </c>
      <c r="G154" s="43">
        <f t="shared" si="30"/>
        <v>0</v>
      </c>
      <c r="H154" s="43">
        <f t="shared" si="30"/>
        <v>0</v>
      </c>
      <c r="I154" s="43">
        <f t="shared" si="30"/>
        <v>0</v>
      </c>
    </row>
    <row r="155" spans="1:9" x14ac:dyDescent="0.2">
      <c r="A155" s="39">
        <f t="shared" si="31"/>
        <v>12</v>
      </c>
      <c r="B155" s="39" t="s">
        <v>147</v>
      </c>
      <c r="D155" s="43">
        <f t="shared" si="30"/>
        <v>0</v>
      </c>
      <c r="E155" s="43">
        <f t="shared" si="30"/>
        <v>0</v>
      </c>
      <c r="F155" s="43">
        <f t="shared" si="30"/>
        <v>0</v>
      </c>
      <c r="G155" s="43">
        <f t="shared" si="30"/>
        <v>0</v>
      </c>
      <c r="H155" s="43">
        <f t="shared" si="30"/>
        <v>0</v>
      </c>
      <c r="I155" s="43">
        <f t="shared" si="30"/>
        <v>0</v>
      </c>
    </row>
    <row r="156" spans="1:9" x14ac:dyDescent="0.2">
      <c r="A156" s="39">
        <f t="shared" si="31"/>
        <v>13</v>
      </c>
      <c r="B156" s="39" t="s">
        <v>149</v>
      </c>
      <c r="D156" s="43">
        <f t="shared" si="30"/>
        <v>0</v>
      </c>
      <c r="E156" s="43">
        <f t="shared" si="30"/>
        <v>0</v>
      </c>
      <c r="F156" s="43">
        <f t="shared" si="30"/>
        <v>0</v>
      </c>
      <c r="G156" s="43">
        <f t="shared" si="30"/>
        <v>0</v>
      </c>
      <c r="H156" s="43">
        <f t="shared" si="30"/>
        <v>0</v>
      </c>
      <c r="I156" s="43">
        <f t="shared" si="30"/>
        <v>0</v>
      </c>
    </row>
    <row r="157" spans="1:9" x14ac:dyDescent="0.2">
      <c r="A157" s="39">
        <f t="shared" si="31"/>
        <v>14</v>
      </c>
      <c r="B157" s="42" t="s">
        <v>173</v>
      </c>
      <c r="D157" s="43">
        <f t="shared" si="30"/>
        <v>0</v>
      </c>
      <c r="E157" s="43">
        <f t="shared" si="30"/>
        <v>0</v>
      </c>
      <c r="F157" s="43">
        <f t="shared" si="30"/>
        <v>0</v>
      </c>
      <c r="G157" s="43">
        <f t="shared" si="30"/>
        <v>0</v>
      </c>
      <c r="H157" s="43">
        <f t="shared" si="30"/>
        <v>0</v>
      </c>
      <c r="I157" s="43">
        <f t="shared" si="30"/>
        <v>0</v>
      </c>
    </row>
    <row r="158" spans="1:9" x14ac:dyDescent="0.2">
      <c r="A158" s="39">
        <f t="shared" si="31"/>
        <v>15</v>
      </c>
      <c r="B158" s="42" t="s">
        <v>168</v>
      </c>
      <c r="C158" s="42"/>
      <c r="D158" s="43">
        <f t="shared" si="30"/>
        <v>0</v>
      </c>
      <c r="E158" s="43">
        <f t="shared" si="30"/>
        <v>0</v>
      </c>
      <c r="F158" s="43">
        <f t="shared" si="30"/>
        <v>0</v>
      </c>
      <c r="G158" s="43">
        <f t="shared" si="30"/>
        <v>0</v>
      </c>
      <c r="H158" s="43">
        <f t="shared" si="30"/>
        <v>0</v>
      </c>
      <c r="I158" s="43">
        <f t="shared" si="30"/>
        <v>0</v>
      </c>
    </row>
    <row r="159" spans="1:9" x14ac:dyDescent="0.2">
      <c r="A159" s="39">
        <f t="shared" si="31"/>
        <v>16</v>
      </c>
      <c r="B159" s="39" t="s">
        <v>150</v>
      </c>
      <c r="D159" s="43">
        <f t="shared" si="30"/>
        <v>0</v>
      </c>
      <c r="E159" s="43">
        <f t="shared" si="30"/>
        <v>0</v>
      </c>
      <c r="F159" s="43">
        <f t="shared" si="30"/>
        <v>0</v>
      </c>
      <c r="G159" s="43">
        <f t="shared" si="30"/>
        <v>0</v>
      </c>
      <c r="H159" s="43">
        <f t="shared" si="30"/>
        <v>0</v>
      </c>
      <c r="I159" s="43">
        <f t="shared" si="30"/>
        <v>0</v>
      </c>
    </row>
    <row r="160" spans="1:9" x14ac:dyDescent="0.2">
      <c r="B160" s="42" t="s">
        <v>172</v>
      </c>
      <c r="D160" s="43"/>
      <c r="E160" s="43"/>
      <c r="F160" s="43"/>
      <c r="G160" s="43"/>
      <c r="H160" s="43"/>
      <c r="I160" s="43"/>
    </row>
    <row r="161" spans="1:9" x14ac:dyDescent="0.2">
      <c r="A161" s="39">
        <f>A159+1</f>
        <v>17</v>
      </c>
      <c r="B161" s="42"/>
      <c r="C161" s="42" t="s">
        <v>175</v>
      </c>
      <c r="D161" s="43">
        <f t="shared" ref="D161:I161" si="32">D25-D93</f>
        <v>0</v>
      </c>
      <c r="E161" s="43">
        <f t="shared" si="32"/>
        <v>0</v>
      </c>
      <c r="F161" s="43">
        <f t="shared" si="32"/>
        <v>0</v>
      </c>
      <c r="G161" s="43">
        <f t="shared" si="32"/>
        <v>0</v>
      </c>
      <c r="H161" s="43">
        <f t="shared" si="32"/>
        <v>0</v>
      </c>
      <c r="I161" s="43">
        <f t="shared" si="32"/>
        <v>0</v>
      </c>
    </row>
    <row r="162" spans="1:9" x14ac:dyDescent="0.2">
      <c r="A162" s="39">
        <f>A161+1</f>
        <v>18</v>
      </c>
      <c r="B162" s="42"/>
      <c r="C162" s="42" t="s">
        <v>182</v>
      </c>
      <c r="D162" s="43">
        <f t="shared" ref="D162:I162" si="33">D26-D94</f>
        <v>0</v>
      </c>
      <c r="E162" s="43">
        <f t="shared" si="33"/>
        <v>0</v>
      </c>
      <c r="F162" s="43">
        <f t="shared" si="33"/>
        <v>0</v>
      </c>
      <c r="G162" s="43">
        <f t="shared" si="33"/>
        <v>0</v>
      </c>
      <c r="H162" s="43">
        <f t="shared" si="33"/>
        <v>0</v>
      </c>
      <c r="I162" s="43">
        <f t="shared" si="33"/>
        <v>0</v>
      </c>
    </row>
    <row r="163" spans="1:9" x14ac:dyDescent="0.2">
      <c r="A163" s="39">
        <f>A162+1</f>
        <v>19</v>
      </c>
      <c r="B163" s="42"/>
      <c r="C163" s="42" t="s">
        <v>201</v>
      </c>
      <c r="D163" s="43">
        <f t="shared" ref="D163:I163" si="34">D27-D95</f>
        <v>0</v>
      </c>
      <c r="E163" s="43">
        <f t="shared" si="34"/>
        <v>0</v>
      </c>
      <c r="F163" s="43">
        <f t="shared" si="34"/>
        <v>0</v>
      </c>
      <c r="G163" s="43">
        <f t="shared" si="34"/>
        <v>0</v>
      </c>
      <c r="H163" s="43">
        <f t="shared" si="34"/>
        <v>0</v>
      </c>
      <c r="I163" s="43">
        <f t="shared" si="34"/>
        <v>0</v>
      </c>
    </row>
    <row r="164" spans="1:9" x14ac:dyDescent="0.2">
      <c r="A164" s="39">
        <f>A163+1</f>
        <v>20</v>
      </c>
      <c r="B164" s="42"/>
      <c r="C164" s="42" t="s">
        <v>183</v>
      </c>
      <c r="D164" s="43">
        <f t="shared" ref="D164:I164" si="35">D28-D96</f>
        <v>0</v>
      </c>
      <c r="E164" s="43">
        <f t="shared" si="35"/>
        <v>0</v>
      </c>
      <c r="F164" s="43">
        <f t="shared" si="35"/>
        <v>0</v>
      </c>
      <c r="G164" s="43">
        <f t="shared" si="35"/>
        <v>0</v>
      </c>
      <c r="H164" s="43">
        <f t="shared" si="35"/>
        <v>0</v>
      </c>
      <c r="I164" s="43">
        <f t="shared" si="35"/>
        <v>0</v>
      </c>
    </row>
    <row r="165" spans="1:9" x14ac:dyDescent="0.2">
      <c r="D165" s="41"/>
      <c r="E165" s="41"/>
      <c r="F165" s="41"/>
      <c r="G165" s="41"/>
      <c r="H165" s="41"/>
      <c r="I165" s="41"/>
    </row>
    <row r="166" spans="1:9" x14ac:dyDescent="0.2">
      <c r="A166" s="39">
        <f>A164+1</f>
        <v>21</v>
      </c>
      <c r="B166" s="42" t="s">
        <v>158</v>
      </c>
      <c r="D166" s="43">
        <f t="shared" ref="D166:I166" si="36">D30-D98</f>
        <v>0</v>
      </c>
      <c r="E166" s="43">
        <f t="shared" si="36"/>
        <v>0</v>
      </c>
      <c r="F166" s="43">
        <f t="shared" si="36"/>
        <v>0</v>
      </c>
      <c r="G166" s="43">
        <f t="shared" si="36"/>
        <v>0</v>
      </c>
      <c r="H166" s="43">
        <f t="shared" si="36"/>
        <v>0</v>
      </c>
      <c r="I166" s="43">
        <f t="shared" si="36"/>
        <v>0</v>
      </c>
    </row>
    <row r="167" spans="1:9" x14ac:dyDescent="0.2">
      <c r="D167" s="41"/>
      <c r="E167" s="41"/>
      <c r="F167" s="41"/>
      <c r="G167" s="41"/>
      <c r="H167" s="41"/>
      <c r="I167" s="41"/>
    </row>
    <row r="168" spans="1:9" x14ac:dyDescent="0.2">
      <c r="B168" s="42" t="s">
        <v>156</v>
      </c>
      <c r="C168" s="42"/>
      <c r="D168" s="41"/>
      <c r="E168" s="41"/>
      <c r="F168" s="41"/>
      <c r="G168" s="41"/>
      <c r="H168" s="41"/>
      <c r="I168" s="41"/>
    </row>
    <row r="169" spans="1:9" x14ac:dyDescent="0.2">
      <c r="A169" s="39">
        <f>A166+1</f>
        <v>22</v>
      </c>
      <c r="B169" s="39" t="s">
        <v>153</v>
      </c>
      <c r="D169" s="43">
        <f t="shared" ref="D169:I173" si="37">D33-D101</f>
        <v>0</v>
      </c>
      <c r="E169" s="43">
        <f t="shared" si="37"/>
        <v>0</v>
      </c>
      <c r="F169" s="43">
        <f t="shared" si="37"/>
        <v>0</v>
      </c>
      <c r="G169" s="43">
        <f t="shared" si="37"/>
        <v>0</v>
      </c>
      <c r="H169" s="43">
        <f t="shared" si="37"/>
        <v>0</v>
      </c>
      <c r="I169" s="43">
        <f t="shared" si="37"/>
        <v>0</v>
      </c>
    </row>
    <row r="170" spans="1:9" x14ac:dyDescent="0.2">
      <c r="A170" s="39">
        <f>A169+1</f>
        <v>23</v>
      </c>
      <c r="B170" s="39" t="s">
        <v>152</v>
      </c>
      <c r="D170" s="43">
        <f t="shared" si="37"/>
        <v>0</v>
      </c>
      <c r="E170" s="43">
        <f t="shared" si="37"/>
        <v>0</v>
      </c>
      <c r="F170" s="43">
        <f t="shared" si="37"/>
        <v>0</v>
      </c>
      <c r="G170" s="43">
        <f t="shared" si="37"/>
        <v>0</v>
      </c>
      <c r="H170" s="43">
        <f t="shared" si="37"/>
        <v>0</v>
      </c>
      <c r="I170" s="43">
        <f t="shared" si="37"/>
        <v>0</v>
      </c>
    </row>
    <row r="171" spans="1:9" x14ac:dyDescent="0.2">
      <c r="A171" s="39">
        <f>A170+1</f>
        <v>24</v>
      </c>
      <c r="B171" s="42" t="s">
        <v>174</v>
      </c>
      <c r="D171" s="43">
        <f t="shared" si="37"/>
        <v>0</v>
      </c>
      <c r="E171" s="43">
        <f t="shared" si="37"/>
        <v>0</v>
      </c>
      <c r="F171" s="43">
        <f t="shared" si="37"/>
        <v>0</v>
      </c>
      <c r="G171" s="43">
        <f t="shared" si="37"/>
        <v>0</v>
      </c>
      <c r="H171" s="43">
        <f t="shared" si="37"/>
        <v>0</v>
      </c>
      <c r="I171" s="43">
        <f t="shared" si="37"/>
        <v>0</v>
      </c>
    </row>
    <row r="172" spans="1:9" x14ac:dyDescent="0.2">
      <c r="A172" s="39">
        <f>A171+1</f>
        <v>25</v>
      </c>
      <c r="B172" s="42" t="s">
        <v>168</v>
      </c>
      <c r="C172" s="42"/>
      <c r="D172" s="43">
        <f t="shared" si="37"/>
        <v>0</v>
      </c>
      <c r="E172" s="43">
        <f t="shared" si="37"/>
        <v>0</v>
      </c>
      <c r="F172" s="43">
        <f t="shared" si="37"/>
        <v>0</v>
      </c>
      <c r="G172" s="43">
        <f t="shared" si="37"/>
        <v>0</v>
      </c>
      <c r="H172" s="43">
        <f t="shared" si="37"/>
        <v>0</v>
      </c>
      <c r="I172" s="43">
        <f t="shared" si="37"/>
        <v>0</v>
      </c>
    </row>
    <row r="173" spans="1:9" x14ac:dyDescent="0.2">
      <c r="A173" s="39">
        <f>A172+1</f>
        <v>26</v>
      </c>
      <c r="B173" s="39" t="s">
        <v>154</v>
      </c>
      <c r="D173" s="43">
        <f t="shared" si="37"/>
        <v>0</v>
      </c>
      <c r="E173" s="43">
        <f t="shared" si="37"/>
        <v>0</v>
      </c>
      <c r="F173" s="43">
        <f t="shared" si="37"/>
        <v>0</v>
      </c>
      <c r="G173" s="43">
        <f t="shared" si="37"/>
        <v>0</v>
      </c>
      <c r="H173" s="43">
        <f t="shared" si="37"/>
        <v>0</v>
      </c>
      <c r="I173" s="43">
        <f t="shared" si="37"/>
        <v>0</v>
      </c>
    </row>
    <row r="174" spans="1:9" x14ac:dyDescent="0.2">
      <c r="D174" s="41"/>
      <c r="E174" s="41"/>
      <c r="F174" s="41"/>
      <c r="G174" s="41"/>
      <c r="H174" s="41"/>
      <c r="I174" s="41"/>
    </row>
    <row r="175" spans="1:9" x14ac:dyDescent="0.2">
      <c r="A175" s="39">
        <f>A173+1</f>
        <v>27</v>
      </c>
      <c r="B175" s="42" t="s">
        <v>159</v>
      </c>
      <c r="C175" s="42"/>
      <c r="D175" s="43">
        <f t="shared" ref="D175:I175" si="38">D39-D107</f>
        <v>0</v>
      </c>
      <c r="E175" s="43">
        <f t="shared" si="38"/>
        <v>0</v>
      </c>
      <c r="F175" s="43">
        <f t="shared" si="38"/>
        <v>0</v>
      </c>
      <c r="G175" s="43">
        <f t="shared" si="38"/>
        <v>0</v>
      </c>
      <c r="H175" s="43">
        <f t="shared" si="38"/>
        <v>0</v>
      </c>
      <c r="I175" s="43">
        <f t="shared" si="38"/>
        <v>0</v>
      </c>
    </row>
    <row r="176" spans="1:9" x14ac:dyDescent="0.2">
      <c r="B176" s="42"/>
      <c r="C176" s="42"/>
      <c r="D176" s="41"/>
      <c r="E176" s="41"/>
      <c r="F176" s="41"/>
      <c r="G176" s="41"/>
      <c r="H176" s="41"/>
      <c r="I176" s="41"/>
    </row>
    <row r="177" spans="1:9" x14ac:dyDescent="0.2">
      <c r="B177" s="42" t="s">
        <v>157</v>
      </c>
      <c r="C177" s="42"/>
      <c r="D177" s="41"/>
      <c r="E177" s="41"/>
      <c r="F177" s="41"/>
      <c r="G177" s="41"/>
      <c r="H177" s="41"/>
      <c r="I177" s="41"/>
    </row>
    <row r="178" spans="1:9" x14ac:dyDescent="0.2">
      <c r="A178" s="39">
        <f>A175+1</f>
        <v>28</v>
      </c>
      <c r="B178" s="39" t="s">
        <v>141</v>
      </c>
      <c r="D178" s="43">
        <f t="shared" ref="D178:I180" si="39">D42-D110</f>
        <v>0</v>
      </c>
      <c r="E178" s="43">
        <f t="shared" si="39"/>
        <v>0</v>
      </c>
      <c r="F178" s="43">
        <f t="shared" si="39"/>
        <v>0</v>
      </c>
      <c r="G178" s="43">
        <f t="shared" si="39"/>
        <v>0</v>
      </c>
      <c r="H178" s="43">
        <f t="shared" si="39"/>
        <v>0</v>
      </c>
      <c r="I178" s="43">
        <f t="shared" si="39"/>
        <v>0</v>
      </c>
    </row>
    <row r="179" spans="1:9" x14ac:dyDescent="0.2">
      <c r="A179" s="39">
        <f>A178+1</f>
        <v>29</v>
      </c>
      <c r="B179" s="42" t="s">
        <v>167</v>
      </c>
      <c r="C179" s="42"/>
      <c r="D179" s="43">
        <f t="shared" si="39"/>
        <v>0</v>
      </c>
      <c r="E179" s="43">
        <f t="shared" si="39"/>
        <v>0</v>
      </c>
      <c r="F179" s="43">
        <f t="shared" si="39"/>
        <v>0</v>
      </c>
      <c r="G179" s="43">
        <f t="shared" si="39"/>
        <v>0</v>
      </c>
      <c r="H179" s="43">
        <f t="shared" si="39"/>
        <v>0</v>
      </c>
      <c r="I179" s="43">
        <f t="shared" si="39"/>
        <v>0</v>
      </c>
    </row>
    <row r="180" spans="1:9" x14ac:dyDescent="0.2">
      <c r="A180" s="39">
        <f>A179+1</f>
        <v>30</v>
      </c>
      <c r="B180" s="39" t="s">
        <v>142</v>
      </c>
      <c r="D180" s="43">
        <f t="shared" si="39"/>
        <v>0</v>
      </c>
      <c r="E180" s="43">
        <f t="shared" si="39"/>
        <v>0</v>
      </c>
      <c r="F180" s="43">
        <f t="shared" si="39"/>
        <v>0</v>
      </c>
      <c r="G180" s="43">
        <f t="shared" si="39"/>
        <v>0</v>
      </c>
      <c r="H180" s="43">
        <f t="shared" si="39"/>
        <v>0</v>
      </c>
      <c r="I180" s="43">
        <f t="shared" si="39"/>
        <v>0</v>
      </c>
    </row>
    <row r="181" spans="1:9" x14ac:dyDescent="0.2">
      <c r="B181" s="42" t="s">
        <v>171</v>
      </c>
      <c r="D181" s="43"/>
      <c r="E181" s="43"/>
      <c r="F181" s="43"/>
      <c r="G181" s="43"/>
      <c r="H181" s="43"/>
      <c r="I181" s="43"/>
    </row>
    <row r="182" spans="1:9" x14ac:dyDescent="0.2">
      <c r="A182" s="39">
        <f>A180+1</f>
        <v>31</v>
      </c>
      <c r="C182" s="39" t="s">
        <v>143</v>
      </c>
      <c r="D182" s="43">
        <f t="shared" ref="D182:I194" si="40">D46-D114</f>
        <v>0</v>
      </c>
      <c r="E182" s="43">
        <f t="shared" si="40"/>
        <v>0</v>
      </c>
      <c r="F182" s="43">
        <f t="shared" si="40"/>
        <v>0</v>
      </c>
      <c r="G182" s="43">
        <f t="shared" si="40"/>
        <v>0</v>
      </c>
      <c r="H182" s="43">
        <f t="shared" si="40"/>
        <v>0</v>
      </c>
      <c r="I182" s="43">
        <f t="shared" si="40"/>
        <v>0</v>
      </c>
    </row>
    <row r="183" spans="1:9" x14ac:dyDescent="0.2">
      <c r="A183" s="39">
        <f t="shared" ref="A183:A194" si="41">A182+1</f>
        <v>32</v>
      </c>
      <c r="C183" s="39" t="s">
        <v>144</v>
      </c>
      <c r="D183" s="43">
        <f t="shared" si="40"/>
        <v>0</v>
      </c>
      <c r="E183" s="43">
        <f t="shared" si="40"/>
        <v>0</v>
      </c>
      <c r="F183" s="43">
        <f t="shared" si="40"/>
        <v>0</v>
      </c>
      <c r="G183" s="43">
        <f t="shared" si="40"/>
        <v>0</v>
      </c>
      <c r="H183" s="43">
        <f t="shared" si="40"/>
        <v>0</v>
      </c>
      <c r="I183" s="43">
        <f t="shared" si="40"/>
        <v>0</v>
      </c>
    </row>
    <row r="184" spans="1:9" x14ac:dyDescent="0.2">
      <c r="A184" s="39">
        <f t="shared" si="41"/>
        <v>33</v>
      </c>
      <c r="B184" s="42"/>
      <c r="C184" s="42" t="s">
        <v>170</v>
      </c>
      <c r="D184" s="43">
        <f t="shared" si="40"/>
        <v>0</v>
      </c>
      <c r="E184" s="43">
        <f t="shared" si="40"/>
        <v>0</v>
      </c>
      <c r="F184" s="43">
        <f t="shared" si="40"/>
        <v>0</v>
      </c>
      <c r="G184" s="43">
        <f t="shared" si="40"/>
        <v>0</v>
      </c>
      <c r="H184" s="43">
        <f t="shared" si="40"/>
        <v>0</v>
      </c>
      <c r="I184" s="43">
        <f t="shared" si="40"/>
        <v>0</v>
      </c>
    </row>
    <row r="185" spans="1:9" x14ac:dyDescent="0.2">
      <c r="A185" s="39">
        <f t="shared" si="41"/>
        <v>34</v>
      </c>
      <c r="B185" s="39" t="s">
        <v>145</v>
      </c>
      <c r="D185" s="43">
        <f t="shared" si="40"/>
        <v>0</v>
      </c>
      <c r="E185" s="43">
        <f t="shared" si="40"/>
        <v>0</v>
      </c>
      <c r="F185" s="43">
        <f t="shared" si="40"/>
        <v>0</v>
      </c>
      <c r="G185" s="43">
        <f t="shared" si="40"/>
        <v>0</v>
      </c>
      <c r="H185" s="43">
        <f t="shared" si="40"/>
        <v>0</v>
      </c>
      <c r="I185" s="43">
        <f t="shared" si="40"/>
        <v>0</v>
      </c>
    </row>
    <row r="186" spans="1:9" x14ac:dyDescent="0.2">
      <c r="A186" s="39">
        <f t="shared" si="41"/>
        <v>35</v>
      </c>
      <c r="B186" s="39" t="s">
        <v>146</v>
      </c>
      <c r="D186" s="43">
        <f t="shared" si="40"/>
        <v>0</v>
      </c>
      <c r="E186" s="43">
        <f t="shared" si="40"/>
        <v>0</v>
      </c>
      <c r="F186" s="43">
        <f t="shared" si="40"/>
        <v>0</v>
      </c>
      <c r="G186" s="43">
        <f t="shared" si="40"/>
        <v>0</v>
      </c>
      <c r="H186" s="43">
        <f t="shared" si="40"/>
        <v>0</v>
      </c>
      <c r="I186" s="43">
        <f t="shared" si="40"/>
        <v>0</v>
      </c>
    </row>
    <row r="187" spans="1:9" x14ac:dyDescent="0.2">
      <c r="A187" s="39">
        <f t="shared" si="41"/>
        <v>36</v>
      </c>
      <c r="B187" s="39" t="s">
        <v>148</v>
      </c>
      <c r="D187" s="43">
        <f t="shared" si="40"/>
        <v>0</v>
      </c>
      <c r="E187" s="43">
        <f t="shared" si="40"/>
        <v>0</v>
      </c>
      <c r="F187" s="43">
        <f t="shared" si="40"/>
        <v>0</v>
      </c>
      <c r="G187" s="43">
        <f t="shared" si="40"/>
        <v>0</v>
      </c>
      <c r="H187" s="43">
        <f t="shared" si="40"/>
        <v>0</v>
      </c>
      <c r="I187" s="43">
        <f t="shared" si="40"/>
        <v>0</v>
      </c>
    </row>
    <row r="188" spans="1:9" x14ac:dyDescent="0.2">
      <c r="A188" s="39">
        <f t="shared" si="41"/>
        <v>37</v>
      </c>
      <c r="B188" s="42" t="s">
        <v>244</v>
      </c>
      <c r="D188" s="43">
        <f t="shared" si="40"/>
        <v>0</v>
      </c>
      <c r="E188" s="43">
        <f t="shared" si="40"/>
        <v>0</v>
      </c>
      <c r="F188" s="43">
        <f t="shared" si="40"/>
        <v>0</v>
      </c>
      <c r="G188" s="43">
        <f t="shared" si="40"/>
        <v>0</v>
      </c>
      <c r="H188" s="43">
        <f t="shared" si="40"/>
        <v>0</v>
      </c>
      <c r="I188" s="43">
        <f t="shared" si="40"/>
        <v>0</v>
      </c>
    </row>
    <row r="189" spans="1:9" x14ac:dyDescent="0.2">
      <c r="A189" s="39">
        <f t="shared" si="41"/>
        <v>38</v>
      </c>
      <c r="B189" s="39" t="s">
        <v>147</v>
      </c>
      <c r="D189" s="43">
        <f t="shared" si="40"/>
        <v>0</v>
      </c>
      <c r="E189" s="43">
        <f t="shared" si="40"/>
        <v>0</v>
      </c>
      <c r="F189" s="43">
        <f t="shared" si="40"/>
        <v>0</v>
      </c>
      <c r="G189" s="43">
        <f t="shared" si="40"/>
        <v>0</v>
      </c>
      <c r="H189" s="43">
        <f t="shared" si="40"/>
        <v>0</v>
      </c>
      <c r="I189" s="43">
        <f t="shared" si="40"/>
        <v>0</v>
      </c>
    </row>
    <row r="190" spans="1:9" x14ac:dyDescent="0.2">
      <c r="A190" s="39">
        <f t="shared" si="41"/>
        <v>39</v>
      </c>
      <c r="B190" s="39" t="s">
        <v>149</v>
      </c>
      <c r="D190" s="43">
        <f t="shared" si="40"/>
        <v>0</v>
      </c>
      <c r="E190" s="43">
        <f t="shared" si="40"/>
        <v>0</v>
      </c>
      <c r="F190" s="43">
        <f t="shared" si="40"/>
        <v>0</v>
      </c>
      <c r="G190" s="43">
        <f t="shared" si="40"/>
        <v>0</v>
      </c>
      <c r="H190" s="43">
        <f t="shared" si="40"/>
        <v>0</v>
      </c>
      <c r="I190" s="43">
        <f t="shared" si="40"/>
        <v>0</v>
      </c>
    </row>
    <row r="191" spans="1:9" x14ac:dyDescent="0.2">
      <c r="A191" s="39">
        <f t="shared" si="41"/>
        <v>40</v>
      </c>
      <c r="B191" s="42" t="s">
        <v>173</v>
      </c>
      <c r="D191" s="43">
        <f t="shared" si="40"/>
        <v>0</v>
      </c>
      <c r="E191" s="43">
        <f t="shared" si="40"/>
        <v>0</v>
      </c>
      <c r="F191" s="43">
        <f t="shared" si="40"/>
        <v>0</v>
      </c>
      <c r="G191" s="43">
        <f t="shared" si="40"/>
        <v>0</v>
      </c>
      <c r="H191" s="43">
        <f t="shared" si="40"/>
        <v>0</v>
      </c>
      <c r="I191" s="43">
        <f t="shared" si="40"/>
        <v>0</v>
      </c>
    </row>
    <row r="192" spans="1:9" x14ac:dyDescent="0.2">
      <c r="A192" s="39">
        <f t="shared" si="41"/>
        <v>41</v>
      </c>
      <c r="B192" s="42" t="s">
        <v>168</v>
      </c>
      <c r="C192" s="42"/>
      <c r="D192" s="43">
        <f t="shared" si="40"/>
        <v>0</v>
      </c>
      <c r="E192" s="43">
        <f t="shared" si="40"/>
        <v>0</v>
      </c>
      <c r="F192" s="43">
        <f t="shared" si="40"/>
        <v>0</v>
      </c>
      <c r="G192" s="43">
        <f t="shared" si="40"/>
        <v>0</v>
      </c>
      <c r="H192" s="43">
        <f t="shared" si="40"/>
        <v>0</v>
      </c>
      <c r="I192" s="43">
        <f t="shared" si="40"/>
        <v>0</v>
      </c>
    </row>
    <row r="193" spans="1:9" x14ac:dyDescent="0.2">
      <c r="A193" s="39">
        <f t="shared" si="41"/>
        <v>42</v>
      </c>
      <c r="B193" s="42" t="s">
        <v>163</v>
      </c>
      <c r="C193" s="42"/>
      <c r="D193" s="43">
        <f t="shared" si="40"/>
        <v>0</v>
      </c>
      <c r="E193" s="43">
        <f t="shared" si="40"/>
        <v>0</v>
      </c>
      <c r="F193" s="43">
        <f t="shared" si="40"/>
        <v>0</v>
      </c>
      <c r="G193" s="43">
        <f t="shared" si="40"/>
        <v>0</v>
      </c>
      <c r="H193" s="43">
        <f t="shared" si="40"/>
        <v>0</v>
      </c>
      <c r="I193" s="43">
        <f t="shared" si="40"/>
        <v>0</v>
      </c>
    </row>
    <row r="194" spans="1:9" x14ac:dyDescent="0.2">
      <c r="A194" s="39">
        <f t="shared" si="41"/>
        <v>43</v>
      </c>
      <c r="B194" s="39" t="s">
        <v>151</v>
      </c>
      <c r="D194" s="43">
        <f t="shared" si="40"/>
        <v>0</v>
      </c>
      <c r="E194" s="43">
        <f t="shared" si="40"/>
        <v>0</v>
      </c>
      <c r="F194" s="43">
        <f t="shared" si="40"/>
        <v>0</v>
      </c>
      <c r="G194" s="43">
        <f t="shared" si="40"/>
        <v>0</v>
      </c>
      <c r="H194" s="43">
        <f t="shared" si="40"/>
        <v>0</v>
      </c>
      <c r="I194" s="43">
        <f t="shared" si="40"/>
        <v>0</v>
      </c>
    </row>
    <row r="195" spans="1:9" x14ac:dyDescent="0.2">
      <c r="B195" s="42" t="s">
        <v>172</v>
      </c>
      <c r="D195" s="43"/>
      <c r="E195" s="43"/>
      <c r="F195" s="43"/>
      <c r="G195" s="43"/>
      <c r="H195" s="43"/>
      <c r="I195" s="43"/>
    </row>
    <row r="196" spans="1:9" x14ac:dyDescent="0.2">
      <c r="A196" s="39">
        <f>A194+1</f>
        <v>44</v>
      </c>
      <c r="B196" s="42"/>
      <c r="C196" s="42" t="s">
        <v>175</v>
      </c>
      <c r="D196" s="43">
        <f t="shared" ref="D196:I196" si="42">D60-D128</f>
        <v>0</v>
      </c>
      <c r="E196" s="43">
        <f t="shared" si="42"/>
        <v>0</v>
      </c>
      <c r="F196" s="43">
        <f t="shared" si="42"/>
        <v>0</v>
      </c>
      <c r="G196" s="43">
        <f t="shared" si="42"/>
        <v>0</v>
      </c>
      <c r="H196" s="43">
        <f t="shared" si="42"/>
        <v>0</v>
      </c>
      <c r="I196" s="43">
        <f t="shared" si="42"/>
        <v>0</v>
      </c>
    </row>
    <row r="197" spans="1:9" x14ac:dyDescent="0.2">
      <c r="A197" s="39">
        <f>A196+1</f>
        <v>45</v>
      </c>
      <c r="B197" s="42"/>
      <c r="C197" s="42" t="s">
        <v>182</v>
      </c>
      <c r="D197" s="43">
        <f t="shared" ref="D197:I197" si="43">D61-D129</f>
        <v>0</v>
      </c>
      <c r="E197" s="43">
        <f t="shared" si="43"/>
        <v>0</v>
      </c>
      <c r="F197" s="43">
        <f t="shared" si="43"/>
        <v>0</v>
      </c>
      <c r="G197" s="43">
        <f t="shared" si="43"/>
        <v>0</v>
      </c>
      <c r="H197" s="43">
        <f t="shared" si="43"/>
        <v>0</v>
      </c>
      <c r="I197" s="43">
        <f t="shared" si="43"/>
        <v>0</v>
      </c>
    </row>
    <row r="198" spans="1:9" x14ac:dyDescent="0.2">
      <c r="A198" s="39">
        <f>A197+1</f>
        <v>46</v>
      </c>
      <c r="B198" s="42"/>
      <c r="C198" s="42" t="s">
        <v>201</v>
      </c>
      <c r="D198" s="43">
        <f t="shared" ref="D198:I198" si="44">D62-D130</f>
        <v>0</v>
      </c>
      <c r="E198" s="43">
        <f t="shared" si="44"/>
        <v>0</v>
      </c>
      <c r="F198" s="43">
        <f t="shared" si="44"/>
        <v>0</v>
      </c>
      <c r="G198" s="43">
        <f t="shared" si="44"/>
        <v>0</v>
      </c>
      <c r="H198" s="43">
        <f t="shared" si="44"/>
        <v>0</v>
      </c>
      <c r="I198" s="43">
        <f t="shared" si="44"/>
        <v>0</v>
      </c>
    </row>
    <row r="199" spans="1:9" x14ac:dyDescent="0.2">
      <c r="A199" s="39">
        <f>A198+1</f>
        <v>47</v>
      </c>
      <c r="B199" s="42"/>
      <c r="C199" s="42" t="s">
        <v>183</v>
      </c>
      <c r="D199" s="43">
        <f t="shared" ref="D199:I199" si="45">D63-D131</f>
        <v>0</v>
      </c>
      <c r="E199" s="43">
        <f t="shared" si="45"/>
        <v>0</v>
      </c>
      <c r="F199" s="43">
        <f t="shared" si="45"/>
        <v>0</v>
      </c>
      <c r="G199" s="43">
        <f t="shared" si="45"/>
        <v>0</v>
      </c>
      <c r="H199" s="43">
        <f t="shared" si="45"/>
        <v>0</v>
      </c>
      <c r="I199" s="43">
        <f t="shared" si="45"/>
        <v>0</v>
      </c>
    </row>
    <row r="200" spans="1:9" x14ac:dyDescent="0.2">
      <c r="D200" s="41"/>
      <c r="E200" s="41"/>
      <c r="F200" s="41"/>
      <c r="G200" s="41"/>
      <c r="H200" s="41"/>
      <c r="I200" s="41"/>
    </row>
    <row r="201" spans="1:9" x14ac:dyDescent="0.2">
      <c r="A201" s="39">
        <f>A199+1</f>
        <v>48</v>
      </c>
      <c r="B201" s="42" t="s">
        <v>184</v>
      </c>
      <c r="C201" s="42"/>
      <c r="D201" s="43">
        <f t="shared" ref="D201:I203" si="46">D65-D133</f>
        <v>0</v>
      </c>
      <c r="E201" s="43">
        <f t="shared" si="46"/>
        <v>0</v>
      </c>
      <c r="F201" s="43">
        <f t="shared" si="46"/>
        <v>0</v>
      </c>
      <c r="G201" s="43">
        <f t="shared" si="46"/>
        <v>0</v>
      </c>
      <c r="H201" s="43">
        <f t="shared" si="46"/>
        <v>0</v>
      </c>
      <c r="I201" s="43">
        <f t="shared" si="46"/>
        <v>0</v>
      </c>
    </row>
    <row r="202" spans="1:9" x14ac:dyDescent="0.2">
      <c r="A202" s="39">
        <f>A201+1</f>
        <v>49</v>
      </c>
      <c r="B202" s="42" t="s">
        <v>160</v>
      </c>
      <c r="C202" s="42"/>
      <c r="D202" s="43">
        <f t="shared" si="46"/>
        <v>0</v>
      </c>
      <c r="E202" s="43">
        <f t="shared" si="46"/>
        <v>0</v>
      </c>
      <c r="F202" s="43">
        <f t="shared" si="46"/>
        <v>0</v>
      </c>
      <c r="G202" s="43">
        <f t="shared" si="46"/>
        <v>0</v>
      </c>
      <c r="H202" s="43">
        <f t="shared" si="46"/>
        <v>0</v>
      </c>
      <c r="I202" s="43">
        <f t="shared" si="46"/>
        <v>0</v>
      </c>
    </row>
    <row r="203" spans="1:9" x14ac:dyDescent="0.2">
      <c r="A203" s="39">
        <f>A202+1</f>
        <v>50</v>
      </c>
      <c r="B203" s="42" t="s">
        <v>161</v>
      </c>
      <c r="C203" s="42"/>
      <c r="D203" s="43">
        <f t="shared" si="46"/>
        <v>0</v>
      </c>
      <c r="E203" s="43">
        <f t="shared" si="46"/>
        <v>0</v>
      </c>
      <c r="F203" s="43">
        <f t="shared" si="46"/>
        <v>0</v>
      </c>
      <c r="G203" s="43">
        <f t="shared" si="46"/>
        <v>0</v>
      </c>
      <c r="H203" s="43">
        <f t="shared" si="46"/>
        <v>0</v>
      </c>
      <c r="I203" s="43">
        <f t="shared" si="46"/>
        <v>0</v>
      </c>
    </row>
    <row r="204" spans="1:9" x14ac:dyDescent="0.2">
      <c r="B204" s="42"/>
      <c r="C204" s="42"/>
      <c r="D204" s="43"/>
      <c r="E204" s="43"/>
      <c r="F204" s="43"/>
      <c r="G204" s="43"/>
      <c r="H204" s="43"/>
      <c r="I204" s="43"/>
    </row>
    <row r="205" spans="1:9" x14ac:dyDescent="0.2">
      <c r="A205" s="39">
        <f>A203+1</f>
        <v>51</v>
      </c>
      <c r="B205" s="42" t="s">
        <v>166</v>
      </c>
      <c r="C205" s="42"/>
      <c r="D205" s="43">
        <f t="shared" ref="D205:I205" si="47">D69-D137</f>
        <v>0</v>
      </c>
      <c r="E205" s="43">
        <f t="shared" si="47"/>
        <v>0</v>
      </c>
      <c r="F205" s="43">
        <f t="shared" si="47"/>
        <v>0</v>
      </c>
      <c r="G205" s="43">
        <f t="shared" si="47"/>
        <v>0</v>
      </c>
      <c r="H205" s="43">
        <f t="shared" si="47"/>
        <v>0</v>
      </c>
      <c r="I205" s="43">
        <f t="shared" si="47"/>
        <v>0</v>
      </c>
    </row>
  </sheetData>
  <phoneticPr fontId="1" type="noConversion"/>
  <printOptions horizontalCentered="1" gridLines="1"/>
  <pageMargins left="0.5" right="0.25" top="1" bottom="0.5" header="0.5" footer="0.25"/>
  <pageSetup scale="75" fitToHeight="3" orientation="portrait" horizontalDpi="300" verticalDpi="300" r:id="rId1"/>
  <headerFooter alignWithMargins="0">
    <oddHeader>&amp;L&amp;"Arial,Bold"DEPT of EDUCATION
Program Finance Div.&amp;C&amp;"Arial,Bold"&amp;A GENERAL EDUCATION
*** NOV 2006 VS. EOS 2006  ***&amp;R&amp;"Arial,Bold"&amp;D
&amp;T</oddHeader>
    <oddFooter>&amp;L&amp;"Arial,Regular"&amp;F&amp;R&amp;"Arial,Regular"&amp;A</oddFooter>
  </headerFooter>
  <rowBreaks count="2" manualBreakCount="2">
    <brk id="70" max="9" man="1"/>
    <brk id="138" max="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205"/>
  <sheetViews>
    <sheetView zoomScaleNormal="100" zoomScaleSheetLayoutView="85" workbookViewId="0">
      <pane xSplit="3" ySplit="4" topLeftCell="D5" activePane="bottomRight" state="frozen"/>
      <selection activeCell="C64" sqref="C64"/>
      <selection pane="topRight" activeCell="C64" sqref="C64"/>
      <selection pane="bottomLeft" activeCell="C64" sqref="C64"/>
      <selection pane="bottomRight" activeCell="D19" sqref="D19"/>
    </sheetView>
  </sheetViews>
  <sheetFormatPr defaultColWidth="8" defaultRowHeight="12.75" x14ac:dyDescent="0.2"/>
  <cols>
    <col min="1" max="1" width="4.125" style="39" customWidth="1"/>
    <col min="2" max="2" width="2.25" style="39" customWidth="1"/>
    <col min="3" max="3" width="28.625" style="39" customWidth="1"/>
    <col min="4" max="9" width="13.625" style="39" customWidth="1"/>
    <col min="10" max="16384" width="8" style="39"/>
  </cols>
  <sheetData>
    <row r="1" spans="1:9" x14ac:dyDescent="0.2">
      <c r="A1" s="42" t="s">
        <v>258</v>
      </c>
    </row>
    <row r="3" spans="1:9" x14ac:dyDescent="0.2">
      <c r="A3" s="107" t="s">
        <v>257</v>
      </c>
      <c r="B3" s="107"/>
      <c r="C3" s="108"/>
      <c r="D3" s="109" t="s">
        <v>176</v>
      </c>
      <c r="E3" s="109" t="s">
        <v>181</v>
      </c>
      <c r="F3" s="109" t="s">
        <v>177</v>
      </c>
      <c r="G3" s="109" t="s">
        <v>178</v>
      </c>
      <c r="H3" s="109" t="s">
        <v>179</v>
      </c>
      <c r="I3" s="109" t="s">
        <v>180</v>
      </c>
    </row>
    <row r="5" spans="1:9" x14ac:dyDescent="0.2">
      <c r="A5" s="39">
        <v>1</v>
      </c>
      <c r="B5" s="39" t="s">
        <v>140</v>
      </c>
      <c r="D5" s="41">
        <f>'Pupil Data'!C37</f>
        <v>941129</v>
      </c>
      <c r="E5" s="41">
        <v>0</v>
      </c>
      <c r="F5" s="41">
        <f>'Pupil Data'!D37</f>
        <v>0</v>
      </c>
      <c r="G5" s="41">
        <f>'Pupil Data'!E37</f>
        <v>15967</v>
      </c>
      <c r="H5" s="41">
        <f>'Pupil Data'!F37</f>
        <v>0</v>
      </c>
      <c r="I5" s="41">
        <f>SUM(D5:H5)</f>
        <v>957096</v>
      </c>
    </row>
    <row r="7" spans="1:9" x14ac:dyDescent="0.2">
      <c r="B7" s="42" t="s">
        <v>155</v>
      </c>
      <c r="D7" s="40"/>
      <c r="E7" s="40"/>
      <c r="F7" s="40"/>
      <c r="G7" s="40"/>
      <c r="H7" s="40"/>
      <c r="I7" s="40"/>
    </row>
    <row r="8" spans="1:9" x14ac:dyDescent="0.2">
      <c r="A8" s="39">
        <f>A5+1</f>
        <v>2</v>
      </c>
      <c r="B8" s="39" t="s">
        <v>141</v>
      </c>
      <c r="D8" s="41">
        <v>4330167150</v>
      </c>
      <c r="E8" s="41">
        <v>0</v>
      </c>
      <c r="F8" s="41">
        <v>0</v>
      </c>
      <c r="G8" s="41">
        <v>73408127</v>
      </c>
      <c r="H8" s="41">
        <v>0</v>
      </c>
      <c r="I8" s="41">
        <f>SUM(D8:H8)</f>
        <v>4403575277</v>
      </c>
    </row>
    <row r="9" spans="1:9" x14ac:dyDescent="0.2">
      <c r="A9" s="39">
        <f>A8+1</f>
        <v>3</v>
      </c>
      <c r="B9" s="42" t="s">
        <v>167</v>
      </c>
      <c r="C9" s="42"/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41">
        <f>SUM(D9:H9)</f>
        <v>0</v>
      </c>
    </row>
    <row r="10" spans="1:9" x14ac:dyDescent="0.2">
      <c r="A10" s="39">
        <f>A9+1</f>
        <v>4</v>
      </c>
      <c r="B10" s="39" t="s">
        <v>142</v>
      </c>
      <c r="D10" s="41">
        <v>49465489</v>
      </c>
      <c r="E10" s="41">
        <v>0</v>
      </c>
      <c r="F10" s="41">
        <v>0</v>
      </c>
      <c r="G10" s="41">
        <v>886061</v>
      </c>
      <c r="H10" s="41">
        <v>0</v>
      </c>
      <c r="I10" s="41">
        <f>SUM(D10:H10)</f>
        <v>50351550</v>
      </c>
    </row>
    <row r="11" spans="1:9" x14ac:dyDescent="0.2">
      <c r="B11" s="42" t="s">
        <v>171</v>
      </c>
      <c r="D11" s="41"/>
      <c r="E11" s="41"/>
      <c r="F11" s="41"/>
      <c r="G11" s="41"/>
      <c r="H11" s="41"/>
      <c r="I11" s="41"/>
    </row>
    <row r="12" spans="1:9" x14ac:dyDescent="0.2">
      <c r="A12" s="39">
        <f>A10+1</f>
        <v>5</v>
      </c>
      <c r="C12" s="39" t="s">
        <v>143</v>
      </c>
      <c r="D12" s="41">
        <v>235489836</v>
      </c>
      <c r="E12" s="41">
        <v>0</v>
      </c>
      <c r="F12" s="41">
        <v>0</v>
      </c>
      <c r="G12" s="41">
        <v>13657118</v>
      </c>
      <c r="H12" s="41">
        <v>0</v>
      </c>
      <c r="I12" s="41">
        <f t="shared" ref="I12:I23" si="0">SUM(D12:H12)</f>
        <v>249146954</v>
      </c>
    </row>
    <row r="13" spans="1:9" x14ac:dyDescent="0.2">
      <c r="A13" s="39">
        <f t="shared" ref="A13:A23" si="1">A12+1</f>
        <v>6</v>
      </c>
      <c r="C13" s="39" t="s">
        <v>144</v>
      </c>
      <c r="D13" s="41">
        <v>27431166</v>
      </c>
      <c r="E13" s="41">
        <v>0</v>
      </c>
      <c r="F13" s="41">
        <v>0</v>
      </c>
      <c r="G13" s="41">
        <v>1387547</v>
      </c>
      <c r="H13" s="41">
        <v>0</v>
      </c>
      <c r="I13" s="41">
        <f t="shared" si="0"/>
        <v>28818713</v>
      </c>
    </row>
    <row r="14" spans="1:9" x14ac:dyDescent="0.2">
      <c r="A14" s="39">
        <f t="shared" si="1"/>
        <v>7</v>
      </c>
      <c r="B14" s="42"/>
      <c r="C14" s="42" t="s">
        <v>170</v>
      </c>
      <c r="D14" s="41">
        <v>6822038</v>
      </c>
      <c r="E14" s="41">
        <v>0</v>
      </c>
      <c r="F14" s="41">
        <v>0</v>
      </c>
      <c r="G14" s="41">
        <v>454720</v>
      </c>
      <c r="H14" s="41">
        <v>0</v>
      </c>
      <c r="I14" s="41">
        <f t="shared" si="0"/>
        <v>7276758</v>
      </c>
    </row>
    <row r="15" spans="1:9" x14ac:dyDescent="0.2">
      <c r="A15" s="39">
        <f t="shared" si="1"/>
        <v>8</v>
      </c>
      <c r="B15" s="39" t="s">
        <v>145</v>
      </c>
      <c r="D15" s="41">
        <v>16628454</v>
      </c>
      <c r="E15" s="41">
        <v>0</v>
      </c>
      <c r="F15" s="41">
        <v>0</v>
      </c>
      <c r="G15" s="41">
        <v>281124</v>
      </c>
      <c r="H15" s="41">
        <v>0</v>
      </c>
      <c r="I15" s="41">
        <f t="shared" si="0"/>
        <v>16909578</v>
      </c>
    </row>
    <row r="16" spans="1:9" x14ac:dyDescent="0.2">
      <c r="A16" s="39">
        <f t="shared" si="1"/>
        <v>9</v>
      </c>
      <c r="B16" s="39" t="s">
        <v>146</v>
      </c>
      <c r="D16" s="41">
        <v>55468090</v>
      </c>
      <c r="E16" s="41">
        <v>0</v>
      </c>
      <c r="F16" s="41">
        <v>0</v>
      </c>
      <c r="G16" s="41">
        <v>445008</v>
      </c>
      <c r="H16" s="41">
        <v>0</v>
      </c>
      <c r="I16" s="41">
        <f t="shared" si="0"/>
        <v>55913098</v>
      </c>
    </row>
    <row r="17" spans="1:9" x14ac:dyDescent="0.2">
      <c r="A17" s="39">
        <f t="shared" si="1"/>
        <v>10</v>
      </c>
      <c r="B17" s="39" t="s">
        <v>148</v>
      </c>
      <c r="D17" s="41">
        <v>18554929</v>
      </c>
      <c r="E17" s="41">
        <v>0</v>
      </c>
      <c r="F17" s="41">
        <v>0</v>
      </c>
      <c r="G17" s="41">
        <v>314629</v>
      </c>
      <c r="H17" s="41">
        <v>0</v>
      </c>
      <c r="I17" s="41">
        <f t="shared" si="0"/>
        <v>18869558</v>
      </c>
    </row>
    <row r="18" spans="1:9" x14ac:dyDescent="0.2">
      <c r="A18" s="39">
        <f t="shared" si="1"/>
        <v>11</v>
      </c>
      <c r="B18" s="39" t="s">
        <v>244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f t="shared" si="0"/>
        <v>0</v>
      </c>
    </row>
    <row r="19" spans="1:9" x14ac:dyDescent="0.2">
      <c r="A19" s="39">
        <f t="shared" si="1"/>
        <v>12</v>
      </c>
      <c r="B19" s="39" t="s">
        <v>147</v>
      </c>
      <c r="D19" s="41">
        <v>190979544</v>
      </c>
      <c r="E19" s="41">
        <v>0</v>
      </c>
      <c r="F19" s="41">
        <v>0</v>
      </c>
      <c r="G19" s="41">
        <v>3237552</v>
      </c>
      <c r="H19" s="41">
        <v>0</v>
      </c>
      <c r="I19" s="41">
        <f t="shared" si="0"/>
        <v>194217096</v>
      </c>
    </row>
    <row r="20" spans="1:9" x14ac:dyDescent="0.2">
      <c r="A20" s="39">
        <f t="shared" si="1"/>
        <v>13</v>
      </c>
      <c r="B20" s="39" t="s">
        <v>149</v>
      </c>
      <c r="D20" s="41">
        <v>31577083</v>
      </c>
      <c r="E20" s="41">
        <v>0</v>
      </c>
      <c r="F20" s="41">
        <v>0</v>
      </c>
      <c r="G20" s="41">
        <v>535286</v>
      </c>
      <c r="H20" s="41">
        <v>0</v>
      </c>
      <c r="I20" s="41">
        <f t="shared" si="0"/>
        <v>32112369</v>
      </c>
    </row>
    <row r="21" spans="1:9" x14ac:dyDescent="0.2">
      <c r="A21" s="39">
        <f t="shared" si="1"/>
        <v>14</v>
      </c>
      <c r="B21" s="42" t="s">
        <v>173</v>
      </c>
      <c r="D21" s="41">
        <v>31095752</v>
      </c>
      <c r="E21" s="41">
        <v>0</v>
      </c>
      <c r="F21" s="41">
        <v>0</v>
      </c>
      <c r="G21" s="41">
        <v>890772</v>
      </c>
      <c r="H21" s="41">
        <v>0</v>
      </c>
      <c r="I21" s="41">
        <f t="shared" si="0"/>
        <v>31986524</v>
      </c>
    </row>
    <row r="22" spans="1:9" x14ac:dyDescent="0.2">
      <c r="A22" s="39">
        <f t="shared" si="1"/>
        <v>15</v>
      </c>
      <c r="B22" s="42" t="s">
        <v>168</v>
      </c>
      <c r="C22" s="42"/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f t="shared" si="0"/>
        <v>0</v>
      </c>
    </row>
    <row r="23" spans="1:9" x14ac:dyDescent="0.2">
      <c r="A23" s="39">
        <f t="shared" si="1"/>
        <v>16</v>
      </c>
      <c r="B23" s="39" t="s">
        <v>150</v>
      </c>
      <c r="D23" s="41">
        <v>426336542</v>
      </c>
      <c r="E23" s="41">
        <v>0</v>
      </c>
      <c r="F23" s="41">
        <v>0</v>
      </c>
      <c r="G23" s="41">
        <v>0</v>
      </c>
      <c r="H23" s="41">
        <v>0</v>
      </c>
      <c r="I23" s="41">
        <f t="shared" si="0"/>
        <v>426336542</v>
      </c>
    </row>
    <row r="24" spans="1:9" x14ac:dyDescent="0.2">
      <c r="B24" s="42" t="s">
        <v>172</v>
      </c>
      <c r="D24" s="41"/>
      <c r="E24" s="41"/>
      <c r="F24" s="41"/>
      <c r="G24" s="41"/>
      <c r="H24" s="41"/>
      <c r="I24" s="41"/>
    </row>
    <row r="25" spans="1:9" x14ac:dyDescent="0.2">
      <c r="A25" s="39">
        <f>A23+1</f>
        <v>17</v>
      </c>
      <c r="B25" s="42"/>
      <c r="C25" s="42" t="s">
        <v>175</v>
      </c>
      <c r="D25" s="41">
        <v>-1687931</v>
      </c>
      <c r="E25" s="41">
        <v>0</v>
      </c>
      <c r="F25" s="41">
        <v>0</v>
      </c>
      <c r="G25" s="41">
        <v>1008074</v>
      </c>
      <c r="H25" s="41">
        <v>0</v>
      </c>
      <c r="I25" s="41">
        <f>SUM(D25:H25)</f>
        <v>-679857</v>
      </c>
    </row>
    <row r="26" spans="1:9" x14ac:dyDescent="0.2">
      <c r="A26" s="39">
        <f>A25+1</f>
        <v>18</v>
      </c>
      <c r="B26" s="42"/>
      <c r="C26" s="42" t="s">
        <v>182</v>
      </c>
      <c r="D26" s="41">
        <v>2039421</v>
      </c>
      <c r="E26" s="41">
        <v>0</v>
      </c>
      <c r="F26" s="41">
        <v>0</v>
      </c>
      <c r="G26" s="41">
        <v>-2038362</v>
      </c>
      <c r="H26" s="41">
        <v>0</v>
      </c>
      <c r="I26" s="41">
        <f>SUM(D26:H26)</f>
        <v>1059</v>
      </c>
    </row>
    <row r="27" spans="1:9" x14ac:dyDescent="0.2">
      <c r="A27" s="39">
        <f>A26+1</f>
        <v>19</v>
      </c>
      <c r="B27" s="42"/>
      <c r="C27" s="42" t="s">
        <v>201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f>SUM(D27:H27)</f>
        <v>0</v>
      </c>
    </row>
    <row r="28" spans="1:9" x14ac:dyDescent="0.2">
      <c r="A28" s="39">
        <f>A27+1</f>
        <v>20</v>
      </c>
      <c r="B28" s="42"/>
      <c r="C28" s="42" t="s">
        <v>183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f>SUM(D28:H28)</f>
        <v>0</v>
      </c>
    </row>
    <row r="29" spans="1:9" x14ac:dyDescent="0.2">
      <c r="D29" s="41"/>
      <c r="E29" s="41"/>
      <c r="F29" s="41"/>
      <c r="G29" s="41"/>
      <c r="H29" s="41"/>
      <c r="I29" s="41"/>
    </row>
    <row r="30" spans="1:9" x14ac:dyDescent="0.2">
      <c r="A30" s="39">
        <f>A28+1</f>
        <v>21</v>
      </c>
      <c r="B30" s="42" t="s">
        <v>158</v>
      </c>
      <c r="D30" s="41">
        <f t="shared" ref="D30:I30" si="2">SUM(D8:D28)</f>
        <v>5420367563</v>
      </c>
      <c r="E30" s="41">
        <f t="shared" si="2"/>
        <v>0</v>
      </c>
      <c r="F30" s="41">
        <f t="shared" si="2"/>
        <v>0</v>
      </c>
      <c r="G30" s="41">
        <f t="shared" si="2"/>
        <v>94467656</v>
      </c>
      <c r="H30" s="41">
        <f t="shared" si="2"/>
        <v>0</v>
      </c>
      <c r="I30" s="41">
        <f t="shared" si="2"/>
        <v>5514835219</v>
      </c>
    </row>
    <row r="31" spans="1:9" x14ac:dyDescent="0.2">
      <c r="D31" s="41"/>
      <c r="E31" s="41"/>
      <c r="F31" s="41"/>
      <c r="G31" s="41"/>
      <c r="H31" s="41"/>
      <c r="I31" s="41"/>
    </row>
    <row r="32" spans="1:9" x14ac:dyDescent="0.2">
      <c r="B32" s="42" t="s">
        <v>156</v>
      </c>
      <c r="C32" s="42"/>
      <c r="D32" s="41"/>
      <c r="E32" s="41"/>
      <c r="F32" s="41"/>
      <c r="G32" s="41"/>
      <c r="H32" s="41"/>
      <c r="I32" s="41"/>
    </row>
    <row r="33" spans="1:9" x14ac:dyDescent="0.2">
      <c r="A33" s="39">
        <f>A30+1</f>
        <v>22</v>
      </c>
      <c r="B33" s="39" t="s">
        <v>153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f>SUM(D33:H33)</f>
        <v>0</v>
      </c>
    </row>
    <row r="34" spans="1:9" x14ac:dyDescent="0.2">
      <c r="A34" s="39">
        <f>A33+1</f>
        <v>23</v>
      </c>
      <c r="B34" s="39" t="s">
        <v>152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f>SUM(D34:H34)</f>
        <v>0</v>
      </c>
    </row>
    <row r="35" spans="1:9" x14ac:dyDescent="0.2">
      <c r="A35" s="39">
        <f>A34+1</f>
        <v>24</v>
      </c>
      <c r="B35" s="42" t="s">
        <v>174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f>SUM(D35:H35)</f>
        <v>0</v>
      </c>
    </row>
    <row r="36" spans="1:9" x14ac:dyDescent="0.2">
      <c r="A36" s="39">
        <f>A35+1</f>
        <v>25</v>
      </c>
      <c r="B36" s="42" t="s">
        <v>168</v>
      </c>
      <c r="C36" s="42"/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f>SUM(D36:H36)</f>
        <v>0</v>
      </c>
    </row>
    <row r="37" spans="1:9" x14ac:dyDescent="0.2">
      <c r="A37" s="39">
        <f>A36+1</f>
        <v>26</v>
      </c>
      <c r="B37" s="39" t="s">
        <v>154</v>
      </c>
      <c r="D37" s="41">
        <v>351087875</v>
      </c>
      <c r="E37" s="41">
        <v>0</v>
      </c>
      <c r="F37" s="41">
        <v>0</v>
      </c>
      <c r="G37" s="41">
        <v>0</v>
      </c>
      <c r="H37" s="41">
        <v>0</v>
      </c>
      <c r="I37" s="41">
        <f>SUM(D37:H37)</f>
        <v>351087875</v>
      </c>
    </row>
    <row r="38" spans="1:9" x14ac:dyDescent="0.2">
      <c r="D38" s="41"/>
      <c r="E38" s="41"/>
      <c r="F38" s="41"/>
      <c r="G38" s="41"/>
      <c r="H38" s="41"/>
      <c r="I38" s="41"/>
    </row>
    <row r="39" spans="1:9" x14ac:dyDescent="0.2">
      <c r="A39" s="39">
        <f>A37+1</f>
        <v>27</v>
      </c>
      <c r="B39" s="42" t="s">
        <v>159</v>
      </c>
      <c r="C39" s="42"/>
      <c r="D39" s="41">
        <f t="shared" ref="D39:I39" si="3">SUM(D33:D37)</f>
        <v>351087875</v>
      </c>
      <c r="E39" s="41">
        <f t="shared" si="3"/>
        <v>0</v>
      </c>
      <c r="F39" s="41">
        <f t="shared" si="3"/>
        <v>0</v>
      </c>
      <c r="G39" s="41">
        <f t="shared" si="3"/>
        <v>0</v>
      </c>
      <c r="H39" s="41">
        <f t="shared" si="3"/>
        <v>0</v>
      </c>
      <c r="I39" s="41">
        <f t="shared" si="3"/>
        <v>351087875</v>
      </c>
    </row>
    <row r="40" spans="1:9" x14ac:dyDescent="0.2">
      <c r="B40" s="42"/>
      <c r="C40" s="42"/>
      <c r="D40" s="41"/>
      <c r="E40" s="41"/>
      <c r="F40" s="41"/>
      <c r="G40" s="41"/>
      <c r="H40" s="41"/>
      <c r="I40" s="41"/>
    </row>
    <row r="41" spans="1:9" x14ac:dyDescent="0.2">
      <c r="B41" s="42" t="s">
        <v>157</v>
      </c>
      <c r="C41" s="42"/>
      <c r="D41" s="41"/>
      <c r="E41" s="41"/>
      <c r="F41" s="41"/>
      <c r="G41" s="41"/>
      <c r="H41" s="41"/>
      <c r="I41" s="41"/>
    </row>
    <row r="42" spans="1:9" x14ac:dyDescent="0.2">
      <c r="A42" s="39">
        <f>A39+1</f>
        <v>28</v>
      </c>
      <c r="B42" s="39" t="s">
        <v>141</v>
      </c>
      <c r="D42" s="41">
        <f t="shared" ref="D42:H44" si="4">D8</f>
        <v>4330167150</v>
      </c>
      <c r="E42" s="41">
        <f t="shared" si="4"/>
        <v>0</v>
      </c>
      <c r="F42" s="41">
        <f t="shared" si="4"/>
        <v>0</v>
      </c>
      <c r="G42" s="41">
        <f t="shared" si="4"/>
        <v>73408127</v>
      </c>
      <c r="H42" s="41">
        <f t="shared" si="4"/>
        <v>0</v>
      </c>
      <c r="I42" s="41">
        <f>SUM(D42:H42)</f>
        <v>4403575277</v>
      </c>
    </row>
    <row r="43" spans="1:9" x14ac:dyDescent="0.2">
      <c r="A43" s="39">
        <f>A42+1</f>
        <v>29</v>
      </c>
      <c r="B43" s="42" t="s">
        <v>167</v>
      </c>
      <c r="C43" s="42"/>
      <c r="D43" s="41">
        <f t="shared" si="4"/>
        <v>0</v>
      </c>
      <c r="E43" s="41">
        <f t="shared" si="4"/>
        <v>0</v>
      </c>
      <c r="F43" s="41">
        <f t="shared" si="4"/>
        <v>0</v>
      </c>
      <c r="G43" s="41">
        <f t="shared" si="4"/>
        <v>0</v>
      </c>
      <c r="H43" s="41">
        <f t="shared" si="4"/>
        <v>0</v>
      </c>
      <c r="I43" s="41">
        <f>SUM(D43:H43)</f>
        <v>0</v>
      </c>
    </row>
    <row r="44" spans="1:9" x14ac:dyDescent="0.2">
      <c r="A44" s="39">
        <f>A43+1</f>
        <v>30</v>
      </c>
      <c r="B44" s="39" t="s">
        <v>142</v>
      </c>
      <c r="D44" s="41">
        <f t="shared" si="4"/>
        <v>49465489</v>
      </c>
      <c r="E44" s="41">
        <f t="shared" si="4"/>
        <v>0</v>
      </c>
      <c r="F44" s="41">
        <f t="shared" si="4"/>
        <v>0</v>
      </c>
      <c r="G44" s="41">
        <f t="shared" si="4"/>
        <v>886061</v>
      </c>
      <c r="H44" s="41">
        <f t="shared" si="4"/>
        <v>0</v>
      </c>
      <c r="I44" s="41">
        <f>SUM(D44:H44)</f>
        <v>50351550</v>
      </c>
    </row>
    <row r="45" spans="1:9" x14ac:dyDescent="0.2">
      <c r="B45" s="42" t="s">
        <v>171</v>
      </c>
      <c r="D45" s="41"/>
      <c r="E45" s="41"/>
      <c r="F45" s="41"/>
      <c r="G45" s="41"/>
      <c r="H45" s="41"/>
      <c r="I45" s="41"/>
    </row>
    <row r="46" spans="1:9" x14ac:dyDescent="0.2">
      <c r="A46" s="39">
        <f>A44+1</f>
        <v>31</v>
      </c>
      <c r="C46" s="39" t="s">
        <v>143</v>
      </c>
      <c r="D46" s="41">
        <f t="shared" ref="D46:H52" si="5">D12</f>
        <v>235489836</v>
      </c>
      <c r="E46" s="41">
        <f t="shared" si="5"/>
        <v>0</v>
      </c>
      <c r="F46" s="41">
        <f t="shared" si="5"/>
        <v>0</v>
      </c>
      <c r="G46" s="41">
        <f t="shared" si="5"/>
        <v>13657118</v>
      </c>
      <c r="H46" s="41">
        <f t="shared" si="5"/>
        <v>0</v>
      </c>
      <c r="I46" s="41">
        <f t="shared" ref="I46:I58" si="6">SUM(D46:H46)</f>
        <v>249146954</v>
      </c>
    </row>
    <row r="47" spans="1:9" x14ac:dyDescent="0.2">
      <c r="A47" s="39">
        <f t="shared" ref="A47:A58" si="7">A46+1</f>
        <v>32</v>
      </c>
      <c r="C47" s="39" t="s">
        <v>144</v>
      </c>
      <c r="D47" s="41">
        <f t="shared" si="5"/>
        <v>27431166</v>
      </c>
      <c r="E47" s="41">
        <f t="shared" si="5"/>
        <v>0</v>
      </c>
      <c r="F47" s="41">
        <f t="shared" si="5"/>
        <v>0</v>
      </c>
      <c r="G47" s="41">
        <f t="shared" si="5"/>
        <v>1387547</v>
      </c>
      <c r="H47" s="41">
        <f t="shared" si="5"/>
        <v>0</v>
      </c>
      <c r="I47" s="41">
        <f t="shared" si="6"/>
        <v>28818713</v>
      </c>
    </row>
    <row r="48" spans="1:9" x14ac:dyDescent="0.2">
      <c r="A48" s="39">
        <f t="shared" si="7"/>
        <v>33</v>
      </c>
      <c r="B48" s="42"/>
      <c r="C48" s="42" t="s">
        <v>170</v>
      </c>
      <c r="D48" s="41">
        <f t="shared" si="5"/>
        <v>6822038</v>
      </c>
      <c r="E48" s="41">
        <f t="shared" si="5"/>
        <v>0</v>
      </c>
      <c r="F48" s="41">
        <f t="shared" si="5"/>
        <v>0</v>
      </c>
      <c r="G48" s="41">
        <f t="shared" si="5"/>
        <v>454720</v>
      </c>
      <c r="H48" s="41">
        <f t="shared" si="5"/>
        <v>0</v>
      </c>
      <c r="I48" s="41">
        <f t="shared" si="6"/>
        <v>7276758</v>
      </c>
    </row>
    <row r="49" spans="1:9" x14ac:dyDescent="0.2">
      <c r="A49" s="39">
        <f t="shared" si="7"/>
        <v>34</v>
      </c>
      <c r="B49" s="39" t="s">
        <v>145</v>
      </c>
      <c r="D49" s="41">
        <f t="shared" si="5"/>
        <v>16628454</v>
      </c>
      <c r="E49" s="41">
        <f t="shared" si="5"/>
        <v>0</v>
      </c>
      <c r="F49" s="41">
        <f t="shared" si="5"/>
        <v>0</v>
      </c>
      <c r="G49" s="41">
        <f t="shared" si="5"/>
        <v>281124</v>
      </c>
      <c r="H49" s="41">
        <f t="shared" si="5"/>
        <v>0</v>
      </c>
      <c r="I49" s="41">
        <f t="shared" si="6"/>
        <v>16909578</v>
      </c>
    </row>
    <row r="50" spans="1:9" x14ac:dyDescent="0.2">
      <c r="A50" s="39">
        <f t="shared" si="7"/>
        <v>35</v>
      </c>
      <c r="B50" s="39" t="s">
        <v>146</v>
      </c>
      <c r="D50" s="41">
        <f t="shared" si="5"/>
        <v>55468090</v>
      </c>
      <c r="E50" s="41">
        <f t="shared" si="5"/>
        <v>0</v>
      </c>
      <c r="F50" s="41">
        <f t="shared" si="5"/>
        <v>0</v>
      </c>
      <c r="G50" s="41">
        <f t="shared" si="5"/>
        <v>445008</v>
      </c>
      <c r="H50" s="41">
        <f t="shared" si="5"/>
        <v>0</v>
      </c>
      <c r="I50" s="41">
        <f t="shared" si="6"/>
        <v>55913098</v>
      </c>
    </row>
    <row r="51" spans="1:9" x14ac:dyDescent="0.2">
      <c r="A51" s="39">
        <f t="shared" si="7"/>
        <v>36</v>
      </c>
      <c r="B51" s="39" t="s">
        <v>148</v>
      </c>
      <c r="D51" s="41">
        <f t="shared" si="5"/>
        <v>18554929</v>
      </c>
      <c r="E51" s="41">
        <f t="shared" si="5"/>
        <v>0</v>
      </c>
      <c r="F51" s="41">
        <f t="shared" si="5"/>
        <v>0</v>
      </c>
      <c r="G51" s="41">
        <f t="shared" si="5"/>
        <v>314629</v>
      </c>
      <c r="H51" s="41">
        <f t="shared" si="5"/>
        <v>0</v>
      </c>
      <c r="I51" s="41">
        <f t="shared" si="6"/>
        <v>18869558</v>
      </c>
    </row>
    <row r="52" spans="1:9" x14ac:dyDescent="0.2">
      <c r="A52" s="39">
        <f t="shared" si="7"/>
        <v>37</v>
      </c>
      <c r="B52" s="39" t="s">
        <v>244</v>
      </c>
      <c r="D52" s="41">
        <f t="shared" si="5"/>
        <v>0</v>
      </c>
      <c r="E52" s="41">
        <f t="shared" si="5"/>
        <v>0</v>
      </c>
      <c r="F52" s="41">
        <f t="shared" si="5"/>
        <v>0</v>
      </c>
      <c r="G52" s="41">
        <f t="shared" si="5"/>
        <v>0</v>
      </c>
      <c r="H52" s="41">
        <f t="shared" si="5"/>
        <v>0</v>
      </c>
      <c r="I52" s="41">
        <f>SUM(D52:H52)</f>
        <v>0</v>
      </c>
    </row>
    <row r="53" spans="1:9" x14ac:dyDescent="0.2">
      <c r="A53" s="39">
        <f t="shared" si="7"/>
        <v>38</v>
      </c>
      <c r="B53" s="39" t="s">
        <v>147</v>
      </c>
      <c r="D53" s="41">
        <f t="shared" ref="D53:H56" si="8">D19-D33</f>
        <v>190979544</v>
      </c>
      <c r="E53" s="41">
        <f t="shared" si="8"/>
        <v>0</v>
      </c>
      <c r="F53" s="41">
        <f t="shared" si="8"/>
        <v>0</v>
      </c>
      <c r="G53" s="41">
        <f t="shared" si="8"/>
        <v>3237552</v>
      </c>
      <c r="H53" s="41">
        <f t="shared" si="8"/>
        <v>0</v>
      </c>
      <c r="I53" s="41">
        <f t="shared" si="6"/>
        <v>194217096</v>
      </c>
    </row>
    <row r="54" spans="1:9" x14ac:dyDescent="0.2">
      <c r="A54" s="39">
        <f t="shared" si="7"/>
        <v>39</v>
      </c>
      <c r="B54" s="39" t="s">
        <v>149</v>
      </c>
      <c r="D54" s="41">
        <f t="shared" si="8"/>
        <v>31577083</v>
      </c>
      <c r="E54" s="41">
        <f t="shared" si="8"/>
        <v>0</v>
      </c>
      <c r="F54" s="41">
        <f t="shared" si="8"/>
        <v>0</v>
      </c>
      <c r="G54" s="41">
        <f t="shared" si="8"/>
        <v>535286</v>
      </c>
      <c r="H54" s="41">
        <f t="shared" si="8"/>
        <v>0</v>
      </c>
      <c r="I54" s="41">
        <f t="shared" si="6"/>
        <v>32112369</v>
      </c>
    </row>
    <row r="55" spans="1:9" x14ac:dyDescent="0.2">
      <c r="A55" s="39">
        <f t="shared" si="7"/>
        <v>40</v>
      </c>
      <c r="B55" s="42" t="s">
        <v>173</v>
      </c>
      <c r="D55" s="41">
        <f t="shared" si="8"/>
        <v>31095752</v>
      </c>
      <c r="E55" s="41">
        <f t="shared" si="8"/>
        <v>0</v>
      </c>
      <c r="F55" s="41">
        <f t="shared" si="8"/>
        <v>0</v>
      </c>
      <c r="G55" s="41">
        <f t="shared" si="8"/>
        <v>890772</v>
      </c>
      <c r="H55" s="41">
        <f t="shared" si="8"/>
        <v>0</v>
      </c>
      <c r="I55" s="41">
        <f t="shared" si="6"/>
        <v>31986524</v>
      </c>
    </row>
    <row r="56" spans="1:9" x14ac:dyDescent="0.2">
      <c r="A56" s="39">
        <f t="shared" si="7"/>
        <v>41</v>
      </c>
      <c r="B56" s="42" t="s">
        <v>168</v>
      </c>
      <c r="C56" s="42"/>
      <c r="D56" s="41">
        <f t="shared" si="8"/>
        <v>0</v>
      </c>
      <c r="E56" s="41">
        <f t="shared" si="8"/>
        <v>0</v>
      </c>
      <c r="F56" s="41">
        <f t="shared" si="8"/>
        <v>0</v>
      </c>
      <c r="G56" s="41">
        <f t="shared" si="8"/>
        <v>0</v>
      </c>
      <c r="H56" s="41">
        <f t="shared" si="8"/>
        <v>0</v>
      </c>
      <c r="I56" s="41">
        <f t="shared" si="6"/>
        <v>0</v>
      </c>
    </row>
    <row r="57" spans="1:9" x14ac:dyDescent="0.2">
      <c r="A57" s="39">
        <f t="shared" si="7"/>
        <v>42</v>
      </c>
      <c r="B57" s="42" t="s">
        <v>163</v>
      </c>
      <c r="C57" s="42"/>
      <c r="D57" s="41">
        <f>D23-D37-D58</f>
        <v>67208298</v>
      </c>
      <c r="E57" s="41">
        <f>E23-E37-E58</f>
        <v>0</v>
      </c>
      <c r="F57" s="41">
        <f>F23-F37-F58</f>
        <v>0</v>
      </c>
      <c r="G57" s="41">
        <f>G23-G37-G58</f>
        <v>0</v>
      </c>
      <c r="H57" s="41">
        <f>H23-H37-H58</f>
        <v>0</v>
      </c>
      <c r="I57" s="41">
        <f t="shared" si="6"/>
        <v>67208298</v>
      </c>
    </row>
    <row r="58" spans="1:9" x14ac:dyDescent="0.2">
      <c r="A58" s="39">
        <f t="shared" si="7"/>
        <v>43</v>
      </c>
      <c r="B58" s="39" t="s">
        <v>151</v>
      </c>
      <c r="D58" s="41">
        <v>8040369</v>
      </c>
      <c r="E58" s="41">
        <v>0</v>
      </c>
      <c r="F58" s="41">
        <v>0</v>
      </c>
      <c r="G58" s="41">
        <v>0</v>
      </c>
      <c r="H58" s="41">
        <v>0</v>
      </c>
      <c r="I58" s="41">
        <f t="shared" si="6"/>
        <v>8040369</v>
      </c>
    </row>
    <row r="59" spans="1:9" x14ac:dyDescent="0.2">
      <c r="B59" s="42" t="s">
        <v>172</v>
      </c>
      <c r="D59" s="41"/>
      <c r="E59" s="41"/>
      <c r="F59" s="41"/>
      <c r="G59" s="41"/>
      <c r="H59" s="41"/>
      <c r="I59" s="41"/>
    </row>
    <row r="60" spans="1:9" x14ac:dyDescent="0.2">
      <c r="A60" s="39">
        <f>A58+1</f>
        <v>44</v>
      </c>
      <c r="B60" s="42"/>
      <c r="C60" s="42" t="s">
        <v>175</v>
      </c>
      <c r="D60" s="41">
        <f t="shared" ref="D60:H63" si="9">D25</f>
        <v>-1687931</v>
      </c>
      <c r="E60" s="41">
        <f t="shared" si="9"/>
        <v>0</v>
      </c>
      <c r="F60" s="41">
        <f t="shared" si="9"/>
        <v>0</v>
      </c>
      <c r="G60" s="41">
        <f t="shared" si="9"/>
        <v>1008074</v>
      </c>
      <c r="H60" s="41">
        <f t="shared" si="9"/>
        <v>0</v>
      </c>
      <c r="I60" s="41">
        <f>SUM(D60:H60)</f>
        <v>-679857</v>
      </c>
    </row>
    <row r="61" spans="1:9" x14ac:dyDescent="0.2">
      <c r="A61" s="39">
        <f>A60+1</f>
        <v>45</v>
      </c>
      <c r="B61" s="42"/>
      <c r="C61" s="42" t="s">
        <v>182</v>
      </c>
      <c r="D61" s="41">
        <f t="shared" si="9"/>
        <v>2039421</v>
      </c>
      <c r="E61" s="41">
        <f t="shared" si="9"/>
        <v>0</v>
      </c>
      <c r="F61" s="41">
        <f t="shared" si="9"/>
        <v>0</v>
      </c>
      <c r="G61" s="41">
        <f t="shared" si="9"/>
        <v>-2038362</v>
      </c>
      <c r="H61" s="41">
        <f t="shared" si="9"/>
        <v>0</v>
      </c>
      <c r="I61" s="41">
        <f>SUM(D61:H61)</f>
        <v>1059</v>
      </c>
    </row>
    <row r="62" spans="1:9" x14ac:dyDescent="0.2">
      <c r="A62" s="39">
        <f>A61+1</f>
        <v>46</v>
      </c>
      <c r="B62" s="42"/>
      <c r="C62" s="42" t="s">
        <v>201</v>
      </c>
      <c r="D62" s="41">
        <f t="shared" si="9"/>
        <v>0</v>
      </c>
      <c r="E62" s="41">
        <f t="shared" si="9"/>
        <v>0</v>
      </c>
      <c r="F62" s="41">
        <f t="shared" si="9"/>
        <v>0</v>
      </c>
      <c r="G62" s="41">
        <f t="shared" si="9"/>
        <v>0</v>
      </c>
      <c r="H62" s="41">
        <f t="shared" si="9"/>
        <v>0</v>
      </c>
      <c r="I62" s="41">
        <f>SUM(D62:H62)</f>
        <v>0</v>
      </c>
    </row>
    <row r="63" spans="1:9" x14ac:dyDescent="0.2">
      <c r="A63" s="39">
        <f>A62+1</f>
        <v>47</v>
      </c>
      <c r="B63" s="42"/>
      <c r="C63" s="42" t="s">
        <v>183</v>
      </c>
      <c r="D63" s="41">
        <f t="shared" si="9"/>
        <v>0</v>
      </c>
      <c r="E63" s="41">
        <f t="shared" si="9"/>
        <v>0</v>
      </c>
      <c r="F63" s="41">
        <f t="shared" si="9"/>
        <v>0</v>
      </c>
      <c r="G63" s="41">
        <f t="shared" si="9"/>
        <v>0</v>
      </c>
      <c r="H63" s="41">
        <f t="shared" si="9"/>
        <v>0</v>
      </c>
      <c r="I63" s="41">
        <f>SUM(D63:H63)</f>
        <v>0</v>
      </c>
    </row>
    <row r="64" spans="1:9" x14ac:dyDescent="0.2">
      <c r="D64" s="41"/>
      <c r="E64" s="41"/>
      <c r="F64" s="41"/>
      <c r="G64" s="41"/>
      <c r="H64" s="41"/>
      <c r="I64" s="41"/>
    </row>
    <row r="65" spans="1:9" x14ac:dyDescent="0.2">
      <c r="A65" s="39">
        <f>A63+1</f>
        <v>48</v>
      </c>
      <c r="B65" s="42" t="s">
        <v>184</v>
      </c>
      <c r="C65" s="42"/>
      <c r="D65" s="41">
        <f t="shared" ref="D65:I65" si="10">SUM(D42:D63)</f>
        <v>5069279688</v>
      </c>
      <c r="E65" s="41">
        <f t="shared" si="10"/>
        <v>0</v>
      </c>
      <c r="F65" s="41">
        <f t="shared" si="10"/>
        <v>0</v>
      </c>
      <c r="G65" s="41">
        <f t="shared" si="10"/>
        <v>94467656</v>
      </c>
      <c r="H65" s="41">
        <f t="shared" si="10"/>
        <v>0</v>
      </c>
      <c r="I65" s="41">
        <f t="shared" si="10"/>
        <v>5163747344</v>
      </c>
    </row>
    <row r="66" spans="1:9" x14ac:dyDescent="0.2">
      <c r="A66" s="39">
        <f>A65+1</f>
        <v>49</v>
      </c>
      <c r="B66" s="42" t="s">
        <v>160</v>
      </c>
      <c r="C66" s="42"/>
      <c r="D66" s="41">
        <f t="shared" ref="D66:I66" si="11">D65-D58</f>
        <v>5061239319</v>
      </c>
      <c r="E66" s="41">
        <f t="shared" si="11"/>
        <v>0</v>
      </c>
      <c r="F66" s="41">
        <f t="shared" si="11"/>
        <v>0</v>
      </c>
      <c r="G66" s="41">
        <f t="shared" si="11"/>
        <v>94467656</v>
      </c>
      <c r="H66" s="41">
        <f t="shared" si="11"/>
        <v>0</v>
      </c>
      <c r="I66" s="41">
        <f t="shared" si="11"/>
        <v>5155706975</v>
      </c>
    </row>
    <row r="67" spans="1:9" x14ac:dyDescent="0.2">
      <c r="A67" s="39">
        <f>A66+1</f>
        <v>50</v>
      </c>
      <c r="B67" s="42" t="s">
        <v>161</v>
      </c>
      <c r="C67" s="42"/>
      <c r="D67" s="41">
        <f t="shared" ref="D67:I67" si="12">D58</f>
        <v>8040369</v>
      </c>
      <c r="E67" s="41">
        <f t="shared" si="12"/>
        <v>0</v>
      </c>
      <c r="F67" s="41">
        <f t="shared" si="12"/>
        <v>0</v>
      </c>
      <c r="G67" s="41">
        <f t="shared" si="12"/>
        <v>0</v>
      </c>
      <c r="H67" s="41">
        <f t="shared" si="12"/>
        <v>0</v>
      </c>
      <c r="I67" s="41">
        <f t="shared" si="12"/>
        <v>8040369</v>
      </c>
    </row>
    <row r="68" spans="1:9" x14ac:dyDescent="0.2">
      <c r="B68" s="42"/>
      <c r="C68" s="42"/>
      <c r="D68" s="41"/>
      <c r="E68" s="41"/>
      <c r="F68" s="41"/>
      <c r="G68" s="41"/>
      <c r="H68" s="41"/>
      <c r="I68" s="41"/>
    </row>
    <row r="69" spans="1:9" x14ac:dyDescent="0.2">
      <c r="A69" s="39">
        <f>A67+1</f>
        <v>51</v>
      </c>
      <c r="B69" s="42" t="s">
        <v>166</v>
      </c>
      <c r="C69" s="42"/>
      <c r="D69" s="41">
        <v>-45908384</v>
      </c>
      <c r="E69" s="41">
        <v>0</v>
      </c>
      <c r="F69" s="41">
        <v>0</v>
      </c>
      <c r="G69" s="41">
        <v>-778277</v>
      </c>
      <c r="H69" s="41">
        <v>0</v>
      </c>
      <c r="I69" s="41">
        <f>SUM(D69:H69)</f>
        <v>-46686661</v>
      </c>
    </row>
    <row r="70" spans="1:9" x14ac:dyDescent="0.2">
      <c r="D70" s="40"/>
      <c r="E70" s="40"/>
      <c r="F70" s="40"/>
      <c r="G70" s="40"/>
      <c r="H70" s="40"/>
      <c r="I70" s="40"/>
    </row>
    <row r="71" spans="1:9" x14ac:dyDescent="0.2">
      <c r="A71" s="101" t="s">
        <v>248</v>
      </c>
      <c r="B71" s="101"/>
      <c r="C71" s="102"/>
      <c r="D71" s="103" t="s">
        <v>176</v>
      </c>
      <c r="E71" s="103" t="s">
        <v>181</v>
      </c>
      <c r="F71" s="103" t="s">
        <v>177</v>
      </c>
      <c r="G71" s="103" t="s">
        <v>178</v>
      </c>
      <c r="H71" s="103" t="s">
        <v>179</v>
      </c>
      <c r="I71" s="103" t="s">
        <v>180</v>
      </c>
    </row>
    <row r="73" spans="1:9" x14ac:dyDescent="0.2">
      <c r="A73" s="39">
        <v>1</v>
      </c>
      <c r="B73" s="39" t="s">
        <v>140</v>
      </c>
      <c r="D73" s="41">
        <f>'Pupil Data'!C198</f>
        <v>941129</v>
      </c>
      <c r="E73" s="41">
        <v>0</v>
      </c>
      <c r="F73" s="41">
        <f>'Pupil Data'!D198</f>
        <v>0</v>
      </c>
      <c r="G73" s="41">
        <f>'Pupil Data'!E198</f>
        <v>15967</v>
      </c>
      <c r="H73" s="41">
        <f>'Pupil Data'!F198</f>
        <v>0</v>
      </c>
      <c r="I73" s="41">
        <f>SUM(D73:H73)</f>
        <v>957096</v>
      </c>
    </row>
    <row r="75" spans="1:9" x14ac:dyDescent="0.2">
      <c r="B75" s="42" t="s">
        <v>155</v>
      </c>
      <c r="D75" s="40"/>
      <c r="E75" s="40"/>
      <c r="F75" s="40"/>
      <c r="G75" s="40"/>
      <c r="H75" s="40"/>
      <c r="I75" s="40"/>
    </row>
    <row r="76" spans="1:9" x14ac:dyDescent="0.2">
      <c r="A76" s="39">
        <f>A73+1</f>
        <v>2</v>
      </c>
      <c r="B76" s="39" t="s">
        <v>141</v>
      </c>
      <c r="D76" s="41">
        <v>4330167150</v>
      </c>
      <c r="E76" s="41">
        <v>0</v>
      </c>
      <c r="F76" s="41">
        <v>0</v>
      </c>
      <c r="G76" s="41">
        <v>73408127</v>
      </c>
      <c r="H76" s="41">
        <v>0</v>
      </c>
      <c r="I76" s="41">
        <f>SUM(D76:H76)</f>
        <v>4403575277</v>
      </c>
    </row>
    <row r="77" spans="1:9" x14ac:dyDescent="0.2">
      <c r="A77" s="39">
        <f>A76+1</f>
        <v>3</v>
      </c>
      <c r="B77" s="42" t="s">
        <v>167</v>
      </c>
      <c r="C77" s="42"/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f>SUM(D77:H77)</f>
        <v>0</v>
      </c>
    </row>
    <row r="78" spans="1:9" x14ac:dyDescent="0.2">
      <c r="A78" s="39">
        <f>A77+1</f>
        <v>4</v>
      </c>
      <c r="B78" s="39" t="s">
        <v>142</v>
      </c>
      <c r="D78" s="41">
        <v>49465489</v>
      </c>
      <c r="E78" s="41">
        <v>0</v>
      </c>
      <c r="F78" s="41">
        <v>0</v>
      </c>
      <c r="G78" s="41">
        <v>886061</v>
      </c>
      <c r="H78" s="41">
        <v>0</v>
      </c>
      <c r="I78" s="41">
        <f>SUM(D78:H78)</f>
        <v>50351550</v>
      </c>
    </row>
    <row r="79" spans="1:9" x14ac:dyDescent="0.2">
      <c r="B79" s="42" t="s">
        <v>171</v>
      </c>
      <c r="D79" s="41"/>
      <c r="E79" s="41"/>
      <c r="F79" s="41"/>
      <c r="G79" s="41"/>
      <c r="H79" s="41"/>
      <c r="I79" s="41"/>
    </row>
    <row r="80" spans="1:9" x14ac:dyDescent="0.2">
      <c r="A80" s="39">
        <f>A78+1</f>
        <v>5</v>
      </c>
      <c r="C80" s="39" t="s">
        <v>143</v>
      </c>
      <c r="D80" s="41">
        <v>235489836</v>
      </c>
      <c r="E80" s="41">
        <v>0</v>
      </c>
      <c r="F80" s="41">
        <v>0</v>
      </c>
      <c r="G80" s="41">
        <v>13657118</v>
      </c>
      <c r="H80" s="41">
        <v>0</v>
      </c>
      <c r="I80" s="41">
        <f t="shared" ref="I80:I91" si="13">SUM(D80:H80)</f>
        <v>249146954</v>
      </c>
    </row>
    <row r="81" spans="1:9" x14ac:dyDescent="0.2">
      <c r="A81" s="39">
        <f t="shared" ref="A81:A91" si="14">A80+1</f>
        <v>6</v>
      </c>
      <c r="C81" s="39" t="s">
        <v>144</v>
      </c>
      <c r="D81" s="41">
        <v>27431166</v>
      </c>
      <c r="E81" s="41">
        <v>0</v>
      </c>
      <c r="F81" s="41">
        <v>0</v>
      </c>
      <c r="G81" s="41">
        <v>1387547</v>
      </c>
      <c r="H81" s="41">
        <v>0</v>
      </c>
      <c r="I81" s="41">
        <f t="shared" si="13"/>
        <v>28818713</v>
      </c>
    </row>
    <row r="82" spans="1:9" x14ac:dyDescent="0.2">
      <c r="A82" s="39">
        <f t="shared" si="14"/>
        <v>7</v>
      </c>
      <c r="B82" s="42"/>
      <c r="C82" s="42" t="s">
        <v>170</v>
      </c>
      <c r="D82" s="41">
        <v>6822038</v>
      </c>
      <c r="E82" s="41">
        <v>0</v>
      </c>
      <c r="F82" s="41">
        <v>0</v>
      </c>
      <c r="G82" s="41">
        <v>454720</v>
      </c>
      <c r="H82" s="41">
        <v>0</v>
      </c>
      <c r="I82" s="41">
        <f t="shared" si="13"/>
        <v>7276758</v>
      </c>
    </row>
    <row r="83" spans="1:9" x14ac:dyDescent="0.2">
      <c r="A83" s="39">
        <f t="shared" si="14"/>
        <v>8</v>
      </c>
      <c r="B83" s="39" t="s">
        <v>145</v>
      </c>
      <c r="D83" s="41">
        <v>16628454</v>
      </c>
      <c r="E83" s="41">
        <v>0</v>
      </c>
      <c r="F83" s="41">
        <v>0</v>
      </c>
      <c r="G83" s="41">
        <v>281124</v>
      </c>
      <c r="H83" s="41">
        <v>0</v>
      </c>
      <c r="I83" s="41">
        <f t="shared" si="13"/>
        <v>16909578</v>
      </c>
    </row>
    <row r="84" spans="1:9" x14ac:dyDescent="0.2">
      <c r="A84" s="39">
        <f t="shared" si="14"/>
        <v>9</v>
      </c>
      <c r="B84" s="39" t="s">
        <v>146</v>
      </c>
      <c r="D84" s="41">
        <v>55468090</v>
      </c>
      <c r="E84" s="41">
        <v>0</v>
      </c>
      <c r="F84" s="41">
        <v>0</v>
      </c>
      <c r="G84" s="41">
        <v>445008</v>
      </c>
      <c r="H84" s="41">
        <v>0</v>
      </c>
      <c r="I84" s="41">
        <f t="shared" si="13"/>
        <v>55913098</v>
      </c>
    </row>
    <row r="85" spans="1:9" x14ac:dyDescent="0.2">
      <c r="A85" s="39">
        <f t="shared" si="14"/>
        <v>10</v>
      </c>
      <c r="B85" s="39" t="s">
        <v>148</v>
      </c>
      <c r="D85" s="41">
        <v>18554929</v>
      </c>
      <c r="E85" s="41">
        <v>0</v>
      </c>
      <c r="F85" s="41">
        <v>0</v>
      </c>
      <c r="G85" s="41">
        <v>314629</v>
      </c>
      <c r="H85" s="41">
        <v>0</v>
      </c>
      <c r="I85" s="41">
        <f t="shared" si="13"/>
        <v>18869558</v>
      </c>
    </row>
    <row r="86" spans="1:9" x14ac:dyDescent="0.2">
      <c r="A86" s="39">
        <f t="shared" si="14"/>
        <v>11</v>
      </c>
      <c r="B86" s="39" t="s">
        <v>244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41">
        <f t="shared" si="13"/>
        <v>0</v>
      </c>
    </row>
    <row r="87" spans="1:9" x14ac:dyDescent="0.2">
      <c r="A87" s="39">
        <f t="shared" si="14"/>
        <v>12</v>
      </c>
      <c r="B87" s="39" t="s">
        <v>147</v>
      </c>
      <c r="D87" s="41">
        <v>190979544</v>
      </c>
      <c r="E87" s="41">
        <v>0</v>
      </c>
      <c r="F87" s="41">
        <v>0</v>
      </c>
      <c r="G87" s="41">
        <v>3237552</v>
      </c>
      <c r="H87" s="41">
        <v>0</v>
      </c>
      <c r="I87" s="41">
        <f t="shared" si="13"/>
        <v>194217096</v>
      </c>
    </row>
    <row r="88" spans="1:9" x14ac:dyDescent="0.2">
      <c r="A88" s="39">
        <f t="shared" si="14"/>
        <v>13</v>
      </c>
      <c r="B88" s="39" t="s">
        <v>149</v>
      </c>
      <c r="D88" s="41">
        <v>31577083</v>
      </c>
      <c r="E88" s="41">
        <v>0</v>
      </c>
      <c r="F88" s="41">
        <v>0</v>
      </c>
      <c r="G88" s="41">
        <v>535286</v>
      </c>
      <c r="H88" s="41">
        <v>0</v>
      </c>
      <c r="I88" s="41">
        <f t="shared" si="13"/>
        <v>32112369</v>
      </c>
    </row>
    <row r="89" spans="1:9" x14ac:dyDescent="0.2">
      <c r="A89" s="39">
        <f t="shared" si="14"/>
        <v>14</v>
      </c>
      <c r="B89" s="42" t="s">
        <v>173</v>
      </c>
      <c r="D89" s="41">
        <v>31095752</v>
      </c>
      <c r="E89" s="41">
        <v>0</v>
      </c>
      <c r="F89" s="41">
        <v>0</v>
      </c>
      <c r="G89" s="41">
        <v>890772</v>
      </c>
      <c r="H89" s="41">
        <v>0</v>
      </c>
      <c r="I89" s="41">
        <f t="shared" si="13"/>
        <v>31986524</v>
      </c>
    </row>
    <row r="90" spans="1:9" x14ac:dyDescent="0.2">
      <c r="A90" s="39">
        <f t="shared" si="14"/>
        <v>15</v>
      </c>
      <c r="B90" s="42" t="s">
        <v>168</v>
      </c>
      <c r="C90" s="42"/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f t="shared" si="13"/>
        <v>0</v>
      </c>
    </row>
    <row r="91" spans="1:9" x14ac:dyDescent="0.2">
      <c r="A91" s="39">
        <f t="shared" si="14"/>
        <v>16</v>
      </c>
      <c r="B91" s="39" t="s">
        <v>150</v>
      </c>
      <c r="D91" s="41">
        <v>426336542</v>
      </c>
      <c r="E91" s="41">
        <v>0</v>
      </c>
      <c r="F91" s="41">
        <v>0</v>
      </c>
      <c r="G91" s="41">
        <v>0</v>
      </c>
      <c r="H91" s="41">
        <v>0</v>
      </c>
      <c r="I91" s="41">
        <f t="shared" si="13"/>
        <v>426336542</v>
      </c>
    </row>
    <row r="92" spans="1:9" x14ac:dyDescent="0.2">
      <c r="B92" s="42" t="s">
        <v>172</v>
      </c>
      <c r="D92" s="41"/>
      <c r="E92" s="41"/>
      <c r="F92" s="41"/>
      <c r="G92" s="41"/>
      <c r="H92" s="41"/>
      <c r="I92" s="41"/>
    </row>
    <row r="93" spans="1:9" x14ac:dyDescent="0.2">
      <c r="A93" s="39">
        <f>A91+1</f>
        <v>17</v>
      </c>
      <c r="B93" s="42"/>
      <c r="C93" s="42" t="s">
        <v>175</v>
      </c>
      <c r="D93" s="41">
        <v>-1687931</v>
      </c>
      <c r="E93" s="41">
        <v>0</v>
      </c>
      <c r="F93" s="41">
        <v>0</v>
      </c>
      <c r="G93" s="41">
        <v>1008074</v>
      </c>
      <c r="H93" s="41">
        <v>0</v>
      </c>
      <c r="I93" s="41">
        <f>SUM(D93:H93)</f>
        <v>-679857</v>
      </c>
    </row>
    <row r="94" spans="1:9" x14ac:dyDescent="0.2">
      <c r="A94" s="39">
        <f>A93+1</f>
        <v>18</v>
      </c>
      <c r="B94" s="42"/>
      <c r="C94" s="42" t="s">
        <v>182</v>
      </c>
      <c r="D94" s="41">
        <v>2039421</v>
      </c>
      <c r="E94" s="41">
        <v>0</v>
      </c>
      <c r="F94" s="41">
        <v>0</v>
      </c>
      <c r="G94" s="41">
        <v>-2038362</v>
      </c>
      <c r="H94" s="41">
        <v>0</v>
      </c>
      <c r="I94" s="41">
        <f>SUM(D94:H94)</f>
        <v>1059</v>
      </c>
    </row>
    <row r="95" spans="1:9" x14ac:dyDescent="0.2">
      <c r="A95" s="39">
        <f>A94+1</f>
        <v>19</v>
      </c>
      <c r="B95" s="42"/>
      <c r="C95" s="42" t="s">
        <v>201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f>SUM(D95:H95)</f>
        <v>0</v>
      </c>
    </row>
    <row r="96" spans="1:9" x14ac:dyDescent="0.2">
      <c r="A96" s="39">
        <f>A95+1</f>
        <v>20</v>
      </c>
      <c r="B96" s="42"/>
      <c r="C96" s="42" t="s">
        <v>183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f>SUM(D96:H96)</f>
        <v>0</v>
      </c>
    </row>
    <row r="97" spans="1:9" x14ac:dyDescent="0.2">
      <c r="D97" s="41"/>
      <c r="E97" s="41"/>
      <c r="F97" s="41"/>
      <c r="G97" s="41"/>
      <c r="H97" s="41"/>
      <c r="I97" s="41"/>
    </row>
    <row r="98" spans="1:9" x14ac:dyDescent="0.2">
      <c r="A98" s="39">
        <f>A96+1</f>
        <v>21</v>
      </c>
      <c r="B98" s="42" t="s">
        <v>158</v>
      </c>
      <c r="D98" s="41">
        <f t="shared" ref="D98:I98" si="15">SUM(D76:D96)</f>
        <v>5420367563</v>
      </c>
      <c r="E98" s="41">
        <f t="shared" si="15"/>
        <v>0</v>
      </c>
      <c r="F98" s="41">
        <f t="shared" si="15"/>
        <v>0</v>
      </c>
      <c r="G98" s="41">
        <f t="shared" si="15"/>
        <v>94467656</v>
      </c>
      <c r="H98" s="41">
        <f t="shared" si="15"/>
        <v>0</v>
      </c>
      <c r="I98" s="41">
        <f t="shared" si="15"/>
        <v>5514835219</v>
      </c>
    </row>
    <row r="99" spans="1:9" x14ac:dyDescent="0.2">
      <c r="D99" s="41"/>
      <c r="E99" s="41"/>
      <c r="F99" s="41"/>
      <c r="G99" s="41"/>
      <c r="H99" s="41"/>
      <c r="I99" s="41"/>
    </row>
    <row r="100" spans="1:9" x14ac:dyDescent="0.2">
      <c r="B100" s="42" t="s">
        <v>156</v>
      </c>
      <c r="C100" s="42"/>
      <c r="D100" s="41"/>
      <c r="E100" s="41"/>
      <c r="F100" s="41"/>
      <c r="G100" s="41"/>
      <c r="H100" s="41"/>
      <c r="I100" s="41"/>
    </row>
    <row r="101" spans="1:9" x14ac:dyDescent="0.2">
      <c r="A101" s="39">
        <f>A98+1</f>
        <v>22</v>
      </c>
      <c r="B101" s="39" t="s">
        <v>153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f>SUM(D101:H101)</f>
        <v>0</v>
      </c>
    </row>
    <row r="102" spans="1:9" x14ac:dyDescent="0.2">
      <c r="A102" s="39">
        <f>A101+1</f>
        <v>23</v>
      </c>
      <c r="B102" s="39" t="s">
        <v>152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f>SUM(D102:H102)</f>
        <v>0</v>
      </c>
    </row>
    <row r="103" spans="1:9" x14ac:dyDescent="0.2">
      <c r="A103" s="39">
        <f>A102+1</f>
        <v>24</v>
      </c>
      <c r="B103" s="42" t="s">
        <v>174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f>SUM(D103:H103)</f>
        <v>0</v>
      </c>
    </row>
    <row r="104" spans="1:9" x14ac:dyDescent="0.2">
      <c r="A104" s="39">
        <f>A103+1</f>
        <v>25</v>
      </c>
      <c r="B104" s="42" t="s">
        <v>168</v>
      </c>
      <c r="C104" s="42"/>
      <c r="D104" s="41">
        <v>0</v>
      </c>
      <c r="E104" s="41">
        <v>0</v>
      </c>
      <c r="F104" s="41">
        <v>0</v>
      </c>
      <c r="G104" s="41">
        <v>0</v>
      </c>
      <c r="H104" s="41">
        <v>0</v>
      </c>
      <c r="I104" s="41">
        <f>SUM(D104:H104)</f>
        <v>0</v>
      </c>
    </row>
    <row r="105" spans="1:9" x14ac:dyDescent="0.2">
      <c r="A105" s="39">
        <f>A104+1</f>
        <v>26</v>
      </c>
      <c r="B105" s="39" t="s">
        <v>154</v>
      </c>
      <c r="D105" s="41">
        <v>351087875</v>
      </c>
      <c r="E105" s="41">
        <v>0</v>
      </c>
      <c r="F105" s="41">
        <v>0</v>
      </c>
      <c r="G105" s="41">
        <v>0</v>
      </c>
      <c r="H105" s="41">
        <v>0</v>
      </c>
      <c r="I105" s="41">
        <f>SUM(D105:H105)</f>
        <v>351087875</v>
      </c>
    </row>
    <row r="106" spans="1:9" x14ac:dyDescent="0.2">
      <c r="D106" s="41"/>
      <c r="E106" s="41"/>
      <c r="F106" s="41"/>
      <c r="G106" s="41"/>
      <c r="H106" s="41"/>
      <c r="I106" s="41"/>
    </row>
    <row r="107" spans="1:9" x14ac:dyDescent="0.2">
      <c r="A107" s="39">
        <f>A105+1</f>
        <v>27</v>
      </c>
      <c r="B107" s="42" t="s">
        <v>159</v>
      </c>
      <c r="C107" s="42"/>
      <c r="D107" s="41">
        <f t="shared" ref="D107:I107" si="16">SUM(D101:D105)</f>
        <v>351087875</v>
      </c>
      <c r="E107" s="41">
        <f t="shared" si="16"/>
        <v>0</v>
      </c>
      <c r="F107" s="41">
        <f t="shared" si="16"/>
        <v>0</v>
      </c>
      <c r="G107" s="41">
        <f t="shared" si="16"/>
        <v>0</v>
      </c>
      <c r="H107" s="41">
        <f t="shared" si="16"/>
        <v>0</v>
      </c>
      <c r="I107" s="41">
        <f t="shared" si="16"/>
        <v>351087875</v>
      </c>
    </row>
    <row r="108" spans="1:9" x14ac:dyDescent="0.2">
      <c r="B108" s="42"/>
      <c r="C108" s="42"/>
      <c r="D108" s="41"/>
      <c r="E108" s="41"/>
      <c r="F108" s="41"/>
      <c r="G108" s="41"/>
      <c r="H108" s="41"/>
      <c r="I108" s="41"/>
    </row>
    <row r="109" spans="1:9" x14ac:dyDescent="0.2">
      <c r="B109" s="42" t="s">
        <v>157</v>
      </c>
      <c r="C109" s="42"/>
      <c r="D109" s="41"/>
      <c r="E109" s="41"/>
      <c r="F109" s="41"/>
      <c r="G109" s="41"/>
      <c r="H109" s="41"/>
      <c r="I109" s="41"/>
    </row>
    <row r="110" spans="1:9" x14ac:dyDescent="0.2">
      <c r="A110" s="39">
        <f>A107+1</f>
        <v>28</v>
      </c>
      <c r="B110" s="39" t="s">
        <v>141</v>
      </c>
      <c r="D110" s="41">
        <f t="shared" ref="D110:H112" si="17">D76</f>
        <v>4330167150</v>
      </c>
      <c r="E110" s="41">
        <f t="shared" si="17"/>
        <v>0</v>
      </c>
      <c r="F110" s="41">
        <f t="shared" si="17"/>
        <v>0</v>
      </c>
      <c r="G110" s="41">
        <f t="shared" si="17"/>
        <v>73408127</v>
      </c>
      <c r="H110" s="41">
        <f t="shared" si="17"/>
        <v>0</v>
      </c>
      <c r="I110" s="41">
        <f>SUM(D110:H110)</f>
        <v>4403575277</v>
      </c>
    </row>
    <row r="111" spans="1:9" x14ac:dyDescent="0.2">
      <c r="A111" s="39">
        <f>A110+1</f>
        <v>29</v>
      </c>
      <c r="B111" s="42" t="s">
        <v>167</v>
      </c>
      <c r="C111" s="42"/>
      <c r="D111" s="41">
        <f t="shared" si="17"/>
        <v>0</v>
      </c>
      <c r="E111" s="41">
        <f t="shared" si="17"/>
        <v>0</v>
      </c>
      <c r="F111" s="41">
        <f t="shared" si="17"/>
        <v>0</v>
      </c>
      <c r="G111" s="41">
        <f t="shared" si="17"/>
        <v>0</v>
      </c>
      <c r="H111" s="41">
        <f t="shared" si="17"/>
        <v>0</v>
      </c>
      <c r="I111" s="41">
        <f>SUM(D111:H111)</f>
        <v>0</v>
      </c>
    </row>
    <row r="112" spans="1:9" x14ac:dyDescent="0.2">
      <c r="A112" s="39">
        <f>A111+1</f>
        <v>30</v>
      </c>
      <c r="B112" s="39" t="s">
        <v>142</v>
      </c>
      <c r="D112" s="41">
        <f t="shared" si="17"/>
        <v>49465489</v>
      </c>
      <c r="E112" s="41">
        <f t="shared" si="17"/>
        <v>0</v>
      </c>
      <c r="F112" s="41">
        <f t="shared" si="17"/>
        <v>0</v>
      </c>
      <c r="G112" s="41">
        <f t="shared" si="17"/>
        <v>886061</v>
      </c>
      <c r="H112" s="41">
        <f t="shared" si="17"/>
        <v>0</v>
      </c>
      <c r="I112" s="41">
        <f>SUM(D112:H112)</f>
        <v>50351550</v>
      </c>
    </row>
    <row r="113" spans="1:9" x14ac:dyDescent="0.2">
      <c r="B113" s="42" t="s">
        <v>171</v>
      </c>
      <c r="D113" s="41"/>
      <c r="E113" s="41"/>
      <c r="F113" s="41"/>
      <c r="G113" s="41"/>
      <c r="H113" s="41"/>
      <c r="I113" s="41"/>
    </row>
    <row r="114" spans="1:9" x14ac:dyDescent="0.2">
      <c r="A114" s="39">
        <f>A112+1</f>
        <v>31</v>
      </c>
      <c r="C114" s="39" t="s">
        <v>143</v>
      </c>
      <c r="D114" s="41">
        <f t="shared" ref="D114:H120" si="18">D80</f>
        <v>235489836</v>
      </c>
      <c r="E114" s="41">
        <f t="shared" si="18"/>
        <v>0</v>
      </c>
      <c r="F114" s="41">
        <f t="shared" si="18"/>
        <v>0</v>
      </c>
      <c r="G114" s="41">
        <f t="shared" si="18"/>
        <v>13657118</v>
      </c>
      <c r="H114" s="41">
        <f t="shared" si="18"/>
        <v>0</v>
      </c>
      <c r="I114" s="41">
        <f t="shared" ref="I114:I119" si="19">SUM(D114:H114)</f>
        <v>249146954</v>
      </c>
    </row>
    <row r="115" spans="1:9" x14ac:dyDescent="0.2">
      <c r="A115" s="39">
        <f t="shared" ref="A115:A126" si="20">A114+1</f>
        <v>32</v>
      </c>
      <c r="C115" s="39" t="s">
        <v>144</v>
      </c>
      <c r="D115" s="41">
        <f t="shared" si="18"/>
        <v>27431166</v>
      </c>
      <c r="E115" s="41">
        <f t="shared" si="18"/>
        <v>0</v>
      </c>
      <c r="F115" s="41">
        <f t="shared" si="18"/>
        <v>0</v>
      </c>
      <c r="G115" s="41">
        <f t="shared" si="18"/>
        <v>1387547</v>
      </c>
      <c r="H115" s="41">
        <f t="shared" si="18"/>
        <v>0</v>
      </c>
      <c r="I115" s="41">
        <f t="shared" si="19"/>
        <v>28818713</v>
      </c>
    </row>
    <row r="116" spans="1:9" x14ac:dyDescent="0.2">
      <c r="A116" s="39">
        <f t="shared" si="20"/>
        <v>33</v>
      </c>
      <c r="B116" s="42"/>
      <c r="C116" s="42" t="s">
        <v>170</v>
      </c>
      <c r="D116" s="41">
        <f t="shared" si="18"/>
        <v>6822038</v>
      </c>
      <c r="E116" s="41">
        <f t="shared" si="18"/>
        <v>0</v>
      </c>
      <c r="F116" s="41">
        <f t="shared" si="18"/>
        <v>0</v>
      </c>
      <c r="G116" s="41">
        <f t="shared" si="18"/>
        <v>454720</v>
      </c>
      <c r="H116" s="41">
        <f t="shared" si="18"/>
        <v>0</v>
      </c>
      <c r="I116" s="41">
        <f t="shared" si="19"/>
        <v>7276758</v>
      </c>
    </row>
    <row r="117" spans="1:9" x14ac:dyDescent="0.2">
      <c r="A117" s="39">
        <f t="shared" si="20"/>
        <v>34</v>
      </c>
      <c r="B117" s="39" t="s">
        <v>145</v>
      </c>
      <c r="D117" s="41">
        <f t="shared" si="18"/>
        <v>16628454</v>
      </c>
      <c r="E117" s="41">
        <f t="shared" si="18"/>
        <v>0</v>
      </c>
      <c r="F117" s="41">
        <f t="shared" si="18"/>
        <v>0</v>
      </c>
      <c r="G117" s="41">
        <f t="shared" si="18"/>
        <v>281124</v>
      </c>
      <c r="H117" s="41">
        <f t="shared" si="18"/>
        <v>0</v>
      </c>
      <c r="I117" s="41">
        <f t="shared" si="19"/>
        <v>16909578</v>
      </c>
    </row>
    <row r="118" spans="1:9" x14ac:dyDescent="0.2">
      <c r="A118" s="39">
        <f t="shared" si="20"/>
        <v>35</v>
      </c>
      <c r="B118" s="39" t="s">
        <v>146</v>
      </c>
      <c r="D118" s="41">
        <f t="shared" si="18"/>
        <v>55468090</v>
      </c>
      <c r="E118" s="41">
        <f t="shared" si="18"/>
        <v>0</v>
      </c>
      <c r="F118" s="41">
        <f t="shared" si="18"/>
        <v>0</v>
      </c>
      <c r="G118" s="41">
        <f t="shared" si="18"/>
        <v>445008</v>
      </c>
      <c r="H118" s="41">
        <f t="shared" si="18"/>
        <v>0</v>
      </c>
      <c r="I118" s="41">
        <f t="shared" si="19"/>
        <v>55913098</v>
      </c>
    </row>
    <row r="119" spans="1:9" x14ac:dyDescent="0.2">
      <c r="A119" s="39">
        <f t="shared" si="20"/>
        <v>36</v>
      </c>
      <c r="B119" s="39" t="s">
        <v>148</v>
      </c>
      <c r="D119" s="41">
        <f t="shared" si="18"/>
        <v>18554929</v>
      </c>
      <c r="E119" s="41">
        <f t="shared" si="18"/>
        <v>0</v>
      </c>
      <c r="F119" s="41">
        <f t="shared" si="18"/>
        <v>0</v>
      </c>
      <c r="G119" s="41">
        <f t="shared" si="18"/>
        <v>314629</v>
      </c>
      <c r="H119" s="41">
        <f t="shared" si="18"/>
        <v>0</v>
      </c>
      <c r="I119" s="41">
        <f t="shared" si="19"/>
        <v>18869558</v>
      </c>
    </row>
    <row r="120" spans="1:9" x14ac:dyDescent="0.2">
      <c r="A120" s="39">
        <f t="shared" si="20"/>
        <v>37</v>
      </c>
      <c r="B120" s="39" t="s">
        <v>244</v>
      </c>
      <c r="D120" s="41">
        <f t="shared" si="18"/>
        <v>0</v>
      </c>
      <c r="E120" s="41">
        <f t="shared" si="18"/>
        <v>0</v>
      </c>
      <c r="F120" s="41">
        <f t="shared" si="18"/>
        <v>0</v>
      </c>
      <c r="G120" s="41">
        <f t="shared" si="18"/>
        <v>0</v>
      </c>
      <c r="H120" s="41">
        <f t="shared" si="18"/>
        <v>0</v>
      </c>
      <c r="I120" s="41">
        <f>SUM(D120:H120)</f>
        <v>0</v>
      </c>
    </row>
    <row r="121" spans="1:9" x14ac:dyDescent="0.2">
      <c r="A121" s="39">
        <f t="shared" si="20"/>
        <v>38</v>
      </c>
      <c r="B121" s="39" t="s">
        <v>147</v>
      </c>
      <c r="D121" s="41">
        <f t="shared" ref="D121:H124" si="21">D87-D101</f>
        <v>190979544</v>
      </c>
      <c r="E121" s="41">
        <f t="shared" si="21"/>
        <v>0</v>
      </c>
      <c r="F121" s="41">
        <f t="shared" si="21"/>
        <v>0</v>
      </c>
      <c r="G121" s="41">
        <f t="shared" si="21"/>
        <v>3237552</v>
      </c>
      <c r="H121" s="41">
        <f t="shared" si="21"/>
        <v>0</v>
      </c>
      <c r="I121" s="41">
        <f t="shared" ref="I121:I126" si="22">SUM(D121:H121)</f>
        <v>194217096</v>
      </c>
    </row>
    <row r="122" spans="1:9" x14ac:dyDescent="0.2">
      <c r="A122" s="39">
        <f t="shared" si="20"/>
        <v>39</v>
      </c>
      <c r="B122" s="39" t="s">
        <v>149</v>
      </c>
      <c r="D122" s="41">
        <f t="shared" si="21"/>
        <v>31577083</v>
      </c>
      <c r="E122" s="41">
        <f t="shared" si="21"/>
        <v>0</v>
      </c>
      <c r="F122" s="41">
        <f t="shared" si="21"/>
        <v>0</v>
      </c>
      <c r="G122" s="41">
        <f t="shared" si="21"/>
        <v>535286</v>
      </c>
      <c r="H122" s="41">
        <f t="shared" si="21"/>
        <v>0</v>
      </c>
      <c r="I122" s="41">
        <f t="shared" si="22"/>
        <v>32112369</v>
      </c>
    </row>
    <row r="123" spans="1:9" x14ac:dyDescent="0.2">
      <c r="A123" s="39">
        <f t="shared" si="20"/>
        <v>40</v>
      </c>
      <c r="B123" s="42" t="s">
        <v>173</v>
      </c>
      <c r="D123" s="41">
        <f t="shared" si="21"/>
        <v>31095752</v>
      </c>
      <c r="E123" s="41">
        <f t="shared" si="21"/>
        <v>0</v>
      </c>
      <c r="F123" s="41">
        <f t="shared" si="21"/>
        <v>0</v>
      </c>
      <c r="G123" s="41">
        <f t="shared" si="21"/>
        <v>890772</v>
      </c>
      <c r="H123" s="41">
        <f t="shared" si="21"/>
        <v>0</v>
      </c>
      <c r="I123" s="41">
        <f t="shared" si="22"/>
        <v>31986524</v>
      </c>
    </row>
    <row r="124" spans="1:9" x14ac:dyDescent="0.2">
      <c r="A124" s="39">
        <f t="shared" si="20"/>
        <v>41</v>
      </c>
      <c r="B124" s="42" t="s">
        <v>168</v>
      </c>
      <c r="C124" s="42"/>
      <c r="D124" s="41">
        <f t="shared" si="21"/>
        <v>0</v>
      </c>
      <c r="E124" s="41">
        <f t="shared" si="21"/>
        <v>0</v>
      </c>
      <c r="F124" s="41">
        <f t="shared" si="21"/>
        <v>0</v>
      </c>
      <c r="G124" s="41">
        <f t="shared" si="21"/>
        <v>0</v>
      </c>
      <c r="H124" s="41">
        <f t="shared" si="21"/>
        <v>0</v>
      </c>
      <c r="I124" s="41">
        <f t="shared" si="22"/>
        <v>0</v>
      </c>
    </row>
    <row r="125" spans="1:9" x14ac:dyDescent="0.2">
      <c r="A125" s="39">
        <f t="shared" si="20"/>
        <v>42</v>
      </c>
      <c r="B125" s="42" t="s">
        <v>163</v>
      </c>
      <c r="C125" s="42"/>
      <c r="D125" s="41">
        <f>D91-D105-D126</f>
        <v>67208298</v>
      </c>
      <c r="E125" s="41">
        <f>E91-E105-E126</f>
        <v>0</v>
      </c>
      <c r="F125" s="41">
        <f>F91-F105-F126</f>
        <v>0</v>
      </c>
      <c r="G125" s="41">
        <f>G91-G105-G126</f>
        <v>0</v>
      </c>
      <c r="H125" s="41">
        <f>H91-H105-H126</f>
        <v>0</v>
      </c>
      <c r="I125" s="41">
        <f t="shared" si="22"/>
        <v>67208298</v>
      </c>
    </row>
    <row r="126" spans="1:9" x14ac:dyDescent="0.2">
      <c r="A126" s="39">
        <f t="shared" si="20"/>
        <v>43</v>
      </c>
      <c r="B126" s="39" t="s">
        <v>151</v>
      </c>
      <c r="D126" s="41">
        <v>8040369</v>
      </c>
      <c r="E126" s="41">
        <v>0</v>
      </c>
      <c r="F126" s="41">
        <v>0</v>
      </c>
      <c r="G126" s="41">
        <v>0</v>
      </c>
      <c r="H126" s="41">
        <v>0</v>
      </c>
      <c r="I126" s="41">
        <f t="shared" si="22"/>
        <v>8040369</v>
      </c>
    </row>
    <row r="127" spans="1:9" x14ac:dyDescent="0.2">
      <c r="B127" s="42" t="s">
        <v>172</v>
      </c>
      <c r="D127" s="41"/>
      <c r="E127" s="41"/>
      <c r="F127" s="41"/>
      <c r="G127" s="41"/>
      <c r="H127" s="41"/>
      <c r="I127" s="41"/>
    </row>
    <row r="128" spans="1:9" x14ac:dyDescent="0.2">
      <c r="A128" s="39">
        <f>A126+1</f>
        <v>44</v>
      </c>
      <c r="B128" s="42"/>
      <c r="C128" s="42" t="s">
        <v>175</v>
      </c>
      <c r="D128" s="41">
        <f t="shared" ref="D128:H131" si="23">D93</f>
        <v>-1687931</v>
      </c>
      <c r="E128" s="41">
        <f t="shared" si="23"/>
        <v>0</v>
      </c>
      <c r="F128" s="41">
        <f t="shared" si="23"/>
        <v>0</v>
      </c>
      <c r="G128" s="41">
        <f t="shared" si="23"/>
        <v>1008074</v>
      </c>
      <c r="H128" s="41">
        <f t="shared" si="23"/>
        <v>0</v>
      </c>
      <c r="I128" s="41">
        <f>SUM(D128:H128)</f>
        <v>-679857</v>
      </c>
    </row>
    <row r="129" spans="1:9" x14ac:dyDescent="0.2">
      <c r="A129" s="39">
        <f>A128+1</f>
        <v>45</v>
      </c>
      <c r="B129" s="42"/>
      <c r="C129" s="42" t="s">
        <v>182</v>
      </c>
      <c r="D129" s="41">
        <f t="shared" si="23"/>
        <v>2039421</v>
      </c>
      <c r="E129" s="41">
        <f t="shared" si="23"/>
        <v>0</v>
      </c>
      <c r="F129" s="41">
        <f t="shared" si="23"/>
        <v>0</v>
      </c>
      <c r="G129" s="41">
        <f t="shared" si="23"/>
        <v>-2038362</v>
      </c>
      <c r="H129" s="41">
        <f t="shared" si="23"/>
        <v>0</v>
      </c>
      <c r="I129" s="41">
        <f>SUM(D129:H129)</f>
        <v>1059</v>
      </c>
    </row>
    <row r="130" spans="1:9" x14ac:dyDescent="0.2">
      <c r="A130" s="39">
        <f>A129+1</f>
        <v>46</v>
      </c>
      <c r="B130" s="42"/>
      <c r="C130" s="42" t="s">
        <v>201</v>
      </c>
      <c r="D130" s="41">
        <f t="shared" si="23"/>
        <v>0</v>
      </c>
      <c r="E130" s="41">
        <f t="shared" si="23"/>
        <v>0</v>
      </c>
      <c r="F130" s="41">
        <f t="shared" si="23"/>
        <v>0</v>
      </c>
      <c r="G130" s="41">
        <f t="shared" si="23"/>
        <v>0</v>
      </c>
      <c r="H130" s="41">
        <f t="shared" si="23"/>
        <v>0</v>
      </c>
      <c r="I130" s="41">
        <f>SUM(D130:H130)</f>
        <v>0</v>
      </c>
    </row>
    <row r="131" spans="1:9" x14ac:dyDescent="0.2">
      <c r="A131" s="39">
        <f>A130+1</f>
        <v>47</v>
      </c>
      <c r="B131" s="42"/>
      <c r="C131" s="42" t="s">
        <v>183</v>
      </c>
      <c r="D131" s="41">
        <f t="shared" si="23"/>
        <v>0</v>
      </c>
      <c r="E131" s="41">
        <f t="shared" si="23"/>
        <v>0</v>
      </c>
      <c r="F131" s="41">
        <f t="shared" si="23"/>
        <v>0</v>
      </c>
      <c r="G131" s="41">
        <f t="shared" si="23"/>
        <v>0</v>
      </c>
      <c r="H131" s="41">
        <f t="shared" si="23"/>
        <v>0</v>
      </c>
      <c r="I131" s="41">
        <f>SUM(D131:H131)</f>
        <v>0</v>
      </c>
    </row>
    <row r="132" spans="1:9" x14ac:dyDescent="0.2">
      <c r="D132" s="41"/>
      <c r="E132" s="41"/>
      <c r="F132" s="41"/>
      <c r="G132" s="41"/>
      <c r="H132" s="41"/>
      <c r="I132" s="41"/>
    </row>
    <row r="133" spans="1:9" x14ac:dyDescent="0.2">
      <c r="A133" s="39">
        <f>A131+1</f>
        <v>48</v>
      </c>
      <c r="B133" s="42" t="s">
        <v>184</v>
      </c>
      <c r="C133" s="42"/>
      <c r="D133" s="41">
        <f t="shared" ref="D133:I133" si="24">SUM(D110:D131)</f>
        <v>5069279688</v>
      </c>
      <c r="E133" s="41">
        <f t="shared" si="24"/>
        <v>0</v>
      </c>
      <c r="F133" s="41">
        <f t="shared" si="24"/>
        <v>0</v>
      </c>
      <c r="G133" s="41">
        <f t="shared" si="24"/>
        <v>94467656</v>
      </c>
      <c r="H133" s="41">
        <f t="shared" si="24"/>
        <v>0</v>
      </c>
      <c r="I133" s="41">
        <f t="shared" si="24"/>
        <v>5163747344</v>
      </c>
    </row>
    <row r="134" spans="1:9" x14ac:dyDescent="0.2">
      <c r="A134" s="39">
        <f>A133+1</f>
        <v>49</v>
      </c>
      <c r="B134" s="42" t="s">
        <v>160</v>
      </c>
      <c r="C134" s="42"/>
      <c r="D134" s="41">
        <f t="shared" ref="D134:I134" si="25">D133-D126</f>
        <v>5061239319</v>
      </c>
      <c r="E134" s="41">
        <f t="shared" si="25"/>
        <v>0</v>
      </c>
      <c r="F134" s="41">
        <f t="shared" si="25"/>
        <v>0</v>
      </c>
      <c r="G134" s="41">
        <f t="shared" si="25"/>
        <v>94467656</v>
      </c>
      <c r="H134" s="41">
        <f t="shared" si="25"/>
        <v>0</v>
      </c>
      <c r="I134" s="41">
        <f t="shared" si="25"/>
        <v>5155706975</v>
      </c>
    </row>
    <row r="135" spans="1:9" x14ac:dyDescent="0.2">
      <c r="A135" s="39">
        <f>A134+1</f>
        <v>50</v>
      </c>
      <c r="B135" s="42" t="s">
        <v>161</v>
      </c>
      <c r="C135" s="42"/>
      <c r="D135" s="41">
        <f t="shared" ref="D135:I135" si="26">D126</f>
        <v>8040369</v>
      </c>
      <c r="E135" s="41">
        <f t="shared" si="26"/>
        <v>0</v>
      </c>
      <c r="F135" s="41">
        <f t="shared" si="26"/>
        <v>0</v>
      </c>
      <c r="G135" s="41">
        <f t="shared" si="26"/>
        <v>0</v>
      </c>
      <c r="H135" s="41">
        <f t="shared" si="26"/>
        <v>0</v>
      </c>
      <c r="I135" s="41">
        <f t="shared" si="26"/>
        <v>8040369</v>
      </c>
    </row>
    <row r="136" spans="1:9" x14ac:dyDescent="0.2">
      <c r="B136" s="42"/>
      <c r="C136" s="42"/>
      <c r="D136" s="41"/>
      <c r="E136" s="41"/>
      <c r="F136" s="41"/>
      <c r="G136" s="41"/>
      <c r="H136" s="41"/>
      <c r="I136" s="41"/>
    </row>
    <row r="137" spans="1:9" x14ac:dyDescent="0.2">
      <c r="A137" s="39">
        <f>A135+1</f>
        <v>51</v>
      </c>
      <c r="B137" s="42" t="s">
        <v>166</v>
      </c>
      <c r="C137" s="42"/>
      <c r="D137" s="41">
        <v>-45908384</v>
      </c>
      <c r="E137" s="41">
        <v>0</v>
      </c>
      <c r="F137" s="41">
        <v>0</v>
      </c>
      <c r="G137" s="41">
        <v>-778277</v>
      </c>
      <c r="H137" s="41">
        <v>0</v>
      </c>
      <c r="I137" s="41">
        <f>SUM(D137:H137)</f>
        <v>-46686661</v>
      </c>
    </row>
    <row r="139" spans="1:9" x14ac:dyDescent="0.2">
      <c r="A139" s="107" t="s">
        <v>162</v>
      </c>
      <c r="B139" s="107"/>
      <c r="C139" s="108"/>
      <c r="D139" s="109" t="s">
        <v>176</v>
      </c>
      <c r="E139" s="109" t="s">
        <v>181</v>
      </c>
      <c r="F139" s="109" t="s">
        <v>177</v>
      </c>
      <c r="G139" s="109" t="s">
        <v>178</v>
      </c>
      <c r="H139" s="109" t="s">
        <v>179</v>
      </c>
      <c r="I139" s="109" t="s">
        <v>180</v>
      </c>
    </row>
    <row r="141" spans="1:9" x14ac:dyDescent="0.2">
      <c r="A141" s="39">
        <v>1</v>
      </c>
      <c r="B141" s="39" t="s">
        <v>140</v>
      </c>
      <c r="D141" s="43">
        <f t="shared" ref="D141:I141" si="27">D5-D73</f>
        <v>0</v>
      </c>
      <c r="E141" s="43">
        <f t="shared" si="27"/>
        <v>0</v>
      </c>
      <c r="F141" s="43">
        <f t="shared" si="27"/>
        <v>0</v>
      </c>
      <c r="G141" s="43">
        <f t="shared" si="27"/>
        <v>0</v>
      </c>
      <c r="H141" s="43">
        <f t="shared" si="27"/>
        <v>0</v>
      </c>
      <c r="I141" s="43">
        <f t="shared" si="27"/>
        <v>0</v>
      </c>
    </row>
    <row r="142" spans="1:9" x14ac:dyDescent="0.2">
      <c r="E142" s="43"/>
      <c r="F142" s="43"/>
      <c r="G142" s="43"/>
      <c r="H142" s="43"/>
      <c r="I142" s="43"/>
    </row>
    <row r="143" spans="1:9" x14ac:dyDescent="0.2">
      <c r="B143" s="42" t="s">
        <v>155</v>
      </c>
      <c r="D143" s="40"/>
      <c r="E143" s="40"/>
      <c r="F143" s="40"/>
      <c r="G143" s="40"/>
      <c r="H143" s="40"/>
      <c r="I143" s="40"/>
    </row>
    <row r="144" spans="1:9" x14ac:dyDescent="0.2">
      <c r="A144" s="39">
        <f>A141+1</f>
        <v>2</v>
      </c>
      <c r="B144" s="39" t="s">
        <v>141</v>
      </c>
      <c r="D144" s="43">
        <f t="shared" ref="D144:I146" si="28">D8-D76</f>
        <v>0</v>
      </c>
      <c r="E144" s="43">
        <f t="shared" si="28"/>
        <v>0</v>
      </c>
      <c r="F144" s="43">
        <f t="shared" si="28"/>
        <v>0</v>
      </c>
      <c r="G144" s="43">
        <f t="shared" si="28"/>
        <v>0</v>
      </c>
      <c r="H144" s="43">
        <f t="shared" si="28"/>
        <v>0</v>
      </c>
      <c r="I144" s="43">
        <f t="shared" si="28"/>
        <v>0</v>
      </c>
    </row>
    <row r="145" spans="1:9" x14ac:dyDescent="0.2">
      <c r="A145" s="39">
        <f>A144+1</f>
        <v>3</v>
      </c>
      <c r="B145" s="42" t="s">
        <v>167</v>
      </c>
      <c r="C145" s="42"/>
      <c r="D145" s="43">
        <f t="shared" si="28"/>
        <v>0</v>
      </c>
      <c r="E145" s="43">
        <f t="shared" si="28"/>
        <v>0</v>
      </c>
      <c r="F145" s="43">
        <f t="shared" si="28"/>
        <v>0</v>
      </c>
      <c r="G145" s="43">
        <f t="shared" si="28"/>
        <v>0</v>
      </c>
      <c r="H145" s="43">
        <f t="shared" si="28"/>
        <v>0</v>
      </c>
      <c r="I145" s="43">
        <f t="shared" si="28"/>
        <v>0</v>
      </c>
    </row>
    <row r="146" spans="1:9" x14ac:dyDescent="0.2">
      <c r="A146" s="39">
        <f>A145+1</f>
        <v>4</v>
      </c>
      <c r="B146" s="39" t="s">
        <v>142</v>
      </c>
      <c r="D146" s="43">
        <f t="shared" si="28"/>
        <v>0</v>
      </c>
      <c r="E146" s="43">
        <f t="shared" si="28"/>
        <v>0</v>
      </c>
      <c r="F146" s="43">
        <f t="shared" si="28"/>
        <v>0</v>
      </c>
      <c r="G146" s="43">
        <f t="shared" si="28"/>
        <v>0</v>
      </c>
      <c r="H146" s="43">
        <f t="shared" si="28"/>
        <v>0</v>
      </c>
      <c r="I146" s="43">
        <f t="shared" si="28"/>
        <v>0</v>
      </c>
    </row>
    <row r="147" spans="1:9" x14ac:dyDescent="0.2">
      <c r="B147" s="42" t="s">
        <v>171</v>
      </c>
      <c r="D147" s="43"/>
      <c r="E147" s="43"/>
      <c r="F147" s="43"/>
      <c r="G147" s="43"/>
      <c r="H147" s="43"/>
      <c r="I147" s="43"/>
    </row>
    <row r="148" spans="1:9" x14ac:dyDescent="0.2">
      <c r="A148" s="39">
        <f>A146+1</f>
        <v>5</v>
      </c>
      <c r="C148" s="39" t="s">
        <v>143</v>
      </c>
      <c r="D148" s="43">
        <f t="shared" ref="D148:I159" si="29">D12-D80</f>
        <v>0</v>
      </c>
      <c r="E148" s="43">
        <f t="shared" si="29"/>
        <v>0</v>
      </c>
      <c r="F148" s="43">
        <f t="shared" si="29"/>
        <v>0</v>
      </c>
      <c r="G148" s="43">
        <f t="shared" si="29"/>
        <v>0</v>
      </c>
      <c r="H148" s="43">
        <f t="shared" si="29"/>
        <v>0</v>
      </c>
      <c r="I148" s="43">
        <f t="shared" si="29"/>
        <v>0</v>
      </c>
    </row>
    <row r="149" spans="1:9" x14ac:dyDescent="0.2">
      <c r="A149" s="39">
        <f t="shared" ref="A149:A159" si="30">A148+1</f>
        <v>6</v>
      </c>
      <c r="C149" s="39" t="s">
        <v>144</v>
      </c>
      <c r="D149" s="43">
        <f t="shared" si="29"/>
        <v>0</v>
      </c>
      <c r="E149" s="43">
        <f t="shared" si="29"/>
        <v>0</v>
      </c>
      <c r="F149" s="43">
        <f t="shared" si="29"/>
        <v>0</v>
      </c>
      <c r="G149" s="43">
        <f t="shared" si="29"/>
        <v>0</v>
      </c>
      <c r="H149" s="43">
        <f t="shared" si="29"/>
        <v>0</v>
      </c>
      <c r="I149" s="43">
        <f t="shared" si="29"/>
        <v>0</v>
      </c>
    </row>
    <row r="150" spans="1:9" x14ac:dyDescent="0.2">
      <c r="A150" s="39">
        <f t="shared" si="30"/>
        <v>7</v>
      </c>
      <c r="B150" s="42"/>
      <c r="C150" s="42" t="s">
        <v>170</v>
      </c>
      <c r="D150" s="43">
        <f t="shared" si="29"/>
        <v>0</v>
      </c>
      <c r="E150" s="43">
        <f t="shared" si="29"/>
        <v>0</v>
      </c>
      <c r="F150" s="43">
        <f t="shared" si="29"/>
        <v>0</v>
      </c>
      <c r="G150" s="43">
        <f t="shared" si="29"/>
        <v>0</v>
      </c>
      <c r="H150" s="43">
        <f t="shared" si="29"/>
        <v>0</v>
      </c>
      <c r="I150" s="43">
        <f t="shared" si="29"/>
        <v>0</v>
      </c>
    </row>
    <row r="151" spans="1:9" x14ac:dyDescent="0.2">
      <c r="A151" s="39">
        <f t="shared" si="30"/>
        <v>8</v>
      </c>
      <c r="B151" s="39" t="s">
        <v>145</v>
      </c>
      <c r="D151" s="43">
        <f t="shared" si="29"/>
        <v>0</v>
      </c>
      <c r="E151" s="43">
        <f t="shared" si="29"/>
        <v>0</v>
      </c>
      <c r="F151" s="43">
        <f t="shared" si="29"/>
        <v>0</v>
      </c>
      <c r="G151" s="43">
        <f t="shared" si="29"/>
        <v>0</v>
      </c>
      <c r="H151" s="43">
        <f t="shared" si="29"/>
        <v>0</v>
      </c>
      <c r="I151" s="43">
        <f t="shared" si="29"/>
        <v>0</v>
      </c>
    </row>
    <row r="152" spans="1:9" x14ac:dyDescent="0.2">
      <c r="A152" s="39">
        <f t="shared" si="30"/>
        <v>9</v>
      </c>
      <c r="B152" s="39" t="s">
        <v>146</v>
      </c>
      <c r="D152" s="43">
        <f t="shared" si="29"/>
        <v>0</v>
      </c>
      <c r="E152" s="43">
        <f t="shared" si="29"/>
        <v>0</v>
      </c>
      <c r="F152" s="43">
        <f t="shared" si="29"/>
        <v>0</v>
      </c>
      <c r="G152" s="43">
        <f t="shared" si="29"/>
        <v>0</v>
      </c>
      <c r="H152" s="43">
        <f t="shared" si="29"/>
        <v>0</v>
      </c>
      <c r="I152" s="43">
        <f t="shared" si="29"/>
        <v>0</v>
      </c>
    </row>
    <row r="153" spans="1:9" x14ac:dyDescent="0.2">
      <c r="A153" s="39">
        <f t="shared" si="30"/>
        <v>10</v>
      </c>
      <c r="B153" s="39" t="s">
        <v>148</v>
      </c>
      <c r="D153" s="43">
        <f t="shared" si="29"/>
        <v>0</v>
      </c>
      <c r="E153" s="43">
        <f t="shared" si="29"/>
        <v>0</v>
      </c>
      <c r="F153" s="43">
        <f t="shared" si="29"/>
        <v>0</v>
      </c>
      <c r="G153" s="43">
        <f t="shared" si="29"/>
        <v>0</v>
      </c>
      <c r="H153" s="43">
        <f t="shared" si="29"/>
        <v>0</v>
      </c>
      <c r="I153" s="43">
        <f t="shared" si="29"/>
        <v>0</v>
      </c>
    </row>
    <row r="154" spans="1:9" x14ac:dyDescent="0.2">
      <c r="A154" s="39">
        <f t="shared" si="30"/>
        <v>11</v>
      </c>
      <c r="B154" s="39" t="s">
        <v>244</v>
      </c>
      <c r="D154" s="43">
        <f t="shared" si="29"/>
        <v>0</v>
      </c>
      <c r="E154" s="43">
        <f t="shared" si="29"/>
        <v>0</v>
      </c>
      <c r="F154" s="43">
        <f t="shared" si="29"/>
        <v>0</v>
      </c>
      <c r="G154" s="43">
        <f t="shared" si="29"/>
        <v>0</v>
      </c>
      <c r="H154" s="43">
        <f t="shared" si="29"/>
        <v>0</v>
      </c>
      <c r="I154" s="43">
        <f t="shared" si="29"/>
        <v>0</v>
      </c>
    </row>
    <row r="155" spans="1:9" x14ac:dyDescent="0.2">
      <c r="A155" s="39">
        <f t="shared" si="30"/>
        <v>12</v>
      </c>
      <c r="B155" s="39" t="s">
        <v>147</v>
      </c>
      <c r="D155" s="43">
        <f t="shared" si="29"/>
        <v>0</v>
      </c>
      <c r="E155" s="43">
        <f t="shared" si="29"/>
        <v>0</v>
      </c>
      <c r="F155" s="43">
        <f t="shared" si="29"/>
        <v>0</v>
      </c>
      <c r="G155" s="43">
        <f t="shared" si="29"/>
        <v>0</v>
      </c>
      <c r="H155" s="43">
        <f t="shared" si="29"/>
        <v>0</v>
      </c>
      <c r="I155" s="43">
        <f t="shared" si="29"/>
        <v>0</v>
      </c>
    </row>
    <row r="156" spans="1:9" x14ac:dyDescent="0.2">
      <c r="A156" s="39">
        <f t="shared" si="30"/>
        <v>13</v>
      </c>
      <c r="B156" s="39" t="s">
        <v>149</v>
      </c>
      <c r="D156" s="43">
        <f t="shared" si="29"/>
        <v>0</v>
      </c>
      <c r="E156" s="43">
        <f t="shared" si="29"/>
        <v>0</v>
      </c>
      <c r="F156" s="43">
        <f t="shared" si="29"/>
        <v>0</v>
      </c>
      <c r="G156" s="43">
        <f t="shared" si="29"/>
        <v>0</v>
      </c>
      <c r="H156" s="43">
        <f t="shared" si="29"/>
        <v>0</v>
      </c>
      <c r="I156" s="43">
        <f t="shared" si="29"/>
        <v>0</v>
      </c>
    </row>
    <row r="157" spans="1:9" x14ac:dyDescent="0.2">
      <c r="A157" s="39">
        <f t="shared" si="30"/>
        <v>14</v>
      </c>
      <c r="B157" s="42" t="s">
        <v>173</v>
      </c>
      <c r="D157" s="43">
        <f t="shared" si="29"/>
        <v>0</v>
      </c>
      <c r="E157" s="43">
        <f t="shared" si="29"/>
        <v>0</v>
      </c>
      <c r="F157" s="43">
        <f t="shared" si="29"/>
        <v>0</v>
      </c>
      <c r="G157" s="43">
        <f t="shared" si="29"/>
        <v>0</v>
      </c>
      <c r="H157" s="43">
        <f t="shared" si="29"/>
        <v>0</v>
      </c>
      <c r="I157" s="43">
        <f t="shared" si="29"/>
        <v>0</v>
      </c>
    </row>
    <row r="158" spans="1:9" x14ac:dyDescent="0.2">
      <c r="A158" s="39">
        <f t="shared" si="30"/>
        <v>15</v>
      </c>
      <c r="B158" s="42" t="s">
        <v>168</v>
      </c>
      <c r="C158" s="42"/>
      <c r="D158" s="43">
        <f t="shared" si="29"/>
        <v>0</v>
      </c>
      <c r="E158" s="43">
        <f t="shared" si="29"/>
        <v>0</v>
      </c>
      <c r="F158" s="43">
        <f t="shared" si="29"/>
        <v>0</v>
      </c>
      <c r="G158" s="43">
        <f t="shared" si="29"/>
        <v>0</v>
      </c>
      <c r="H158" s="43">
        <f t="shared" si="29"/>
        <v>0</v>
      </c>
      <c r="I158" s="43">
        <f t="shared" si="29"/>
        <v>0</v>
      </c>
    </row>
    <row r="159" spans="1:9" x14ac:dyDescent="0.2">
      <c r="A159" s="39">
        <f t="shared" si="30"/>
        <v>16</v>
      </c>
      <c r="B159" s="39" t="s">
        <v>150</v>
      </c>
      <c r="D159" s="43">
        <f t="shared" si="29"/>
        <v>0</v>
      </c>
      <c r="E159" s="43">
        <f t="shared" si="29"/>
        <v>0</v>
      </c>
      <c r="F159" s="43">
        <f t="shared" si="29"/>
        <v>0</v>
      </c>
      <c r="G159" s="43">
        <f t="shared" si="29"/>
        <v>0</v>
      </c>
      <c r="H159" s="43">
        <f t="shared" si="29"/>
        <v>0</v>
      </c>
      <c r="I159" s="43">
        <f t="shared" si="29"/>
        <v>0</v>
      </c>
    </row>
    <row r="160" spans="1:9" x14ac:dyDescent="0.2">
      <c r="B160" s="42" t="s">
        <v>172</v>
      </c>
      <c r="D160" s="43"/>
      <c r="E160" s="43"/>
      <c r="F160" s="43"/>
      <c r="G160" s="43"/>
      <c r="H160" s="43"/>
      <c r="I160" s="43"/>
    </row>
    <row r="161" spans="1:9" x14ac:dyDescent="0.2">
      <c r="A161" s="39">
        <f>A159+1</f>
        <v>17</v>
      </c>
      <c r="B161" s="42"/>
      <c r="C161" s="42" t="s">
        <v>175</v>
      </c>
      <c r="D161" s="43">
        <f t="shared" ref="D161:I164" si="31">D25-D93</f>
        <v>0</v>
      </c>
      <c r="E161" s="43">
        <f t="shared" si="31"/>
        <v>0</v>
      </c>
      <c r="F161" s="43">
        <f t="shared" si="31"/>
        <v>0</v>
      </c>
      <c r="G161" s="43">
        <f t="shared" si="31"/>
        <v>0</v>
      </c>
      <c r="H161" s="43">
        <f t="shared" si="31"/>
        <v>0</v>
      </c>
      <c r="I161" s="43">
        <f t="shared" si="31"/>
        <v>0</v>
      </c>
    </row>
    <row r="162" spans="1:9" x14ac:dyDescent="0.2">
      <c r="A162" s="39">
        <f>A161+1</f>
        <v>18</v>
      </c>
      <c r="B162" s="42"/>
      <c r="C162" s="42" t="s">
        <v>182</v>
      </c>
      <c r="D162" s="43">
        <f t="shared" si="31"/>
        <v>0</v>
      </c>
      <c r="E162" s="43">
        <f t="shared" si="31"/>
        <v>0</v>
      </c>
      <c r="F162" s="43">
        <f t="shared" si="31"/>
        <v>0</v>
      </c>
      <c r="G162" s="43">
        <f t="shared" si="31"/>
        <v>0</v>
      </c>
      <c r="H162" s="43">
        <f t="shared" si="31"/>
        <v>0</v>
      </c>
      <c r="I162" s="43">
        <f t="shared" si="31"/>
        <v>0</v>
      </c>
    </row>
    <row r="163" spans="1:9" x14ac:dyDescent="0.2">
      <c r="A163" s="39">
        <f>A162+1</f>
        <v>19</v>
      </c>
      <c r="B163" s="42"/>
      <c r="C163" s="42" t="s">
        <v>201</v>
      </c>
      <c r="D163" s="43">
        <f t="shared" si="31"/>
        <v>0</v>
      </c>
      <c r="E163" s="43">
        <f t="shared" si="31"/>
        <v>0</v>
      </c>
      <c r="F163" s="43">
        <f t="shared" si="31"/>
        <v>0</v>
      </c>
      <c r="G163" s="43">
        <f t="shared" si="31"/>
        <v>0</v>
      </c>
      <c r="H163" s="43">
        <f t="shared" si="31"/>
        <v>0</v>
      </c>
      <c r="I163" s="43">
        <f t="shared" si="31"/>
        <v>0</v>
      </c>
    </row>
    <row r="164" spans="1:9" x14ac:dyDescent="0.2">
      <c r="A164" s="39">
        <f>A163+1</f>
        <v>20</v>
      </c>
      <c r="B164" s="42"/>
      <c r="C164" s="42" t="s">
        <v>183</v>
      </c>
      <c r="D164" s="43">
        <f t="shared" si="31"/>
        <v>0</v>
      </c>
      <c r="E164" s="43">
        <f t="shared" si="31"/>
        <v>0</v>
      </c>
      <c r="F164" s="43">
        <f t="shared" si="31"/>
        <v>0</v>
      </c>
      <c r="G164" s="43">
        <f t="shared" si="31"/>
        <v>0</v>
      </c>
      <c r="H164" s="43">
        <f t="shared" si="31"/>
        <v>0</v>
      </c>
      <c r="I164" s="43">
        <f t="shared" si="31"/>
        <v>0</v>
      </c>
    </row>
    <row r="165" spans="1:9" x14ac:dyDescent="0.2">
      <c r="D165" s="41"/>
      <c r="E165" s="41"/>
      <c r="F165" s="41"/>
      <c r="G165" s="41"/>
      <c r="H165" s="41"/>
      <c r="I165" s="41"/>
    </row>
    <row r="166" spans="1:9" x14ac:dyDescent="0.2">
      <c r="A166" s="39">
        <f>A164+1</f>
        <v>21</v>
      </c>
      <c r="B166" s="42" t="s">
        <v>158</v>
      </c>
      <c r="D166" s="43">
        <f t="shared" ref="D166:I166" si="32">D30-D98</f>
        <v>0</v>
      </c>
      <c r="E166" s="43">
        <f t="shared" si="32"/>
        <v>0</v>
      </c>
      <c r="F166" s="43">
        <f t="shared" si="32"/>
        <v>0</v>
      </c>
      <c r="G166" s="43">
        <f t="shared" si="32"/>
        <v>0</v>
      </c>
      <c r="H166" s="43">
        <f t="shared" si="32"/>
        <v>0</v>
      </c>
      <c r="I166" s="43">
        <f t="shared" si="32"/>
        <v>0</v>
      </c>
    </row>
    <row r="167" spans="1:9" x14ac:dyDescent="0.2">
      <c r="D167" s="41"/>
      <c r="E167" s="41"/>
      <c r="F167" s="41"/>
      <c r="G167" s="41"/>
      <c r="H167" s="41"/>
      <c r="I167" s="41"/>
    </row>
    <row r="168" spans="1:9" x14ac:dyDescent="0.2">
      <c r="B168" s="42" t="s">
        <v>156</v>
      </c>
      <c r="C168" s="42"/>
      <c r="D168" s="41"/>
      <c r="E168" s="41"/>
      <c r="F168" s="41"/>
      <c r="G168" s="41"/>
      <c r="H168" s="41"/>
      <c r="I168" s="41"/>
    </row>
    <row r="169" spans="1:9" x14ac:dyDescent="0.2">
      <c r="A169" s="39">
        <f>A166+1</f>
        <v>22</v>
      </c>
      <c r="B169" s="39" t="s">
        <v>153</v>
      </c>
      <c r="D169" s="43">
        <f t="shared" ref="D169:I173" si="33">D33-D101</f>
        <v>0</v>
      </c>
      <c r="E169" s="43">
        <f t="shared" si="33"/>
        <v>0</v>
      </c>
      <c r="F169" s="43">
        <f t="shared" si="33"/>
        <v>0</v>
      </c>
      <c r="G169" s="43">
        <f t="shared" si="33"/>
        <v>0</v>
      </c>
      <c r="H169" s="43">
        <f t="shared" si="33"/>
        <v>0</v>
      </c>
      <c r="I169" s="43">
        <f t="shared" si="33"/>
        <v>0</v>
      </c>
    </row>
    <row r="170" spans="1:9" x14ac:dyDescent="0.2">
      <c r="A170" s="39">
        <f>A169+1</f>
        <v>23</v>
      </c>
      <c r="B170" s="39" t="s">
        <v>152</v>
      </c>
      <c r="D170" s="43">
        <f t="shared" si="33"/>
        <v>0</v>
      </c>
      <c r="E170" s="43">
        <f t="shared" si="33"/>
        <v>0</v>
      </c>
      <c r="F170" s="43">
        <f t="shared" si="33"/>
        <v>0</v>
      </c>
      <c r="G170" s="43">
        <f t="shared" si="33"/>
        <v>0</v>
      </c>
      <c r="H170" s="43">
        <f t="shared" si="33"/>
        <v>0</v>
      </c>
      <c r="I170" s="43">
        <f t="shared" si="33"/>
        <v>0</v>
      </c>
    </row>
    <row r="171" spans="1:9" x14ac:dyDescent="0.2">
      <c r="A171" s="39">
        <f>A170+1</f>
        <v>24</v>
      </c>
      <c r="B171" s="42" t="s">
        <v>174</v>
      </c>
      <c r="D171" s="43">
        <f t="shared" si="33"/>
        <v>0</v>
      </c>
      <c r="E171" s="43">
        <f t="shared" si="33"/>
        <v>0</v>
      </c>
      <c r="F171" s="43">
        <f t="shared" si="33"/>
        <v>0</v>
      </c>
      <c r="G171" s="43">
        <f t="shared" si="33"/>
        <v>0</v>
      </c>
      <c r="H171" s="43">
        <f t="shared" si="33"/>
        <v>0</v>
      </c>
      <c r="I171" s="43">
        <f t="shared" si="33"/>
        <v>0</v>
      </c>
    </row>
    <row r="172" spans="1:9" x14ac:dyDescent="0.2">
      <c r="A172" s="39">
        <f>A171+1</f>
        <v>25</v>
      </c>
      <c r="B172" s="42" t="s">
        <v>168</v>
      </c>
      <c r="C172" s="42"/>
      <c r="D172" s="43">
        <f t="shared" si="33"/>
        <v>0</v>
      </c>
      <c r="E172" s="43">
        <f t="shared" si="33"/>
        <v>0</v>
      </c>
      <c r="F172" s="43">
        <f t="shared" si="33"/>
        <v>0</v>
      </c>
      <c r="G172" s="43">
        <f t="shared" si="33"/>
        <v>0</v>
      </c>
      <c r="H172" s="43">
        <f t="shared" si="33"/>
        <v>0</v>
      </c>
      <c r="I172" s="43">
        <f t="shared" si="33"/>
        <v>0</v>
      </c>
    </row>
    <row r="173" spans="1:9" x14ac:dyDescent="0.2">
      <c r="A173" s="39">
        <f>A172+1</f>
        <v>26</v>
      </c>
      <c r="B173" s="39" t="s">
        <v>154</v>
      </c>
      <c r="D173" s="43">
        <f t="shared" si="33"/>
        <v>0</v>
      </c>
      <c r="E173" s="43">
        <f t="shared" si="33"/>
        <v>0</v>
      </c>
      <c r="F173" s="43">
        <f t="shared" si="33"/>
        <v>0</v>
      </c>
      <c r="G173" s="43">
        <f t="shared" si="33"/>
        <v>0</v>
      </c>
      <c r="H173" s="43">
        <f t="shared" si="33"/>
        <v>0</v>
      </c>
      <c r="I173" s="43">
        <f t="shared" si="33"/>
        <v>0</v>
      </c>
    </row>
    <row r="174" spans="1:9" x14ac:dyDescent="0.2">
      <c r="D174" s="41"/>
      <c r="E174" s="41"/>
      <c r="F174" s="41"/>
      <c r="G174" s="41"/>
      <c r="H174" s="41"/>
      <c r="I174" s="41"/>
    </row>
    <row r="175" spans="1:9" x14ac:dyDescent="0.2">
      <c r="A175" s="39">
        <f>A173+1</f>
        <v>27</v>
      </c>
      <c r="B175" s="42" t="s">
        <v>159</v>
      </c>
      <c r="C175" s="42"/>
      <c r="D175" s="43">
        <f t="shared" ref="D175:I175" si="34">D39-D107</f>
        <v>0</v>
      </c>
      <c r="E175" s="43">
        <f t="shared" si="34"/>
        <v>0</v>
      </c>
      <c r="F175" s="43">
        <f t="shared" si="34"/>
        <v>0</v>
      </c>
      <c r="G175" s="43">
        <f t="shared" si="34"/>
        <v>0</v>
      </c>
      <c r="H175" s="43">
        <f t="shared" si="34"/>
        <v>0</v>
      </c>
      <c r="I175" s="43">
        <f t="shared" si="34"/>
        <v>0</v>
      </c>
    </row>
    <row r="176" spans="1:9" x14ac:dyDescent="0.2">
      <c r="B176" s="42"/>
      <c r="C176" s="42"/>
      <c r="D176" s="41"/>
      <c r="E176" s="41"/>
      <c r="F176" s="41"/>
      <c r="G176" s="41"/>
      <c r="H176" s="41"/>
      <c r="I176" s="41"/>
    </row>
    <row r="177" spans="1:9" x14ac:dyDescent="0.2">
      <c r="B177" s="42" t="s">
        <v>157</v>
      </c>
      <c r="C177" s="42"/>
      <c r="D177" s="41"/>
      <c r="E177" s="41"/>
      <c r="F177" s="41"/>
      <c r="G177" s="41"/>
      <c r="H177" s="41"/>
      <c r="I177" s="41"/>
    </row>
    <row r="178" spans="1:9" x14ac:dyDescent="0.2">
      <c r="A178" s="39">
        <f>A175+1</f>
        <v>28</v>
      </c>
      <c r="B178" s="39" t="s">
        <v>141</v>
      </c>
      <c r="D178" s="43">
        <f t="shared" ref="D178:I180" si="35">D42-D110</f>
        <v>0</v>
      </c>
      <c r="E178" s="43">
        <f t="shared" si="35"/>
        <v>0</v>
      </c>
      <c r="F178" s="43">
        <f t="shared" si="35"/>
        <v>0</v>
      </c>
      <c r="G178" s="43">
        <f t="shared" si="35"/>
        <v>0</v>
      </c>
      <c r="H178" s="43">
        <f t="shared" si="35"/>
        <v>0</v>
      </c>
      <c r="I178" s="43">
        <f t="shared" si="35"/>
        <v>0</v>
      </c>
    </row>
    <row r="179" spans="1:9" x14ac:dyDescent="0.2">
      <c r="A179" s="39">
        <f>A178+1</f>
        <v>29</v>
      </c>
      <c r="B179" s="42" t="s">
        <v>167</v>
      </c>
      <c r="C179" s="42"/>
      <c r="D179" s="43">
        <f t="shared" si="35"/>
        <v>0</v>
      </c>
      <c r="E179" s="43">
        <f t="shared" si="35"/>
        <v>0</v>
      </c>
      <c r="F179" s="43">
        <f t="shared" si="35"/>
        <v>0</v>
      </c>
      <c r="G179" s="43">
        <f t="shared" si="35"/>
        <v>0</v>
      </c>
      <c r="H179" s="43">
        <f t="shared" si="35"/>
        <v>0</v>
      </c>
      <c r="I179" s="43">
        <f t="shared" si="35"/>
        <v>0</v>
      </c>
    </row>
    <row r="180" spans="1:9" x14ac:dyDescent="0.2">
      <c r="A180" s="39">
        <f>A179+1</f>
        <v>30</v>
      </c>
      <c r="B180" s="39" t="s">
        <v>142</v>
      </c>
      <c r="D180" s="43">
        <f t="shared" si="35"/>
        <v>0</v>
      </c>
      <c r="E180" s="43">
        <f t="shared" si="35"/>
        <v>0</v>
      </c>
      <c r="F180" s="43">
        <f t="shared" si="35"/>
        <v>0</v>
      </c>
      <c r="G180" s="43">
        <f t="shared" si="35"/>
        <v>0</v>
      </c>
      <c r="H180" s="43">
        <f t="shared" si="35"/>
        <v>0</v>
      </c>
      <c r="I180" s="43">
        <f t="shared" si="35"/>
        <v>0</v>
      </c>
    </row>
    <row r="181" spans="1:9" x14ac:dyDescent="0.2">
      <c r="B181" s="42" t="s">
        <v>171</v>
      </c>
      <c r="D181" s="43"/>
      <c r="E181" s="43"/>
      <c r="F181" s="43"/>
      <c r="G181" s="43"/>
      <c r="H181" s="43"/>
      <c r="I181" s="43"/>
    </row>
    <row r="182" spans="1:9" x14ac:dyDescent="0.2">
      <c r="A182" s="39">
        <f>A180+1</f>
        <v>31</v>
      </c>
      <c r="C182" s="39" t="s">
        <v>143</v>
      </c>
      <c r="D182" s="43">
        <f t="shared" ref="D182:I194" si="36">D46-D114</f>
        <v>0</v>
      </c>
      <c r="E182" s="43">
        <f t="shared" si="36"/>
        <v>0</v>
      </c>
      <c r="F182" s="43">
        <f t="shared" si="36"/>
        <v>0</v>
      </c>
      <c r="G182" s="43">
        <f t="shared" si="36"/>
        <v>0</v>
      </c>
      <c r="H182" s="43">
        <f t="shared" si="36"/>
        <v>0</v>
      </c>
      <c r="I182" s="43">
        <f t="shared" si="36"/>
        <v>0</v>
      </c>
    </row>
    <row r="183" spans="1:9" x14ac:dyDescent="0.2">
      <c r="A183" s="39">
        <f t="shared" ref="A183:A194" si="37">A182+1</f>
        <v>32</v>
      </c>
      <c r="C183" s="39" t="s">
        <v>144</v>
      </c>
      <c r="D183" s="43">
        <f t="shared" si="36"/>
        <v>0</v>
      </c>
      <c r="E183" s="43">
        <f t="shared" si="36"/>
        <v>0</v>
      </c>
      <c r="F183" s="43">
        <f t="shared" si="36"/>
        <v>0</v>
      </c>
      <c r="G183" s="43">
        <f t="shared" si="36"/>
        <v>0</v>
      </c>
      <c r="H183" s="43">
        <f t="shared" si="36"/>
        <v>0</v>
      </c>
      <c r="I183" s="43">
        <f t="shared" si="36"/>
        <v>0</v>
      </c>
    </row>
    <row r="184" spans="1:9" x14ac:dyDescent="0.2">
      <c r="A184" s="39">
        <f t="shared" si="37"/>
        <v>33</v>
      </c>
      <c r="B184" s="42"/>
      <c r="C184" s="42" t="s">
        <v>170</v>
      </c>
      <c r="D184" s="43">
        <f t="shared" si="36"/>
        <v>0</v>
      </c>
      <c r="E184" s="43">
        <f t="shared" si="36"/>
        <v>0</v>
      </c>
      <c r="F184" s="43">
        <f t="shared" si="36"/>
        <v>0</v>
      </c>
      <c r="G184" s="43">
        <f t="shared" si="36"/>
        <v>0</v>
      </c>
      <c r="H184" s="43">
        <f t="shared" si="36"/>
        <v>0</v>
      </c>
      <c r="I184" s="43">
        <f t="shared" si="36"/>
        <v>0</v>
      </c>
    </row>
    <row r="185" spans="1:9" x14ac:dyDescent="0.2">
      <c r="A185" s="39">
        <f t="shared" si="37"/>
        <v>34</v>
      </c>
      <c r="B185" s="39" t="s">
        <v>145</v>
      </c>
      <c r="D185" s="43">
        <f t="shared" si="36"/>
        <v>0</v>
      </c>
      <c r="E185" s="43">
        <f t="shared" si="36"/>
        <v>0</v>
      </c>
      <c r="F185" s="43">
        <f t="shared" si="36"/>
        <v>0</v>
      </c>
      <c r="G185" s="43">
        <f t="shared" si="36"/>
        <v>0</v>
      </c>
      <c r="H185" s="43">
        <f t="shared" si="36"/>
        <v>0</v>
      </c>
      <c r="I185" s="43">
        <f t="shared" si="36"/>
        <v>0</v>
      </c>
    </row>
    <row r="186" spans="1:9" x14ac:dyDescent="0.2">
      <c r="A186" s="39">
        <f t="shared" si="37"/>
        <v>35</v>
      </c>
      <c r="B186" s="39" t="s">
        <v>146</v>
      </c>
      <c r="D186" s="43">
        <f t="shared" si="36"/>
        <v>0</v>
      </c>
      <c r="E186" s="43">
        <f t="shared" si="36"/>
        <v>0</v>
      </c>
      <c r="F186" s="43">
        <f t="shared" si="36"/>
        <v>0</v>
      </c>
      <c r="G186" s="43">
        <f t="shared" si="36"/>
        <v>0</v>
      </c>
      <c r="H186" s="43">
        <f t="shared" si="36"/>
        <v>0</v>
      </c>
      <c r="I186" s="43">
        <f t="shared" si="36"/>
        <v>0</v>
      </c>
    </row>
    <row r="187" spans="1:9" x14ac:dyDescent="0.2">
      <c r="A187" s="39">
        <f t="shared" si="37"/>
        <v>36</v>
      </c>
      <c r="B187" s="39" t="s">
        <v>148</v>
      </c>
      <c r="D187" s="43">
        <f t="shared" si="36"/>
        <v>0</v>
      </c>
      <c r="E187" s="43">
        <f t="shared" si="36"/>
        <v>0</v>
      </c>
      <c r="F187" s="43">
        <f t="shared" si="36"/>
        <v>0</v>
      </c>
      <c r="G187" s="43">
        <f t="shared" si="36"/>
        <v>0</v>
      </c>
      <c r="H187" s="43">
        <f t="shared" si="36"/>
        <v>0</v>
      </c>
      <c r="I187" s="43">
        <f t="shared" si="36"/>
        <v>0</v>
      </c>
    </row>
    <row r="188" spans="1:9" x14ac:dyDescent="0.2">
      <c r="A188" s="39">
        <f t="shared" si="37"/>
        <v>37</v>
      </c>
      <c r="B188" s="39" t="s">
        <v>244</v>
      </c>
      <c r="D188" s="43">
        <f t="shared" si="36"/>
        <v>0</v>
      </c>
      <c r="E188" s="43">
        <f t="shared" si="36"/>
        <v>0</v>
      </c>
      <c r="F188" s="43">
        <f t="shared" si="36"/>
        <v>0</v>
      </c>
      <c r="G188" s="43">
        <f t="shared" si="36"/>
        <v>0</v>
      </c>
      <c r="H188" s="43">
        <f t="shared" si="36"/>
        <v>0</v>
      </c>
      <c r="I188" s="43">
        <f t="shared" si="36"/>
        <v>0</v>
      </c>
    </row>
    <row r="189" spans="1:9" x14ac:dyDescent="0.2">
      <c r="A189" s="39">
        <f t="shared" si="37"/>
        <v>38</v>
      </c>
      <c r="B189" s="39" t="s">
        <v>147</v>
      </c>
      <c r="D189" s="43">
        <f t="shared" si="36"/>
        <v>0</v>
      </c>
      <c r="E189" s="43">
        <f t="shared" si="36"/>
        <v>0</v>
      </c>
      <c r="F189" s="43">
        <f t="shared" si="36"/>
        <v>0</v>
      </c>
      <c r="G189" s="43">
        <f t="shared" si="36"/>
        <v>0</v>
      </c>
      <c r="H189" s="43">
        <f t="shared" si="36"/>
        <v>0</v>
      </c>
      <c r="I189" s="43">
        <f t="shared" si="36"/>
        <v>0</v>
      </c>
    </row>
    <row r="190" spans="1:9" x14ac:dyDescent="0.2">
      <c r="A190" s="39">
        <f t="shared" si="37"/>
        <v>39</v>
      </c>
      <c r="B190" s="39" t="s">
        <v>149</v>
      </c>
      <c r="D190" s="43">
        <f t="shared" si="36"/>
        <v>0</v>
      </c>
      <c r="E190" s="43">
        <f t="shared" si="36"/>
        <v>0</v>
      </c>
      <c r="F190" s="43">
        <f t="shared" si="36"/>
        <v>0</v>
      </c>
      <c r="G190" s="43">
        <f t="shared" si="36"/>
        <v>0</v>
      </c>
      <c r="H190" s="43">
        <f t="shared" si="36"/>
        <v>0</v>
      </c>
      <c r="I190" s="43">
        <f t="shared" si="36"/>
        <v>0</v>
      </c>
    </row>
    <row r="191" spans="1:9" x14ac:dyDescent="0.2">
      <c r="A191" s="39">
        <f t="shared" si="37"/>
        <v>40</v>
      </c>
      <c r="B191" s="42" t="s">
        <v>173</v>
      </c>
      <c r="D191" s="43">
        <f t="shared" si="36"/>
        <v>0</v>
      </c>
      <c r="E191" s="43">
        <f t="shared" si="36"/>
        <v>0</v>
      </c>
      <c r="F191" s="43">
        <f t="shared" si="36"/>
        <v>0</v>
      </c>
      <c r="G191" s="43">
        <f t="shared" si="36"/>
        <v>0</v>
      </c>
      <c r="H191" s="43">
        <f t="shared" si="36"/>
        <v>0</v>
      </c>
      <c r="I191" s="43">
        <f t="shared" si="36"/>
        <v>0</v>
      </c>
    </row>
    <row r="192" spans="1:9" x14ac:dyDescent="0.2">
      <c r="A192" s="39">
        <f t="shared" si="37"/>
        <v>41</v>
      </c>
      <c r="B192" s="42" t="s">
        <v>168</v>
      </c>
      <c r="C192" s="42"/>
      <c r="D192" s="43">
        <f t="shared" si="36"/>
        <v>0</v>
      </c>
      <c r="E192" s="43">
        <f t="shared" si="36"/>
        <v>0</v>
      </c>
      <c r="F192" s="43">
        <f t="shared" si="36"/>
        <v>0</v>
      </c>
      <c r="G192" s="43">
        <f t="shared" si="36"/>
        <v>0</v>
      </c>
      <c r="H192" s="43">
        <f t="shared" si="36"/>
        <v>0</v>
      </c>
      <c r="I192" s="43">
        <f t="shared" si="36"/>
        <v>0</v>
      </c>
    </row>
    <row r="193" spans="1:9" x14ac:dyDescent="0.2">
      <c r="A193" s="39">
        <f t="shared" si="37"/>
        <v>42</v>
      </c>
      <c r="B193" s="42" t="s">
        <v>163</v>
      </c>
      <c r="C193" s="42"/>
      <c r="D193" s="43">
        <f t="shared" si="36"/>
        <v>0</v>
      </c>
      <c r="E193" s="43">
        <f t="shared" si="36"/>
        <v>0</v>
      </c>
      <c r="F193" s="43">
        <f t="shared" si="36"/>
        <v>0</v>
      </c>
      <c r="G193" s="43">
        <f t="shared" si="36"/>
        <v>0</v>
      </c>
      <c r="H193" s="43">
        <f t="shared" si="36"/>
        <v>0</v>
      </c>
      <c r="I193" s="43">
        <f t="shared" si="36"/>
        <v>0</v>
      </c>
    </row>
    <row r="194" spans="1:9" x14ac:dyDescent="0.2">
      <c r="A194" s="39">
        <f t="shared" si="37"/>
        <v>43</v>
      </c>
      <c r="B194" s="39" t="s">
        <v>151</v>
      </c>
      <c r="D194" s="43">
        <f t="shared" si="36"/>
        <v>0</v>
      </c>
      <c r="E194" s="43">
        <f t="shared" si="36"/>
        <v>0</v>
      </c>
      <c r="F194" s="43">
        <f t="shared" si="36"/>
        <v>0</v>
      </c>
      <c r="G194" s="43">
        <f t="shared" si="36"/>
        <v>0</v>
      </c>
      <c r="H194" s="43">
        <f t="shared" si="36"/>
        <v>0</v>
      </c>
      <c r="I194" s="43">
        <f t="shared" si="36"/>
        <v>0</v>
      </c>
    </row>
    <row r="195" spans="1:9" x14ac:dyDescent="0.2">
      <c r="B195" s="42" t="s">
        <v>172</v>
      </c>
      <c r="D195" s="43"/>
      <c r="E195" s="43"/>
      <c r="F195" s="43"/>
      <c r="G195" s="43"/>
      <c r="H195" s="43"/>
      <c r="I195" s="43"/>
    </row>
    <row r="196" spans="1:9" x14ac:dyDescent="0.2">
      <c r="A196" s="39">
        <f>A194+1</f>
        <v>44</v>
      </c>
      <c r="B196" s="42"/>
      <c r="C196" s="42" t="s">
        <v>175</v>
      </c>
      <c r="D196" s="43">
        <f t="shared" ref="D196:I199" si="38">D60-D128</f>
        <v>0</v>
      </c>
      <c r="E196" s="43">
        <f t="shared" si="38"/>
        <v>0</v>
      </c>
      <c r="F196" s="43">
        <f t="shared" si="38"/>
        <v>0</v>
      </c>
      <c r="G196" s="43">
        <f t="shared" si="38"/>
        <v>0</v>
      </c>
      <c r="H196" s="43">
        <f t="shared" si="38"/>
        <v>0</v>
      </c>
      <c r="I196" s="43">
        <f t="shared" si="38"/>
        <v>0</v>
      </c>
    </row>
    <row r="197" spans="1:9" x14ac:dyDescent="0.2">
      <c r="A197" s="39">
        <f>A196+1</f>
        <v>45</v>
      </c>
      <c r="B197" s="42"/>
      <c r="C197" s="42" t="s">
        <v>182</v>
      </c>
      <c r="D197" s="43">
        <f t="shared" si="38"/>
        <v>0</v>
      </c>
      <c r="E197" s="43">
        <f t="shared" si="38"/>
        <v>0</v>
      </c>
      <c r="F197" s="43">
        <f t="shared" si="38"/>
        <v>0</v>
      </c>
      <c r="G197" s="43">
        <f t="shared" si="38"/>
        <v>0</v>
      </c>
      <c r="H197" s="43">
        <f t="shared" si="38"/>
        <v>0</v>
      </c>
      <c r="I197" s="43">
        <f t="shared" si="38"/>
        <v>0</v>
      </c>
    </row>
    <row r="198" spans="1:9" x14ac:dyDescent="0.2">
      <c r="A198" s="39">
        <f>A197+1</f>
        <v>46</v>
      </c>
      <c r="B198" s="42"/>
      <c r="C198" s="42" t="s">
        <v>201</v>
      </c>
      <c r="D198" s="43">
        <f t="shared" si="38"/>
        <v>0</v>
      </c>
      <c r="E198" s="43">
        <f t="shared" si="38"/>
        <v>0</v>
      </c>
      <c r="F198" s="43">
        <f t="shared" si="38"/>
        <v>0</v>
      </c>
      <c r="G198" s="43">
        <f t="shared" si="38"/>
        <v>0</v>
      </c>
      <c r="H198" s="43">
        <f t="shared" si="38"/>
        <v>0</v>
      </c>
      <c r="I198" s="43">
        <f t="shared" si="38"/>
        <v>0</v>
      </c>
    </row>
    <row r="199" spans="1:9" x14ac:dyDescent="0.2">
      <c r="A199" s="39">
        <f>A198+1</f>
        <v>47</v>
      </c>
      <c r="B199" s="42"/>
      <c r="C199" s="42" t="s">
        <v>183</v>
      </c>
      <c r="D199" s="43">
        <f t="shared" si="38"/>
        <v>0</v>
      </c>
      <c r="E199" s="43">
        <f t="shared" si="38"/>
        <v>0</v>
      </c>
      <c r="F199" s="43">
        <f t="shared" si="38"/>
        <v>0</v>
      </c>
      <c r="G199" s="43">
        <f t="shared" si="38"/>
        <v>0</v>
      </c>
      <c r="H199" s="43">
        <f t="shared" si="38"/>
        <v>0</v>
      </c>
      <c r="I199" s="43">
        <f t="shared" si="38"/>
        <v>0</v>
      </c>
    </row>
    <row r="200" spans="1:9" x14ac:dyDescent="0.2">
      <c r="D200" s="41"/>
      <c r="E200" s="41"/>
      <c r="F200" s="41"/>
      <c r="G200" s="41"/>
      <c r="H200" s="41"/>
      <c r="I200" s="41"/>
    </row>
    <row r="201" spans="1:9" x14ac:dyDescent="0.2">
      <c r="A201" s="39">
        <f>A199+1</f>
        <v>48</v>
      </c>
      <c r="B201" s="42" t="s">
        <v>184</v>
      </c>
      <c r="C201" s="42"/>
      <c r="D201" s="43">
        <f t="shared" ref="D201:I203" si="39">D65-D133</f>
        <v>0</v>
      </c>
      <c r="E201" s="43">
        <f t="shared" si="39"/>
        <v>0</v>
      </c>
      <c r="F201" s="43">
        <f t="shared" si="39"/>
        <v>0</v>
      </c>
      <c r="G201" s="43">
        <f t="shared" si="39"/>
        <v>0</v>
      </c>
      <c r="H201" s="43">
        <f t="shared" si="39"/>
        <v>0</v>
      </c>
      <c r="I201" s="43">
        <f t="shared" si="39"/>
        <v>0</v>
      </c>
    </row>
    <row r="202" spans="1:9" x14ac:dyDescent="0.2">
      <c r="A202" s="39">
        <f>A201+1</f>
        <v>49</v>
      </c>
      <c r="B202" s="42" t="s">
        <v>160</v>
      </c>
      <c r="C202" s="42"/>
      <c r="D202" s="43">
        <f t="shared" si="39"/>
        <v>0</v>
      </c>
      <c r="E202" s="43">
        <f t="shared" si="39"/>
        <v>0</v>
      </c>
      <c r="F202" s="43">
        <f t="shared" si="39"/>
        <v>0</v>
      </c>
      <c r="G202" s="43">
        <f t="shared" si="39"/>
        <v>0</v>
      </c>
      <c r="H202" s="43">
        <f t="shared" si="39"/>
        <v>0</v>
      </c>
      <c r="I202" s="43">
        <f t="shared" si="39"/>
        <v>0</v>
      </c>
    </row>
    <row r="203" spans="1:9" x14ac:dyDescent="0.2">
      <c r="A203" s="39">
        <f>A202+1</f>
        <v>50</v>
      </c>
      <c r="B203" s="42" t="s">
        <v>161</v>
      </c>
      <c r="C203" s="42"/>
      <c r="D203" s="43">
        <f t="shared" si="39"/>
        <v>0</v>
      </c>
      <c r="E203" s="43">
        <f t="shared" si="39"/>
        <v>0</v>
      </c>
      <c r="F203" s="43">
        <f t="shared" si="39"/>
        <v>0</v>
      </c>
      <c r="G203" s="43">
        <f t="shared" si="39"/>
        <v>0</v>
      </c>
      <c r="H203" s="43">
        <f t="shared" si="39"/>
        <v>0</v>
      </c>
      <c r="I203" s="43">
        <f t="shared" si="39"/>
        <v>0</v>
      </c>
    </row>
    <row r="204" spans="1:9" x14ac:dyDescent="0.2">
      <c r="B204" s="42"/>
      <c r="C204" s="42"/>
      <c r="D204" s="43"/>
      <c r="E204" s="43"/>
      <c r="F204" s="43"/>
      <c r="G204" s="43"/>
      <c r="H204" s="43"/>
      <c r="I204" s="43"/>
    </row>
    <row r="205" spans="1:9" x14ac:dyDescent="0.2">
      <c r="A205" s="39">
        <f>A203+1</f>
        <v>51</v>
      </c>
      <c r="B205" s="42" t="s">
        <v>166</v>
      </c>
      <c r="C205" s="42"/>
      <c r="D205" s="43">
        <f t="shared" ref="D205:I205" si="40">D69-D137</f>
        <v>0</v>
      </c>
      <c r="E205" s="43">
        <f t="shared" si="40"/>
        <v>0</v>
      </c>
      <c r="F205" s="43">
        <f t="shared" si="40"/>
        <v>0</v>
      </c>
      <c r="G205" s="43">
        <f t="shared" si="40"/>
        <v>0</v>
      </c>
      <c r="H205" s="43">
        <f t="shared" si="40"/>
        <v>0</v>
      </c>
      <c r="I205" s="43">
        <f t="shared" si="40"/>
        <v>0</v>
      </c>
    </row>
  </sheetData>
  <phoneticPr fontId="1" type="noConversion"/>
  <printOptions horizontalCentered="1" gridLines="1"/>
  <pageMargins left="0.5" right="0.25" top="1" bottom="0.5" header="0.5" footer="0.25"/>
  <pageSetup scale="75" fitToHeight="3" orientation="portrait" horizontalDpi="300" verticalDpi="300" r:id="rId1"/>
  <headerFooter alignWithMargins="0">
    <oddHeader>&amp;L&amp;"Arial,Bold"DEPT of EDUCATION
Program Finance Div.&amp;C&amp;"Arial,Bold"&amp;A GENERAL EDUCATION
*** NOV 2006 VS. EOS 2006 ***&amp;R&amp;"Arial,Bold"&amp;D
&amp;T</oddHeader>
    <oddFooter>&amp;L&amp;"Arial,Regular"&amp;F&amp;R&amp;"Arial,Regular"&amp;A</oddFooter>
  </headerFooter>
  <rowBreaks count="2" manualBreakCount="2">
    <brk id="70" max="9" man="1"/>
    <brk id="138" max="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205"/>
  <sheetViews>
    <sheetView zoomScaleNormal="100" zoomScaleSheetLayoutView="85" workbookViewId="0">
      <pane xSplit="3" ySplit="4" topLeftCell="D48" activePane="bottomRight" state="frozen"/>
      <selection activeCell="C64" sqref="C64"/>
      <selection pane="topRight" activeCell="C64" sqref="C64"/>
      <selection pane="bottomLeft" activeCell="C64" sqref="C64"/>
      <selection pane="bottomRight" activeCell="H74" sqref="H74"/>
    </sheetView>
  </sheetViews>
  <sheetFormatPr defaultColWidth="8" defaultRowHeight="12.75" x14ac:dyDescent="0.2"/>
  <cols>
    <col min="1" max="1" width="4.125" style="39" customWidth="1"/>
    <col min="2" max="2" width="2.25" style="39" customWidth="1"/>
    <col min="3" max="3" width="28.625" style="39" customWidth="1"/>
    <col min="4" max="9" width="13.625" style="39" customWidth="1"/>
    <col min="10" max="16384" width="8" style="39"/>
  </cols>
  <sheetData>
    <row r="1" spans="1:9" x14ac:dyDescent="0.2">
      <c r="A1" s="42" t="s">
        <v>269</v>
      </c>
    </row>
    <row r="3" spans="1:9" x14ac:dyDescent="0.2">
      <c r="A3" s="107" t="s">
        <v>257</v>
      </c>
      <c r="B3" s="107"/>
      <c r="C3" s="108"/>
      <c r="D3" s="109" t="s">
        <v>176</v>
      </c>
      <c r="E3" s="109" t="s">
        <v>181</v>
      </c>
      <c r="F3" s="109" t="s">
        <v>177</v>
      </c>
      <c r="G3" s="109" t="s">
        <v>178</v>
      </c>
      <c r="H3" s="109" t="s">
        <v>179</v>
      </c>
      <c r="I3" s="109" t="s">
        <v>180</v>
      </c>
    </row>
    <row r="5" spans="1:9" x14ac:dyDescent="0.2">
      <c r="A5" s="39">
        <v>1</v>
      </c>
      <c r="B5" s="39" t="s">
        <v>140</v>
      </c>
      <c r="D5" s="41">
        <f>'Pupil Data'!C38</f>
        <v>933497</v>
      </c>
      <c r="E5" s="41">
        <v>0</v>
      </c>
      <c r="F5" s="41">
        <f>'Pupil Data'!D38</f>
        <v>0</v>
      </c>
      <c r="G5" s="41">
        <f>'Pupil Data'!E38</f>
        <v>19538</v>
      </c>
      <c r="H5" s="41">
        <f>'Pupil Data'!F38</f>
        <v>0</v>
      </c>
      <c r="I5" s="41">
        <f>SUM(D5:H5)</f>
        <v>953035</v>
      </c>
    </row>
    <row r="7" spans="1:9" x14ac:dyDescent="0.2">
      <c r="B7" s="42" t="s">
        <v>155</v>
      </c>
      <c r="D7" s="40"/>
      <c r="E7" s="40"/>
      <c r="F7" s="40"/>
      <c r="G7" s="40"/>
      <c r="H7" s="40"/>
      <c r="I7" s="40"/>
    </row>
    <row r="8" spans="1:9" x14ac:dyDescent="0.2">
      <c r="A8" s="39">
        <f>A5+1</f>
        <v>2</v>
      </c>
      <c r="B8" s="39" t="s">
        <v>141</v>
      </c>
      <c r="D8" s="41">
        <v>4295078866</v>
      </c>
      <c r="E8" s="41">
        <v>0</v>
      </c>
      <c r="F8" s="41">
        <v>0</v>
      </c>
      <c r="G8" s="41">
        <v>89894982</v>
      </c>
      <c r="H8" s="41">
        <v>0</v>
      </c>
      <c r="I8" s="41">
        <f>SUM(D8:H8)</f>
        <v>4384973848</v>
      </c>
    </row>
    <row r="9" spans="1:9" x14ac:dyDescent="0.2">
      <c r="A9" s="39">
        <f>A8+1</f>
        <v>3</v>
      </c>
      <c r="B9" s="42" t="s">
        <v>167</v>
      </c>
      <c r="C9" s="42"/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41">
        <f>SUM(D9:H9)</f>
        <v>0</v>
      </c>
    </row>
    <row r="10" spans="1:9" x14ac:dyDescent="0.2">
      <c r="A10" s="39">
        <f>A9+1</f>
        <v>4</v>
      </c>
      <c r="B10" s="39" t="s">
        <v>142</v>
      </c>
      <c r="D10" s="41">
        <v>51404903</v>
      </c>
      <c r="E10" s="41">
        <v>0</v>
      </c>
      <c r="F10" s="41">
        <v>0</v>
      </c>
      <c r="G10" s="41">
        <v>922454</v>
      </c>
      <c r="H10" s="41">
        <v>0</v>
      </c>
      <c r="I10" s="41">
        <f>SUM(D10:H10)</f>
        <v>52327357</v>
      </c>
    </row>
    <row r="11" spans="1:9" x14ac:dyDescent="0.2">
      <c r="B11" s="42" t="s">
        <v>171</v>
      </c>
      <c r="D11" s="41"/>
      <c r="E11" s="41"/>
      <c r="F11" s="41"/>
      <c r="G11" s="41"/>
      <c r="H11" s="41"/>
      <c r="I11" s="41"/>
    </row>
    <row r="12" spans="1:9" x14ac:dyDescent="0.2">
      <c r="A12" s="39">
        <f>A10+1</f>
        <v>5</v>
      </c>
      <c r="C12" s="39" t="s">
        <v>143</v>
      </c>
      <c r="D12" s="41">
        <v>248059848.92000026</v>
      </c>
      <c r="E12" s="41">
        <v>0</v>
      </c>
      <c r="F12" s="41">
        <v>0</v>
      </c>
      <c r="G12" s="41">
        <v>17014654</v>
      </c>
      <c r="H12" s="41">
        <v>0</v>
      </c>
      <c r="I12" s="41">
        <f t="shared" ref="I12:I22" si="0">SUM(D12:H12)</f>
        <v>265074502.92000026</v>
      </c>
    </row>
    <row r="13" spans="1:9" x14ac:dyDescent="0.2">
      <c r="A13" s="39">
        <f t="shared" ref="A13:A23" si="1">A12+1</f>
        <v>6</v>
      </c>
      <c r="C13" s="39" t="s">
        <v>144</v>
      </c>
      <c r="D13" s="41">
        <v>27623554</v>
      </c>
      <c r="E13" s="41">
        <v>0</v>
      </c>
      <c r="F13" s="41">
        <v>0</v>
      </c>
      <c r="G13" s="41">
        <v>1854167</v>
      </c>
      <c r="H13" s="41">
        <v>0</v>
      </c>
      <c r="I13" s="41">
        <f t="shared" si="0"/>
        <v>29477721</v>
      </c>
    </row>
    <row r="14" spans="1:9" x14ac:dyDescent="0.2">
      <c r="A14" s="39">
        <f t="shared" si="1"/>
        <v>7</v>
      </c>
      <c r="B14" s="42"/>
      <c r="C14" s="42" t="s">
        <v>170</v>
      </c>
      <c r="D14" s="41">
        <v>6850350</v>
      </c>
      <c r="E14" s="41">
        <v>0</v>
      </c>
      <c r="F14" s="41">
        <v>0</v>
      </c>
      <c r="G14" s="41">
        <v>583935</v>
      </c>
      <c r="H14" s="41">
        <v>0</v>
      </c>
      <c r="I14" s="41">
        <f t="shared" si="0"/>
        <v>7434285</v>
      </c>
    </row>
    <row r="15" spans="1:9" x14ac:dyDescent="0.2">
      <c r="A15" s="39">
        <f t="shared" si="1"/>
        <v>8</v>
      </c>
      <c r="B15" s="39" t="s">
        <v>145</v>
      </c>
      <c r="D15" s="41">
        <v>17189203</v>
      </c>
      <c r="E15" s="41">
        <v>0</v>
      </c>
      <c r="F15" s="41">
        <v>0</v>
      </c>
      <c r="G15" s="41">
        <v>359446</v>
      </c>
      <c r="H15" s="41">
        <v>0</v>
      </c>
      <c r="I15" s="41">
        <f t="shared" si="0"/>
        <v>17548649</v>
      </c>
    </row>
    <row r="16" spans="1:9" x14ac:dyDescent="0.2">
      <c r="A16" s="39">
        <f t="shared" si="1"/>
        <v>9</v>
      </c>
      <c r="B16" s="39" t="s">
        <v>146</v>
      </c>
      <c r="D16" s="41">
        <v>55015180</v>
      </c>
      <c r="E16" s="41">
        <v>0</v>
      </c>
      <c r="F16" s="41">
        <v>0</v>
      </c>
      <c r="G16" s="41">
        <v>496015</v>
      </c>
      <c r="H16" s="41">
        <v>0</v>
      </c>
      <c r="I16" s="41">
        <f t="shared" si="0"/>
        <v>55511195</v>
      </c>
    </row>
    <row r="17" spans="1:9" x14ac:dyDescent="0.2">
      <c r="A17" s="39">
        <f t="shared" si="1"/>
        <v>10</v>
      </c>
      <c r="B17" s="39" t="s">
        <v>148</v>
      </c>
      <c r="D17" s="41">
        <v>12612785</v>
      </c>
      <c r="E17" s="41">
        <v>0</v>
      </c>
      <c r="F17" s="41">
        <v>0</v>
      </c>
      <c r="G17" s="41">
        <v>264033</v>
      </c>
      <c r="H17" s="41">
        <v>0</v>
      </c>
      <c r="I17" s="41">
        <f t="shared" si="0"/>
        <v>12876818</v>
      </c>
    </row>
    <row r="18" spans="1:9" x14ac:dyDescent="0.2">
      <c r="A18" s="39">
        <f t="shared" si="1"/>
        <v>11</v>
      </c>
      <c r="B18" s="39" t="s">
        <v>244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f t="shared" si="0"/>
        <v>0</v>
      </c>
    </row>
    <row r="19" spans="1:9" x14ac:dyDescent="0.2">
      <c r="A19" s="39">
        <f t="shared" si="1"/>
        <v>12</v>
      </c>
      <c r="B19" s="39" t="s">
        <v>147</v>
      </c>
      <c r="D19" s="41">
        <v>189726063</v>
      </c>
      <c r="E19" s="41">
        <v>0</v>
      </c>
      <c r="F19" s="41">
        <v>0</v>
      </c>
      <c r="G19" s="41">
        <v>3971018</v>
      </c>
      <c r="H19" s="41">
        <v>0</v>
      </c>
      <c r="I19" s="41">
        <f t="shared" si="0"/>
        <v>193697081</v>
      </c>
    </row>
    <row r="20" spans="1:9" x14ac:dyDescent="0.2">
      <c r="A20" s="39">
        <f t="shared" si="1"/>
        <v>13</v>
      </c>
      <c r="B20" s="39" t="s">
        <v>149</v>
      </c>
      <c r="D20" s="41">
        <v>40875645</v>
      </c>
      <c r="E20" s="41">
        <v>0</v>
      </c>
      <c r="F20" s="41">
        <v>0</v>
      </c>
      <c r="G20" s="41">
        <v>855592</v>
      </c>
      <c r="H20" s="41">
        <v>0</v>
      </c>
      <c r="I20" s="41">
        <f t="shared" si="0"/>
        <v>41731237</v>
      </c>
    </row>
    <row r="21" spans="1:9" x14ac:dyDescent="0.2">
      <c r="A21" s="39">
        <f t="shared" si="1"/>
        <v>14</v>
      </c>
      <c r="B21" s="42" t="s">
        <v>173</v>
      </c>
      <c r="D21" s="41">
        <v>30347062</v>
      </c>
      <c r="E21" s="41">
        <v>0</v>
      </c>
      <c r="F21" s="41">
        <v>0</v>
      </c>
      <c r="G21" s="41">
        <v>979547</v>
      </c>
      <c r="H21" s="41">
        <v>0</v>
      </c>
      <c r="I21" s="41">
        <f t="shared" si="0"/>
        <v>31326609</v>
      </c>
    </row>
    <row r="22" spans="1:9" x14ac:dyDescent="0.2">
      <c r="A22" s="39">
        <f t="shared" si="1"/>
        <v>15</v>
      </c>
      <c r="B22" s="42" t="s">
        <v>168</v>
      </c>
      <c r="C22" s="42"/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f t="shared" si="0"/>
        <v>0</v>
      </c>
    </row>
    <row r="23" spans="1:9" x14ac:dyDescent="0.2">
      <c r="A23" s="39">
        <f t="shared" si="1"/>
        <v>16</v>
      </c>
      <c r="B23" s="39" t="s">
        <v>150</v>
      </c>
      <c r="D23" s="41">
        <v>504721085</v>
      </c>
      <c r="E23" s="41">
        <f>E58</f>
        <v>0</v>
      </c>
      <c r="F23" s="41">
        <v>0</v>
      </c>
      <c r="G23" s="41">
        <v>0</v>
      </c>
      <c r="H23" s="41">
        <v>0</v>
      </c>
      <c r="I23" s="41">
        <f>SUM(D23:H23)</f>
        <v>504721085</v>
      </c>
    </row>
    <row r="24" spans="1:9" x14ac:dyDescent="0.2">
      <c r="B24" s="42" t="s">
        <v>172</v>
      </c>
      <c r="D24" s="41"/>
      <c r="E24" s="41"/>
      <c r="F24" s="41"/>
      <c r="G24" s="41"/>
      <c r="H24" s="41"/>
      <c r="I24" s="41"/>
    </row>
    <row r="25" spans="1:9" x14ac:dyDescent="0.2">
      <c r="A25" s="39">
        <f>A23+1</f>
        <v>17</v>
      </c>
      <c r="B25" s="42"/>
      <c r="C25" s="42" t="s">
        <v>175</v>
      </c>
      <c r="D25" s="41">
        <v>-3408464.94</v>
      </c>
      <c r="E25" s="41">
        <v>0</v>
      </c>
      <c r="F25" s="41">
        <v>0</v>
      </c>
      <c r="G25" s="41">
        <v>2318501</v>
      </c>
      <c r="H25" s="41">
        <v>0</v>
      </c>
      <c r="I25" s="41">
        <f>SUM(D25:H25)</f>
        <v>-1089963.94</v>
      </c>
    </row>
    <row r="26" spans="1:9" x14ac:dyDescent="0.2">
      <c r="A26" s="39">
        <f>A25+1</f>
        <v>18</v>
      </c>
      <c r="B26" s="42"/>
      <c r="C26" s="42" t="s">
        <v>182</v>
      </c>
      <c r="D26" s="41">
        <f>2300872-D28</f>
        <v>1987072</v>
      </c>
      <c r="E26" s="41">
        <v>0</v>
      </c>
      <c r="F26" s="41">
        <v>0</v>
      </c>
      <c r="G26" s="41">
        <v>-1987072</v>
      </c>
      <c r="H26" s="41">
        <v>0</v>
      </c>
      <c r="I26" s="41">
        <f>SUM(D26:H26)</f>
        <v>0</v>
      </c>
    </row>
    <row r="27" spans="1:9" x14ac:dyDescent="0.2">
      <c r="A27" s="39">
        <f>A26+1</f>
        <v>19</v>
      </c>
      <c r="B27" s="42"/>
      <c r="C27" s="42" t="s">
        <v>201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f>SUM(D27:H27)</f>
        <v>0</v>
      </c>
    </row>
    <row r="28" spans="1:9" x14ac:dyDescent="0.2">
      <c r="A28" s="39">
        <f>A27+1</f>
        <v>20</v>
      </c>
      <c r="B28" s="42"/>
      <c r="C28" s="42" t="s">
        <v>183</v>
      </c>
      <c r="D28" s="41">
        <v>313800</v>
      </c>
      <c r="E28" s="41">
        <v>0</v>
      </c>
      <c r="F28" s="41">
        <v>0</v>
      </c>
      <c r="G28" s="41">
        <v>-313800</v>
      </c>
      <c r="H28" s="41">
        <v>0</v>
      </c>
      <c r="I28" s="41">
        <f>SUM(D28:H28)</f>
        <v>0</v>
      </c>
    </row>
    <row r="29" spans="1:9" x14ac:dyDescent="0.2">
      <c r="D29" s="41"/>
      <c r="E29" s="41"/>
      <c r="F29" s="41"/>
      <c r="G29" s="41"/>
      <c r="H29" s="41"/>
      <c r="I29" s="41"/>
    </row>
    <row r="30" spans="1:9" x14ac:dyDescent="0.2">
      <c r="A30" s="39">
        <f>A28+1</f>
        <v>21</v>
      </c>
      <c r="B30" s="42" t="s">
        <v>158</v>
      </c>
      <c r="D30" s="41">
        <f t="shared" ref="D30:I30" si="2">SUM(D8:D28)</f>
        <v>5478396951.9800005</v>
      </c>
      <c r="E30" s="41">
        <f t="shared" si="2"/>
        <v>0</v>
      </c>
      <c r="F30" s="41">
        <f t="shared" si="2"/>
        <v>0</v>
      </c>
      <c r="G30" s="41">
        <f t="shared" si="2"/>
        <v>117213472</v>
      </c>
      <c r="H30" s="41">
        <f>SUM(H8:H28)</f>
        <v>0</v>
      </c>
      <c r="I30" s="41">
        <f t="shared" si="2"/>
        <v>5595610423.9800005</v>
      </c>
    </row>
    <row r="31" spans="1:9" x14ac:dyDescent="0.2">
      <c r="D31" s="41"/>
      <c r="E31" s="41"/>
      <c r="F31" s="41"/>
      <c r="G31" s="41"/>
      <c r="H31" s="41"/>
      <c r="I31" s="41"/>
    </row>
    <row r="32" spans="1:9" x14ac:dyDescent="0.2">
      <c r="B32" s="42" t="s">
        <v>156</v>
      </c>
      <c r="C32" s="42"/>
      <c r="D32" s="41"/>
      <c r="E32" s="41"/>
      <c r="F32" s="41"/>
      <c r="G32" s="41"/>
      <c r="H32" s="41"/>
      <c r="I32" s="41"/>
    </row>
    <row r="33" spans="1:9" x14ac:dyDescent="0.2">
      <c r="A33" s="39">
        <f>A30+1</f>
        <v>22</v>
      </c>
      <c r="B33" s="39" t="s">
        <v>153</v>
      </c>
      <c r="D33" s="41">
        <v>40007254</v>
      </c>
      <c r="E33" s="41">
        <v>0</v>
      </c>
      <c r="F33" s="41">
        <v>0</v>
      </c>
      <c r="G33" s="41">
        <v>0</v>
      </c>
      <c r="H33" s="41">
        <v>0</v>
      </c>
      <c r="I33" s="41">
        <f>SUM(D33:H33)</f>
        <v>40007254</v>
      </c>
    </row>
    <row r="34" spans="1:9" x14ac:dyDescent="0.2">
      <c r="A34" s="39">
        <f>A33+1</f>
        <v>23</v>
      </c>
      <c r="B34" s="39" t="s">
        <v>152</v>
      </c>
      <c r="D34" s="41">
        <v>22380297</v>
      </c>
      <c r="E34" s="41">
        <v>0</v>
      </c>
      <c r="F34" s="41">
        <v>0</v>
      </c>
      <c r="G34" s="41">
        <v>0</v>
      </c>
      <c r="H34" s="41">
        <v>0</v>
      </c>
      <c r="I34" s="41">
        <f>SUM(D34:H34)</f>
        <v>22380297</v>
      </c>
    </row>
    <row r="35" spans="1:9" x14ac:dyDescent="0.2">
      <c r="A35" s="39">
        <f>A34+1</f>
        <v>24</v>
      </c>
      <c r="B35" s="42" t="s">
        <v>174</v>
      </c>
      <c r="D35" s="41">
        <v>18540609</v>
      </c>
      <c r="E35" s="41">
        <v>0</v>
      </c>
      <c r="F35" s="41">
        <v>0</v>
      </c>
      <c r="G35" s="41">
        <v>0</v>
      </c>
      <c r="H35" s="41">
        <v>0</v>
      </c>
      <c r="I35" s="41">
        <f>SUM(D35:H35)</f>
        <v>18540609</v>
      </c>
    </row>
    <row r="36" spans="1:9" x14ac:dyDescent="0.2">
      <c r="A36" s="39">
        <f>A35+1</f>
        <v>25</v>
      </c>
      <c r="B36" s="42" t="s">
        <v>168</v>
      </c>
      <c r="C36" s="42"/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f>SUM(D36:H36)</f>
        <v>0</v>
      </c>
    </row>
    <row r="37" spans="1:9" x14ac:dyDescent="0.2">
      <c r="A37" s="39">
        <f>A36+1</f>
        <v>26</v>
      </c>
      <c r="B37" s="39" t="s">
        <v>154</v>
      </c>
      <c r="D37" s="41">
        <v>379954471</v>
      </c>
      <c r="E37" s="41">
        <v>0</v>
      </c>
      <c r="F37" s="41">
        <v>0</v>
      </c>
      <c r="G37" s="41">
        <v>0</v>
      </c>
      <c r="H37" s="41">
        <v>0</v>
      </c>
      <c r="I37" s="41">
        <f>SUM(D37:H37)</f>
        <v>379954471</v>
      </c>
    </row>
    <row r="38" spans="1:9" x14ac:dyDescent="0.2">
      <c r="D38" s="41"/>
      <c r="E38" s="41"/>
      <c r="F38" s="41"/>
      <c r="G38" s="41"/>
      <c r="H38" s="41"/>
      <c r="I38" s="41"/>
    </row>
    <row r="39" spans="1:9" x14ac:dyDescent="0.2">
      <c r="A39" s="39">
        <f>A37+1</f>
        <v>27</v>
      </c>
      <c r="B39" s="42" t="s">
        <v>159</v>
      </c>
      <c r="C39" s="42"/>
      <c r="D39" s="41">
        <f t="shared" ref="D39:I39" si="3">SUM(D33:D37)</f>
        <v>460882631</v>
      </c>
      <c r="E39" s="41">
        <f t="shared" si="3"/>
        <v>0</v>
      </c>
      <c r="F39" s="41">
        <f t="shared" si="3"/>
        <v>0</v>
      </c>
      <c r="G39" s="41">
        <f t="shared" si="3"/>
        <v>0</v>
      </c>
      <c r="H39" s="41">
        <f t="shared" si="3"/>
        <v>0</v>
      </c>
      <c r="I39" s="41">
        <f t="shared" si="3"/>
        <v>460882631</v>
      </c>
    </row>
    <row r="40" spans="1:9" x14ac:dyDescent="0.2">
      <c r="B40" s="42"/>
      <c r="C40" s="42"/>
      <c r="D40" s="41"/>
      <c r="E40" s="41"/>
      <c r="F40" s="41"/>
      <c r="G40" s="41"/>
      <c r="H40" s="41"/>
      <c r="I40" s="41"/>
    </row>
    <row r="41" spans="1:9" x14ac:dyDescent="0.2">
      <c r="B41" s="42" t="s">
        <v>157</v>
      </c>
      <c r="C41" s="42"/>
      <c r="D41" s="41"/>
      <c r="E41" s="41"/>
      <c r="F41" s="41"/>
      <c r="G41" s="41"/>
      <c r="H41" s="41"/>
      <c r="I41" s="41"/>
    </row>
    <row r="42" spans="1:9" x14ac:dyDescent="0.2">
      <c r="A42" s="39">
        <f>A39+1</f>
        <v>28</v>
      </c>
      <c r="B42" s="39" t="s">
        <v>141</v>
      </c>
      <c r="D42" s="41">
        <f t="shared" ref="D42:H44" si="4">D8</f>
        <v>4295078866</v>
      </c>
      <c r="E42" s="41">
        <f t="shared" si="4"/>
        <v>0</v>
      </c>
      <c r="F42" s="41">
        <f t="shared" si="4"/>
        <v>0</v>
      </c>
      <c r="G42" s="41">
        <f t="shared" si="4"/>
        <v>89894982</v>
      </c>
      <c r="H42" s="41">
        <f t="shared" si="4"/>
        <v>0</v>
      </c>
      <c r="I42" s="41">
        <f>SUM(D42:H42)</f>
        <v>4384973848</v>
      </c>
    </row>
    <row r="43" spans="1:9" x14ac:dyDescent="0.2">
      <c r="A43" s="39">
        <f>A42+1</f>
        <v>29</v>
      </c>
      <c r="B43" s="42" t="s">
        <v>167</v>
      </c>
      <c r="C43" s="42"/>
      <c r="D43" s="41">
        <f t="shared" si="4"/>
        <v>0</v>
      </c>
      <c r="E43" s="41">
        <f t="shared" si="4"/>
        <v>0</v>
      </c>
      <c r="F43" s="41">
        <f t="shared" si="4"/>
        <v>0</v>
      </c>
      <c r="G43" s="41">
        <f t="shared" si="4"/>
        <v>0</v>
      </c>
      <c r="H43" s="41">
        <f t="shared" si="4"/>
        <v>0</v>
      </c>
      <c r="I43" s="41">
        <f>SUM(D43:H43)</f>
        <v>0</v>
      </c>
    </row>
    <row r="44" spans="1:9" x14ac:dyDescent="0.2">
      <c r="A44" s="39">
        <f>A43+1</f>
        <v>30</v>
      </c>
      <c r="B44" s="39" t="s">
        <v>142</v>
      </c>
      <c r="D44" s="41">
        <f t="shared" si="4"/>
        <v>51404903</v>
      </c>
      <c r="E44" s="41">
        <f t="shared" si="4"/>
        <v>0</v>
      </c>
      <c r="F44" s="41">
        <f t="shared" si="4"/>
        <v>0</v>
      </c>
      <c r="G44" s="41">
        <f t="shared" si="4"/>
        <v>922454</v>
      </c>
      <c r="H44" s="41">
        <f t="shared" si="4"/>
        <v>0</v>
      </c>
      <c r="I44" s="41">
        <f>SUM(D44:H44)</f>
        <v>52327357</v>
      </c>
    </row>
    <row r="45" spans="1:9" x14ac:dyDescent="0.2">
      <c r="B45" s="42" t="s">
        <v>171</v>
      </c>
      <c r="D45" s="41"/>
      <c r="E45" s="41"/>
      <c r="F45" s="41"/>
      <c r="G45" s="41"/>
      <c r="H45" s="41"/>
      <c r="I45" s="41"/>
    </row>
    <row r="46" spans="1:9" x14ac:dyDescent="0.2">
      <c r="A46" s="39">
        <f>A44+1</f>
        <v>31</v>
      </c>
      <c r="C46" s="39" t="s">
        <v>143</v>
      </c>
      <c r="D46" s="41">
        <f t="shared" ref="D46:H52" si="5">D12</f>
        <v>248059848.92000026</v>
      </c>
      <c r="E46" s="41">
        <f t="shared" si="5"/>
        <v>0</v>
      </c>
      <c r="F46" s="41">
        <f t="shared" si="5"/>
        <v>0</v>
      </c>
      <c r="G46" s="41">
        <f t="shared" si="5"/>
        <v>17014654</v>
      </c>
      <c r="H46" s="41">
        <f t="shared" si="5"/>
        <v>0</v>
      </c>
      <c r="I46" s="41">
        <f t="shared" ref="I46:I58" si="6">SUM(D46:H46)</f>
        <v>265074502.92000026</v>
      </c>
    </row>
    <row r="47" spans="1:9" x14ac:dyDescent="0.2">
      <c r="A47" s="39">
        <f t="shared" ref="A47:A58" si="7">A46+1</f>
        <v>32</v>
      </c>
      <c r="C47" s="39" t="s">
        <v>144</v>
      </c>
      <c r="D47" s="41">
        <f t="shared" si="5"/>
        <v>27623554</v>
      </c>
      <c r="E47" s="41">
        <f t="shared" si="5"/>
        <v>0</v>
      </c>
      <c r="F47" s="41">
        <f t="shared" si="5"/>
        <v>0</v>
      </c>
      <c r="G47" s="41">
        <f t="shared" si="5"/>
        <v>1854167</v>
      </c>
      <c r="H47" s="41">
        <f t="shared" si="5"/>
        <v>0</v>
      </c>
      <c r="I47" s="41">
        <f t="shared" si="6"/>
        <v>29477721</v>
      </c>
    </row>
    <row r="48" spans="1:9" x14ac:dyDescent="0.2">
      <c r="A48" s="39">
        <f t="shared" si="7"/>
        <v>33</v>
      </c>
      <c r="B48" s="42"/>
      <c r="C48" s="42" t="s">
        <v>170</v>
      </c>
      <c r="D48" s="41">
        <f t="shared" si="5"/>
        <v>6850350</v>
      </c>
      <c r="E48" s="41">
        <f t="shared" si="5"/>
        <v>0</v>
      </c>
      <c r="F48" s="41">
        <f t="shared" si="5"/>
        <v>0</v>
      </c>
      <c r="G48" s="41">
        <f t="shared" si="5"/>
        <v>583935</v>
      </c>
      <c r="H48" s="41">
        <f t="shared" si="5"/>
        <v>0</v>
      </c>
      <c r="I48" s="41">
        <f t="shared" si="6"/>
        <v>7434285</v>
      </c>
    </row>
    <row r="49" spans="1:9" x14ac:dyDescent="0.2">
      <c r="A49" s="39">
        <f t="shared" si="7"/>
        <v>34</v>
      </c>
      <c r="B49" s="39" t="s">
        <v>145</v>
      </c>
      <c r="D49" s="41">
        <f t="shared" si="5"/>
        <v>17189203</v>
      </c>
      <c r="E49" s="41">
        <f t="shared" si="5"/>
        <v>0</v>
      </c>
      <c r="F49" s="41">
        <f t="shared" si="5"/>
        <v>0</v>
      </c>
      <c r="G49" s="41">
        <f t="shared" si="5"/>
        <v>359446</v>
      </c>
      <c r="H49" s="41">
        <f t="shared" si="5"/>
        <v>0</v>
      </c>
      <c r="I49" s="41">
        <f t="shared" si="6"/>
        <v>17548649</v>
      </c>
    </row>
    <row r="50" spans="1:9" x14ac:dyDescent="0.2">
      <c r="A50" s="39">
        <f t="shared" si="7"/>
        <v>35</v>
      </c>
      <c r="B50" s="39" t="s">
        <v>146</v>
      </c>
      <c r="D50" s="41">
        <f t="shared" si="5"/>
        <v>55015180</v>
      </c>
      <c r="E50" s="41">
        <f t="shared" si="5"/>
        <v>0</v>
      </c>
      <c r="F50" s="41">
        <f t="shared" si="5"/>
        <v>0</v>
      </c>
      <c r="G50" s="41">
        <f t="shared" si="5"/>
        <v>496015</v>
      </c>
      <c r="H50" s="41">
        <f t="shared" si="5"/>
        <v>0</v>
      </c>
      <c r="I50" s="41">
        <f t="shared" si="6"/>
        <v>55511195</v>
      </c>
    </row>
    <row r="51" spans="1:9" x14ac:dyDescent="0.2">
      <c r="A51" s="39">
        <f t="shared" si="7"/>
        <v>36</v>
      </c>
      <c r="B51" s="39" t="s">
        <v>148</v>
      </c>
      <c r="D51" s="41">
        <f t="shared" si="5"/>
        <v>12612785</v>
      </c>
      <c r="E51" s="41">
        <f t="shared" si="5"/>
        <v>0</v>
      </c>
      <c r="F51" s="41">
        <f t="shared" si="5"/>
        <v>0</v>
      </c>
      <c r="G51" s="41">
        <f t="shared" si="5"/>
        <v>264033</v>
      </c>
      <c r="H51" s="41">
        <f t="shared" si="5"/>
        <v>0</v>
      </c>
      <c r="I51" s="41">
        <f t="shared" si="6"/>
        <v>12876818</v>
      </c>
    </row>
    <row r="52" spans="1:9" x14ac:dyDescent="0.2">
      <c r="A52" s="39">
        <f t="shared" si="7"/>
        <v>37</v>
      </c>
      <c r="B52" s="39" t="s">
        <v>244</v>
      </c>
      <c r="D52" s="41">
        <f t="shared" si="5"/>
        <v>0</v>
      </c>
      <c r="E52" s="41">
        <f t="shared" si="5"/>
        <v>0</v>
      </c>
      <c r="F52" s="41">
        <f t="shared" si="5"/>
        <v>0</v>
      </c>
      <c r="G52" s="41">
        <f t="shared" si="5"/>
        <v>0</v>
      </c>
      <c r="H52" s="41">
        <f t="shared" si="5"/>
        <v>0</v>
      </c>
      <c r="I52" s="41">
        <f>SUM(D52:H52)</f>
        <v>0</v>
      </c>
    </row>
    <row r="53" spans="1:9" x14ac:dyDescent="0.2">
      <c r="A53" s="39">
        <f t="shared" si="7"/>
        <v>38</v>
      </c>
      <c r="B53" s="39" t="s">
        <v>147</v>
      </c>
      <c r="D53" s="41">
        <f t="shared" ref="D53:H56" si="8">D19-D33</f>
        <v>149718809</v>
      </c>
      <c r="E53" s="41">
        <f t="shared" si="8"/>
        <v>0</v>
      </c>
      <c r="F53" s="41">
        <f t="shared" si="8"/>
        <v>0</v>
      </c>
      <c r="G53" s="41">
        <f t="shared" si="8"/>
        <v>3971018</v>
      </c>
      <c r="H53" s="41">
        <f t="shared" si="8"/>
        <v>0</v>
      </c>
      <c r="I53" s="41">
        <f t="shared" si="6"/>
        <v>153689827</v>
      </c>
    </row>
    <row r="54" spans="1:9" x14ac:dyDescent="0.2">
      <c r="A54" s="39">
        <f t="shared" si="7"/>
        <v>39</v>
      </c>
      <c r="B54" s="39" t="s">
        <v>149</v>
      </c>
      <c r="D54" s="41">
        <f t="shared" si="8"/>
        <v>18495348</v>
      </c>
      <c r="E54" s="41">
        <f t="shared" si="8"/>
        <v>0</v>
      </c>
      <c r="F54" s="41">
        <f t="shared" si="8"/>
        <v>0</v>
      </c>
      <c r="G54" s="41">
        <f t="shared" si="8"/>
        <v>855592</v>
      </c>
      <c r="H54" s="41">
        <f t="shared" si="8"/>
        <v>0</v>
      </c>
      <c r="I54" s="41">
        <f t="shared" si="6"/>
        <v>19350940</v>
      </c>
    </row>
    <row r="55" spans="1:9" x14ac:dyDescent="0.2">
      <c r="A55" s="39">
        <f t="shared" si="7"/>
        <v>40</v>
      </c>
      <c r="B55" s="42" t="s">
        <v>173</v>
      </c>
      <c r="D55" s="41">
        <f t="shared" si="8"/>
        <v>11806453</v>
      </c>
      <c r="E55" s="41">
        <f t="shared" si="8"/>
        <v>0</v>
      </c>
      <c r="F55" s="41">
        <f t="shared" si="8"/>
        <v>0</v>
      </c>
      <c r="G55" s="41">
        <f t="shared" si="8"/>
        <v>979547</v>
      </c>
      <c r="H55" s="41">
        <f t="shared" si="8"/>
        <v>0</v>
      </c>
      <c r="I55" s="41">
        <f t="shared" si="6"/>
        <v>12786000</v>
      </c>
    </row>
    <row r="56" spans="1:9" x14ac:dyDescent="0.2">
      <c r="A56" s="39">
        <f t="shared" si="7"/>
        <v>41</v>
      </c>
      <c r="B56" s="42" t="s">
        <v>168</v>
      </c>
      <c r="C56" s="42"/>
      <c r="D56" s="41">
        <f t="shared" si="8"/>
        <v>0</v>
      </c>
      <c r="E56" s="41">
        <f t="shared" si="8"/>
        <v>0</v>
      </c>
      <c r="F56" s="41">
        <f t="shared" si="8"/>
        <v>0</v>
      </c>
      <c r="G56" s="41">
        <f t="shared" si="8"/>
        <v>0</v>
      </c>
      <c r="H56" s="41">
        <f t="shared" si="8"/>
        <v>0</v>
      </c>
      <c r="I56" s="41">
        <f t="shared" si="6"/>
        <v>0</v>
      </c>
    </row>
    <row r="57" spans="1:9" x14ac:dyDescent="0.2">
      <c r="A57" s="39">
        <f t="shared" si="7"/>
        <v>42</v>
      </c>
      <c r="B57" s="42" t="s">
        <v>163</v>
      </c>
      <c r="C57" s="42"/>
      <c r="D57" s="41">
        <f>D23-D37-D58</f>
        <v>116067762</v>
      </c>
      <c r="E57" s="41">
        <f>E23-E37-E58</f>
        <v>0</v>
      </c>
      <c r="F57" s="41">
        <f>F23-F37-F58</f>
        <v>0</v>
      </c>
      <c r="G57" s="41">
        <f>G23-G37-G58</f>
        <v>0</v>
      </c>
      <c r="H57" s="41">
        <f>H23-H37-H58</f>
        <v>0</v>
      </c>
      <c r="I57" s="41">
        <f t="shared" si="6"/>
        <v>116067762</v>
      </c>
    </row>
    <row r="58" spans="1:9" x14ac:dyDescent="0.2">
      <c r="A58" s="39">
        <f t="shared" si="7"/>
        <v>43</v>
      </c>
      <c r="B58" s="39" t="s">
        <v>151</v>
      </c>
      <c r="D58" s="41">
        <v>8698852</v>
      </c>
      <c r="E58" s="41">
        <v>0</v>
      </c>
      <c r="F58" s="41">
        <v>0</v>
      </c>
      <c r="G58" s="41">
        <v>0</v>
      </c>
      <c r="H58" s="41">
        <v>0</v>
      </c>
      <c r="I58" s="41">
        <f t="shared" si="6"/>
        <v>8698852</v>
      </c>
    </row>
    <row r="59" spans="1:9" x14ac:dyDescent="0.2">
      <c r="B59" s="42" t="s">
        <v>172</v>
      </c>
      <c r="D59" s="41"/>
      <c r="E59" s="41"/>
      <c r="F59" s="41"/>
      <c r="G59" s="41"/>
      <c r="H59" s="41"/>
      <c r="I59" s="41"/>
    </row>
    <row r="60" spans="1:9" x14ac:dyDescent="0.2">
      <c r="A60" s="39">
        <f>A58+1</f>
        <v>44</v>
      </c>
      <c r="B60" s="42"/>
      <c r="C60" s="42" t="s">
        <v>175</v>
      </c>
      <c r="D60" s="41">
        <f t="shared" ref="D60:H63" si="9">D25</f>
        <v>-3408464.94</v>
      </c>
      <c r="E60" s="41">
        <f t="shared" si="9"/>
        <v>0</v>
      </c>
      <c r="F60" s="41">
        <f t="shared" si="9"/>
        <v>0</v>
      </c>
      <c r="G60" s="41">
        <f t="shared" si="9"/>
        <v>2318501</v>
      </c>
      <c r="H60" s="41">
        <f t="shared" si="9"/>
        <v>0</v>
      </c>
      <c r="I60" s="41">
        <f>SUM(D60:H60)</f>
        <v>-1089963.94</v>
      </c>
    </row>
    <row r="61" spans="1:9" x14ac:dyDescent="0.2">
      <c r="A61" s="39">
        <f>A60+1</f>
        <v>45</v>
      </c>
      <c r="B61" s="42"/>
      <c r="C61" s="42" t="s">
        <v>182</v>
      </c>
      <c r="D61" s="41">
        <f t="shared" si="9"/>
        <v>1987072</v>
      </c>
      <c r="E61" s="41">
        <f t="shared" si="9"/>
        <v>0</v>
      </c>
      <c r="F61" s="41">
        <f t="shared" si="9"/>
        <v>0</v>
      </c>
      <c r="G61" s="41">
        <f>G26</f>
        <v>-1987072</v>
      </c>
      <c r="H61" s="41">
        <f t="shared" si="9"/>
        <v>0</v>
      </c>
      <c r="I61" s="41">
        <f>SUM(D61:H61)</f>
        <v>0</v>
      </c>
    </row>
    <row r="62" spans="1:9" x14ac:dyDescent="0.2">
      <c r="A62" s="39">
        <f>A61+1</f>
        <v>46</v>
      </c>
      <c r="B62" s="42"/>
      <c r="C62" s="42" t="s">
        <v>201</v>
      </c>
      <c r="D62" s="41">
        <f t="shared" si="9"/>
        <v>0</v>
      </c>
      <c r="E62" s="41">
        <f t="shared" si="9"/>
        <v>0</v>
      </c>
      <c r="F62" s="41">
        <f t="shared" si="9"/>
        <v>0</v>
      </c>
      <c r="G62" s="41">
        <f t="shared" si="9"/>
        <v>0</v>
      </c>
      <c r="H62" s="41">
        <f t="shared" si="9"/>
        <v>0</v>
      </c>
      <c r="I62" s="41">
        <f>SUM(D62:H62)</f>
        <v>0</v>
      </c>
    </row>
    <row r="63" spans="1:9" x14ac:dyDescent="0.2">
      <c r="A63" s="39">
        <f>A62+1</f>
        <v>47</v>
      </c>
      <c r="B63" s="42"/>
      <c r="C63" s="42" t="s">
        <v>183</v>
      </c>
      <c r="D63" s="41">
        <f t="shared" si="9"/>
        <v>313800</v>
      </c>
      <c r="E63" s="41">
        <f t="shared" si="9"/>
        <v>0</v>
      </c>
      <c r="F63" s="41">
        <f t="shared" si="9"/>
        <v>0</v>
      </c>
      <c r="G63" s="41">
        <f t="shared" si="9"/>
        <v>-313800</v>
      </c>
      <c r="H63" s="41">
        <f t="shared" si="9"/>
        <v>0</v>
      </c>
      <c r="I63" s="41">
        <f>SUM(D63:H63)</f>
        <v>0</v>
      </c>
    </row>
    <row r="64" spans="1:9" x14ac:dyDescent="0.2">
      <c r="D64" s="41"/>
      <c r="E64" s="41"/>
      <c r="F64" s="41"/>
      <c r="G64" s="41"/>
      <c r="H64" s="41"/>
      <c r="I64" s="41"/>
    </row>
    <row r="65" spans="1:9" x14ac:dyDescent="0.2">
      <c r="A65" s="39">
        <f>A63+1</f>
        <v>48</v>
      </c>
      <c r="B65" s="42" t="s">
        <v>184</v>
      </c>
      <c r="C65" s="42"/>
      <c r="D65" s="41">
        <f t="shared" ref="D65:I65" si="10">SUM(D42:D63)</f>
        <v>5017514320.9800005</v>
      </c>
      <c r="E65" s="41">
        <f t="shared" si="10"/>
        <v>0</v>
      </c>
      <c r="F65" s="41">
        <f t="shared" si="10"/>
        <v>0</v>
      </c>
      <c r="G65" s="41">
        <f t="shared" si="10"/>
        <v>117213472</v>
      </c>
      <c r="H65" s="41">
        <f t="shared" si="10"/>
        <v>0</v>
      </c>
      <c r="I65" s="41">
        <f t="shared" si="10"/>
        <v>5134727792.9800005</v>
      </c>
    </row>
    <row r="66" spans="1:9" x14ac:dyDescent="0.2">
      <c r="A66" s="39">
        <f>A65+1</f>
        <v>49</v>
      </c>
      <c r="B66" s="42" t="s">
        <v>160</v>
      </c>
      <c r="C66" s="42"/>
      <c r="D66" s="41">
        <f t="shared" ref="D66:I66" si="11">D65-D58</f>
        <v>5008815468.9800005</v>
      </c>
      <c r="E66" s="41">
        <f t="shared" si="11"/>
        <v>0</v>
      </c>
      <c r="F66" s="41">
        <f t="shared" si="11"/>
        <v>0</v>
      </c>
      <c r="G66" s="41">
        <f t="shared" si="11"/>
        <v>117213472</v>
      </c>
      <c r="H66" s="41">
        <f t="shared" si="11"/>
        <v>0</v>
      </c>
      <c r="I66" s="41">
        <f t="shared" si="11"/>
        <v>5126028940.9800005</v>
      </c>
    </row>
    <row r="67" spans="1:9" x14ac:dyDescent="0.2">
      <c r="A67" s="39">
        <f>A66+1</f>
        <v>50</v>
      </c>
      <c r="B67" s="42" t="s">
        <v>161</v>
      </c>
      <c r="C67" s="42"/>
      <c r="D67" s="41">
        <f t="shared" ref="D67:I67" si="12">D58</f>
        <v>8698852</v>
      </c>
      <c r="E67" s="41">
        <f t="shared" si="12"/>
        <v>0</v>
      </c>
      <c r="F67" s="41">
        <f t="shared" si="12"/>
        <v>0</v>
      </c>
      <c r="G67" s="41">
        <f t="shared" si="12"/>
        <v>0</v>
      </c>
      <c r="H67" s="41">
        <f t="shared" si="12"/>
        <v>0</v>
      </c>
      <c r="I67" s="41">
        <f t="shared" si="12"/>
        <v>8698852</v>
      </c>
    </row>
    <row r="68" spans="1:9" x14ac:dyDescent="0.2">
      <c r="B68" s="42"/>
      <c r="C68" s="42"/>
      <c r="D68" s="41"/>
      <c r="E68" s="41"/>
      <c r="F68" s="41"/>
      <c r="G68" s="41"/>
      <c r="H68" s="41"/>
      <c r="I68" s="41"/>
    </row>
    <row r="69" spans="1:9" x14ac:dyDescent="0.2">
      <c r="A69" s="39">
        <f>A67+1</f>
        <v>51</v>
      </c>
      <c r="B69" s="42" t="s">
        <v>166</v>
      </c>
      <c r="C69" s="42"/>
      <c r="D69" s="41">
        <v>-45775518</v>
      </c>
      <c r="E69" s="41">
        <v>0</v>
      </c>
      <c r="F69" s="41">
        <v>0</v>
      </c>
      <c r="G69" s="41">
        <v>-958149</v>
      </c>
      <c r="H69" s="41">
        <v>0</v>
      </c>
      <c r="I69" s="41">
        <f>SUM(D69:H69)</f>
        <v>-46733667</v>
      </c>
    </row>
    <row r="70" spans="1:9" x14ac:dyDescent="0.2">
      <c r="D70" s="40"/>
      <c r="E70" s="40"/>
      <c r="F70" s="40"/>
      <c r="G70" s="40"/>
      <c r="H70" s="40"/>
      <c r="I70" s="40"/>
    </row>
    <row r="71" spans="1:9" x14ac:dyDescent="0.2">
      <c r="A71" s="107" t="s">
        <v>257</v>
      </c>
      <c r="B71" s="107"/>
      <c r="C71" s="108"/>
      <c r="D71" s="109" t="s">
        <v>176</v>
      </c>
      <c r="E71" s="109" t="s">
        <v>181</v>
      </c>
      <c r="F71" s="109" t="s">
        <v>177</v>
      </c>
      <c r="G71" s="109" t="s">
        <v>178</v>
      </c>
      <c r="H71" s="109" t="s">
        <v>179</v>
      </c>
      <c r="I71" s="109" t="s">
        <v>180</v>
      </c>
    </row>
    <row r="73" spans="1:9" x14ac:dyDescent="0.2">
      <c r="A73" s="39">
        <v>1</v>
      </c>
      <c r="B73" s="39" t="s">
        <v>140</v>
      </c>
      <c r="D73" s="41">
        <f>'Pupil Data'!C199</f>
        <v>933497</v>
      </c>
      <c r="E73" s="41">
        <v>0</v>
      </c>
      <c r="F73" s="41">
        <f>'Pupil Data'!D199</f>
        <v>0</v>
      </c>
      <c r="G73" s="41">
        <f>'Pupil Data'!E199</f>
        <v>19538</v>
      </c>
      <c r="H73" s="41">
        <f>'Pupil Data'!F199</f>
        <v>0</v>
      </c>
      <c r="I73" s="41">
        <f>SUM(D73:H73)</f>
        <v>953035</v>
      </c>
    </row>
    <row r="75" spans="1:9" x14ac:dyDescent="0.2">
      <c r="B75" s="42" t="s">
        <v>155</v>
      </c>
      <c r="D75" s="40"/>
      <c r="E75" s="40"/>
      <c r="F75" s="40"/>
      <c r="G75" s="40"/>
      <c r="H75" s="40"/>
      <c r="I75" s="40"/>
    </row>
    <row r="76" spans="1:9" x14ac:dyDescent="0.2">
      <c r="A76" s="39">
        <f>A73+1</f>
        <v>2</v>
      </c>
      <c r="B76" s="39" t="s">
        <v>141</v>
      </c>
      <c r="D76" s="41">
        <v>4295078866</v>
      </c>
      <c r="E76" s="41">
        <v>0</v>
      </c>
      <c r="F76" s="41">
        <v>0</v>
      </c>
      <c r="G76" s="41">
        <v>89894982</v>
      </c>
      <c r="H76" s="41">
        <v>0</v>
      </c>
      <c r="I76" s="41">
        <f>SUM(D76:H76)</f>
        <v>4384973848</v>
      </c>
    </row>
    <row r="77" spans="1:9" x14ac:dyDescent="0.2">
      <c r="A77" s="39">
        <f>A76+1</f>
        <v>3</v>
      </c>
      <c r="B77" s="42" t="s">
        <v>167</v>
      </c>
      <c r="C77" s="42"/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f>SUM(D77:H77)</f>
        <v>0</v>
      </c>
    </row>
    <row r="78" spans="1:9" x14ac:dyDescent="0.2">
      <c r="A78" s="39">
        <f>A77+1</f>
        <v>4</v>
      </c>
      <c r="B78" s="39" t="s">
        <v>142</v>
      </c>
      <c r="D78" s="41">
        <v>51404903</v>
      </c>
      <c r="E78" s="41">
        <v>0</v>
      </c>
      <c r="F78" s="41">
        <v>0</v>
      </c>
      <c r="G78" s="41">
        <v>922454</v>
      </c>
      <c r="H78" s="41">
        <v>0</v>
      </c>
      <c r="I78" s="41">
        <f>SUM(D78:H78)</f>
        <v>52327357</v>
      </c>
    </row>
    <row r="79" spans="1:9" x14ac:dyDescent="0.2">
      <c r="B79" s="42" t="s">
        <v>171</v>
      </c>
      <c r="D79" s="41"/>
      <c r="E79" s="41"/>
      <c r="F79" s="41"/>
      <c r="G79" s="41"/>
      <c r="H79" s="41"/>
      <c r="I79" s="41"/>
    </row>
    <row r="80" spans="1:9" x14ac:dyDescent="0.2">
      <c r="A80" s="39">
        <f>A78+1</f>
        <v>5</v>
      </c>
      <c r="C80" s="39" t="s">
        <v>143</v>
      </c>
      <c r="D80" s="41">
        <v>248059848.92000026</v>
      </c>
      <c r="E80" s="41">
        <v>0</v>
      </c>
      <c r="F80" s="41">
        <v>0</v>
      </c>
      <c r="G80" s="41">
        <v>17014654</v>
      </c>
      <c r="H80" s="41">
        <v>0</v>
      </c>
      <c r="I80" s="41">
        <f t="shared" ref="I80:I90" si="13">SUM(D80:H80)</f>
        <v>265074502.92000026</v>
      </c>
    </row>
    <row r="81" spans="1:9" x14ac:dyDescent="0.2">
      <c r="A81" s="39">
        <f t="shared" ref="A81:A91" si="14">A80+1</f>
        <v>6</v>
      </c>
      <c r="C81" s="39" t="s">
        <v>144</v>
      </c>
      <c r="D81" s="41">
        <v>27623554</v>
      </c>
      <c r="E81" s="41">
        <v>0</v>
      </c>
      <c r="F81" s="41">
        <v>0</v>
      </c>
      <c r="G81" s="41">
        <v>1854167</v>
      </c>
      <c r="H81" s="41">
        <v>0</v>
      </c>
      <c r="I81" s="41">
        <f t="shared" si="13"/>
        <v>29477721</v>
      </c>
    </row>
    <row r="82" spans="1:9" x14ac:dyDescent="0.2">
      <c r="A82" s="39">
        <f t="shared" si="14"/>
        <v>7</v>
      </c>
      <c r="B82" s="42"/>
      <c r="C82" s="42" t="s">
        <v>170</v>
      </c>
      <c r="D82" s="41">
        <v>6850350</v>
      </c>
      <c r="E82" s="41">
        <v>0</v>
      </c>
      <c r="F82" s="41">
        <v>0</v>
      </c>
      <c r="G82" s="41">
        <v>583935</v>
      </c>
      <c r="H82" s="41">
        <v>0</v>
      </c>
      <c r="I82" s="41">
        <f t="shared" si="13"/>
        <v>7434285</v>
      </c>
    </row>
    <row r="83" spans="1:9" x14ac:dyDescent="0.2">
      <c r="A83" s="39">
        <f t="shared" si="14"/>
        <v>8</v>
      </c>
      <c r="B83" s="39" t="s">
        <v>145</v>
      </c>
      <c r="D83" s="41">
        <v>17189203</v>
      </c>
      <c r="E83" s="41">
        <v>0</v>
      </c>
      <c r="F83" s="41">
        <v>0</v>
      </c>
      <c r="G83" s="41">
        <v>359446</v>
      </c>
      <c r="H83" s="41">
        <v>0</v>
      </c>
      <c r="I83" s="41">
        <f t="shared" si="13"/>
        <v>17548649</v>
      </c>
    </row>
    <row r="84" spans="1:9" x14ac:dyDescent="0.2">
      <c r="A84" s="39">
        <f t="shared" si="14"/>
        <v>9</v>
      </c>
      <c r="B84" s="39" t="s">
        <v>146</v>
      </c>
      <c r="D84" s="41">
        <v>55015180</v>
      </c>
      <c r="E84" s="41">
        <v>0</v>
      </c>
      <c r="F84" s="41">
        <v>0</v>
      </c>
      <c r="G84" s="41">
        <v>496015</v>
      </c>
      <c r="H84" s="41">
        <v>0</v>
      </c>
      <c r="I84" s="41">
        <f t="shared" si="13"/>
        <v>55511195</v>
      </c>
    </row>
    <row r="85" spans="1:9" x14ac:dyDescent="0.2">
      <c r="A85" s="39">
        <f t="shared" si="14"/>
        <v>10</v>
      </c>
      <c r="B85" s="39" t="s">
        <v>148</v>
      </c>
      <c r="D85" s="41">
        <v>12612785</v>
      </c>
      <c r="E85" s="41">
        <v>0</v>
      </c>
      <c r="F85" s="41">
        <v>0</v>
      </c>
      <c r="G85" s="41">
        <v>264033</v>
      </c>
      <c r="H85" s="41">
        <v>0</v>
      </c>
      <c r="I85" s="41">
        <f t="shared" si="13"/>
        <v>12876818</v>
      </c>
    </row>
    <row r="86" spans="1:9" x14ac:dyDescent="0.2">
      <c r="A86" s="39">
        <f t="shared" si="14"/>
        <v>11</v>
      </c>
      <c r="B86" s="39" t="s">
        <v>244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41">
        <f t="shared" si="13"/>
        <v>0</v>
      </c>
    </row>
    <row r="87" spans="1:9" x14ac:dyDescent="0.2">
      <c r="A87" s="39">
        <f t="shared" si="14"/>
        <v>12</v>
      </c>
      <c r="B87" s="39" t="s">
        <v>147</v>
      </c>
      <c r="D87" s="41">
        <v>189726063</v>
      </c>
      <c r="E87" s="41">
        <v>0</v>
      </c>
      <c r="F87" s="41">
        <v>0</v>
      </c>
      <c r="G87" s="41">
        <v>3971018</v>
      </c>
      <c r="H87" s="41">
        <v>0</v>
      </c>
      <c r="I87" s="41">
        <f t="shared" si="13"/>
        <v>193697081</v>
      </c>
    </row>
    <row r="88" spans="1:9" x14ac:dyDescent="0.2">
      <c r="A88" s="39">
        <f t="shared" si="14"/>
        <v>13</v>
      </c>
      <c r="B88" s="39" t="s">
        <v>149</v>
      </c>
      <c r="D88" s="41">
        <v>40875645</v>
      </c>
      <c r="E88" s="41">
        <v>0</v>
      </c>
      <c r="F88" s="41">
        <v>0</v>
      </c>
      <c r="G88" s="41">
        <v>855592</v>
      </c>
      <c r="H88" s="41">
        <v>0</v>
      </c>
      <c r="I88" s="41">
        <f t="shared" si="13"/>
        <v>41731237</v>
      </c>
    </row>
    <row r="89" spans="1:9" x14ac:dyDescent="0.2">
      <c r="A89" s="39">
        <f t="shared" si="14"/>
        <v>14</v>
      </c>
      <c r="B89" s="42" t="s">
        <v>173</v>
      </c>
      <c r="D89" s="41">
        <v>30347062</v>
      </c>
      <c r="E89" s="41">
        <v>0</v>
      </c>
      <c r="F89" s="41">
        <v>0</v>
      </c>
      <c r="G89" s="41">
        <v>979547</v>
      </c>
      <c r="H89" s="41">
        <v>0</v>
      </c>
      <c r="I89" s="41">
        <f t="shared" si="13"/>
        <v>31326609</v>
      </c>
    </row>
    <row r="90" spans="1:9" x14ac:dyDescent="0.2">
      <c r="A90" s="39">
        <f t="shared" si="14"/>
        <v>15</v>
      </c>
      <c r="B90" s="42" t="s">
        <v>168</v>
      </c>
      <c r="C90" s="42"/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f t="shared" si="13"/>
        <v>0</v>
      </c>
    </row>
    <row r="91" spans="1:9" x14ac:dyDescent="0.2">
      <c r="A91" s="39">
        <f t="shared" si="14"/>
        <v>16</v>
      </c>
      <c r="B91" s="39" t="s">
        <v>150</v>
      </c>
      <c r="D91" s="41">
        <v>504721085</v>
      </c>
      <c r="E91" s="41">
        <f>E126</f>
        <v>0</v>
      </c>
      <c r="F91" s="41">
        <v>0</v>
      </c>
      <c r="G91" s="41">
        <v>0</v>
      </c>
      <c r="H91" s="41">
        <v>0</v>
      </c>
      <c r="I91" s="41">
        <f>SUM(D91:H91)</f>
        <v>504721085</v>
      </c>
    </row>
    <row r="92" spans="1:9" x14ac:dyDescent="0.2">
      <c r="B92" s="42" t="s">
        <v>172</v>
      </c>
      <c r="D92" s="41"/>
      <c r="E92" s="41"/>
      <c r="F92" s="41"/>
      <c r="G92" s="41"/>
      <c r="H92" s="41"/>
      <c r="I92" s="41"/>
    </row>
    <row r="93" spans="1:9" x14ac:dyDescent="0.2">
      <c r="A93" s="39">
        <f>A91+1</f>
        <v>17</v>
      </c>
      <c r="B93" s="42"/>
      <c r="C93" s="42" t="s">
        <v>175</v>
      </c>
      <c r="D93" s="41">
        <v>-3408464.94</v>
      </c>
      <c r="E93" s="41">
        <v>0</v>
      </c>
      <c r="F93" s="41">
        <v>0</v>
      </c>
      <c r="G93" s="41">
        <v>2318501</v>
      </c>
      <c r="H93" s="41">
        <v>0</v>
      </c>
      <c r="I93" s="41">
        <f>SUM(D93:H93)</f>
        <v>-1089963.94</v>
      </c>
    </row>
    <row r="94" spans="1:9" x14ac:dyDescent="0.2">
      <c r="A94" s="39">
        <f>A93+1</f>
        <v>18</v>
      </c>
      <c r="B94" s="42"/>
      <c r="C94" s="42" t="s">
        <v>182</v>
      </c>
      <c r="D94" s="41">
        <f>2300872-D96</f>
        <v>1987072</v>
      </c>
      <c r="E94" s="41">
        <v>0</v>
      </c>
      <c r="F94" s="41">
        <v>0</v>
      </c>
      <c r="G94" s="41">
        <v>-1987072</v>
      </c>
      <c r="H94" s="41">
        <v>0</v>
      </c>
      <c r="I94" s="41">
        <f>SUM(D94:H94)</f>
        <v>0</v>
      </c>
    </row>
    <row r="95" spans="1:9" x14ac:dyDescent="0.2">
      <c r="A95" s="39">
        <f>A94+1</f>
        <v>19</v>
      </c>
      <c r="B95" s="42"/>
      <c r="C95" s="42" t="s">
        <v>201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f>SUM(D95:H95)</f>
        <v>0</v>
      </c>
    </row>
    <row r="96" spans="1:9" x14ac:dyDescent="0.2">
      <c r="A96" s="39">
        <f>A95+1</f>
        <v>20</v>
      </c>
      <c r="B96" s="42"/>
      <c r="C96" s="42" t="s">
        <v>183</v>
      </c>
      <c r="D96" s="41">
        <v>313800</v>
      </c>
      <c r="E96" s="41">
        <v>0</v>
      </c>
      <c r="F96" s="41">
        <v>0</v>
      </c>
      <c r="G96" s="41">
        <v>-313800</v>
      </c>
      <c r="H96" s="41">
        <v>0</v>
      </c>
      <c r="I96" s="41">
        <f>SUM(D96:H96)</f>
        <v>0</v>
      </c>
    </row>
    <row r="97" spans="1:9" x14ac:dyDescent="0.2">
      <c r="D97" s="41"/>
      <c r="E97" s="41"/>
      <c r="F97" s="41"/>
      <c r="G97" s="41"/>
      <c r="H97" s="41"/>
      <c r="I97" s="41"/>
    </row>
    <row r="98" spans="1:9" x14ac:dyDescent="0.2">
      <c r="A98" s="39">
        <f>A96+1</f>
        <v>21</v>
      </c>
      <c r="B98" s="42" t="s">
        <v>158</v>
      </c>
      <c r="D98" s="41">
        <f t="shared" ref="D98:I98" si="15">SUM(D76:D96)</f>
        <v>5478396951.9800005</v>
      </c>
      <c r="E98" s="41">
        <f t="shared" si="15"/>
        <v>0</v>
      </c>
      <c r="F98" s="41">
        <f t="shared" si="15"/>
        <v>0</v>
      </c>
      <c r="G98" s="41">
        <f t="shared" si="15"/>
        <v>117213472</v>
      </c>
      <c r="H98" s="41">
        <f t="shared" si="15"/>
        <v>0</v>
      </c>
      <c r="I98" s="41">
        <f t="shared" si="15"/>
        <v>5595610423.9800005</v>
      </c>
    </row>
    <row r="99" spans="1:9" x14ac:dyDescent="0.2">
      <c r="D99" s="41"/>
      <c r="E99" s="41"/>
      <c r="F99" s="41"/>
      <c r="G99" s="41"/>
      <c r="H99" s="41"/>
      <c r="I99" s="41"/>
    </row>
    <row r="100" spans="1:9" x14ac:dyDescent="0.2">
      <c r="B100" s="42" t="s">
        <v>156</v>
      </c>
      <c r="C100" s="42"/>
      <c r="D100" s="41"/>
      <c r="E100" s="41"/>
      <c r="F100" s="41"/>
      <c r="G100" s="41"/>
      <c r="H100" s="41"/>
      <c r="I100" s="41"/>
    </row>
    <row r="101" spans="1:9" x14ac:dyDescent="0.2">
      <c r="A101" s="39">
        <f>A98+1</f>
        <v>22</v>
      </c>
      <c r="B101" s="39" t="s">
        <v>153</v>
      </c>
      <c r="D101" s="41">
        <v>40007254</v>
      </c>
      <c r="E101" s="41">
        <v>0</v>
      </c>
      <c r="F101" s="41">
        <v>0</v>
      </c>
      <c r="G101" s="41">
        <v>0</v>
      </c>
      <c r="H101" s="41">
        <v>0</v>
      </c>
      <c r="I101" s="41">
        <f>SUM(D101:H101)</f>
        <v>40007254</v>
      </c>
    </row>
    <row r="102" spans="1:9" x14ac:dyDescent="0.2">
      <c r="A102" s="39">
        <f>A101+1</f>
        <v>23</v>
      </c>
      <c r="B102" s="39" t="s">
        <v>152</v>
      </c>
      <c r="D102" s="41">
        <v>22380297</v>
      </c>
      <c r="E102" s="41">
        <v>0</v>
      </c>
      <c r="F102" s="41">
        <v>0</v>
      </c>
      <c r="G102" s="41">
        <v>0</v>
      </c>
      <c r="H102" s="41">
        <v>0</v>
      </c>
      <c r="I102" s="41">
        <f>SUM(D102:H102)</f>
        <v>22380297</v>
      </c>
    </row>
    <row r="103" spans="1:9" x14ac:dyDescent="0.2">
      <c r="A103" s="39">
        <f>A102+1</f>
        <v>24</v>
      </c>
      <c r="B103" s="42" t="s">
        <v>174</v>
      </c>
      <c r="D103" s="41">
        <v>18540609</v>
      </c>
      <c r="E103" s="41">
        <v>0</v>
      </c>
      <c r="F103" s="41">
        <v>0</v>
      </c>
      <c r="G103" s="41">
        <v>0</v>
      </c>
      <c r="H103" s="41">
        <v>0</v>
      </c>
      <c r="I103" s="41">
        <f>SUM(D103:H103)</f>
        <v>18540609</v>
      </c>
    </row>
    <row r="104" spans="1:9" x14ac:dyDescent="0.2">
      <c r="A104" s="39">
        <f>A103+1</f>
        <v>25</v>
      </c>
      <c r="B104" s="42" t="s">
        <v>168</v>
      </c>
      <c r="C104" s="42"/>
      <c r="D104" s="41">
        <v>0</v>
      </c>
      <c r="E104" s="41">
        <v>0</v>
      </c>
      <c r="F104" s="41">
        <v>0</v>
      </c>
      <c r="G104" s="41">
        <v>0</v>
      </c>
      <c r="H104" s="41">
        <v>0</v>
      </c>
      <c r="I104" s="41">
        <f>SUM(D104:H104)</f>
        <v>0</v>
      </c>
    </row>
    <row r="105" spans="1:9" x14ac:dyDescent="0.2">
      <c r="A105" s="39">
        <f>A104+1</f>
        <v>26</v>
      </c>
      <c r="B105" s="39" t="s">
        <v>154</v>
      </c>
      <c r="D105" s="41">
        <v>379954471</v>
      </c>
      <c r="E105" s="41">
        <v>0</v>
      </c>
      <c r="F105" s="41">
        <v>0</v>
      </c>
      <c r="G105" s="41">
        <v>0</v>
      </c>
      <c r="H105" s="41">
        <v>0</v>
      </c>
      <c r="I105" s="41">
        <f>SUM(D105:H105)</f>
        <v>379954471</v>
      </c>
    </row>
    <row r="106" spans="1:9" x14ac:dyDescent="0.2">
      <c r="D106" s="41"/>
      <c r="E106" s="41"/>
      <c r="F106" s="41"/>
      <c r="G106" s="41"/>
      <c r="H106" s="41"/>
      <c r="I106" s="41"/>
    </row>
    <row r="107" spans="1:9" x14ac:dyDescent="0.2">
      <c r="A107" s="39">
        <f>A105+1</f>
        <v>27</v>
      </c>
      <c r="B107" s="42" t="s">
        <v>159</v>
      </c>
      <c r="C107" s="42"/>
      <c r="D107" s="41">
        <f t="shared" ref="D107:I107" si="16">SUM(D101:D105)</f>
        <v>460882631</v>
      </c>
      <c r="E107" s="41">
        <f t="shared" si="16"/>
        <v>0</v>
      </c>
      <c r="F107" s="41">
        <f t="shared" si="16"/>
        <v>0</v>
      </c>
      <c r="G107" s="41">
        <f t="shared" si="16"/>
        <v>0</v>
      </c>
      <c r="H107" s="41">
        <f t="shared" si="16"/>
        <v>0</v>
      </c>
      <c r="I107" s="41">
        <f t="shared" si="16"/>
        <v>460882631</v>
      </c>
    </row>
    <row r="108" spans="1:9" x14ac:dyDescent="0.2">
      <c r="B108" s="42"/>
      <c r="C108" s="42"/>
      <c r="D108" s="41"/>
      <c r="E108" s="41"/>
      <c r="F108" s="41"/>
      <c r="G108" s="41"/>
      <c r="H108" s="41"/>
      <c r="I108" s="41"/>
    </row>
    <row r="109" spans="1:9" x14ac:dyDescent="0.2">
      <c r="B109" s="42" t="s">
        <v>157</v>
      </c>
      <c r="C109" s="42"/>
      <c r="D109" s="41"/>
      <c r="E109" s="41"/>
      <c r="F109" s="41"/>
      <c r="G109" s="41"/>
      <c r="H109" s="41"/>
      <c r="I109" s="41"/>
    </row>
    <row r="110" spans="1:9" x14ac:dyDescent="0.2">
      <c r="A110" s="39">
        <f>A107+1</f>
        <v>28</v>
      </c>
      <c r="B110" s="39" t="s">
        <v>141</v>
      </c>
      <c r="D110" s="41">
        <f t="shared" ref="D110:H112" si="17">D76</f>
        <v>4295078866</v>
      </c>
      <c r="E110" s="41">
        <f t="shared" si="17"/>
        <v>0</v>
      </c>
      <c r="F110" s="41">
        <f t="shared" si="17"/>
        <v>0</v>
      </c>
      <c r="G110" s="41">
        <f t="shared" si="17"/>
        <v>89894982</v>
      </c>
      <c r="H110" s="41">
        <f t="shared" si="17"/>
        <v>0</v>
      </c>
      <c r="I110" s="41">
        <f>SUM(D110:H110)</f>
        <v>4384973848</v>
      </c>
    </row>
    <row r="111" spans="1:9" x14ac:dyDescent="0.2">
      <c r="A111" s="39">
        <f>A110+1</f>
        <v>29</v>
      </c>
      <c r="B111" s="42" t="s">
        <v>167</v>
      </c>
      <c r="C111" s="42"/>
      <c r="D111" s="41">
        <f t="shared" si="17"/>
        <v>0</v>
      </c>
      <c r="E111" s="41">
        <f t="shared" si="17"/>
        <v>0</v>
      </c>
      <c r="F111" s="41">
        <f t="shared" si="17"/>
        <v>0</v>
      </c>
      <c r="G111" s="41">
        <f t="shared" si="17"/>
        <v>0</v>
      </c>
      <c r="H111" s="41">
        <f t="shared" si="17"/>
        <v>0</v>
      </c>
      <c r="I111" s="41">
        <f>SUM(D111:H111)</f>
        <v>0</v>
      </c>
    </row>
    <row r="112" spans="1:9" x14ac:dyDescent="0.2">
      <c r="A112" s="39">
        <f>A111+1</f>
        <v>30</v>
      </c>
      <c r="B112" s="39" t="s">
        <v>142</v>
      </c>
      <c r="D112" s="41">
        <f t="shared" si="17"/>
        <v>51404903</v>
      </c>
      <c r="E112" s="41">
        <f t="shared" si="17"/>
        <v>0</v>
      </c>
      <c r="F112" s="41">
        <f t="shared" si="17"/>
        <v>0</v>
      </c>
      <c r="G112" s="41">
        <f t="shared" si="17"/>
        <v>922454</v>
      </c>
      <c r="H112" s="41">
        <f t="shared" si="17"/>
        <v>0</v>
      </c>
      <c r="I112" s="41">
        <f>SUM(D112:H112)</f>
        <v>52327357</v>
      </c>
    </row>
    <row r="113" spans="1:9" x14ac:dyDescent="0.2">
      <c r="B113" s="42" t="s">
        <v>171</v>
      </c>
      <c r="D113" s="41"/>
      <c r="E113" s="41"/>
      <c r="F113" s="41"/>
      <c r="G113" s="41"/>
      <c r="H113" s="41"/>
      <c r="I113" s="41"/>
    </row>
    <row r="114" spans="1:9" x14ac:dyDescent="0.2">
      <c r="A114" s="39">
        <f>A112+1</f>
        <v>31</v>
      </c>
      <c r="C114" s="39" t="s">
        <v>143</v>
      </c>
      <c r="D114" s="41">
        <f t="shared" ref="D114:H120" si="18">D80</f>
        <v>248059848.92000026</v>
      </c>
      <c r="E114" s="41">
        <f t="shared" si="18"/>
        <v>0</v>
      </c>
      <c r="F114" s="41">
        <f t="shared" si="18"/>
        <v>0</v>
      </c>
      <c r="G114" s="41">
        <f t="shared" si="18"/>
        <v>17014654</v>
      </c>
      <c r="H114" s="41">
        <f t="shared" si="18"/>
        <v>0</v>
      </c>
      <c r="I114" s="41">
        <f t="shared" ref="I114:I119" si="19">SUM(D114:H114)</f>
        <v>265074502.92000026</v>
      </c>
    </row>
    <row r="115" spans="1:9" x14ac:dyDescent="0.2">
      <c r="A115" s="39">
        <f t="shared" ref="A115:A126" si="20">A114+1</f>
        <v>32</v>
      </c>
      <c r="C115" s="39" t="s">
        <v>144</v>
      </c>
      <c r="D115" s="41">
        <f t="shared" si="18"/>
        <v>27623554</v>
      </c>
      <c r="E115" s="41">
        <f t="shared" si="18"/>
        <v>0</v>
      </c>
      <c r="F115" s="41">
        <f t="shared" si="18"/>
        <v>0</v>
      </c>
      <c r="G115" s="41">
        <f t="shared" si="18"/>
        <v>1854167</v>
      </c>
      <c r="H115" s="41">
        <f t="shared" si="18"/>
        <v>0</v>
      </c>
      <c r="I115" s="41">
        <f t="shared" si="19"/>
        <v>29477721</v>
      </c>
    </row>
    <row r="116" spans="1:9" x14ac:dyDescent="0.2">
      <c r="A116" s="39">
        <f t="shared" si="20"/>
        <v>33</v>
      </c>
      <c r="B116" s="42"/>
      <c r="C116" s="42" t="s">
        <v>170</v>
      </c>
      <c r="D116" s="41">
        <f t="shared" si="18"/>
        <v>6850350</v>
      </c>
      <c r="E116" s="41">
        <f t="shared" si="18"/>
        <v>0</v>
      </c>
      <c r="F116" s="41">
        <f t="shared" si="18"/>
        <v>0</v>
      </c>
      <c r="G116" s="41">
        <f t="shared" si="18"/>
        <v>583935</v>
      </c>
      <c r="H116" s="41">
        <f t="shared" si="18"/>
        <v>0</v>
      </c>
      <c r="I116" s="41">
        <f t="shared" si="19"/>
        <v>7434285</v>
      </c>
    </row>
    <row r="117" spans="1:9" x14ac:dyDescent="0.2">
      <c r="A117" s="39">
        <f t="shared" si="20"/>
        <v>34</v>
      </c>
      <c r="B117" s="39" t="s">
        <v>145</v>
      </c>
      <c r="D117" s="41">
        <f t="shared" si="18"/>
        <v>17189203</v>
      </c>
      <c r="E117" s="41">
        <f t="shared" si="18"/>
        <v>0</v>
      </c>
      <c r="F117" s="41">
        <f t="shared" si="18"/>
        <v>0</v>
      </c>
      <c r="G117" s="41">
        <f t="shared" si="18"/>
        <v>359446</v>
      </c>
      <c r="H117" s="41">
        <f t="shared" si="18"/>
        <v>0</v>
      </c>
      <c r="I117" s="41">
        <f t="shared" si="19"/>
        <v>17548649</v>
      </c>
    </row>
    <row r="118" spans="1:9" x14ac:dyDescent="0.2">
      <c r="A118" s="39">
        <f t="shared" si="20"/>
        <v>35</v>
      </c>
      <c r="B118" s="39" t="s">
        <v>146</v>
      </c>
      <c r="D118" s="41">
        <f t="shared" si="18"/>
        <v>55015180</v>
      </c>
      <c r="E118" s="41">
        <f t="shared" si="18"/>
        <v>0</v>
      </c>
      <c r="F118" s="41">
        <f t="shared" si="18"/>
        <v>0</v>
      </c>
      <c r="G118" s="41">
        <f t="shared" si="18"/>
        <v>496015</v>
      </c>
      <c r="H118" s="41">
        <f t="shared" si="18"/>
        <v>0</v>
      </c>
      <c r="I118" s="41">
        <f t="shared" si="19"/>
        <v>55511195</v>
      </c>
    </row>
    <row r="119" spans="1:9" x14ac:dyDescent="0.2">
      <c r="A119" s="39">
        <f t="shared" si="20"/>
        <v>36</v>
      </c>
      <c r="B119" s="39" t="s">
        <v>148</v>
      </c>
      <c r="D119" s="41">
        <f t="shared" si="18"/>
        <v>12612785</v>
      </c>
      <c r="E119" s="41">
        <f t="shared" si="18"/>
        <v>0</v>
      </c>
      <c r="F119" s="41">
        <f t="shared" si="18"/>
        <v>0</v>
      </c>
      <c r="G119" s="41">
        <f t="shared" si="18"/>
        <v>264033</v>
      </c>
      <c r="H119" s="41">
        <f t="shared" si="18"/>
        <v>0</v>
      </c>
      <c r="I119" s="41">
        <f t="shared" si="19"/>
        <v>12876818</v>
      </c>
    </row>
    <row r="120" spans="1:9" x14ac:dyDescent="0.2">
      <c r="A120" s="39">
        <f t="shared" si="20"/>
        <v>37</v>
      </c>
      <c r="B120" s="39" t="s">
        <v>244</v>
      </c>
      <c r="D120" s="41">
        <f t="shared" si="18"/>
        <v>0</v>
      </c>
      <c r="E120" s="41">
        <f t="shared" si="18"/>
        <v>0</v>
      </c>
      <c r="F120" s="41">
        <f t="shared" si="18"/>
        <v>0</v>
      </c>
      <c r="G120" s="41">
        <f t="shared" si="18"/>
        <v>0</v>
      </c>
      <c r="H120" s="41">
        <f t="shared" si="18"/>
        <v>0</v>
      </c>
      <c r="I120" s="41">
        <f>SUM(D120:H120)</f>
        <v>0</v>
      </c>
    </row>
    <row r="121" spans="1:9" x14ac:dyDescent="0.2">
      <c r="A121" s="39">
        <f t="shared" si="20"/>
        <v>38</v>
      </c>
      <c r="B121" s="39" t="s">
        <v>147</v>
      </c>
      <c r="D121" s="41">
        <f t="shared" ref="D121:H124" si="21">D87-D101</f>
        <v>149718809</v>
      </c>
      <c r="E121" s="41">
        <f t="shared" si="21"/>
        <v>0</v>
      </c>
      <c r="F121" s="41">
        <f t="shared" si="21"/>
        <v>0</v>
      </c>
      <c r="G121" s="41">
        <f t="shared" si="21"/>
        <v>3971018</v>
      </c>
      <c r="H121" s="41">
        <f t="shared" si="21"/>
        <v>0</v>
      </c>
      <c r="I121" s="41">
        <f t="shared" ref="I121:I126" si="22">SUM(D121:H121)</f>
        <v>153689827</v>
      </c>
    </row>
    <row r="122" spans="1:9" x14ac:dyDescent="0.2">
      <c r="A122" s="39">
        <f t="shared" si="20"/>
        <v>39</v>
      </c>
      <c r="B122" s="39" t="s">
        <v>149</v>
      </c>
      <c r="D122" s="41">
        <f t="shared" si="21"/>
        <v>18495348</v>
      </c>
      <c r="E122" s="41">
        <f t="shared" si="21"/>
        <v>0</v>
      </c>
      <c r="F122" s="41">
        <f t="shared" si="21"/>
        <v>0</v>
      </c>
      <c r="G122" s="41">
        <f t="shared" si="21"/>
        <v>855592</v>
      </c>
      <c r="H122" s="41">
        <f t="shared" si="21"/>
        <v>0</v>
      </c>
      <c r="I122" s="41">
        <f t="shared" si="22"/>
        <v>19350940</v>
      </c>
    </row>
    <row r="123" spans="1:9" x14ac:dyDescent="0.2">
      <c r="A123" s="39">
        <f t="shared" si="20"/>
        <v>40</v>
      </c>
      <c r="B123" s="42" t="s">
        <v>173</v>
      </c>
      <c r="D123" s="41">
        <f t="shared" si="21"/>
        <v>11806453</v>
      </c>
      <c r="E123" s="41">
        <f t="shared" si="21"/>
        <v>0</v>
      </c>
      <c r="F123" s="41">
        <f t="shared" si="21"/>
        <v>0</v>
      </c>
      <c r="G123" s="41">
        <f t="shared" si="21"/>
        <v>979547</v>
      </c>
      <c r="H123" s="41">
        <f t="shared" si="21"/>
        <v>0</v>
      </c>
      <c r="I123" s="41">
        <f t="shared" si="22"/>
        <v>12786000</v>
      </c>
    </row>
    <row r="124" spans="1:9" x14ac:dyDescent="0.2">
      <c r="A124" s="39">
        <f t="shared" si="20"/>
        <v>41</v>
      </c>
      <c r="B124" s="42" t="s">
        <v>168</v>
      </c>
      <c r="C124" s="42"/>
      <c r="D124" s="41">
        <f t="shared" si="21"/>
        <v>0</v>
      </c>
      <c r="E124" s="41">
        <f t="shared" si="21"/>
        <v>0</v>
      </c>
      <c r="F124" s="41">
        <f t="shared" si="21"/>
        <v>0</v>
      </c>
      <c r="G124" s="41">
        <f t="shared" si="21"/>
        <v>0</v>
      </c>
      <c r="H124" s="41">
        <f t="shared" si="21"/>
        <v>0</v>
      </c>
      <c r="I124" s="41">
        <f t="shared" si="22"/>
        <v>0</v>
      </c>
    </row>
    <row r="125" spans="1:9" x14ac:dyDescent="0.2">
      <c r="A125" s="39">
        <f t="shared" si="20"/>
        <v>42</v>
      </c>
      <c r="B125" s="42" t="s">
        <v>163</v>
      </c>
      <c r="C125" s="42"/>
      <c r="D125" s="41">
        <f>D91-D105-D126</f>
        <v>116067762</v>
      </c>
      <c r="E125" s="41">
        <f>E91-E105-E126</f>
        <v>0</v>
      </c>
      <c r="F125" s="41">
        <f>F91-F105-F126</f>
        <v>0</v>
      </c>
      <c r="G125" s="41">
        <f>G91-G105-G126</f>
        <v>0</v>
      </c>
      <c r="H125" s="41">
        <f>H91-H105-H126</f>
        <v>0</v>
      </c>
      <c r="I125" s="41">
        <f t="shared" si="22"/>
        <v>116067762</v>
      </c>
    </row>
    <row r="126" spans="1:9" x14ac:dyDescent="0.2">
      <c r="A126" s="39">
        <f t="shared" si="20"/>
        <v>43</v>
      </c>
      <c r="B126" s="39" t="s">
        <v>151</v>
      </c>
      <c r="D126" s="41">
        <v>8698852</v>
      </c>
      <c r="E126" s="41">
        <v>0</v>
      </c>
      <c r="F126" s="41">
        <v>0</v>
      </c>
      <c r="G126" s="41">
        <v>0</v>
      </c>
      <c r="H126" s="41">
        <v>0</v>
      </c>
      <c r="I126" s="41">
        <f t="shared" si="22"/>
        <v>8698852</v>
      </c>
    </row>
    <row r="127" spans="1:9" x14ac:dyDescent="0.2">
      <c r="B127" s="42" t="s">
        <v>172</v>
      </c>
      <c r="D127" s="41"/>
      <c r="E127" s="41"/>
      <c r="F127" s="41"/>
      <c r="G127" s="41"/>
      <c r="H127" s="41"/>
      <c r="I127" s="41"/>
    </row>
    <row r="128" spans="1:9" x14ac:dyDescent="0.2">
      <c r="A128" s="39">
        <f>A126+1</f>
        <v>44</v>
      </c>
      <c r="B128" s="42"/>
      <c r="C128" s="42" t="s">
        <v>175</v>
      </c>
      <c r="D128" s="41">
        <f t="shared" ref="D128:H131" si="23">D93</f>
        <v>-3408464.94</v>
      </c>
      <c r="E128" s="41">
        <f t="shared" si="23"/>
        <v>0</v>
      </c>
      <c r="F128" s="41">
        <f t="shared" si="23"/>
        <v>0</v>
      </c>
      <c r="G128" s="41">
        <f t="shared" si="23"/>
        <v>2318501</v>
      </c>
      <c r="H128" s="41">
        <f t="shared" si="23"/>
        <v>0</v>
      </c>
      <c r="I128" s="41">
        <f>SUM(D128:H128)</f>
        <v>-1089963.94</v>
      </c>
    </row>
    <row r="129" spans="1:9" x14ac:dyDescent="0.2">
      <c r="A129" s="39">
        <f>A128+1</f>
        <v>45</v>
      </c>
      <c r="B129" s="42"/>
      <c r="C129" s="42" t="s">
        <v>182</v>
      </c>
      <c r="D129" s="41">
        <f t="shared" si="23"/>
        <v>1987072</v>
      </c>
      <c r="E129" s="41">
        <f t="shared" si="23"/>
        <v>0</v>
      </c>
      <c r="F129" s="41">
        <f t="shared" si="23"/>
        <v>0</v>
      </c>
      <c r="G129" s="41">
        <f t="shared" si="23"/>
        <v>-1987072</v>
      </c>
      <c r="H129" s="41">
        <f t="shared" si="23"/>
        <v>0</v>
      </c>
      <c r="I129" s="41">
        <f>SUM(D129:H129)</f>
        <v>0</v>
      </c>
    </row>
    <row r="130" spans="1:9" x14ac:dyDescent="0.2">
      <c r="A130" s="39">
        <f>A129+1</f>
        <v>46</v>
      </c>
      <c r="B130" s="42"/>
      <c r="C130" s="42" t="s">
        <v>201</v>
      </c>
      <c r="D130" s="41">
        <f t="shared" si="23"/>
        <v>0</v>
      </c>
      <c r="E130" s="41">
        <f t="shared" si="23"/>
        <v>0</v>
      </c>
      <c r="F130" s="41">
        <f t="shared" si="23"/>
        <v>0</v>
      </c>
      <c r="G130" s="41">
        <f t="shared" si="23"/>
        <v>0</v>
      </c>
      <c r="H130" s="41">
        <f t="shared" si="23"/>
        <v>0</v>
      </c>
      <c r="I130" s="41">
        <f>SUM(D130:H130)</f>
        <v>0</v>
      </c>
    </row>
    <row r="131" spans="1:9" x14ac:dyDescent="0.2">
      <c r="A131" s="39">
        <f>A130+1</f>
        <v>47</v>
      </c>
      <c r="B131" s="42"/>
      <c r="C131" s="42" t="s">
        <v>183</v>
      </c>
      <c r="D131" s="41">
        <f t="shared" si="23"/>
        <v>313800</v>
      </c>
      <c r="E131" s="41">
        <f t="shared" si="23"/>
        <v>0</v>
      </c>
      <c r="F131" s="41">
        <f t="shared" si="23"/>
        <v>0</v>
      </c>
      <c r="G131" s="41">
        <f t="shared" si="23"/>
        <v>-313800</v>
      </c>
      <c r="H131" s="41">
        <f t="shared" si="23"/>
        <v>0</v>
      </c>
      <c r="I131" s="41">
        <f>SUM(D131:H131)</f>
        <v>0</v>
      </c>
    </row>
    <row r="132" spans="1:9" x14ac:dyDescent="0.2">
      <c r="D132" s="41"/>
      <c r="E132" s="41"/>
      <c r="F132" s="41"/>
      <c r="G132" s="41"/>
      <c r="H132" s="41"/>
      <c r="I132" s="41"/>
    </row>
    <row r="133" spans="1:9" x14ac:dyDescent="0.2">
      <c r="A133" s="39">
        <f>A131+1</f>
        <v>48</v>
      </c>
      <c r="B133" s="42" t="s">
        <v>184</v>
      </c>
      <c r="C133" s="42"/>
      <c r="D133" s="41">
        <f t="shared" ref="D133:I133" si="24">SUM(D110:D131)</f>
        <v>5017514320.9800005</v>
      </c>
      <c r="E133" s="41">
        <f t="shared" si="24"/>
        <v>0</v>
      </c>
      <c r="F133" s="41">
        <f t="shared" si="24"/>
        <v>0</v>
      </c>
      <c r="G133" s="41">
        <f t="shared" si="24"/>
        <v>117213472</v>
      </c>
      <c r="H133" s="41">
        <f t="shared" si="24"/>
        <v>0</v>
      </c>
      <c r="I133" s="41">
        <f t="shared" si="24"/>
        <v>5134727792.9800005</v>
      </c>
    </row>
    <row r="134" spans="1:9" x14ac:dyDescent="0.2">
      <c r="A134" s="39">
        <f>A133+1</f>
        <v>49</v>
      </c>
      <c r="B134" s="42" t="s">
        <v>160</v>
      </c>
      <c r="C134" s="42"/>
      <c r="D134" s="41">
        <f t="shared" ref="D134:I134" si="25">D133-D126</f>
        <v>5008815468.9800005</v>
      </c>
      <c r="E134" s="41">
        <f t="shared" si="25"/>
        <v>0</v>
      </c>
      <c r="F134" s="41">
        <f t="shared" si="25"/>
        <v>0</v>
      </c>
      <c r="G134" s="41">
        <f t="shared" si="25"/>
        <v>117213472</v>
      </c>
      <c r="H134" s="41">
        <f t="shared" si="25"/>
        <v>0</v>
      </c>
      <c r="I134" s="41">
        <f t="shared" si="25"/>
        <v>5126028940.9800005</v>
      </c>
    </row>
    <row r="135" spans="1:9" x14ac:dyDescent="0.2">
      <c r="A135" s="39">
        <f>A134+1</f>
        <v>50</v>
      </c>
      <c r="B135" s="42" t="s">
        <v>161</v>
      </c>
      <c r="C135" s="42"/>
      <c r="D135" s="41">
        <f t="shared" ref="D135:I135" si="26">D126</f>
        <v>8698852</v>
      </c>
      <c r="E135" s="41">
        <f t="shared" si="26"/>
        <v>0</v>
      </c>
      <c r="F135" s="41">
        <f t="shared" si="26"/>
        <v>0</v>
      </c>
      <c r="G135" s="41">
        <f t="shared" si="26"/>
        <v>0</v>
      </c>
      <c r="H135" s="41">
        <f t="shared" si="26"/>
        <v>0</v>
      </c>
      <c r="I135" s="41">
        <f t="shared" si="26"/>
        <v>8698852</v>
      </c>
    </row>
    <row r="136" spans="1:9" x14ac:dyDescent="0.2">
      <c r="B136" s="42"/>
      <c r="C136" s="42"/>
      <c r="D136" s="41"/>
      <c r="E136" s="41"/>
      <c r="F136" s="41"/>
      <c r="G136" s="41"/>
      <c r="H136" s="41"/>
      <c r="I136" s="41"/>
    </row>
    <row r="137" spans="1:9" x14ac:dyDescent="0.2">
      <c r="A137" s="39">
        <f>A135+1</f>
        <v>51</v>
      </c>
      <c r="B137" s="42" t="s">
        <v>166</v>
      </c>
      <c r="C137" s="42"/>
      <c r="D137" s="41">
        <v>-45775518</v>
      </c>
      <c r="E137" s="41">
        <v>0</v>
      </c>
      <c r="F137" s="41">
        <v>0</v>
      </c>
      <c r="G137" s="41">
        <v>-958149</v>
      </c>
      <c r="H137" s="41">
        <v>0</v>
      </c>
      <c r="I137" s="41">
        <f>SUM(D137:H137)</f>
        <v>-46733667</v>
      </c>
    </row>
    <row r="139" spans="1:9" x14ac:dyDescent="0.2">
      <c r="A139" s="107" t="s">
        <v>162</v>
      </c>
      <c r="B139" s="107"/>
      <c r="C139" s="108"/>
      <c r="D139" s="109" t="s">
        <v>176</v>
      </c>
      <c r="E139" s="109" t="s">
        <v>181</v>
      </c>
      <c r="F139" s="109" t="s">
        <v>177</v>
      </c>
      <c r="G139" s="109" t="s">
        <v>178</v>
      </c>
      <c r="H139" s="109" t="s">
        <v>179</v>
      </c>
      <c r="I139" s="109" t="s">
        <v>180</v>
      </c>
    </row>
    <row r="141" spans="1:9" x14ac:dyDescent="0.2">
      <c r="A141" s="39">
        <v>1</v>
      </c>
      <c r="B141" s="39" t="s">
        <v>140</v>
      </c>
      <c r="D141" s="43">
        <f t="shared" ref="D141:I141" si="27">D5-D73</f>
        <v>0</v>
      </c>
      <c r="E141" s="43">
        <f t="shared" si="27"/>
        <v>0</v>
      </c>
      <c r="F141" s="43">
        <f t="shared" si="27"/>
        <v>0</v>
      </c>
      <c r="G141" s="43">
        <f t="shared" si="27"/>
        <v>0</v>
      </c>
      <c r="H141" s="43">
        <f t="shared" si="27"/>
        <v>0</v>
      </c>
      <c r="I141" s="43">
        <f t="shared" si="27"/>
        <v>0</v>
      </c>
    </row>
    <row r="142" spans="1:9" x14ac:dyDescent="0.2">
      <c r="D142" s="43"/>
      <c r="E142" s="43"/>
      <c r="F142" s="43"/>
      <c r="G142" s="43"/>
      <c r="H142" s="43"/>
      <c r="I142" s="43"/>
    </row>
    <row r="143" spans="1:9" x14ac:dyDescent="0.2">
      <c r="B143" s="42" t="s">
        <v>155</v>
      </c>
      <c r="D143" s="40"/>
      <c r="E143" s="40"/>
      <c r="F143" s="40"/>
      <c r="G143" s="40"/>
      <c r="H143" s="40"/>
      <c r="I143" s="40"/>
    </row>
    <row r="144" spans="1:9" x14ac:dyDescent="0.2">
      <c r="A144" s="39">
        <f>A141+1</f>
        <v>2</v>
      </c>
      <c r="B144" s="39" t="s">
        <v>141</v>
      </c>
      <c r="D144" s="43">
        <f t="shared" ref="D144:I146" si="28">D8-D76</f>
        <v>0</v>
      </c>
      <c r="E144" s="43">
        <f t="shared" si="28"/>
        <v>0</v>
      </c>
      <c r="F144" s="43">
        <f t="shared" si="28"/>
        <v>0</v>
      </c>
      <c r="G144" s="43">
        <f t="shared" si="28"/>
        <v>0</v>
      </c>
      <c r="H144" s="43">
        <f t="shared" si="28"/>
        <v>0</v>
      </c>
      <c r="I144" s="43">
        <f t="shared" si="28"/>
        <v>0</v>
      </c>
    </row>
    <row r="145" spans="1:9" x14ac:dyDescent="0.2">
      <c r="A145" s="39">
        <f>A144+1</f>
        <v>3</v>
      </c>
      <c r="B145" s="42" t="s">
        <v>167</v>
      </c>
      <c r="C145" s="42"/>
      <c r="D145" s="43">
        <f t="shared" si="28"/>
        <v>0</v>
      </c>
      <c r="E145" s="43">
        <f t="shared" si="28"/>
        <v>0</v>
      </c>
      <c r="F145" s="43">
        <f t="shared" si="28"/>
        <v>0</v>
      </c>
      <c r="G145" s="43">
        <f t="shared" si="28"/>
        <v>0</v>
      </c>
      <c r="H145" s="43">
        <f t="shared" si="28"/>
        <v>0</v>
      </c>
      <c r="I145" s="43">
        <f t="shared" si="28"/>
        <v>0</v>
      </c>
    </row>
    <row r="146" spans="1:9" x14ac:dyDescent="0.2">
      <c r="A146" s="39">
        <f>A145+1</f>
        <v>4</v>
      </c>
      <c r="B146" s="39" t="s">
        <v>142</v>
      </c>
      <c r="D146" s="43">
        <f t="shared" si="28"/>
        <v>0</v>
      </c>
      <c r="E146" s="43">
        <f t="shared" si="28"/>
        <v>0</v>
      </c>
      <c r="F146" s="43">
        <f t="shared" si="28"/>
        <v>0</v>
      </c>
      <c r="G146" s="43">
        <f t="shared" si="28"/>
        <v>0</v>
      </c>
      <c r="H146" s="43">
        <f t="shared" si="28"/>
        <v>0</v>
      </c>
      <c r="I146" s="43">
        <f t="shared" si="28"/>
        <v>0</v>
      </c>
    </row>
    <row r="147" spans="1:9" x14ac:dyDescent="0.2">
      <c r="B147" s="42" t="s">
        <v>171</v>
      </c>
      <c r="D147" s="43"/>
      <c r="E147" s="43"/>
      <c r="F147" s="43"/>
      <c r="G147" s="43"/>
      <c r="H147" s="43"/>
      <c r="I147" s="43"/>
    </row>
    <row r="148" spans="1:9" x14ac:dyDescent="0.2">
      <c r="A148" s="39">
        <f>A146+1</f>
        <v>5</v>
      </c>
      <c r="C148" s="39" t="s">
        <v>143</v>
      </c>
      <c r="D148" s="43">
        <f t="shared" ref="D148:I159" si="29">D12-D80</f>
        <v>0</v>
      </c>
      <c r="E148" s="43">
        <f t="shared" si="29"/>
        <v>0</v>
      </c>
      <c r="F148" s="43">
        <f t="shared" si="29"/>
        <v>0</v>
      </c>
      <c r="G148" s="43">
        <f t="shared" si="29"/>
        <v>0</v>
      </c>
      <c r="H148" s="43">
        <f t="shared" si="29"/>
        <v>0</v>
      </c>
      <c r="I148" s="43">
        <f t="shared" si="29"/>
        <v>0</v>
      </c>
    </row>
    <row r="149" spans="1:9" x14ac:dyDescent="0.2">
      <c r="A149" s="39">
        <f t="shared" ref="A149:A159" si="30">A148+1</f>
        <v>6</v>
      </c>
      <c r="C149" s="39" t="s">
        <v>144</v>
      </c>
      <c r="D149" s="43">
        <f t="shared" si="29"/>
        <v>0</v>
      </c>
      <c r="E149" s="43">
        <f t="shared" si="29"/>
        <v>0</v>
      </c>
      <c r="F149" s="43">
        <f t="shared" si="29"/>
        <v>0</v>
      </c>
      <c r="G149" s="43">
        <f t="shared" si="29"/>
        <v>0</v>
      </c>
      <c r="H149" s="43">
        <f t="shared" si="29"/>
        <v>0</v>
      </c>
      <c r="I149" s="43">
        <f t="shared" si="29"/>
        <v>0</v>
      </c>
    </row>
    <row r="150" spans="1:9" x14ac:dyDescent="0.2">
      <c r="A150" s="39">
        <f t="shared" si="30"/>
        <v>7</v>
      </c>
      <c r="B150" s="42"/>
      <c r="C150" s="42" t="s">
        <v>170</v>
      </c>
      <c r="D150" s="43">
        <f t="shared" si="29"/>
        <v>0</v>
      </c>
      <c r="E150" s="43">
        <f t="shared" si="29"/>
        <v>0</v>
      </c>
      <c r="F150" s="43">
        <f t="shared" si="29"/>
        <v>0</v>
      </c>
      <c r="G150" s="43">
        <f t="shared" si="29"/>
        <v>0</v>
      </c>
      <c r="H150" s="43">
        <f t="shared" si="29"/>
        <v>0</v>
      </c>
      <c r="I150" s="43">
        <f t="shared" si="29"/>
        <v>0</v>
      </c>
    </row>
    <row r="151" spans="1:9" x14ac:dyDescent="0.2">
      <c r="A151" s="39">
        <f t="shared" si="30"/>
        <v>8</v>
      </c>
      <c r="B151" s="39" t="s">
        <v>145</v>
      </c>
      <c r="D151" s="43">
        <f t="shared" si="29"/>
        <v>0</v>
      </c>
      <c r="E151" s="43">
        <f t="shared" si="29"/>
        <v>0</v>
      </c>
      <c r="F151" s="43">
        <f t="shared" si="29"/>
        <v>0</v>
      </c>
      <c r="G151" s="43">
        <f t="shared" si="29"/>
        <v>0</v>
      </c>
      <c r="H151" s="43">
        <f t="shared" si="29"/>
        <v>0</v>
      </c>
      <c r="I151" s="43">
        <f t="shared" si="29"/>
        <v>0</v>
      </c>
    </row>
    <row r="152" spans="1:9" x14ac:dyDescent="0.2">
      <c r="A152" s="39">
        <f t="shared" si="30"/>
        <v>9</v>
      </c>
      <c r="B152" s="39" t="s">
        <v>146</v>
      </c>
      <c r="D152" s="43">
        <f t="shared" si="29"/>
        <v>0</v>
      </c>
      <c r="E152" s="43">
        <f t="shared" si="29"/>
        <v>0</v>
      </c>
      <c r="F152" s="43">
        <f t="shared" si="29"/>
        <v>0</v>
      </c>
      <c r="G152" s="43">
        <f t="shared" si="29"/>
        <v>0</v>
      </c>
      <c r="H152" s="43">
        <f t="shared" si="29"/>
        <v>0</v>
      </c>
      <c r="I152" s="43">
        <f t="shared" si="29"/>
        <v>0</v>
      </c>
    </row>
    <row r="153" spans="1:9" x14ac:dyDescent="0.2">
      <c r="A153" s="39">
        <f t="shared" si="30"/>
        <v>10</v>
      </c>
      <c r="B153" s="39" t="s">
        <v>148</v>
      </c>
      <c r="D153" s="43">
        <f t="shared" si="29"/>
        <v>0</v>
      </c>
      <c r="E153" s="43">
        <f t="shared" si="29"/>
        <v>0</v>
      </c>
      <c r="F153" s="43">
        <f t="shared" si="29"/>
        <v>0</v>
      </c>
      <c r="G153" s="43">
        <f t="shared" si="29"/>
        <v>0</v>
      </c>
      <c r="H153" s="43">
        <f t="shared" si="29"/>
        <v>0</v>
      </c>
      <c r="I153" s="43">
        <f t="shared" si="29"/>
        <v>0</v>
      </c>
    </row>
    <row r="154" spans="1:9" x14ac:dyDescent="0.2">
      <c r="A154" s="39">
        <f t="shared" si="30"/>
        <v>11</v>
      </c>
      <c r="B154" s="39" t="s">
        <v>244</v>
      </c>
      <c r="D154" s="43">
        <f t="shared" si="29"/>
        <v>0</v>
      </c>
      <c r="E154" s="43">
        <f t="shared" si="29"/>
        <v>0</v>
      </c>
      <c r="F154" s="43">
        <f t="shared" si="29"/>
        <v>0</v>
      </c>
      <c r="G154" s="43">
        <f t="shared" si="29"/>
        <v>0</v>
      </c>
      <c r="H154" s="43">
        <f t="shared" si="29"/>
        <v>0</v>
      </c>
      <c r="I154" s="43">
        <f t="shared" si="29"/>
        <v>0</v>
      </c>
    </row>
    <row r="155" spans="1:9" x14ac:dyDescent="0.2">
      <c r="A155" s="39">
        <f t="shared" si="30"/>
        <v>12</v>
      </c>
      <c r="B155" s="39" t="s">
        <v>147</v>
      </c>
      <c r="D155" s="43">
        <f t="shared" si="29"/>
        <v>0</v>
      </c>
      <c r="E155" s="43">
        <f t="shared" si="29"/>
        <v>0</v>
      </c>
      <c r="F155" s="43">
        <f t="shared" si="29"/>
        <v>0</v>
      </c>
      <c r="G155" s="43">
        <f t="shared" si="29"/>
        <v>0</v>
      </c>
      <c r="H155" s="43">
        <f t="shared" si="29"/>
        <v>0</v>
      </c>
      <c r="I155" s="43">
        <f t="shared" si="29"/>
        <v>0</v>
      </c>
    </row>
    <row r="156" spans="1:9" x14ac:dyDescent="0.2">
      <c r="A156" s="39">
        <f t="shared" si="30"/>
        <v>13</v>
      </c>
      <c r="B156" s="39" t="s">
        <v>149</v>
      </c>
      <c r="D156" s="43">
        <f t="shared" si="29"/>
        <v>0</v>
      </c>
      <c r="E156" s="43">
        <f t="shared" si="29"/>
        <v>0</v>
      </c>
      <c r="F156" s="43">
        <f t="shared" si="29"/>
        <v>0</v>
      </c>
      <c r="G156" s="43">
        <f t="shared" si="29"/>
        <v>0</v>
      </c>
      <c r="H156" s="43">
        <f t="shared" si="29"/>
        <v>0</v>
      </c>
      <c r="I156" s="43">
        <f t="shared" si="29"/>
        <v>0</v>
      </c>
    </row>
    <row r="157" spans="1:9" x14ac:dyDescent="0.2">
      <c r="A157" s="39">
        <f t="shared" si="30"/>
        <v>14</v>
      </c>
      <c r="B157" s="42" t="s">
        <v>173</v>
      </c>
      <c r="D157" s="43">
        <f t="shared" si="29"/>
        <v>0</v>
      </c>
      <c r="E157" s="43">
        <f t="shared" si="29"/>
        <v>0</v>
      </c>
      <c r="F157" s="43">
        <f t="shared" si="29"/>
        <v>0</v>
      </c>
      <c r="G157" s="43">
        <f t="shared" si="29"/>
        <v>0</v>
      </c>
      <c r="H157" s="43">
        <f t="shared" si="29"/>
        <v>0</v>
      </c>
      <c r="I157" s="43">
        <f t="shared" si="29"/>
        <v>0</v>
      </c>
    </row>
    <row r="158" spans="1:9" x14ac:dyDescent="0.2">
      <c r="A158" s="39">
        <f t="shared" si="30"/>
        <v>15</v>
      </c>
      <c r="B158" s="42" t="s">
        <v>168</v>
      </c>
      <c r="C158" s="42"/>
      <c r="D158" s="43">
        <f t="shared" si="29"/>
        <v>0</v>
      </c>
      <c r="E158" s="43">
        <f t="shared" si="29"/>
        <v>0</v>
      </c>
      <c r="F158" s="43">
        <f t="shared" si="29"/>
        <v>0</v>
      </c>
      <c r="G158" s="43">
        <f t="shared" si="29"/>
        <v>0</v>
      </c>
      <c r="H158" s="43">
        <f t="shared" si="29"/>
        <v>0</v>
      </c>
      <c r="I158" s="43">
        <f t="shared" si="29"/>
        <v>0</v>
      </c>
    </row>
    <row r="159" spans="1:9" x14ac:dyDescent="0.2">
      <c r="A159" s="39">
        <f t="shared" si="30"/>
        <v>16</v>
      </c>
      <c r="B159" s="39" t="s">
        <v>150</v>
      </c>
      <c r="D159" s="43">
        <f t="shared" si="29"/>
        <v>0</v>
      </c>
      <c r="E159" s="43">
        <f t="shared" si="29"/>
        <v>0</v>
      </c>
      <c r="F159" s="43">
        <f t="shared" si="29"/>
        <v>0</v>
      </c>
      <c r="G159" s="43">
        <f t="shared" si="29"/>
        <v>0</v>
      </c>
      <c r="H159" s="43">
        <f t="shared" si="29"/>
        <v>0</v>
      </c>
      <c r="I159" s="43">
        <f t="shared" si="29"/>
        <v>0</v>
      </c>
    </row>
    <row r="160" spans="1:9" x14ac:dyDescent="0.2">
      <c r="B160" s="42" t="s">
        <v>172</v>
      </c>
      <c r="D160" s="43"/>
      <c r="E160" s="43"/>
      <c r="F160" s="43"/>
      <c r="G160" s="43"/>
      <c r="H160" s="43"/>
      <c r="I160" s="43"/>
    </row>
    <row r="161" spans="1:9" x14ac:dyDescent="0.2">
      <c r="A161" s="39">
        <f>A159+1</f>
        <v>17</v>
      </c>
      <c r="B161" s="42"/>
      <c r="C161" s="42" t="s">
        <v>175</v>
      </c>
      <c r="D161" s="43">
        <f t="shared" ref="D161:I164" si="31">D25-D93</f>
        <v>0</v>
      </c>
      <c r="E161" s="43">
        <f t="shared" si="31"/>
        <v>0</v>
      </c>
      <c r="F161" s="43">
        <f t="shared" si="31"/>
        <v>0</v>
      </c>
      <c r="G161" s="43">
        <f t="shared" si="31"/>
        <v>0</v>
      </c>
      <c r="H161" s="43">
        <f t="shared" si="31"/>
        <v>0</v>
      </c>
      <c r="I161" s="43">
        <f t="shared" si="31"/>
        <v>0</v>
      </c>
    </row>
    <row r="162" spans="1:9" x14ac:dyDescent="0.2">
      <c r="A162" s="39">
        <f>A161+1</f>
        <v>18</v>
      </c>
      <c r="B162" s="42"/>
      <c r="C162" s="42" t="s">
        <v>182</v>
      </c>
      <c r="D162" s="43">
        <f t="shared" si="31"/>
        <v>0</v>
      </c>
      <c r="E162" s="43">
        <f t="shared" si="31"/>
        <v>0</v>
      </c>
      <c r="F162" s="43">
        <f t="shared" si="31"/>
        <v>0</v>
      </c>
      <c r="G162" s="43">
        <f t="shared" si="31"/>
        <v>0</v>
      </c>
      <c r="H162" s="43">
        <f t="shared" si="31"/>
        <v>0</v>
      </c>
      <c r="I162" s="43">
        <f t="shared" si="31"/>
        <v>0</v>
      </c>
    </row>
    <row r="163" spans="1:9" x14ac:dyDescent="0.2">
      <c r="A163" s="39">
        <f>A162+1</f>
        <v>19</v>
      </c>
      <c r="B163" s="42"/>
      <c r="C163" s="42" t="s">
        <v>201</v>
      </c>
      <c r="D163" s="43">
        <f t="shared" si="31"/>
        <v>0</v>
      </c>
      <c r="E163" s="43">
        <f t="shared" si="31"/>
        <v>0</v>
      </c>
      <c r="F163" s="43">
        <f t="shared" si="31"/>
        <v>0</v>
      </c>
      <c r="G163" s="43">
        <f t="shared" si="31"/>
        <v>0</v>
      </c>
      <c r="H163" s="43">
        <f t="shared" si="31"/>
        <v>0</v>
      </c>
      <c r="I163" s="43">
        <f t="shared" si="31"/>
        <v>0</v>
      </c>
    </row>
    <row r="164" spans="1:9" x14ac:dyDescent="0.2">
      <c r="A164" s="39">
        <f>A163+1</f>
        <v>20</v>
      </c>
      <c r="B164" s="42"/>
      <c r="C164" s="42" t="s">
        <v>183</v>
      </c>
      <c r="D164" s="43">
        <f t="shared" si="31"/>
        <v>0</v>
      </c>
      <c r="E164" s="43">
        <f t="shared" si="31"/>
        <v>0</v>
      </c>
      <c r="F164" s="43">
        <f t="shared" si="31"/>
        <v>0</v>
      </c>
      <c r="G164" s="43">
        <f t="shared" si="31"/>
        <v>0</v>
      </c>
      <c r="H164" s="43">
        <f t="shared" si="31"/>
        <v>0</v>
      </c>
      <c r="I164" s="43">
        <f t="shared" si="31"/>
        <v>0</v>
      </c>
    </row>
    <row r="165" spans="1:9" x14ac:dyDescent="0.2">
      <c r="D165" s="41"/>
      <c r="E165" s="41"/>
      <c r="F165" s="41"/>
      <c r="G165" s="41"/>
      <c r="H165" s="41"/>
      <c r="I165" s="41"/>
    </row>
    <row r="166" spans="1:9" x14ac:dyDescent="0.2">
      <c r="A166" s="39">
        <f>A164+1</f>
        <v>21</v>
      </c>
      <c r="B166" s="42" t="s">
        <v>158</v>
      </c>
      <c r="D166" s="43">
        <f t="shared" ref="D166:I166" si="32">D30-D98</f>
        <v>0</v>
      </c>
      <c r="E166" s="43">
        <f t="shared" si="32"/>
        <v>0</v>
      </c>
      <c r="F166" s="43">
        <f t="shared" si="32"/>
        <v>0</v>
      </c>
      <c r="G166" s="43">
        <f t="shared" si="32"/>
        <v>0</v>
      </c>
      <c r="H166" s="43">
        <f t="shared" si="32"/>
        <v>0</v>
      </c>
      <c r="I166" s="43">
        <f t="shared" si="32"/>
        <v>0</v>
      </c>
    </row>
    <row r="167" spans="1:9" x14ac:dyDescent="0.2">
      <c r="D167" s="41"/>
      <c r="E167" s="41"/>
      <c r="F167" s="41"/>
      <c r="G167" s="41"/>
      <c r="H167" s="41"/>
      <c r="I167" s="41"/>
    </row>
    <row r="168" spans="1:9" x14ac:dyDescent="0.2">
      <c r="B168" s="42" t="s">
        <v>156</v>
      </c>
      <c r="C168" s="42"/>
      <c r="D168" s="41"/>
      <c r="E168" s="41"/>
      <c r="F168" s="41"/>
      <c r="G168" s="41"/>
      <c r="H168" s="41"/>
      <c r="I168" s="41"/>
    </row>
    <row r="169" spans="1:9" x14ac:dyDescent="0.2">
      <c r="A169" s="39">
        <f>A166+1</f>
        <v>22</v>
      </c>
      <c r="B169" s="39" t="s">
        <v>153</v>
      </c>
      <c r="D169" s="43">
        <f t="shared" ref="D169:I173" si="33">D33-D101</f>
        <v>0</v>
      </c>
      <c r="E169" s="43">
        <f t="shared" si="33"/>
        <v>0</v>
      </c>
      <c r="F169" s="43">
        <f t="shared" si="33"/>
        <v>0</v>
      </c>
      <c r="G169" s="43">
        <f t="shared" si="33"/>
        <v>0</v>
      </c>
      <c r="H169" s="43">
        <f t="shared" si="33"/>
        <v>0</v>
      </c>
      <c r="I169" s="43">
        <f t="shared" si="33"/>
        <v>0</v>
      </c>
    </row>
    <row r="170" spans="1:9" x14ac:dyDescent="0.2">
      <c r="A170" s="39">
        <f>A169+1</f>
        <v>23</v>
      </c>
      <c r="B170" s="39" t="s">
        <v>152</v>
      </c>
      <c r="D170" s="43">
        <f t="shared" si="33"/>
        <v>0</v>
      </c>
      <c r="E170" s="43">
        <f t="shared" si="33"/>
        <v>0</v>
      </c>
      <c r="F170" s="43">
        <f t="shared" si="33"/>
        <v>0</v>
      </c>
      <c r="G170" s="43">
        <f t="shared" si="33"/>
        <v>0</v>
      </c>
      <c r="H170" s="43">
        <f t="shared" si="33"/>
        <v>0</v>
      </c>
      <c r="I170" s="43">
        <f t="shared" si="33"/>
        <v>0</v>
      </c>
    </row>
    <row r="171" spans="1:9" x14ac:dyDescent="0.2">
      <c r="A171" s="39">
        <f>A170+1</f>
        <v>24</v>
      </c>
      <c r="B171" s="42" t="s">
        <v>174</v>
      </c>
      <c r="D171" s="43">
        <f t="shared" si="33"/>
        <v>0</v>
      </c>
      <c r="E171" s="43">
        <f t="shared" si="33"/>
        <v>0</v>
      </c>
      <c r="F171" s="43">
        <f t="shared" si="33"/>
        <v>0</v>
      </c>
      <c r="G171" s="43">
        <f t="shared" si="33"/>
        <v>0</v>
      </c>
      <c r="H171" s="43">
        <f t="shared" si="33"/>
        <v>0</v>
      </c>
      <c r="I171" s="43">
        <f t="shared" si="33"/>
        <v>0</v>
      </c>
    </row>
    <row r="172" spans="1:9" x14ac:dyDescent="0.2">
      <c r="A172" s="39">
        <f>A171+1</f>
        <v>25</v>
      </c>
      <c r="B172" s="42" t="s">
        <v>168</v>
      </c>
      <c r="C172" s="42"/>
      <c r="D172" s="43">
        <f t="shared" si="33"/>
        <v>0</v>
      </c>
      <c r="E172" s="43">
        <f t="shared" si="33"/>
        <v>0</v>
      </c>
      <c r="F172" s="43">
        <f t="shared" si="33"/>
        <v>0</v>
      </c>
      <c r="G172" s="43">
        <f t="shared" si="33"/>
        <v>0</v>
      </c>
      <c r="H172" s="43">
        <f t="shared" si="33"/>
        <v>0</v>
      </c>
      <c r="I172" s="43">
        <f t="shared" si="33"/>
        <v>0</v>
      </c>
    </row>
    <row r="173" spans="1:9" x14ac:dyDescent="0.2">
      <c r="A173" s="39">
        <f>A172+1</f>
        <v>26</v>
      </c>
      <c r="B173" s="39" t="s">
        <v>154</v>
      </c>
      <c r="D173" s="43">
        <f t="shared" si="33"/>
        <v>0</v>
      </c>
      <c r="E173" s="43">
        <f t="shared" si="33"/>
        <v>0</v>
      </c>
      <c r="F173" s="43">
        <f t="shared" si="33"/>
        <v>0</v>
      </c>
      <c r="G173" s="43">
        <f t="shared" si="33"/>
        <v>0</v>
      </c>
      <c r="H173" s="43">
        <f t="shared" si="33"/>
        <v>0</v>
      </c>
      <c r="I173" s="43">
        <f t="shared" si="33"/>
        <v>0</v>
      </c>
    </row>
    <row r="174" spans="1:9" x14ac:dyDescent="0.2">
      <c r="D174" s="41"/>
      <c r="E174" s="41"/>
      <c r="F174" s="41"/>
      <c r="G174" s="41"/>
      <c r="H174" s="41"/>
      <c r="I174" s="41"/>
    </row>
    <row r="175" spans="1:9" x14ac:dyDescent="0.2">
      <c r="A175" s="39">
        <f>A173+1</f>
        <v>27</v>
      </c>
      <c r="B175" s="42" t="s">
        <v>159</v>
      </c>
      <c r="C175" s="42"/>
      <c r="D175" s="43">
        <f t="shared" ref="D175:I175" si="34">D39-D107</f>
        <v>0</v>
      </c>
      <c r="E175" s="43">
        <f t="shared" si="34"/>
        <v>0</v>
      </c>
      <c r="F175" s="43">
        <f t="shared" si="34"/>
        <v>0</v>
      </c>
      <c r="G175" s="43">
        <f t="shared" si="34"/>
        <v>0</v>
      </c>
      <c r="H175" s="43">
        <f t="shared" si="34"/>
        <v>0</v>
      </c>
      <c r="I175" s="43">
        <f t="shared" si="34"/>
        <v>0</v>
      </c>
    </row>
    <row r="176" spans="1:9" x14ac:dyDescent="0.2">
      <c r="B176" s="42"/>
      <c r="C176" s="42"/>
      <c r="D176" s="41"/>
      <c r="E176" s="41"/>
      <c r="F176" s="41"/>
      <c r="G176" s="41"/>
      <c r="H176" s="41"/>
      <c r="I176" s="41"/>
    </row>
    <row r="177" spans="1:9" x14ac:dyDescent="0.2">
      <c r="B177" s="42" t="s">
        <v>157</v>
      </c>
      <c r="C177" s="42"/>
      <c r="D177" s="41"/>
      <c r="E177" s="41"/>
      <c r="F177" s="41"/>
      <c r="G177" s="41"/>
      <c r="H177" s="41"/>
      <c r="I177" s="41"/>
    </row>
    <row r="178" spans="1:9" x14ac:dyDescent="0.2">
      <c r="A178" s="39">
        <f>A175+1</f>
        <v>28</v>
      </c>
      <c r="B178" s="39" t="s">
        <v>141</v>
      </c>
      <c r="D178" s="43">
        <f t="shared" ref="D178:I180" si="35">D42-D110</f>
        <v>0</v>
      </c>
      <c r="E178" s="43">
        <f t="shared" si="35"/>
        <v>0</v>
      </c>
      <c r="F178" s="43">
        <f t="shared" si="35"/>
        <v>0</v>
      </c>
      <c r="G178" s="43">
        <f t="shared" si="35"/>
        <v>0</v>
      </c>
      <c r="H178" s="43">
        <f t="shared" si="35"/>
        <v>0</v>
      </c>
      <c r="I178" s="43">
        <f t="shared" si="35"/>
        <v>0</v>
      </c>
    </row>
    <row r="179" spans="1:9" x14ac:dyDescent="0.2">
      <c r="A179" s="39">
        <f>A178+1</f>
        <v>29</v>
      </c>
      <c r="B179" s="42" t="s">
        <v>167</v>
      </c>
      <c r="C179" s="42"/>
      <c r="D179" s="43">
        <f t="shared" si="35"/>
        <v>0</v>
      </c>
      <c r="E179" s="43">
        <f t="shared" si="35"/>
        <v>0</v>
      </c>
      <c r="F179" s="43">
        <f t="shared" si="35"/>
        <v>0</v>
      </c>
      <c r="G179" s="43">
        <f t="shared" si="35"/>
        <v>0</v>
      </c>
      <c r="H179" s="43">
        <f t="shared" si="35"/>
        <v>0</v>
      </c>
      <c r="I179" s="43">
        <f t="shared" si="35"/>
        <v>0</v>
      </c>
    </row>
    <row r="180" spans="1:9" x14ac:dyDescent="0.2">
      <c r="A180" s="39">
        <f>A179+1</f>
        <v>30</v>
      </c>
      <c r="B180" s="39" t="s">
        <v>142</v>
      </c>
      <c r="D180" s="43">
        <f t="shared" si="35"/>
        <v>0</v>
      </c>
      <c r="E180" s="43">
        <f t="shared" si="35"/>
        <v>0</v>
      </c>
      <c r="F180" s="43">
        <f t="shared" si="35"/>
        <v>0</v>
      </c>
      <c r="G180" s="43">
        <f t="shared" si="35"/>
        <v>0</v>
      </c>
      <c r="H180" s="43">
        <f t="shared" si="35"/>
        <v>0</v>
      </c>
      <c r="I180" s="43">
        <f t="shared" si="35"/>
        <v>0</v>
      </c>
    </row>
    <row r="181" spans="1:9" x14ac:dyDescent="0.2">
      <c r="B181" s="42" t="s">
        <v>171</v>
      </c>
      <c r="D181" s="43"/>
      <c r="E181" s="43"/>
      <c r="F181" s="43"/>
      <c r="G181" s="43"/>
      <c r="H181" s="43"/>
      <c r="I181" s="43"/>
    </row>
    <row r="182" spans="1:9" x14ac:dyDescent="0.2">
      <c r="A182" s="39">
        <f>A180+1</f>
        <v>31</v>
      </c>
      <c r="C182" s="39" t="s">
        <v>143</v>
      </c>
      <c r="D182" s="43">
        <f t="shared" ref="D182:I194" si="36">D46-D114</f>
        <v>0</v>
      </c>
      <c r="E182" s="43">
        <f t="shared" si="36"/>
        <v>0</v>
      </c>
      <c r="F182" s="43">
        <f t="shared" si="36"/>
        <v>0</v>
      </c>
      <c r="G182" s="43">
        <f t="shared" si="36"/>
        <v>0</v>
      </c>
      <c r="H182" s="43">
        <f t="shared" si="36"/>
        <v>0</v>
      </c>
      <c r="I182" s="43">
        <f t="shared" si="36"/>
        <v>0</v>
      </c>
    </row>
    <row r="183" spans="1:9" x14ac:dyDescent="0.2">
      <c r="A183" s="39">
        <f t="shared" ref="A183:A194" si="37">A182+1</f>
        <v>32</v>
      </c>
      <c r="C183" s="39" t="s">
        <v>144</v>
      </c>
      <c r="D183" s="43">
        <f t="shared" si="36"/>
        <v>0</v>
      </c>
      <c r="E183" s="43">
        <f t="shared" si="36"/>
        <v>0</v>
      </c>
      <c r="F183" s="43">
        <f t="shared" si="36"/>
        <v>0</v>
      </c>
      <c r="G183" s="43">
        <f t="shared" si="36"/>
        <v>0</v>
      </c>
      <c r="H183" s="43">
        <f t="shared" si="36"/>
        <v>0</v>
      </c>
      <c r="I183" s="43">
        <f t="shared" si="36"/>
        <v>0</v>
      </c>
    </row>
    <row r="184" spans="1:9" x14ac:dyDescent="0.2">
      <c r="A184" s="39">
        <f t="shared" si="37"/>
        <v>33</v>
      </c>
      <c r="B184" s="42"/>
      <c r="C184" s="42" t="s">
        <v>170</v>
      </c>
      <c r="D184" s="43">
        <f t="shared" si="36"/>
        <v>0</v>
      </c>
      <c r="E184" s="43">
        <f t="shared" si="36"/>
        <v>0</v>
      </c>
      <c r="F184" s="43">
        <f t="shared" si="36"/>
        <v>0</v>
      </c>
      <c r="G184" s="43">
        <f t="shared" si="36"/>
        <v>0</v>
      </c>
      <c r="H184" s="43">
        <f t="shared" si="36"/>
        <v>0</v>
      </c>
      <c r="I184" s="43">
        <f t="shared" si="36"/>
        <v>0</v>
      </c>
    </row>
    <row r="185" spans="1:9" x14ac:dyDescent="0.2">
      <c r="A185" s="39">
        <f t="shared" si="37"/>
        <v>34</v>
      </c>
      <c r="B185" s="39" t="s">
        <v>145</v>
      </c>
      <c r="D185" s="43">
        <f t="shared" si="36"/>
        <v>0</v>
      </c>
      <c r="E185" s="43">
        <f t="shared" si="36"/>
        <v>0</v>
      </c>
      <c r="F185" s="43">
        <f t="shared" si="36"/>
        <v>0</v>
      </c>
      <c r="G185" s="43">
        <f t="shared" si="36"/>
        <v>0</v>
      </c>
      <c r="H185" s="43">
        <f t="shared" si="36"/>
        <v>0</v>
      </c>
      <c r="I185" s="43">
        <f t="shared" si="36"/>
        <v>0</v>
      </c>
    </row>
    <row r="186" spans="1:9" x14ac:dyDescent="0.2">
      <c r="A186" s="39">
        <f t="shared" si="37"/>
        <v>35</v>
      </c>
      <c r="B186" s="39" t="s">
        <v>146</v>
      </c>
      <c r="D186" s="43">
        <f t="shared" si="36"/>
        <v>0</v>
      </c>
      <c r="E186" s="43">
        <f t="shared" si="36"/>
        <v>0</v>
      </c>
      <c r="F186" s="43">
        <f t="shared" si="36"/>
        <v>0</v>
      </c>
      <c r="G186" s="43">
        <f t="shared" si="36"/>
        <v>0</v>
      </c>
      <c r="H186" s="43">
        <f t="shared" si="36"/>
        <v>0</v>
      </c>
      <c r="I186" s="43">
        <f t="shared" si="36"/>
        <v>0</v>
      </c>
    </row>
    <row r="187" spans="1:9" x14ac:dyDescent="0.2">
      <c r="A187" s="39">
        <f t="shared" si="37"/>
        <v>36</v>
      </c>
      <c r="B187" s="39" t="s">
        <v>148</v>
      </c>
      <c r="D187" s="43">
        <f t="shared" si="36"/>
        <v>0</v>
      </c>
      <c r="E187" s="43">
        <f t="shared" si="36"/>
        <v>0</v>
      </c>
      <c r="F187" s="43">
        <f t="shared" si="36"/>
        <v>0</v>
      </c>
      <c r="G187" s="43">
        <f t="shared" si="36"/>
        <v>0</v>
      </c>
      <c r="H187" s="43">
        <f t="shared" si="36"/>
        <v>0</v>
      </c>
      <c r="I187" s="43">
        <f t="shared" si="36"/>
        <v>0</v>
      </c>
    </row>
    <row r="188" spans="1:9" x14ac:dyDescent="0.2">
      <c r="A188" s="39">
        <f t="shared" si="37"/>
        <v>37</v>
      </c>
      <c r="B188" s="39" t="s">
        <v>244</v>
      </c>
      <c r="D188" s="43">
        <f t="shared" si="36"/>
        <v>0</v>
      </c>
      <c r="E188" s="43">
        <f t="shared" si="36"/>
        <v>0</v>
      </c>
      <c r="F188" s="43">
        <f t="shared" si="36"/>
        <v>0</v>
      </c>
      <c r="G188" s="43">
        <f t="shared" si="36"/>
        <v>0</v>
      </c>
      <c r="H188" s="43">
        <f t="shared" si="36"/>
        <v>0</v>
      </c>
      <c r="I188" s="43">
        <f t="shared" si="36"/>
        <v>0</v>
      </c>
    </row>
    <row r="189" spans="1:9" x14ac:dyDescent="0.2">
      <c r="A189" s="39">
        <f t="shared" si="37"/>
        <v>38</v>
      </c>
      <c r="B189" s="39" t="s">
        <v>147</v>
      </c>
      <c r="D189" s="43">
        <f t="shared" si="36"/>
        <v>0</v>
      </c>
      <c r="E189" s="43">
        <f t="shared" si="36"/>
        <v>0</v>
      </c>
      <c r="F189" s="43">
        <f t="shared" si="36"/>
        <v>0</v>
      </c>
      <c r="G189" s="43">
        <f t="shared" si="36"/>
        <v>0</v>
      </c>
      <c r="H189" s="43">
        <f t="shared" si="36"/>
        <v>0</v>
      </c>
      <c r="I189" s="43">
        <f t="shared" si="36"/>
        <v>0</v>
      </c>
    </row>
    <row r="190" spans="1:9" x14ac:dyDescent="0.2">
      <c r="A190" s="39">
        <f t="shared" si="37"/>
        <v>39</v>
      </c>
      <c r="B190" s="39" t="s">
        <v>149</v>
      </c>
      <c r="D190" s="43">
        <f t="shared" si="36"/>
        <v>0</v>
      </c>
      <c r="E190" s="43">
        <f t="shared" si="36"/>
        <v>0</v>
      </c>
      <c r="F190" s="43">
        <f t="shared" si="36"/>
        <v>0</v>
      </c>
      <c r="G190" s="43">
        <f t="shared" si="36"/>
        <v>0</v>
      </c>
      <c r="H190" s="43">
        <f t="shared" si="36"/>
        <v>0</v>
      </c>
      <c r="I190" s="43">
        <f t="shared" si="36"/>
        <v>0</v>
      </c>
    </row>
    <row r="191" spans="1:9" x14ac:dyDescent="0.2">
      <c r="A191" s="39">
        <f t="shared" si="37"/>
        <v>40</v>
      </c>
      <c r="B191" s="42" t="s">
        <v>173</v>
      </c>
      <c r="D191" s="43">
        <f t="shared" si="36"/>
        <v>0</v>
      </c>
      <c r="E191" s="43">
        <f t="shared" si="36"/>
        <v>0</v>
      </c>
      <c r="F191" s="43">
        <f t="shared" si="36"/>
        <v>0</v>
      </c>
      <c r="G191" s="43">
        <f t="shared" si="36"/>
        <v>0</v>
      </c>
      <c r="H191" s="43">
        <f t="shared" si="36"/>
        <v>0</v>
      </c>
      <c r="I191" s="43">
        <f t="shared" si="36"/>
        <v>0</v>
      </c>
    </row>
    <row r="192" spans="1:9" x14ac:dyDescent="0.2">
      <c r="A192" s="39">
        <f t="shared" si="37"/>
        <v>41</v>
      </c>
      <c r="B192" s="42" t="s">
        <v>168</v>
      </c>
      <c r="C192" s="42"/>
      <c r="D192" s="43">
        <f t="shared" si="36"/>
        <v>0</v>
      </c>
      <c r="E192" s="43">
        <f t="shared" si="36"/>
        <v>0</v>
      </c>
      <c r="F192" s="43">
        <f t="shared" si="36"/>
        <v>0</v>
      </c>
      <c r="G192" s="43">
        <f t="shared" si="36"/>
        <v>0</v>
      </c>
      <c r="H192" s="43">
        <f t="shared" si="36"/>
        <v>0</v>
      </c>
      <c r="I192" s="43">
        <f t="shared" si="36"/>
        <v>0</v>
      </c>
    </row>
    <row r="193" spans="1:9" x14ac:dyDescent="0.2">
      <c r="A193" s="39">
        <f t="shared" si="37"/>
        <v>42</v>
      </c>
      <c r="B193" s="42" t="s">
        <v>163</v>
      </c>
      <c r="C193" s="42"/>
      <c r="D193" s="43">
        <f t="shared" si="36"/>
        <v>0</v>
      </c>
      <c r="E193" s="43">
        <f t="shared" si="36"/>
        <v>0</v>
      </c>
      <c r="F193" s="43">
        <f t="shared" si="36"/>
        <v>0</v>
      </c>
      <c r="G193" s="43">
        <f t="shared" si="36"/>
        <v>0</v>
      </c>
      <c r="H193" s="43">
        <f t="shared" si="36"/>
        <v>0</v>
      </c>
      <c r="I193" s="43">
        <f t="shared" si="36"/>
        <v>0</v>
      </c>
    </row>
    <row r="194" spans="1:9" x14ac:dyDescent="0.2">
      <c r="A194" s="39">
        <f t="shared" si="37"/>
        <v>43</v>
      </c>
      <c r="B194" s="39" t="s">
        <v>151</v>
      </c>
      <c r="D194" s="43">
        <f t="shared" si="36"/>
        <v>0</v>
      </c>
      <c r="E194" s="43">
        <f t="shared" si="36"/>
        <v>0</v>
      </c>
      <c r="F194" s="43">
        <f t="shared" si="36"/>
        <v>0</v>
      </c>
      <c r="G194" s="43">
        <f t="shared" si="36"/>
        <v>0</v>
      </c>
      <c r="H194" s="43">
        <f t="shared" si="36"/>
        <v>0</v>
      </c>
      <c r="I194" s="43">
        <f t="shared" si="36"/>
        <v>0</v>
      </c>
    </row>
    <row r="195" spans="1:9" x14ac:dyDescent="0.2">
      <c r="B195" s="42" t="s">
        <v>172</v>
      </c>
      <c r="D195" s="43"/>
      <c r="E195" s="43"/>
      <c r="F195" s="43"/>
      <c r="G195" s="43"/>
      <c r="H195" s="43"/>
      <c r="I195" s="43"/>
    </row>
    <row r="196" spans="1:9" x14ac:dyDescent="0.2">
      <c r="A196" s="39">
        <f>A194+1</f>
        <v>44</v>
      </c>
      <c r="B196" s="42"/>
      <c r="C196" s="42" t="s">
        <v>175</v>
      </c>
      <c r="D196" s="43">
        <f t="shared" ref="D196:I199" si="38">D60-D128</f>
        <v>0</v>
      </c>
      <c r="E196" s="43">
        <f t="shared" si="38"/>
        <v>0</v>
      </c>
      <c r="F196" s="43">
        <f t="shared" si="38"/>
        <v>0</v>
      </c>
      <c r="G196" s="43">
        <f t="shared" si="38"/>
        <v>0</v>
      </c>
      <c r="H196" s="43">
        <f t="shared" si="38"/>
        <v>0</v>
      </c>
      <c r="I196" s="43">
        <f t="shared" si="38"/>
        <v>0</v>
      </c>
    </row>
    <row r="197" spans="1:9" x14ac:dyDescent="0.2">
      <c r="A197" s="39">
        <f>A196+1</f>
        <v>45</v>
      </c>
      <c r="B197" s="42"/>
      <c r="C197" s="42" t="s">
        <v>182</v>
      </c>
      <c r="D197" s="43">
        <f t="shared" si="38"/>
        <v>0</v>
      </c>
      <c r="E197" s="43">
        <f t="shared" si="38"/>
        <v>0</v>
      </c>
      <c r="F197" s="43">
        <f t="shared" si="38"/>
        <v>0</v>
      </c>
      <c r="G197" s="43">
        <f t="shared" si="38"/>
        <v>0</v>
      </c>
      <c r="H197" s="43">
        <f t="shared" si="38"/>
        <v>0</v>
      </c>
      <c r="I197" s="43">
        <f t="shared" si="38"/>
        <v>0</v>
      </c>
    </row>
    <row r="198" spans="1:9" x14ac:dyDescent="0.2">
      <c r="A198" s="39">
        <f>A197+1</f>
        <v>46</v>
      </c>
      <c r="B198" s="42"/>
      <c r="C198" s="42" t="s">
        <v>201</v>
      </c>
      <c r="D198" s="43">
        <f t="shared" si="38"/>
        <v>0</v>
      </c>
      <c r="E198" s="43">
        <f t="shared" si="38"/>
        <v>0</v>
      </c>
      <c r="F198" s="43">
        <f t="shared" si="38"/>
        <v>0</v>
      </c>
      <c r="G198" s="43">
        <f t="shared" si="38"/>
        <v>0</v>
      </c>
      <c r="H198" s="43">
        <f t="shared" si="38"/>
        <v>0</v>
      </c>
      <c r="I198" s="43">
        <f t="shared" si="38"/>
        <v>0</v>
      </c>
    </row>
    <row r="199" spans="1:9" x14ac:dyDescent="0.2">
      <c r="A199" s="39">
        <f>A198+1</f>
        <v>47</v>
      </c>
      <c r="B199" s="42"/>
      <c r="C199" s="42" t="s">
        <v>183</v>
      </c>
      <c r="D199" s="43">
        <f t="shared" si="38"/>
        <v>0</v>
      </c>
      <c r="E199" s="43">
        <f t="shared" si="38"/>
        <v>0</v>
      </c>
      <c r="F199" s="43">
        <f t="shared" si="38"/>
        <v>0</v>
      </c>
      <c r="G199" s="43">
        <f t="shared" si="38"/>
        <v>0</v>
      </c>
      <c r="H199" s="43">
        <f t="shared" si="38"/>
        <v>0</v>
      </c>
      <c r="I199" s="43">
        <f t="shared" si="38"/>
        <v>0</v>
      </c>
    </row>
    <row r="200" spans="1:9" x14ac:dyDescent="0.2">
      <c r="D200" s="41"/>
      <c r="E200" s="41"/>
      <c r="F200" s="41"/>
      <c r="G200" s="41"/>
      <c r="H200" s="41"/>
      <c r="I200" s="41"/>
    </row>
    <row r="201" spans="1:9" x14ac:dyDescent="0.2">
      <c r="A201" s="39">
        <f>A199+1</f>
        <v>48</v>
      </c>
      <c r="B201" s="42" t="s">
        <v>184</v>
      </c>
      <c r="C201" s="42"/>
      <c r="D201" s="43">
        <f t="shared" ref="D201:I203" si="39">D65-D133</f>
        <v>0</v>
      </c>
      <c r="E201" s="43">
        <f t="shared" si="39"/>
        <v>0</v>
      </c>
      <c r="F201" s="43">
        <f t="shared" si="39"/>
        <v>0</v>
      </c>
      <c r="G201" s="43">
        <f t="shared" si="39"/>
        <v>0</v>
      </c>
      <c r="H201" s="43">
        <f t="shared" si="39"/>
        <v>0</v>
      </c>
      <c r="I201" s="43">
        <f t="shared" si="39"/>
        <v>0</v>
      </c>
    </row>
    <row r="202" spans="1:9" x14ac:dyDescent="0.2">
      <c r="A202" s="39">
        <f>A201+1</f>
        <v>49</v>
      </c>
      <c r="B202" s="42" t="s">
        <v>160</v>
      </c>
      <c r="C202" s="42"/>
      <c r="D202" s="43">
        <f t="shared" si="39"/>
        <v>0</v>
      </c>
      <c r="E202" s="43">
        <f t="shared" si="39"/>
        <v>0</v>
      </c>
      <c r="F202" s="43">
        <f t="shared" si="39"/>
        <v>0</v>
      </c>
      <c r="G202" s="43">
        <f t="shared" si="39"/>
        <v>0</v>
      </c>
      <c r="H202" s="43">
        <f t="shared" si="39"/>
        <v>0</v>
      </c>
      <c r="I202" s="43">
        <f t="shared" si="39"/>
        <v>0</v>
      </c>
    </row>
    <row r="203" spans="1:9" x14ac:dyDescent="0.2">
      <c r="A203" s="39">
        <f>A202+1</f>
        <v>50</v>
      </c>
      <c r="B203" s="42" t="s">
        <v>161</v>
      </c>
      <c r="C203" s="42"/>
      <c r="D203" s="43">
        <f t="shared" si="39"/>
        <v>0</v>
      </c>
      <c r="E203" s="43">
        <f t="shared" si="39"/>
        <v>0</v>
      </c>
      <c r="F203" s="43">
        <f t="shared" si="39"/>
        <v>0</v>
      </c>
      <c r="G203" s="43">
        <f t="shared" si="39"/>
        <v>0</v>
      </c>
      <c r="H203" s="43">
        <f t="shared" si="39"/>
        <v>0</v>
      </c>
      <c r="I203" s="43">
        <f t="shared" si="39"/>
        <v>0</v>
      </c>
    </row>
    <row r="204" spans="1:9" x14ac:dyDescent="0.2">
      <c r="B204" s="42"/>
      <c r="C204" s="42"/>
      <c r="D204" s="43"/>
      <c r="E204" s="43"/>
      <c r="F204" s="43"/>
      <c r="G204" s="43"/>
      <c r="H204" s="43"/>
      <c r="I204" s="43"/>
    </row>
    <row r="205" spans="1:9" x14ac:dyDescent="0.2">
      <c r="A205" s="39">
        <f>A203+1</f>
        <v>51</v>
      </c>
      <c r="B205" s="42" t="s">
        <v>166</v>
      </c>
      <c r="C205" s="42"/>
      <c r="D205" s="43">
        <f t="shared" ref="D205:I205" si="40">D69-D137</f>
        <v>0</v>
      </c>
      <c r="E205" s="43">
        <f t="shared" si="40"/>
        <v>0</v>
      </c>
      <c r="F205" s="43">
        <f t="shared" si="40"/>
        <v>0</v>
      </c>
      <c r="G205" s="43">
        <f t="shared" si="40"/>
        <v>0</v>
      </c>
      <c r="H205" s="43">
        <f t="shared" si="40"/>
        <v>0</v>
      </c>
      <c r="I205" s="43">
        <f t="shared" si="40"/>
        <v>0</v>
      </c>
    </row>
  </sheetData>
  <phoneticPr fontId="1" type="noConversion"/>
  <printOptions horizontalCentered="1" gridLines="1"/>
  <pageMargins left="0.5" right="0.25" top="1" bottom="0.5" header="0.5" footer="0.25"/>
  <pageSetup scale="75" fitToHeight="3" orientation="portrait" horizontalDpi="300" verticalDpi="300" r:id="rId1"/>
  <headerFooter alignWithMargins="0">
    <oddHeader>&amp;L&amp;"Arial,Bold"DEPT of EDUCATION
Program Finance Div.&amp;C&amp;"Arial,Bold"&amp;A GENERAL EDUCATION
*** NOV 2006 VS. EOS 2006 ***&amp;R&amp;"Arial,Bold"&amp;D
&amp;T</oddHeader>
    <oddFooter>&amp;L&amp;"Arial,Regular"&amp;F&amp;R&amp;"Arial,Regular"&amp;A</oddFooter>
  </headerFooter>
  <rowBreaks count="2" manualBreakCount="2">
    <brk id="70" max="9" man="1"/>
    <brk id="138" max="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L78"/>
  <sheetViews>
    <sheetView zoomScaleNormal="100" zoomScaleSheetLayoutView="85" workbookViewId="0">
      <pane xSplit="3" ySplit="3" topLeftCell="F61" activePane="bottomRight" state="frozen"/>
      <selection activeCell="A2" sqref="A2"/>
      <selection pane="topRight" activeCell="A2" sqref="A2"/>
      <selection pane="bottomLeft" activeCell="A2" sqref="A2"/>
      <selection pane="bottomRight" activeCell="F86" sqref="F86"/>
    </sheetView>
  </sheetViews>
  <sheetFormatPr defaultColWidth="8" defaultRowHeight="12.75" x14ac:dyDescent="0.2"/>
  <cols>
    <col min="1" max="1" width="4.125" style="39" customWidth="1"/>
    <col min="2" max="2" width="2.25" style="39" customWidth="1"/>
    <col min="3" max="3" width="28.625" style="39" customWidth="1"/>
    <col min="4" max="5" width="12.625" style="39" hidden="1" customWidth="1"/>
    <col min="6" max="12" width="12.625" style="39" customWidth="1"/>
    <col min="13" max="16384" width="8" style="39"/>
  </cols>
  <sheetData>
    <row r="1" spans="1:12" x14ac:dyDescent="0.2">
      <c r="A1" s="42" t="s">
        <v>298</v>
      </c>
    </row>
    <row r="3" spans="1:12" x14ac:dyDescent="0.2">
      <c r="A3" s="118" t="s">
        <v>293</v>
      </c>
      <c r="B3" s="118"/>
      <c r="C3" s="119"/>
      <c r="D3" s="120" t="s">
        <v>135</v>
      </c>
      <c r="E3" s="120" t="s">
        <v>136</v>
      </c>
      <c r="F3" s="120" t="s">
        <v>137</v>
      </c>
      <c r="G3" s="120" t="s">
        <v>138</v>
      </c>
      <c r="H3" s="120" t="s">
        <v>139</v>
      </c>
      <c r="I3" s="120" t="s">
        <v>164</v>
      </c>
      <c r="J3" s="120" t="s">
        <v>165</v>
      </c>
      <c r="K3" s="120" t="s">
        <v>249</v>
      </c>
      <c r="L3" s="120" t="s">
        <v>250</v>
      </c>
    </row>
    <row r="5" spans="1:12" x14ac:dyDescent="0.2">
      <c r="A5" s="39">
        <v>1</v>
      </c>
      <c r="B5" s="39" t="s">
        <v>140</v>
      </c>
      <c r="D5" s="41">
        <f>'FY 2003'!I5</f>
        <v>962146</v>
      </c>
      <c r="E5" s="41">
        <f>'FY 2004'!I5</f>
        <v>957096</v>
      </c>
      <c r="F5" s="41">
        <f>'FY 2005'!I5</f>
        <v>953035</v>
      </c>
      <c r="G5" s="41">
        <f>'FY 2006'!I5</f>
        <v>953041</v>
      </c>
      <c r="H5" s="41">
        <f>'FY 2007'!I5</f>
        <v>953288</v>
      </c>
      <c r="I5" s="41">
        <f>'FY 2008'!I5</f>
        <v>953432</v>
      </c>
      <c r="J5" s="41">
        <f>'FY 2009'!$I5</f>
        <v>948587</v>
      </c>
      <c r="K5" s="41">
        <f>'FY 2010'!$J5</f>
        <v>947210</v>
      </c>
      <c r="L5" s="41">
        <f>'FY 2011'!$J5</f>
        <v>948097</v>
      </c>
    </row>
    <row r="7" spans="1:12" x14ac:dyDescent="0.2">
      <c r="B7" s="42" t="s">
        <v>155</v>
      </c>
      <c r="D7" s="40"/>
      <c r="E7" s="40"/>
      <c r="F7" s="40"/>
      <c r="G7" s="40"/>
      <c r="H7" s="40"/>
      <c r="I7" s="40"/>
      <c r="J7" s="40"/>
      <c r="K7" s="40"/>
      <c r="L7" s="40"/>
    </row>
    <row r="8" spans="1:12" x14ac:dyDescent="0.2">
      <c r="A8" s="39">
        <f>A5+1</f>
        <v>2</v>
      </c>
      <c r="B8" s="39" t="s">
        <v>141</v>
      </c>
      <c r="D8" s="41">
        <f>'FY 2003'!I8</f>
        <v>4490060320</v>
      </c>
      <c r="E8" s="41">
        <f>'FY 2004'!I8</f>
        <v>4403575277</v>
      </c>
      <c r="F8" s="41">
        <f>'FY 2005'!I8</f>
        <v>4384973848</v>
      </c>
      <c r="G8" s="41">
        <f>'FY 2006'!I8</f>
        <v>4558383720</v>
      </c>
      <c r="H8" s="41">
        <f>'FY 2007'!I8</f>
        <v>4741676895</v>
      </c>
      <c r="I8" s="41">
        <f>'FY 2008'!I8</f>
        <v>4837724471</v>
      </c>
      <c r="J8" s="41">
        <f>'FY 2009'!$I8</f>
        <v>4860574698.8399992</v>
      </c>
      <c r="K8" s="41">
        <f>'FY 2010'!$J8</f>
        <v>4853494920</v>
      </c>
      <c r="L8" s="41">
        <f>'FY 2011'!$J8</f>
        <v>4858048057</v>
      </c>
    </row>
    <row r="9" spans="1:12" x14ac:dyDescent="0.2">
      <c r="A9" s="39">
        <f>A8+1</f>
        <v>3</v>
      </c>
      <c r="B9" s="42" t="s">
        <v>167</v>
      </c>
      <c r="C9" s="42"/>
      <c r="D9" s="41">
        <f>'FY 2003'!I9</f>
        <v>0</v>
      </c>
      <c r="E9" s="41">
        <f>'FY 2004'!I9</f>
        <v>0</v>
      </c>
      <c r="F9" s="41">
        <f>'FY 2005'!I9</f>
        <v>0</v>
      </c>
      <c r="G9" s="41">
        <f>'FY 2006'!I9</f>
        <v>3812154</v>
      </c>
      <c r="H9" s="41">
        <f>'FY 2007'!I9</f>
        <v>8579632</v>
      </c>
      <c r="I9" s="41">
        <f>'FY 2008'!I9</f>
        <v>11441209</v>
      </c>
      <c r="J9" s="41">
        <f>'FY 2009'!$I10</f>
        <v>11383078.92</v>
      </c>
      <c r="K9" s="41">
        <f>'FY 2010'!$J9</f>
        <v>11365913</v>
      </c>
      <c r="L9" s="41">
        <f>'FY 2011'!$J9</f>
        <v>11377163</v>
      </c>
    </row>
    <row r="10" spans="1:12" x14ac:dyDescent="0.2">
      <c r="A10" s="39">
        <f>A9+1</f>
        <v>4</v>
      </c>
      <c r="B10" s="39" t="s">
        <v>142</v>
      </c>
      <c r="D10" s="41">
        <f>'FY 2003'!I10</f>
        <v>0</v>
      </c>
      <c r="E10" s="41">
        <f>'FY 2004'!I10</f>
        <v>50351550</v>
      </c>
      <c r="F10" s="41">
        <f>'FY 2005'!I10</f>
        <v>52327357</v>
      </c>
      <c r="G10" s="41">
        <f>'FY 2006'!I10</f>
        <v>52766200</v>
      </c>
      <c r="H10" s="41">
        <f>'FY 2007'!I10</f>
        <v>55436989</v>
      </c>
      <c r="I10" s="41">
        <f>'FY 2008'!I10</f>
        <v>59590817</v>
      </c>
      <c r="J10" s="41">
        <f>'FY 2009'!$I11</f>
        <v>60995641.039999999</v>
      </c>
      <c r="K10" s="41">
        <f>'FY 2010'!$J10</f>
        <v>64565373</v>
      </c>
      <c r="L10" s="41">
        <f>'FY 2011'!$J10</f>
        <v>69073025</v>
      </c>
    </row>
    <row r="11" spans="1:12" x14ac:dyDescent="0.2">
      <c r="B11" s="42" t="s">
        <v>171</v>
      </c>
      <c r="D11" s="41"/>
      <c r="E11" s="41"/>
      <c r="F11" s="41"/>
      <c r="G11" s="41"/>
      <c r="H11" s="41"/>
      <c r="I11" s="41"/>
      <c r="J11" s="41"/>
      <c r="K11" s="41"/>
      <c r="L11" s="41"/>
    </row>
    <row r="12" spans="1:12" x14ac:dyDescent="0.2">
      <c r="A12" s="39">
        <f>A10+1</f>
        <v>5</v>
      </c>
      <c r="C12" s="39" t="s">
        <v>143</v>
      </c>
      <c r="D12" s="41">
        <f>'FY 2003'!I12</f>
        <v>262694686</v>
      </c>
      <c r="E12" s="41">
        <f>'FY 2004'!I12</f>
        <v>249146954</v>
      </c>
      <c r="F12" s="41">
        <f>'FY 2005'!I12</f>
        <v>265074502.92000026</v>
      </c>
      <c r="G12" s="41">
        <f>'FY 2006'!I12</f>
        <v>292547478</v>
      </c>
      <c r="H12" s="41">
        <f>'FY 2007'!I12</f>
        <v>315471905</v>
      </c>
      <c r="I12" s="41">
        <f>'FY 2008'!I12</f>
        <v>333928094</v>
      </c>
      <c r="J12" s="41">
        <f>'FY 2009'!$I13</f>
        <v>348510685.62</v>
      </c>
      <c r="K12" s="41">
        <f>'FY 2010'!$J12</f>
        <v>361157268</v>
      </c>
      <c r="L12" s="41">
        <f>'FY 2011'!$J12</f>
        <v>414260438</v>
      </c>
    </row>
    <row r="13" spans="1:12" x14ac:dyDescent="0.2">
      <c r="A13" s="39">
        <f t="shared" ref="A13:A23" si="0">A12+1</f>
        <v>6</v>
      </c>
      <c r="C13" s="39" t="s">
        <v>144</v>
      </c>
      <c r="D13" s="41">
        <f>'FY 2003'!I13</f>
        <v>36857227</v>
      </c>
      <c r="E13" s="41">
        <f>'FY 2004'!I13</f>
        <v>28818713</v>
      </c>
      <c r="F13" s="41">
        <f>'FY 2005'!I13</f>
        <v>29477721</v>
      </c>
      <c r="G13" s="41">
        <f>'FY 2006'!I13</f>
        <v>30912658</v>
      </c>
      <c r="H13" s="41">
        <f>'FY 2007'!I13</f>
        <v>31474254</v>
      </c>
      <c r="I13" s="41">
        <f>'FY 2008'!I13</f>
        <v>32316781</v>
      </c>
      <c r="J13" s="41">
        <f>'FY 2009'!$I14</f>
        <v>32058187</v>
      </c>
      <c r="K13" s="41">
        <f>'FY 2010'!$J13</f>
        <v>31807937</v>
      </c>
      <c r="L13" s="41">
        <f>'FY 2011'!$J13</f>
        <v>31673120</v>
      </c>
    </row>
    <row r="14" spans="1:12" x14ac:dyDescent="0.2">
      <c r="A14" s="39">
        <f t="shared" si="0"/>
        <v>7</v>
      </c>
      <c r="B14" s="42"/>
      <c r="C14" s="42" t="s">
        <v>170</v>
      </c>
      <c r="D14" s="41">
        <f>'FY 2003'!I14</f>
        <v>9779108</v>
      </c>
      <c r="E14" s="41">
        <f>'FY 2004'!I14</f>
        <v>7276758</v>
      </c>
      <c r="F14" s="41">
        <f>'FY 2005'!I14</f>
        <v>7434285</v>
      </c>
      <c r="G14" s="41">
        <f>'FY 2006'!I14</f>
        <v>7883168</v>
      </c>
      <c r="H14" s="41">
        <f>'FY 2007'!I14</f>
        <v>8057613</v>
      </c>
      <c r="I14" s="41">
        <f>'FY 2008'!I14</f>
        <v>8306508</v>
      </c>
      <c r="J14" s="41">
        <f>'FY 2009'!$I15</f>
        <v>8316835</v>
      </c>
      <c r="K14" s="41">
        <f>'FY 2010'!$J14</f>
        <v>8258276</v>
      </c>
      <c r="L14" s="41">
        <f>'FY 2011'!$J14</f>
        <v>8387524</v>
      </c>
    </row>
    <row r="15" spans="1:12" x14ac:dyDescent="0.2">
      <c r="A15" s="39">
        <f t="shared" si="0"/>
        <v>8</v>
      </c>
      <c r="B15" s="39" t="s">
        <v>145</v>
      </c>
      <c r="D15" s="41">
        <f>'FY 2003'!I15</f>
        <v>16471551</v>
      </c>
      <c r="E15" s="41">
        <f>'FY 2004'!I15</f>
        <v>16909578</v>
      </c>
      <c r="F15" s="41">
        <f>'FY 2005'!I15</f>
        <v>17548649</v>
      </c>
      <c r="G15" s="41">
        <f>'FY 2006'!I15</f>
        <v>18853061</v>
      </c>
      <c r="H15" s="41">
        <f>'FY 2007'!I15</f>
        <v>20254233</v>
      </c>
      <c r="I15" s="41">
        <f>'FY 2008'!I15</f>
        <v>21637534</v>
      </c>
      <c r="J15" s="41">
        <f>'FY 2009'!$I16</f>
        <v>22898807.41</v>
      </c>
      <c r="K15" s="41">
        <f>'FY 2010'!$J15</f>
        <v>23368633</v>
      </c>
      <c r="L15" s="41">
        <f>'FY 2011'!$J15</f>
        <v>23511161</v>
      </c>
    </row>
    <row r="16" spans="1:12" x14ac:dyDescent="0.2">
      <c r="A16" s="39">
        <f t="shared" si="0"/>
        <v>9</v>
      </c>
      <c r="B16" s="39" t="s">
        <v>146</v>
      </c>
      <c r="D16" s="41">
        <f>'FY 2003'!I16</f>
        <v>56478364</v>
      </c>
      <c r="E16" s="41">
        <f>'FY 2004'!I16</f>
        <v>55913098</v>
      </c>
      <c r="F16" s="41">
        <f>'FY 2005'!I16</f>
        <v>55511195</v>
      </c>
      <c r="G16" s="41">
        <f>'FY 2006'!I16</f>
        <v>57332807</v>
      </c>
      <c r="H16" s="41">
        <f>'FY 2007'!I16</f>
        <v>59221788</v>
      </c>
      <c r="I16" s="41">
        <f>'FY 2008'!I16</f>
        <v>60083765</v>
      </c>
      <c r="J16" s="41">
        <f>'FY 2009'!$I17</f>
        <v>60159097.219999999</v>
      </c>
      <c r="K16" s="41">
        <f>'FY 2010'!$J16</f>
        <v>59833229</v>
      </c>
      <c r="L16" s="41">
        <f>'FY 2011'!$J16</f>
        <v>60371479</v>
      </c>
    </row>
    <row r="17" spans="1:12" x14ac:dyDescent="0.2">
      <c r="A17" s="39">
        <f t="shared" si="0"/>
        <v>10</v>
      </c>
      <c r="B17" s="39" t="s">
        <v>148</v>
      </c>
      <c r="D17" s="41">
        <f>'FY 2003'!I17</f>
        <v>25114308</v>
      </c>
      <c r="E17" s="41">
        <f>'FY 2004'!I17</f>
        <v>18869558</v>
      </c>
      <c r="F17" s="41">
        <f>'FY 2005'!I17</f>
        <v>12876818</v>
      </c>
      <c r="G17" s="41">
        <f>'FY 2006'!I17</f>
        <v>8213502</v>
      </c>
      <c r="H17" s="41">
        <f>'FY 2007'!I17</f>
        <v>4354428</v>
      </c>
      <c r="I17" s="41">
        <f>'FY 2008'!I17</f>
        <v>2146056</v>
      </c>
      <c r="J17" s="41">
        <f>'FY 2009'!$I18</f>
        <v>1207447.57</v>
      </c>
      <c r="K17" s="41">
        <f>'FY 2010'!$J17</f>
        <v>675850</v>
      </c>
      <c r="L17" s="41">
        <f>'FY 2011'!$J17</f>
        <v>373228</v>
      </c>
    </row>
    <row r="18" spans="1:12" x14ac:dyDescent="0.2">
      <c r="A18" s="39">
        <f t="shared" si="0"/>
        <v>11</v>
      </c>
      <c r="B18" s="42" t="s">
        <v>244</v>
      </c>
      <c r="D18" s="41">
        <f>'FY 2003'!I18</f>
        <v>0</v>
      </c>
      <c r="E18" s="41">
        <f>'FY 2004'!I18</f>
        <v>0</v>
      </c>
      <c r="F18" s="41">
        <f>'FY 2005'!I18</f>
        <v>0</v>
      </c>
      <c r="G18" s="41">
        <f>'FY 2006'!I18</f>
        <v>-344932</v>
      </c>
      <c r="H18" s="41">
        <f>'FY 2007'!I18</f>
        <v>0</v>
      </c>
      <c r="I18" s="41">
        <f>'FY 2008'!I18</f>
        <v>-730496</v>
      </c>
      <c r="J18" s="41">
        <f>'FY 2009'!$I19</f>
        <v>0</v>
      </c>
      <c r="K18" s="41">
        <f>'FY 2010'!$J18</f>
        <v>-2507070</v>
      </c>
      <c r="L18" s="41">
        <f>'FY 2011'!$J18</f>
        <v>0</v>
      </c>
    </row>
    <row r="19" spans="1:12" x14ac:dyDescent="0.2">
      <c r="A19" s="39">
        <f t="shared" si="0"/>
        <v>12</v>
      </c>
      <c r="B19" s="39" t="s">
        <v>147</v>
      </c>
      <c r="D19" s="41">
        <f>'FY 2003'!I19</f>
        <v>198438434</v>
      </c>
      <c r="E19" s="41">
        <f>'FY 2004'!I19</f>
        <v>194217096</v>
      </c>
      <c r="F19" s="41">
        <f>'FY 2005'!I19</f>
        <v>193697081</v>
      </c>
      <c r="G19" s="41">
        <f>'FY 2006'!I19</f>
        <v>194018388</v>
      </c>
      <c r="H19" s="41">
        <f>'FY 2007'!I19</f>
        <v>194117024</v>
      </c>
      <c r="I19" s="41">
        <f>'FY 2008'!I19</f>
        <v>194635565</v>
      </c>
      <c r="J19" s="41">
        <f>'FY 2009'!$I20</f>
        <v>194299107.03</v>
      </c>
      <c r="K19" s="41">
        <f>'FY 2010'!$J20</f>
        <v>194409760</v>
      </c>
      <c r="L19" s="41">
        <f>'FY 2011'!$J19</f>
        <v>194612210</v>
      </c>
    </row>
    <row r="20" spans="1:12" x14ac:dyDescent="0.2">
      <c r="A20" s="39">
        <f t="shared" si="0"/>
        <v>13</v>
      </c>
      <c r="B20" s="39" t="s">
        <v>149</v>
      </c>
      <c r="D20" s="41">
        <f>'FY 2003'!I20</f>
        <v>34642490</v>
      </c>
      <c r="E20" s="41">
        <f>'FY 2004'!I20</f>
        <v>32112369</v>
      </c>
      <c r="F20" s="41">
        <f>'FY 2005'!I20</f>
        <v>41731237</v>
      </c>
      <c r="G20" s="41">
        <f>'FY 2006'!I20</f>
        <v>50999434</v>
      </c>
      <c r="H20" s="41">
        <f>'FY 2007'!I20</f>
        <v>94274069</v>
      </c>
      <c r="I20" s="41">
        <f>'FY 2008'!I20</f>
        <v>95708805</v>
      </c>
      <c r="J20" s="41">
        <f>'FY 2009'!$I21</f>
        <v>93361990.019999996</v>
      </c>
      <c r="K20" s="41">
        <f>'FY 2010'!$J21</f>
        <v>92518770</v>
      </c>
      <c r="L20" s="41">
        <f>'FY 2011'!$J20</f>
        <v>92334012</v>
      </c>
    </row>
    <row r="21" spans="1:12" x14ac:dyDescent="0.2">
      <c r="A21" s="39">
        <f t="shared" si="0"/>
        <v>14</v>
      </c>
      <c r="B21" s="42" t="s">
        <v>173</v>
      </c>
      <c r="D21" s="41">
        <f>'FY 2003'!I21</f>
        <v>0</v>
      </c>
      <c r="E21" s="41">
        <f>'FY 2004'!I21</f>
        <v>31986524</v>
      </c>
      <c r="F21" s="41">
        <f>'FY 2005'!I21</f>
        <v>31326609</v>
      </c>
      <c r="G21" s="41">
        <f>'FY 2006'!I21</f>
        <v>31033742</v>
      </c>
      <c r="H21" s="41">
        <f>'FY 2007'!I21</f>
        <v>30462514</v>
      </c>
      <c r="I21" s="41">
        <f>'FY 2008'!I21</f>
        <v>30143318</v>
      </c>
      <c r="J21" s="41">
        <f>'FY 2009'!$I22</f>
        <v>29711997.400000002</v>
      </c>
      <c r="K21" s="41">
        <f>'FY 2010'!$J22</f>
        <v>29453149</v>
      </c>
      <c r="L21" s="41">
        <f>'FY 2011'!$J21</f>
        <v>29215443</v>
      </c>
    </row>
    <row r="22" spans="1:12" x14ac:dyDescent="0.2">
      <c r="A22" s="39">
        <f t="shared" si="0"/>
        <v>15</v>
      </c>
      <c r="B22" s="42" t="s">
        <v>168</v>
      </c>
      <c r="C22" s="42"/>
      <c r="D22" s="41">
        <f>'FY 2003'!I22</f>
        <v>0</v>
      </c>
      <c r="E22" s="41">
        <f>'FY 2004'!I22</f>
        <v>0</v>
      </c>
      <c r="F22" s="41">
        <f>'FY 2005'!I22</f>
        <v>0</v>
      </c>
      <c r="G22" s="41">
        <f>'FY 2006'!I22</f>
        <v>16348850</v>
      </c>
      <c r="H22" s="41">
        <f>'FY 2007'!I22</f>
        <v>48603714</v>
      </c>
      <c r="I22" s="41">
        <f>'FY 2008'!I22</f>
        <v>60763648</v>
      </c>
      <c r="J22" s="41">
        <f>'FY 2009'!$I23</f>
        <v>63348360.07</v>
      </c>
      <c r="K22" s="41">
        <f>'FY 2010'!$J23</f>
        <v>58291520</v>
      </c>
      <c r="L22" s="41">
        <f>'FY 2011'!$J22</f>
        <v>63056932</v>
      </c>
    </row>
    <row r="23" spans="1:12" x14ac:dyDescent="0.2">
      <c r="A23" s="39">
        <f t="shared" si="0"/>
        <v>16</v>
      </c>
      <c r="B23" s="39" t="s">
        <v>150</v>
      </c>
      <c r="D23" s="41">
        <f>'FY 2003'!I23</f>
        <v>291708358</v>
      </c>
      <c r="E23" s="41">
        <f>'FY 2004'!I23</f>
        <v>426336542</v>
      </c>
      <c r="F23" s="41">
        <f>'FY 2005'!I23</f>
        <v>504721085</v>
      </c>
      <c r="G23" s="41">
        <f>'FY 2006'!I23</f>
        <v>534314512</v>
      </c>
      <c r="H23" s="41">
        <f>'FY 2007'!I23</f>
        <v>598966155</v>
      </c>
      <c r="I23" s="41">
        <f>'FY 2008'!I23</f>
        <v>644192179</v>
      </c>
      <c r="J23" s="41">
        <f>'FY 2009'!$I24</f>
        <v>720567181.45000005</v>
      </c>
      <c r="K23" s="41">
        <f>'FY 2010'!$J24</f>
        <v>781675140</v>
      </c>
      <c r="L23" s="41">
        <f>'FY 2011'!$J23</f>
        <v>804832265</v>
      </c>
    </row>
    <row r="24" spans="1:12" x14ac:dyDescent="0.2">
      <c r="B24" s="42" t="s">
        <v>172</v>
      </c>
      <c r="D24" s="41"/>
      <c r="E24" s="41"/>
      <c r="F24" s="41"/>
      <c r="G24" s="41"/>
      <c r="H24" s="41"/>
      <c r="I24" s="41"/>
      <c r="J24" s="41"/>
      <c r="K24" s="41"/>
      <c r="L24" s="41"/>
    </row>
    <row r="25" spans="1:12" x14ac:dyDescent="0.2">
      <c r="A25" s="39">
        <f>A23+1</f>
        <v>17</v>
      </c>
      <c r="B25" s="42"/>
      <c r="C25" s="42" t="s">
        <v>175</v>
      </c>
      <c r="D25" s="41">
        <f>'FY 2003'!I25</f>
        <v>1341221</v>
      </c>
      <c r="E25" s="41">
        <f>'FY 2004'!I25</f>
        <v>-679857</v>
      </c>
      <c r="F25" s="41">
        <f>'FY 2005'!I25</f>
        <v>-1089963.94</v>
      </c>
      <c r="G25" s="41">
        <f>'FY 2006'!I25</f>
        <v>-895441.79</v>
      </c>
      <c r="H25" s="41">
        <f>'FY 2007'!I25</f>
        <v>-885672</v>
      </c>
      <c r="I25" s="41">
        <f>'FY 2008'!I25</f>
        <v>-181964</v>
      </c>
      <c r="J25" s="41">
        <f>'FY 2009'!$I26</f>
        <v>262096</v>
      </c>
      <c r="K25" s="41">
        <f>'FY 2010'!$J26</f>
        <v>607348</v>
      </c>
      <c r="L25" s="41">
        <f>'FY 2011'!$J25</f>
        <v>657596</v>
      </c>
    </row>
    <row r="26" spans="1:12" x14ac:dyDescent="0.2">
      <c r="A26" s="39">
        <f>A25+1</f>
        <v>18</v>
      </c>
      <c r="B26" s="42"/>
      <c r="C26" s="42" t="s">
        <v>182</v>
      </c>
      <c r="D26" s="41">
        <f>'FY 2003'!I26</f>
        <v>-1804253</v>
      </c>
      <c r="E26" s="41">
        <f>'FY 2004'!I26</f>
        <v>1059</v>
      </c>
      <c r="F26" s="41">
        <f>'FY 2005'!I26</f>
        <v>0</v>
      </c>
      <c r="G26" s="41">
        <f>'FY 2006'!I26</f>
        <v>0.43999999994412065</v>
      </c>
      <c r="H26" s="41">
        <f>'FY 2007'!I26</f>
        <v>0</v>
      </c>
      <c r="I26" s="41">
        <f>'FY 2008'!I26</f>
        <v>0</v>
      </c>
      <c r="J26" s="41">
        <f>'FY 2009'!$I27</f>
        <v>-9.9999995436519384E-3</v>
      </c>
      <c r="K26" s="41">
        <f>'FY 2010'!$J27</f>
        <v>0</v>
      </c>
      <c r="L26" s="41">
        <f>'FY 2011'!$J26</f>
        <v>32</v>
      </c>
    </row>
    <row r="27" spans="1:12" x14ac:dyDescent="0.2">
      <c r="A27" s="39">
        <f>A26+1</f>
        <v>19</v>
      </c>
      <c r="B27" s="42"/>
      <c r="C27" s="42" t="s">
        <v>201</v>
      </c>
      <c r="D27" s="41">
        <f>'FY 2003'!I27</f>
        <v>0</v>
      </c>
      <c r="E27" s="41">
        <f>'FY 2004'!I27</f>
        <v>0</v>
      </c>
      <c r="F27" s="41">
        <f>'FY 2005'!I27</f>
        <v>0</v>
      </c>
      <c r="G27" s="41">
        <f>'FY 2006'!I27</f>
        <v>-0.18000000000029104</v>
      </c>
      <c r="H27" s="41">
        <f>'FY 2007'!I27</f>
        <v>0</v>
      </c>
      <c r="I27" s="41">
        <f>'FY 2008'!I27</f>
        <v>0</v>
      </c>
      <c r="J27" s="41">
        <f>'FY 2009'!$I28</f>
        <v>0</v>
      </c>
      <c r="K27" s="41">
        <f>'FY 2010'!$J28</f>
        <v>0</v>
      </c>
      <c r="L27" s="41">
        <f>'FY 2011'!$J27</f>
        <v>777</v>
      </c>
    </row>
    <row r="28" spans="1:12" x14ac:dyDescent="0.2">
      <c r="A28" s="39">
        <f>A27+1</f>
        <v>20</v>
      </c>
      <c r="B28" s="42"/>
      <c r="C28" s="42" t="s">
        <v>183</v>
      </c>
      <c r="D28" s="41">
        <f>'FY 2003'!I28</f>
        <v>0</v>
      </c>
      <c r="E28" s="41">
        <f>'FY 2004'!I28</f>
        <v>0</v>
      </c>
      <c r="F28" s="41">
        <f>'FY 2005'!I28</f>
        <v>0</v>
      </c>
      <c r="G28" s="41">
        <f>'FY 2006'!I28</f>
        <v>0.44000000000232831</v>
      </c>
      <c r="H28" s="41">
        <f>'FY 2007'!I28</f>
        <v>0</v>
      </c>
      <c r="I28" s="41">
        <f>'FY 2008'!I28</f>
        <v>0</v>
      </c>
      <c r="J28" s="41">
        <f>'FY 2009'!$I29</f>
        <v>-1.0000000009313226E-2</v>
      </c>
      <c r="K28" s="41">
        <f>'FY 2010'!$J29</f>
        <v>4</v>
      </c>
      <c r="L28" s="41">
        <f>'FY 2011'!$J28</f>
        <v>165</v>
      </c>
    </row>
    <row r="29" spans="1:12" x14ac:dyDescent="0.2">
      <c r="A29" s="39">
        <f>A28+1</f>
        <v>21</v>
      </c>
      <c r="B29" s="42"/>
      <c r="C29" s="42" t="s">
        <v>251</v>
      </c>
      <c r="D29" s="41">
        <v>0</v>
      </c>
      <c r="E29" s="41">
        <v>0</v>
      </c>
      <c r="F29" s="41">
        <v>0</v>
      </c>
      <c r="G29" s="41">
        <f>'FY 2006'!I29</f>
        <v>0</v>
      </c>
      <c r="H29" s="41">
        <f>'FY 2007'!$I29</f>
        <v>-398</v>
      </c>
      <c r="I29" s="41">
        <f>'FY 2008'!$I29</f>
        <v>-355.17999999946915</v>
      </c>
      <c r="J29" s="41">
        <f>'FY 2009'!$I30</f>
        <v>-461.16000000014901</v>
      </c>
      <c r="K29" s="41">
        <f>'FY 2010'!$J30</f>
        <v>-449</v>
      </c>
      <c r="L29" s="41">
        <f>'FY 2011'!$J29</f>
        <v>-195</v>
      </c>
    </row>
    <row r="30" spans="1:12" x14ac:dyDescent="0.2">
      <c r="D30" s="41"/>
      <c r="E30" s="41"/>
      <c r="F30" s="41"/>
      <c r="G30" s="41"/>
      <c r="H30" s="41"/>
      <c r="I30" s="41"/>
      <c r="J30" s="41"/>
      <c r="K30" s="41"/>
      <c r="L30" s="41"/>
    </row>
    <row r="31" spans="1:12" x14ac:dyDescent="0.2">
      <c r="A31" s="39">
        <f>A29+1</f>
        <v>22</v>
      </c>
      <c r="B31" s="42" t="s">
        <v>158</v>
      </c>
      <c r="D31" s="41">
        <f t="shared" ref="D31:L31" si="1">SUM(D8:D29)</f>
        <v>5421781814</v>
      </c>
      <c r="E31" s="41">
        <f t="shared" si="1"/>
        <v>5514835219</v>
      </c>
      <c r="F31" s="41">
        <f t="shared" si="1"/>
        <v>5595610423.9800005</v>
      </c>
      <c r="G31" s="41">
        <f t="shared" si="1"/>
        <v>5856179300.9099989</v>
      </c>
      <c r="H31" s="41">
        <f t="shared" si="1"/>
        <v>6210065143</v>
      </c>
      <c r="I31" s="41">
        <f t="shared" si="1"/>
        <v>6391705934.8199997</v>
      </c>
      <c r="J31" s="41">
        <f t="shared" si="1"/>
        <v>6507654749.4099979</v>
      </c>
      <c r="K31" s="41">
        <f t="shared" si="1"/>
        <v>6568975571</v>
      </c>
      <c r="L31" s="41">
        <f t="shared" si="1"/>
        <v>6661784432</v>
      </c>
    </row>
    <row r="32" spans="1:12" x14ac:dyDescent="0.2">
      <c r="D32" s="41"/>
      <c r="E32" s="41"/>
      <c r="F32" s="41"/>
      <c r="G32" s="41"/>
      <c r="H32" s="41"/>
      <c r="I32" s="41"/>
      <c r="J32" s="41"/>
      <c r="K32" s="41"/>
      <c r="L32" s="41"/>
    </row>
    <row r="33" spans="1:12" x14ac:dyDescent="0.2">
      <c r="B33" s="42" t="s">
        <v>156</v>
      </c>
      <c r="C33" s="42"/>
      <c r="D33" s="41"/>
      <c r="E33" s="41"/>
      <c r="F33" s="41"/>
      <c r="G33" s="41"/>
      <c r="H33" s="41"/>
      <c r="I33" s="41"/>
      <c r="J33" s="41"/>
      <c r="K33" s="41"/>
      <c r="L33" s="41"/>
    </row>
    <row r="34" spans="1:12" x14ac:dyDescent="0.2">
      <c r="A34" s="39">
        <f>A31+1</f>
        <v>23</v>
      </c>
      <c r="B34" s="39" t="s">
        <v>153</v>
      </c>
      <c r="D34" s="41">
        <f>'FY 2003'!I33</f>
        <v>0</v>
      </c>
      <c r="E34" s="41">
        <f>'FY 2004'!I33</f>
        <v>0</v>
      </c>
      <c r="F34" s="41">
        <f>'FY 2005'!I33</f>
        <v>40007254</v>
      </c>
      <c r="G34" s="41">
        <f>'FY 2006'!I34</f>
        <v>44268155</v>
      </c>
      <c r="H34" s="41">
        <f>'FY 2007'!I34</f>
        <v>101934454</v>
      </c>
      <c r="I34" s="41">
        <f>'FY 2008'!I34</f>
        <v>111830374</v>
      </c>
      <c r="J34" s="41">
        <f>'FY 2009'!$I35</f>
        <v>121253039.75</v>
      </c>
      <c r="K34" s="41">
        <f>'FY 2010'!$J35</f>
        <v>124276595</v>
      </c>
      <c r="L34" s="41">
        <f>'FY 2011'!$J34</f>
        <v>124623859</v>
      </c>
    </row>
    <row r="35" spans="1:12" x14ac:dyDescent="0.2">
      <c r="A35" s="39">
        <f>A34+1</f>
        <v>24</v>
      </c>
      <c r="B35" s="39" t="s">
        <v>152</v>
      </c>
      <c r="D35" s="41">
        <f>'FY 2003'!I34</f>
        <v>0</v>
      </c>
      <c r="E35" s="41">
        <f>'FY 2004'!I34</f>
        <v>0</v>
      </c>
      <c r="F35" s="41">
        <f>'FY 2005'!I34</f>
        <v>22380297</v>
      </c>
      <c r="G35" s="41">
        <f>'FY 2006'!I35</f>
        <v>25083314</v>
      </c>
      <c r="H35" s="41">
        <f>'FY 2007'!I35</f>
        <v>63740065</v>
      </c>
      <c r="I35" s="41">
        <f>'FY 2008'!I35</f>
        <v>70604296</v>
      </c>
      <c r="J35" s="41">
        <f>'FY 2009'!$I36</f>
        <v>73701614.290000007</v>
      </c>
      <c r="K35" s="41">
        <f>'FY 2010'!$J36</f>
        <v>75798743</v>
      </c>
      <c r="L35" s="41">
        <f>'FY 2011'!$J35</f>
        <v>76305360</v>
      </c>
    </row>
    <row r="36" spans="1:12" x14ac:dyDescent="0.2">
      <c r="A36" s="39">
        <f>A35+1</f>
        <v>25</v>
      </c>
      <c r="B36" s="42" t="s">
        <v>174</v>
      </c>
      <c r="D36" s="41">
        <f>'FY 2003'!I35</f>
        <v>0</v>
      </c>
      <c r="E36" s="41">
        <f>'FY 2004'!I35</f>
        <v>0</v>
      </c>
      <c r="F36" s="41">
        <f>'FY 2005'!I35</f>
        <v>18540609</v>
      </c>
      <c r="G36" s="41">
        <f>'FY 2006'!I36</f>
        <v>20383544</v>
      </c>
      <c r="H36" s="41">
        <f>'FY 2007'!I36</f>
        <v>21830489</v>
      </c>
      <c r="I36" s="41">
        <f>'FY 2008'!I36</f>
        <v>23010395</v>
      </c>
      <c r="J36" s="41">
        <f>'FY 2009'!$I37</f>
        <v>24292896.73</v>
      </c>
      <c r="K36" s="41">
        <f>'FY 2010'!$J37</f>
        <v>25195534</v>
      </c>
      <c r="L36" s="41">
        <f>'FY 2011'!$J36</f>
        <v>25244531</v>
      </c>
    </row>
    <row r="37" spans="1:12" x14ac:dyDescent="0.2">
      <c r="A37" s="39">
        <f>A36+1</f>
        <v>26</v>
      </c>
      <c r="B37" s="42" t="s">
        <v>168</v>
      </c>
      <c r="C37" s="42"/>
      <c r="D37" s="41">
        <f>'FY 2003'!I36</f>
        <v>0</v>
      </c>
      <c r="E37" s="41">
        <f>'FY 2004'!I36</f>
        <v>0</v>
      </c>
      <c r="F37" s="41">
        <f>'FY 2005'!I36</f>
        <v>0</v>
      </c>
      <c r="G37" s="41">
        <f>'FY 2006'!I37</f>
        <v>0</v>
      </c>
      <c r="H37" s="41">
        <f>'FY 2007'!I37</f>
        <v>9695468</v>
      </c>
      <c r="I37" s="41">
        <f>'FY 2008'!I37</f>
        <v>12779741</v>
      </c>
      <c r="J37" s="41">
        <f>'FY 2009'!$I38</f>
        <v>13353371.300000001</v>
      </c>
      <c r="K37" s="41">
        <f>'FY 2010'!$J38</f>
        <v>16807134</v>
      </c>
      <c r="L37" s="41">
        <f>'FY 2011'!$J37</f>
        <v>18158004</v>
      </c>
    </row>
    <row r="38" spans="1:12" x14ac:dyDescent="0.2">
      <c r="A38" s="39">
        <f>A37+1</f>
        <v>27</v>
      </c>
      <c r="B38" s="39" t="s">
        <v>154</v>
      </c>
      <c r="D38" s="41">
        <f>'FY 2003'!I37</f>
        <v>224945858</v>
      </c>
      <c r="E38" s="41">
        <f>'FY 2004'!I37</f>
        <v>351087875</v>
      </c>
      <c r="F38" s="41">
        <f>'FY 2005'!I37</f>
        <v>379954471</v>
      </c>
      <c r="G38" s="41">
        <f>'FY 2006'!I38</f>
        <v>410867894</v>
      </c>
      <c r="H38" s="41">
        <f>'FY 2007'!I38</f>
        <v>482421730</v>
      </c>
      <c r="I38" s="41">
        <f>'FY 2008'!I38</f>
        <v>540184289</v>
      </c>
      <c r="J38" s="41">
        <f>'FY 2009'!$I39</f>
        <v>635333526.83000004</v>
      </c>
      <c r="K38" s="41">
        <f>'FY 2010'!$J39</f>
        <v>712334239</v>
      </c>
      <c r="L38" s="41">
        <f>'FY 2011'!$J38</f>
        <v>737629396</v>
      </c>
    </row>
    <row r="39" spans="1:12" x14ac:dyDescent="0.2">
      <c r="D39" s="41"/>
      <c r="E39" s="41"/>
      <c r="F39" s="41"/>
      <c r="G39" s="41"/>
      <c r="H39" s="41"/>
      <c r="I39" s="41"/>
      <c r="J39" s="41"/>
      <c r="K39" s="41"/>
      <c r="L39" s="41"/>
    </row>
    <row r="40" spans="1:12" x14ac:dyDescent="0.2">
      <c r="A40" s="39">
        <f>A38+1</f>
        <v>28</v>
      </c>
      <c r="B40" s="42" t="s">
        <v>159</v>
      </c>
      <c r="C40" s="42"/>
      <c r="D40" s="41">
        <f t="shared" ref="D40:L40" si="2">SUM(D34:D38)</f>
        <v>224945858</v>
      </c>
      <c r="E40" s="41">
        <f t="shared" si="2"/>
        <v>351087875</v>
      </c>
      <c r="F40" s="41">
        <f t="shared" si="2"/>
        <v>460882631</v>
      </c>
      <c r="G40" s="41">
        <f t="shared" si="2"/>
        <v>500602907</v>
      </c>
      <c r="H40" s="41">
        <f t="shared" si="2"/>
        <v>679622206</v>
      </c>
      <c r="I40" s="41">
        <f t="shared" si="2"/>
        <v>758409095</v>
      </c>
      <c r="J40" s="41">
        <f t="shared" si="2"/>
        <v>867934448.9000001</v>
      </c>
      <c r="K40" s="41">
        <f t="shared" si="2"/>
        <v>954412245</v>
      </c>
      <c r="L40" s="41">
        <f t="shared" si="2"/>
        <v>981961150</v>
      </c>
    </row>
    <row r="41" spans="1:12" x14ac:dyDescent="0.2">
      <c r="B41" s="42"/>
      <c r="C41" s="42"/>
      <c r="D41" s="41"/>
      <c r="E41" s="41"/>
      <c r="F41" s="92"/>
      <c r="G41" s="92"/>
      <c r="H41" s="92"/>
      <c r="I41" s="92"/>
      <c r="J41" s="92"/>
      <c r="K41" s="92"/>
      <c r="L41" s="92"/>
    </row>
    <row r="42" spans="1:12" x14ac:dyDescent="0.2">
      <c r="B42" s="42" t="s">
        <v>157</v>
      </c>
      <c r="C42" s="42"/>
      <c r="D42" s="41"/>
      <c r="E42" s="41"/>
      <c r="F42" s="41"/>
      <c r="G42" s="91"/>
      <c r="H42" s="91"/>
      <c r="I42" s="91"/>
      <c r="J42" s="91"/>
      <c r="K42" s="91"/>
      <c r="L42" s="91"/>
    </row>
    <row r="43" spans="1:12" x14ac:dyDescent="0.2">
      <c r="A43" s="39">
        <f>A40+1</f>
        <v>29</v>
      </c>
      <c r="B43" s="39" t="s">
        <v>141</v>
      </c>
      <c r="D43" s="41">
        <f t="shared" ref="D43:L43" si="3">D8</f>
        <v>4490060320</v>
      </c>
      <c r="E43" s="41">
        <f t="shared" si="3"/>
        <v>4403575277</v>
      </c>
      <c r="F43" s="41">
        <f t="shared" si="3"/>
        <v>4384973848</v>
      </c>
      <c r="G43" s="41">
        <f t="shared" si="3"/>
        <v>4558383720</v>
      </c>
      <c r="H43" s="41">
        <f t="shared" si="3"/>
        <v>4741676895</v>
      </c>
      <c r="I43" s="41">
        <f t="shared" si="3"/>
        <v>4837724471</v>
      </c>
      <c r="J43" s="41">
        <f t="shared" si="3"/>
        <v>4860574698.8399992</v>
      </c>
      <c r="K43" s="41">
        <f t="shared" si="3"/>
        <v>4853494920</v>
      </c>
      <c r="L43" s="41">
        <f t="shared" si="3"/>
        <v>4858048057</v>
      </c>
    </row>
    <row r="44" spans="1:12" x14ac:dyDescent="0.2">
      <c r="A44" s="39">
        <f>A43+1</f>
        <v>30</v>
      </c>
      <c r="B44" s="42" t="s">
        <v>167</v>
      </c>
      <c r="C44" s="42"/>
      <c r="D44" s="41">
        <f t="shared" ref="D44:L44" si="4">D9</f>
        <v>0</v>
      </c>
      <c r="E44" s="41">
        <f t="shared" si="4"/>
        <v>0</v>
      </c>
      <c r="F44" s="41">
        <f t="shared" si="4"/>
        <v>0</v>
      </c>
      <c r="G44" s="41">
        <f t="shared" si="4"/>
        <v>3812154</v>
      </c>
      <c r="H44" s="41">
        <f t="shared" si="4"/>
        <v>8579632</v>
      </c>
      <c r="I44" s="41">
        <f t="shared" si="4"/>
        <v>11441209</v>
      </c>
      <c r="J44" s="41">
        <f t="shared" si="4"/>
        <v>11383078.92</v>
      </c>
      <c r="K44" s="41">
        <f t="shared" si="4"/>
        <v>11365913</v>
      </c>
      <c r="L44" s="41">
        <f t="shared" si="4"/>
        <v>11377163</v>
      </c>
    </row>
    <row r="45" spans="1:12" x14ac:dyDescent="0.2">
      <c r="A45" s="39">
        <f>A44+1</f>
        <v>31</v>
      </c>
      <c r="B45" s="39" t="s">
        <v>142</v>
      </c>
      <c r="D45" s="41">
        <f t="shared" ref="D45:L45" si="5">D10</f>
        <v>0</v>
      </c>
      <c r="E45" s="41">
        <f t="shared" si="5"/>
        <v>50351550</v>
      </c>
      <c r="F45" s="41">
        <f t="shared" si="5"/>
        <v>52327357</v>
      </c>
      <c r="G45" s="41">
        <f t="shared" si="5"/>
        <v>52766200</v>
      </c>
      <c r="H45" s="41">
        <f t="shared" si="5"/>
        <v>55436989</v>
      </c>
      <c r="I45" s="41">
        <f t="shared" si="5"/>
        <v>59590817</v>
      </c>
      <c r="J45" s="41">
        <f t="shared" si="5"/>
        <v>60995641.039999999</v>
      </c>
      <c r="K45" s="41">
        <f t="shared" si="5"/>
        <v>64565373</v>
      </c>
      <c r="L45" s="41">
        <f t="shared" si="5"/>
        <v>69073025</v>
      </c>
    </row>
    <row r="46" spans="1:12" x14ac:dyDescent="0.2">
      <c r="B46" s="42" t="s">
        <v>171</v>
      </c>
      <c r="D46" s="41"/>
      <c r="E46" s="41"/>
      <c r="F46" s="41"/>
      <c r="G46" s="41"/>
      <c r="H46" s="41"/>
      <c r="I46" s="41"/>
      <c r="J46" s="41"/>
      <c r="K46" s="41"/>
      <c r="L46" s="41"/>
    </row>
    <row r="47" spans="1:12" x14ac:dyDescent="0.2">
      <c r="A47" s="39">
        <f>A45+1</f>
        <v>32</v>
      </c>
      <c r="C47" s="39" t="s">
        <v>143</v>
      </c>
      <c r="D47" s="41">
        <f t="shared" ref="D47:L47" si="6">D12</f>
        <v>262694686</v>
      </c>
      <c r="E47" s="41">
        <f t="shared" si="6"/>
        <v>249146954</v>
      </c>
      <c r="F47" s="41">
        <f t="shared" si="6"/>
        <v>265074502.92000026</v>
      </c>
      <c r="G47" s="41">
        <f t="shared" si="6"/>
        <v>292547478</v>
      </c>
      <c r="H47" s="41">
        <f t="shared" si="6"/>
        <v>315471905</v>
      </c>
      <c r="I47" s="41">
        <f t="shared" si="6"/>
        <v>333928094</v>
      </c>
      <c r="J47" s="41">
        <f t="shared" si="6"/>
        <v>348510685.62</v>
      </c>
      <c r="K47" s="41">
        <f t="shared" si="6"/>
        <v>361157268</v>
      </c>
      <c r="L47" s="41">
        <f t="shared" si="6"/>
        <v>414260438</v>
      </c>
    </row>
    <row r="48" spans="1:12" x14ac:dyDescent="0.2">
      <c r="A48" s="39">
        <f t="shared" ref="A48:A59" si="7">A47+1</f>
        <v>33</v>
      </c>
      <c r="C48" s="39" t="s">
        <v>144</v>
      </c>
      <c r="D48" s="41">
        <f t="shared" ref="D48:L48" si="8">D13</f>
        <v>36857227</v>
      </c>
      <c r="E48" s="41">
        <f t="shared" si="8"/>
        <v>28818713</v>
      </c>
      <c r="F48" s="41">
        <f t="shared" si="8"/>
        <v>29477721</v>
      </c>
      <c r="G48" s="41">
        <f t="shared" si="8"/>
        <v>30912658</v>
      </c>
      <c r="H48" s="41">
        <f t="shared" si="8"/>
        <v>31474254</v>
      </c>
      <c r="I48" s="41">
        <f t="shared" si="8"/>
        <v>32316781</v>
      </c>
      <c r="J48" s="41">
        <f t="shared" si="8"/>
        <v>32058187</v>
      </c>
      <c r="K48" s="41">
        <f t="shared" si="8"/>
        <v>31807937</v>
      </c>
      <c r="L48" s="41">
        <f t="shared" si="8"/>
        <v>31673120</v>
      </c>
    </row>
    <row r="49" spans="1:12" x14ac:dyDescent="0.2">
      <c r="A49" s="39">
        <f t="shared" si="7"/>
        <v>34</v>
      </c>
      <c r="B49" s="42"/>
      <c r="C49" s="42" t="s">
        <v>170</v>
      </c>
      <c r="D49" s="41">
        <f t="shared" ref="D49:L49" si="9">D14</f>
        <v>9779108</v>
      </c>
      <c r="E49" s="41">
        <f t="shared" si="9"/>
        <v>7276758</v>
      </c>
      <c r="F49" s="41">
        <f t="shared" si="9"/>
        <v>7434285</v>
      </c>
      <c r="G49" s="41">
        <f t="shared" si="9"/>
        <v>7883168</v>
      </c>
      <c r="H49" s="41">
        <f t="shared" si="9"/>
        <v>8057613</v>
      </c>
      <c r="I49" s="41">
        <f t="shared" si="9"/>
        <v>8306508</v>
      </c>
      <c r="J49" s="41">
        <f t="shared" si="9"/>
        <v>8316835</v>
      </c>
      <c r="K49" s="41">
        <f t="shared" si="9"/>
        <v>8258276</v>
      </c>
      <c r="L49" s="41">
        <f t="shared" si="9"/>
        <v>8387524</v>
      </c>
    </row>
    <row r="50" spans="1:12" x14ac:dyDescent="0.2">
      <c r="A50" s="39">
        <f t="shared" si="7"/>
        <v>35</v>
      </c>
      <c r="B50" s="39" t="s">
        <v>145</v>
      </c>
      <c r="D50" s="41">
        <f t="shared" ref="D50:L50" si="10">D15</f>
        <v>16471551</v>
      </c>
      <c r="E50" s="41">
        <f t="shared" si="10"/>
        <v>16909578</v>
      </c>
      <c r="F50" s="41">
        <f t="shared" si="10"/>
        <v>17548649</v>
      </c>
      <c r="G50" s="41">
        <f t="shared" si="10"/>
        <v>18853061</v>
      </c>
      <c r="H50" s="41">
        <f t="shared" si="10"/>
        <v>20254233</v>
      </c>
      <c r="I50" s="41">
        <f t="shared" si="10"/>
        <v>21637534</v>
      </c>
      <c r="J50" s="41">
        <f t="shared" si="10"/>
        <v>22898807.41</v>
      </c>
      <c r="K50" s="41">
        <f t="shared" si="10"/>
        <v>23368633</v>
      </c>
      <c r="L50" s="41">
        <f t="shared" si="10"/>
        <v>23511161</v>
      </c>
    </row>
    <row r="51" spans="1:12" x14ac:dyDescent="0.2">
      <c r="A51" s="39">
        <f t="shared" si="7"/>
        <v>36</v>
      </c>
      <c r="B51" s="39" t="s">
        <v>146</v>
      </c>
      <c r="D51" s="41">
        <f t="shared" ref="D51:L51" si="11">D16</f>
        <v>56478364</v>
      </c>
      <c r="E51" s="41">
        <f t="shared" si="11"/>
        <v>55913098</v>
      </c>
      <c r="F51" s="41">
        <f t="shared" si="11"/>
        <v>55511195</v>
      </c>
      <c r="G51" s="41">
        <f t="shared" si="11"/>
        <v>57332807</v>
      </c>
      <c r="H51" s="41">
        <f t="shared" si="11"/>
        <v>59221788</v>
      </c>
      <c r="I51" s="41">
        <f t="shared" si="11"/>
        <v>60083765</v>
      </c>
      <c r="J51" s="41">
        <f t="shared" si="11"/>
        <v>60159097.219999999</v>
      </c>
      <c r="K51" s="41">
        <f t="shared" si="11"/>
        <v>59833229</v>
      </c>
      <c r="L51" s="41">
        <f t="shared" si="11"/>
        <v>60371479</v>
      </c>
    </row>
    <row r="52" spans="1:12" x14ac:dyDescent="0.2">
      <c r="A52" s="39">
        <f t="shared" si="7"/>
        <v>37</v>
      </c>
      <c r="B52" s="39" t="s">
        <v>148</v>
      </c>
      <c r="D52" s="41">
        <f t="shared" ref="D52:L52" si="12">D17</f>
        <v>25114308</v>
      </c>
      <c r="E52" s="41">
        <f t="shared" si="12"/>
        <v>18869558</v>
      </c>
      <c r="F52" s="41">
        <f t="shared" si="12"/>
        <v>12876818</v>
      </c>
      <c r="G52" s="41">
        <f t="shared" si="12"/>
        <v>8213502</v>
      </c>
      <c r="H52" s="41">
        <f t="shared" si="12"/>
        <v>4354428</v>
      </c>
      <c r="I52" s="41">
        <f t="shared" si="12"/>
        <v>2146056</v>
      </c>
      <c r="J52" s="41">
        <f t="shared" si="12"/>
        <v>1207447.57</v>
      </c>
      <c r="K52" s="41">
        <f t="shared" si="12"/>
        <v>675850</v>
      </c>
      <c r="L52" s="41">
        <f t="shared" si="12"/>
        <v>373228</v>
      </c>
    </row>
    <row r="53" spans="1:12" x14ac:dyDescent="0.2">
      <c r="A53" s="39">
        <f t="shared" si="7"/>
        <v>38</v>
      </c>
      <c r="B53" s="42" t="s">
        <v>244</v>
      </c>
      <c r="D53" s="41">
        <f t="shared" ref="D53:L53" si="13">D18</f>
        <v>0</v>
      </c>
      <c r="E53" s="41">
        <f t="shared" si="13"/>
        <v>0</v>
      </c>
      <c r="F53" s="41">
        <f t="shared" si="13"/>
        <v>0</v>
      </c>
      <c r="G53" s="41">
        <f t="shared" si="13"/>
        <v>-344932</v>
      </c>
      <c r="H53" s="41">
        <f t="shared" si="13"/>
        <v>0</v>
      </c>
      <c r="I53" s="41">
        <f t="shared" si="13"/>
        <v>-730496</v>
      </c>
      <c r="J53" s="41">
        <f t="shared" si="13"/>
        <v>0</v>
      </c>
      <c r="K53" s="41">
        <f t="shared" si="13"/>
        <v>-2507070</v>
      </c>
      <c r="L53" s="41">
        <f t="shared" si="13"/>
        <v>0</v>
      </c>
    </row>
    <row r="54" spans="1:12" x14ac:dyDescent="0.2">
      <c r="A54" s="39">
        <f t="shared" si="7"/>
        <v>39</v>
      </c>
      <c r="B54" s="39" t="s">
        <v>147</v>
      </c>
      <c r="D54" s="41">
        <f t="shared" ref="D54:L54" si="14">D19-D34</f>
        <v>198438434</v>
      </c>
      <c r="E54" s="41">
        <f t="shared" si="14"/>
        <v>194217096</v>
      </c>
      <c r="F54" s="41">
        <f t="shared" si="14"/>
        <v>153689827</v>
      </c>
      <c r="G54" s="41">
        <f t="shared" si="14"/>
        <v>149750233</v>
      </c>
      <c r="H54" s="41">
        <f t="shared" si="14"/>
        <v>92182570</v>
      </c>
      <c r="I54" s="41">
        <f t="shared" si="14"/>
        <v>82805191</v>
      </c>
      <c r="J54" s="41">
        <f t="shared" si="14"/>
        <v>73046067.280000001</v>
      </c>
      <c r="K54" s="41">
        <f t="shared" si="14"/>
        <v>70133165</v>
      </c>
      <c r="L54" s="41">
        <f t="shared" si="14"/>
        <v>69988351</v>
      </c>
    </row>
    <row r="55" spans="1:12" x14ac:dyDescent="0.2">
      <c r="A55" s="39">
        <f t="shared" si="7"/>
        <v>40</v>
      </c>
      <c r="B55" s="39" t="s">
        <v>149</v>
      </c>
      <c r="D55" s="41">
        <f t="shared" ref="D55:L55" si="15">D20-D35</f>
        <v>34642490</v>
      </c>
      <c r="E55" s="41">
        <f t="shared" si="15"/>
        <v>32112369</v>
      </c>
      <c r="F55" s="41">
        <f t="shared" si="15"/>
        <v>19350940</v>
      </c>
      <c r="G55" s="41">
        <f t="shared" si="15"/>
        <v>25916120</v>
      </c>
      <c r="H55" s="41">
        <f t="shared" si="15"/>
        <v>30534004</v>
      </c>
      <c r="I55" s="41">
        <f t="shared" si="15"/>
        <v>25104509</v>
      </c>
      <c r="J55" s="41">
        <f t="shared" si="15"/>
        <v>19660375.729999989</v>
      </c>
      <c r="K55" s="41">
        <f t="shared" si="15"/>
        <v>16720027</v>
      </c>
      <c r="L55" s="41">
        <f t="shared" si="15"/>
        <v>16028652</v>
      </c>
    </row>
    <row r="56" spans="1:12" x14ac:dyDescent="0.2">
      <c r="A56" s="39">
        <f t="shared" si="7"/>
        <v>41</v>
      </c>
      <c r="B56" s="42" t="s">
        <v>173</v>
      </c>
      <c r="D56" s="41">
        <f t="shared" ref="D56:L56" si="16">D21-D36</f>
        <v>0</v>
      </c>
      <c r="E56" s="41">
        <f t="shared" si="16"/>
        <v>31986524</v>
      </c>
      <c r="F56" s="41">
        <f t="shared" si="16"/>
        <v>12786000</v>
      </c>
      <c r="G56" s="41">
        <f t="shared" si="16"/>
        <v>10650198</v>
      </c>
      <c r="H56" s="41">
        <f t="shared" si="16"/>
        <v>8632025</v>
      </c>
      <c r="I56" s="41">
        <f t="shared" si="16"/>
        <v>7132923</v>
      </c>
      <c r="J56" s="41">
        <f t="shared" si="16"/>
        <v>5419100.6700000018</v>
      </c>
      <c r="K56" s="41">
        <f t="shared" si="16"/>
        <v>4257615</v>
      </c>
      <c r="L56" s="41">
        <f t="shared" si="16"/>
        <v>3970912</v>
      </c>
    </row>
    <row r="57" spans="1:12" x14ac:dyDescent="0.2">
      <c r="A57" s="39">
        <f t="shared" si="7"/>
        <v>42</v>
      </c>
      <c r="B57" s="42" t="s">
        <v>168</v>
      </c>
      <c r="C57" s="42"/>
      <c r="D57" s="41">
        <f t="shared" ref="D57:L57" si="17">D22-D37</f>
        <v>0</v>
      </c>
      <c r="E57" s="41">
        <f t="shared" si="17"/>
        <v>0</v>
      </c>
      <c r="F57" s="41">
        <f t="shared" si="17"/>
        <v>0</v>
      </c>
      <c r="G57" s="41">
        <f t="shared" si="17"/>
        <v>16348850</v>
      </c>
      <c r="H57" s="41">
        <f t="shared" si="17"/>
        <v>38908246</v>
      </c>
      <c r="I57" s="41">
        <f t="shared" si="17"/>
        <v>47983907</v>
      </c>
      <c r="J57" s="41">
        <f t="shared" si="17"/>
        <v>49994988.769999996</v>
      </c>
      <c r="K57" s="41">
        <f t="shared" si="17"/>
        <v>41484386</v>
      </c>
      <c r="L57" s="41">
        <f t="shared" si="17"/>
        <v>44898928</v>
      </c>
    </row>
    <row r="58" spans="1:12" x14ac:dyDescent="0.2">
      <c r="A58" s="39">
        <f t="shared" si="7"/>
        <v>43</v>
      </c>
      <c r="B58" s="42" t="s">
        <v>163</v>
      </c>
      <c r="C58" s="42"/>
      <c r="D58" s="41">
        <f t="shared" ref="D58:L58" si="18">D23-D38-D59</f>
        <v>58417206</v>
      </c>
      <c r="E58" s="41">
        <f t="shared" si="18"/>
        <v>67208298</v>
      </c>
      <c r="F58" s="41">
        <f t="shared" si="18"/>
        <v>116067762</v>
      </c>
      <c r="G58" s="41">
        <f t="shared" si="18"/>
        <v>114774019</v>
      </c>
      <c r="H58" s="41">
        <f t="shared" si="18"/>
        <v>107935161</v>
      </c>
      <c r="I58" s="41">
        <f t="shared" si="18"/>
        <v>95398626</v>
      </c>
      <c r="J58" s="41">
        <f t="shared" si="18"/>
        <v>76645862.950000003</v>
      </c>
      <c r="K58" s="41">
        <f t="shared" si="18"/>
        <v>60722235</v>
      </c>
      <c r="L58" s="41">
        <f t="shared" si="18"/>
        <v>58609687</v>
      </c>
    </row>
    <row r="59" spans="1:12" x14ac:dyDescent="0.2">
      <c r="A59" s="39">
        <f t="shared" si="7"/>
        <v>44</v>
      </c>
      <c r="B59" s="39" t="s">
        <v>151</v>
      </c>
      <c r="D59" s="41">
        <f>'FY 2003'!I58</f>
        <v>8345294</v>
      </c>
      <c r="E59" s="41">
        <f>'FY 2004'!I58</f>
        <v>8040369</v>
      </c>
      <c r="F59" s="41">
        <f>'FY 2005'!I58</f>
        <v>8698852</v>
      </c>
      <c r="G59" s="41">
        <f>'FY 2006'!I59</f>
        <v>8672599</v>
      </c>
      <c r="H59" s="41">
        <f>'FY 2007'!I59</f>
        <v>8609264</v>
      </c>
      <c r="I59" s="41">
        <f>'FY 2008'!I59</f>
        <v>8609264</v>
      </c>
      <c r="J59" s="41">
        <f>'FY 2009'!$I61</f>
        <v>8587791.6699999981</v>
      </c>
      <c r="K59" s="41">
        <f>'FY 2010'!$J61</f>
        <v>8618666</v>
      </c>
      <c r="L59" s="41">
        <f>'FY 2011'!$J59</f>
        <v>8593182</v>
      </c>
    </row>
    <row r="60" spans="1:12" x14ac:dyDescent="0.2">
      <c r="B60" s="42" t="s">
        <v>172</v>
      </c>
      <c r="D60" s="41"/>
      <c r="E60" s="41"/>
      <c r="F60" s="41"/>
      <c r="G60" s="41"/>
      <c r="H60" s="41"/>
      <c r="I60" s="41"/>
      <c r="J60" s="41"/>
      <c r="K60" s="41"/>
      <c r="L60" s="41"/>
    </row>
    <row r="61" spans="1:12" x14ac:dyDescent="0.2">
      <c r="A61" s="39">
        <f>A59+1</f>
        <v>45</v>
      </c>
      <c r="B61" s="42"/>
      <c r="C61" s="42" t="s">
        <v>175</v>
      </c>
      <c r="D61" s="41">
        <f>'FY 2003'!I60</f>
        <v>1341221</v>
      </c>
      <c r="E61" s="41">
        <f>'FY 2004'!I60</f>
        <v>-679857</v>
      </c>
      <c r="F61" s="41">
        <f>'FY 2005'!I60</f>
        <v>-1089963.94</v>
      </c>
      <c r="G61" s="41">
        <f>'FY 2006'!I61</f>
        <v>-895441.79</v>
      </c>
      <c r="H61" s="41">
        <f>'FY 2007'!I61</f>
        <v>-885672</v>
      </c>
      <c r="I61" s="41">
        <f>'FY 2008'!I61</f>
        <v>-181964</v>
      </c>
      <c r="J61" s="41">
        <f>'FY 2009'!$I63</f>
        <v>262096</v>
      </c>
      <c r="K61" s="41">
        <f>'FY 2010'!$J63</f>
        <v>607348</v>
      </c>
      <c r="L61" s="41">
        <f>'FY 2011'!$J61</f>
        <v>657596</v>
      </c>
    </row>
    <row r="62" spans="1:12" x14ac:dyDescent="0.2">
      <c r="A62" s="39">
        <f>A61+1</f>
        <v>46</v>
      </c>
      <c r="B62" s="42"/>
      <c r="C62" s="42" t="s">
        <v>182</v>
      </c>
      <c r="D62" s="41">
        <f>'FY 2003'!I61</f>
        <v>-1804253</v>
      </c>
      <c r="E62" s="41">
        <f>'FY 2004'!I61</f>
        <v>1059</v>
      </c>
      <c r="F62" s="41">
        <f>'FY 2005'!I61</f>
        <v>0</v>
      </c>
      <c r="G62" s="41">
        <f>'FY 2006'!I62</f>
        <v>0.43999999994412065</v>
      </c>
      <c r="H62" s="41">
        <f>'FY 2007'!I62</f>
        <v>0</v>
      </c>
      <c r="I62" s="41">
        <f>'FY 2008'!I62</f>
        <v>0</v>
      </c>
      <c r="J62" s="41">
        <f>'FY 2009'!$I64</f>
        <v>-9.9999995436519384E-3</v>
      </c>
      <c r="K62" s="41">
        <f>'FY 2010'!$J64</f>
        <v>0</v>
      </c>
      <c r="L62" s="41">
        <f>'FY 2011'!$J62</f>
        <v>32</v>
      </c>
    </row>
    <row r="63" spans="1:12" x14ac:dyDescent="0.2">
      <c r="A63" s="39">
        <f>A62+1</f>
        <v>47</v>
      </c>
      <c r="B63" s="42"/>
      <c r="C63" s="42" t="s">
        <v>201</v>
      </c>
      <c r="D63" s="41">
        <f>'FY 2003'!I62</f>
        <v>0</v>
      </c>
      <c r="E63" s="41">
        <f>'FY 2004'!I62</f>
        <v>0</v>
      </c>
      <c r="F63" s="41">
        <f>'FY 2005'!I62</f>
        <v>0</v>
      </c>
      <c r="G63" s="41">
        <f>'FY 2006'!I63</f>
        <v>-0.18000000000029104</v>
      </c>
      <c r="H63" s="41">
        <f>'FY 2007'!I63</f>
        <v>0</v>
      </c>
      <c r="I63" s="41">
        <f>'FY 2008'!I63</f>
        <v>0</v>
      </c>
      <c r="J63" s="41">
        <f>'FY 2009'!$I65</f>
        <v>0</v>
      </c>
      <c r="K63" s="41">
        <f>'FY 2010'!$J65</f>
        <v>0</v>
      </c>
      <c r="L63" s="41">
        <f>'FY 2011'!$J63</f>
        <v>777</v>
      </c>
    </row>
    <row r="64" spans="1:12" x14ac:dyDescent="0.2">
      <c r="A64" s="39">
        <f>A63+1</f>
        <v>48</v>
      </c>
      <c r="B64" s="42"/>
      <c r="C64" s="42" t="s">
        <v>183</v>
      </c>
      <c r="D64" s="41">
        <f>'FY 2003'!I63</f>
        <v>0</v>
      </c>
      <c r="E64" s="41">
        <f>'FY 2004'!I63</f>
        <v>0</v>
      </c>
      <c r="F64" s="41">
        <f>'FY 2005'!I63</f>
        <v>0</v>
      </c>
      <c r="G64" s="41">
        <f>'FY 2006'!I64</f>
        <v>0.44000000000232831</v>
      </c>
      <c r="H64" s="41">
        <f>'FY 2007'!I64</f>
        <v>0</v>
      </c>
      <c r="I64" s="41">
        <f>'FY 2008'!I64</f>
        <v>0</v>
      </c>
      <c r="J64" s="41">
        <f>'FY 2009'!$I66</f>
        <v>-1.0000000009313226E-2</v>
      </c>
      <c r="K64" s="41">
        <f>'FY 2010'!$J66</f>
        <v>4</v>
      </c>
      <c r="L64" s="41">
        <f>'FY 2011'!$J64</f>
        <v>165</v>
      </c>
    </row>
    <row r="65" spans="1:12" x14ac:dyDescent="0.2">
      <c r="A65" s="39">
        <f>A64+1</f>
        <v>49</v>
      </c>
      <c r="B65" s="42"/>
      <c r="C65" s="42" t="s">
        <v>251</v>
      </c>
      <c r="D65" s="41">
        <v>0</v>
      </c>
      <c r="E65" s="41">
        <v>0</v>
      </c>
      <c r="F65" s="41">
        <v>0</v>
      </c>
      <c r="G65" s="41">
        <f>'FY 2006'!I65</f>
        <v>0</v>
      </c>
      <c r="H65" s="41">
        <f>'FY 2007'!$I65</f>
        <v>-398</v>
      </c>
      <c r="I65" s="41">
        <f>'FY 2008'!$I65</f>
        <v>-355.17999999946915</v>
      </c>
      <c r="J65" s="41">
        <f>'FY 2009'!$I67</f>
        <v>-461.16000000014901</v>
      </c>
      <c r="K65" s="41">
        <f>'FY 2010'!$J67</f>
        <v>-449</v>
      </c>
      <c r="L65" s="41">
        <f>'FY 2011'!$J65</f>
        <v>-195</v>
      </c>
    </row>
    <row r="66" spans="1:12" x14ac:dyDescent="0.2">
      <c r="D66" s="41"/>
      <c r="E66" s="41"/>
      <c r="F66" s="41"/>
      <c r="G66" s="41"/>
      <c r="H66" s="41"/>
      <c r="I66" s="41"/>
      <c r="J66" s="41"/>
      <c r="K66" s="41"/>
      <c r="L66" s="41"/>
    </row>
    <row r="67" spans="1:12" x14ac:dyDescent="0.2">
      <c r="A67" s="39">
        <f>A65+1</f>
        <v>50</v>
      </c>
      <c r="B67" s="42" t="s">
        <v>184</v>
      </c>
      <c r="C67" s="42"/>
      <c r="D67" s="41">
        <f t="shared" ref="D67:L67" si="19">SUM(D43:D65)</f>
        <v>5196835956</v>
      </c>
      <c r="E67" s="41">
        <f t="shared" si="19"/>
        <v>5163747344</v>
      </c>
      <c r="F67" s="41">
        <f t="shared" si="19"/>
        <v>5134727792.9800005</v>
      </c>
      <c r="G67" s="41">
        <f t="shared" si="19"/>
        <v>5355576393.9099989</v>
      </c>
      <c r="H67" s="41">
        <f t="shared" si="19"/>
        <v>5530442937</v>
      </c>
      <c r="I67" s="41">
        <f t="shared" si="19"/>
        <v>5633296839.8199997</v>
      </c>
      <c r="J67" s="41">
        <f t="shared" si="19"/>
        <v>5639720300.5099983</v>
      </c>
      <c r="K67" s="41">
        <f t="shared" si="19"/>
        <v>5614563326</v>
      </c>
      <c r="L67" s="41">
        <f t="shared" si="19"/>
        <v>5679823282</v>
      </c>
    </row>
    <row r="68" spans="1:12" x14ac:dyDescent="0.2">
      <c r="A68" s="39">
        <f>A67+1</f>
        <v>51</v>
      </c>
      <c r="B68" s="42" t="s">
        <v>160</v>
      </c>
      <c r="C68" s="42"/>
      <c r="D68" s="41">
        <f t="shared" ref="D68:L68" si="20">D67-D59</f>
        <v>5188490662</v>
      </c>
      <c r="E68" s="41">
        <f t="shared" si="20"/>
        <v>5155706975</v>
      </c>
      <c r="F68" s="41">
        <f t="shared" si="20"/>
        <v>5126028940.9800005</v>
      </c>
      <c r="G68" s="41">
        <f t="shared" si="20"/>
        <v>5346903794.9099989</v>
      </c>
      <c r="H68" s="41">
        <f t="shared" si="20"/>
        <v>5521833673</v>
      </c>
      <c r="I68" s="41">
        <f t="shared" si="20"/>
        <v>5624687575.8199997</v>
      </c>
      <c r="J68" s="41">
        <f t="shared" si="20"/>
        <v>5631132508.8399982</v>
      </c>
      <c r="K68" s="41">
        <f t="shared" si="20"/>
        <v>5605944660</v>
      </c>
      <c r="L68" s="41">
        <f t="shared" si="20"/>
        <v>5671230100</v>
      </c>
    </row>
    <row r="69" spans="1:12" x14ac:dyDescent="0.2">
      <c r="A69" s="39">
        <f>A68+1</f>
        <v>52</v>
      </c>
      <c r="B69" s="42" t="s">
        <v>161</v>
      </c>
      <c r="C69" s="42"/>
      <c r="D69" s="41">
        <f t="shared" ref="D69:L69" si="21">D59</f>
        <v>8345294</v>
      </c>
      <c r="E69" s="41">
        <f t="shared" si="21"/>
        <v>8040369</v>
      </c>
      <c r="F69" s="41">
        <f t="shared" si="21"/>
        <v>8698852</v>
      </c>
      <c r="G69" s="41">
        <f t="shared" si="21"/>
        <v>8672599</v>
      </c>
      <c r="H69" s="41">
        <f t="shared" si="21"/>
        <v>8609264</v>
      </c>
      <c r="I69" s="41">
        <f t="shared" si="21"/>
        <v>8609264</v>
      </c>
      <c r="J69" s="41">
        <f t="shared" si="21"/>
        <v>8587791.6699999981</v>
      </c>
      <c r="K69" s="41">
        <f t="shared" si="21"/>
        <v>8618666</v>
      </c>
      <c r="L69" s="41">
        <f t="shared" si="21"/>
        <v>8593182</v>
      </c>
    </row>
    <row r="70" spans="1:12" x14ac:dyDescent="0.2">
      <c r="B70" s="42"/>
      <c r="C70" s="42"/>
      <c r="D70" s="41"/>
      <c r="E70" s="41"/>
      <c r="F70" s="41"/>
      <c r="G70" s="41"/>
      <c r="H70" s="41"/>
      <c r="I70" s="41"/>
      <c r="J70" s="41"/>
      <c r="K70" s="41"/>
      <c r="L70" s="41"/>
    </row>
    <row r="71" spans="1:12" x14ac:dyDescent="0.2">
      <c r="A71" s="39">
        <f>A69+1</f>
        <v>53</v>
      </c>
      <c r="B71" s="42" t="s">
        <v>166</v>
      </c>
      <c r="C71" s="42"/>
      <c r="D71" s="41">
        <f>'FY 2003'!I69</f>
        <v>-46570547</v>
      </c>
      <c r="E71" s="41">
        <f>'FY 2004'!I69</f>
        <v>-46686661</v>
      </c>
      <c r="F71" s="41">
        <f>'FY 2005'!I69</f>
        <v>-46733667</v>
      </c>
      <c r="G71" s="41">
        <f>'FY 2006'!I71</f>
        <v>-46807695</v>
      </c>
      <c r="H71" s="41">
        <f>'FY 2007'!I71</f>
        <v>-46967505</v>
      </c>
      <c r="I71" s="41">
        <f>'FY 2008'!I71</f>
        <v>-30637836</v>
      </c>
      <c r="J71" s="41">
        <f>'FY 2009'!$I73</f>
        <v>-30753089.780000001</v>
      </c>
      <c r="K71" s="41">
        <f>'FY 2010'!$J73</f>
        <v>-30827862</v>
      </c>
      <c r="L71" s="41">
        <f>'FY 2011'!$J71</f>
        <v>-30929256</v>
      </c>
    </row>
    <row r="72" spans="1:12" x14ac:dyDescent="0.2">
      <c r="D72" s="40"/>
      <c r="E72" s="40"/>
      <c r="F72" s="40"/>
      <c r="G72" s="40"/>
      <c r="H72" s="40"/>
      <c r="I72" s="40"/>
      <c r="J72" s="40"/>
      <c r="K72" s="40"/>
      <c r="L72" s="40"/>
    </row>
    <row r="73" spans="1:12" x14ac:dyDescent="0.2">
      <c r="A73" s="39">
        <f>A71+1</f>
        <v>54</v>
      </c>
      <c r="B73" s="42" t="s">
        <v>294</v>
      </c>
      <c r="F73" s="41">
        <f>F31+F71</f>
        <v>5548876756.9800005</v>
      </c>
      <c r="G73" s="41">
        <f t="shared" ref="G73:L73" si="22">G31+G71</f>
        <v>5809371605.9099989</v>
      </c>
      <c r="H73" s="41">
        <f t="shared" si="22"/>
        <v>6163097638</v>
      </c>
      <c r="I73" s="41">
        <f t="shared" si="22"/>
        <v>6361068098.8199997</v>
      </c>
      <c r="J73" s="41">
        <f t="shared" si="22"/>
        <v>6476901659.6299982</v>
      </c>
      <c r="K73" s="41">
        <f t="shared" si="22"/>
        <v>6538147709</v>
      </c>
      <c r="L73" s="41">
        <f t="shared" si="22"/>
        <v>6630855176</v>
      </c>
    </row>
    <row r="74" spans="1:12" x14ac:dyDescent="0.2">
      <c r="A74" s="39">
        <f>A73+1</f>
        <v>55</v>
      </c>
      <c r="B74" s="42" t="s">
        <v>295</v>
      </c>
      <c r="F74" s="41">
        <f>F73-F40</f>
        <v>5087994125.9800005</v>
      </c>
      <c r="G74" s="41">
        <f t="shared" ref="G74:L74" si="23">G73-G40</f>
        <v>5308768698.9099989</v>
      </c>
      <c r="H74" s="41">
        <f t="shared" si="23"/>
        <v>5483475432</v>
      </c>
      <c r="I74" s="41">
        <f t="shared" si="23"/>
        <v>5602659003.8199997</v>
      </c>
      <c r="J74" s="41">
        <f t="shared" si="23"/>
        <v>5608967210.7299976</v>
      </c>
      <c r="K74" s="41">
        <f t="shared" si="23"/>
        <v>5583735464</v>
      </c>
      <c r="L74" s="41">
        <f t="shared" si="23"/>
        <v>5648894026</v>
      </c>
    </row>
    <row r="76" spans="1:12" x14ac:dyDescent="0.2">
      <c r="A76" s="39">
        <f>A74+1</f>
        <v>56</v>
      </c>
      <c r="B76" s="42" t="s">
        <v>296</v>
      </c>
      <c r="F76" s="41">
        <f>'Pupil Data'!G24</f>
        <v>949765</v>
      </c>
      <c r="G76" s="41">
        <f>'Pupil Data'!G25</f>
        <v>950530</v>
      </c>
      <c r="H76" s="41">
        <f>'Pupil Data'!G26</f>
        <v>950864</v>
      </c>
      <c r="I76" s="41">
        <f>'Pupil Data'!G27</f>
        <v>950173</v>
      </c>
      <c r="J76" s="41">
        <f>'Pupil Data'!G28</f>
        <v>945193</v>
      </c>
      <c r="K76" s="41">
        <f>'Pupil Data'!G29</f>
        <v>944933</v>
      </c>
      <c r="L76" s="41">
        <f>'Pupil Data'!G30</f>
        <v>945855</v>
      </c>
    </row>
    <row r="78" spans="1:12" x14ac:dyDescent="0.2">
      <c r="A78" s="39">
        <f>A76+1</f>
        <v>57</v>
      </c>
      <c r="B78" s="42" t="s">
        <v>297</v>
      </c>
      <c r="F78" s="124">
        <f>ROUND(F74/F76,2)</f>
        <v>5357.11</v>
      </c>
      <c r="G78" s="124">
        <f t="shared" ref="G78:L78" si="24">ROUND(G74/G76,2)</f>
        <v>5585.06</v>
      </c>
      <c r="H78" s="124">
        <f t="shared" si="24"/>
        <v>5766.83</v>
      </c>
      <c r="I78" s="125">
        <f t="shared" si="24"/>
        <v>5896.46</v>
      </c>
      <c r="J78" s="124">
        <f t="shared" si="24"/>
        <v>5934.2</v>
      </c>
      <c r="K78" s="124">
        <f t="shared" si="24"/>
        <v>5909.13</v>
      </c>
      <c r="L78" s="124">
        <f t="shared" si="24"/>
        <v>5972.26</v>
      </c>
    </row>
  </sheetData>
  <phoneticPr fontId="1" type="noConversion"/>
  <printOptions horizontalCentered="1" gridLines="1"/>
  <pageMargins left="0.5" right="0.25" top="1" bottom="0.5" header="0.5" footer="0.25"/>
  <pageSetup scale="64" orientation="portrait" horizontalDpi="300" verticalDpi="300" r:id="rId1"/>
  <headerFooter alignWithMargins="0">
    <oddHeader>&amp;L&amp;"Arial,Bold"DEPT of EDUCATION
Program Finance Div.&amp;C&amp;"Arial,Bold"FY 06-11 GENERAL EDUCATION REVENUE
FEBRUARY 2008 FORECAST
FOR SPECIAL PUPIL AID CALCULATION&amp;R&amp;"Arial,Bold"&amp;D
&amp;T</oddHeader>
    <oddFooter>&amp;L&amp;"Arial,Regular"&amp;F&amp;R&amp;"Arial,Regular"&amp;A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N85"/>
  <sheetViews>
    <sheetView zoomScaleNormal="100" zoomScaleSheetLayoutView="85" workbookViewId="0">
      <pane xSplit="3" ySplit="3" topLeftCell="H50" activePane="bottomRight" state="frozen"/>
      <selection activeCell="A2" sqref="A2"/>
      <selection pane="topRight" activeCell="A2" sqref="A2"/>
      <selection pane="bottomLeft" activeCell="A2" sqref="A2"/>
      <selection pane="bottomRight" activeCell="H85" sqref="H85"/>
    </sheetView>
  </sheetViews>
  <sheetFormatPr defaultColWidth="8" defaultRowHeight="12.75" x14ac:dyDescent="0.2"/>
  <cols>
    <col min="1" max="1" width="4.125" style="39" customWidth="1"/>
    <col min="2" max="2" width="2.25" style="39" customWidth="1"/>
    <col min="3" max="3" width="28.625" style="39" customWidth="1"/>
    <col min="4" max="5" width="12.625" style="39" hidden="1" customWidth="1"/>
    <col min="6" max="12" width="12.625" style="39" customWidth="1"/>
    <col min="13" max="16384" width="8" style="39"/>
  </cols>
  <sheetData>
    <row r="1" spans="1:12" x14ac:dyDescent="0.2">
      <c r="A1" s="42" t="s">
        <v>298</v>
      </c>
    </row>
    <row r="3" spans="1:12" x14ac:dyDescent="0.2">
      <c r="A3" s="118" t="s">
        <v>293</v>
      </c>
      <c r="B3" s="118"/>
      <c r="C3" s="119"/>
      <c r="D3" s="120" t="s">
        <v>135</v>
      </c>
      <c r="E3" s="120" t="s">
        <v>136</v>
      </c>
      <c r="F3" s="120" t="s">
        <v>138</v>
      </c>
      <c r="G3" s="120" t="s">
        <v>139</v>
      </c>
      <c r="H3" s="120" t="s">
        <v>164</v>
      </c>
      <c r="I3" s="120" t="s">
        <v>165</v>
      </c>
      <c r="J3" s="120" t="s">
        <v>249</v>
      </c>
      <c r="K3" s="120" t="s">
        <v>250</v>
      </c>
      <c r="L3" s="120" t="s">
        <v>300</v>
      </c>
    </row>
    <row r="5" spans="1:12" x14ac:dyDescent="0.2">
      <c r="A5" s="39">
        <v>1</v>
      </c>
      <c r="B5" s="39" t="s">
        <v>140</v>
      </c>
      <c r="D5" s="41">
        <f>'FY 2003'!I5</f>
        <v>962146</v>
      </c>
      <c r="E5" s="41">
        <f>'FY 2004'!I5</f>
        <v>957096</v>
      </c>
      <c r="F5" s="41">
        <f>'FY 2006'!I5</f>
        <v>953041</v>
      </c>
      <c r="G5" s="41">
        <f>'FY 2007'!I5</f>
        <v>953288</v>
      </c>
      <c r="H5" s="41">
        <f>'FY 2008'!I5</f>
        <v>953432</v>
      </c>
      <c r="I5" s="41">
        <f>'FY 2009'!$I5</f>
        <v>948587</v>
      </c>
      <c r="J5" s="41">
        <f>'FY 2010'!$J5</f>
        <v>947210</v>
      </c>
      <c r="K5" s="41">
        <f>'FY 2011'!$J5</f>
        <v>948097</v>
      </c>
    </row>
    <row r="7" spans="1:12" x14ac:dyDescent="0.2">
      <c r="B7" s="42" t="s">
        <v>155</v>
      </c>
      <c r="D7" s="40"/>
      <c r="E7" s="40"/>
      <c r="F7" s="40"/>
      <c r="G7" s="40"/>
      <c r="H7" s="40"/>
      <c r="I7" s="40"/>
      <c r="J7" s="40"/>
      <c r="K7" s="40"/>
    </row>
    <row r="8" spans="1:12" x14ac:dyDescent="0.2">
      <c r="A8" s="39">
        <f>A5+1</f>
        <v>2</v>
      </c>
      <c r="B8" s="39" t="s">
        <v>141</v>
      </c>
      <c r="D8" s="41">
        <f>'FY 2003'!I8</f>
        <v>4490060320</v>
      </c>
      <c r="E8" s="41">
        <f>'FY 2004'!I8</f>
        <v>4403575277</v>
      </c>
      <c r="F8" s="41">
        <f>'FY 2006'!I8-'FY 2006'!G8-'FY 2006'!H8</f>
        <v>4448158911</v>
      </c>
      <c r="G8" s="41">
        <f>'FY 2007'!I8-'FY 2007'!G8-'FY 2007'!H8</f>
        <v>4608596779</v>
      </c>
      <c r="H8" s="41">
        <f>'FY 2008'!I8-'FY 2008'!G8-'FY 2008'!H8</f>
        <v>4676709149</v>
      </c>
      <c r="I8" s="41">
        <f>'FY 2009'!$I8-'FY 2009'!G8-'FY 2009'!H8</f>
        <v>4674803771.3999996</v>
      </c>
      <c r="J8" s="41">
        <f>'FY 2010'!$J8-'FY 2010'!G8-'FY 2010'!I8</f>
        <v>4652117979</v>
      </c>
      <c r="K8" s="41">
        <f>'FY 2011'!$J8-'FY 2011'!G8-'FY 2011'!I8</f>
        <v>4641176290</v>
      </c>
    </row>
    <row r="9" spans="1:12" x14ac:dyDescent="0.2">
      <c r="A9" s="39">
        <f>A8+1</f>
        <v>3</v>
      </c>
      <c r="B9" s="42" t="s">
        <v>167</v>
      </c>
      <c r="C9" s="42"/>
      <c r="D9" s="41">
        <f>'FY 2003'!I9</f>
        <v>0</v>
      </c>
      <c r="E9" s="41">
        <f>'FY 2004'!I9</f>
        <v>0</v>
      </c>
      <c r="F9" s="41">
        <f>'FY 2006'!I9-'FY 2006'!G9-'FY 2006'!H9</f>
        <v>3719974</v>
      </c>
      <c r="G9" s="41">
        <f>'FY 2007'!I9</f>
        <v>8579632</v>
      </c>
      <c r="H9" s="41">
        <f>'FY 2008'!I9</f>
        <v>11441209</v>
      </c>
      <c r="I9" s="41">
        <f>'FY 2009'!$I10</f>
        <v>11383078.92</v>
      </c>
      <c r="J9" s="41">
        <f>'FY 2010'!$J9</f>
        <v>11365913</v>
      </c>
      <c r="K9" s="41">
        <f>'FY 2011'!$J9</f>
        <v>11377163</v>
      </c>
    </row>
    <row r="10" spans="1:12" x14ac:dyDescent="0.2">
      <c r="A10" s="39">
        <f>A9+1</f>
        <v>4</v>
      </c>
      <c r="B10" s="39" t="s">
        <v>142</v>
      </c>
      <c r="D10" s="41">
        <f>'FY 2003'!I10</f>
        <v>0</v>
      </c>
      <c r="E10" s="41">
        <f>'FY 2004'!I10</f>
        <v>50351550</v>
      </c>
      <c r="F10" s="41">
        <f>'FY 2006'!I10-'FY 2006'!G10-'FY 2006'!H10</f>
        <v>51811953</v>
      </c>
      <c r="G10" s="41">
        <f>'FY 2007'!I10</f>
        <v>55436989</v>
      </c>
      <c r="H10" s="41">
        <f>'FY 2008'!I10</f>
        <v>59590817</v>
      </c>
      <c r="I10" s="41">
        <f>'FY 2009'!$I11</f>
        <v>60995641.039999999</v>
      </c>
      <c r="J10" s="41">
        <f>'FY 2010'!$J10</f>
        <v>64565373</v>
      </c>
      <c r="K10" s="41">
        <f>'FY 2011'!$J10</f>
        <v>69073025</v>
      </c>
    </row>
    <row r="11" spans="1:12" x14ac:dyDescent="0.2">
      <c r="B11" s="42" t="s">
        <v>171</v>
      </c>
      <c r="D11" s="41"/>
      <c r="E11" s="41"/>
      <c r="F11" s="41"/>
      <c r="G11" s="41"/>
      <c r="H11" s="41"/>
      <c r="I11" s="41"/>
      <c r="J11" s="41"/>
      <c r="K11" s="41"/>
    </row>
    <row r="12" spans="1:12" x14ac:dyDescent="0.2">
      <c r="A12" s="39">
        <f>A10+1</f>
        <v>5</v>
      </c>
      <c r="C12" s="39" t="s">
        <v>143</v>
      </c>
      <c r="D12" s="41">
        <f>'FY 2003'!I12</f>
        <v>262694686</v>
      </c>
      <c r="E12" s="41">
        <f>'FY 2004'!I12</f>
        <v>249146954</v>
      </c>
      <c r="F12" s="41">
        <f>'FY 2006'!I12-'FY 2006'!G12-'FY 2006'!H12</f>
        <v>271753985</v>
      </c>
      <c r="G12" s="41">
        <f>'FY 2007'!I12</f>
        <v>315471905</v>
      </c>
      <c r="H12" s="41">
        <f>'FY 2008'!I12</f>
        <v>333928094</v>
      </c>
      <c r="I12" s="41">
        <f>'FY 2009'!$I13</f>
        <v>348510685.62</v>
      </c>
      <c r="J12" s="41">
        <f>'FY 2010'!$J12</f>
        <v>361157268</v>
      </c>
      <c r="K12" s="41">
        <f>'FY 2011'!$J12</f>
        <v>414260438</v>
      </c>
    </row>
    <row r="13" spans="1:12" x14ac:dyDescent="0.2">
      <c r="A13" s="39">
        <f t="shared" ref="A13:A23" si="0">A12+1</f>
        <v>6</v>
      </c>
      <c r="C13" s="39" t="s">
        <v>144</v>
      </c>
      <c r="D13" s="41">
        <f>'FY 2003'!I13</f>
        <v>36857227</v>
      </c>
      <c r="E13" s="41">
        <f>'FY 2004'!I13</f>
        <v>28818713</v>
      </c>
      <c r="F13" s="41">
        <f>'FY 2006'!I13-'FY 2006'!G13-'FY 2006'!H13</f>
        <v>28357728</v>
      </c>
      <c r="G13" s="41">
        <f>'FY 2007'!I13</f>
        <v>31474254</v>
      </c>
      <c r="H13" s="41">
        <f>'FY 2008'!I13</f>
        <v>32316781</v>
      </c>
      <c r="I13" s="41">
        <f>'FY 2009'!$I14</f>
        <v>32058187</v>
      </c>
      <c r="J13" s="41">
        <f>'FY 2010'!$J13</f>
        <v>31807937</v>
      </c>
      <c r="K13" s="41">
        <f>'FY 2011'!$J13</f>
        <v>31673120</v>
      </c>
    </row>
    <row r="14" spans="1:12" x14ac:dyDescent="0.2">
      <c r="A14" s="39">
        <f t="shared" si="0"/>
        <v>7</v>
      </c>
      <c r="B14" s="42"/>
      <c r="C14" s="42" t="s">
        <v>170</v>
      </c>
      <c r="D14" s="41">
        <f>'FY 2003'!I14</f>
        <v>9779108</v>
      </c>
      <c r="E14" s="41">
        <f>'FY 2004'!I14</f>
        <v>7276758</v>
      </c>
      <c r="F14" s="41">
        <f>'FY 2006'!I14-'FY 2006'!G14-'FY 2006'!H14</f>
        <v>7045250</v>
      </c>
      <c r="G14" s="41">
        <f>'FY 2007'!I14</f>
        <v>8057613</v>
      </c>
      <c r="H14" s="41">
        <f>'FY 2008'!I14</f>
        <v>8306508</v>
      </c>
      <c r="I14" s="41">
        <f>'FY 2009'!$I15</f>
        <v>8316835</v>
      </c>
      <c r="J14" s="41">
        <f>'FY 2010'!$J14</f>
        <v>8258276</v>
      </c>
      <c r="K14" s="41">
        <f>'FY 2011'!$J14</f>
        <v>8387524</v>
      </c>
    </row>
    <row r="15" spans="1:12" x14ac:dyDescent="0.2">
      <c r="A15" s="39">
        <f t="shared" si="0"/>
        <v>8</v>
      </c>
      <c r="B15" s="39" t="s">
        <v>145</v>
      </c>
      <c r="D15" s="41">
        <f>'FY 2003'!I15</f>
        <v>16471551</v>
      </c>
      <c r="E15" s="41">
        <f>'FY 2004'!I15</f>
        <v>16909578</v>
      </c>
      <c r="F15" s="41">
        <f>'FY 2006'!I15-'FY 2006'!G15-'FY 2006'!H15</f>
        <v>18397203</v>
      </c>
      <c r="G15" s="41">
        <f>'FY 2007'!I15</f>
        <v>20254233</v>
      </c>
      <c r="H15" s="41">
        <f>'FY 2008'!I15</f>
        <v>21637534</v>
      </c>
      <c r="I15" s="41">
        <f>'FY 2009'!$I16</f>
        <v>22898807.41</v>
      </c>
      <c r="J15" s="41">
        <f>'FY 2010'!$J15</f>
        <v>23368633</v>
      </c>
      <c r="K15" s="41">
        <f>'FY 2011'!$J15</f>
        <v>23511161</v>
      </c>
    </row>
    <row r="16" spans="1:12" x14ac:dyDescent="0.2">
      <c r="A16" s="39">
        <f t="shared" si="0"/>
        <v>9</v>
      </c>
      <c r="B16" s="39" t="s">
        <v>146</v>
      </c>
      <c r="D16" s="41">
        <f>'FY 2003'!I16</f>
        <v>56478364</v>
      </c>
      <c r="E16" s="41">
        <f>'FY 2004'!I16</f>
        <v>55913098</v>
      </c>
      <c r="F16" s="41">
        <f>'FY 2006'!I16-'FY 2006'!G16-'FY 2006'!H16</f>
        <v>56687280</v>
      </c>
      <c r="G16" s="41">
        <f>'FY 2007'!I16</f>
        <v>59221788</v>
      </c>
      <c r="H16" s="41">
        <f>'FY 2008'!I16</f>
        <v>60083765</v>
      </c>
      <c r="I16" s="41">
        <f>'FY 2009'!$I17</f>
        <v>60159097.219999999</v>
      </c>
      <c r="J16" s="41">
        <f>'FY 2010'!$J16</f>
        <v>59833229</v>
      </c>
      <c r="K16" s="41">
        <f>'FY 2011'!$J16</f>
        <v>60371479</v>
      </c>
    </row>
    <row r="17" spans="1:11" x14ac:dyDescent="0.2">
      <c r="A17" s="39">
        <f t="shared" si="0"/>
        <v>10</v>
      </c>
      <c r="B17" s="39" t="s">
        <v>148</v>
      </c>
      <c r="D17" s="41">
        <f>'FY 2003'!I17</f>
        <v>25114308</v>
      </c>
      <c r="E17" s="41">
        <f>'FY 2004'!I17</f>
        <v>18869558</v>
      </c>
      <c r="F17" s="41">
        <f>'FY 2006'!I17-'FY 2006'!G17-'FY 2006'!H17</f>
        <v>8014853</v>
      </c>
      <c r="G17" s="41">
        <f>'FY 2007'!I17</f>
        <v>4354428</v>
      </c>
      <c r="H17" s="41">
        <f>'FY 2008'!I17</f>
        <v>2146056</v>
      </c>
      <c r="I17" s="41">
        <f>'FY 2009'!$I18</f>
        <v>1207447.57</v>
      </c>
      <c r="J17" s="41">
        <f>'FY 2010'!$J17</f>
        <v>675850</v>
      </c>
      <c r="K17" s="41">
        <f>'FY 2011'!$J17</f>
        <v>373228</v>
      </c>
    </row>
    <row r="18" spans="1:11" x14ac:dyDescent="0.2">
      <c r="A18" s="39">
        <f t="shared" si="0"/>
        <v>11</v>
      </c>
      <c r="B18" s="42" t="s">
        <v>244</v>
      </c>
      <c r="D18" s="41">
        <f>'FY 2003'!I18</f>
        <v>0</v>
      </c>
      <c r="E18" s="41">
        <f>'FY 2004'!I18</f>
        <v>0</v>
      </c>
      <c r="F18" s="41">
        <f>'FY 2006'!I18-'FY 2006'!G18-'FY 2006'!H18</f>
        <v>-344932</v>
      </c>
      <c r="G18" s="41">
        <f>'FY 2007'!I18</f>
        <v>0</v>
      </c>
      <c r="H18" s="41">
        <f>'FY 2008'!I18</f>
        <v>-730496</v>
      </c>
      <c r="I18" s="41">
        <f>'FY 2009'!$I19</f>
        <v>0</v>
      </c>
      <c r="J18" s="41">
        <f>'FY 2010'!$J18</f>
        <v>-2507070</v>
      </c>
      <c r="K18" s="41">
        <f>'FY 2011'!$J18</f>
        <v>0</v>
      </c>
    </row>
    <row r="19" spans="1:11" x14ac:dyDescent="0.2">
      <c r="A19" s="39">
        <f t="shared" si="0"/>
        <v>12</v>
      </c>
      <c r="B19" s="39" t="s">
        <v>147</v>
      </c>
      <c r="D19" s="41">
        <f>'FY 2003'!I19</f>
        <v>198438434</v>
      </c>
      <c r="E19" s="41">
        <f>'FY 2004'!I19</f>
        <v>194217096</v>
      </c>
      <c r="F19" s="41">
        <f>'FY 2006'!I19-'FY 2006'!G19-'FY 2006'!H19</f>
        <v>189326862</v>
      </c>
      <c r="G19" s="41">
        <f>'FY 2007'!I19</f>
        <v>194117024</v>
      </c>
      <c r="H19" s="41">
        <f>'FY 2008'!I19</f>
        <v>194635565</v>
      </c>
      <c r="I19" s="41">
        <f>'FY 2009'!$I20</f>
        <v>194299107.03</v>
      </c>
      <c r="J19" s="41">
        <f>'FY 2010'!$J20</f>
        <v>194409760</v>
      </c>
      <c r="K19" s="41">
        <f>'FY 2011'!$J19</f>
        <v>194612210</v>
      </c>
    </row>
    <row r="20" spans="1:11" x14ac:dyDescent="0.2">
      <c r="A20" s="39">
        <f t="shared" si="0"/>
        <v>13</v>
      </c>
      <c r="B20" s="39" t="s">
        <v>149</v>
      </c>
      <c r="D20" s="41">
        <f>'FY 2003'!I20</f>
        <v>34642490</v>
      </c>
      <c r="E20" s="41">
        <f>'FY 2004'!I20</f>
        <v>32112369</v>
      </c>
      <c r="F20" s="41">
        <f>'FY 2006'!I20-'FY 2006'!G20-'FY 2006'!H20</f>
        <v>49766290</v>
      </c>
      <c r="G20" s="41">
        <f>'FY 2007'!I20</f>
        <v>94274069</v>
      </c>
      <c r="H20" s="41">
        <f>'FY 2008'!I20</f>
        <v>95708805</v>
      </c>
      <c r="I20" s="41">
        <f>'FY 2009'!$I21</f>
        <v>93361990.019999996</v>
      </c>
      <c r="J20" s="41">
        <f>'FY 2010'!$J21</f>
        <v>92518770</v>
      </c>
      <c r="K20" s="41">
        <f>'FY 2011'!$J20</f>
        <v>92334012</v>
      </c>
    </row>
    <row r="21" spans="1:11" x14ac:dyDescent="0.2">
      <c r="A21" s="39">
        <f t="shared" si="0"/>
        <v>14</v>
      </c>
      <c r="B21" s="42" t="s">
        <v>173</v>
      </c>
      <c r="D21" s="41">
        <f>'FY 2003'!I21</f>
        <v>0</v>
      </c>
      <c r="E21" s="41">
        <f>'FY 2004'!I21</f>
        <v>31986524</v>
      </c>
      <c r="F21" s="41">
        <f>'FY 2006'!I21-'FY 2006'!G21-'FY 2006'!H21</f>
        <v>29975351</v>
      </c>
      <c r="G21" s="41">
        <f>'FY 2007'!I21</f>
        <v>30462514</v>
      </c>
      <c r="H21" s="41">
        <f>'FY 2008'!I21</f>
        <v>30143318</v>
      </c>
      <c r="I21" s="41">
        <f>'FY 2009'!$I22</f>
        <v>29711997.400000002</v>
      </c>
      <c r="J21" s="41">
        <f>'FY 2010'!$J22</f>
        <v>29453149</v>
      </c>
      <c r="K21" s="41">
        <f>'FY 2011'!$J21</f>
        <v>29215443</v>
      </c>
    </row>
    <row r="22" spans="1:11" x14ac:dyDescent="0.2">
      <c r="A22" s="39">
        <f t="shared" si="0"/>
        <v>15</v>
      </c>
      <c r="B22" s="42" t="s">
        <v>168</v>
      </c>
      <c r="C22" s="42"/>
      <c r="D22" s="41">
        <f>'FY 2003'!I22</f>
        <v>0</v>
      </c>
      <c r="E22" s="41">
        <f>'FY 2004'!I22</f>
        <v>0</v>
      </c>
      <c r="F22" s="41">
        <f>'FY 2006'!I22-'FY 2006'!G22-'FY 2006'!H22</f>
        <v>16096910</v>
      </c>
      <c r="G22" s="41">
        <f>'FY 2007'!I22</f>
        <v>48603714</v>
      </c>
      <c r="H22" s="41">
        <f>'FY 2008'!I22</f>
        <v>60763648</v>
      </c>
      <c r="I22" s="41">
        <f>'FY 2009'!$I23</f>
        <v>63348360.07</v>
      </c>
      <c r="J22" s="41">
        <f>'FY 2010'!$J23</f>
        <v>58291520</v>
      </c>
      <c r="K22" s="41">
        <f>'FY 2011'!$J22</f>
        <v>63056932</v>
      </c>
    </row>
    <row r="23" spans="1:11" x14ac:dyDescent="0.2">
      <c r="A23" s="39">
        <f t="shared" si="0"/>
        <v>16</v>
      </c>
      <c r="B23" s="39" t="s">
        <v>150</v>
      </c>
      <c r="D23" s="41">
        <f>'FY 2003'!I23</f>
        <v>291708358</v>
      </c>
      <c r="E23" s="41">
        <f>'FY 2004'!I23</f>
        <v>426336542</v>
      </c>
      <c r="F23" s="41">
        <f>'FY 2006'!I23-'FY 2006'!G23-'FY 2006'!H23</f>
        <v>534314512</v>
      </c>
      <c r="G23" s="41">
        <f>'FY 2007'!I23</f>
        <v>598966155</v>
      </c>
      <c r="H23" s="41">
        <f>'FY 2008'!I23</f>
        <v>644192179</v>
      </c>
      <c r="I23" s="41">
        <f>'FY 2009'!$I24</f>
        <v>720567181.45000005</v>
      </c>
      <c r="J23" s="41">
        <f>'FY 2010'!$J24</f>
        <v>781675140</v>
      </c>
      <c r="K23" s="41">
        <f>'FY 2011'!$J23</f>
        <v>804832265</v>
      </c>
    </row>
    <row r="24" spans="1:11" x14ac:dyDescent="0.2">
      <c r="B24" s="42" t="s">
        <v>172</v>
      </c>
      <c r="D24" s="41"/>
      <c r="E24" s="41"/>
      <c r="F24" s="41"/>
      <c r="G24" s="41"/>
      <c r="H24" s="41"/>
      <c r="I24" s="41"/>
      <c r="J24" s="41"/>
      <c r="K24" s="41"/>
    </row>
    <row r="25" spans="1:11" x14ac:dyDescent="0.2">
      <c r="A25" s="39">
        <f>A23+1</f>
        <v>17</v>
      </c>
      <c r="B25" s="42"/>
      <c r="C25" s="42" t="s">
        <v>175</v>
      </c>
      <c r="D25" s="41">
        <f>'FY 2003'!I25</f>
        <v>1341221</v>
      </c>
      <c r="E25" s="41">
        <f>'FY 2004'!I25</f>
        <v>-679857</v>
      </c>
      <c r="F25" s="41">
        <f>'FY 2006'!I25-'FY 2006'!G25-'FY 2006'!H25</f>
        <v>-3077997.79</v>
      </c>
      <c r="G25" s="41">
        <f>'FY 2007'!I25</f>
        <v>-885672</v>
      </c>
      <c r="H25" s="41">
        <f>'FY 2008'!I25</f>
        <v>-181964</v>
      </c>
      <c r="I25" s="41">
        <f>'FY 2009'!$I26</f>
        <v>262096</v>
      </c>
      <c r="J25" s="41">
        <f>'FY 2010'!$J26</f>
        <v>607348</v>
      </c>
      <c r="K25" s="41">
        <f>'FY 2011'!$J25</f>
        <v>657596</v>
      </c>
    </row>
    <row r="26" spans="1:11" x14ac:dyDescent="0.2">
      <c r="A26" s="39">
        <f>A25+1</f>
        <v>18</v>
      </c>
      <c r="B26" s="42"/>
      <c r="C26" s="42" t="s">
        <v>182</v>
      </c>
      <c r="D26" s="41">
        <f>'FY 2003'!I26</f>
        <v>-1804253</v>
      </c>
      <c r="E26" s="41">
        <f>'FY 2004'!I26</f>
        <v>1059</v>
      </c>
      <c r="F26" s="41">
        <f>'FY 2006'!I26-'FY 2006'!G26-'FY 2006'!H26</f>
        <v>1946553.44</v>
      </c>
      <c r="G26" s="41">
        <f>'FY 2007'!I26</f>
        <v>0</v>
      </c>
      <c r="H26" s="41">
        <f>'FY 2008'!I26</f>
        <v>0</v>
      </c>
      <c r="I26" s="41">
        <f>'FY 2009'!$I27</f>
        <v>-9.9999995436519384E-3</v>
      </c>
      <c r="J26" s="41">
        <f>'FY 2010'!$J27</f>
        <v>0</v>
      </c>
      <c r="K26" s="41">
        <f>'FY 2011'!$J26</f>
        <v>32</v>
      </c>
    </row>
    <row r="27" spans="1:11" x14ac:dyDescent="0.2">
      <c r="A27" s="39">
        <f>A26+1</f>
        <v>19</v>
      </c>
      <c r="B27" s="42"/>
      <c r="C27" s="42" t="s">
        <v>201</v>
      </c>
      <c r="D27" s="41">
        <f>'FY 2003'!I27</f>
        <v>0</v>
      </c>
      <c r="E27" s="41">
        <f>'FY 2004'!I27</f>
        <v>0</v>
      </c>
      <c r="F27" s="41">
        <f>'FY 2006'!I27-'FY 2006'!G27-'FY 2006'!H27</f>
        <v>33079.82</v>
      </c>
      <c r="G27" s="41">
        <f>'FY 2007'!I27</f>
        <v>0</v>
      </c>
      <c r="H27" s="41">
        <f>'FY 2008'!I27</f>
        <v>0</v>
      </c>
      <c r="I27" s="41">
        <f>'FY 2009'!$I28</f>
        <v>0</v>
      </c>
      <c r="J27" s="41">
        <f>'FY 2010'!$J28</f>
        <v>0</v>
      </c>
      <c r="K27" s="41">
        <f>'FY 2011'!$J27</f>
        <v>777</v>
      </c>
    </row>
    <row r="28" spans="1:11" x14ac:dyDescent="0.2">
      <c r="A28" s="39">
        <f>A27+1</f>
        <v>20</v>
      </c>
      <c r="B28" s="42"/>
      <c r="C28" s="42" t="s">
        <v>183</v>
      </c>
      <c r="D28" s="41">
        <f>'FY 2003'!I28</f>
        <v>0</v>
      </c>
      <c r="E28" s="41">
        <f>'FY 2004'!I28</f>
        <v>0</v>
      </c>
      <c r="F28" s="41">
        <f>'FY 2006'!I28-'FY 2006'!G28-'FY 2006'!H28</f>
        <v>437202.44</v>
      </c>
      <c r="G28" s="41">
        <f>'FY 2007'!I28</f>
        <v>0</v>
      </c>
      <c r="H28" s="41">
        <f>'FY 2008'!I28</f>
        <v>0</v>
      </c>
      <c r="I28" s="41">
        <f>'FY 2009'!$I29</f>
        <v>-1.0000000009313226E-2</v>
      </c>
      <c r="J28" s="41">
        <f>'FY 2010'!$J29</f>
        <v>4</v>
      </c>
      <c r="K28" s="41">
        <f>'FY 2011'!$J28</f>
        <v>165</v>
      </c>
    </row>
    <row r="29" spans="1:11" x14ac:dyDescent="0.2">
      <c r="A29" s="39">
        <f>A28+1</f>
        <v>21</v>
      </c>
      <c r="B29" s="42"/>
      <c r="C29" s="42" t="s">
        <v>251</v>
      </c>
      <c r="D29" s="41">
        <v>0</v>
      </c>
      <c r="E29" s="41">
        <v>0</v>
      </c>
      <c r="F29" s="41">
        <f>'FY 2006'!I29-'FY 2006'!G29-'FY 2006'!H29</f>
        <v>0</v>
      </c>
      <c r="G29" s="41">
        <f>'FY 2007'!$I29</f>
        <v>-398</v>
      </c>
      <c r="H29" s="41">
        <f>'FY 2008'!$I29</f>
        <v>-355.17999999946915</v>
      </c>
      <c r="I29" s="41">
        <f>'FY 2009'!$I30</f>
        <v>-461.16000000014901</v>
      </c>
      <c r="J29" s="41">
        <f>'FY 2010'!$J30</f>
        <v>-449</v>
      </c>
      <c r="K29" s="41">
        <f>'FY 2011'!$J29</f>
        <v>-195</v>
      </c>
    </row>
    <row r="30" spans="1:11" x14ac:dyDescent="0.2">
      <c r="D30" s="41"/>
      <c r="E30" s="41"/>
      <c r="F30" s="41"/>
      <c r="G30" s="41"/>
      <c r="H30" s="41"/>
      <c r="I30" s="41"/>
      <c r="J30" s="41"/>
      <c r="K30" s="41"/>
    </row>
    <row r="31" spans="1:11" x14ac:dyDescent="0.2">
      <c r="A31" s="39">
        <f>A29+1</f>
        <v>22</v>
      </c>
      <c r="B31" s="42" t="s">
        <v>158</v>
      </c>
      <c r="D31" s="41">
        <f t="shared" ref="D31:K31" si="1">SUM(D8:D29)</f>
        <v>5421781814</v>
      </c>
      <c r="E31" s="41">
        <f t="shared" si="1"/>
        <v>5514835219</v>
      </c>
      <c r="F31" s="41">
        <f t="shared" si="1"/>
        <v>5712420967.9099989</v>
      </c>
      <c r="G31" s="41">
        <f t="shared" si="1"/>
        <v>6076985027</v>
      </c>
      <c r="H31" s="41">
        <f t="shared" si="1"/>
        <v>6230690612.8199997</v>
      </c>
      <c r="I31" s="41">
        <f t="shared" si="1"/>
        <v>6321883821.9699984</v>
      </c>
      <c r="J31" s="41">
        <f t="shared" si="1"/>
        <v>6367598630</v>
      </c>
      <c r="K31" s="41">
        <f t="shared" si="1"/>
        <v>6444912665</v>
      </c>
    </row>
    <row r="32" spans="1:11" x14ac:dyDescent="0.2">
      <c r="D32" s="41"/>
      <c r="E32" s="41"/>
      <c r="F32" s="41"/>
      <c r="G32" s="41"/>
      <c r="H32" s="41"/>
      <c r="I32" s="41"/>
      <c r="J32" s="41"/>
      <c r="K32" s="41"/>
    </row>
    <row r="33" spans="1:11" x14ac:dyDescent="0.2">
      <c r="B33" s="42" t="s">
        <v>156</v>
      </c>
      <c r="C33" s="42"/>
      <c r="D33" s="41"/>
      <c r="E33" s="41"/>
      <c r="F33" s="41"/>
      <c r="G33" s="41"/>
      <c r="H33" s="41"/>
      <c r="I33" s="41"/>
      <c r="J33" s="41"/>
      <c r="K33" s="41"/>
    </row>
    <row r="34" spans="1:11" x14ac:dyDescent="0.2">
      <c r="A34" s="39">
        <f>A31+1</f>
        <v>23</v>
      </c>
      <c r="B34" s="39" t="s">
        <v>153</v>
      </c>
      <c r="D34" s="41">
        <f>'FY 2003'!I33</f>
        <v>0</v>
      </c>
      <c r="E34" s="41">
        <f>'FY 2004'!I33</f>
        <v>0</v>
      </c>
      <c r="F34" s="41">
        <f>'FY 2006'!I34-'FY 2006'!G34-'FY 2006'!H34</f>
        <v>44268155</v>
      </c>
      <c r="G34" s="41">
        <f>'FY 2007'!I34</f>
        <v>101934454</v>
      </c>
      <c r="H34" s="41">
        <f>'FY 2008'!I34</f>
        <v>111830374</v>
      </c>
      <c r="I34" s="41">
        <f>'FY 2009'!$I35</f>
        <v>121253039.75</v>
      </c>
      <c r="J34" s="41">
        <f>'FY 2010'!$J35</f>
        <v>124276595</v>
      </c>
      <c r="K34" s="41">
        <f>'FY 2011'!$J34</f>
        <v>124623859</v>
      </c>
    </row>
    <row r="35" spans="1:11" x14ac:dyDescent="0.2">
      <c r="A35" s="39">
        <f>A34+1</f>
        <v>24</v>
      </c>
      <c r="B35" s="39" t="s">
        <v>152</v>
      </c>
      <c r="D35" s="41">
        <f>'FY 2003'!I34</f>
        <v>0</v>
      </c>
      <c r="E35" s="41">
        <f>'FY 2004'!I34</f>
        <v>0</v>
      </c>
      <c r="F35" s="41">
        <f>'FY 2006'!I35-'FY 2006'!G35-'FY 2006'!H35</f>
        <v>25083314</v>
      </c>
      <c r="G35" s="41">
        <f>'FY 2007'!I35</f>
        <v>63740065</v>
      </c>
      <c r="H35" s="41">
        <f>'FY 2008'!I35</f>
        <v>70604296</v>
      </c>
      <c r="I35" s="41">
        <f>'FY 2009'!$I36</f>
        <v>73701614.290000007</v>
      </c>
      <c r="J35" s="41">
        <f>'FY 2010'!$J36</f>
        <v>75798743</v>
      </c>
      <c r="K35" s="41">
        <f>'FY 2011'!$J35</f>
        <v>76305360</v>
      </c>
    </row>
    <row r="36" spans="1:11" x14ac:dyDescent="0.2">
      <c r="A36" s="39">
        <f>A35+1</f>
        <v>25</v>
      </c>
      <c r="B36" s="42" t="s">
        <v>174</v>
      </c>
      <c r="D36" s="41">
        <f>'FY 2003'!I35</f>
        <v>0</v>
      </c>
      <c r="E36" s="41">
        <f>'FY 2004'!I35</f>
        <v>0</v>
      </c>
      <c r="F36" s="41">
        <f>'FY 2006'!I36-'FY 2006'!G36-'FY 2006'!H36</f>
        <v>20383544</v>
      </c>
      <c r="G36" s="41">
        <f>'FY 2007'!I36</f>
        <v>21830489</v>
      </c>
      <c r="H36" s="41">
        <f>'FY 2008'!I36</f>
        <v>23010395</v>
      </c>
      <c r="I36" s="41">
        <f>'FY 2009'!$I37</f>
        <v>24292896.73</v>
      </c>
      <c r="J36" s="41">
        <f>'FY 2010'!$J37</f>
        <v>25195534</v>
      </c>
      <c r="K36" s="41">
        <f>'FY 2011'!$J36</f>
        <v>25244531</v>
      </c>
    </row>
    <row r="37" spans="1:11" x14ac:dyDescent="0.2">
      <c r="A37" s="39">
        <f>A36+1</f>
        <v>26</v>
      </c>
      <c r="B37" s="42" t="s">
        <v>168</v>
      </c>
      <c r="C37" s="42"/>
      <c r="D37" s="41">
        <f>'FY 2003'!I36</f>
        <v>0</v>
      </c>
      <c r="E37" s="41">
        <f>'FY 2004'!I36</f>
        <v>0</v>
      </c>
      <c r="F37" s="41">
        <f>'FY 2006'!I37-'FY 2006'!G37-'FY 2006'!H37</f>
        <v>0</v>
      </c>
      <c r="G37" s="41">
        <f>'FY 2007'!I37</f>
        <v>9695468</v>
      </c>
      <c r="H37" s="41">
        <f>'FY 2008'!I37</f>
        <v>12779741</v>
      </c>
      <c r="I37" s="41">
        <f>'FY 2009'!$I38</f>
        <v>13353371.300000001</v>
      </c>
      <c r="J37" s="41">
        <f>'FY 2010'!$J38</f>
        <v>16807134</v>
      </c>
      <c r="K37" s="41">
        <f>'FY 2011'!$J37</f>
        <v>18158004</v>
      </c>
    </row>
    <row r="38" spans="1:11" x14ac:dyDescent="0.2">
      <c r="A38" s="39">
        <f>A37+1</f>
        <v>27</v>
      </c>
      <c r="B38" s="39" t="s">
        <v>154</v>
      </c>
      <c r="D38" s="41">
        <f>'FY 2003'!I37</f>
        <v>224945858</v>
      </c>
      <c r="E38" s="41">
        <f>'FY 2004'!I37</f>
        <v>351087875</v>
      </c>
      <c r="F38" s="41">
        <f>'FY 2006'!I38-'FY 2006'!G38-'FY 2006'!H38</f>
        <v>410867894</v>
      </c>
      <c r="G38" s="41">
        <f>'FY 2007'!I38</f>
        <v>482421730</v>
      </c>
      <c r="H38" s="41">
        <f>'FY 2008'!I38</f>
        <v>540184289</v>
      </c>
      <c r="I38" s="41">
        <f>'FY 2009'!$I39</f>
        <v>635333526.83000004</v>
      </c>
      <c r="J38" s="41">
        <f>'FY 2010'!$J39</f>
        <v>712334239</v>
      </c>
      <c r="K38" s="41">
        <f>'FY 2011'!$J38</f>
        <v>737629396</v>
      </c>
    </row>
    <row r="39" spans="1:11" x14ac:dyDescent="0.2">
      <c r="D39" s="41"/>
      <c r="E39" s="41"/>
      <c r="F39" s="41"/>
      <c r="G39" s="41"/>
      <c r="H39" s="41"/>
      <c r="I39" s="41"/>
      <c r="J39" s="41"/>
      <c r="K39" s="41"/>
    </row>
    <row r="40" spans="1:11" x14ac:dyDescent="0.2">
      <c r="A40" s="39">
        <f>A38+1</f>
        <v>28</v>
      </c>
      <c r="B40" s="42" t="s">
        <v>159</v>
      </c>
      <c r="C40" s="42"/>
      <c r="D40" s="41">
        <f t="shared" ref="D40:K40" si="2">SUM(D34:D38)</f>
        <v>224945858</v>
      </c>
      <c r="E40" s="41">
        <f t="shared" si="2"/>
        <v>351087875</v>
      </c>
      <c r="F40" s="41">
        <f t="shared" si="2"/>
        <v>500602907</v>
      </c>
      <c r="G40" s="41">
        <f t="shared" si="2"/>
        <v>679622206</v>
      </c>
      <c r="H40" s="41">
        <f t="shared" si="2"/>
        <v>758409095</v>
      </c>
      <c r="I40" s="41">
        <f t="shared" si="2"/>
        <v>867934448.9000001</v>
      </c>
      <c r="J40" s="41">
        <f t="shared" si="2"/>
        <v>954412245</v>
      </c>
      <c r="K40" s="41">
        <f t="shared" si="2"/>
        <v>981961150</v>
      </c>
    </row>
    <row r="41" spans="1:11" x14ac:dyDescent="0.2">
      <c r="B41" s="42"/>
      <c r="C41" s="42"/>
      <c r="D41" s="41"/>
      <c r="E41" s="41"/>
      <c r="F41" s="92"/>
      <c r="G41" s="92"/>
      <c r="H41" s="92"/>
      <c r="I41" s="92"/>
      <c r="J41" s="92"/>
      <c r="K41" s="92"/>
    </row>
    <row r="42" spans="1:11" x14ac:dyDescent="0.2">
      <c r="B42" s="42" t="s">
        <v>157</v>
      </c>
      <c r="C42" s="42"/>
      <c r="D42" s="41"/>
      <c r="E42" s="41"/>
      <c r="F42" s="91"/>
      <c r="G42" s="91"/>
      <c r="H42" s="91"/>
      <c r="I42" s="91"/>
      <c r="J42" s="91"/>
      <c r="K42" s="91"/>
    </row>
    <row r="43" spans="1:11" x14ac:dyDescent="0.2">
      <c r="A43" s="39">
        <f>A40+1</f>
        <v>29</v>
      </c>
      <c r="B43" s="39" t="s">
        <v>141</v>
      </c>
      <c r="D43" s="41">
        <f t="shared" ref="D43:K43" si="3">D8</f>
        <v>4490060320</v>
      </c>
      <c r="E43" s="41">
        <f t="shared" si="3"/>
        <v>4403575277</v>
      </c>
      <c r="F43" s="41">
        <f t="shared" si="3"/>
        <v>4448158911</v>
      </c>
      <c r="G43" s="41">
        <f t="shared" si="3"/>
        <v>4608596779</v>
      </c>
      <c r="H43" s="41">
        <f t="shared" si="3"/>
        <v>4676709149</v>
      </c>
      <c r="I43" s="41">
        <f t="shared" si="3"/>
        <v>4674803771.3999996</v>
      </c>
      <c r="J43" s="41">
        <f t="shared" si="3"/>
        <v>4652117979</v>
      </c>
      <c r="K43" s="41">
        <f t="shared" si="3"/>
        <v>4641176290</v>
      </c>
    </row>
    <row r="44" spans="1:11" x14ac:dyDescent="0.2">
      <c r="A44" s="39">
        <f>A43+1</f>
        <v>30</v>
      </c>
      <c r="B44" s="42" t="s">
        <v>167</v>
      </c>
      <c r="C44" s="42"/>
      <c r="D44" s="41">
        <f t="shared" ref="D44:K44" si="4">D9</f>
        <v>0</v>
      </c>
      <c r="E44" s="41">
        <f t="shared" si="4"/>
        <v>0</v>
      </c>
      <c r="F44" s="41">
        <f t="shared" si="4"/>
        <v>3719974</v>
      </c>
      <c r="G44" s="41">
        <f t="shared" si="4"/>
        <v>8579632</v>
      </c>
      <c r="H44" s="41">
        <f t="shared" si="4"/>
        <v>11441209</v>
      </c>
      <c r="I44" s="41">
        <f t="shared" si="4"/>
        <v>11383078.92</v>
      </c>
      <c r="J44" s="41">
        <f t="shared" si="4"/>
        <v>11365913</v>
      </c>
      <c r="K44" s="41">
        <f t="shared" si="4"/>
        <v>11377163</v>
      </c>
    </row>
    <row r="45" spans="1:11" x14ac:dyDescent="0.2">
      <c r="A45" s="39">
        <f>A44+1</f>
        <v>31</v>
      </c>
      <c r="B45" s="39" t="s">
        <v>142</v>
      </c>
      <c r="D45" s="41">
        <f t="shared" ref="D45:K45" si="5">D10</f>
        <v>0</v>
      </c>
      <c r="E45" s="41">
        <f t="shared" si="5"/>
        <v>50351550</v>
      </c>
      <c r="F45" s="41">
        <f t="shared" si="5"/>
        <v>51811953</v>
      </c>
      <c r="G45" s="41">
        <f t="shared" si="5"/>
        <v>55436989</v>
      </c>
      <c r="H45" s="41">
        <f t="shared" si="5"/>
        <v>59590817</v>
      </c>
      <c r="I45" s="41">
        <f t="shared" si="5"/>
        <v>60995641.039999999</v>
      </c>
      <c r="J45" s="41">
        <f t="shared" si="5"/>
        <v>64565373</v>
      </c>
      <c r="K45" s="41">
        <f t="shared" si="5"/>
        <v>69073025</v>
      </c>
    </row>
    <row r="46" spans="1:11" x14ac:dyDescent="0.2">
      <c r="B46" s="42" t="s">
        <v>171</v>
      </c>
      <c r="D46" s="41"/>
      <c r="E46" s="41"/>
      <c r="F46" s="41"/>
      <c r="G46" s="41"/>
      <c r="H46" s="41"/>
      <c r="I46" s="41"/>
      <c r="J46" s="41"/>
      <c r="K46" s="41"/>
    </row>
    <row r="47" spans="1:11" x14ac:dyDescent="0.2">
      <c r="A47" s="39">
        <f>A45+1</f>
        <v>32</v>
      </c>
      <c r="C47" s="39" t="s">
        <v>143</v>
      </c>
      <c r="D47" s="41">
        <f t="shared" ref="D47:K47" si="6">D12</f>
        <v>262694686</v>
      </c>
      <c r="E47" s="41">
        <f t="shared" si="6"/>
        <v>249146954</v>
      </c>
      <c r="F47" s="41">
        <f t="shared" si="6"/>
        <v>271753985</v>
      </c>
      <c r="G47" s="41">
        <f t="shared" si="6"/>
        <v>315471905</v>
      </c>
      <c r="H47" s="41">
        <f t="shared" si="6"/>
        <v>333928094</v>
      </c>
      <c r="I47" s="41">
        <f t="shared" si="6"/>
        <v>348510685.62</v>
      </c>
      <c r="J47" s="41">
        <f t="shared" si="6"/>
        <v>361157268</v>
      </c>
      <c r="K47" s="41">
        <f t="shared" si="6"/>
        <v>414260438</v>
      </c>
    </row>
    <row r="48" spans="1:11" x14ac:dyDescent="0.2">
      <c r="A48" s="39">
        <f t="shared" ref="A48:A59" si="7">A47+1</f>
        <v>33</v>
      </c>
      <c r="C48" s="39" t="s">
        <v>144</v>
      </c>
      <c r="D48" s="41">
        <f t="shared" ref="D48:K48" si="8">D13</f>
        <v>36857227</v>
      </c>
      <c r="E48" s="41">
        <f t="shared" si="8"/>
        <v>28818713</v>
      </c>
      <c r="F48" s="41">
        <f t="shared" si="8"/>
        <v>28357728</v>
      </c>
      <c r="G48" s="41">
        <f t="shared" si="8"/>
        <v>31474254</v>
      </c>
      <c r="H48" s="41">
        <f t="shared" si="8"/>
        <v>32316781</v>
      </c>
      <c r="I48" s="41">
        <f t="shared" si="8"/>
        <v>32058187</v>
      </c>
      <c r="J48" s="41">
        <f t="shared" si="8"/>
        <v>31807937</v>
      </c>
      <c r="K48" s="41">
        <f t="shared" si="8"/>
        <v>31673120</v>
      </c>
    </row>
    <row r="49" spans="1:11" x14ac:dyDescent="0.2">
      <c r="A49" s="39">
        <f t="shared" si="7"/>
        <v>34</v>
      </c>
      <c r="B49" s="42"/>
      <c r="C49" s="42" t="s">
        <v>170</v>
      </c>
      <c r="D49" s="41">
        <f t="shared" ref="D49:K49" si="9">D14</f>
        <v>9779108</v>
      </c>
      <c r="E49" s="41">
        <f t="shared" si="9"/>
        <v>7276758</v>
      </c>
      <c r="F49" s="41">
        <f t="shared" si="9"/>
        <v>7045250</v>
      </c>
      <c r="G49" s="41">
        <f t="shared" si="9"/>
        <v>8057613</v>
      </c>
      <c r="H49" s="41">
        <f t="shared" si="9"/>
        <v>8306508</v>
      </c>
      <c r="I49" s="41">
        <f t="shared" si="9"/>
        <v>8316835</v>
      </c>
      <c r="J49" s="41">
        <f t="shared" si="9"/>
        <v>8258276</v>
      </c>
      <c r="K49" s="41">
        <f t="shared" si="9"/>
        <v>8387524</v>
      </c>
    </row>
    <row r="50" spans="1:11" x14ac:dyDescent="0.2">
      <c r="A50" s="39">
        <f t="shared" si="7"/>
        <v>35</v>
      </c>
      <c r="B50" s="39" t="s">
        <v>145</v>
      </c>
      <c r="D50" s="41">
        <f t="shared" ref="D50:K50" si="10">D15</f>
        <v>16471551</v>
      </c>
      <c r="E50" s="41">
        <f t="shared" si="10"/>
        <v>16909578</v>
      </c>
      <c r="F50" s="41">
        <f t="shared" si="10"/>
        <v>18397203</v>
      </c>
      <c r="G50" s="41">
        <f t="shared" si="10"/>
        <v>20254233</v>
      </c>
      <c r="H50" s="41">
        <f t="shared" si="10"/>
        <v>21637534</v>
      </c>
      <c r="I50" s="41">
        <f t="shared" si="10"/>
        <v>22898807.41</v>
      </c>
      <c r="J50" s="41">
        <f t="shared" si="10"/>
        <v>23368633</v>
      </c>
      <c r="K50" s="41">
        <f t="shared" si="10"/>
        <v>23511161</v>
      </c>
    </row>
    <row r="51" spans="1:11" x14ac:dyDescent="0.2">
      <c r="A51" s="39">
        <f t="shared" si="7"/>
        <v>36</v>
      </c>
      <c r="B51" s="39" t="s">
        <v>146</v>
      </c>
      <c r="D51" s="41">
        <f t="shared" ref="D51:K51" si="11">D16</f>
        <v>56478364</v>
      </c>
      <c r="E51" s="41">
        <f t="shared" si="11"/>
        <v>55913098</v>
      </c>
      <c r="F51" s="41">
        <f t="shared" si="11"/>
        <v>56687280</v>
      </c>
      <c r="G51" s="41">
        <f t="shared" si="11"/>
        <v>59221788</v>
      </c>
      <c r="H51" s="41">
        <f t="shared" si="11"/>
        <v>60083765</v>
      </c>
      <c r="I51" s="41">
        <f t="shared" si="11"/>
        <v>60159097.219999999</v>
      </c>
      <c r="J51" s="41">
        <f t="shared" si="11"/>
        <v>59833229</v>
      </c>
      <c r="K51" s="41">
        <f t="shared" si="11"/>
        <v>60371479</v>
      </c>
    </row>
    <row r="52" spans="1:11" x14ac:dyDescent="0.2">
      <c r="A52" s="39">
        <f t="shared" si="7"/>
        <v>37</v>
      </c>
      <c r="B52" s="39" t="s">
        <v>148</v>
      </c>
      <c r="D52" s="41">
        <f t="shared" ref="D52:K52" si="12">D17</f>
        <v>25114308</v>
      </c>
      <c r="E52" s="41">
        <f t="shared" si="12"/>
        <v>18869558</v>
      </c>
      <c r="F52" s="41">
        <f t="shared" si="12"/>
        <v>8014853</v>
      </c>
      <c r="G52" s="41">
        <f t="shared" si="12"/>
        <v>4354428</v>
      </c>
      <c r="H52" s="41">
        <f t="shared" si="12"/>
        <v>2146056</v>
      </c>
      <c r="I52" s="41">
        <f t="shared" si="12"/>
        <v>1207447.57</v>
      </c>
      <c r="J52" s="41">
        <f t="shared" si="12"/>
        <v>675850</v>
      </c>
      <c r="K52" s="41">
        <f t="shared" si="12"/>
        <v>373228</v>
      </c>
    </row>
    <row r="53" spans="1:11" x14ac:dyDescent="0.2">
      <c r="A53" s="39">
        <f t="shared" si="7"/>
        <v>38</v>
      </c>
      <c r="B53" s="42" t="s">
        <v>244</v>
      </c>
      <c r="D53" s="41">
        <f t="shared" ref="D53:K53" si="13">D18</f>
        <v>0</v>
      </c>
      <c r="E53" s="41">
        <f t="shared" si="13"/>
        <v>0</v>
      </c>
      <c r="F53" s="41">
        <f t="shared" si="13"/>
        <v>-344932</v>
      </c>
      <c r="G53" s="41">
        <f t="shared" si="13"/>
        <v>0</v>
      </c>
      <c r="H53" s="41">
        <f t="shared" si="13"/>
        <v>-730496</v>
      </c>
      <c r="I53" s="41">
        <f t="shared" si="13"/>
        <v>0</v>
      </c>
      <c r="J53" s="41">
        <f t="shared" si="13"/>
        <v>-2507070</v>
      </c>
      <c r="K53" s="41">
        <f t="shared" si="13"/>
        <v>0</v>
      </c>
    </row>
    <row r="54" spans="1:11" x14ac:dyDescent="0.2">
      <c r="A54" s="39">
        <f t="shared" si="7"/>
        <v>39</v>
      </c>
      <c r="B54" s="39" t="s">
        <v>147</v>
      </c>
      <c r="D54" s="41">
        <f t="shared" ref="D54:K54" si="14">D19-D34</f>
        <v>198438434</v>
      </c>
      <c r="E54" s="41">
        <f t="shared" si="14"/>
        <v>194217096</v>
      </c>
      <c r="F54" s="41">
        <f t="shared" si="14"/>
        <v>145058707</v>
      </c>
      <c r="G54" s="41">
        <f t="shared" si="14"/>
        <v>92182570</v>
      </c>
      <c r="H54" s="41">
        <f t="shared" si="14"/>
        <v>82805191</v>
      </c>
      <c r="I54" s="41">
        <f t="shared" si="14"/>
        <v>73046067.280000001</v>
      </c>
      <c r="J54" s="41">
        <f t="shared" si="14"/>
        <v>70133165</v>
      </c>
      <c r="K54" s="41">
        <f t="shared" si="14"/>
        <v>69988351</v>
      </c>
    </row>
    <row r="55" spans="1:11" x14ac:dyDescent="0.2">
      <c r="A55" s="39">
        <f t="shared" si="7"/>
        <v>40</v>
      </c>
      <c r="B55" s="39" t="s">
        <v>149</v>
      </c>
      <c r="D55" s="41">
        <f t="shared" ref="D55:K55" si="15">D20-D35</f>
        <v>34642490</v>
      </c>
      <c r="E55" s="41">
        <f t="shared" si="15"/>
        <v>32112369</v>
      </c>
      <c r="F55" s="41">
        <f t="shared" si="15"/>
        <v>24682976</v>
      </c>
      <c r="G55" s="41">
        <f t="shared" si="15"/>
        <v>30534004</v>
      </c>
      <c r="H55" s="41">
        <f t="shared" si="15"/>
        <v>25104509</v>
      </c>
      <c r="I55" s="41">
        <f t="shared" si="15"/>
        <v>19660375.729999989</v>
      </c>
      <c r="J55" s="41">
        <f t="shared" si="15"/>
        <v>16720027</v>
      </c>
      <c r="K55" s="41">
        <f t="shared" si="15"/>
        <v>16028652</v>
      </c>
    </row>
    <row r="56" spans="1:11" x14ac:dyDescent="0.2">
      <c r="A56" s="39">
        <f t="shared" si="7"/>
        <v>41</v>
      </c>
      <c r="B56" s="42" t="s">
        <v>173</v>
      </c>
      <c r="D56" s="41">
        <f t="shared" ref="D56:K56" si="16">D21-D36</f>
        <v>0</v>
      </c>
      <c r="E56" s="41">
        <f t="shared" si="16"/>
        <v>31986524</v>
      </c>
      <c r="F56" s="41">
        <f t="shared" si="16"/>
        <v>9591807</v>
      </c>
      <c r="G56" s="41">
        <f t="shared" si="16"/>
        <v>8632025</v>
      </c>
      <c r="H56" s="41">
        <f t="shared" si="16"/>
        <v>7132923</v>
      </c>
      <c r="I56" s="41">
        <f t="shared" si="16"/>
        <v>5419100.6700000018</v>
      </c>
      <c r="J56" s="41">
        <f t="shared" si="16"/>
        <v>4257615</v>
      </c>
      <c r="K56" s="41">
        <f t="shared" si="16"/>
        <v>3970912</v>
      </c>
    </row>
    <row r="57" spans="1:11" x14ac:dyDescent="0.2">
      <c r="A57" s="39">
        <f t="shared" si="7"/>
        <v>42</v>
      </c>
      <c r="B57" s="42" t="s">
        <v>168</v>
      </c>
      <c r="C57" s="42"/>
      <c r="D57" s="41">
        <f t="shared" ref="D57:K57" si="17">D22-D37</f>
        <v>0</v>
      </c>
      <c r="E57" s="41">
        <f t="shared" si="17"/>
        <v>0</v>
      </c>
      <c r="F57" s="41">
        <f t="shared" si="17"/>
        <v>16096910</v>
      </c>
      <c r="G57" s="41">
        <f t="shared" si="17"/>
        <v>38908246</v>
      </c>
      <c r="H57" s="41">
        <f t="shared" si="17"/>
        <v>47983907</v>
      </c>
      <c r="I57" s="41">
        <f t="shared" si="17"/>
        <v>49994988.769999996</v>
      </c>
      <c r="J57" s="41">
        <f t="shared" si="17"/>
        <v>41484386</v>
      </c>
      <c r="K57" s="41">
        <f t="shared" si="17"/>
        <v>44898928</v>
      </c>
    </row>
    <row r="58" spans="1:11" x14ac:dyDescent="0.2">
      <c r="A58" s="39">
        <f t="shared" si="7"/>
        <v>43</v>
      </c>
      <c r="B58" s="42" t="s">
        <v>163</v>
      </c>
      <c r="C58" s="42"/>
      <c r="D58" s="41">
        <f t="shared" ref="D58:K58" si="18">D23-D38-D59</f>
        <v>58417206</v>
      </c>
      <c r="E58" s="41">
        <f t="shared" si="18"/>
        <v>67208298</v>
      </c>
      <c r="F58" s="41">
        <f t="shared" si="18"/>
        <v>114774019</v>
      </c>
      <c r="G58" s="41">
        <f t="shared" si="18"/>
        <v>107935161</v>
      </c>
      <c r="H58" s="41">
        <f t="shared" si="18"/>
        <v>95398626</v>
      </c>
      <c r="I58" s="41">
        <f t="shared" si="18"/>
        <v>76645862.950000003</v>
      </c>
      <c r="J58" s="41">
        <f t="shared" si="18"/>
        <v>60722235</v>
      </c>
      <c r="K58" s="41">
        <f t="shared" si="18"/>
        <v>58609687</v>
      </c>
    </row>
    <row r="59" spans="1:11" x14ac:dyDescent="0.2">
      <c r="A59" s="39">
        <f t="shared" si="7"/>
        <v>44</v>
      </c>
      <c r="B59" s="39" t="s">
        <v>151</v>
      </c>
      <c r="D59" s="41">
        <f>'FY 2003'!I58</f>
        <v>8345294</v>
      </c>
      <c r="E59" s="41">
        <f>'FY 2004'!I58</f>
        <v>8040369</v>
      </c>
      <c r="F59" s="41">
        <f>'FY 2006'!I59-'FY 2006'!G59-'FY 2006'!H59</f>
        <v>8672599</v>
      </c>
      <c r="G59" s="41">
        <f>'FY 2007'!I59</f>
        <v>8609264</v>
      </c>
      <c r="H59" s="41">
        <f>'FY 2008'!I59</f>
        <v>8609264</v>
      </c>
      <c r="I59" s="41">
        <f>'FY 2009'!$I61</f>
        <v>8587791.6699999981</v>
      </c>
      <c r="J59" s="41">
        <f>'FY 2010'!$J61</f>
        <v>8618666</v>
      </c>
      <c r="K59" s="41">
        <f>'FY 2011'!$J59</f>
        <v>8593182</v>
      </c>
    </row>
    <row r="60" spans="1:11" x14ac:dyDescent="0.2">
      <c r="B60" s="42" t="s">
        <v>172</v>
      </c>
      <c r="D60" s="41"/>
      <c r="E60" s="41"/>
      <c r="F60" s="41"/>
      <c r="G60" s="41"/>
      <c r="H60" s="41"/>
      <c r="I60" s="41"/>
      <c r="J60" s="41"/>
      <c r="K60" s="41"/>
    </row>
    <row r="61" spans="1:11" x14ac:dyDescent="0.2">
      <c r="A61" s="39">
        <f>A59+1</f>
        <v>45</v>
      </c>
      <c r="B61" s="42"/>
      <c r="C61" s="42" t="s">
        <v>175</v>
      </c>
      <c r="D61" s="41">
        <f>'FY 2003'!I60</f>
        <v>1341221</v>
      </c>
      <c r="E61" s="41">
        <f>'FY 2004'!I60</f>
        <v>-679857</v>
      </c>
      <c r="F61" s="41">
        <f>F25</f>
        <v>-3077997.79</v>
      </c>
      <c r="G61" s="41">
        <f>'FY 2007'!I61</f>
        <v>-885672</v>
      </c>
      <c r="H61" s="41">
        <f>'FY 2008'!I61</f>
        <v>-181964</v>
      </c>
      <c r="I61" s="41">
        <f>'FY 2009'!$I63</f>
        <v>262096</v>
      </c>
      <c r="J61" s="41">
        <f>'FY 2010'!$J63</f>
        <v>607348</v>
      </c>
      <c r="K61" s="41">
        <f>'FY 2011'!$J61</f>
        <v>657596</v>
      </c>
    </row>
    <row r="62" spans="1:11" x14ac:dyDescent="0.2">
      <c r="A62" s="39">
        <f>A61+1</f>
        <v>46</v>
      </c>
      <c r="B62" s="42"/>
      <c r="C62" s="42" t="s">
        <v>182</v>
      </c>
      <c r="D62" s="41">
        <f>'FY 2003'!I61</f>
        <v>-1804253</v>
      </c>
      <c r="E62" s="41">
        <f>'FY 2004'!I61</f>
        <v>1059</v>
      </c>
      <c r="F62" s="41">
        <f>F26</f>
        <v>1946553.44</v>
      </c>
      <c r="G62" s="41">
        <f>'FY 2007'!I62</f>
        <v>0</v>
      </c>
      <c r="H62" s="41">
        <f>'FY 2008'!I62</f>
        <v>0</v>
      </c>
      <c r="I62" s="41">
        <f>'FY 2009'!$I64</f>
        <v>-9.9999995436519384E-3</v>
      </c>
      <c r="J62" s="41">
        <f>'FY 2010'!$J64</f>
        <v>0</v>
      </c>
      <c r="K62" s="41">
        <f>'FY 2011'!$J62</f>
        <v>32</v>
      </c>
    </row>
    <row r="63" spans="1:11" x14ac:dyDescent="0.2">
      <c r="A63" s="39">
        <f>A62+1</f>
        <v>47</v>
      </c>
      <c r="B63" s="42"/>
      <c r="C63" s="42" t="s">
        <v>201</v>
      </c>
      <c r="D63" s="41">
        <f>'FY 2003'!I62</f>
        <v>0</v>
      </c>
      <c r="E63" s="41">
        <f>'FY 2004'!I62</f>
        <v>0</v>
      </c>
      <c r="F63" s="41">
        <f>F27</f>
        <v>33079.82</v>
      </c>
      <c r="G63" s="41">
        <f>'FY 2007'!I63</f>
        <v>0</v>
      </c>
      <c r="H63" s="41">
        <f>'FY 2008'!I63</f>
        <v>0</v>
      </c>
      <c r="I63" s="41">
        <f>'FY 2009'!$I65</f>
        <v>0</v>
      </c>
      <c r="J63" s="41">
        <f>'FY 2010'!$J65</f>
        <v>0</v>
      </c>
      <c r="K63" s="41">
        <f>'FY 2011'!$J63</f>
        <v>777</v>
      </c>
    </row>
    <row r="64" spans="1:11" x14ac:dyDescent="0.2">
      <c r="A64" s="39">
        <f>A63+1</f>
        <v>48</v>
      </c>
      <c r="B64" s="42"/>
      <c r="C64" s="42" t="s">
        <v>183</v>
      </c>
      <c r="D64" s="41">
        <f>'FY 2003'!I63</f>
        <v>0</v>
      </c>
      <c r="E64" s="41">
        <f>'FY 2004'!I63</f>
        <v>0</v>
      </c>
      <c r="F64" s="41">
        <f>F28</f>
        <v>437202.44</v>
      </c>
      <c r="G64" s="41">
        <f>'FY 2007'!I64</f>
        <v>0</v>
      </c>
      <c r="H64" s="41">
        <f>'FY 2008'!I64</f>
        <v>0</v>
      </c>
      <c r="I64" s="41">
        <f>'FY 2009'!$I66</f>
        <v>-1.0000000009313226E-2</v>
      </c>
      <c r="J64" s="41">
        <f>'FY 2010'!$J66</f>
        <v>4</v>
      </c>
      <c r="K64" s="41">
        <f>'FY 2011'!$J64</f>
        <v>165</v>
      </c>
    </row>
    <row r="65" spans="1:11" x14ac:dyDescent="0.2">
      <c r="A65" s="39">
        <f>A64+1</f>
        <v>49</v>
      </c>
      <c r="B65" s="42"/>
      <c r="C65" s="42" t="s">
        <v>251</v>
      </c>
      <c r="D65" s="41">
        <v>0</v>
      </c>
      <c r="E65" s="41">
        <v>0</v>
      </c>
      <c r="F65" s="41">
        <f>F29</f>
        <v>0</v>
      </c>
      <c r="G65" s="41">
        <f>'FY 2007'!$I65</f>
        <v>-398</v>
      </c>
      <c r="H65" s="41">
        <f>'FY 2008'!$I65</f>
        <v>-355.17999999946915</v>
      </c>
      <c r="I65" s="41">
        <f>'FY 2009'!$I67</f>
        <v>-461.16000000014901</v>
      </c>
      <c r="J65" s="41">
        <f>'FY 2010'!$J67</f>
        <v>-449</v>
      </c>
      <c r="K65" s="41">
        <f>'FY 2011'!$J65</f>
        <v>-195</v>
      </c>
    </row>
    <row r="66" spans="1:11" x14ac:dyDescent="0.2">
      <c r="D66" s="41"/>
      <c r="E66" s="41"/>
      <c r="F66" s="41"/>
      <c r="G66" s="41"/>
      <c r="H66" s="41"/>
      <c r="I66" s="41"/>
      <c r="J66" s="41"/>
      <c r="K66" s="41"/>
    </row>
    <row r="67" spans="1:11" x14ac:dyDescent="0.2">
      <c r="A67" s="39">
        <f>A65+1</f>
        <v>50</v>
      </c>
      <c r="B67" s="42" t="s">
        <v>184</v>
      </c>
      <c r="C67" s="42"/>
      <c r="D67" s="41">
        <f t="shared" ref="D67:K67" si="19">SUM(D43:D65)</f>
        <v>5196835956</v>
      </c>
      <c r="E67" s="41">
        <f t="shared" si="19"/>
        <v>5163747344</v>
      </c>
      <c r="F67" s="41">
        <f t="shared" si="19"/>
        <v>5211818060.9099989</v>
      </c>
      <c r="G67" s="41">
        <f t="shared" si="19"/>
        <v>5397362821</v>
      </c>
      <c r="H67" s="41">
        <f t="shared" si="19"/>
        <v>5472281517.8199997</v>
      </c>
      <c r="I67" s="41">
        <f t="shared" si="19"/>
        <v>5453949373.0699987</v>
      </c>
      <c r="J67" s="41">
        <f t="shared" si="19"/>
        <v>5413186385</v>
      </c>
      <c r="K67" s="41">
        <f t="shared" si="19"/>
        <v>5462951515</v>
      </c>
    </row>
    <row r="68" spans="1:11" x14ac:dyDescent="0.2">
      <c r="A68" s="39">
        <f>A67+1</f>
        <v>51</v>
      </c>
      <c r="B68" s="42" t="s">
        <v>160</v>
      </c>
      <c r="C68" s="42"/>
      <c r="D68" s="41">
        <f t="shared" ref="D68:K68" si="20">D67-D59</f>
        <v>5188490662</v>
      </c>
      <c r="E68" s="41">
        <f t="shared" si="20"/>
        <v>5155706975</v>
      </c>
      <c r="F68" s="41">
        <f t="shared" si="20"/>
        <v>5203145461.9099989</v>
      </c>
      <c r="G68" s="41">
        <f t="shared" si="20"/>
        <v>5388753557</v>
      </c>
      <c r="H68" s="41">
        <f t="shared" si="20"/>
        <v>5463672253.8199997</v>
      </c>
      <c r="I68" s="41">
        <f t="shared" si="20"/>
        <v>5445361581.3999987</v>
      </c>
      <c r="J68" s="41">
        <f t="shared" si="20"/>
        <v>5404567719</v>
      </c>
      <c r="K68" s="41">
        <f t="shared" si="20"/>
        <v>5454358333</v>
      </c>
    </row>
    <row r="69" spans="1:11" x14ac:dyDescent="0.2">
      <c r="A69" s="39">
        <f>A68+1</f>
        <v>52</v>
      </c>
      <c r="B69" s="42" t="s">
        <v>161</v>
      </c>
      <c r="C69" s="42"/>
      <c r="D69" s="41">
        <f t="shared" ref="D69:K69" si="21">D59</f>
        <v>8345294</v>
      </c>
      <c r="E69" s="41">
        <f t="shared" si="21"/>
        <v>8040369</v>
      </c>
      <c r="F69" s="41">
        <f t="shared" si="21"/>
        <v>8672599</v>
      </c>
      <c r="G69" s="41">
        <f t="shared" si="21"/>
        <v>8609264</v>
      </c>
      <c r="H69" s="41">
        <f t="shared" si="21"/>
        <v>8609264</v>
      </c>
      <c r="I69" s="41">
        <f t="shared" si="21"/>
        <v>8587791.6699999981</v>
      </c>
      <c r="J69" s="41">
        <f t="shared" si="21"/>
        <v>8618666</v>
      </c>
      <c r="K69" s="41">
        <f t="shared" si="21"/>
        <v>8593182</v>
      </c>
    </row>
    <row r="70" spans="1:11" x14ac:dyDescent="0.2">
      <c r="B70" s="42"/>
      <c r="C70" s="42"/>
      <c r="D70" s="41"/>
      <c r="E70" s="41"/>
      <c r="F70" s="41"/>
      <c r="G70" s="41"/>
      <c r="H70" s="41"/>
      <c r="I70" s="41"/>
      <c r="J70" s="41"/>
      <c r="K70" s="41"/>
    </row>
    <row r="71" spans="1:11" x14ac:dyDescent="0.2">
      <c r="A71" s="39">
        <f>A69+1</f>
        <v>53</v>
      </c>
      <c r="B71" s="42" t="s">
        <v>166</v>
      </c>
      <c r="C71" s="42"/>
      <c r="D71" s="41">
        <f>'FY 2003'!I69</f>
        <v>-46570547</v>
      </c>
      <c r="E71" s="41">
        <f>'FY 2004'!I69</f>
        <v>-46686661</v>
      </c>
      <c r="F71" s="41">
        <f>'FY 2006'!I71-'FY 2006'!G71-'FY 2006'!H71</f>
        <v>-45675930</v>
      </c>
      <c r="G71" s="41">
        <f>'FY 2007'!I71</f>
        <v>-46967505</v>
      </c>
      <c r="H71" s="41">
        <f>'FY 2008'!I71</f>
        <v>-30637836</v>
      </c>
      <c r="I71" s="41">
        <f>'FY 2009'!$I73</f>
        <v>-30753089.780000001</v>
      </c>
      <c r="J71" s="41">
        <f>'FY 2010'!$J73</f>
        <v>-30827862</v>
      </c>
      <c r="K71" s="41">
        <f>'FY 2011'!$J71</f>
        <v>-30929256</v>
      </c>
    </row>
    <row r="72" spans="1:11" x14ac:dyDescent="0.2">
      <c r="D72" s="40"/>
      <c r="E72" s="40"/>
      <c r="F72" s="40"/>
      <c r="G72" s="40"/>
      <c r="H72" s="40"/>
      <c r="I72" s="40"/>
      <c r="J72" s="40"/>
      <c r="K72" s="40"/>
    </row>
    <row r="73" spans="1:11" x14ac:dyDescent="0.2">
      <c r="A73" s="39">
        <f>A71+1</f>
        <v>54</v>
      </c>
      <c r="B73" s="42" t="s">
        <v>294</v>
      </c>
      <c r="F73" s="41">
        <f t="shared" ref="F73:K73" si="22">F31+F71</f>
        <v>5666745037.9099989</v>
      </c>
      <c r="G73" s="41">
        <f t="shared" si="22"/>
        <v>6030017522</v>
      </c>
      <c r="H73" s="41">
        <f t="shared" si="22"/>
        <v>6200052776.8199997</v>
      </c>
      <c r="I73" s="41">
        <f t="shared" si="22"/>
        <v>6291130732.1899986</v>
      </c>
      <c r="J73" s="41">
        <f t="shared" si="22"/>
        <v>6336770768</v>
      </c>
      <c r="K73" s="41">
        <f t="shared" si="22"/>
        <v>6413983409</v>
      </c>
    </row>
    <row r="74" spans="1:11" x14ac:dyDescent="0.2">
      <c r="A74" s="39">
        <f>A73+1</f>
        <v>55</v>
      </c>
      <c r="B74" s="42" t="s">
        <v>295</v>
      </c>
      <c r="F74" s="41">
        <f t="shared" ref="F74:K74" si="23">F73-F40</f>
        <v>5166142130.9099989</v>
      </c>
      <c r="G74" s="41">
        <f t="shared" si="23"/>
        <v>5350395316</v>
      </c>
      <c r="H74" s="41">
        <f t="shared" si="23"/>
        <v>5441643681.8199997</v>
      </c>
      <c r="I74" s="41">
        <f t="shared" si="23"/>
        <v>5423196283.289999</v>
      </c>
      <c r="J74" s="41">
        <f t="shared" si="23"/>
        <v>5382358523</v>
      </c>
      <c r="K74" s="41">
        <f t="shared" si="23"/>
        <v>5432022259</v>
      </c>
    </row>
    <row r="76" spans="1:11" x14ac:dyDescent="0.2">
      <c r="A76" s="39">
        <f>A74+1</f>
        <v>56</v>
      </c>
      <c r="B76" s="42" t="s">
        <v>296</v>
      </c>
      <c r="F76" s="41">
        <f>'Pupil Data'!C25+'Pupil Data'!D25</f>
        <v>927594</v>
      </c>
      <c r="G76" s="41">
        <f>'Pupil Data'!C26+'Pupil Data'!D26</f>
        <v>924184</v>
      </c>
      <c r="H76" s="41">
        <f>'Pupil Data'!C27+'Pupil Data'!D27</f>
        <v>918554</v>
      </c>
      <c r="I76" s="41">
        <f>'Pupil Data'!C28+'Pupil Data'!D28</f>
        <v>909173</v>
      </c>
      <c r="J76" s="41">
        <f>'Pupil Data'!C29+'Pupil Data'!D29</f>
        <v>905826</v>
      </c>
      <c r="K76" s="41">
        <f>'Pupil Data'!C30+'Pupil Data'!D30</f>
        <v>903698</v>
      </c>
    </row>
    <row r="78" spans="1:11" x14ac:dyDescent="0.2">
      <c r="A78" s="39">
        <f>A76+1</f>
        <v>57</v>
      </c>
      <c r="B78" s="42" t="s">
        <v>297</v>
      </c>
      <c r="F78" s="124">
        <f t="shared" ref="F78:K78" si="24">ROUND(F74/F76,2)</f>
        <v>5569.4</v>
      </c>
      <c r="G78" s="124">
        <f t="shared" si="24"/>
        <v>5789.32</v>
      </c>
      <c r="H78" s="125">
        <f t="shared" si="24"/>
        <v>5924.14</v>
      </c>
      <c r="I78" s="124">
        <f t="shared" si="24"/>
        <v>5964.98</v>
      </c>
      <c r="J78" s="124">
        <f t="shared" si="24"/>
        <v>5941.93</v>
      </c>
      <c r="K78" s="124">
        <f t="shared" si="24"/>
        <v>6010.88</v>
      </c>
    </row>
    <row r="80" spans="1:11" x14ac:dyDescent="0.2">
      <c r="F80" s="124">
        <v>5585.06</v>
      </c>
      <c r="G80" s="124">
        <v>5766.83</v>
      </c>
      <c r="H80" s="124">
        <v>5892.35</v>
      </c>
      <c r="I80" s="124">
        <v>5951.66</v>
      </c>
      <c r="J80" s="124">
        <v>5934.15</v>
      </c>
      <c r="K80" s="124">
        <v>5924.21</v>
      </c>
    </row>
    <row r="81" spans="1:14" x14ac:dyDescent="0.2">
      <c r="F81" s="124">
        <f t="shared" ref="F81:K81" si="25">F78-F80</f>
        <v>-15.660000000000764</v>
      </c>
      <c r="G81" s="124">
        <f t="shared" si="25"/>
        <v>22.489999999999782</v>
      </c>
      <c r="H81" s="124">
        <f t="shared" si="25"/>
        <v>31.789999999999964</v>
      </c>
      <c r="I81" s="124">
        <f t="shared" si="25"/>
        <v>13.319999999999709</v>
      </c>
      <c r="J81" s="124">
        <f t="shared" si="25"/>
        <v>7.7800000000006548</v>
      </c>
      <c r="K81" s="124">
        <f t="shared" si="25"/>
        <v>86.670000000000073</v>
      </c>
    </row>
    <row r="84" spans="1:14" x14ac:dyDescent="0.2">
      <c r="A84" s="44" t="s">
        <v>391</v>
      </c>
    </row>
    <row r="85" spans="1:14" x14ac:dyDescent="0.2">
      <c r="B85" s="39" t="s">
        <v>403</v>
      </c>
      <c r="I85" s="43">
        <v>5951</v>
      </c>
      <c r="J85" s="43">
        <v>5866</v>
      </c>
      <c r="K85" s="43">
        <v>5907</v>
      </c>
      <c r="L85" s="43">
        <v>5960</v>
      </c>
      <c r="M85" s="43"/>
      <c r="N85" s="43"/>
    </row>
  </sheetData>
  <phoneticPr fontId="1" type="noConversion"/>
  <printOptions horizontalCentered="1" gridLines="1"/>
  <pageMargins left="0.5" right="0.25" top="1" bottom="0.5" header="0.5" footer="0.25"/>
  <pageSetup scale="64" orientation="portrait" horizontalDpi="300" verticalDpi="300" r:id="rId1"/>
  <headerFooter alignWithMargins="0">
    <oddHeader>&amp;L&amp;"Arial,Bold"DEPT of EDUCATION
Program Finance Div.&amp;C&amp;"Arial,Bold"FY 06-11 GENERAL EDUCATION REVENUE
FEBRUARY 2008 FORECAST
FOR SPECIAL PUPIL AID CALCULATION&amp;R&amp;"Arial,Bold"&amp;D
&amp;T</oddHeader>
    <oddFooter>&amp;L&amp;"Arial,Regular"&amp;F&amp;R&amp;"Arial,Regular"&amp;A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4"/>
  </sheetPr>
  <dimension ref="A1:U324"/>
  <sheetViews>
    <sheetView zoomScaleNormal="100" zoomScaleSheetLayoutView="85" workbookViewId="0">
      <pane xSplit="3" ySplit="3" topLeftCell="D4" activePane="bottomRight" state="frozen"/>
      <selection activeCell="A2" sqref="A2"/>
      <selection pane="topRight" activeCell="A2" sqref="A2"/>
      <selection pane="bottomLeft" activeCell="A2" sqref="A2"/>
      <selection pane="bottomRight"/>
    </sheetView>
  </sheetViews>
  <sheetFormatPr defaultColWidth="8" defaultRowHeight="12.75" x14ac:dyDescent="0.2"/>
  <cols>
    <col min="1" max="1" width="4.125" style="39" customWidth="1"/>
    <col min="2" max="2" width="2.25" style="39" customWidth="1"/>
    <col min="3" max="3" width="28.625" style="39" customWidth="1"/>
    <col min="4" max="9" width="12.625" style="39" hidden="1" customWidth="1"/>
    <col min="10" max="14" width="12.625" style="39" customWidth="1"/>
    <col min="15" max="15" width="10.875" style="39" customWidth="1"/>
    <col min="16" max="17" width="12" style="39" customWidth="1"/>
    <col min="18" max="18" width="13.75" style="39" customWidth="1"/>
    <col min="19" max="19" width="8" style="39" customWidth="1"/>
    <col min="20" max="20" width="13.75" style="39" customWidth="1"/>
    <col min="21" max="16384" width="8" style="39"/>
  </cols>
  <sheetData>
    <row r="1" spans="1:21" x14ac:dyDescent="0.2">
      <c r="A1" s="42" t="s">
        <v>369</v>
      </c>
      <c r="E1" s="40"/>
      <c r="F1" s="40"/>
      <c r="G1" s="40"/>
      <c r="H1" s="40"/>
      <c r="I1" s="40"/>
      <c r="J1" s="40"/>
      <c r="K1" s="40"/>
      <c r="L1" s="40"/>
    </row>
    <row r="3" spans="1:21" x14ac:dyDescent="0.2">
      <c r="A3" s="107" t="s">
        <v>368</v>
      </c>
      <c r="B3" s="107"/>
      <c r="C3" s="108"/>
      <c r="D3" s="109" t="s">
        <v>135</v>
      </c>
      <c r="E3" s="109" t="s">
        <v>136</v>
      </c>
      <c r="F3" s="109" t="s">
        <v>137</v>
      </c>
      <c r="G3" s="109" t="s">
        <v>138</v>
      </c>
      <c r="H3" s="109" t="s">
        <v>139</v>
      </c>
      <c r="I3" s="109" t="s">
        <v>164</v>
      </c>
      <c r="J3" s="109" t="s">
        <v>165</v>
      </c>
      <c r="K3" s="109" t="s">
        <v>249</v>
      </c>
      <c r="L3" s="109" t="s">
        <v>250</v>
      </c>
      <c r="M3" s="109" t="s">
        <v>300</v>
      </c>
      <c r="N3" s="109" t="s">
        <v>301</v>
      </c>
      <c r="O3" s="159" t="s">
        <v>319</v>
      </c>
      <c r="P3" s="159" t="s">
        <v>320</v>
      </c>
      <c r="Q3" s="159" t="s">
        <v>355</v>
      </c>
      <c r="R3" s="159" t="s">
        <v>356</v>
      </c>
      <c r="S3" s="159" t="s">
        <v>321</v>
      </c>
      <c r="T3" s="159" t="s">
        <v>357</v>
      </c>
      <c r="U3" s="159" t="s">
        <v>321</v>
      </c>
    </row>
    <row r="5" spans="1:21" x14ac:dyDescent="0.2">
      <c r="A5" s="39">
        <v>1</v>
      </c>
      <c r="B5" s="39" t="s">
        <v>140</v>
      </c>
      <c r="D5" s="41">
        <f>'FY 2003'!I5</f>
        <v>962146</v>
      </c>
      <c r="E5" s="41">
        <f>'FY 2004'!I5</f>
        <v>957096</v>
      </c>
      <c r="F5" s="41">
        <f>'FY 2005'!I5</f>
        <v>953035</v>
      </c>
      <c r="G5" s="41">
        <f>'FY 2006'!I5</f>
        <v>953041</v>
      </c>
      <c r="H5" s="41">
        <f>'FY 2007'!I5</f>
        <v>953288</v>
      </c>
      <c r="I5" s="41">
        <f>'FY 2008'!I5</f>
        <v>953432</v>
      </c>
      <c r="J5" s="41">
        <f>'FY 2009'!$I5</f>
        <v>948587</v>
      </c>
      <c r="K5" s="41">
        <f>'FY 2010'!$J5</f>
        <v>947210</v>
      </c>
      <c r="L5" s="41">
        <f>'FY 2011'!$J5</f>
        <v>948097</v>
      </c>
      <c r="M5" s="41">
        <f>'FY 2012'!$J5</f>
        <v>951670</v>
      </c>
      <c r="N5" s="41">
        <f>'FY 2013'!$J5</f>
        <v>959454</v>
      </c>
    </row>
    <row r="7" spans="1:21" x14ac:dyDescent="0.2">
      <c r="B7" s="42" t="s">
        <v>155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</row>
    <row r="8" spans="1:21" x14ac:dyDescent="0.2">
      <c r="A8" s="39">
        <f>A5+1</f>
        <v>2</v>
      </c>
      <c r="B8" s="39" t="s">
        <v>141</v>
      </c>
      <c r="D8" s="41">
        <f>'FY 2003'!I8</f>
        <v>4490060320</v>
      </c>
      <c r="E8" s="41">
        <f>'FY 2004'!I8</f>
        <v>4403575277</v>
      </c>
      <c r="F8" s="40">
        <f>ROUND('SUMMARY-ALL YEARS'!F8/1000,1)</f>
        <v>4384973.8</v>
      </c>
      <c r="G8" s="40">
        <f>ROUND('SUMMARY-ALL YEARS'!G8/1000,1)</f>
        <v>4558383.7</v>
      </c>
      <c r="H8" s="40">
        <f>ROUND('SUMMARY-ALL YEARS'!H8/1000,1)</f>
        <v>4741676.9000000004</v>
      </c>
      <c r="I8" s="40">
        <f>ROUND('SUMMARY-ALL YEARS'!I8/1000,1)</f>
        <v>4837724.5</v>
      </c>
      <c r="J8" s="40">
        <f>ROUND('SUMMARY-ALL YEARS'!J8/1000,1)</f>
        <v>4860574.7</v>
      </c>
      <c r="K8" s="40">
        <f>ROUND('SUMMARY-ALL YEARS'!K8/1000,1)</f>
        <v>4853494.9000000004</v>
      </c>
      <c r="L8" s="40">
        <f>ROUND('SUMMARY-ALL YEARS'!L8/1000,1)</f>
        <v>4858048.0999999996</v>
      </c>
      <c r="M8" s="40">
        <f>ROUND('SUMMARY-ALL YEARS'!M8/1000,1)</f>
        <v>4876357.2</v>
      </c>
      <c r="N8" s="40">
        <f>ROUND('SUMMARY-ALL YEARS'!N8/1000,1)</f>
        <v>4916240.2</v>
      </c>
      <c r="O8" s="40">
        <f>SUM(I8:J8)</f>
        <v>9698299.1999999993</v>
      </c>
      <c r="P8" s="40">
        <f>SUM(K8:L8)</f>
        <v>9711543</v>
      </c>
      <c r="Q8" s="40">
        <f>SUM(M8:N8)</f>
        <v>9792597.4000000004</v>
      </c>
      <c r="R8" s="40">
        <f>P8-O8</f>
        <v>13243.800000000745</v>
      </c>
      <c r="S8" s="137">
        <f>R8/O8</f>
        <v>1.3655796472025472E-3</v>
      </c>
      <c r="T8" s="40">
        <f>Q8-P8</f>
        <v>81054.400000000373</v>
      </c>
      <c r="U8" s="137">
        <f>T8/P8</f>
        <v>8.3461917431658771E-3</v>
      </c>
    </row>
    <row r="9" spans="1:21" x14ac:dyDescent="0.2">
      <c r="A9" s="39">
        <f>A8+1</f>
        <v>3</v>
      </c>
      <c r="B9" s="42" t="s">
        <v>299</v>
      </c>
      <c r="D9" s="41"/>
      <c r="E9" s="41"/>
      <c r="F9" s="40">
        <v>0</v>
      </c>
      <c r="G9" s="40">
        <v>0</v>
      </c>
      <c r="H9" s="40">
        <v>0</v>
      </c>
      <c r="I9" s="40">
        <v>0</v>
      </c>
      <c r="J9" s="40">
        <f>ROUND('SUMMARY-ALL YEARS'!J9/1000,1)</f>
        <v>48378.1</v>
      </c>
      <c r="K9" s="40">
        <v>0</v>
      </c>
      <c r="L9" s="40">
        <v>0</v>
      </c>
      <c r="M9" s="40">
        <v>0</v>
      </c>
      <c r="N9" s="40">
        <v>0</v>
      </c>
      <c r="O9" s="40">
        <f>SUM(I9:J9)</f>
        <v>48378.1</v>
      </c>
      <c r="P9" s="40">
        <f>SUM(K9:L9)</f>
        <v>0</v>
      </c>
      <c r="Q9" s="40">
        <f>SUM(M9:N9)</f>
        <v>0</v>
      </c>
      <c r="R9" s="40">
        <f>P9-O9</f>
        <v>-48378.1</v>
      </c>
      <c r="S9" s="137">
        <f>R9/O9</f>
        <v>-1</v>
      </c>
      <c r="T9" s="40">
        <f>Q9-P9</f>
        <v>0</v>
      </c>
      <c r="U9" s="137" t="e">
        <f>T9/P9</f>
        <v>#DIV/0!</v>
      </c>
    </row>
    <row r="10" spans="1:21" x14ac:dyDescent="0.2">
      <c r="A10" s="39">
        <f>A9+1</f>
        <v>4</v>
      </c>
      <c r="B10" s="42" t="s">
        <v>167</v>
      </c>
      <c r="C10" s="42"/>
      <c r="D10" s="41">
        <f>'FY 2003'!I9</f>
        <v>0</v>
      </c>
      <c r="E10" s="41">
        <f>'FY 2004'!I9</f>
        <v>0</v>
      </c>
      <c r="F10" s="40">
        <f>ROUND('SUMMARY-ALL YEARS'!F10/1000,1)</f>
        <v>0</v>
      </c>
      <c r="G10" s="40">
        <f>ROUND('SUMMARY-ALL YEARS'!G10/1000,1)</f>
        <v>3812.2</v>
      </c>
      <c r="H10" s="40">
        <f>ROUND('SUMMARY-ALL YEARS'!H10/1000,1)</f>
        <v>8579.6</v>
      </c>
      <c r="I10" s="40">
        <f>ROUND('SUMMARY-ALL YEARS'!I10/1000,1)</f>
        <v>11441.2</v>
      </c>
      <c r="J10" s="40">
        <f>ROUND('SUMMARY-ALL YEARS'!J10/1000,1)</f>
        <v>11383.1</v>
      </c>
      <c r="K10" s="40">
        <f>ROUND('SUMMARY-ALL YEARS'!K10/1000,1)</f>
        <v>11365.9</v>
      </c>
      <c r="L10" s="40">
        <f>ROUND('SUMMARY-ALL YEARS'!L10/1000,1)</f>
        <v>11377.2</v>
      </c>
      <c r="M10" s="40">
        <f>ROUND('SUMMARY-ALL YEARS'!M10/1000,1)</f>
        <v>11420</v>
      </c>
      <c r="N10" s="40">
        <f>ROUND('SUMMARY-ALL YEARS'!N10/1000,1)</f>
        <v>11513.4</v>
      </c>
      <c r="O10" s="40">
        <f>SUM(I10:J10)</f>
        <v>22824.300000000003</v>
      </c>
      <c r="P10" s="40">
        <f>SUM(K10:L10)</f>
        <v>22743.1</v>
      </c>
      <c r="Q10" s="40">
        <f>SUM(M10:N10)</f>
        <v>22933.4</v>
      </c>
      <c r="R10" s="40">
        <f>P10-O10</f>
        <v>-81.200000000004366</v>
      </c>
      <c r="S10" s="137">
        <f>R10/O10</f>
        <v>-3.5576118435178454E-3</v>
      </c>
      <c r="T10" s="40">
        <f>Q10-P10</f>
        <v>190.30000000000291</v>
      </c>
      <c r="U10" s="137">
        <f>T10/P10</f>
        <v>8.3673729614697611E-3</v>
      </c>
    </row>
    <row r="11" spans="1:21" x14ac:dyDescent="0.2">
      <c r="A11" s="39">
        <f>A10+1</f>
        <v>5</v>
      </c>
      <c r="B11" s="39" t="s">
        <v>142</v>
      </c>
      <c r="D11" s="41">
        <f>'FY 2003'!I10</f>
        <v>0</v>
      </c>
      <c r="E11" s="41">
        <f>'FY 2004'!I10</f>
        <v>50351550</v>
      </c>
      <c r="F11" s="40">
        <f>ROUND('SUMMARY-ALL YEARS'!F11/1000,1)</f>
        <v>52327.4</v>
      </c>
      <c r="G11" s="40">
        <f>ROUND('SUMMARY-ALL YEARS'!G11/1000,1)</f>
        <v>52766.2</v>
      </c>
      <c r="H11" s="40">
        <f>ROUND('SUMMARY-ALL YEARS'!H11/1000,1)</f>
        <v>55437</v>
      </c>
      <c r="I11" s="40">
        <f>ROUND('SUMMARY-ALL YEARS'!I11/1000,1)</f>
        <v>59590.8</v>
      </c>
      <c r="J11" s="40">
        <f>ROUND('SUMMARY-ALL YEARS'!J11/1000,1)</f>
        <v>60995.6</v>
      </c>
      <c r="K11" s="40">
        <f>ROUND('SUMMARY-ALL YEARS'!K11/1000,1)</f>
        <v>64565.4</v>
      </c>
      <c r="L11" s="40">
        <f>ROUND('SUMMARY-ALL YEARS'!L11/1000,1)</f>
        <v>69073</v>
      </c>
      <c r="M11" s="40">
        <f>ROUND('SUMMARY-ALL YEARS'!M11/1000,1)</f>
        <v>71777.899999999994</v>
      </c>
      <c r="N11" s="40">
        <f>ROUND('SUMMARY-ALL YEARS'!N11/1000,1)</f>
        <v>76066.8</v>
      </c>
      <c r="O11" s="40">
        <f>SUM(I11:J11)</f>
        <v>120586.4</v>
      </c>
      <c r="P11" s="40">
        <f>SUM(K11:L11)</f>
        <v>133638.39999999999</v>
      </c>
      <c r="Q11" s="40">
        <f>SUM(M11:N11)</f>
        <v>147844.70000000001</v>
      </c>
      <c r="R11" s="40">
        <f>P11-O11</f>
        <v>13052</v>
      </c>
      <c r="S11" s="137">
        <f>R11/O11</f>
        <v>0.10823774488665389</v>
      </c>
      <c r="T11" s="40">
        <f>Q11-P11</f>
        <v>14206.300000000017</v>
      </c>
      <c r="U11" s="137">
        <f>T11/P11</f>
        <v>0.10630402638762525</v>
      </c>
    </row>
    <row r="12" spans="1:21" x14ac:dyDescent="0.2">
      <c r="B12" s="42" t="s">
        <v>171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</row>
    <row r="13" spans="1:21" x14ac:dyDescent="0.2">
      <c r="A13" s="39">
        <f>A11+1</f>
        <v>6</v>
      </c>
      <c r="C13" s="39" t="s">
        <v>143</v>
      </c>
      <c r="D13" s="41">
        <f>'FY 2003'!I12</f>
        <v>262694686</v>
      </c>
      <c r="E13" s="41">
        <f>'FY 2004'!I12</f>
        <v>249146954</v>
      </c>
      <c r="F13" s="40">
        <f>ROUND('SUMMARY-ALL YEARS'!F13/1000,1)</f>
        <v>265074.5</v>
      </c>
      <c r="G13" s="40">
        <f>ROUND('SUMMARY-ALL YEARS'!G13/1000,1)</f>
        <v>292547.5</v>
      </c>
      <c r="H13" s="40">
        <f>ROUND('SUMMARY-ALL YEARS'!H13/1000,1)</f>
        <v>315471.90000000002</v>
      </c>
      <c r="I13" s="40">
        <f>ROUND('SUMMARY-ALL YEARS'!I13/1000,1)</f>
        <v>333928.09999999998</v>
      </c>
      <c r="J13" s="40">
        <f>ROUND('SUMMARY-ALL YEARS'!J13/1000,1)</f>
        <v>348510.7</v>
      </c>
      <c r="K13" s="40">
        <f>ROUND('SUMMARY-ALL YEARS'!K13/1000,1)</f>
        <v>361157.3</v>
      </c>
      <c r="L13" s="40">
        <f>ROUND('SUMMARY-ALL YEARS'!L13/1000,1)</f>
        <v>414260.4</v>
      </c>
      <c r="M13" s="40">
        <f>ROUND('SUMMARY-ALL YEARS'!M13/1000,1)</f>
        <v>432960.5</v>
      </c>
      <c r="N13" s="40">
        <f>ROUND('SUMMARY-ALL YEARS'!N13/1000,1)</f>
        <v>452559.9</v>
      </c>
      <c r="O13" s="40">
        <f t="shared" ref="O13:O25" si="0">SUM(I13:J13)</f>
        <v>682438.8</v>
      </c>
      <c r="P13" s="40">
        <f t="shared" ref="P13:P25" si="1">SUM(K13:L13)</f>
        <v>775417.7</v>
      </c>
      <c r="Q13" s="40">
        <f t="shared" ref="Q13:Q25" si="2">SUM(M13:N13)</f>
        <v>885520.4</v>
      </c>
      <c r="R13" s="40">
        <f t="shared" ref="R13:R25" si="3">P13-O13</f>
        <v>92978.899999999907</v>
      </c>
      <c r="S13" s="137">
        <f t="shared" ref="S13:S25" si="4">R13/O13</f>
        <v>0.13624503765026241</v>
      </c>
      <c r="T13" s="40">
        <f t="shared" ref="T13:T25" si="5">Q13-P13</f>
        <v>110102.70000000007</v>
      </c>
      <c r="U13" s="137">
        <f t="shared" ref="U13:U25" si="6">T13/P13</f>
        <v>0.14199147117740551</v>
      </c>
    </row>
    <row r="14" spans="1:21" x14ac:dyDescent="0.2">
      <c r="A14" s="39">
        <f t="shared" ref="A14:A25" si="7">A13+1</f>
        <v>7</v>
      </c>
      <c r="C14" s="39" t="s">
        <v>144</v>
      </c>
      <c r="D14" s="41">
        <f>'FY 2003'!I13</f>
        <v>36857227</v>
      </c>
      <c r="E14" s="41">
        <f>'FY 2004'!I13</f>
        <v>28818713</v>
      </c>
      <c r="F14" s="40">
        <f>ROUND('SUMMARY-ALL YEARS'!F14/1000,1)</f>
        <v>29477.7</v>
      </c>
      <c r="G14" s="40">
        <f>ROUND('SUMMARY-ALL YEARS'!G14/1000,1)</f>
        <v>30912.7</v>
      </c>
      <c r="H14" s="40">
        <f>ROUND('SUMMARY-ALL YEARS'!H14/1000,1)</f>
        <v>31474.3</v>
      </c>
      <c r="I14" s="40">
        <f>ROUND('SUMMARY-ALL YEARS'!I14/1000,1)</f>
        <v>32316.799999999999</v>
      </c>
      <c r="J14" s="40">
        <f>ROUND('SUMMARY-ALL YEARS'!J14/1000,1)</f>
        <v>32058.2</v>
      </c>
      <c r="K14" s="40">
        <f>ROUND('SUMMARY-ALL YEARS'!K14/1000,1)</f>
        <v>31807.9</v>
      </c>
      <c r="L14" s="40">
        <f>ROUND('SUMMARY-ALL YEARS'!L14/1000,1)</f>
        <v>31673.1</v>
      </c>
      <c r="M14" s="40">
        <f>ROUND('SUMMARY-ALL YEARS'!M14/1000,1)</f>
        <v>31709.9</v>
      </c>
      <c r="N14" s="40">
        <f>ROUND('SUMMARY-ALL YEARS'!N14/1000,1)</f>
        <v>31867</v>
      </c>
      <c r="O14" s="40">
        <f t="shared" si="0"/>
        <v>64375</v>
      </c>
      <c r="P14" s="40">
        <f t="shared" si="1"/>
        <v>63481</v>
      </c>
      <c r="Q14" s="40">
        <f t="shared" si="2"/>
        <v>63576.9</v>
      </c>
      <c r="R14" s="40">
        <f t="shared" si="3"/>
        <v>-894</v>
      </c>
      <c r="S14" s="137">
        <f t="shared" si="4"/>
        <v>-1.38873786407767E-2</v>
      </c>
      <c r="T14" s="40">
        <f t="shared" si="5"/>
        <v>95.900000000001455</v>
      </c>
      <c r="U14" s="137">
        <f t="shared" si="6"/>
        <v>1.5106882374253943E-3</v>
      </c>
    </row>
    <row r="15" spans="1:21" x14ac:dyDescent="0.2">
      <c r="A15" s="39">
        <f t="shared" si="7"/>
        <v>8</v>
      </c>
      <c r="B15" s="42"/>
      <c r="C15" s="42" t="s">
        <v>170</v>
      </c>
      <c r="D15" s="41">
        <f>'FY 2003'!I14</f>
        <v>9779108</v>
      </c>
      <c r="E15" s="41">
        <f>'FY 2004'!I14</f>
        <v>7276758</v>
      </c>
      <c r="F15" s="40">
        <f>ROUND('SUMMARY-ALL YEARS'!F15/1000,1)</f>
        <v>7434.3</v>
      </c>
      <c r="G15" s="40">
        <f>ROUND('SUMMARY-ALL YEARS'!G15/1000,1)</f>
        <v>7883.2</v>
      </c>
      <c r="H15" s="40">
        <f>ROUND('SUMMARY-ALL YEARS'!H15/1000,1)</f>
        <v>8057.6</v>
      </c>
      <c r="I15" s="40">
        <f>ROUND('SUMMARY-ALL YEARS'!I15/1000,1)</f>
        <v>8306.5</v>
      </c>
      <c r="J15" s="40">
        <f>ROUND('SUMMARY-ALL YEARS'!J15/1000,1)</f>
        <v>8316.7999999999993</v>
      </c>
      <c r="K15" s="40">
        <f>ROUND('SUMMARY-ALL YEARS'!K15/1000,1)</f>
        <v>8258.2999999999993</v>
      </c>
      <c r="L15" s="40">
        <f>ROUND('SUMMARY-ALL YEARS'!L15/1000,1)</f>
        <v>8387.5</v>
      </c>
      <c r="M15" s="40">
        <f>ROUND('SUMMARY-ALL YEARS'!M15/1000,1)</f>
        <v>8406.7999999999993</v>
      </c>
      <c r="N15" s="40">
        <f>ROUND('SUMMARY-ALL YEARS'!N15/1000,1)</f>
        <v>8500.2000000000007</v>
      </c>
      <c r="O15" s="40">
        <f t="shared" si="0"/>
        <v>16623.3</v>
      </c>
      <c r="P15" s="40">
        <f t="shared" si="1"/>
        <v>16645.8</v>
      </c>
      <c r="Q15" s="40">
        <f t="shared" si="2"/>
        <v>16907</v>
      </c>
      <c r="R15" s="40">
        <f t="shared" si="3"/>
        <v>22.5</v>
      </c>
      <c r="S15" s="137">
        <f t="shared" si="4"/>
        <v>1.3535218638898415E-3</v>
      </c>
      <c r="T15" s="40">
        <f t="shared" si="5"/>
        <v>261.20000000000073</v>
      </c>
      <c r="U15" s="137">
        <f t="shared" si="6"/>
        <v>1.5691645940717824E-2</v>
      </c>
    </row>
    <row r="16" spans="1:21" x14ac:dyDescent="0.2">
      <c r="A16" s="39">
        <f t="shared" si="7"/>
        <v>9</v>
      </c>
      <c r="B16" s="39" t="s">
        <v>145</v>
      </c>
      <c r="D16" s="41">
        <f>'FY 2003'!I15</f>
        <v>16471551</v>
      </c>
      <c r="E16" s="41">
        <f>'FY 2004'!I15</f>
        <v>16909578</v>
      </c>
      <c r="F16" s="40">
        <f>ROUND('SUMMARY-ALL YEARS'!F16/1000,1)</f>
        <v>17548.599999999999</v>
      </c>
      <c r="G16" s="40">
        <f>ROUND('SUMMARY-ALL YEARS'!G16/1000,1)</f>
        <v>18853.099999999999</v>
      </c>
      <c r="H16" s="40">
        <f>ROUND('SUMMARY-ALL YEARS'!H16/1000,1)</f>
        <v>20254.2</v>
      </c>
      <c r="I16" s="40">
        <f>ROUND('SUMMARY-ALL YEARS'!I16/1000,1)</f>
        <v>21637.5</v>
      </c>
      <c r="J16" s="40">
        <f>ROUND('SUMMARY-ALL YEARS'!J16/1000,1)</f>
        <v>22898.799999999999</v>
      </c>
      <c r="K16" s="40">
        <f>ROUND('SUMMARY-ALL YEARS'!K16/1000,1)</f>
        <v>23368.6</v>
      </c>
      <c r="L16" s="40">
        <f>ROUND('SUMMARY-ALL YEARS'!L16/1000,1)</f>
        <v>23511.200000000001</v>
      </c>
      <c r="M16" s="40">
        <f>ROUND('SUMMARY-ALL YEARS'!M16/1000,1)</f>
        <v>24128.7</v>
      </c>
      <c r="N16" s="40">
        <f>ROUND('SUMMARY-ALL YEARS'!N16/1000,1)</f>
        <v>24366.799999999999</v>
      </c>
      <c r="O16" s="40">
        <f t="shared" si="0"/>
        <v>44536.3</v>
      </c>
      <c r="P16" s="40">
        <f t="shared" si="1"/>
        <v>46879.8</v>
      </c>
      <c r="Q16" s="40">
        <f t="shared" si="2"/>
        <v>48495.5</v>
      </c>
      <c r="R16" s="40">
        <f t="shared" si="3"/>
        <v>2343.5</v>
      </c>
      <c r="S16" s="137">
        <f t="shared" si="4"/>
        <v>5.2619997619919028E-2</v>
      </c>
      <c r="T16" s="40">
        <f t="shared" si="5"/>
        <v>1615.6999999999971</v>
      </c>
      <c r="U16" s="137">
        <f t="shared" si="6"/>
        <v>3.4464737477548898E-2</v>
      </c>
    </row>
    <row r="17" spans="1:21" x14ac:dyDescent="0.2">
      <c r="A17" s="39">
        <f t="shared" si="7"/>
        <v>10</v>
      </c>
      <c r="B17" s="39" t="s">
        <v>146</v>
      </c>
      <c r="D17" s="41">
        <f>'FY 2003'!I16</f>
        <v>56478364</v>
      </c>
      <c r="E17" s="41">
        <f>'FY 2004'!I16</f>
        <v>55913098</v>
      </c>
      <c r="F17" s="40">
        <f>ROUND('SUMMARY-ALL YEARS'!F17/1000,1)</f>
        <v>55511.199999999997</v>
      </c>
      <c r="G17" s="40">
        <f>ROUND('SUMMARY-ALL YEARS'!G17/1000,1)</f>
        <v>57332.800000000003</v>
      </c>
      <c r="H17" s="40">
        <f>ROUND('SUMMARY-ALL YEARS'!H17/1000,1)</f>
        <v>59221.8</v>
      </c>
      <c r="I17" s="40">
        <f>ROUND('SUMMARY-ALL YEARS'!I17/1000,1)</f>
        <v>60083.8</v>
      </c>
      <c r="J17" s="40">
        <f>ROUND('SUMMARY-ALL YEARS'!J17/1000,1)</f>
        <v>60159.1</v>
      </c>
      <c r="K17" s="40">
        <f>ROUND('SUMMARY-ALL YEARS'!K17/1000,1)</f>
        <v>59833.2</v>
      </c>
      <c r="L17" s="40">
        <f>ROUND('SUMMARY-ALL YEARS'!L17/1000,1)</f>
        <v>60371.5</v>
      </c>
      <c r="M17" s="40">
        <f>ROUND('SUMMARY-ALL YEARS'!M17/1000,1)</f>
        <v>60249.599999999999</v>
      </c>
      <c r="N17" s="40">
        <f>ROUND('SUMMARY-ALL YEARS'!N17/1000,1)</f>
        <v>60009.2</v>
      </c>
      <c r="O17" s="40">
        <f t="shared" si="0"/>
        <v>120242.9</v>
      </c>
      <c r="P17" s="40">
        <f t="shared" si="1"/>
        <v>120204.7</v>
      </c>
      <c r="Q17" s="40">
        <f t="shared" si="2"/>
        <v>120258.79999999999</v>
      </c>
      <c r="R17" s="40">
        <f t="shared" si="3"/>
        <v>-38.19999999999709</v>
      </c>
      <c r="S17" s="137">
        <f t="shared" si="4"/>
        <v>-3.1769027526778787E-4</v>
      </c>
      <c r="T17" s="40">
        <f t="shared" si="5"/>
        <v>54.099999999991269</v>
      </c>
      <c r="U17" s="137">
        <f t="shared" si="6"/>
        <v>4.5006559643667238E-4</v>
      </c>
    </row>
    <row r="18" spans="1:21" x14ac:dyDescent="0.2">
      <c r="A18" s="39">
        <f t="shared" si="7"/>
        <v>11</v>
      </c>
      <c r="B18" s="39" t="s">
        <v>148</v>
      </c>
      <c r="D18" s="41">
        <f>'FY 2003'!I17</f>
        <v>25114308</v>
      </c>
      <c r="E18" s="41">
        <f>'FY 2004'!I17</f>
        <v>18869558</v>
      </c>
      <c r="F18" s="40">
        <f>ROUND('SUMMARY-ALL YEARS'!F18/1000,1)</f>
        <v>12876.8</v>
      </c>
      <c r="G18" s="40">
        <f>ROUND('SUMMARY-ALL YEARS'!G18/1000,1)</f>
        <v>8213.5</v>
      </c>
      <c r="H18" s="40">
        <f>ROUND('SUMMARY-ALL YEARS'!H18/1000,1)</f>
        <v>4354.3999999999996</v>
      </c>
      <c r="I18" s="40">
        <f>ROUND('SUMMARY-ALL YEARS'!I18/1000,1)</f>
        <v>2146.1</v>
      </c>
      <c r="J18" s="40">
        <f>ROUND('SUMMARY-ALL YEARS'!J18/1000,1)</f>
        <v>1207.4000000000001</v>
      </c>
      <c r="K18" s="40">
        <f>ROUND('SUMMARY-ALL YEARS'!K18/1000,1)</f>
        <v>675.9</v>
      </c>
      <c r="L18" s="40">
        <f>ROUND('SUMMARY-ALL YEARS'!L18/1000,1)</f>
        <v>373.2</v>
      </c>
      <c r="M18" s="40">
        <f>ROUND('SUMMARY-ALL YEARS'!M18/1000,1)</f>
        <v>223.2</v>
      </c>
      <c r="N18" s="40">
        <f>ROUND('SUMMARY-ALL YEARS'!N18/1000,1)</f>
        <v>158.9</v>
      </c>
      <c r="O18" s="40">
        <f t="shared" si="0"/>
        <v>3353.5</v>
      </c>
      <c r="P18" s="40">
        <f t="shared" si="1"/>
        <v>1049.0999999999999</v>
      </c>
      <c r="Q18" s="40">
        <f t="shared" si="2"/>
        <v>382.1</v>
      </c>
      <c r="R18" s="40">
        <f t="shared" si="3"/>
        <v>-2304.4</v>
      </c>
      <c r="S18" s="137">
        <f t="shared" si="4"/>
        <v>-0.68716266587147756</v>
      </c>
      <c r="T18" s="40">
        <f t="shared" si="5"/>
        <v>-666.99999999999989</v>
      </c>
      <c r="U18" s="137">
        <f t="shared" si="6"/>
        <v>-0.63578305213992936</v>
      </c>
    </row>
    <row r="19" spans="1:21" x14ac:dyDescent="0.2">
      <c r="A19" s="39">
        <f t="shared" si="7"/>
        <v>12</v>
      </c>
      <c r="B19" s="42" t="s">
        <v>244</v>
      </c>
      <c r="D19" s="41">
        <f>'FY 2003'!I18</f>
        <v>0</v>
      </c>
      <c r="E19" s="41">
        <f>'FY 2004'!I18</f>
        <v>0</v>
      </c>
      <c r="F19" s="40">
        <f>ROUND('SUMMARY-ALL YEARS'!F19/1000,1)</f>
        <v>0</v>
      </c>
      <c r="G19" s="40">
        <f>ROUND('SUMMARY-ALL YEARS'!G19/1000,1)</f>
        <v>-344.9</v>
      </c>
      <c r="H19" s="40">
        <f>ROUND('SUMMARY-ALL YEARS'!H19/1000,1)</f>
        <v>0</v>
      </c>
      <c r="I19" s="40">
        <f>ROUND('SUMMARY-ALL YEARS'!I19/1000,1)</f>
        <v>-730.5</v>
      </c>
      <c r="J19" s="40">
        <f>ROUND('SUMMARY-ALL YEARS'!J19/1000,1)</f>
        <v>0</v>
      </c>
      <c r="K19" s="40">
        <f>ROUND('SUMMARY-ALL YEARS'!K19/1000,1)</f>
        <v>-2507.1</v>
      </c>
      <c r="L19" s="40">
        <f>ROUND('SUMMARY-ALL YEARS'!L19/1000,1)</f>
        <v>0</v>
      </c>
      <c r="M19" s="40">
        <f>ROUND('SUMMARY-ALL YEARS'!M19/1000,1)</f>
        <v>-700</v>
      </c>
      <c r="N19" s="40">
        <f>ROUND('SUMMARY-ALL YEARS'!N19/1000,1)</f>
        <v>0</v>
      </c>
      <c r="O19" s="40">
        <f t="shared" si="0"/>
        <v>-730.5</v>
      </c>
      <c r="P19" s="40">
        <f t="shared" si="1"/>
        <v>-2507.1</v>
      </c>
      <c r="Q19" s="40">
        <f t="shared" si="2"/>
        <v>-700</v>
      </c>
      <c r="R19" s="40">
        <f t="shared" si="3"/>
        <v>-1776.6</v>
      </c>
      <c r="S19" s="137">
        <f t="shared" si="4"/>
        <v>2.4320328542094454</v>
      </c>
      <c r="T19" s="40">
        <f t="shared" si="5"/>
        <v>1807.1</v>
      </c>
      <c r="U19" s="137">
        <f t="shared" si="6"/>
        <v>-0.72079294802760163</v>
      </c>
    </row>
    <row r="20" spans="1:21" x14ac:dyDescent="0.2">
      <c r="A20" s="39">
        <f t="shared" si="7"/>
        <v>13</v>
      </c>
      <c r="B20" s="42" t="s">
        <v>360</v>
      </c>
      <c r="D20" s="41"/>
      <c r="E20" s="41"/>
      <c r="F20" s="40"/>
      <c r="G20" s="40"/>
      <c r="H20" s="40">
        <v>0</v>
      </c>
      <c r="I20" s="40">
        <v>0</v>
      </c>
      <c r="J20" s="40">
        <v>0</v>
      </c>
      <c r="K20" s="40">
        <f>ROUND('SUMMARY-ALL YEARS'!K20/1000,1)</f>
        <v>-500000</v>
      </c>
      <c r="L20" s="40">
        <v>0</v>
      </c>
      <c r="M20" s="40">
        <v>0</v>
      </c>
      <c r="N20" s="40">
        <v>0</v>
      </c>
      <c r="O20" s="40">
        <f t="shared" si="0"/>
        <v>0</v>
      </c>
      <c r="P20" s="40">
        <f t="shared" si="1"/>
        <v>-500000</v>
      </c>
      <c r="Q20" s="40">
        <f t="shared" si="2"/>
        <v>0</v>
      </c>
      <c r="R20" s="40">
        <f t="shared" si="3"/>
        <v>-500000</v>
      </c>
      <c r="S20" s="137" t="e">
        <f t="shared" si="4"/>
        <v>#DIV/0!</v>
      </c>
      <c r="T20" s="40">
        <f t="shared" si="5"/>
        <v>500000</v>
      </c>
      <c r="U20" s="137">
        <f t="shared" si="6"/>
        <v>-1</v>
      </c>
    </row>
    <row r="21" spans="1:21" x14ac:dyDescent="0.2">
      <c r="A21" s="39">
        <f t="shared" si="7"/>
        <v>14</v>
      </c>
      <c r="B21" s="39" t="s">
        <v>147</v>
      </c>
      <c r="D21" s="41">
        <f>'FY 2003'!I19</f>
        <v>198438434</v>
      </c>
      <c r="E21" s="41">
        <f>'FY 2004'!I19</f>
        <v>194217096</v>
      </c>
      <c r="F21" s="40">
        <f>ROUND('SUMMARY-ALL YEARS'!F21/1000,1)</f>
        <v>193697.1</v>
      </c>
      <c r="G21" s="40">
        <f>ROUND('SUMMARY-ALL YEARS'!G21/1000,1)</f>
        <v>194018.4</v>
      </c>
      <c r="H21" s="40">
        <f>ROUND('SUMMARY-ALL YEARS'!H21/1000,1)</f>
        <v>194117</v>
      </c>
      <c r="I21" s="40">
        <f>ROUND('SUMMARY-ALL YEARS'!I21/1000,1)</f>
        <v>194635.6</v>
      </c>
      <c r="J21" s="40">
        <f>ROUND('SUMMARY-ALL YEARS'!J21/1000,1)</f>
        <v>194299.1</v>
      </c>
      <c r="K21" s="40">
        <f>ROUND('SUMMARY-ALL YEARS'!K21/1000,1)</f>
        <v>194409.8</v>
      </c>
      <c r="L21" s="40">
        <f>ROUND('SUMMARY-ALL YEARS'!L21/1000,1)</f>
        <v>194612.2</v>
      </c>
      <c r="M21" s="40">
        <f>ROUND('SUMMARY-ALL YEARS'!M21/1000,1)</f>
        <v>195303.1</v>
      </c>
      <c r="N21" s="40">
        <f>ROUND('SUMMARY-ALL YEARS'!N21/1000,1)</f>
        <v>196865.8</v>
      </c>
      <c r="O21" s="40">
        <f t="shared" si="0"/>
        <v>388934.7</v>
      </c>
      <c r="P21" s="40">
        <f t="shared" si="1"/>
        <v>389022</v>
      </c>
      <c r="Q21" s="40">
        <f t="shared" si="2"/>
        <v>392168.9</v>
      </c>
      <c r="R21" s="40">
        <f t="shared" si="3"/>
        <v>87.299999999988358</v>
      </c>
      <c r="S21" s="137">
        <f t="shared" si="4"/>
        <v>2.244592729833269E-4</v>
      </c>
      <c r="T21" s="40">
        <f t="shared" si="5"/>
        <v>3146.9000000000233</v>
      </c>
      <c r="U21" s="137">
        <f t="shared" si="6"/>
        <v>8.0892597333827483E-3</v>
      </c>
    </row>
    <row r="22" spans="1:21" x14ac:dyDescent="0.2">
      <c r="A22" s="39">
        <f t="shared" si="7"/>
        <v>15</v>
      </c>
      <c r="B22" s="39" t="s">
        <v>149</v>
      </c>
      <c r="D22" s="41">
        <f>'FY 2003'!I20</f>
        <v>34642490</v>
      </c>
      <c r="E22" s="41">
        <f>'FY 2004'!I20</f>
        <v>32112369</v>
      </c>
      <c r="F22" s="40">
        <f>ROUND('SUMMARY-ALL YEARS'!F22/1000,1)</f>
        <v>41731.199999999997</v>
      </c>
      <c r="G22" s="40">
        <f>ROUND('SUMMARY-ALL YEARS'!G22/1000,1)</f>
        <v>50999.4</v>
      </c>
      <c r="H22" s="40">
        <f>ROUND('SUMMARY-ALL YEARS'!H22/1000,1)</f>
        <v>94274.1</v>
      </c>
      <c r="I22" s="40">
        <f>ROUND('SUMMARY-ALL YEARS'!I22/1000,1)</f>
        <v>95708.800000000003</v>
      </c>
      <c r="J22" s="40">
        <f>ROUND('SUMMARY-ALL YEARS'!J22/1000,1)</f>
        <v>93362</v>
      </c>
      <c r="K22" s="40">
        <f>ROUND('SUMMARY-ALL YEARS'!K22/1000,1)</f>
        <v>92518.8</v>
      </c>
      <c r="L22" s="164">
        <f>ROUND('SUMMARY-ALL YEARS'!L22/1000,1)</f>
        <v>92334</v>
      </c>
      <c r="M22" s="164">
        <f>ROUND('SUMMARY-ALL YEARS'!M22/1000,1)</f>
        <v>93367.2</v>
      </c>
      <c r="N22" s="164">
        <f>ROUND('SUMMARY-ALL YEARS'!N22/1000,1)</f>
        <v>94481.7</v>
      </c>
      <c r="O22" s="40">
        <f t="shared" si="0"/>
        <v>189070.8</v>
      </c>
      <c r="P22" s="40">
        <f t="shared" si="1"/>
        <v>184852.8</v>
      </c>
      <c r="Q22" s="40">
        <f t="shared" si="2"/>
        <v>187848.9</v>
      </c>
      <c r="R22" s="40">
        <f t="shared" si="3"/>
        <v>-4218</v>
      </c>
      <c r="S22" s="137">
        <f t="shared" si="4"/>
        <v>-2.2309103256557862E-2</v>
      </c>
      <c r="T22" s="40">
        <f t="shared" si="5"/>
        <v>2996.1000000000058</v>
      </c>
      <c r="U22" s="137">
        <f t="shared" si="6"/>
        <v>1.6208031471527648E-2</v>
      </c>
    </row>
    <row r="23" spans="1:21" x14ac:dyDescent="0.2">
      <c r="A23" s="39">
        <f t="shared" si="7"/>
        <v>16</v>
      </c>
      <c r="B23" s="42" t="s">
        <v>173</v>
      </c>
      <c r="D23" s="41">
        <f>'FY 2003'!I21</f>
        <v>0</v>
      </c>
      <c r="E23" s="41">
        <f>'FY 2004'!I21</f>
        <v>31986524</v>
      </c>
      <c r="F23" s="40">
        <f>ROUND('SUMMARY-ALL YEARS'!F23/1000,1)</f>
        <v>31326.6</v>
      </c>
      <c r="G23" s="40">
        <f>ROUND('SUMMARY-ALL YEARS'!G23/1000,1)</f>
        <v>31033.7</v>
      </c>
      <c r="H23" s="40">
        <f>ROUND('SUMMARY-ALL YEARS'!H23/1000,1)</f>
        <v>30462.5</v>
      </c>
      <c r="I23" s="40">
        <f>ROUND('SUMMARY-ALL YEARS'!I23/1000,1)</f>
        <v>30143.3</v>
      </c>
      <c r="J23" s="40">
        <f>ROUND('SUMMARY-ALL YEARS'!J23/1000,1)</f>
        <v>29712</v>
      </c>
      <c r="K23" s="40">
        <f>ROUND('SUMMARY-ALL YEARS'!K23/1000,1)</f>
        <v>29453.1</v>
      </c>
      <c r="L23" s="164">
        <f>ROUND('SUMMARY-ALL YEARS'!L23/1000,1)</f>
        <v>29215.4</v>
      </c>
      <c r="M23" s="164">
        <f>ROUND('SUMMARY-ALL YEARS'!M23/1000,1)</f>
        <v>29102</v>
      </c>
      <c r="N23" s="164">
        <f>ROUND('SUMMARY-ALL YEARS'!N23/1000,1)</f>
        <v>29294.3</v>
      </c>
      <c r="O23" s="40">
        <f t="shared" si="0"/>
        <v>59855.3</v>
      </c>
      <c r="P23" s="40">
        <f t="shared" si="1"/>
        <v>58668.5</v>
      </c>
      <c r="Q23" s="40">
        <f t="shared" si="2"/>
        <v>58396.3</v>
      </c>
      <c r="R23" s="40">
        <f t="shared" si="3"/>
        <v>-1186.8000000000029</v>
      </c>
      <c r="S23" s="137">
        <f t="shared" si="4"/>
        <v>-1.9827818087955501E-2</v>
      </c>
      <c r="T23" s="40">
        <f t="shared" si="5"/>
        <v>-272.19999999999709</v>
      </c>
      <c r="U23" s="137">
        <f t="shared" si="6"/>
        <v>-4.639627738905837E-3</v>
      </c>
    </row>
    <row r="24" spans="1:21" x14ac:dyDescent="0.2">
      <c r="A24" s="39">
        <f t="shared" si="7"/>
        <v>17</v>
      </c>
      <c r="B24" s="42" t="s">
        <v>168</v>
      </c>
      <c r="C24" s="42"/>
      <c r="D24" s="41">
        <f>'FY 2003'!I22</f>
        <v>0</v>
      </c>
      <c r="E24" s="41">
        <f>'FY 2004'!I22</f>
        <v>0</v>
      </c>
      <c r="F24" s="40">
        <f>ROUND('SUMMARY-ALL YEARS'!F24/1000,1)</f>
        <v>0</v>
      </c>
      <c r="G24" s="40">
        <f>ROUND('SUMMARY-ALL YEARS'!G24/1000,1)</f>
        <v>16348.9</v>
      </c>
      <c r="H24" s="40">
        <f>ROUND('SUMMARY-ALL YEARS'!H24/1000,1)</f>
        <v>48603.7</v>
      </c>
      <c r="I24" s="40">
        <f>ROUND('SUMMARY-ALL YEARS'!I24/1000,1)</f>
        <v>60763.6</v>
      </c>
      <c r="J24" s="40">
        <f>ROUND('SUMMARY-ALL YEARS'!J24/1000,1)</f>
        <v>63348.4</v>
      </c>
      <c r="K24" s="40">
        <f>ROUND('SUMMARY-ALL YEARS'!K24/1000,1)</f>
        <v>58291.5</v>
      </c>
      <c r="L24" s="164">
        <f>ROUND('SUMMARY-ALL YEARS'!L24/1000,1)</f>
        <v>63056.9</v>
      </c>
      <c r="M24" s="164">
        <f>ROUND('SUMMARY-ALL YEARS'!M24/1000,1)</f>
        <v>79031.199999999997</v>
      </c>
      <c r="N24" s="164">
        <f>ROUND('SUMMARY-ALL YEARS'!N24/1000,1)</f>
        <v>81908.5</v>
      </c>
      <c r="O24" s="40">
        <f t="shared" si="0"/>
        <v>124112</v>
      </c>
      <c r="P24" s="40">
        <f t="shared" si="1"/>
        <v>121348.4</v>
      </c>
      <c r="Q24" s="40">
        <f t="shared" si="2"/>
        <v>160939.70000000001</v>
      </c>
      <c r="R24" s="40">
        <f t="shared" si="3"/>
        <v>-2763.6000000000058</v>
      </c>
      <c r="S24" s="137">
        <f t="shared" si="4"/>
        <v>-2.2266984659017709E-2</v>
      </c>
      <c r="T24" s="40">
        <f t="shared" si="5"/>
        <v>39591.300000000017</v>
      </c>
      <c r="U24" s="137">
        <f t="shared" si="6"/>
        <v>0.32626140929752695</v>
      </c>
    </row>
    <row r="25" spans="1:21" x14ac:dyDescent="0.2">
      <c r="A25" s="39">
        <f t="shared" si="7"/>
        <v>18</v>
      </c>
      <c r="B25" s="39" t="s">
        <v>150</v>
      </c>
      <c r="D25" s="41">
        <f>'FY 2003'!I23</f>
        <v>291708358</v>
      </c>
      <c r="E25" s="41">
        <f>'FY 2004'!I23</f>
        <v>426336542</v>
      </c>
      <c r="F25" s="40">
        <f>ROUND('SUMMARY-ALL YEARS'!F25/1000,1)</f>
        <v>504721.1</v>
      </c>
      <c r="G25" s="40">
        <f>ROUND('SUMMARY-ALL YEARS'!G25/1000,1)</f>
        <v>534314.5</v>
      </c>
      <c r="H25" s="40">
        <f>ROUND('SUMMARY-ALL YEARS'!H25/1000,1)</f>
        <v>598966.19999999995</v>
      </c>
      <c r="I25" s="40">
        <f>ROUND('SUMMARY-ALL YEARS'!I25/1000,1)</f>
        <v>644192.19999999995</v>
      </c>
      <c r="J25" s="40">
        <f>ROUND('SUMMARY-ALL YEARS'!J25/1000,1)</f>
        <v>720567.2</v>
      </c>
      <c r="K25" s="40">
        <f>ROUND('SUMMARY-ALL YEARS'!K25/1000,1)</f>
        <v>781675.1</v>
      </c>
      <c r="L25" s="164">
        <f>ROUND('SUMMARY-ALL YEARS'!L25/1000,1)</f>
        <v>804832.3</v>
      </c>
      <c r="M25" s="164">
        <f>ROUND('SUMMARY-ALL YEARS'!M25/1000,1)</f>
        <v>822497.4</v>
      </c>
      <c r="N25" s="164">
        <f>ROUND('SUMMARY-ALL YEARS'!N25/1000,1)</f>
        <v>895213</v>
      </c>
      <c r="O25" s="40">
        <f t="shared" si="0"/>
        <v>1364759.4</v>
      </c>
      <c r="P25" s="40">
        <f t="shared" si="1"/>
        <v>1586507.4</v>
      </c>
      <c r="Q25" s="40">
        <f t="shared" si="2"/>
        <v>1717710.4</v>
      </c>
      <c r="R25" s="40">
        <f t="shared" si="3"/>
        <v>221748</v>
      </c>
      <c r="S25" s="137">
        <f t="shared" si="4"/>
        <v>0.16248138682906307</v>
      </c>
      <c r="T25" s="40">
        <f t="shared" si="5"/>
        <v>131203</v>
      </c>
      <c r="U25" s="137">
        <f t="shared" si="6"/>
        <v>8.2699267586145528E-2</v>
      </c>
    </row>
    <row r="26" spans="1:21" x14ac:dyDescent="0.2">
      <c r="L26" s="165"/>
      <c r="M26" s="165"/>
      <c r="N26" s="165"/>
    </row>
    <row r="27" spans="1:21" x14ac:dyDescent="0.2">
      <c r="B27" s="42" t="s">
        <v>172</v>
      </c>
      <c r="D27" s="41"/>
      <c r="E27" s="41"/>
      <c r="F27" s="40"/>
      <c r="G27" s="40"/>
      <c r="H27" s="40"/>
      <c r="I27" s="40"/>
      <c r="J27" s="40"/>
      <c r="K27" s="40"/>
      <c r="L27" s="164"/>
      <c r="M27" s="164"/>
      <c r="N27" s="164"/>
    </row>
    <row r="28" spans="1:21" x14ac:dyDescent="0.2">
      <c r="A28" s="39">
        <f>A25+1</f>
        <v>19</v>
      </c>
      <c r="B28" s="42"/>
      <c r="C28" s="42" t="s">
        <v>268</v>
      </c>
      <c r="D28" s="41">
        <f>'FY 2003'!I25</f>
        <v>1341221</v>
      </c>
      <c r="E28" s="41">
        <f>'FY 2004'!I25</f>
        <v>-679857</v>
      </c>
      <c r="F28" s="40">
        <f>ROUND(SUM('SUMMARY-ALL YEARS'!F27:F31)/1000,1)</f>
        <v>-1090</v>
      </c>
      <c r="G28" s="40">
        <f>ROUND(SUM('SUMMARY-ALL YEARS'!G27:G31)/1000,1)</f>
        <v>-895.4</v>
      </c>
      <c r="H28" s="40">
        <f>ROUND(SUM('SUMMARY-ALL YEARS'!H27:H31)/1000,1)</f>
        <v>-886.1</v>
      </c>
      <c r="I28" s="40">
        <f>ROUND(SUM('SUMMARY-ALL YEARS'!I27:I31)/1000,1)</f>
        <v>-182.3</v>
      </c>
      <c r="J28" s="40">
        <f>ROUND(SUM('SUMMARY-ALL YEARS'!J27:J31)/1000,1)</f>
        <v>261.60000000000002</v>
      </c>
      <c r="K28" s="40">
        <f>ROUND(SUM('SUMMARY-ALL YEARS'!K27:K31)/1000,1)</f>
        <v>606.9</v>
      </c>
      <c r="L28" s="164">
        <f>ROUND(SUM('SUMMARY-ALL YEARS'!L27:L31)/1000,1)</f>
        <v>658.4</v>
      </c>
      <c r="M28" s="164">
        <f>ROUND(SUM('SUMMARY-ALL YEARS'!M27:M31)/1000,1)</f>
        <v>338.5</v>
      </c>
      <c r="N28" s="164">
        <f>ROUND(SUM('SUMMARY-ALL YEARS'!N27:N31)/1000,1)</f>
        <v>-145</v>
      </c>
      <c r="O28" s="40">
        <f>SUM(I28:J28)</f>
        <v>79.300000000000011</v>
      </c>
      <c r="P28" s="40">
        <f>SUM(K28:L28)</f>
        <v>1265.3</v>
      </c>
      <c r="Q28" s="40">
        <f>SUM(M28:N28)</f>
        <v>193.5</v>
      </c>
      <c r="R28" s="40">
        <f>P28-O28</f>
        <v>1186</v>
      </c>
      <c r="S28" s="137">
        <f>R28/O28</f>
        <v>14.955863808322823</v>
      </c>
      <c r="T28" s="40">
        <f>Q28-P28</f>
        <v>-1071.8</v>
      </c>
      <c r="U28" s="137">
        <f>T28/P28</f>
        <v>-0.84707184067019681</v>
      </c>
    </row>
    <row r="29" spans="1:21" x14ac:dyDescent="0.2">
      <c r="A29" s="39">
        <f>A28+1</f>
        <v>20</v>
      </c>
      <c r="B29" s="42"/>
      <c r="C29" s="42"/>
      <c r="D29" s="41">
        <f>'FY 2003'!I26</f>
        <v>-1804253</v>
      </c>
      <c r="E29" s="41">
        <f>'FY 2004'!I26</f>
        <v>1059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166">
        <v>0</v>
      </c>
      <c r="M29" s="166">
        <v>0</v>
      </c>
      <c r="N29" s="166">
        <v>0</v>
      </c>
    </row>
    <row r="30" spans="1:21" x14ac:dyDescent="0.2">
      <c r="A30" s="39">
        <f>A29+1</f>
        <v>21</v>
      </c>
      <c r="B30" s="42"/>
      <c r="C30" s="42"/>
      <c r="D30" s="41">
        <f>'FY 2003'!I27</f>
        <v>0</v>
      </c>
      <c r="E30" s="41">
        <f>'FY 2004'!I27</f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166">
        <v>0</v>
      </c>
      <c r="M30" s="166">
        <v>0</v>
      </c>
      <c r="N30" s="166">
        <v>0</v>
      </c>
    </row>
    <row r="31" spans="1:21" x14ac:dyDescent="0.2">
      <c r="A31" s="39">
        <f>A30+1</f>
        <v>22</v>
      </c>
      <c r="B31" s="42"/>
      <c r="C31" s="42"/>
      <c r="D31" s="41">
        <f>'FY 2003'!I28</f>
        <v>0</v>
      </c>
      <c r="E31" s="41">
        <f>'FY 2004'!I28</f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166">
        <v>0</v>
      </c>
      <c r="M31" s="166">
        <v>0</v>
      </c>
      <c r="N31" s="166">
        <v>0</v>
      </c>
    </row>
    <row r="32" spans="1:21" x14ac:dyDescent="0.2">
      <c r="A32" s="39">
        <f>A31+1</f>
        <v>23</v>
      </c>
      <c r="B32" s="42"/>
      <c r="C32" s="42"/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41">
        <v>0</v>
      </c>
      <c r="K32" s="41">
        <v>0</v>
      </c>
      <c r="L32" s="166">
        <v>0</v>
      </c>
      <c r="M32" s="166">
        <v>0</v>
      </c>
      <c r="N32" s="166">
        <v>0</v>
      </c>
    </row>
    <row r="33" spans="1:21" x14ac:dyDescent="0.2">
      <c r="D33" s="41"/>
      <c r="E33" s="41"/>
      <c r="F33" s="41"/>
      <c r="G33" s="41"/>
      <c r="H33" s="41"/>
      <c r="I33" s="41"/>
      <c r="J33" s="41"/>
      <c r="K33" s="41"/>
      <c r="L33" s="166"/>
      <c r="M33" s="166"/>
      <c r="N33" s="166"/>
    </row>
    <row r="34" spans="1:21" x14ac:dyDescent="0.2">
      <c r="A34" s="39">
        <f>A32+1</f>
        <v>24</v>
      </c>
      <c r="B34" s="42" t="s">
        <v>158</v>
      </c>
      <c r="D34" s="41">
        <f t="shared" ref="D34:N34" si="8">SUM(D8:D32)</f>
        <v>5421781814</v>
      </c>
      <c r="E34" s="41">
        <f t="shared" si="8"/>
        <v>5514835219</v>
      </c>
      <c r="F34" s="40">
        <f t="shared" si="8"/>
        <v>5595610.2999999989</v>
      </c>
      <c r="G34" s="40">
        <f t="shared" si="8"/>
        <v>5856179.5000000009</v>
      </c>
      <c r="H34" s="40">
        <f t="shared" si="8"/>
        <v>6210065.1000000006</v>
      </c>
      <c r="I34" s="40">
        <f t="shared" si="8"/>
        <v>6391705.9999999981</v>
      </c>
      <c r="J34" s="40">
        <f t="shared" si="8"/>
        <v>6556032.7999999989</v>
      </c>
      <c r="K34" s="40">
        <f t="shared" si="8"/>
        <v>6068975.5000000009</v>
      </c>
      <c r="L34" s="164">
        <f t="shared" si="8"/>
        <v>6661784.4000000013</v>
      </c>
      <c r="M34" s="164">
        <f t="shared" si="8"/>
        <v>6736173.2000000011</v>
      </c>
      <c r="N34" s="164">
        <f t="shared" si="8"/>
        <v>6878900.7000000011</v>
      </c>
      <c r="O34" s="40">
        <f>SUM(I34:J34)</f>
        <v>12947738.799999997</v>
      </c>
      <c r="P34" s="40">
        <f>SUM(K34:L34)</f>
        <v>12730759.900000002</v>
      </c>
      <c r="Q34" s="40">
        <f>SUM(M34:N34)</f>
        <v>13615073.900000002</v>
      </c>
      <c r="R34" s="40">
        <f>P34-O34</f>
        <v>-216978.89999999478</v>
      </c>
      <c r="S34" s="137">
        <f>R34/O34</f>
        <v>-1.6758053537502225E-2</v>
      </c>
      <c r="T34" s="40">
        <f>Q34-P34</f>
        <v>884314</v>
      </c>
      <c r="U34" s="137">
        <f>T34/P34</f>
        <v>6.9462782029217268E-2</v>
      </c>
    </row>
    <row r="35" spans="1:21" x14ac:dyDescent="0.2">
      <c r="D35" s="41"/>
      <c r="E35" s="41"/>
      <c r="F35" s="41"/>
      <c r="G35" s="41"/>
      <c r="H35" s="41"/>
      <c r="I35" s="41"/>
      <c r="J35" s="41"/>
      <c r="K35" s="41"/>
      <c r="L35" s="166"/>
      <c r="M35" s="166"/>
      <c r="N35" s="166"/>
    </row>
    <row r="36" spans="1:21" x14ac:dyDescent="0.2">
      <c r="B36" s="42" t="s">
        <v>156</v>
      </c>
      <c r="C36" s="42"/>
      <c r="D36" s="41"/>
      <c r="E36" s="41"/>
      <c r="F36" s="41"/>
      <c r="G36" s="41"/>
      <c r="H36" s="41"/>
      <c r="I36" s="41"/>
      <c r="J36" s="41"/>
      <c r="K36" s="41"/>
      <c r="L36" s="166"/>
      <c r="M36" s="166"/>
      <c r="N36" s="166"/>
    </row>
    <row r="37" spans="1:21" x14ac:dyDescent="0.2">
      <c r="A37" s="39">
        <f>A34+1</f>
        <v>25</v>
      </c>
      <c r="B37" s="39" t="s">
        <v>153</v>
      </c>
      <c r="D37" s="41">
        <f>'FY 2003'!I33</f>
        <v>0</v>
      </c>
      <c r="E37" s="41">
        <f>'FY 2004'!I33</f>
        <v>0</v>
      </c>
      <c r="F37" s="40">
        <f>ROUND('SUMMARY-ALL YEARS'!F37/1000,1)</f>
        <v>40007.300000000003</v>
      </c>
      <c r="G37" s="40">
        <f>ROUND('SUMMARY-ALL YEARS'!G37/1000,1)</f>
        <v>44268.2</v>
      </c>
      <c r="H37" s="40">
        <f>ROUND('SUMMARY-ALL YEARS'!H37/1000,1)</f>
        <v>101934.5</v>
      </c>
      <c r="I37" s="40">
        <f>ROUND('SUMMARY-ALL YEARS'!I37/1000,1)</f>
        <v>111830.39999999999</v>
      </c>
      <c r="J37" s="40">
        <f>ROUND('SUMMARY-ALL YEARS'!J37/1000,1)</f>
        <v>121253</v>
      </c>
      <c r="K37" s="40">
        <f>ROUND('SUMMARY-ALL YEARS'!K37/1000,1)</f>
        <v>124276.6</v>
      </c>
      <c r="L37" s="164">
        <f>ROUND('SUMMARY-ALL YEARS'!L37/1000,1)</f>
        <v>124623.9</v>
      </c>
      <c r="M37" s="164">
        <f>ROUND('SUMMARY-ALL YEARS'!M37/1000,1)</f>
        <v>120033.8</v>
      </c>
      <c r="N37" s="164">
        <f>ROUND('SUMMARY-ALL YEARS'!N37/1000,1)</f>
        <v>113554.2</v>
      </c>
      <c r="O37" s="40">
        <f>SUM(I37:J37)</f>
        <v>233083.4</v>
      </c>
      <c r="P37" s="40">
        <f>SUM(K37:L37)</f>
        <v>248900.5</v>
      </c>
      <c r="Q37" s="40">
        <f>SUM(M37:N37)</f>
        <v>233588</v>
      </c>
      <c r="R37" s="40">
        <f>P37-O37</f>
        <v>15817.100000000006</v>
      </c>
      <c r="S37" s="137">
        <f>R37/O37</f>
        <v>6.7860259460776728E-2</v>
      </c>
      <c r="T37" s="40">
        <f>Q37-P37</f>
        <v>-15312.5</v>
      </c>
      <c r="U37" s="137">
        <f>T37/P37</f>
        <v>-6.1520567455670035E-2</v>
      </c>
    </row>
    <row r="38" spans="1:21" x14ac:dyDescent="0.2">
      <c r="A38" s="39">
        <f>A37+1</f>
        <v>26</v>
      </c>
      <c r="B38" s="39" t="s">
        <v>152</v>
      </c>
      <c r="D38" s="41">
        <f>'FY 2003'!I34</f>
        <v>0</v>
      </c>
      <c r="E38" s="41">
        <f>'FY 2004'!I34</f>
        <v>0</v>
      </c>
      <c r="F38" s="40">
        <f>ROUND('SUMMARY-ALL YEARS'!F38/1000,1)</f>
        <v>22380.3</v>
      </c>
      <c r="G38" s="40">
        <f>ROUND('SUMMARY-ALL YEARS'!G38/1000,1)</f>
        <v>25083.3</v>
      </c>
      <c r="H38" s="40">
        <f>ROUND('SUMMARY-ALL YEARS'!H38/1000,1)</f>
        <v>63740.1</v>
      </c>
      <c r="I38" s="40">
        <f>ROUND('SUMMARY-ALL YEARS'!I38/1000,1)</f>
        <v>70604.3</v>
      </c>
      <c r="J38" s="40">
        <f>ROUND('SUMMARY-ALL YEARS'!J38/1000,1)</f>
        <v>73701.600000000006</v>
      </c>
      <c r="K38" s="40">
        <f>ROUND('SUMMARY-ALL YEARS'!K38/1000,1)</f>
        <v>75798.7</v>
      </c>
      <c r="L38" s="164">
        <f>ROUND('SUMMARY-ALL YEARS'!L38/1000,1)</f>
        <v>76305.399999999994</v>
      </c>
      <c r="M38" s="164">
        <f>ROUND('SUMMARY-ALL YEARS'!M38/1000,1)</f>
        <v>75373.899999999994</v>
      </c>
      <c r="N38" s="164">
        <f>ROUND('SUMMARY-ALL YEARS'!N38/1000,1)</f>
        <v>73497.2</v>
      </c>
      <c r="O38" s="40">
        <f>SUM(I38:J38)</f>
        <v>144305.90000000002</v>
      </c>
      <c r="P38" s="40">
        <f>SUM(K38:L38)</f>
        <v>152104.09999999998</v>
      </c>
      <c r="Q38" s="40">
        <f>SUM(M38:N38)</f>
        <v>148871.09999999998</v>
      </c>
      <c r="R38" s="40">
        <f>P38-O38</f>
        <v>7798.1999999999534</v>
      </c>
      <c r="S38" s="137">
        <f>R38/O38</f>
        <v>5.4039370531627273E-2</v>
      </c>
      <c r="T38" s="40">
        <f>Q38-P38</f>
        <v>-3233</v>
      </c>
      <c r="U38" s="137">
        <f>T38/P38</f>
        <v>-2.1255179840648612E-2</v>
      </c>
    </row>
    <row r="39" spans="1:21" x14ac:dyDescent="0.2">
      <c r="A39" s="39">
        <f>A38+1</f>
        <v>27</v>
      </c>
      <c r="B39" s="42" t="s">
        <v>174</v>
      </c>
      <c r="D39" s="41">
        <f>'FY 2003'!I35</f>
        <v>0</v>
      </c>
      <c r="E39" s="41">
        <f>'FY 2004'!I35</f>
        <v>0</v>
      </c>
      <c r="F39" s="40">
        <f>ROUND('SUMMARY-ALL YEARS'!F39/1000,1)</f>
        <v>18540.599999999999</v>
      </c>
      <c r="G39" s="40">
        <f>ROUND('SUMMARY-ALL YEARS'!G39/1000,1)</f>
        <v>20383.5</v>
      </c>
      <c r="H39" s="40">
        <f>ROUND('SUMMARY-ALL YEARS'!H39/1000,1)</f>
        <v>21830.5</v>
      </c>
      <c r="I39" s="40">
        <f>ROUND('SUMMARY-ALL YEARS'!I39/1000,1)</f>
        <v>23010.400000000001</v>
      </c>
      <c r="J39" s="40">
        <f>ROUND('SUMMARY-ALL YEARS'!J39/1000,1)</f>
        <v>24292.9</v>
      </c>
      <c r="K39" s="40">
        <f>ROUND('SUMMARY-ALL YEARS'!K39/1000,1)</f>
        <v>25195.5</v>
      </c>
      <c r="L39" s="164">
        <f>ROUND('SUMMARY-ALL YEARS'!L39/1000,1)</f>
        <v>25244.5</v>
      </c>
      <c r="M39" s="164">
        <f>ROUND('SUMMARY-ALL YEARS'!M39/1000,1)</f>
        <v>24570.1</v>
      </c>
      <c r="N39" s="164">
        <f>ROUND('SUMMARY-ALL YEARS'!N39/1000,1)</f>
        <v>23754.2</v>
      </c>
      <c r="O39" s="40">
        <f>SUM(I39:J39)</f>
        <v>47303.3</v>
      </c>
      <c r="P39" s="40">
        <f>SUM(K39:L39)</f>
        <v>50440</v>
      </c>
      <c r="Q39" s="40">
        <f>SUM(M39:N39)</f>
        <v>48324.3</v>
      </c>
      <c r="R39" s="40">
        <f>P39-O39</f>
        <v>3136.6999999999971</v>
      </c>
      <c r="S39" s="137">
        <f>R39/O39</f>
        <v>6.631038426494551E-2</v>
      </c>
      <c r="T39" s="40">
        <f>Q39-P39</f>
        <v>-2115.6999999999971</v>
      </c>
      <c r="U39" s="137">
        <f>T39/P39</f>
        <v>-4.1944885011895264E-2</v>
      </c>
    </row>
    <row r="40" spans="1:21" x14ac:dyDescent="0.2">
      <c r="A40" s="39">
        <f>A39+1</f>
        <v>28</v>
      </c>
      <c r="B40" s="42" t="s">
        <v>168</v>
      </c>
      <c r="C40" s="42"/>
      <c r="D40" s="41">
        <f>'FY 2003'!I36</f>
        <v>0</v>
      </c>
      <c r="E40" s="41">
        <f>'FY 2004'!I36</f>
        <v>0</v>
      </c>
      <c r="F40" s="40">
        <f>ROUND('SUMMARY-ALL YEARS'!F40/1000,1)</f>
        <v>0</v>
      </c>
      <c r="G40" s="40">
        <f>ROUND('SUMMARY-ALL YEARS'!G40/1000,1)</f>
        <v>0</v>
      </c>
      <c r="H40" s="40">
        <f>ROUND('SUMMARY-ALL YEARS'!H40/1000,1)</f>
        <v>9695.5</v>
      </c>
      <c r="I40" s="40">
        <f>ROUND('SUMMARY-ALL YEARS'!I40/1000,1)</f>
        <v>12779.7</v>
      </c>
      <c r="J40" s="40">
        <f>ROUND('SUMMARY-ALL YEARS'!J40/1000,1)</f>
        <v>13353.4</v>
      </c>
      <c r="K40" s="40">
        <f>ROUND('SUMMARY-ALL YEARS'!K40/1000,1)</f>
        <v>16807.099999999999</v>
      </c>
      <c r="L40" s="164">
        <f>ROUND('SUMMARY-ALL YEARS'!L40/1000,1)</f>
        <v>18158</v>
      </c>
      <c r="M40" s="164">
        <f>ROUND('SUMMARY-ALL YEARS'!M40/1000,1)</f>
        <v>22046.3</v>
      </c>
      <c r="N40" s="164">
        <f>ROUND('SUMMARY-ALL YEARS'!N40/1000,1)</f>
        <v>21813.5</v>
      </c>
      <c r="O40" s="40">
        <f>SUM(I40:J40)</f>
        <v>26133.1</v>
      </c>
      <c r="P40" s="40">
        <f>SUM(K40:L40)</f>
        <v>34965.1</v>
      </c>
      <c r="Q40" s="40">
        <f>SUM(M40:N40)</f>
        <v>43859.8</v>
      </c>
      <c r="R40" s="40">
        <f>P40-O40</f>
        <v>8832</v>
      </c>
      <c r="S40" s="137">
        <f>R40/O40</f>
        <v>0.33796220119312292</v>
      </c>
      <c r="T40" s="40">
        <f>Q40-P40</f>
        <v>8894.7000000000044</v>
      </c>
      <c r="U40" s="137">
        <f>T40/P40</f>
        <v>0.25438794683841903</v>
      </c>
    </row>
    <row r="41" spans="1:21" x14ac:dyDescent="0.2">
      <c r="A41" s="39">
        <f>A40+1</f>
        <v>29</v>
      </c>
      <c r="B41" s="39" t="s">
        <v>154</v>
      </c>
      <c r="D41" s="41">
        <f>'FY 2003'!I37</f>
        <v>224945858</v>
      </c>
      <c r="E41" s="41">
        <f>'FY 2004'!I37</f>
        <v>351087875</v>
      </c>
      <c r="F41" s="40">
        <f>ROUND('SUMMARY-ALL YEARS'!F41/1000,1)</f>
        <v>379954.5</v>
      </c>
      <c r="G41" s="40">
        <f>ROUND('SUMMARY-ALL YEARS'!G41/1000,1)</f>
        <v>410867.9</v>
      </c>
      <c r="H41" s="40">
        <f>ROUND('SUMMARY-ALL YEARS'!H41/1000,1)</f>
        <v>482421.7</v>
      </c>
      <c r="I41" s="40">
        <f>ROUND('SUMMARY-ALL YEARS'!I41/1000,1)</f>
        <v>540184.30000000005</v>
      </c>
      <c r="J41" s="40">
        <f>ROUND('SUMMARY-ALL YEARS'!J41/1000,1)</f>
        <v>635333.5</v>
      </c>
      <c r="K41" s="40">
        <f>ROUND('SUMMARY-ALL YEARS'!K41/1000,1)</f>
        <v>712334.2</v>
      </c>
      <c r="L41" s="164">
        <f>ROUND('SUMMARY-ALL YEARS'!L41/1000,1)</f>
        <v>737629.4</v>
      </c>
      <c r="M41" s="164">
        <f>ROUND('SUMMARY-ALL YEARS'!M41/1000,1)</f>
        <v>745650.7</v>
      </c>
      <c r="N41" s="164">
        <f>ROUND('SUMMARY-ALL YEARS'!N41/1000,1)</f>
        <v>801706.2</v>
      </c>
      <c r="O41" s="40">
        <f>SUM(I41:J41)</f>
        <v>1175517.8</v>
      </c>
      <c r="P41" s="40">
        <f>SUM(K41:L41)</f>
        <v>1449963.6</v>
      </c>
      <c r="Q41" s="40">
        <f>SUM(M41:N41)</f>
        <v>1547356.9</v>
      </c>
      <c r="R41" s="40">
        <f>P41-O41</f>
        <v>274445.80000000005</v>
      </c>
      <c r="S41" s="137">
        <f>R41/O41</f>
        <v>0.23346800873623524</v>
      </c>
      <c r="T41" s="40">
        <f>Q41-P41</f>
        <v>97393.299999999814</v>
      </c>
      <c r="U41" s="137">
        <f>T41/P41</f>
        <v>6.7169479288997191E-2</v>
      </c>
    </row>
    <row r="42" spans="1:21" x14ac:dyDescent="0.2">
      <c r="D42" s="41"/>
      <c r="E42" s="41"/>
      <c r="F42" s="41"/>
      <c r="G42" s="41"/>
      <c r="H42" s="41"/>
      <c r="I42" s="41"/>
      <c r="J42" s="41"/>
      <c r="K42" s="41"/>
      <c r="L42" s="166"/>
      <c r="M42" s="166"/>
      <c r="N42" s="166"/>
    </row>
    <row r="43" spans="1:21" x14ac:dyDescent="0.2">
      <c r="A43" s="39">
        <f>A41+1</f>
        <v>30</v>
      </c>
      <c r="B43" s="42" t="s">
        <v>159</v>
      </c>
      <c r="C43" s="42"/>
      <c r="D43" s="41">
        <f t="shared" ref="D43:N43" si="9">SUM(D37:D41)</f>
        <v>224945858</v>
      </c>
      <c r="E43" s="41">
        <f t="shared" si="9"/>
        <v>351087875</v>
      </c>
      <c r="F43" s="40">
        <f t="shared" si="9"/>
        <v>460882.7</v>
      </c>
      <c r="G43" s="40">
        <f t="shared" si="9"/>
        <v>500602.9</v>
      </c>
      <c r="H43" s="40">
        <f t="shared" si="9"/>
        <v>679622.3</v>
      </c>
      <c r="I43" s="40">
        <f t="shared" si="9"/>
        <v>758409.10000000009</v>
      </c>
      <c r="J43" s="40">
        <f t="shared" si="9"/>
        <v>867934.4</v>
      </c>
      <c r="K43" s="40">
        <f t="shared" si="9"/>
        <v>954412.1</v>
      </c>
      <c r="L43" s="164">
        <f t="shared" si="9"/>
        <v>981961.2</v>
      </c>
      <c r="M43" s="164">
        <f t="shared" si="9"/>
        <v>987674.79999999993</v>
      </c>
      <c r="N43" s="164">
        <f t="shared" si="9"/>
        <v>1034325.2999999999</v>
      </c>
      <c r="O43" s="40">
        <f>SUM(I43:J43)</f>
        <v>1626343.5</v>
      </c>
      <c r="P43" s="40">
        <f>SUM(K43:L43)</f>
        <v>1936373.2999999998</v>
      </c>
      <c r="Q43" s="40">
        <f>SUM(M43:N43)</f>
        <v>2022000.0999999999</v>
      </c>
      <c r="R43" s="40">
        <f>P43-O43</f>
        <v>310029.79999999981</v>
      </c>
      <c r="S43" s="137">
        <f>R43/O43</f>
        <v>0.19062996224352347</v>
      </c>
      <c r="T43" s="40">
        <f>Q43-P43</f>
        <v>85626.800000000047</v>
      </c>
      <c r="U43" s="137">
        <f>T43/P43</f>
        <v>4.4220192459790711E-2</v>
      </c>
    </row>
    <row r="44" spans="1:21" x14ac:dyDescent="0.2">
      <c r="B44" s="42"/>
      <c r="C44" s="42"/>
      <c r="D44" s="41"/>
      <c r="E44" s="41"/>
      <c r="F44" s="92"/>
      <c r="G44" s="92"/>
      <c r="H44" s="92"/>
      <c r="I44" s="92"/>
      <c r="J44" s="92"/>
      <c r="K44" s="92"/>
      <c r="L44" s="167"/>
      <c r="M44" s="167"/>
      <c r="N44" s="167"/>
    </row>
    <row r="45" spans="1:21" x14ac:dyDescent="0.2">
      <c r="B45" s="42" t="s">
        <v>157</v>
      </c>
      <c r="C45" s="42"/>
      <c r="D45" s="41"/>
      <c r="E45" s="41"/>
      <c r="F45" s="41"/>
      <c r="G45" s="91"/>
      <c r="H45" s="91"/>
      <c r="I45" s="91"/>
      <c r="J45" s="91"/>
      <c r="K45" s="91"/>
      <c r="L45" s="168"/>
      <c r="M45" s="168"/>
      <c r="N45" s="168"/>
    </row>
    <row r="46" spans="1:21" x14ac:dyDescent="0.2">
      <c r="A46" s="39">
        <f>A43+1</f>
        <v>31</v>
      </c>
      <c r="B46" s="39" t="s">
        <v>141</v>
      </c>
      <c r="D46" s="41">
        <f t="shared" ref="D46:N46" si="10">D8</f>
        <v>4490060320</v>
      </c>
      <c r="E46" s="41">
        <f t="shared" si="10"/>
        <v>4403575277</v>
      </c>
      <c r="F46" s="40">
        <f t="shared" si="10"/>
        <v>4384973.8</v>
      </c>
      <c r="G46" s="40">
        <f t="shared" si="10"/>
        <v>4558383.7</v>
      </c>
      <c r="H46" s="40">
        <f t="shared" si="10"/>
        <v>4741676.9000000004</v>
      </c>
      <c r="I46" s="40">
        <f t="shared" si="10"/>
        <v>4837724.5</v>
      </c>
      <c r="J46" s="40">
        <f t="shared" si="10"/>
        <v>4860574.7</v>
      </c>
      <c r="K46" s="40">
        <f t="shared" si="10"/>
        <v>4853494.9000000004</v>
      </c>
      <c r="L46" s="164">
        <f t="shared" si="10"/>
        <v>4858048.0999999996</v>
      </c>
      <c r="M46" s="164">
        <f t="shared" si="10"/>
        <v>4876357.2</v>
      </c>
      <c r="N46" s="164">
        <f t="shared" si="10"/>
        <v>4916240.2</v>
      </c>
      <c r="O46" s="40">
        <f>SUM(I46:J46)</f>
        <v>9698299.1999999993</v>
      </c>
      <c r="P46" s="40">
        <f>SUM(K46:L46)</f>
        <v>9711543</v>
      </c>
      <c r="Q46" s="40">
        <f>SUM(M46:N46)</f>
        <v>9792597.4000000004</v>
      </c>
      <c r="R46" s="40">
        <f>P46-O46</f>
        <v>13243.800000000745</v>
      </c>
      <c r="S46" s="137">
        <f>R46/O46</f>
        <v>1.3655796472025472E-3</v>
      </c>
      <c r="T46" s="40">
        <f>Q46-P46</f>
        <v>81054.400000000373</v>
      </c>
      <c r="U46" s="137">
        <f>T46/P46</f>
        <v>8.3461917431658771E-3</v>
      </c>
    </row>
    <row r="47" spans="1:21" x14ac:dyDescent="0.2">
      <c r="A47" s="39">
        <f>A46+1</f>
        <v>32</v>
      </c>
      <c r="B47" s="42" t="s">
        <v>299</v>
      </c>
      <c r="D47" s="41"/>
      <c r="E47" s="41"/>
      <c r="F47" s="40"/>
      <c r="G47" s="40">
        <f t="shared" ref="G47:N49" si="11">G9</f>
        <v>0</v>
      </c>
      <c r="H47" s="40">
        <f t="shared" si="11"/>
        <v>0</v>
      </c>
      <c r="I47" s="40">
        <f t="shared" si="11"/>
        <v>0</v>
      </c>
      <c r="J47" s="40">
        <f t="shared" si="11"/>
        <v>48378.1</v>
      </c>
      <c r="K47" s="40">
        <f t="shared" si="11"/>
        <v>0</v>
      </c>
      <c r="L47" s="164">
        <f t="shared" si="11"/>
        <v>0</v>
      </c>
      <c r="M47" s="164">
        <f t="shared" si="11"/>
        <v>0</v>
      </c>
      <c r="N47" s="164">
        <f t="shared" si="11"/>
        <v>0</v>
      </c>
      <c r="O47" s="40">
        <f>SUM(I47:J47)</f>
        <v>48378.1</v>
      </c>
      <c r="P47" s="40">
        <f>SUM(K47:L47)</f>
        <v>0</v>
      </c>
      <c r="Q47" s="40">
        <f>SUM(M47:N47)</f>
        <v>0</v>
      </c>
      <c r="R47" s="40">
        <f>P47-O47</f>
        <v>-48378.1</v>
      </c>
      <c r="S47" s="137">
        <f>R47/O47</f>
        <v>-1</v>
      </c>
      <c r="T47" s="40">
        <f>Q47-P47</f>
        <v>0</v>
      </c>
      <c r="U47" s="137" t="e">
        <f>T47/P47</f>
        <v>#DIV/0!</v>
      </c>
    </row>
    <row r="48" spans="1:21" x14ac:dyDescent="0.2">
      <c r="A48" s="39">
        <f>A47+1</f>
        <v>33</v>
      </c>
      <c r="B48" s="42" t="s">
        <v>167</v>
      </c>
      <c r="C48" s="42"/>
      <c r="D48" s="41">
        <f t="shared" ref="D48:F49" si="12">D10</f>
        <v>0</v>
      </c>
      <c r="E48" s="41">
        <f t="shared" si="12"/>
        <v>0</v>
      </c>
      <c r="F48" s="40">
        <f t="shared" si="12"/>
        <v>0</v>
      </c>
      <c r="G48" s="40">
        <f t="shared" si="11"/>
        <v>3812.2</v>
      </c>
      <c r="H48" s="40">
        <f t="shared" si="11"/>
        <v>8579.6</v>
      </c>
      <c r="I48" s="40">
        <f t="shared" si="11"/>
        <v>11441.2</v>
      </c>
      <c r="J48" s="40">
        <f t="shared" si="11"/>
        <v>11383.1</v>
      </c>
      <c r="K48" s="40">
        <f t="shared" si="11"/>
        <v>11365.9</v>
      </c>
      <c r="L48" s="164">
        <f t="shared" si="11"/>
        <v>11377.2</v>
      </c>
      <c r="M48" s="164">
        <f t="shared" si="11"/>
        <v>11420</v>
      </c>
      <c r="N48" s="164">
        <f t="shared" si="11"/>
        <v>11513.4</v>
      </c>
      <c r="O48" s="40">
        <f>SUM(I48:J48)</f>
        <v>22824.300000000003</v>
      </c>
      <c r="P48" s="40">
        <f>SUM(K48:L48)</f>
        <v>22743.1</v>
      </c>
      <c r="Q48" s="40">
        <f>SUM(M48:N48)</f>
        <v>22933.4</v>
      </c>
      <c r="R48" s="40">
        <f>P48-O48</f>
        <v>-81.200000000004366</v>
      </c>
      <c r="S48" s="137">
        <f>R48/O48</f>
        <v>-3.5576118435178454E-3</v>
      </c>
      <c r="T48" s="40">
        <f>Q48-P48</f>
        <v>190.30000000000291</v>
      </c>
      <c r="U48" s="137">
        <f>T48/P48</f>
        <v>8.3673729614697611E-3</v>
      </c>
    </row>
    <row r="49" spans="1:21" x14ac:dyDescent="0.2">
      <c r="A49" s="39">
        <f>A48+1</f>
        <v>34</v>
      </c>
      <c r="B49" s="39" t="s">
        <v>142</v>
      </c>
      <c r="D49" s="41">
        <f t="shared" si="12"/>
        <v>0</v>
      </c>
      <c r="E49" s="41">
        <f t="shared" si="12"/>
        <v>50351550</v>
      </c>
      <c r="F49" s="40">
        <f t="shared" si="12"/>
        <v>52327.4</v>
      </c>
      <c r="G49" s="40">
        <f t="shared" si="11"/>
        <v>52766.2</v>
      </c>
      <c r="H49" s="40">
        <f t="shared" si="11"/>
        <v>55437</v>
      </c>
      <c r="I49" s="40">
        <f t="shared" si="11"/>
        <v>59590.8</v>
      </c>
      <c r="J49" s="40">
        <f t="shared" si="11"/>
        <v>60995.6</v>
      </c>
      <c r="K49" s="40">
        <f t="shared" si="11"/>
        <v>64565.4</v>
      </c>
      <c r="L49" s="164">
        <f t="shared" si="11"/>
        <v>69073</v>
      </c>
      <c r="M49" s="164">
        <f t="shared" si="11"/>
        <v>71777.899999999994</v>
      </c>
      <c r="N49" s="164">
        <f t="shared" si="11"/>
        <v>76066.8</v>
      </c>
      <c r="O49" s="40">
        <f>SUM(I49:J49)</f>
        <v>120586.4</v>
      </c>
      <c r="P49" s="40">
        <f>SUM(K49:L49)</f>
        <v>133638.39999999999</v>
      </c>
      <c r="Q49" s="40">
        <f>SUM(M49:N49)</f>
        <v>147844.70000000001</v>
      </c>
      <c r="R49" s="40">
        <f>P49-O49</f>
        <v>13052</v>
      </c>
      <c r="S49" s="137">
        <f>R49/O49</f>
        <v>0.10823774488665389</v>
      </c>
      <c r="T49" s="40">
        <f>Q49-P49</f>
        <v>14206.300000000017</v>
      </c>
      <c r="U49" s="137">
        <f>T49/P49</f>
        <v>0.10630402638762525</v>
      </c>
    </row>
    <row r="50" spans="1:21" x14ac:dyDescent="0.2">
      <c r="B50" s="42" t="s">
        <v>171</v>
      </c>
      <c r="D50" s="41"/>
      <c r="E50" s="41"/>
      <c r="F50" s="41"/>
      <c r="G50" s="41"/>
      <c r="H50" s="41"/>
      <c r="I50" s="41"/>
      <c r="J50" s="41"/>
      <c r="K50" s="41"/>
      <c r="L50" s="166"/>
      <c r="M50" s="166"/>
      <c r="N50" s="166"/>
    </row>
    <row r="51" spans="1:21" x14ac:dyDescent="0.2">
      <c r="A51" s="39">
        <f>A49+1</f>
        <v>35</v>
      </c>
      <c r="C51" s="39" t="s">
        <v>143</v>
      </c>
      <c r="D51" s="41">
        <f t="shared" ref="D51:N51" si="13">D13</f>
        <v>262694686</v>
      </c>
      <c r="E51" s="41">
        <f t="shared" si="13"/>
        <v>249146954</v>
      </c>
      <c r="F51" s="40">
        <f t="shared" si="13"/>
        <v>265074.5</v>
      </c>
      <c r="G51" s="40">
        <f t="shared" si="13"/>
        <v>292547.5</v>
      </c>
      <c r="H51" s="40">
        <f t="shared" si="13"/>
        <v>315471.90000000002</v>
      </c>
      <c r="I51" s="40">
        <f t="shared" si="13"/>
        <v>333928.09999999998</v>
      </c>
      <c r="J51" s="40">
        <f t="shared" si="13"/>
        <v>348510.7</v>
      </c>
      <c r="K51" s="40">
        <f t="shared" si="13"/>
        <v>361157.3</v>
      </c>
      <c r="L51" s="164">
        <f t="shared" si="13"/>
        <v>414260.4</v>
      </c>
      <c r="M51" s="164">
        <f t="shared" si="13"/>
        <v>432960.5</v>
      </c>
      <c r="N51" s="164">
        <f t="shared" si="13"/>
        <v>452559.9</v>
      </c>
      <c r="O51" s="40">
        <f t="shared" ref="O51:O64" si="14">SUM(I51:J51)</f>
        <v>682438.8</v>
      </c>
      <c r="P51" s="40">
        <f t="shared" ref="P51:P64" si="15">SUM(K51:L51)</f>
        <v>775417.7</v>
      </c>
      <c r="Q51" s="40">
        <f t="shared" ref="Q51:Q64" si="16">SUM(M51:N51)</f>
        <v>885520.4</v>
      </c>
      <c r="R51" s="40">
        <f t="shared" ref="R51:R64" si="17">P51-O51</f>
        <v>92978.899999999907</v>
      </c>
      <c r="S51" s="137">
        <f t="shared" ref="S51:S64" si="18">R51/O51</f>
        <v>0.13624503765026241</v>
      </c>
      <c r="T51" s="40">
        <f t="shared" ref="T51:T64" si="19">Q51-P51</f>
        <v>110102.70000000007</v>
      </c>
      <c r="U51" s="137">
        <f t="shared" ref="U51:U64" si="20">T51/P51</f>
        <v>0.14199147117740551</v>
      </c>
    </row>
    <row r="52" spans="1:21" x14ac:dyDescent="0.2">
      <c r="A52" s="39">
        <f t="shared" ref="A52:A64" si="21">A51+1</f>
        <v>36</v>
      </c>
      <c r="C52" s="39" t="s">
        <v>144</v>
      </c>
      <c r="D52" s="41">
        <f t="shared" ref="D52:N52" si="22">D14</f>
        <v>36857227</v>
      </c>
      <c r="E52" s="41">
        <f t="shared" si="22"/>
        <v>28818713</v>
      </c>
      <c r="F52" s="40">
        <f t="shared" si="22"/>
        <v>29477.7</v>
      </c>
      <c r="G52" s="40">
        <f t="shared" si="22"/>
        <v>30912.7</v>
      </c>
      <c r="H52" s="40">
        <f t="shared" si="22"/>
        <v>31474.3</v>
      </c>
      <c r="I52" s="40">
        <f t="shared" si="22"/>
        <v>32316.799999999999</v>
      </c>
      <c r="J52" s="40">
        <f t="shared" si="22"/>
        <v>32058.2</v>
      </c>
      <c r="K52" s="40">
        <f t="shared" si="22"/>
        <v>31807.9</v>
      </c>
      <c r="L52" s="164">
        <f t="shared" si="22"/>
        <v>31673.1</v>
      </c>
      <c r="M52" s="164">
        <f t="shared" si="22"/>
        <v>31709.9</v>
      </c>
      <c r="N52" s="164">
        <f t="shared" si="22"/>
        <v>31867</v>
      </c>
      <c r="O52" s="40">
        <f t="shared" si="14"/>
        <v>64375</v>
      </c>
      <c r="P52" s="40">
        <f t="shared" si="15"/>
        <v>63481</v>
      </c>
      <c r="Q52" s="40">
        <f t="shared" si="16"/>
        <v>63576.9</v>
      </c>
      <c r="R52" s="40">
        <f t="shared" si="17"/>
        <v>-894</v>
      </c>
      <c r="S52" s="137">
        <f t="shared" si="18"/>
        <v>-1.38873786407767E-2</v>
      </c>
      <c r="T52" s="40">
        <f t="shared" si="19"/>
        <v>95.900000000001455</v>
      </c>
      <c r="U52" s="137">
        <f t="shared" si="20"/>
        <v>1.5106882374253943E-3</v>
      </c>
    </row>
    <row r="53" spans="1:21" x14ac:dyDescent="0.2">
      <c r="A53" s="39">
        <f t="shared" si="21"/>
        <v>37</v>
      </c>
      <c r="B53" s="42"/>
      <c r="C53" s="42" t="s">
        <v>170</v>
      </c>
      <c r="D53" s="41">
        <f t="shared" ref="D53:N53" si="23">D15</f>
        <v>9779108</v>
      </c>
      <c r="E53" s="41">
        <f t="shared" si="23"/>
        <v>7276758</v>
      </c>
      <c r="F53" s="40">
        <f t="shared" si="23"/>
        <v>7434.3</v>
      </c>
      <c r="G53" s="40">
        <f t="shared" si="23"/>
        <v>7883.2</v>
      </c>
      <c r="H53" s="40">
        <f t="shared" si="23"/>
        <v>8057.6</v>
      </c>
      <c r="I53" s="40">
        <f t="shared" si="23"/>
        <v>8306.5</v>
      </c>
      <c r="J53" s="40">
        <f t="shared" si="23"/>
        <v>8316.7999999999993</v>
      </c>
      <c r="K53" s="40">
        <f t="shared" si="23"/>
        <v>8258.2999999999993</v>
      </c>
      <c r="L53" s="164">
        <f t="shared" si="23"/>
        <v>8387.5</v>
      </c>
      <c r="M53" s="164">
        <f t="shared" si="23"/>
        <v>8406.7999999999993</v>
      </c>
      <c r="N53" s="164">
        <f t="shared" si="23"/>
        <v>8500.2000000000007</v>
      </c>
      <c r="O53" s="40">
        <f t="shared" si="14"/>
        <v>16623.3</v>
      </c>
      <c r="P53" s="40">
        <f t="shared" si="15"/>
        <v>16645.8</v>
      </c>
      <c r="Q53" s="40">
        <f t="shared" si="16"/>
        <v>16907</v>
      </c>
      <c r="R53" s="40">
        <f t="shared" si="17"/>
        <v>22.5</v>
      </c>
      <c r="S53" s="137">
        <f t="shared" si="18"/>
        <v>1.3535218638898415E-3</v>
      </c>
      <c r="T53" s="40">
        <f t="shared" si="19"/>
        <v>261.20000000000073</v>
      </c>
      <c r="U53" s="137">
        <f t="shared" si="20"/>
        <v>1.5691645940717824E-2</v>
      </c>
    </row>
    <row r="54" spans="1:21" x14ac:dyDescent="0.2">
      <c r="A54" s="39">
        <f t="shared" si="21"/>
        <v>38</v>
      </c>
      <c r="B54" s="39" t="s">
        <v>145</v>
      </c>
      <c r="D54" s="41">
        <f t="shared" ref="D54:N54" si="24">D16</f>
        <v>16471551</v>
      </c>
      <c r="E54" s="41">
        <f t="shared" si="24"/>
        <v>16909578</v>
      </c>
      <c r="F54" s="40">
        <f t="shared" si="24"/>
        <v>17548.599999999999</v>
      </c>
      <c r="G54" s="40">
        <f t="shared" si="24"/>
        <v>18853.099999999999</v>
      </c>
      <c r="H54" s="40">
        <f t="shared" si="24"/>
        <v>20254.2</v>
      </c>
      <c r="I54" s="40">
        <f t="shared" si="24"/>
        <v>21637.5</v>
      </c>
      <c r="J54" s="40">
        <f t="shared" si="24"/>
        <v>22898.799999999999</v>
      </c>
      <c r="K54" s="40">
        <f t="shared" si="24"/>
        <v>23368.6</v>
      </c>
      <c r="L54" s="164">
        <f t="shared" si="24"/>
        <v>23511.200000000001</v>
      </c>
      <c r="M54" s="164">
        <f t="shared" si="24"/>
        <v>24128.7</v>
      </c>
      <c r="N54" s="164">
        <f t="shared" si="24"/>
        <v>24366.799999999999</v>
      </c>
      <c r="O54" s="40">
        <f t="shared" si="14"/>
        <v>44536.3</v>
      </c>
      <c r="P54" s="40">
        <f t="shared" si="15"/>
        <v>46879.8</v>
      </c>
      <c r="Q54" s="40">
        <f t="shared" si="16"/>
        <v>48495.5</v>
      </c>
      <c r="R54" s="40">
        <f t="shared" si="17"/>
        <v>2343.5</v>
      </c>
      <c r="S54" s="137">
        <f t="shared" si="18"/>
        <v>5.2619997619919028E-2</v>
      </c>
      <c r="T54" s="40">
        <f t="shared" si="19"/>
        <v>1615.6999999999971</v>
      </c>
      <c r="U54" s="137">
        <f t="shared" si="20"/>
        <v>3.4464737477548898E-2</v>
      </c>
    </row>
    <row r="55" spans="1:21" x14ac:dyDescent="0.2">
      <c r="A55" s="39">
        <f t="shared" si="21"/>
        <v>39</v>
      </c>
      <c r="B55" s="39" t="s">
        <v>146</v>
      </c>
      <c r="D55" s="41">
        <f t="shared" ref="D55:N55" si="25">D17</f>
        <v>56478364</v>
      </c>
      <c r="E55" s="41">
        <f t="shared" si="25"/>
        <v>55913098</v>
      </c>
      <c r="F55" s="40">
        <f t="shared" si="25"/>
        <v>55511.199999999997</v>
      </c>
      <c r="G55" s="40">
        <f t="shared" si="25"/>
        <v>57332.800000000003</v>
      </c>
      <c r="H55" s="40">
        <f t="shared" si="25"/>
        <v>59221.8</v>
      </c>
      <c r="I55" s="40">
        <f t="shared" si="25"/>
        <v>60083.8</v>
      </c>
      <c r="J55" s="40">
        <f t="shared" si="25"/>
        <v>60159.1</v>
      </c>
      <c r="K55" s="40">
        <f t="shared" si="25"/>
        <v>59833.2</v>
      </c>
      <c r="L55" s="164">
        <f t="shared" si="25"/>
        <v>60371.5</v>
      </c>
      <c r="M55" s="164">
        <f t="shared" si="25"/>
        <v>60249.599999999999</v>
      </c>
      <c r="N55" s="164">
        <f t="shared" si="25"/>
        <v>60009.2</v>
      </c>
      <c r="O55" s="40">
        <f t="shared" si="14"/>
        <v>120242.9</v>
      </c>
      <c r="P55" s="40">
        <f t="shared" si="15"/>
        <v>120204.7</v>
      </c>
      <c r="Q55" s="40">
        <f t="shared" si="16"/>
        <v>120258.79999999999</v>
      </c>
      <c r="R55" s="40">
        <f t="shared" si="17"/>
        <v>-38.19999999999709</v>
      </c>
      <c r="S55" s="137">
        <f t="shared" si="18"/>
        <v>-3.1769027526778787E-4</v>
      </c>
      <c r="T55" s="40">
        <f t="shared" si="19"/>
        <v>54.099999999991269</v>
      </c>
      <c r="U55" s="137">
        <f t="shared" si="20"/>
        <v>4.5006559643667238E-4</v>
      </c>
    </row>
    <row r="56" spans="1:21" x14ac:dyDescent="0.2">
      <c r="A56" s="39">
        <f t="shared" si="21"/>
        <v>40</v>
      </c>
      <c r="B56" s="39" t="s">
        <v>148</v>
      </c>
      <c r="D56" s="41">
        <f t="shared" ref="D56:N56" si="26">D18</f>
        <v>25114308</v>
      </c>
      <c r="E56" s="41">
        <f t="shared" si="26"/>
        <v>18869558</v>
      </c>
      <c r="F56" s="40">
        <f t="shared" si="26"/>
        <v>12876.8</v>
      </c>
      <c r="G56" s="40">
        <f t="shared" si="26"/>
        <v>8213.5</v>
      </c>
      <c r="H56" s="40">
        <f t="shared" si="26"/>
        <v>4354.3999999999996</v>
      </c>
      <c r="I56" s="40">
        <f t="shared" si="26"/>
        <v>2146.1</v>
      </c>
      <c r="J56" s="40">
        <f t="shared" si="26"/>
        <v>1207.4000000000001</v>
      </c>
      <c r="K56" s="40">
        <f t="shared" si="26"/>
        <v>675.9</v>
      </c>
      <c r="L56" s="164">
        <f t="shared" si="26"/>
        <v>373.2</v>
      </c>
      <c r="M56" s="164">
        <f t="shared" si="26"/>
        <v>223.2</v>
      </c>
      <c r="N56" s="164">
        <f t="shared" si="26"/>
        <v>158.9</v>
      </c>
      <c r="O56" s="40">
        <f t="shared" si="14"/>
        <v>3353.5</v>
      </c>
      <c r="P56" s="40">
        <f t="shared" si="15"/>
        <v>1049.0999999999999</v>
      </c>
      <c r="Q56" s="40">
        <f t="shared" si="16"/>
        <v>382.1</v>
      </c>
      <c r="R56" s="40">
        <f t="shared" si="17"/>
        <v>-2304.4</v>
      </c>
      <c r="S56" s="137">
        <f t="shared" si="18"/>
        <v>-0.68716266587147756</v>
      </c>
      <c r="T56" s="40">
        <f t="shared" si="19"/>
        <v>-666.99999999999989</v>
      </c>
      <c r="U56" s="137">
        <f t="shared" si="20"/>
        <v>-0.63578305213992936</v>
      </c>
    </row>
    <row r="57" spans="1:21" x14ac:dyDescent="0.2">
      <c r="A57" s="39">
        <f t="shared" si="21"/>
        <v>41</v>
      </c>
      <c r="B57" s="42" t="s">
        <v>244</v>
      </c>
      <c r="D57" s="41">
        <f t="shared" ref="D57:N57" si="27">D19</f>
        <v>0</v>
      </c>
      <c r="E57" s="41">
        <f t="shared" si="27"/>
        <v>0</v>
      </c>
      <c r="F57" s="40">
        <f t="shared" si="27"/>
        <v>0</v>
      </c>
      <c r="G57" s="40">
        <f t="shared" si="27"/>
        <v>-344.9</v>
      </c>
      <c r="H57" s="40">
        <f t="shared" si="27"/>
        <v>0</v>
      </c>
      <c r="I57" s="40">
        <f t="shared" si="27"/>
        <v>-730.5</v>
      </c>
      <c r="J57" s="40">
        <f t="shared" si="27"/>
        <v>0</v>
      </c>
      <c r="K57" s="40">
        <f t="shared" si="27"/>
        <v>-2507.1</v>
      </c>
      <c r="L57" s="164">
        <f t="shared" si="27"/>
        <v>0</v>
      </c>
      <c r="M57" s="164">
        <f t="shared" si="27"/>
        <v>-700</v>
      </c>
      <c r="N57" s="164">
        <f t="shared" si="27"/>
        <v>0</v>
      </c>
      <c r="O57" s="40">
        <f t="shared" si="14"/>
        <v>-730.5</v>
      </c>
      <c r="P57" s="40">
        <f t="shared" si="15"/>
        <v>-2507.1</v>
      </c>
      <c r="Q57" s="40">
        <f t="shared" si="16"/>
        <v>-700</v>
      </c>
      <c r="R57" s="40">
        <f t="shared" si="17"/>
        <v>-1776.6</v>
      </c>
      <c r="S57" s="137">
        <f t="shared" si="18"/>
        <v>2.4320328542094454</v>
      </c>
      <c r="T57" s="40">
        <f t="shared" si="19"/>
        <v>1807.1</v>
      </c>
      <c r="U57" s="137">
        <f t="shared" si="20"/>
        <v>-0.72079294802760163</v>
      </c>
    </row>
    <row r="58" spans="1:21" x14ac:dyDescent="0.2">
      <c r="A58" s="39">
        <f t="shared" si="21"/>
        <v>42</v>
      </c>
      <c r="B58" s="42" t="s">
        <v>360</v>
      </c>
      <c r="D58" s="41"/>
      <c r="E58" s="41"/>
      <c r="F58" s="40"/>
      <c r="G58" s="40"/>
      <c r="H58" s="40">
        <v>0</v>
      </c>
      <c r="I58" s="40">
        <v>0</v>
      </c>
      <c r="J58" s="40">
        <v>0</v>
      </c>
      <c r="K58" s="40">
        <f>K20</f>
        <v>-500000</v>
      </c>
      <c r="L58" s="164">
        <v>0</v>
      </c>
      <c r="M58" s="164">
        <v>0</v>
      </c>
      <c r="N58" s="164">
        <v>0</v>
      </c>
      <c r="O58" s="40">
        <f t="shared" si="14"/>
        <v>0</v>
      </c>
      <c r="P58" s="40">
        <f t="shared" si="15"/>
        <v>-500000</v>
      </c>
      <c r="Q58" s="40">
        <f t="shared" si="16"/>
        <v>0</v>
      </c>
      <c r="R58" s="40">
        <f t="shared" si="17"/>
        <v>-500000</v>
      </c>
      <c r="S58" s="137" t="e">
        <f t="shared" si="18"/>
        <v>#DIV/0!</v>
      </c>
      <c r="T58" s="40">
        <f t="shared" si="19"/>
        <v>500000</v>
      </c>
      <c r="U58" s="137">
        <f t="shared" si="20"/>
        <v>-1</v>
      </c>
    </row>
    <row r="59" spans="1:21" x14ac:dyDescent="0.2">
      <c r="A59" s="39">
        <f t="shared" si="21"/>
        <v>43</v>
      </c>
      <c r="B59" s="39" t="s">
        <v>147</v>
      </c>
      <c r="D59" s="41">
        <f t="shared" ref="D59:N59" si="28">D21-D37</f>
        <v>198438434</v>
      </c>
      <c r="E59" s="41">
        <f t="shared" si="28"/>
        <v>194217096</v>
      </c>
      <c r="F59" s="40">
        <f t="shared" si="28"/>
        <v>153689.79999999999</v>
      </c>
      <c r="G59" s="40">
        <f t="shared" si="28"/>
        <v>149750.20000000001</v>
      </c>
      <c r="H59" s="40">
        <f t="shared" si="28"/>
        <v>92182.5</v>
      </c>
      <c r="I59" s="40">
        <f t="shared" si="28"/>
        <v>82805.200000000012</v>
      </c>
      <c r="J59" s="40">
        <f t="shared" si="28"/>
        <v>73046.100000000006</v>
      </c>
      <c r="K59" s="40">
        <f t="shared" si="28"/>
        <v>70133.199999999983</v>
      </c>
      <c r="L59" s="164">
        <f t="shared" si="28"/>
        <v>69988.300000000017</v>
      </c>
      <c r="M59" s="164">
        <f t="shared" si="28"/>
        <v>75269.3</v>
      </c>
      <c r="N59" s="164">
        <f t="shared" si="28"/>
        <v>83311.599999999991</v>
      </c>
      <c r="O59" s="40">
        <f t="shared" si="14"/>
        <v>155851.30000000002</v>
      </c>
      <c r="P59" s="40">
        <f t="shared" si="15"/>
        <v>140121.5</v>
      </c>
      <c r="Q59" s="40">
        <f t="shared" si="16"/>
        <v>158580.9</v>
      </c>
      <c r="R59" s="40">
        <f t="shared" si="17"/>
        <v>-15729.800000000017</v>
      </c>
      <c r="S59" s="137">
        <f t="shared" si="18"/>
        <v>-0.10092825661383649</v>
      </c>
      <c r="T59" s="40">
        <f t="shared" si="19"/>
        <v>18459.399999999994</v>
      </c>
      <c r="U59" s="137">
        <f t="shared" si="20"/>
        <v>0.13173852692127899</v>
      </c>
    </row>
    <row r="60" spans="1:21" x14ac:dyDescent="0.2">
      <c r="A60" s="39">
        <f t="shared" si="21"/>
        <v>44</v>
      </c>
      <c r="B60" s="39" t="s">
        <v>149</v>
      </c>
      <c r="D60" s="41">
        <f t="shared" ref="D60:N60" si="29">D22-D38</f>
        <v>34642490</v>
      </c>
      <c r="E60" s="41">
        <f t="shared" si="29"/>
        <v>32112369</v>
      </c>
      <c r="F60" s="40">
        <f t="shared" si="29"/>
        <v>19350.899999999998</v>
      </c>
      <c r="G60" s="40">
        <f t="shared" si="29"/>
        <v>25916.100000000002</v>
      </c>
      <c r="H60" s="40">
        <f t="shared" si="29"/>
        <v>30534.000000000007</v>
      </c>
      <c r="I60" s="40">
        <f t="shared" si="29"/>
        <v>25104.5</v>
      </c>
      <c r="J60" s="40">
        <f t="shared" si="29"/>
        <v>19660.399999999994</v>
      </c>
      <c r="K60" s="40">
        <f t="shared" si="29"/>
        <v>16720.100000000006</v>
      </c>
      <c r="L60" s="164">
        <f t="shared" si="29"/>
        <v>16028.600000000006</v>
      </c>
      <c r="M60" s="164">
        <f t="shared" si="29"/>
        <v>17993.300000000003</v>
      </c>
      <c r="N60" s="164">
        <f t="shared" si="29"/>
        <v>20984.5</v>
      </c>
      <c r="O60" s="40">
        <f t="shared" si="14"/>
        <v>44764.899999999994</v>
      </c>
      <c r="P60" s="40">
        <f t="shared" si="15"/>
        <v>32748.700000000012</v>
      </c>
      <c r="Q60" s="40">
        <f t="shared" si="16"/>
        <v>38977.800000000003</v>
      </c>
      <c r="R60" s="40">
        <f t="shared" si="17"/>
        <v>-12016.199999999983</v>
      </c>
      <c r="S60" s="137">
        <f t="shared" si="18"/>
        <v>-0.26842905937464362</v>
      </c>
      <c r="T60" s="40">
        <f t="shared" si="19"/>
        <v>6229.0999999999913</v>
      </c>
      <c r="U60" s="137">
        <f t="shared" si="20"/>
        <v>0.1902090770015295</v>
      </c>
    </row>
    <row r="61" spans="1:21" x14ac:dyDescent="0.2">
      <c r="A61" s="39">
        <f t="shared" si="21"/>
        <v>45</v>
      </c>
      <c r="B61" s="42" t="s">
        <v>173</v>
      </c>
      <c r="D61" s="41">
        <f t="shared" ref="D61:N61" si="30">D23-D39</f>
        <v>0</v>
      </c>
      <c r="E61" s="41">
        <f t="shared" si="30"/>
        <v>31986524</v>
      </c>
      <c r="F61" s="40">
        <f t="shared" si="30"/>
        <v>12786</v>
      </c>
      <c r="G61" s="40">
        <f t="shared" si="30"/>
        <v>10650.2</v>
      </c>
      <c r="H61" s="40">
        <f t="shared" si="30"/>
        <v>8632</v>
      </c>
      <c r="I61" s="40">
        <f t="shared" si="30"/>
        <v>7132.8999999999978</v>
      </c>
      <c r="J61" s="40">
        <f t="shared" si="30"/>
        <v>5419.0999999999985</v>
      </c>
      <c r="K61" s="40">
        <f t="shared" si="30"/>
        <v>4257.5999999999985</v>
      </c>
      <c r="L61" s="164">
        <f t="shared" si="30"/>
        <v>3970.9000000000015</v>
      </c>
      <c r="M61" s="164">
        <f t="shared" si="30"/>
        <v>4531.9000000000015</v>
      </c>
      <c r="N61" s="164">
        <f t="shared" si="30"/>
        <v>5540.0999999999985</v>
      </c>
      <c r="O61" s="40">
        <f t="shared" si="14"/>
        <v>12551.999999999996</v>
      </c>
      <c r="P61" s="40">
        <f t="shared" si="15"/>
        <v>8228.5</v>
      </c>
      <c r="Q61" s="40">
        <f t="shared" si="16"/>
        <v>10072</v>
      </c>
      <c r="R61" s="40">
        <f t="shared" si="17"/>
        <v>-4323.4999999999964</v>
      </c>
      <c r="S61" s="137">
        <f t="shared" si="18"/>
        <v>-0.34444710006373469</v>
      </c>
      <c r="T61" s="40">
        <f t="shared" si="19"/>
        <v>1843.5</v>
      </c>
      <c r="U61" s="137">
        <f t="shared" si="20"/>
        <v>0.22403840311113812</v>
      </c>
    </row>
    <row r="62" spans="1:21" x14ac:dyDescent="0.2">
      <c r="A62" s="39">
        <f t="shared" si="21"/>
        <v>46</v>
      </c>
      <c r="B62" s="42" t="s">
        <v>168</v>
      </c>
      <c r="C62" s="42"/>
      <c r="D62" s="41">
        <f t="shared" ref="D62:N62" si="31">D24-D40</f>
        <v>0</v>
      </c>
      <c r="E62" s="41">
        <f t="shared" si="31"/>
        <v>0</v>
      </c>
      <c r="F62" s="40">
        <f t="shared" si="31"/>
        <v>0</v>
      </c>
      <c r="G62" s="40">
        <f t="shared" si="31"/>
        <v>16348.9</v>
      </c>
      <c r="H62" s="40">
        <f t="shared" si="31"/>
        <v>38908.199999999997</v>
      </c>
      <c r="I62" s="40">
        <f t="shared" si="31"/>
        <v>47983.899999999994</v>
      </c>
      <c r="J62" s="40">
        <f t="shared" si="31"/>
        <v>49995</v>
      </c>
      <c r="K62" s="40">
        <f t="shared" si="31"/>
        <v>41484.400000000001</v>
      </c>
      <c r="L62" s="164">
        <f t="shared" si="31"/>
        <v>44898.9</v>
      </c>
      <c r="M62" s="164">
        <f t="shared" si="31"/>
        <v>56984.899999999994</v>
      </c>
      <c r="N62" s="164">
        <f t="shared" si="31"/>
        <v>60095</v>
      </c>
      <c r="O62" s="40">
        <f t="shared" si="14"/>
        <v>97978.9</v>
      </c>
      <c r="P62" s="40">
        <f t="shared" si="15"/>
        <v>86383.3</v>
      </c>
      <c r="Q62" s="40">
        <f t="shared" si="16"/>
        <v>117079.9</v>
      </c>
      <c r="R62" s="40">
        <f t="shared" si="17"/>
        <v>-11595.599999999991</v>
      </c>
      <c r="S62" s="137">
        <f t="shared" si="18"/>
        <v>-0.11834793001350283</v>
      </c>
      <c r="T62" s="40">
        <f t="shared" si="19"/>
        <v>30696.599999999991</v>
      </c>
      <c r="U62" s="137">
        <f t="shared" si="20"/>
        <v>0.35535340742944516</v>
      </c>
    </row>
    <row r="63" spans="1:21" x14ac:dyDescent="0.2">
      <c r="A63" s="39">
        <f t="shared" si="21"/>
        <v>47</v>
      </c>
      <c r="B63" s="42" t="s">
        <v>163</v>
      </c>
      <c r="C63" s="42"/>
      <c r="D63" s="41">
        <f t="shared" ref="D63:N63" si="32">D25-D41-D64</f>
        <v>58417206</v>
      </c>
      <c r="E63" s="41">
        <f t="shared" si="32"/>
        <v>67208298</v>
      </c>
      <c r="F63" s="40">
        <f t="shared" si="32"/>
        <v>116067.69999999998</v>
      </c>
      <c r="G63" s="40">
        <f t="shared" si="32"/>
        <v>114773.99999999997</v>
      </c>
      <c r="H63" s="40">
        <f t="shared" si="32"/>
        <v>107935.19999999994</v>
      </c>
      <c r="I63" s="40">
        <f t="shared" si="32"/>
        <v>95398.599999999904</v>
      </c>
      <c r="J63" s="40">
        <f t="shared" si="32"/>
        <v>76645.899999999951</v>
      </c>
      <c r="K63" s="40">
        <f t="shared" si="32"/>
        <v>60722.200000000026</v>
      </c>
      <c r="L63" s="164">
        <f t="shared" si="32"/>
        <v>58609.700000000026</v>
      </c>
      <c r="M63" s="164">
        <f t="shared" si="32"/>
        <v>68344.70000000007</v>
      </c>
      <c r="N63" s="164">
        <f t="shared" si="32"/>
        <v>84984.200000000041</v>
      </c>
      <c r="O63" s="40">
        <f t="shared" si="14"/>
        <v>172044.49999999985</v>
      </c>
      <c r="P63" s="40">
        <f t="shared" si="15"/>
        <v>119331.90000000005</v>
      </c>
      <c r="Q63" s="40">
        <f t="shared" si="16"/>
        <v>153328.90000000011</v>
      </c>
      <c r="R63" s="40">
        <f t="shared" si="17"/>
        <v>-52712.599999999802</v>
      </c>
      <c r="S63" s="137">
        <f t="shared" si="18"/>
        <v>-0.30638933531731527</v>
      </c>
      <c r="T63" s="40">
        <f t="shared" si="19"/>
        <v>33997.000000000058</v>
      </c>
      <c r="U63" s="137">
        <f t="shared" si="20"/>
        <v>0.28489448336949336</v>
      </c>
    </row>
    <row r="64" spans="1:21" x14ac:dyDescent="0.2">
      <c r="A64" s="39">
        <f t="shared" si="21"/>
        <v>48</v>
      </c>
      <c r="B64" s="39" t="s">
        <v>151</v>
      </c>
      <c r="D64" s="41">
        <f>'FY 2003'!I58</f>
        <v>8345294</v>
      </c>
      <c r="E64" s="41">
        <f>'FY 2004'!I58</f>
        <v>8040369</v>
      </c>
      <c r="F64" s="40">
        <f>ROUND('SUMMARY-ALL YEARS'!F64/1000,1)</f>
        <v>8698.9</v>
      </c>
      <c r="G64" s="40">
        <f>ROUND('SUMMARY-ALL YEARS'!G64/1000,1)</f>
        <v>8672.6</v>
      </c>
      <c r="H64" s="40">
        <f>ROUND('SUMMARY-ALL YEARS'!H64/1000,1)</f>
        <v>8609.2999999999993</v>
      </c>
      <c r="I64" s="40">
        <f>ROUND('SUMMARY-ALL YEARS'!I64/1000,1)</f>
        <v>8609.2999999999993</v>
      </c>
      <c r="J64" s="40">
        <f>ROUND('SUMMARY-ALL YEARS'!J64/1000,1)</f>
        <v>8587.7999999999993</v>
      </c>
      <c r="K64" s="40">
        <f>ROUND('SUMMARY-ALL YEARS'!K64/1000,1)</f>
        <v>8618.7000000000007</v>
      </c>
      <c r="L64" s="164">
        <f>ROUND('SUMMARY-ALL YEARS'!L64/1000,1)</f>
        <v>8593.2000000000007</v>
      </c>
      <c r="M64" s="164">
        <f>ROUND('SUMMARY-ALL YEARS'!M64/1000,1)</f>
        <v>8502</v>
      </c>
      <c r="N64" s="164">
        <f>ROUND('SUMMARY-ALL YEARS'!N64/1000,1)</f>
        <v>8522.6</v>
      </c>
      <c r="O64" s="40">
        <f t="shared" si="14"/>
        <v>17197.099999999999</v>
      </c>
      <c r="P64" s="40">
        <f t="shared" si="15"/>
        <v>17211.900000000001</v>
      </c>
      <c r="Q64" s="40">
        <f t="shared" si="16"/>
        <v>17024.599999999999</v>
      </c>
      <c r="R64" s="40">
        <f t="shared" si="17"/>
        <v>14.80000000000291</v>
      </c>
      <c r="S64" s="137">
        <f t="shared" si="18"/>
        <v>8.6061021916502851E-4</v>
      </c>
      <c r="T64" s="40">
        <f t="shared" si="19"/>
        <v>-187.30000000000291</v>
      </c>
      <c r="U64" s="137">
        <f t="shared" si="20"/>
        <v>-1.0882006053951213E-2</v>
      </c>
    </row>
    <row r="65" spans="1:21" x14ac:dyDescent="0.2">
      <c r="L65" s="165"/>
      <c r="M65" s="165"/>
      <c r="N65" s="165"/>
    </row>
    <row r="66" spans="1:21" x14ac:dyDescent="0.2">
      <c r="B66" s="42" t="s">
        <v>172</v>
      </c>
      <c r="D66" s="41"/>
      <c r="E66" s="41"/>
      <c r="F66" s="40"/>
      <c r="G66" s="40"/>
      <c r="H66" s="40"/>
      <c r="I66" s="40"/>
      <c r="J66" s="40"/>
      <c r="K66" s="40"/>
      <c r="L66" s="164"/>
      <c r="M66" s="164"/>
      <c r="N66" s="164"/>
    </row>
    <row r="67" spans="1:21" x14ac:dyDescent="0.2">
      <c r="A67" s="39">
        <f>A64+1</f>
        <v>49</v>
      </c>
      <c r="B67" s="42"/>
      <c r="C67" s="42" t="s">
        <v>268</v>
      </c>
      <c r="D67" s="41">
        <f>'FY 2003'!I60</f>
        <v>1341221</v>
      </c>
      <c r="E67" s="41">
        <f>'FY 2004'!I60</f>
        <v>-679857</v>
      </c>
      <c r="F67" s="40">
        <f t="shared" ref="F67:N67" si="33">F28</f>
        <v>-1090</v>
      </c>
      <c r="G67" s="40">
        <f t="shared" si="33"/>
        <v>-895.4</v>
      </c>
      <c r="H67" s="40">
        <f t="shared" si="33"/>
        <v>-886.1</v>
      </c>
      <c r="I67" s="40">
        <f t="shared" si="33"/>
        <v>-182.3</v>
      </c>
      <c r="J67" s="40">
        <f t="shared" si="33"/>
        <v>261.60000000000002</v>
      </c>
      <c r="K67" s="40">
        <f t="shared" si="33"/>
        <v>606.9</v>
      </c>
      <c r="L67" s="164">
        <f t="shared" si="33"/>
        <v>658.4</v>
      </c>
      <c r="M67" s="164">
        <f t="shared" si="33"/>
        <v>338.5</v>
      </c>
      <c r="N67" s="164">
        <f t="shared" si="33"/>
        <v>-145</v>
      </c>
      <c r="O67" s="40">
        <f>SUM(I67:J67)</f>
        <v>79.300000000000011</v>
      </c>
      <c r="P67" s="40">
        <f>SUM(K67:L67)</f>
        <v>1265.3</v>
      </c>
      <c r="Q67" s="40">
        <f>SUM(M67:N67)</f>
        <v>193.5</v>
      </c>
      <c r="R67" s="40">
        <f>P67-O67</f>
        <v>1186</v>
      </c>
      <c r="S67" s="137">
        <f>R67/O67</f>
        <v>14.955863808322823</v>
      </c>
      <c r="T67" s="40">
        <f>Q67-P67</f>
        <v>-1071.8</v>
      </c>
      <c r="U67" s="137">
        <f>T67/P67</f>
        <v>-0.84707184067019681</v>
      </c>
    </row>
    <row r="68" spans="1:21" x14ac:dyDescent="0.2">
      <c r="A68" s="39">
        <f>A67+1</f>
        <v>50</v>
      </c>
      <c r="B68" s="42"/>
      <c r="C68" s="42"/>
      <c r="D68" s="41">
        <f>'FY 2003'!I61</f>
        <v>-1804253</v>
      </c>
      <c r="E68" s="41">
        <f>'FY 2004'!I61</f>
        <v>1059</v>
      </c>
      <c r="F68" s="40">
        <f>'FY 2005'!I61</f>
        <v>0</v>
      </c>
      <c r="G68" s="40">
        <f>'FY 2005'!J61</f>
        <v>0</v>
      </c>
      <c r="H68" s="40">
        <f>'FY 2005'!K61</f>
        <v>0</v>
      </c>
      <c r="I68" s="40">
        <f>'FY 2005'!L61</f>
        <v>0</v>
      </c>
      <c r="J68" s="40">
        <f>'FY 2005'!M61</f>
        <v>0</v>
      </c>
      <c r="K68" s="40">
        <f>'FY 2005'!N61</f>
        <v>0</v>
      </c>
      <c r="L68" s="164">
        <f>'FY 2005'!O61</f>
        <v>0</v>
      </c>
      <c r="M68" s="164">
        <f>'FY 2005'!P61</f>
        <v>0</v>
      </c>
      <c r="N68" s="164">
        <f>'FY 2005'!Q61</f>
        <v>0</v>
      </c>
    </row>
    <row r="69" spans="1:21" x14ac:dyDescent="0.2">
      <c r="A69" s="39">
        <f>A68+1</f>
        <v>51</v>
      </c>
      <c r="B69" s="42"/>
      <c r="C69" s="42"/>
      <c r="D69" s="41">
        <f>'FY 2003'!I62</f>
        <v>0</v>
      </c>
      <c r="E69" s="41">
        <f>'FY 2004'!I62</f>
        <v>0</v>
      </c>
      <c r="F69" s="40">
        <f>'FY 2005'!I62</f>
        <v>0</v>
      </c>
      <c r="G69" s="40">
        <f>'FY 2005'!J62</f>
        <v>0</v>
      </c>
      <c r="H69" s="40">
        <f>'FY 2005'!K62</f>
        <v>0</v>
      </c>
      <c r="I69" s="40">
        <f>'FY 2005'!L62</f>
        <v>0</v>
      </c>
      <c r="J69" s="40">
        <f>'FY 2005'!M62</f>
        <v>0</v>
      </c>
      <c r="K69" s="40">
        <f>'FY 2005'!N62</f>
        <v>0</v>
      </c>
      <c r="L69" s="40">
        <f>'FY 2005'!O62</f>
        <v>0</v>
      </c>
      <c r="M69" s="40">
        <f>'FY 2005'!P62</f>
        <v>0</v>
      </c>
      <c r="N69" s="40">
        <f>'FY 2005'!Q62</f>
        <v>0</v>
      </c>
    </row>
    <row r="70" spans="1:21" x14ac:dyDescent="0.2">
      <c r="A70" s="39">
        <f>A69+1</f>
        <v>52</v>
      </c>
      <c r="B70" s="42"/>
      <c r="C70" s="42"/>
      <c r="D70" s="41">
        <f>'FY 2003'!I63</f>
        <v>0</v>
      </c>
      <c r="E70" s="41">
        <f>'FY 2004'!I63</f>
        <v>0</v>
      </c>
      <c r="F70" s="40">
        <f>'FY 2005'!I63</f>
        <v>0</v>
      </c>
      <c r="G70" s="40">
        <f>'FY 2005'!J63</f>
        <v>0</v>
      </c>
      <c r="H70" s="40">
        <f>'FY 2005'!K63</f>
        <v>0</v>
      </c>
      <c r="I70" s="40">
        <f>'FY 2005'!L63</f>
        <v>0</v>
      </c>
      <c r="J70" s="40">
        <f>'FY 2005'!M63</f>
        <v>0</v>
      </c>
      <c r="K70" s="40">
        <f>'FY 2005'!N63</f>
        <v>0</v>
      </c>
      <c r="L70" s="40">
        <f>'FY 2005'!O63</f>
        <v>0</v>
      </c>
      <c r="M70" s="40">
        <f>'FY 2005'!P63</f>
        <v>0</v>
      </c>
      <c r="N70" s="40">
        <f>'FY 2005'!Q63</f>
        <v>0</v>
      </c>
    </row>
    <row r="71" spans="1:21" x14ac:dyDescent="0.2">
      <c r="A71" s="39">
        <f>A70+1</f>
        <v>53</v>
      </c>
      <c r="B71" s="42"/>
      <c r="C71" s="42"/>
      <c r="D71" s="41">
        <v>0</v>
      </c>
      <c r="E71" s="41">
        <v>0</v>
      </c>
      <c r="F71" s="40">
        <v>0</v>
      </c>
      <c r="G71" s="40">
        <v>0</v>
      </c>
      <c r="H71" s="40">
        <v>0</v>
      </c>
      <c r="I71" s="40">
        <v>0</v>
      </c>
      <c r="J71" s="40">
        <v>0</v>
      </c>
      <c r="K71" s="40">
        <v>0</v>
      </c>
      <c r="L71" s="40">
        <v>0</v>
      </c>
      <c r="M71" s="40">
        <v>0</v>
      </c>
      <c r="N71" s="40">
        <v>0</v>
      </c>
    </row>
    <row r="72" spans="1:21" x14ac:dyDescent="0.2">
      <c r="D72" s="41"/>
      <c r="E72" s="41"/>
      <c r="F72" s="40"/>
      <c r="G72" s="40"/>
      <c r="H72" s="40"/>
      <c r="I72" s="40"/>
      <c r="J72" s="40"/>
      <c r="K72" s="40"/>
      <c r="L72" s="40"/>
      <c r="M72" s="40"/>
      <c r="N72" s="40"/>
    </row>
    <row r="73" spans="1:21" x14ac:dyDescent="0.2">
      <c r="A73" s="39">
        <f>A71+1</f>
        <v>54</v>
      </c>
      <c r="B73" s="42" t="s">
        <v>184</v>
      </c>
      <c r="C73" s="42"/>
      <c r="D73" s="41">
        <f t="shared" ref="D73:N73" si="34">SUM(D46:D71)</f>
        <v>5196835956</v>
      </c>
      <c r="E73" s="41">
        <f t="shared" si="34"/>
        <v>5163747344</v>
      </c>
      <c r="F73" s="40">
        <f t="shared" si="34"/>
        <v>5134727.6000000006</v>
      </c>
      <c r="G73" s="40">
        <f t="shared" si="34"/>
        <v>5355576.5999999996</v>
      </c>
      <c r="H73" s="40">
        <f t="shared" si="34"/>
        <v>5530442.8000000007</v>
      </c>
      <c r="I73" s="40">
        <f t="shared" si="34"/>
        <v>5633296.8999999994</v>
      </c>
      <c r="J73" s="40">
        <f t="shared" si="34"/>
        <v>5688098.3999999985</v>
      </c>
      <c r="K73" s="40">
        <f t="shared" si="34"/>
        <v>5114563.4000000022</v>
      </c>
      <c r="L73" s="164">
        <f t="shared" si="34"/>
        <v>5679823.2000000011</v>
      </c>
      <c r="M73" s="164">
        <f t="shared" si="34"/>
        <v>5748498.4000000013</v>
      </c>
      <c r="N73" s="164">
        <f t="shared" si="34"/>
        <v>5844575.4000000004</v>
      </c>
      <c r="O73" s="40">
        <f>SUM(I73:J73)</f>
        <v>11321395.299999997</v>
      </c>
      <c r="P73" s="40">
        <f>SUM(K73:L73)</f>
        <v>10794386.600000003</v>
      </c>
      <c r="Q73" s="40">
        <f>SUM(M73:N73)</f>
        <v>11593073.800000001</v>
      </c>
      <c r="R73" s="40">
        <f>P73-O73</f>
        <v>-527008.69999999367</v>
      </c>
      <c r="S73" s="137">
        <f>R73/O73</f>
        <v>-4.6549801153926124E-2</v>
      </c>
      <c r="T73" s="40">
        <f>Q73-P73</f>
        <v>798687.19999999739</v>
      </c>
      <c r="U73" s="137">
        <f>T73/P73</f>
        <v>7.3990976013402848E-2</v>
      </c>
    </row>
    <row r="74" spans="1:21" x14ac:dyDescent="0.2">
      <c r="A74" s="39">
        <f>A73+1</f>
        <v>55</v>
      </c>
      <c r="B74" s="42" t="s">
        <v>160</v>
      </c>
      <c r="C74" s="42"/>
      <c r="D74" s="41">
        <f>D73-D64</f>
        <v>5188490662</v>
      </c>
      <c r="E74" s="41">
        <f>E73-E64</f>
        <v>5155706975</v>
      </c>
      <c r="F74" s="40">
        <f>F73-F64</f>
        <v>5126028.7</v>
      </c>
      <c r="G74" s="40">
        <f>G73-G64</f>
        <v>5346904</v>
      </c>
      <c r="H74" s="40">
        <f>H73-H64</f>
        <v>5521833.5000000009</v>
      </c>
      <c r="I74" s="40">
        <f t="shared" ref="I74:N74" si="35">I73</f>
        <v>5633296.8999999994</v>
      </c>
      <c r="J74" s="40">
        <f t="shared" si="35"/>
        <v>5688098.3999999985</v>
      </c>
      <c r="K74" s="40">
        <f t="shared" si="35"/>
        <v>5114563.4000000022</v>
      </c>
      <c r="L74" s="164">
        <f t="shared" si="35"/>
        <v>5679823.2000000011</v>
      </c>
      <c r="M74" s="164">
        <f t="shared" si="35"/>
        <v>5748498.4000000013</v>
      </c>
      <c r="N74" s="164">
        <f t="shared" si="35"/>
        <v>5844575.4000000004</v>
      </c>
      <c r="O74" s="40">
        <f>SUM(I74:J74)</f>
        <v>11321395.299999997</v>
      </c>
      <c r="P74" s="40">
        <f>SUM(K74:L74)</f>
        <v>10794386.600000003</v>
      </c>
      <c r="Q74" s="40">
        <f>SUM(M74:N74)</f>
        <v>11593073.800000001</v>
      </c>
      <c r="R74" s="40">
        <f>P74-O74</f>
        <v>-527008.69999999367</v>
      </c>
      <c r="S74" s="137">
        <f>R74/O74</f>
        <v>-4.6549801153926124E-2</v>
      </c>
      <c r="T74" s="40">
        <f>Q74-P74</f>
        <v>798687.19999999739</v>
      </c>
      <c r="U74" s="137">
        <f>T74/P74</f>
        <v>7.3990976013402848E-2</v>
      </c>
    </row>
    <row r="75" spans="1:21" x14ac:dyDescent="0.2">
      <c r="A75" s="39">
        <f>A74+1</f>
        <v>56</v>
      </c>
      <c r="B75" s="42" t="s">
        <v>303</v>
      </c>
      <c r="C75" s="42"/>
      <c r="D75" s="41">
        <f>D64</f>
        <v>8345294</v>
      </c>
      <c r="E75" s="41">
        <f>E64</f>
        <v>8040369</v>
      </c>
      <c r="F75" s="40">
        <f>F64</f>
        <v>8698.9</v>
      </c>
      <c r="G75" s="40">
        <f>G64</f>
        <v>8672.6</v>
      </c>
      <c r="H75" s="40">
        <f>H64</f>
        <v>8609.2999999999993</v>
      </c>
      <c r="I75" s="127" t="s">
        <v>302</v>
      </c>
      <c r="J75" s="127" t="s">
        <v>302</v>
      </c>
      <c r="K75" s="127" t="s">
        <v>302</v>
      </c>
      <c r="L75" s="127" t="s">
        <v>302</v>
      </c>
      <c r="M75" s="127" t="s">
        <v>302</v>
      </c>
      <c r="N75" s="127" t="s">
        <v>302</v>
      </c>
    </row>
    <row r="76" spans="1:21" x14ac:dyDescent="0.2">
      <c r="B76" s="42"/>
      <c r="C76" s="42"/>
      <c r="D76" s="41"/>
      <c r="E76" s="41"/>
      <c r="F76" s="40"/>
      <c r="G76" s="40"/>
      <c r="H76" s="40"/>
      <c r="I76" s="40"/>
      <c r="J76" s="40"/>
      <c r="K76" s="40"/>
      <c r="L76" s="40"/>
      <c r="M76" s="40"/>
      <c r="N76" s="40"/>
    </row>
    <row r="77" spans="1:21" x14ac:dyDescent="0.2">
      <c r="A77" s="39">
        <f>A75+1</f>
        <v>57</v>
      </c>
      <c r="B77" s="42" t="s">
        <v>166</v>
      </c>
      <c r="C77" s="42"/>
      <c r="D77" s="41">
        <f>'FY 2003'!I69</f>
        <v>-46570547</v>
      </c>
      <c r="E77" s="41">
        <f>'FY 2004'!I69</f>
        <v>-46686661</v>
      </c>
      <c r="F77" s="40">
        <f>ROUND('SUMMARY-ALL YEARS'!F76/1000,1)</f>
        <v>-46733.7</v>
      </c>
      <c r="G77" s="40">
        <f>ROUND('SUMMARY-ALL YEARS'!G76/1000,1)</f>
        <v>-46807.7</v>
      </c>
      <c r="H77" s="40">
        <f>ROUND('SUMMARY-ALL YEARS'!H76/1000,1)</f>
        <v>-46967.5</v>
      </c>
      <c r="I77" s="40">
        <f>ROUND('SUMMARY-ALL YEARS'!I76/1000,1)</f>
        <v>-30637.8</v>
      </c>
      <c r="J77" s="40">
        <f>ROUND('SUMMARY-ALL YEARS'!J76/1000,1)</f>
        <v>-30753.1</v>
      </c>
      <c r="K77" s="40">
        <f>ROUND('SUMMARY-ALL YEARS'!K76/1000,1)</f>
        <v>-30827.9</v>
      </c>
      <c r="L77" s="40">
        <f>ROUND('SUMMARY-ALL YEARS'!L76/1000,1)</f>
        <v>-30929.3</v>
      </c>
      <c r="M77" s="40">
        <f>ROUND('SUMMARY-ALL YEARS'!M76/1000,1)</f>
        <v>-31089.9</v>
      </c>
      <c r="N77" s="40">
        <f>ROUND('SUMMARY-ALL YEARS'!N76/1000,1)</f>
        <v>-31243.3</v>
      </c>
      <c r="O77" s="40">
        <f>SUM(I77:J77)</f>
        <v>-61390.899999999994</v>
      </c>
      <c r="P77" s="40">
        <f>SUM(K77:L77)</f>
        <v>-61757.2</v>
      </c>
      <c r="Q77" s="40">
        <f>SUM(M77:N77)</f>
        <v>-62333.2</v>
      </c>
      <c r="R77" s="40">
        <f>P77-O77</f>
        <v>-366.30000000000291</v>
      </c>
      <c r="S77" s="137">
        <f>R77/O77</f>
        <v>5.9666823584603413E-3</v>
      </c>
      <c r="T77" s="40">
        <f>Q77-P77</f>
        <v>-576</v>
      </c>
      <c r="U77" s="137">
        <f>T77/P77</f>
        <v>9.3268477197800421E-3</v>
      </c>
    </row>
    <row r="78" spans="1:21" x14ac:dyDescent="0.2">
      <c r="B78" s="42"/>
      <c r="C78" s="42"/>
      <c r="D78" s="41"/>
      <c r="E78" s="41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137"/>
      <c r="T78" s="40"/>
      <c r="U78" s="137"/>
    </row>
    <row r="79" spans="1:21" x14ac:dyDescent="0.2">
      <c r="B79" s="42" t="s">
        <v>378</v>
      </c>
      <c r="C79" s="42"/>
      <c r="D79" s="41"/>
      <c r="E79" s="41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137"/>
      <c r="T79" s="40"/>
      <c r="U79" s="137"/>
    </row>
    <row r="80" spans="1:21" x14ac:dyDescent="0.2">
      <c r="B80" s="42" t="s">
        <v>143</v>
      </c>
      <c r="C80" s="42"/>
      <c r="D80" s="41"/>
      <c r="E80" s="41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137"/>
      <c r="T80" s="40"/>
      <c r="U80" s="137"/>
    </row>
    <row r="81" spans="1:21" x14ac:dyDescent="0.2">
      <c r="B81" s="42" t="s">
        <v>379</v>
      </c>
      <c r="C81" s="42"/>
      <c r="D81" s="41"/>
      <c r="E81" s="41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137"/>
      <c r="T81" s="40"/>
      <c r="U81" s="137"/>
    </row>
    <row r="82" spans="1:21" x14ac:dyDescent="0.2">
      <c r="B82" s="42" t="s">
        <v>380</v>
      </c>
      <c r="C82" s="42"/>
      <c r="D82" s="41"/>
      <c r="E82" s="41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137"/>
      <c r="T82" s="40"/>
      <c r="U82" s="137"/>
    </row>
    <row r="83" spans="1:21" x14ac:dyDescent="0.2">
      <c r="B83" s="42"/>
      <c r="C83" s="42"/>
      <c r="D83" s="41"/>
      <c r="E83" s="41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137"/>
      <c r="T83" s="40"/>
      <c r="U83" s="137"/>
    </row>
    <row r="84" spans="1:21" x14ac:dyDescent="0.2">
      <c r="B84" s="42"/>
      <c r="C84" s="42"/>
      <c r="D84" s="41"/>
      <c r="E84" s="41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137"/>
      <c r="T84" s="40"/>
      <c r="U84" s="137"/>
    </row>
    <row r="85" spans="1:21" x14ac:dyDescent="0.2">
      <c r="B85" s="42"/>
      <c r="C85" s="42"/>
      <c r="D85" s="41"/>
      <c r="E85" s="41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137"/>
      <c r="T85" s="40"/>
      <c r="U85" s="137"/>
    </row>
    <row r="86" spans="1:21" x14ac:dyDescent="0.2">
      <c r="B86" s="42"/>
      <c r="C86" s="42"/>
      <c r="D86" s="41"/>
      <c r="E86" s="41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137"/>
      <c r="T86" s="40"/>
      <c r="U86" s="137"/>
    </row>
    <row r="87" spans="1:21" x14ac:dyDescent="0.2">
      <c r="B87" s="42"/>
      <c r="C87" s="42"/>
      <c r="D87" s="41"/>
      <c r="E87" s="41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137"/>
      <c r="T87" s="40"/>
      <c r="U87" s="137"/>
    </row>
    <row r="88" spans="1:21" x14ac:dyDescent="0.2">
      <c r="B88" s="42"/>
      <c r="C88" s="42"/>
      <c r="D88" s="41"/>
      <c r="E88" s="41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137"/>
      <c r="T88" s="40"/>
      <c r="U88" s="137"/>
    </row>
    <row r="89" spans="1:21" x14ac:dyDescent="0.2">
      <c r="B89" s="42"/>
      <c r="C89" s="42"/>
      <c r="D89" s="41"/>
      <c r="E89" s="41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137"/>
      <c r="T89" s="40"/>
      <c r="U89" s="137"/>
    </row>
    <row r="90" spans="1:21" x14ac:dyDescent="0.2"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</row>
    <row r="91" spans="1:21" x14ac:dyDescent="0.2">
      <c r="A91" s="138" t="s">
        <v>363</v>
      </c>
      <c r="B91" s="138"/>
      <c r="C91" s="139"/>
      <c r="D91" s="140" t="s">
        <v>135</v>
      </c>
      <c r="E91" s="140" t="s">
        <v>136</v>
      </c>
      <c r="F91" s="140" t="s">
        <v>137</v>
      </c>
      <c r="G91" s="140" t="s">
        <v>138</v>
      </c>
      <c r="H91" s="140" t="s">
        <v>139</v>
      </c>
      <c r="I91" s="140" t="s">
        <v>164</v>
      </c>
      <c r="J91" s="140" t="s">
        <v>165</v>
      </c>
      <c r="K91" s="140" t="s">
        <v>249</v>
      </c>
      <c r="L91" s="140" t="s">
        <v>250</v>
      </c>
      <c r="M91" s="140" t="s">
        <v>300</v>
      </c>
      <c r="N91" s="140" t="s">
        <v>301</v>
      </c>
      <c r="O91" s="151" t="s">
        <v>319</v>
      </c>
      <c r="P91" s="151" t="s">
        <v>320</v>
      </c>
      <c r="Q91" s="151" t="s">
        <v>355</v>
      </c>
      <c r="R91" s="151" t="s">
        <v>356</v>
      </c>
      <c r="S91" s="151" t="s">
        <v>321</v>
      </c>
      <c r="T91" s="151" t="s">
        <v>357</v>
      </c>
      <c r="U91" s="151" t="s">
        <v>321</v>
      </c>
    </row>
    <row r="93" spans="1:21" x14ac:dyDescent="0.2">
      <c r="A93" s="39">
        <v>1</v>
      </c>
      <c r="B93" s="39" t="s">
        <v>140</v>
      </c>
      <c r="D93" s="41">
        <f>'FY 2003'!I73</f>
        <v>962146</v>
      </c>
      <c r="E93" s="41">
        <f>'FY 2004'!I73</f>
        <v>957096</v>
      </c>
      <c r="F93" s="41">
        <f>'FY 2005'!I73</f>
        <v>953035</v>
      </c>
      <c r="G93" s="41">
        <f>'FY 2006'!I75</f>
        <v>953041</v>
      </c>
      <c r="H93" s="41">
        <f>'FY 2007'!I75</f>
        <v>953288</v>
      </c>
      <c r="I93" s="41">
        <f>'FY 2008'!I75</f>
        <v>953432</v>
      </c>
      <c r="J93" s="41">
        <f>'FY 2009'!$I77</f>
        <v>948587</v>
      </c>
      <c r="K93" s="41">
        <f>'FY 2010'!$J77</f>
        <v>947786</v>
      </c>
      <c r="L93" s="41">
        <f>'FY 2011'!$J75</f>
        <v>949439</v>
      </c>
      <c r="M93" s="41">
        <f>'FY 2012'!$J75</f>
        <v>953192</v>
      </c>
      <c r="N93" s="41">
        <f>'FY 2013'!$J75</f>
        <v>961193</v>
      </c>
    </row>
    <row r="95" spans="1:21" x14ac:dyDescent="0.2">
      <c r="B95" s="42" t="s">
        <v>155</v>
      </c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</row>
    <row r="96" spans="1:21" x14ac:dyDescent="0.2">
      <c r="A96" s="39">
        <f>A93+1</f>
        <v>2</v>
      </c>
      <c r="B96" s="39" t="s">
        <v>141</v>
      </c>
      <c r="D96" s="41">
        <f>'FY 2003'!I76</f>
        <v>4490060320</v>
      </c>
      <c r="E96" s="41">
        <f>'FY 2004'!I76</f>
        <v>4403575277</v>
      </c>
      <c r="F96" s="40">
        <f>ROUND('SUMMARY-ALL YEARS'!F83/1000,1)</f>
        <v>4384973.8</v>
      </c>
      <c r="G96" s="40">
        <f>ROUND('SUMMARY-ALL YEARS'!G83/1000,1)</f>
        <v>4558383.7</v>
      </c>
      <c r="H96" s="40">
        <f>ROUND('SUMMARY-ALL YEARS'!H83/1000,1)</f>
        <v>4741676.9000000004</v>
      </c>
      <c r="I96" s="40">
        <f>ROUND('SUMMARY-ALL YEARS'!I83/1000,1)</f>
        <v>4837724.5</v>
      </c>
      <c r="J96" s="40">
        <f>ROUND('SUMMARY-ALL YEARS'!J83/1000,1)</f>
        <v>4860574.7</v>
      </c>
      <c r="K96" s="40">
        <f>ROUND('SUMMARY-ALL YEARS'!K83/1000,1)</f>
        <v>4857032</v>
      </c>
      <c r="L96" s="40">
        <f>ROUND('SUMMARY-ALL YEARS'!L83/1000,1)</f>
        <v>4864927</v>
      </c>
      <c r="M96" s="40">
        <f>ROUND('SUMMARY-ALL YEARS'!M83/1000,1)</f>
        <v>4884153.7</v>
      </c>
      <c r="N96" s="40">
        <f>ROUND('SUMMARY-ALL YEARS'!N83/1000,1)</f>
        <v>4925154</v>
      </c>
      <c r="O96" s="40">
        <f>SUM(I96:J96)</f>
        <v>9698299.1999999993</v>
      </c>
      <c r="P96" s="40">
        <f>SUM(K96:L96)</f>
        <v>9721959</v>
      </c>
      <c r="Q96" s="40">
        <f>SUM(M96:N96)</f>
        <v>9809307.6999999993</v>
      </c>
      <c r="R96" s="40">
        <f>P96-O96</f>
        <v>23659.800000000745</v>
      </c>
      <c r="S96" s="137">
        <f>R96/O96</f>
        <v>2.4395823960556657E-3</v>
      </c>
      <c r="T96" s="40">
        <f>Q96-P96</f>
        <v>87348.699999999255</v>
      </c>
      <c r="U96" s="137">
        <f>T96/P96</f>
        <v>8.9846809681052194E-3</v>
      </c>
    </row>
    <row r="97" spans="1:21" x14ac:dyDescent="0.2">
      <c r="A97" s="39">
        <f>A96+1</f>
        <v>3</v>
      </c>
      <c r="B97" s="42" t="s">
        <v>299</v>
      </c>
      <c r="D97" s="41"/>
      <c r="E97" s="41"/>
      <c r="F97" s="40"/>
      <c r="G97" s="40">
        <f>ROUND('SUMMARY-ALL YEARS'!G84/1000,1)</f>
        <v>0</v>
      </c>
      <c r="H97" s="40">
        <f>ROUND('SUMMARY-ALL YEARS'!H84/1000,1)</f>
        <v>0</v>
      </c>
      <c r="I97" s="40">
        <f>ROUND('SUMMARY-ALL YEARS'!I84/1000,1)</f>
        <v>0</v>
      </c>
      <c r="J97" s="40">
        <f>ROUND('SUMMARY-ALL YEARS'!J84/1000,1)</f>
        <v>48378.1</v>
      </c>
      <c r="K97" s="40">
        <f>ROUND('SUMMARY-ALL YEARS'!K84/1000,1)</f>
        <v>0</v>
      </c>
      <c r="L97" s="40">
        <f>ROUND('SUMMARY-ALL YEARS'!L84/1000,1)</f>
        <v>0</v>
      </c>
      <c r="M97" s="40">
        <f>ROUND('SUMMARY-ALL YEARS'!M84/1000,1)</f>
        <v>0</v>
      </c>
      <c r="N97" s="40">
        <f>ROUND('SUMMARY-ALL YEARS'!N84/1000,1)</f>
        <v>0</v>
      </c>
      <c r="O97" s="40">
        <f>SUM(I97:J97)</f>
        <v>48378.1</v>
      </c>
      <c r="P97" s="40">
        <f>SUM(K97:L97)</f>
        <v>0</v>
      </c>
      <c r="Q97" s="40">
        <f>SUM(M97:N97)</f>
        <v>0</v>
      </c>
      <c r="R97" s="40">
        <f>P97-O97</f>
        <v>-48378.1</v>
      </c>
      <c r="S97" s="137">
        <f>R97/O97</f>
        <v>-1</v>
      </c>
      <c r="T97" s="40">
        <f>Q97-P97</f>
        <v>0</v>
      </c>
      <c r="U97" s="137" t="e">
        <f>T97/P97</f>
        <v>#DIV/0!</v>
      </c>
    </row>
    <row r="98" spans="1:21" x14ac:dyDescent="0.2">
      <c r="A98" s="39">
        <f>A97+1</f>
        <v>4</v>
      </c>
      <c r="B98" s="42" t="s">
        <v>167</v>
      </c>
      <c r="C98" s="42"/>
      <c r="D98" s="41">
        <f>'FY 2003'!I77</f>
        <v>0</v>
      </c>
      <c r="E98" s="41">
        <f>'FY 2004'!I77</f>
        <v>0</v>
      </c>
      <c r="F98" s="40">
        <f>ROUND('SUMMARY-ALL YEARS'!F85/1000,1)</f>
        <v>0</v>
      </c>
      <c r="G98" s="40">
        <f>ROUND('SUMMARY-ALL YEARS'!G85/1000,1)</f>
        <v>3812.2</v>
      </c>
      <c r="H98" s="40">
        <f>ROUND('SUMMARY-ALL YEARS'!H85/1000,1)</f>
        <v>8579.6</v>
      </c>
      <c r="I98" s="40">
        <f>ROUND('SUMMARY-ALL YEARS'!I85/1000,1)</f>
        <v>11441.2</v>
      </c>
      <c r="J98" s="40">
        <f>ROUND('SUMMARY-ALL YEARS'!J85/1000,1)</f>
        <v>11383.1</v>
      </c>
      <c r="K98" s="40">
        <f>ROUND('SUMMARY-ALL YEARS'!K85/1000,1)</f>
        <v>11374.8</v>
      </c>
      <c r="L98" s="40">
        <f>ROUND('SUMMARY-ALL YEARS'!L85/1000,1)</f>
        <v>11393.3</v>
      </c>
      <c r="M98" s="40">
        <f>ROUND('SUMMARY-ALL YEARS'!M85/1000,1)</f>
        <v>11438.3</v>
      </c>
      <c r="N98" s="40">
        <f>ROUND('SUMMARY-ALL YEARS'!N85/1000,1)</f>
        <v>11534.3</v>
      </c>
      <c r="O98" s="40">
        <f>SUM(I98:J98)</f>
        <v>22824.300000000003</v>
      </c>
      <c r="P98" s="40">
        <f>SUM(K98:L98)</f>
        <v>22768.1</v>
      </c>
      <c r="Q98" s="40">
        <f>SUM(M98:N98)</f>
        <v>22972.6</v>
      </c>
      <c r="R98" s="40">
        <f>P98-O98</f>
        <v>-56.200000000004366</v>
      </c>
      <c r="S98" s="137">
        <f>R98/O98</f>
        <v>-2.4622880000702918E-3</v>
      </c>
      <c r="T98" s="40">
        <f>Q98-P98</f>
        <v>204.5</v>
      </c>
      <c r="U98" s="137">
        <f>T98/P98</f>
        <v>8.9818649777539637E-3</v>
      </c>
    </row>
    <row r="99" spans="1:21" x14ac:dyDescent="0.2">
      <c r="A99" s="39">
        <f>A98+1</f>
        <v>5</v>
      </c>
      <c r="B99" s="39" t="s">
        <v>142</v>
      </c>
      <c r="D99" s="41">
        <f>'FY 2003'!I78</f>
        <v>0</v>
      </c>
      <c r="E99" s="41">
        <f>'FY 2004'!I78</f>
        <v>50351550</v>
      </c>
      <c r="F99" s="40">
        <f>ROUND('SUMMARY-ALL YEARS'!F86/1000,1)</f>
        <v>52327.4</v>
      </c>
      <c r="G99" s="40">
        <f>ROUND('SUMMARY-ALL YEARS'!G86/1000,1)</f>
        <v>52766.2</v>
      </c>
      <c r="H99" s="40">
        <f>ROUND('SUMMARY-ALL YEARS'!H86/1000,1)</f>
        <v>55437</v>
      </c>
      <c r="I99" s="40">
        <f>ROUND('SUMMARY-ALL YEARS'!I86/1000,1)</f>
        <v>59590.8</v>
      </c>
      <c r="J99" s="40">
        <f>ROUND('SUMMARY-ALL YEARS'!J86/1000,1)</f>
        <v>60995.6</v>
      </c>
      <c r="K99" s="40">
        <f>ROUND('SUMMARY-ALL YEARS'!K86/1000,1)</f>
        <v>64755</v>
      </c>
      <c r="L99" s="40">
        <f>ROUND('SUMMARY-ALL YEARS'!L86/1000,1)</f>
        <v>69226.3</v>
      </c>
      <c r="M99" s="40">
        <f>ROUND('SUMMARY-ALL YEARS'!M86/1000,1)</f>
        <v>71911.100000000006</v>
      </c>
      <c r="N99" s="40">
        <f>ROUND('SUMMARY-ALL YEARS'!N86/1000,1)</f>
        <v>76201</v>
      </c>
      <c r="O99" s="40">
        <f>SUM(I99:J99)</f>
        <v>120586.4</v>
      </c>
      <c r="P99" s="40">
        <f>SUM(K99:L99)</f>
        <v>133981.29999999999</v>
      </c>
      <c r="Q99" s="40">
        <f>SUM(M99:N99)</f>
        <v>148112.1</v>
      </c>
      <c r="R99" s="40">
        <f>P99-O99</f>
        <v>13394.899999999994</v>
      </c>
      <c r="S99" s="137">
        <f>R99/O99</f>
        <v>0.11108134914053322</v>
      </c>
      <c r="T99" s="40">
        <f>Q99-P99</f>
        <v>14130.800000000017</v>
      </c>
      <c r="U99" s="137">
        <f>T99/P99</f>
        <v>0.10546844970156297</v>
      </c>
    </row>
    <row r="100" spans="1:21" x14ac:dyDescent="0.2">
      <c r="B100" s="42" t="s">
        <v>171</v>
      </c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</row>
    <row r="101" spans="1:21" x14ac:dyDescent="0.2">
      <c r="A101" s="39">
        <f>A99+1</f>
        <v>6</v>
      </c>
      <c r="C101" s="39" t="s">
        <v>143</v>
      </c>
      <c r="D101" s="41">
        <f>'FY 2003'!I80</f>
        <v>262694686</v>
      </c>
      <c r="E101" s="41">
        <f>'FY 2004'!I80</f>
        <v>249146954</v>
      </c>
      <c r="F101" s="40">
        <f>ROUND('SUMMARY-ALL YEARS'!F88/1000,1)</f>
        <v>265074.5</v>
      </c>
      <c r="G101" s="40">
        <f>ROUND('SUMMARY-ALL YEARS'!G88/1000,1)</f>
        <v>292547.5</v>
      </c>
      <c r="H101" s="40">
        <f>ROUND('SUMMARY-ALL YEARS'!H88/1000,1)</f>
        <v>315471.90000000002</v>
      </c>
      <c r="I101" s="40">
        <f>ROUND('SUMMARY-ALL YEARS'!I88/1000,1)</f>
        <v>333928.09999999998</v>
      </c>
      <c r="J101" s="40">
        <f>ROUND('SUMMARY-ALL YEARS'!J88/1000,1)</f>
        <v>348510.7</v>
      </c>
      <c r="K101" s="40">
        <f>ROUND('SUMMARY-ALL YEARS'!K88/1000,1)</f>
        <v>361172.1</v>
      </c>
      <c r="L101" s="40">
        <f>ROUND('SUMMARY-ALL YEARS'!L88/1000,1)</f>
        <v>414257.7</v>
      </c>
      <c r="M101" s="40">
        <f>ROUND('SUMMARY-ALL YEARS'!M88/1000,1)</f>
        <v>437710.6</v>
      </c>
      <c r="N101" s="40">
        <f>ROUND('SUMMARY-ALL YEARS'!N88/1000,1)</f>
        <v>457014.8</v>
      </c>
      <c r="O101" s="40">
        <f t="shared" ref="O101:O113" si="36">SUM(I101:J101)</f>
        <v>682438.8</v>
      </c>
      <c r="P101" s="40">
        <f t="shared" ref="P101:P113" si="37">SUM(K101:L101)</f>
        <v>775429.8</v>
      </c>
      <c r="Q101" s="40">
        <f t="shared" ref="Q101:Q113" si="38">SUM(M101:N101)</f>
        <v>894725.39999999991</v>
      </c>
      <c r="R101" s="40">
        <f t="shared" ref="R101:R113" si="39">P101-O101</f>
        <v>92991</v>
      </c>
      <c r="S101" s="137">
        <f t="shared" ref="S101:S113" si="40">R101/O101</f>
        <v>0.13626276817789373</v>
      </c>
      <c r="T101" s="40">
        <f t="shared" ref="T101:T113" si="41">Q101-P101</f>
        <v>119295.59999999986</v>
      </c>
      <c r="U101" s="137">
        <f t="shared" ref="U101:U113" si="42">T101/P101</f>
        <v>0.15384448727660435</v>
      </c>
    </row>
    <row r="102" spans="1:21" x14ac:dyDescent="0.2">
      <c r="A102" s="39">
        <f t="shared" ref="A102:A113" si="43">A101+1</f>
        <v>7</v>
      </c>
      <c r="C102" s="39" t="s">
        <v>144</v>
      </c>
      <c r="D102" s="41">
        <f>'FY 2003'!I81</f>
        <v>36857227</v>
      </c>
      <c r="E102" s="41">
        <f>'FY 2004'!I81</f>
        <v>28818713</v>
      </c>
      <c r="F102" s="40">
        <f>ROUND('SUMMARY-ALL YEARS'!F89/1000,1)</f>
        <v>29477.7</v>
      </c>
      <c r="G102" s="40">
        <f>ROUND('SUMMARY-ALL YEARS'!G89/1000,1)</f>
        <v>30912.7</v>
      </c>
      <c r="H102" s="40">
        <f>ROUND('SUMMARY-ALL YEARS'!H89/1000,1)</f>
        <v>31474.3</v>
      </c>
      <c r="I102" s="40">
        <f>ROUND('SUMMARY-ALL YEARS'!I89/1000,1)</f>
        <v>32316.799999999999</v>
      </c>
      <c r="J102" s="40">
        <f>ROUND('SUMMARY-ALL YEARS'!J89/1000,1)</f>
        <v>32058.2</v>
      </c>
      <c r="K102" s="40">
        <f>ROUND('SUMMARY-ALL YEARS'!K89/1000,1)</f>
        <v>31812.400000000001</v>
      </c>
      <c r="L102" s="40">
        <f>ROUND('SUMMARY-ALL YEARS'!L89/1000,1)</f>
        <v>31727.8</v>
      </c>
      <c r="M102" s="40">
        <f>ROUND('SUMMARY-ALL YEARS'!M89/1000,1)</f>
        <v>31763.599999999999</v>
      </c>
      <c r="N102" s="40">
        <f>ROUND('SUMMARY-ALL YEARS'!N89/1000,1)</f>
        <v>31922.5</v>
      </c>
      <c r="O102" s="40">
        <f t="shared" si="36"/>
        <v>64375</v>
      </c>
      <c r="P102" s="40">
        <f t="shared" si="37"/>
        <v>63540.2</v>
      </c>
      <c r="Q102" s="40">
        <f t="shared" si="38"/>
        <v>63686.1</v>
      </c>
      <c r="R102" s="40">
        <f t="shared" si="39"/>
        <v>-834.80000000000291</v>
      </c>
      <c r="S102" s="137">
        <f t="shared" si="40"/>
        <v>-1.2967766990291308E-2</v>
      </c>
      <c r="T102" s="40">
        <f t="shared" si="41"/>
        <v>145.90000000000146</v>
      </c>
      <c r="U102" s="137">
        <f t="shared" si="42"/>
        <v>2.2961841479882256E-3</v>
      </c>
    </row>
    <row r="103" spans="1:21" x14ac:dyDescent="0.2">
      <c r="A103" s="39">
        <f t="shared" si="43"/>
        <v>8</v>
      </c>
      <c r="B103" s="42"/>
      <c r="C103" s="42" t="s">
        <v>170</v>
      </c>
      <c r="D103" s="41">
        <f>'FY 2003'!I82</f>
        <v>9779108</v>
      </c>
      <c r="E103" s="41">
        <f>'FY 2004'!I82</f>
        <v>7276758</v>
      </c>
      <c r="F103" s="40">
        <f>ROUND('SUMMARY-ALL YEARS'!F90/1000,1)</f>
        <v>7434.3</v>
      </c>
      <c r="G103" s="40">
        <f>ROUND('SUMMARY-ALL YEARS'!G90/1000,1)</f>
        <v>7883.2</v>
      </c>
      <c r="H103" s="40">
        <f>ROUND('SUMMARY-ALL YEARS'!H90/1000,1)</f>
        <v>8057.6</v>
      </c>
      <c r="I103" s="40">
        <f>ROUND('SUMMARY-ALL YEARS'!I90/1000,1)</f>
        <v>8306.5</v>
      </c>
      <c r="J103" s="40">
        <f>ROUND('SUMMARY-ALL YEARS'!J90/1000,1)</f>
        <v>8316.7999999999993</v>
      </c>
      <c r="K103" s="40">
        <f>ROUND('SUMMARY-ALL YEARS'!K90/1000,1)</f>
        <v>8256.6</v>
      </c>
      <c r="L103" s="40">
        <f>ROUND('SUMMARY-ALL YEARS'!L90/1000,1)</f>
        <v>8398.5</v>
      </c>
      <c r="M103" s="40">
        <f>ROUND('SUMMARY-ALL YEARS'!M90/1000,1)</f>
        <v>8421</v>
      </c>
      <c r="N103" s="40">
        <f>ROUND('SUMMARY-ALL YEARS'!N90/1000,1)</f>
        <v>8520.1</v>
      </c>
      <c r="O103" s="40">
        <f t="shared" si="36"/>
        <v>16623.3</v>
      </c>
      <c r="P103" s="40">
        <f t="shared" si="37"/>
        <v>16655.099999999999</v>
      </c>
      <c r="Q103" s="40">
        <f t="shared" si="38"/>
        <v>16941.099999999999</v>
      </c>
      <c r="R103" s="40">
        <f t="shared" si="39"/>
        <v>31.799999999999272</v>
      </c>
      <c r="S103" s="137">
        <f t="shared" si="40"/>
        <v>1.912977567630932E-3</v>
      </c>
      <c r="T103" s="40">
        <f t="shared" si="41"/>
        <v>286</v>
      </c>
      <c r="U103" s="137">
        <f t="shared" si="42"/>
        <v>1.7171917310613568E-2</v>
      </c>
    </row>
    <row r="104" spans="1:21" x14ac:dyDescent="0.2">
      <c r="A104" s="39">
        <f t="shared" si="43"/>
        <v>9</v>
      </c>
      <c r="B104" s="39" t="s">
        <v>145</v>
      </c>
      <c r="D104" s="41">
        <f>'FY 2003'!I83</f>
        <v>16471551</v>
      </c>
      <c r="E104" s="41">
        <f>'FY 2004'!I83</f>
        <v>16909578</v>
      </c>
      <c r="F104" s="40">
        <f>ROUND('SUMMARY-ALL YEARS'!F91/1000,1)</f>
        <v>17548.599999999999</v>
      </c>
      <c r="G104" s="40">
        <f>ROUND('SUMMARY-ALL YEARS'!G91/1000,1)</f>
        <v>18853.099999999999</v>
      </c>
      <c r="H104" s="40">
        <f>ROUND('SUMMARY-ALL YEARS'!H91/1000,1)</f>
        <v>20254.2</v>
      </c>
      <c r="I104" s="40">
        <f>ROUND('SUMMARY-ALL YEARS'!I91/1000,1)</f>
        <v>21637.5</v>
      </c>
      <c r="J104" s="40">
        <f>ROUND('SUMMARY-ALL YEARS'!J91/1000,1)</f>
        <v>22898.799999999999</v>
      </c>
      <c r="K104" s="40">
        <f>ROUND('SUMMARY-ALL YEARS'!K91/1000,1)</f>
        <v>23367.8</v>
      </c>
      <c r="L104" s="40">
        <f>ROUND('SUMMARY-ALL YEARS'!L91/1000,1)</f>
        <v>23450.3</v>
      </c>
      <c r="M104" s="40">
        <f>ROUND('SUMMARY-ALL YEARS'!M91/1000,1)</f>
        <v>24120.2</v>
      </c>
      <c r="N104" s="40">
        <f>ROUND('SUMMARY-ALL YEARS'!N91/1000,1)</f>
        <v>24365</v>
      </c>
      <c r="O104" s="40">
        <f t="shared" si="36"/>
        <v>44536.3</v>
      </c>
      <c r="P104" s="40">
        <f t="shared" si="37"/>
        <v>46818.1</v>
      </c>
      <c r="Q104" s="40">
        <f t="shared" si="38"/>
        <v>48485.2</v>
      </c>
      <c r="R104" s="40">
        <f t="shared" si="39"/>
        <v>2281.7999999999956</v>
      </c>
      <c r="S104" s="137">
        <f t="shared" si="40"/>
        <v>5.1234610867988487E-2</v>
      </c>
      <c r="T104" s="40">
        <f t="shared" si="41"/>
        <v>1667.0999999999985</v>
      </c>
      <c r="U104" s="137">
        <f t="shared" si="42"/>
        <v>3.5608023392662211E-2</v>
      </c>
    </row>
    <row r="105" spans="1:21" x14ac:dyDescent="0.2">
      <c r="A105" s="39">
        <f t="shared" si="43"/>
        <v>10</v>
      </c>
      <c r="B105" s="39" t="s">
        <v>146</v>
      </c>
      <c r="D105" s="41">
        <f>'FY 2003'!I84</f>
        <v>56478364</v>
      </c>
      <c r="E105" s="41">
        <f>'FY 2004'!I84</f>
        <v>55913098</v>
      </c>
      <c r="F105" s="40">
        <f>ROUND('SUMMARY-ALL YEARS'!F92/1000,1)</f>
        <v>55511.199999999997</v>
      </c>
      <c r="G105" s="40">
        <f>ROUND('SUMMARY-ALL YEARS'!G92/1000,1)</f>
        <v>57332.800000000003</v>
      </c>
      <c r="H105" s="40">
        <f>ROUND('SUMMARY-ALL YEARS'!H92/1000,1)</f>
        <v>59221.8</v>
      </c>
      <c r="I105" s="40">
        <f>ROUND('SUMMARY-ALL YEARS'!I92/1000,1)</f>
        <v>60083.8</v>
      </c>
      <c r="J105" s="40">
        <f>ROUND('SUMMARY-ALL YEARS'!J92/1000,1)</f>
        <v>60159.1</v>
      </c>
      <c r="K105" s="40">
        <f>ROUND('SUMMARY-ALL YEARS'!K92/1000,1)</f>
        <v>59886.7</v>
      </c>
      <c r="L105" s="40">
        <f>ROUND('SUMMARY-ALL YEARS'!L92/1000,1)</f>
        <v>60310.6</v>
      </c>
      <c r="M105" s="40">
        <f>ROUND('SUMMARY-ALL YEARS'!M92/1000,1)</f>
        <v>60119.9</v>
      </c>
      <c r="N105" s="40">
        <f>ROUND('SUMMARY-ALL YEARS'!N92/1000,1)</f>
        <v>59879.9</v>
      </c>
      <c r="O105" s="40">
        <f t="shared" si="36"/>
        <v>120242.9</v>
      </c>
      <c r="P105" s="40">
        <f t="shared" si="37"/>
        <v>120197.29999999999</v>
      </c>
      <c r="Q105" s="40">
        <f t="shared" si="38"/>
        <v>119999.8</v>
      </c>
      <c r="R105" s="40">
        <f t="shared" si="39"/>
        <v>-45.600000000005821</v>
      </c>
      <c r="S105" s="137">
        <f t="shared" si="40"/>
        <v>-3.7923237047680837E-4</v>
      </c>
      <c r="T105" s="40">
        <f t="shared" si="41"/>
        <v>-197.49999999998545</v>
      </c>
      <c r="U105" s="137">
        <f t="shared" si="42"/>
        <v>-1.6431317508794746E-3</v>
      </c>
    </row>
    <row r="106" spans="1:21" x14ac:dyDescent="0.2">
      <c r="A106" s="39">
        <f t="shared" si="43"/>
        <v>11</v>
      </c>
      <c r="B106" s="39" t="s">
        <v>148</v>
      </c>
      <c r="D106" s="41">
        <f>'FY 2003'!I85</f>
        <v>25114308</v>
      </c>
      <c r="E106" s="41">
        <f>'FY 2004'!I85</f>
        <v>18869558</v>
      </c>
      <c r="F106" s="40">
        <f>ROUND('SUMMARY-ALL YEARS'!F93/1000,1)</f>
        <v>12876.8</v>
      </c>
      <c r="G106" s="40">
        <f>ROUND('SUMMARY-ALL YEARS'!G93/1000,1)</f>
        <v>8213.5</v>
      </c>
      <c r="H106" s="40">
        <f>ROUND('SUMMARY-ALL YEARS'!H93/1000,1)</f>
        <v>4354.3999999999996</v>
      </c>
      <c r="I106" s="40">
        <f>ROUND('SUMMARY-ALL YEARS'!I93/1000,1)</f>
        <v>2146.1</v>
      </c>
      <c r="J106" s="40">
        <f>ROUND('SUMMARY-ALL YEARS'!J93/1000,1)</f>
        <v>1207.4000000000001</v>
      </c>
      <c r="K106" s="40">
        <f>ROUND('SUMMARY-ALL YEARS'!K93/1000,1)</f>
        <v>676.1</v>
      </c>
      <c r="L106" s="40">
        <f>ROUND('SUMMARY-ALL YEARS'!L93/1000,1)</f>
        <v>372.4</v>
      </c>
      <c r="M106" s="40">
        <f>ROUND('SUMMARY-ALL YEARS'!M93/1000,1)</f>
        <v>221.7</v>
      </c>
      <c r="N106" s="40">
        <f>ROUND('SUMMARY-ALL YEARS'!N93/1000,1)</f>
        <v>157.4</v>
      </c>
      <c r="O106" s="40">
        <f t="shared" si="36"/>
        <v>3353.5</v>
      </c>
      <c r="P106" s="40">
        <f t="shared" si="37"/>
        <v>1048.5</v>
      </c>
      <c r="Q106" s="40">
        <f t="shared" si="38"/>
        <v>379.1</v>
      </c>
      <c r="R106" s="40">
        <f t="shared" si="39"/>
        <v>-2305</v>
      </c>
      <c r="S106" s="137">
        <f t="shared" si="40"/>
        <v>-0.68734158342030716</v>
      </c>
      <c r="T106" s="40">
        <f t="shared" si="41"/>
        <v>-669.4</v>
      </c>
      <c r="U106" s="137">
        <f t="shared" si="42"/>
        <v>-0.63843586075345726</v>
      </c>
    </row>
    <row r="107" spans="1:21" x14ac:dyDescent="0.2">
      <c r="A107" s="39">
        <f t="shared" si="43"/>
        <v>12</v>
      </c>
      <c r="B107" s="42" t="s">
        <v>244</v>
      </c>
      <c r="D107" s="41">
        <f>'FY 2003'!I86</f>
        <v>0</v>
      </c>
      <c r="E107" s="41">
        <f>'FY 2004'!I86</f>
        <v>0</v>
      </c>
      <c r="F107" s="40">
        <f>ROUND('SUMMARY-ALL YEARS'!F94/1000,1)</f>
        <v>0</v>
      </c>
      <c r="G107" s="40">
        <f>ROUND('SUMMARY-ALL YEARS'!G94/1000,1)</f>
        <v>-344.9</v>
      </c>
      <c r="H107" s="40">
        <f>ROUND('SUMMARY-ALL YEARS'!H94/1000,1)</f>
        <v>0</v>
      </c>
      <c r="I107" s="40">
        <f>ROUND('SUMMARY-ALL YEARS'!I94/1000,1)</f>
        <v>-730.5</v>
      </c>
      <c r="J107" s="40">
        <f>ROUND('SUMMARY-ALL YEARS'!J94/1000,1)</f>
        <v>0</v>
      </c>
      <c r="K107" s="40">
        <f>ROUND('SUMMARY-ALL YEARS'!K94/1000,1)</f>
        <v>-2505.6999999999998</v>
      </c>
      <c r="L107" s="40">
        <f>ROUND('SUMMARY-ALL YEARS'!L94/1000,1)</f>
        <v>0</v>
      </c>
      <c r="M107" s="40">
        <f>ROUND('SUMMARY-ALL YEARS'!M94/1000,1)</f>
        <v>-700</v>
      </c>
      <c r="N107" s="40">
        <f>ROUND('SUMMARY-ALL YEARS'!N94/1000,1)</f>
        <v>0</v>
      </c>
      <c r="O107" s="40">
        <f t="shared" si="36"/>
        <v>-730.5</v>
      </c>
      <c r="P107" s="40">
        <f t="shared" si="37"/>
        <v>-2505.6999999999998</v>
      </c>
      <c r="Q107" s="40">
        <f t="shared" si="38"/>
        <v>-700</v>
      </c>
      <c r="R107" s="40">
        <f t="shared" si="39"/>
        <v>-1775.1999999999998</v>
      </c>
      <c r="S107" s="137">
        <f t="shared" si="40"/>
        <v>2.4301163586584527</v>
      </c>
      <c r="T107" s="40">
        <f t="shared" si="41"/>
        <v>1805.6999999999998</v>
      </c>
      <c r="U107" s="137">
        <f t="shared" si="42"/>
        <v>-0.72063694775910925</v>
      </c>
    </row>
    <row r="108" spans="1:21" x14ac:dyDescent="0.2">
      <c r="A108" s="39">
        <f t="shared" si="43"/>
        <v>13</v>
      </c>
      <c r="B108" s="42" t="s">
        <v>360</v>
      </c>
      <c r="D108" s="41"/>
      <c r="E108" s="41"/>
      <c r="F108" s="40"/>
      <c r="G108" s="40"/>
      <c r="H108" s="40">
        <v>0</v>
      </c>
      <c r="I108" s="40">
        <v>0</v>
      </c>
      <c r="J108" s="40">
        <v>0</v>
      </c>
      <c r="K108" s="40">
        <f>ROUND('SUMMARY-ALL YEARS'!K95/1000,1)</f>
        <v>-500000</v>
      </c>
      <c r="L108" s="40">
        <v>0</v>
      </c>
      <c r="M108" s="40">
        <v>0</v>
      </c>
      <c r="N108" s="40">
        <v>0</v>
      </c>
      <c r="O108" s="40">
        <f t="shared" si="36"/>
        <v>0</v>
      </c>
      <c r="P108" s="40">
        <f t="shared" si="37"/>
        <v>-500000</v>
      </c>
      <c r="Q108" s="40">
        <f t="shared" si="38"/>
        <v>0</v>
      </c>
      <c r="R108" s="40">
        <f t="shared" si="39"/>
        <v>-500000</v>
      </c>
      <c r="S108" s="137" t="e">
        <f t="shared" si="40"/>
        <v>#DIV/0!</v>
      </c>
      <c r="T108" s="40">
        <f t="shared" si="41"/>
        <v>500000</v>
      </c>
      <c r="U108" s="137">
        <f t="shared" si="42"/>
        <v>-1</v>
      </c>
    </row>
    <row r="109" spans="1:21" x14ac:dyDescent="0.2">
      <c r="A109" s="39">
        <f t="shared" si="43"/>
        <v>14</v>
      </c>
      <c r="B109" s="39" t="s">
        <v>147</v>
      </c>
      <c r="D109" s="41">
        <f>'FY 2003'!I87</f>
        <v>198438434</v>
      </c>
      <c r="E109" s="41">
        <f>'FY 2004'!I87</f>
        <v>194217096</v>
      </c>
      <c r="F109" s="40">
        <f>ROUND('SUMMARY-ALL YEARS'!F96/1000,1)</f>
        <v>193697.1</v>
      </c>
      <c r="G109" s="40">
        <f>ROUND('SUMMARY-ALL YEARS'!G96/1000,1)</f>
        <v>194018.4</v>
      </c>
      <c r="H109" s="40">
        <f>ROUND('SUMMARY-ALL YEARS'!H96/1000,1)</f>
        <v>194117</v>
      </c>
      <c r="I109" s="40">
        <f>ROUND('SUMMARY-ALL YEARS'!I96/1000,1)</f>
        <v>194635.6</v>
      </c>
      <c r="J109" s="40">
        <f>ROUND('SUMMARY-ALL YEARS'!J96/1000,1)</f>
        <v>194299.1</v>
      </c>
      <c r="K109" s="40">
        <f>ROUND('SUMMARY-ALL YEARS'!K96/1000,1)</f>
        <v>194556.9</v>
      </c>
      <c r="L109" s="40">
        <f>ROUND('SUMMARY-ALL YEARS'!L96/1000,1)</f>
        <v>194883.5</v>
      </c>
      <c r="M109" s="40">
        <f>ROUND('SUMMARY-ALL YEARS'!M96/1000,1)</f>
        <v>195614.7</v>
      </c>
      <c r="N109" s="40">
        <f>ROUND('SUMMARY-ALL YEARS'!N96/1000,1)</f>
        <v>197226.5</v>
      </c>
      <c r="O109" s="40">
        <f t="shared" si="36"/>
        <v>388934.7</v>
      </c>
      <c r="P109" s="40">
        <f t="shared" si="37"/>
        <v>389440.4</v>
      </c>
      <c r="Q109" s="40">
        <f t="shared" si="38"/>
        <v>392841.2</v>
      </c>
      <c r="R109" s="40">
        <f t="shared" si="39"/>
        <v>505.70000000001164</v>
      </c>
      <c r="S109" s="137">
        <f t="shared" si="40"/>
        <v>1.3002182628600936E-3</v>
      </c>
      <c r="T109" s="40">
        <f t="shared" si="41"/>
        <v>3400.7999999999884</v>
      </c>
      <c r="U109" s="137">
        <f t="shared" si="42"/>
        <v>8.7325300610824868E-3</v>
      </c>
    </row>
    <row r="110" spans="1:21" x14ac:dyDescent="0.2">
      <c r="A110" s="39">
        <f t="shared" si="43"/>
        <v>15</v>
      </c>
      <c r="B110" s="39" t="s">
        <v>149</v>
      </c>
      <c r="D110" s="41">
        <f>'FY 2003'!I88</f>
        <v>34642490</v>
      </c>
      <c r="E110" s="41">
        <f>'FY 2004'!I88</f>
        <v>32112369</v>
      </c>
      <c r="F110" s="40">
        <f>ROUND('SUMMARY-ALL YEARS'!F97/1000,1)</f>
        <v>41731.199999999997</v>
      </c>
      <c r="G110" s="40">
        <f>ROUND('SUMMARY-ALL YEARS'!G97/1000,1)</f>
        <v>50999.4</v>
      </c>
      <c r="H110" s="40">
        <f>ROUND('SUMMARY-ALL YEARS'!H97/1000,1)</f>
        <v>94274.1</v>
      </c>
      <c r="I110" s="40">
        <f>ROUND('SUMMARY-ALL YEARS'!I97/1000,1)</f>
        <v>95708.800000000003</v>
      </c>
      <c r="J110" s="40">
        <f>ROUND('SUMMARY-ALL YEARS'!J97/1000,1)</f>
        <v>93362</v>
      </c>
      <c r="K110" s="40">
        <f>ROUND('SUMMARY-ALL YEARS'!K97/1000,1)</f>
        <v>92597.2</v>
      </c>
      <c r="L110" s="40">
        <f>ROUND('SUMMARY-ALL YEARS'!L97/1000,1)</f>
        <v>92389.5</v>
      </c>
      <c r="M110" s="40">
        <f>ROUND('SUMMARY-ALL YEARS'!M97/1000,1)</f>
        <v>94004</v>
      </c>
      <c r="N110" s="40">
        <f>ROUND('SUMMARY-ALL YEARS'!N97/1000,1)</f>
        <v>94785.8</v>
      </c>
      <c r="O110" s="40">
        <f t="shared" si="36"/>
        <v>189070.8</v>
      </c>
      <c r="P110" s="40">
        <f t="shared" si="37"/>
        <v>184986.7</v>
      </c>
      <c r="Q110" s="40">
        <f t="shared" si="38"/>
        <v>188789.8</v>
      </c>
      <c r="R110" s="40">
        <f t="shared" si="39"/>
        <v>-4084.0999999999767</v>
      </c>
      <c r="S110" s="137">
        <f t="shared" si="40"/>
        <v>-2.1600902942178153E-2</v>
      </c>
      <c r="T110" s="40">
        <f t="shared" si="41"/>
        <v>3803.0999999999767</v>
      </c>
      <c r="U110" s="137">
        <f t="shared" si="42"/>
        <v>2.0558775306548937E-2</v>
      </c>
    </row>
    <row r="111" spans="1:21" x14ac:dyDescent="0.2">
      <c r="A111" s="39">
        <f t="shared" si="43"/>
        <v>16</v>
      </c>
      <c r="B111" s="42" t="s">
        <v>173</v>
      </c>
      <c r="D111" s="41">
        <f>'FY 2003'!I89</f>
        <v>0</v>
      </c>
      <c r="E111" s="41">
        <f>'FY 2004'!I89</f>
        <v>31986524</v>
      </c>
      <c r="F111" s="40">
        <f>ROUND('SUMMARY-ALL YEARS'!F98/1000,1)</f>
        <v>31326.6</v>
      </c>
      <c r="G111" s="40">
        <f>ROUND('SUMMARY-ALL YEARS'!G98/1000,1)</f>
        <v>31033.7</v>
      </c>
      <c r="H111" s="40">
        <f>ROUND('SUMMARY-ALL YEARS'!H98/1000,1)</f>
        <v>30462.5</v>
      </c>
      <c r="I111" s="40">
        <f>ROUND('SUMMARY-ALL YEARS'!I98/1000,1)</f>
        <v>30143.3</v>
      </c>
      <c r="J111" s="40">
        <f>ROUND('SUMMARY-ALL YEARS'!J98/1000,1)</f>
        <v>29712</v>
      </c>
      <c r="K111" s="40">
        <f>ROUND('SUMMARY-ALL YEARS'!K98/1000,1)</f>
        <v>29474.1</v>
      </c>
      <c r="L111" s="40">
        <f>ROUND('SUMMARY-ALL YEARS'!L98/1000,1)</f>
        <v>29230.9</v>
      </c>
      <c r="M111" s="40">
        <f>ROUND('SUMMARY-ALL YEARS'!M98/1000,1)</f>
        <v>29122.799999999999</v>
      </c>
      <c r="N111" s="40">
        <f>ROUND('SUMMARY-ALL YEARS'!N98/1000,1)</f>
        <v>29417.4</v>
      </c>
      <c r="O111" s="40">
        <f t="shared" si="36"/>
        <v>59855.3</v>
      </c>
      <c r="P111" s="40">
        <f t="shared" si="37"/>
        <v>58705</v>
      </c>
      <c r="Q111" s="40">
        <f t="shared" si="38"/>
        <v>58540.2</v>
      </c>
      <c r="R111" s="40">
        <f t="shared" si="39"/>
        <v>-1150.3000000000029</v>
      </c>
      <c r="S111" s="137">
        <f t="shared" si="40"/>
        <v>-1.9218014110697013E-2</v>
      </c>
      <c r="T111" s="40">
        <f t="shared" si="41"/>
        <v>-164.80000000000291</v>
      </c>
      <c r="U111" s="137">
        <f t="shared" si="42"/>
        <v>-2.8072566220935682E-3</v>
      </c>
    </row>
    <row r="112" spans="1:21" x14ac:dyDescent="0.2">
      <c r="A112" s="39">
        <f t="shared" si="43"/>
        <v>17</v>
      </c>
      <c r="B112" s="42" t="s">
        <v>168</v>
      </c>
      <c r="C112" s="42"/>
      <c r="D112" s="41">
        <f>'FY 2003'!I90</f>
        <v>0</v>
      </c>
      <c r="E112" s="41">
        <f>'FY 2004'!I90</f>
        <v>0</v>
      </c>
      <c r="F112" s="40">
        <f>ROUND('SUMMARY-ALL YEARS'!F99/1000,1)</f>
        <v>0</v>
      </c>
      <c r="G112" s="40">
        <f>ROUND('SUMMARY-ALL YEARS'!G99/1000,1)</f>
        <v>16348.9</v>
      </c>
      <c r="H112" s="40">
        <f>ROUND('SUMMARY-ALL YEARS'!H99/1000,1)</f>
        <v>48603.7</v>
      </c>
      <c r="I112" s="40">
        <f>ROUND('SUMMARY-ALL YEARS'!I99/1000,1)</f>
        <v>60763.6</v>
      </c>
      <c r="J112" s="40">
        <f>ROUND('SUMMARY-ALL YEARS'!J99/1000,1)</f>
        <v>63348.4</v>
      </c>
      <c r="K112" s="40">
        <f>ROUND('SUMMARY-ALL YEARS'!K99/1000,1)</f>
        <v>58293.2</v>
      </c>
      <c r="L112" s="40">
        <f>ROUND('SUMMARY-ALL YEARS'!L99/1000,1)</f>
        <v>64869</v>
      </c>
      <c r="M112" s="40">
        <f>ROUND('SUMMARY-ALL YEARS'!M99/1000,1)</f>
        <v>79865.2</v>
      </c>
      <c r="N112" s="40">
        <f>ROUND('SUMMARY-ALL YEARS'!N99/1000,1)</f>
        <v>82648</v>
      </c>
      <c r="O112" s="40">
        <f t="shared" si="36"/>
        <v>124112</v>
      </c>
      <c r="P112" s="40">
        <f t="shared" si="37"/>
        <v>123162.2</v>
      </c>
      <c r="Q112" s="40">
        <f t="shared" si="38"/>
        <v>162513.20000000001</v>
      </c>
      <c r="R112" s="40">
        <f t="shared" si="39"/>
        <v>-949.80000000000291</v>
      </c>
      <c r="S112" s="137">
        <f t="shared" si="40"/>
        <v>-7.6527652442954985E-3</v>
      </c>
      <c r="T112" s="40">
        <f t="shared" si="41"/>
        <v>39351.000000000015</v>
      </c>
      <c r="U112" s="137">
        <f t="shared" si="42"/>
        <v>0.31950549762833091</v>
      </c>
    </row>
    <row r="113" spans="1:21" x14ac:dyDescent="0.2">
      <c r="A113" s="39">
        <f t="shared" si="43"/>
        <v>18</v>
      </c>
      <c r="B113" s="39" t="s">
        <v>150</v>
      </c>
      <c r="D113" s="41">
        <f>'FY 2003'!I91</f>
        <v>291708358</v>
      </c>
      <c r="E113" s="41">
        <f>'FY 2004'!I91</f>
        <v>426336542</v>
      </c>
      <c r="F113" s="40">
        <f>ROUND('SUMMARY-ALL YEARS'!F100/1000,1)</f>
        <v>504721.1</v>
      </c>
      <c r="G113" s="40">
        <f>ROUND('SUMMARY-ALL YEARS'!G100/1000,1)</f>
        <v>534314.5</v>
      </c>
      <c r="H113" s="40">
        <f>ROUND('SUMMARY-ALL YEARS'!H100/1000,1)</f>
        <v>598966.19999999995</v>
      </c>
      <c r="I113" s="40">
        <f>ROUND('SUMMARY-ALL YEARS'!I100/1000,1)</f>
        <v>644192.19999999995</v>
      </c>
      <c r="J113" s="40">
        <f>ROUND('SUMMARY-ALL YEARS'!J100/1000,1)</f>
        <v>720567.2</v>
      </c>
      <c r="K113" s="40">
        <f>ROUND('SUMMARY-ALL YEARS'!K100/1000,1)</f>
        <v>782246</v>
      </c>
      <c r="L113" s="40">
        <f>ROUND('SUMMARY-ALL YEARS'!L100/1000,1)</f>
        <v>805394.8</v>
      </c>
      <c r="M113" s="40">
        <f>ROUND('SUMMARY-ALL YEARS'!M100/1000,1)</f>
        <v>822570.4</v>
      </c>
      <c r="N113" s="40">
        <f>ROUND('SUMMARY-ALL YEARS'!N100/1000,1)</f>
        <v>895199.7</v>
      </c>
      <c r="O113" s="40">
        <f t="shared" si="36"/>
        <v>1364759.4</v>
      </c>
      <c r="P113" s="40">
        <f t="shared" si="37"/>
        <v>1587640.8</v>
      </c>
      <c r="Q113" s="40">
        <f t="shared" si="38"/>
        <v>1717770.1</v>
      </c>
      <c r="R113" s="40">
        <f t="shared" si="39"/>
        <v>222881.40000000014</v>
      </c>
      <c r="S113" s="137">
        <f t="shared" si="40"/>
        <v>0.16331186288220484</v>
      </c>
      <c r="T113" s="40">
        <f t="shared" si="41"/>
        <v>130129.30000000005</v>
      </c>
      <c r="U113" s="137">
        <f t="shared" si="42"/>
        <v>8.1963942977529958E-2</v>
      </c>
    </row>
    <row r="114" spans="1:21" x14ac:dyDescent="0.2">
      <c r="B114" s="42" t="s">
        <v>172</v>
      </c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</row>
    <row r="115" spans="1:21" x14ac:dyDescent="0.2">
      <c r="A115" s="39">
        <f>A113+1</f>
        <v>19</v>
      </c>
      <c r="B115" s="42"/>
      <c r="C115" s="42" t="s">
        <v>268</v>
      </c>
      <c r="D115" s="41">
        <f>'FY 2003'!I93</f>
        <v>1341221</v>
      </c>
      <c r="E115" s="41">
        <f>'FY 2004'!I93</f>
        <v>-679857</v>
      </c>
      <c r="F115" s="41">
        <f>'FY 2005'!I93</f>
        <v>-1089963.94</v>
      </c>
      <c r="G115" s="40">
        <f>ROUND(SUM('SUMMARY-ALL YEARS'!G102:G106)/1000,1)</f>
        <v>-895.4</v>
      </c>
      <c r="H115" s="40">
        <f>ROUND(SUM('SUMMARY-ALL YEARS'!H102:H106)/1000,1)</f>
        <v>-886.1</v>
      </c>
      <c r="I115" s="40">
        <f>ROUND(SUM('SUMMARY-ALL YEARS'!I102:I106)/1000,1)</f>
        <v>-182.3</v>
      </c>
      <c r="J115" s="40">
        <f>ROUND(SUM('SUMMARY-ALL YEARS'!J102:J106)/1000,1)</f>
        <v>261.60000000000002</v>
      </c>
      <c r="K115" s="40">
        <f>ROUND(SUM('SUMMARY-ALL YEARS'!K102:K106)/1000,1)</f>
        <v>677.7</v>
      </c>
      <c r="L115" s="40">
        <f>ROUND(SUM('SUMMARY-ALL YEARS'!L102:L106)/1000,1)</f>
        <v>766.8</v>
      </c>
      <c r="M115" s="40">
        <f>ROUND(SUM('SUMMARY-ALL YEARS'!M102:M106)/1000,1)</f>
        <v>543</v>
      </c>
      <c r="N115" s="40">
        <f>ROUND(SUM('SUMMARY-ALL YEARS'!N102:N106)/1000,1)</f>
        <v>42.4</v>
      </c>
      <c r="O115" s="40">
        <f>SUM(I115:J115)</f>
        <v>79.300000000000011</v>
      </c>
      <c r="P115" s="40">
        <f>SUM(K115:L115)</f>
        <v>1444.5</v>
      </c>
      <c r="Q115" s="40">
        <f>SUM(M115:N115)</f>
        <v>585.4</v>
      </c>
      <c r="R115" s="40">
        <f>P115-O115</f>
        <v>1365.2</v>
      </c>
      <c r="S115" s="137">
        <f>R115/O115</f>
        <v>17.215636822194199</v>
      </c>
      <c r="T115" s="40">
        <f>Q115-P115</f>
        <v>-859.1</v>
      </c>
      <c r="U115" s="137">
        <f>T115/P115</f>
        <v>-0.59473866389754237</v>
      </c>
    </row>
    <row r="116" spans="1:21" x14ac:dyDescent="0.2">
      <c r="A116" s="39">
        <f>A115+1</f>
        <v>20</v>
      </c>
      <c r="B116" s="42"/>
      <c r="C116" s="42"/>
      <c r="D116" s="41">
        <f>'FY 2003'!I94</f>
        <v>-1804253</v>
      </c>
      <c r="E116" s="41">
        <f>'FY 2004'!I94</f>
        <v>1059</v>
      </c>
      <c r="F116" s="41">
        <f>'FY 2005'!I94</f>
        <v>0</v>
      </c>
      <c r="G116" s="40">
        <v>0</v>
      </c>
      <c r="H116" s="40">
        <v>0</v>
      </c>
      <c r="I116" s="40">
        <v>0</v>
      </c>
      <c r="J116" s="40">
        <v>0</v>
      </c>
      <c r="K116" s="40">
        <v>0</v>
      </c>
      <c r="L116" s="40">
        <v>0</v>
      </c>
      <c r="M116" s="40">
        <v>0</v>
      </c>
      <c r="N116" s="40">
        <v>0</v>
      </c>
      <c r="O116" s="40">
        <f>SUM(I116:J116)</f>
        <v>0</v>
      </c>
      <c r="P116" s="40">
        <f>SUM(K116:L116)</f>
        <v>0</v>
      </c>
      <c r="Q116" s="40">
        <f>SUM(M116:N116)</f>
        <v>0</v>
      </c>
    </row>
    <row r="117" spans="1:21" x14ac:dyDescent="0.2">
      <c r="A117" s="39">
        <f>A116+1</f>
        <v>21</v>
      </c>
      <c r="B117" s="42"/>
      <c r="C117" s="42"/>
      <c r="D117" s="41">
        <f>'FY 2003'!I95</f>
        <v>0</v>
      </c>
      <c r="E117" s="41">
        <f>'FY 2004'!I95</f>
        <v>0</v>
      </c>
      <c r="F117" s="41">
        <f>'FY 2005'!I95</f>
        <v>0</v>
      </c>
      <c r="G117" s="40">
        <v>0</v>
      </c>
      <c r="H117" s="40">
        <v>0</v>
      </c>
      <c r="I117" s="40">
        <v>0</v>
      </c>
      <c r="J117" s="40">
        <v>0</v>
      </c>
      <c r="K117" s="40">
        <v>0</v>
      </c>
      <c r="L117" s="40">
        <v>0</v>
      </c>
      <c r="M117" s="40">
        <v>0</v>
      </c>
      <c r="N117" s="40">
        <v>0</v>
      </c>
      <c r="O117" s="40">
        <f>SUM(I117:J117)</f>
        <v>0</v>
      </c>
      <c r="P117" s="40">
        <f>SUM(K117:L117)</f>
        <v>0</v>
      </c>
      <c r="Q117" s="40">
        <f>SUM(M117:N117)</f>
        <v>0</v>
      </c>
    </row>
    <row r="118" spans="1:21" x14ac:dyDescent="0.2">
      <c r="A118" s="39">
        <f>A117+1</f>
        <v>22</v>
      </c>
      <c r="B118" s="42"/>
      <c r="C118" s="42"/>
      <c r="D118" s="41">
        <f>'FY 2003'!I96</f>
        <v>0</v>
      </c>
      <c r="E118" s="41">
        <f>'FY 2004'!I96</f>
        <v>0</v>
      </c>
      <c r="F118" s="41">
        <f>'FY 2005'!I96</f>
        <v>0</v>
      </c>
      <c r="G118" s="40">
        <v>0</v>
      </c>
      <c r="H118" s="40">
        <v>0</v>
      </c>
      <c r="I118" s="40">
        <v>0</v>
      </c>
      <c r="J118" s="40">
        <v>0</v>
      </c>
      <c r="K118" s="40">
        <v>0</v>
      </c>
      <c r="L118" s="40">
        <v>0</v>
      </c>
      <c r="M118" s="40">
        <v>0</v>
      </c>
      <c r="N118" s="40">
        <v>0</v>
      </c>
      <c r="O118" s="40">
        <f>SUM(I118:J118)</f>
        <v>0</v>
      </c>
      <c r="P118" s="40">
        <f>SUM(K118:L118)</f>
        <v>0</v>
      </c>
      <c r="Q118" s="40">
        <f>SUM(M118:N118)</f>
        <v>0</v>
      </c>
    </row>
    <row r="119" spans="1:21" x14ac:dyDescent="0.2">
      <c r="A119" s="39">
        <f>A118+1</f>
        <v>23</v>
      </c>
      <c r="B119" s="42"/>
      <c r="C119" s="42"/>
      <c r="D119" s="41">
        <v>0</v>
      </c>
      <c r="E119" s="41">
        <v>0</v>
      </c>
      <c r="F119" s="41">
        <v>0</v>
      </c>
      <c r="G119" s="40">
        <v>0</v>
      </c>
      <c r="H119" s="40">
        <v>0</v>
      </c>
      <c r="I119" s="40">
        <v>0</v>
      </c>
      <c r="J119" s="40">
        <v>0</v>
      </c>
      <c r="K119" s="40">
        <v>0</v>
      </c>
      <c r="L119" s="40">
        <v>0</v>
      </c>
      <c r="M119" s="40">
        <v>0</v>
      </c>
      <c r="N119" s="40">
        <v>0</v>
      </c>
      <c r="O119" s="40">
        <f>SUM(I119:J119)</f>
        <v>0</v>
      </c>
      <c r="P119" s="40">
        <f>SUM(K119:L119)</f>
        <v>0</v>
      </c>
      <c r="Q119" s="40">
        <f>SUM(M119:N119)</f>
        <v>0</v>
      </c>
    </row>
    <row r="120" spans="1:21" x14ac:dyDescent="0.2"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</row>
    <row r="121" spans="1:21" x14ac:dyDescent="0.2">
      <c r="A121" s="39">
        <f>A119+1</f>
        <v>24</v>
      </c>
      <c r="B121" s="42" t="s">
        <v>158</v>
      </c>
      <c r="D121" s="41">
        <f>SUM(D96:D118)</f>
        <v>5421781814</v>
      </c>
      <c r="E121" s="41">
        <f>SUM(E96:E118)</f>
        <v>5514835219</v>
      </c>
      <c r="F121" s="41">
        <f t="shared" ref="F121:N121" si="44">SUM(F96:F119)</f>
        <v>4506736.3599999994</v>
      </c>
      <c r="G121" s="41">
        <f t="shared" si="44"/>
        <v>5856179.5000000009</v>
      </c>
      <c r="H121" s="41">
        <f t="shared" si="44"/>
        <v>6210065.1000000006</v>
      </c>
      <c r="I121" s="41">
        <f t="shared" si="44"/>
        <v>6391705.9999999981</v>
      </c>
      <c r="J121" s="41">
        <f t="shared" si="44"/>
        <v>6556032.7999999989</v>
      </c>
      <c r="K121" s="41">
        <f t="shared" si="44"/>
        <v>6073672.8999999994</v>
      </c>
      <c r="L121" s="41">
        <f t="shared" si="44"/>
        <v>6671598.3999999994</v>
      </c>
      <c r="M121" s="41">
        <f t="shared" si="44"/>
        <v>6750880.2000000002</v>
      </c>
      <c r="N121" s="41">
        <f t="shared" si="44"/>
        <v>6894068.8000000007</v>
      </c>
      <c r="O121" s="40">
        <f>SUM(I121:J121)</f>
        <v>12947738.799999997</v>
      </c>
      <c r="P121" s="40">
        <f>SUM(K121:L121)</f>
        <v>12745271.299999999</v>
      </c>
      <c r="Q121" s="40">
        <f>SUM(M121:N121)</f>
        <v>13644949</v>
      </c>
      <c r="R121" s="40">
        <f>P121-O121</f>
        <v>-202467.49999999814</v>
      </c>
      <c r="S121" s="137">
        <f>R121/O121</f>
        <v>-1.5637286411739955E-2</v>
      </c>
      <c r="T121" s="40">
        <f>Q121-P121</f>
        <v>899677.70000000112</v>
      </c>
      <c r="U121" s="137">
        <f>T121/P121</f>
        <v>7.0589136851092471E-2</v>
      </c>
    </row>
    <row r="122" spans="1:21" x14ac:dyDescent="0.2">
      <c r="D122" s="41"/>
      <c r="E122" s="41"/>
      <c r="F122" s="40"/>
      <c r="G122" s="41"/>
      <c r="H122" s="41"/>
      <c r="I122" s="41"/>
      <c r="J122" s="41"/>
      <c r="K122" s="41"/>
      <c r="L122" s="41"/>
      <c r="M122" s="41"/>
      <c r="N122" s="41"/>
    </row>
    <row r="123" spans="1:21" x14ac:dyDescent="0.2">
      <c r="B123" s="42" t="s">
        <v>156</v>
      </c>
      <c r="C123" s="42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</row>
    <row r="124" spans="1:21" x14ac:dyDescent="0.2">
      <c r="A124" s="39">
        <f>A121+1</f>
        <v>25</v>
      </c>
      <c r="B124" s="39" t="s">
        <v>153</v>
      </c>
      <c r="D124" s="41">
        <f>'FY 2003'!I101</f>
        <v>0</v>
      </c>
      <c r="E124" s="41">
        <f>'FY 2004'!I101</f>
        <v>0</v>
      </c>
      <c r="F124" s="40">
        <f>ROUND('SUMMARY-ALL YEARS'!F111/1000,1)</f>
        <v>40007.300000000003</v>
      </c>
      <c r="G124" s="40">
        <f>ROUND('SUMMARY-ALL YEARS'!G111/1000,1)</f>
        <v>44268.2</v>
      </c>
      <c r="H124" s="40">
        <f>ROUND('SUMMARY-ALL YEARS'!H111/1000,1)</f>
        <v>101934.5</v>
      </c>
      <c r="I124" s="40">
        <f>ROUND('SUMMARY-ALL YEARS'!I111/1000,1)</f>
        <v>111830.39999999999</v>
      </c>
      <c r="J124" s="40">
        <f>ROUND('SUMMARY-ALL YEARS'!J111/1000,1)</f>
        <v>121253</v>
      </c>
      <c r="K124" s="40">
        <f>ROUND('SUMMARY-ALL YEARS'!K111/1000,1)</f>
        <v>124372.7</v>
      </c>
      <c r="L124" s="40">
        <f>ROUND('SUMMARY-ALL YEARS'!L111/1000,1)</f>
        <v>124597.7</v>
      </c>
      <c r="M124" s="40">
        <f>ROUND('SUMMARY-ALL YEARS'!M111/1000,1)</f>
        <v>119996</v>
      </c>
      <c r="N124" s="40">
        <f>ROUND('SUMMARY-ALL YEARS'!N111/1000,1)</f>
        <v>117136</v>
      </c>
      <c r="O124" s="40">
        <f>SUM(I124:J124)</f>
        <v>233083.4</v>
      </c>
      <c r="P124" s="40">
        <f>SUM(K124:L124)</f>
        <v>248970.4</v>
      </c>
      <c r="Q124" s="40">
        <f>SUM(M124:N124)</f>
        <v>237132</v>
      </c>
      <c r="R124" s="40">
        <f>P124-O124</f>
        <v>15887</v>
      </c>
      <c r="S124" s="137">
        <f>R124/O124</f>
        <v>6.8160152117224995E-2</v>
      </c>
      <c r="T124" s="40">
        <f>Q124-P124</f>
        <v>-11838.399999999994</v>
      </c>
      <c r="U124" s="137">
        <f>T124/P124</f>
        <v>-4.7549427562473268E-2</v>
      </c>
    </row>
    <row r="125" spans="1:21" x14ac:dyDescent="0.2">
      <c r="A125" s="39">
        <f>A124+1</f>
        <v>26</v>
      </c>
      <c r="B125" s="39" t="s">
        <v>152</v>
      </c>
      <c r="D125" s="41">
        <f>'FY 2003'!I102</f>
        <v>0</v>
      </c>
      <c r="E125" s="41">
        <f>'FY 2004'!I102</f>
        <v>0</v>
      </c>
      <c r="F125" s="40">
        <f>ROUND('SUMMARY-ALL YEARS'!F112/1000,1)</f>
        <v>22380.3</v>
      </c>
      <c r="G125" s="40">
        <f>ROUND('SUMMARY-ALL YEARS'!G112/1000,1)</f>
        <v>25083.3</v>
      </c>
      <c r="H125" s="40">
        <f>ROUND('SUMMARY-ALL YEARS'!H112/1000,1)</f>
        <v>63740.1</v>
      </c>
      <c r="I125" s="40">
        <f>ROUND('SUMMARY-ALL YEARS'!I112/1000,1)</f>
        <v>70604.3</v>
      </c>
      <c r="J125" s="40">
        <f>ROUND('SUMMARY-ALL YEARS'!J112/1000,1)</f>
        <v>73701.600000000006</v>
      </c>
      <c r="K125" s="40">
        <f>ROUND('SUMMARY-ALL YEARS'!K112/1000,1)</f>
        <v>75869.399999999994</v>
      </c>
      <c r="L125" s="40">
        <f>ROUND('SUMMARY-ALL YEARS'!L112/1000,1)</f>
        <v>76264.3</v>
      </c>
      <c r="M125" s="40">
        <f>ROUND('SUMMARY-ALL YEARS'!M112/1000,1)</f>
        <v>75800.2</v>
      </c>
      <c r="N125" s="40">
        <f>ROUND('SUMMARY-ALL YEARS'!N112/1000,1)</f>
        <v>73781.3</v>
      </c>
      <c r="O125" s="40">
        <f>SUM(I125:J125)</f>
        <v>144305.90000000002</v>
      </c>
      <c r="P125" s="40">
        <f>SUM(K125:L125)</f>
        <v>152133.70000000001</v>
      </c>
      <c r="Q125" s="40">
        <f>SUM(M125:N125)</f>
        <v>149581.5</v>
      </c>
      <c r="R125" s="40">
        <f>P125-O125</f>
        <v>7827.7999999999884</v>
      </c>
      <c r="S125" s="137">
        <f>R125/O125</f>
        <v>5.4244490350013316E-2</v>
      </c>
      <c r="T125" s="40">
        <f>Q125-P125</f>
        <v>-2552.2000000000116</v>
      </c>
      <c r="U125" s="137">
        <f>T125/P125</f>
        <v>-1.6776033186598441E-2</v>
      </c>
    </row>
    <row r="126" spans="1:21" x14ac:dyDescent="0.2">
      <c r="A126" s="39">
        <f>A125+1</f>
        <v>27</v>
      </c>
      <c r="B126" s="42" t="s">
        <v>174</v>
      </c>
      <c r="D126" s="41">
        <f>'FY 2003'!I103</f>
        <v>0</v>
      </c>
      <c r="E126" s="41">
        <f>'FY 2004'!I103</f>
        <v>0</v>
      </c>
      <c r="F126" s="40">
        <f>ROUND('SUMMARY-ALL YEARS'!F113/1000,1)</f>
        <v>18540.599999999999</v>
      </c>
      <c r="G126" s="40">
        <f>ROUND('SUMMARY-ALL YEARS'!G113/1000,1)</f>
        <v>20383.5</v>
      </c>
      <c r="H126" s="40">
        <f>ROUND('SUMMARY-ALL YEARS'!H113/1000,1)</f>
        <v>21830.5</v>
      </c>
      <c r="I126" s="40">
        <f>ROUND('SUMMARY-ALL YEARS'!I113/1000,1)</f>
        <v>23010.400000000001</v>
      </c>
      <c r="J126" s="40">
        <f>ROUND('SUMMARY-ALL YEARS'!J113/1000,1)</f>
        <v>24292.9</v>
      </c>
      <c r="K126" s="40">
        <f>ROUND('SUMMARY-ALL YEARS'!K113/1000,1)</f>
        <v>25223.200000000001</v>
      </c>
      <c r="L126" s="40">
        <f>ROUND('SUMMARY-ALL YEARS'!L113/1000,1)</f>
        <v>25220.400000000001</v>
      </c>
      <c r="M126" s="40">
        <f>ROUND('SUMMARY-ALL YEARS'!M113/1000,1)</f>
        <v>24544.400000000001</v>
      </c>
      <c r="N126" s="40">
        <f>ROUND('SUMMARY-ALL YEARS'!N113/1000,1)</f>
        <v>23904.799999999999</v>
      </c>
      <c r="O126" s="40">
        <f>SUM(I126:J126)</f>
        <v>47303.3</v>
      </c>
      <c r="P126" s="40">
        <f>SUM(K126:L126)</f>
        <v>50443.600000000006</v>
      </c>
      <c r="Q126" s="40">
        <f>SUM(M126:N126)</f>
        <v>48449.2</v>
      </c>
      <c r="R126" s="40">
        <f>P126-O126</f>
        <v>3140.3000000000029</v>
      </c>
      <c r="S126" s="137">
        <f>R126/O126</f>
        <v>6.6386488891895551E-2</v>
      </c>
      <c r="T126" s="40">
        <f>Q126-P126</f>
        <v>-1994.4000000000087</v>
      </c>
      <c r="U126" s="137">
        <f>T126/P126</f>
        <v>-3.9537225733294379E-2</v>
      </c>
    </row>
    <row r="127" spans="1:21" x14ac:dyDescent="0.2">
      <c r="A127" s="39">
        <f>A126+1</f>
        <v>28</v>
      </c>
      <c r="B127" s="42" t="s">
        <v>168</v>
      </c>
      <c r="C127" s="42"/>
      <c r="D127" s="41">
        <f>'FY 2003'!I104</f>
        <v>0</v>
      </c>
      <c r="E127" s="41">
        <f>'FY 2004'!I104</f>
        <v>0</v>
      </c>
      <c r="F127" s="40">
        <f>ROUND('SUMMARY-ALL YEARS'!F114/1000,1)</f>
        <v>0</v>
      </c>
      <c r="G127" s="40">
        <f>ROUND('SUMMARY-ALL YEARS'!G114/1000,1)</f>
        <v>0</v>
      </c>
      <c r="H127" s="40">
        <f>ROUND('SUMMARY-ALL YEARS'!H114/1000,1)</f>
        <v>9695.5</v>
      </c>
      <c r="I127" s="40">
        <f>ROUND('SUMMARY-ALL YEARS'!I114/1000,1)</f>
        <v>12779.7</v>
      </c>
      <c r="J127" s="40">
        <f>ROUND('SUMMARY-ALL YEARS'!J114/1000,1)</f>
        <v>13353.4</v>
      </c>
      <c r="K127" s="40">
        <f>ROUND('SUMMARY-ALL YEARS'!K114/1000,1)</f>
        <v>16808.3</v>
      </c>
      <c r="L127" s="40">
        <f>ROUND('SUMMARY-ALL YEARS'!L114/1000,1)</f>
        <v>18764.099999999999</v>
      </c>
      <c r="M127" s="40">
        <f>ROUND('SUMMARY-ALL YEARS'!M114/1000,1)</f>
        <v>23054.9</v>
      </c>
      <c r="N127" s="40">
        <f>ROUND('SUMMARY-ALL YEARS'!N114/1000,1)</f>
        <v>23061.5</v>
      </c>
      <c r="O127" s="40">
        <f>SUM(I127:J127)</f>
        <v>26133.1</v>
      </c>
      <c r="P127" s="40">
        <f>SUM(K127:L127)</f>
        <v>35572.399999999994</v>
      </c>
      <c r="Q127" s="40">
        <f>SUM(M127:N127)</f>
        <v>46116.4</v>
      </c>
      <c r="R127" s="40">
        <f>P127-O127</f>
        <v>9439.2999999999956</v>
      </c>
      <c r="S127" s="137">
        <f>R127/O127</f>
        <v>0.36120092908992796</v>
      </c>
      <c r="T127" s="40">
        <f>Q127-P127</f>
        <v>10544.000000000007</v>
      </c>
      <c r="U127" s="137">
        <f>T127/P127</f>
        <v>0.29640957596338757</v>
      </c>
    </row>
    <row r="128" spans="1:21" x14ac:dyDescent="0.2">
      <c r="A128" s="39">
        <f>A127+1</f>
        <v>29</v>
      </c>
      <c r="B128" s="39" t="s">
        <v>154</v>
      </c>
      <c r="D128" s="41">
        <f>'FY 2003'!I105</f>
        <v>224945858</v>
      </c>
      <c r="E128" s="41">
        <f>'FY 2004'!I105</f>
        <v>351087875</v>
      </c>
      <c r="F128" s="40">
        <f>ROUND('SUMMARY-ALL YEARS'!F115/1000,1)</f>
        <v>379954.5</v>
      </c>
      <c r="G128" s="40">
        <f>ROUND('SUMMARY-ALL YEARS'!G115/1000,1)</f>
        <v>410867.9</v>
      </c>
      <c r="H128" s="40">
        <f>ROUND('SUMMARY-ALL YEARS'!H115/1000,1)</f>
        <v>482421.7</v>
      </c>
      <c r="I128" s="40">
        <f>ROUND('SUMMARY-ALL YEARS'!I115/1000,1)</f>
        <v>540184.30000000005</v>
      </c>
      <c r="J128" s="40">
        <f>ROUND('SUMMARY-ALL YEARS'!J115/1000,1)</f>
        <v>635333.5</v>
      </c>
      <c r="K128" s="40">
        <f>ROUND('SUMMARY-ALL YEARS'!K115/1000,1)</f>
        <v>712846.8</v>
      </c>
      <c r="L128" s="40">
        <f>ROUND('SUMMARY-ALL YEARS'!L115/1000,1)</f>
        <v>738357.9</v>
      </c>
      <c r="M128" s="40">
        <f>ROUND('SUMMARY-ALL YEARS'!M115/1000,1)</f>
        <v>745759.1</v>
      </c>
      <c r="N128" s="40">
        <f>ROUND('SUMMARY-ALL YEARS'!N115/1000,1)</f>
        <v>802617.3</v>
      </c>
      <c r="O128" s="40">
        <f>SUM(I128:J128)</f>
        <v>1175517.8</v>
      </c>
      <c r="P128" s="40">
        <f>SUM(K128:L128)</f>
        <v>1451204.7000000002</v>
      </c>
      <c r="Q128" s="40">
        <f>SUM(M128:N128)</f>
        <v>1548376.4</v>
      </c>
      <c r="R128" s="40">
        <f>P128-O128</f>
        <v>275686.90000000014</v>
      </c>
      <c r="S128" s="137">
        <f>R128/O128</f>
        <v>0.23452379878892529</v>
      </c>
      <c r="T128" s="40">
        <f>Q128-P128</f>
        <v>97171.699999999721</v>
      </c>
      <c r="U128" s="137">
        <f>T128/P128</f>
        <v>6.695933385551997E-2</v>
      </c>
    </row>
    <row r="129" spans="1:21" x14ac:dyDescent="0.2"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</row>
    <row r="130" spans="1:21" x14ac:dyDescent="0.2">
      <c r="A130" s="39">
        <f>A128+1</f>
        <v>30</v>
      </c>
      <c r="B130" s="42" t="s">
        <v>159</v>
      </c>
      <c r="C130" s="42"/>
      <c r="D130" s="41">
        <f t="shared" ref="D130:N130" si="45">SUM(D124:D128)</f>
        <v>224945858</v>
      </c>
      <c r="E130" s="41">
        <f t="shared" si="45"/>
        <v>351087875</v>
      </c>
      <c r="F130" s="40">
        <f t="shared" si="45"/>
        <v>460882.7</v>
      </c>
      <c r="G130" s="40">
        <f t="shared" si="45"/>
        <v>500602.9</v>
      </c>
      <c r="H130" s="40">
        <f t="shared" si="45"/>
        <v>679622.3</v>
      </c>
      <c r="I130" s="40">
        <f t="shared" si="45"/>
        <v>758409.10000000009</v>
      </c>
      <c r="J130" s="40">
        <f t="shared" si="45"/>
        <v>867934.4</v>
      </c>
      <c r="K130" s="40">
        <f t="shared" si="45"/>
        <v>955120.4</v>
      </c>
      <c r="L130" s="40">
        <f t="shared" si="45"/>
        <v>983204.4</v>
      </c>
      <c r="M130" s="40">
        <f t="shared" si="45"/>
        <v>989154.6</v>
      </c>
      <c r="N130" s="40">
        <f t="shared" si="45"/>
        <v>1040500.9</v>
      </c>
      <c r="O130" s="40">
        <f>SUM(I130:J130)</f>
        <v>1626343.5</v>
      </c>
      <c r="P130" s="40">
        <f>SUM(K130:L130)</f>
        <v>1938324.8</v>
      </c>
      <c r="Q130" s="40">
        <f>SUM(M130:N130)</f>
        <v>2029655.5</v>
      </c>
      <c r="R130" s="40">
        <f>P130-O130</f>
        <v>311981.30000000005</v>
      </c>
      <c r="S130" s="137">
        <f>R130/O130</f>
        <v>0.19182989325440786</v>
      </c>
      <c r="T130" s="40">
        <f>Q130-P130</f>
        <v>91330.699999999953</v>
      </c>
      <c r="U130" s="137">
        <f>T130/P130</f>
        <v>4.7118367365469371E-2</v>
      </c>
    </row>
    <row r="131" spans="1:21" x14ac:dyDescent="0.2">
      <c r="B131" s="42"/>
      <c r="C131" s="42"/>
      <c r="D131" s="41"/>
      <c r="E131" s="41"/>
      <c r="F131" s="40"/>
      <c r="G131" s="40"/>
      <c r="H131" s="40"/>
      <c r="I131" s="40"/>
      <c r="J131" s="40"/>
      <c r="K131" s="40"/>
      <c r="L131" s="40"/>
      <c r="M131" s="40"/>
      <c r="N131" s="40"/>
    </row>
    <row r="132" spans="1:21" x14ac:dyDescent="0.2">
      <c r="B132" s="42" t="s">
        <v>157</v>
      </c>
      <c r="C132" s="42"/>
      <c r="D132" s="41"/>
      <c r="E132" s="41"/>
      <c r="F132" s="40"/>
      <c r="G132" s="40"/>
      <c r="H132" s="40"/>
      <c r="I132" s="40"/>
      <c r="J132" s="40"/>
      <c r="K132" s="40"/>
      <c r="L132" s="40"/>
      <c r="M132" s="40"/>
      <c r="N132" s="40"/>
    </row>
    <row r="133" spans="1:21" x14ac:dyDescent="0.2">
      <c r="A133" s="39">
        <f>A130+1</f>
        <v>31</v>
      </c>
      <c r="B133" s="39" t="s">
        <v>141</v>
      </c>
      <c r="D133" s="41">
        <f t="shared" ref="D133:N133" si="46">D96</f>
        <v>4490060320</v>
      </c>
      <c r="E133" s="41">
        <f t="shared" si="46"/>
        <v>4403575277</v>
      </c>
      <c r="F133" s="40">
        <f t="shared" si="46"/>
        <v>4384973.8</v>
      </c>
      <c r="G133" s="40">
        <f t="shared" si="46"/>
        <v>4558383.7</v>
      </c>
      <c r="H133" s="40">
        <f t="shared" si="46"/>
        <v>4741676.9000000004</v>
      </c>
      <c r="I133" s="40">
        <f t="shared" si="46"/>
        <v>4837724.5</v>
      </c>
      <c r="J133" s="40">
        <f t="shared" si="46"/>
        <v>4860574.7</v>
      </c>
      <c r="K133" s="40">
        <f t="shared" si="46"/>
        <v>4857032</v>
      </c>
      <c r="L133" s="40">
        <f t="shared" si="46"/>
        <v>4864927</v>
      </c>
      <c r="M133" s="40">
        <f t="shared" si="46"/>
        <v>4884153.7</v>
      </c>
      <c r="N133" s="40">
        <f t="shared" si="46"/>
        <v>4925154</v>
      </c>
      <c r="O133" s="40">
        <f>SUM(I133:J133)</f>
        <v>9698299.1999999993</v>
      </c>
      <c r="P133" s="40">
        <f>SUM(K133:L133)</f>
        <v>9721959</v>
      </c>
      <c r="Q133" s="40">
        <f>SUM(M133:N133)</f>
        <v>9809307.6999999993</v>
      </c>
      <c r="R133" s="40">
        <f>P133-O133</f>
        <v>23659.800000000745</v>
      </c>
      <c r="S133" s="137">
        <f>R133/O133</f>
        <v>2.4395823960556657E-3</v>
      </c>
      <c r="T133" s="40">
        <f>Q133-P133</f>
        <v>87348.699999999255</v>
      </c>
      <c r="U133" s="137">
        <f>T133/P133</f>
        <v>8.9846809681052194E-3</v>
      </c>
    </row>
    <row r="134" spans="1:21" x14ac:dyDescent="0.2">
      <c r="A134" s="39">
        <f>A133+1</f>
        <v>32</v>
      </c>
      <c r="B134" s="42" t="s">
        <v>299</v>
      </c>
      <c r="D134" s="41"/>
      <c r="E134" s="41"/>
      <c r="F134" s="40"/>
      <c r="G134" s="40">
        <f t="shared" ref="G134:N136" si="47">G97</f>
        <v>0</v>
      </c>
      <c r="H134" s="40">
        <f t="shared" si="47"/>
        <v>0</v>
      </c>
      <c r="I134" s="40">
        <f t="shared" si="47"/>
        <v>0</v>
      </c>
      <c r="J134" s="40">
        <f t="shared" si="47"/>
        <v>48378.1</v>
      </c>
      <c r="K134" s="40">
        <f t="shared" si="47"/>
        <v>0</v>
      </c>
      <c r="L134" s="40">
        <f t="shared" si="47"/>
        <v>0</v>
      </c>
      <c r="M134" s="40">
        <f t="shared" si="47"/>
        <v>0</v>
      </c>
      <c r="N134" s="40">
        <f t="shared" si="47"/>
        <v>0</v>
      </c>
      <c r="O134" s="40">
        <f>SUM(I134:J134)</f>
        <v>48378.1</v>
      </c>
      <c r="P134" s="40">
        <f>SUM(K134:L134)</f>
        <v>0</v>
      </c>
      <c r="Q134" s="40">
        <f>SUM(M134:N134)</f>
        <v>0</v>
      </c>
      <c r="R134" s="40">
        <f>P134-O134</f>
        <v>-48378.1</v>
      </c>
      <c r="S134" s="137">
        <f>R134/O134</f>
        <v>-1</v>
      </c>
      <c r="T134" s="40">
        <f>Q134-P134</f>
        <v>0</v>
      </c>
      <c r="U134" s="137" t="e">
        <f>T134/P134</f>
        <v>#DIV/0!</v>
      </c>
    </row>
    <row r="135" spans="1:21" x14ac:dyDescent="0.2">
      <c r="A135" s="39">
        <f>A134+1</f>
        <v>33</v>
      </c>
      <c r="B135" s="42" t="s">
        <v>167</v>
      </c>
      <c r="C135" s="42"/>
      <c r="D135" s="41">
        <f t="shared" ref="D135:F136" si="48">D98</f>
        <v>0</v>
      </c>
      <c r="E135" s="41">
        <f t="shared" si="48"/>
        <v>0</v>
      </c>
      <c r="F135" s="40">
        <f t="shared" si="48"/>
        <v>0</v>
      </c>
      <c r="G135" s="40">
        <f t="shared" si="47"/>
        <v>3812.2</v>
      </c>
      <c r="H135" s="40">
        <f t="shared" si="47"/>
        <v>8579.6</v>
      </c>
      <c r="I135" s="40">
        <f t="shared" si="47"/>
        <v>11441.2</v>
      </c>
      <c r="J135" s="40">
        <f t="shared" si="47"/>
        <v>11383.1</v>
      </c>
      <c r="K135" s="40">
        <f t="shared" si="47"/>
        <v>11374.8</v>
      </c>
      <c r="L135" s="40">
        <f t="shared" si="47"/>
        <v>11393.3</v>
      </c>
      <c r="M135" s="40">
        <f t="shared" si="47"/>
        <v>11438.3</v>
      </c>
      <c r="N135" s="40">
        <f t="shared" si="47"/>
        <v>11534.3</v>
      </c>
      <c r="O135" s="40">
        <f>SUM(I135:J135)</f>
        <v>22824.300000000003</v>
      </c>
      <c r="P135" s="40">
        <f>SUM(K135:L135)</f>
        <v>22768.1</v>
      </c>
      <c r="Q135" s="40">
        <f>SUM(M135:N135)</f>
        <v>22972.6</v>
      </c>
      <c r="R135" s="40">
        <f>P135-O135</f>
        <v>-56.200000000004366</v>
      </c>
      <c r="S135" s="137">
        <f>R135/O135</f>
        <v>-2.4622880000702918E-3</v>
      </c>
      <c r="T135" s="40">
        <f>Q135-P135</f>
        <v>204.5</v>
      </c>
      <c r="U135" s="137">
        <f>T135/P135</f>
        <v>8.9818649777539637E-3</v>
      </c>
    </row>
    <row r="136" spans="1:21" x14ac:dyDescent="0.2">
      <c r="A136" s="39">
        <f>A135+1</f>
        <v>34</v>
      </c>
      <c r="B136" s="39" t="s">
        <v>142</v>
      </c>
      <c r="D136" s="41">
        <f t="shared" si="48"/>
        <v>0</v>
      </c>
      <c r="E136" s="41">
        <f t="shared" si="48"/>
        <v>50351550</v>
      </c>
      <c r="F136" s="40">
        <f t="shared" si="48"/>
        <v>52327.4</v>
      </c>
      <c r="G136" s="40">
        <f t="shared" si="47"/>
        <v>52766.2</v>
      </c>
      <c r="H136" s="40">
        <f t="shared" si="47"/>
        <v>55437</v>
      </c>
      <c r="I136" s="40">
        <f t="shared" si="47"/>
        <v>59590.8</v>
      </c>
      <c r="J136" s="40">
        <f t="shared" si="47"/>
        <v>60995.6</v>
      </c>
      <c r="K136" s="40">
        <f t="shared" si="47"/>
        <v>64755</v>
      </c>
      <c r="L136" s="40">
        <f t="shared" si="47"/>
        <v>69226.3</v>
      </c>
      <c r="M136" s="40">
        <f t="shared" si="47"/>
        <v>71911.100000000006</v>
      </c>
      <c r="N136" s="40">
        <f t="shared" si="47"/>
        <v>76201</v>
      </c>
      <c r="O136" s="40">
        <f>SUM(I136:J136)</f>
        <v>120586.4</v>
      </c>
      <c r="P136" s="40">
        <f>SUM(K136:L136)</f>
        <v>133981.29999999999</v>
      </c>
      <c r="Q136" s="40">
        <f>SUM(M136:N136)</f>
        <v>148112.1</v>
      </c>
      <c r="R136" s="40">
        <f>P136-O136</f>
        <v>13394.899999999994</v>
      </c>
      <c r="S136" s="137">
        <f>R136/O136</f>
        <v>0.11108134914053322</v>
      </c>
      <c r="T136" s="40">
        <f>Q136-P136</f>
        <v>14130.800000000017</v>
      </c>
      <c r="U136" s="137">
        <f>T136/P136</f>
        <v>0.10546844970156297</v>
      </c>
    </row>
    <row r="137" spans="1:21" x14ac:dyDescent="0.2">
      <c r="B137" s="42" t="s">
        <v>171</v>
      </c>
      <c r="D137" s="41"/>
      <c r="E137" s="41"/>
      <c r="F137" s="40"/>
      <c r="G137" s="40"/>
      <c r="H137" s="40"/>
      <c r="I137" s="40"/>
      <c r="J137" s="40"/>
      <c r="K137" s="40"/>
      <c r="L137" s="40"/>
      <c r="M137" s="40"/>
      <c r="N137" s="40"/>
    </row>
    <row r="138" spans="1:21" x14ac:dyDescent="0.2">
      <c r="A138" s="39">
        <f>A136+1</f>
        <v>35</v>
      </c>
      <c r="C138" s="39" t="s">
        <v>143</v>
      </c>
      <c r="D138" s="41">
        <f t="shared" ref="D138:N138" si="49">D101</f>
        <v>262694686</v>
      </c>
      <c r="E138" s="41">
        <f t="shared" si="49"/>
        <v>249146954</v>
      </c>
      <c r="F138" s="40">
        <f t="shared" si="49"/>
        <v>265074.5</v>
      </c>
      <c r="G138" s="40">
        <f t="shared" si="49"/>
        <v>292547.5</v>
      </c>
      <c r="H138" s="40">
        <f t="shared" si="49"/>
        <v>315471.90000000002</v>
      </c>
      <c r="I138" s="40">
        <f t="shared" si="49"/>
        <v>333928.09999999998</v>
      </c>
      <c r="J138" s="40">
        <f t="shared" si="49"/>
        <v>348510.7</v>
      </c>
      <c r="K138" s="40">
        <f t="shared" si="49"/>
        <v>361172.1</v>
      </c>
      <c r="L138" s="40">
        <f t="shared" si="49"/>
        <v>414257.7</v>
      </c>
      <c r="M138" s="40">
        <f t="shared" si="49"/>
        <v>437710.6</v>
      </c>
      <c r="N138" s="40">
        <f t="shared" si="49"/>
        <v>457014.8</v>
      </c>
      <c r="O138" s="40">
        <f t="shared" ref="O138:O151" si="50">SUM(I138:J138)</f>
        <v>682438.8</v>
      </c>
      <c r="P138" s="40">
        <f t="shared" ref="P138:P151" si="51">SUM(K138:L138)</f>
        <v>775429.8</v>
      </c>
      <c r="Q138" s="40">
        <f t="shared" ref="Q138:Q151" si="52">SUM(M138:N138)</f>
        <v>894725.39999999991</v>
      </c>
      <c r="R138" s="40">
        <f t="shared" ref="R138:R151" si="53">P138-O138</f>
        <v>92991</v>
      </c>
      <c r="S138" s="137">
        <f t="shared" ref="S138:S151" si="54">R138/O138</f>
        <v>0.13626276817789373</v>
      </c>
      <c r="T138" s="40">
        <f t="shared" ref="T138:T151" si="55">Q138-P138</f>
        <v>119295.59999999986</v>
      </c>
      <c r="U138" s="137">
        <f t="shared" ref="U138:U151" si="56">T138/P138</f>
        <v>0.15384448727660435</v>
      </c>
    </row>
    <row r="139" spans="1:21" x14ac:dyDescent="0.2">
      <c r="A139" s="39">
        <f t="shared" ref="A139:A151" si="57">A138+1</f>
        <v>36</v>
      </c>
      <c r="C139" s="39" t="s">
        <v>144</v>
      </c>
      <c r="D139" s="41">
        <f t="shared" ref="D139:N139" si="58">D102</f>
        <v>36857227</v>
      </c>
      <c r="E139" s="41">
        <f t="shared" si="58"/>
        <v>28818713</v>
      </c>
      <c r="F139" s="40">
        <f t="shared" si="58"/>
        <v>29477.7</v>
      </c>
      <c r="G139" s="40">
        <f t="shared" si="58"/>
        <v>30912.7</v>
      </c>
      <c r="H139" s="40">
        <f t="shared" si="58"/>
        <v>31474.3</v>
      </c>
      <c r="I139" s="40">
        <f t="shared" si="58"/>
        <v>32316.799999999999</v>
      </c>
      <c r="J139" s="40">
        <f t="shared" si="58"/>
        <v>32058.2</v>
      </c>
      <c r="K139" s="40">
        <f t="shared" si="58"/>
        <v>31812.400000000001</v>
      </c>
      <c r="L139" s="40">
        <f t="shared" si="58"/>
        <v>31727.8</v>
      </c>
      <c r="M139" s="40">
        <f t="shared" si="58"/>
        <v>31763.599999999999</v>
      </c>
      <c r="N139" s="40">
        <f t="shared" si="58"/>
        <v>31922.5</v>
      </c>
      <c r="O139" s="40">
        <f t="shared" si="50"/>
        <v>64375</v>
      </c>
      <c r="P139" s="40">
        <f t="shared" si="51"/>
        <v>63540.2</v>
      </c>
      <c r="Q139" s="40">
        <f t="shared" si="52"/>
        <v>63686.1</v>
      </c>
      <c r="R139" s="40">
        <f t="shared" si="53"/>
        <v>-834.80000000000291</v>
      </c>
      <c r="S139" s="137">
        <f t="shared" si="54"/>
        <v>-1.2967766990291308E-2</v>
      </c>
      <c r="T139" s="40">
        <f t="shared" si="55"/>
        <v>145.90000000000146</v>
      </c>
      <c r="U139" s="137">
        <f t="shared" si="56"/>
        <v>2.2961841479882256E-3</v>
      </c>
    </row>
    <row r="140" spans="1:21" x14ac:dyDescent="0.2">
      <c r="A140" s="39">
        <f t="shared" si="57"/>
        <v>37</v>
      </c>
      <c r="B140" s="42"/>
      <c r="C140" s="42" t="s">
        <v>170</v>
      </c>
      <c r="D140" s="41">
        <f t="shared" ref="D140:N140" si="59">D103</f>
        <v>9779108</v>
      </c>
      <c r="E140" s="41">
        <f t="shared" si="59"/>
        <v>7276758</v>
      </c>
      <c r="F140" s="40">
        <f t="shared" si="59"/>
        <v>7434.3</v>
      </c>
      <c r="G140" s="40">
        <f t="shared" si="59"/>
        <v>7883.2</v>
      </c>
      <c r="H140" s="40">
        <f t="shared" si="59"/>
        <v>8057.6</v>
      </c>
      <c r="I140" s="40">
        <f t="shared" si="59"/>
        <v>8306.5</v>
      </c>
      <c r="J140" s="40">
        <f t="shared" si="59"/>
        <v>8316.7999999999993</v>
      </c>
      <c r="K140" s="40">
        <f t="shared" si="59"/>
        <v>8256.6</v>
      </c>
      <c r="L140" s="40">
        <f t="shared" si="59"/>
        <v>8398.5</v>
      </c>
      <c r="M140" s="40">
        <f t="shared" si="59"/>
        <v>8421</v>
      </c>
      <c r="N140" s="40">
        <f t="shared" si="59"/>
        <v>8520.1</v>
      </c>
      <c r="O140" s="40">
        <f t="shared" si="50"/>
        <v>16623.3</v>
      </c>
      <c r="P140" s="40">
        <f t="shared" si="51"/>
        <v>16655.099999999999</v>
      </c>
      <c r="Q140" s="40">
        <f t="shared" si="52"/>
        <v>16941.099999999999</v>
      </c>
      <c r="R140" s="40">
        <f t="shared" si="53"/>
        <v>31.799999999999272</v>
      </c>
      <c r="S140" s="137">
        <f t="shared" si="54"/>
        <v>1.912977567630932E-3</v>
      </c>
      <c r="T140" s="40">
        <f t="shared" si="55"/>
        <v>286</v>
      </c>
      <c r="U140" s="137">
        <f t="shared" si="56"/>
        <v>1.7171917310613568E-2</v>
      </c>
    </row>
    <row r="141" spans="1:21" x14ac:dyDescent="0.2">
      <c r="A141" s="39">
        <f t="shared" si="57"/>
        <v>38</v>
      </c>
      <c r="B141" s="39" t="s">
        <v>145</v>
      </c>
      <c r="D141" s="41">
        <f t="shared" ref="D141:N141" si="60">D104</f>
        <v>16471551</v>
      </c>
      <c r="E141" s="41">
        <f t="shared" si="60"/>
        <v>16909578</v>
      </c>
      <c r="F141" s="40">
        <f t="shared" si="60"/>
        <v>17548.599999999999</v>
      </c>
      <c r="G141" s="40">
        <f t="shared" si="60"/>
        <v>18853.099999999999</v>
      </c>
      <c r="H141" s="40">
        <f t="shared" si="60"/>
        <v>20254.2</v>
      </c>
      <c r="I141" s="40">
        <f t="shared" si="60"/>
        <v>21637.5</v>
      </c>
      <c r="J141" s="40">
        <f t="shared" si="60"/>
        <v>22898.799999999999</v>
      </c>
      <c r="K141" s="40">
        <f t="shared" si="60"/>
        <v>23367.8</v>
      </c>
      <c r="L141" s="40">
        <f t="shared" si="60"/>
        <v>23450.3</v>
      </c>
      <c r="M141" s="40">
        <f t="shared" si="60"/>
        <v>24120.2</v>
      </c>
      <c r="N141" s="40">
        <f t="shared" si="60"/>
        <v>24365</v>
      </c>
      <c r="O141" s="40">
        <f t="shared" si="50"/>
        <v>44536.3</v>
      </c>
      <c r="P141" s="40">
        <f t="shared" si="51"/>
        <v>46818.1</v>
      </c>
      <c r="Q141" s="40">
        <f t="shared" si="52"/>
        <v>48485.2</v>
      </c>
      <c r="R141" s="40">
        <f t="shared" si="53"/>
        <v>2281.7999999999956</v>
      </c>
      <c r="S141" s="137">
        <f t="shared" si="54"/>
        <v>5.1234610867988487E-2</v>
      </c>
      <c r="T141" s="40">
        <f t="shared" si="55"/>
        <v>1667.0999999999985</v>
      </c>
      <c r="U141" s="137">
        <f t="shared" si="56"/>
        <v>3.5608023392662211E-2</v>
      </c>
    </row>
    <row r="142" spans="1:21" x14ac:dyDescent="0.2">
      <c r="A142" s="39">
        <f t="shared" si="57"/>
        <v>39</v>
      </c>
      <c r="B142" s="39" t="s">
        <v>146</v>
      </c>
      <c r="D142" s="41">
        <f t="shared" ref="D142:N142" si="61">D105</f>
        <v>56478364</v>
      </c>
      <c r="E142" s="41">
        <f t="shared" si="61"/>
        <v>55913098</v>
      </c>
      <c r="F142" s="40">
        <f t="shared" si="61"/>
        <v>55511.199999999997</v>
      </c>
      <c r="G142" s="40">
        <f t="shared" si="61"/>
        <v>57332.800000000003</v>
      </c>
      <c r="H142" s="40">
        <f t="shared" si="61"/>
        <v>59221.8</v>
      </c>
      <c r="I142" s="40">
        <f t="shared" si="61"/>
        <v>60083.8</v>
      </c>
      <c r="J142" s="40">
        <f t="shared" si="61"/>
        <v>60159.1</v>
      </c>
      <c r="K142" s="40">
        <f t="shared" si="61"/>
        <v>59886.7</v>
      </c>
      <c r="L142" s="40">
        <f t="shared" si="61"/>
        <v>60310.6</v>
      </c>
      <c r="M142" s="40">
        <f t="shared" si="61"/>
        <v>60119.9</v>
      </c>
      <c r="N142" s="40">
        <f t="shared" si="61"/>
        <v>59879.9</v>
      </c>
      <c r="O142" s="40">
        <f t="shared" si="50"/>
        <v>120242.9</v>
      </c>
      <c r="P142" s="40">
        <f t="shared" si="51"/>
        <v>120197.29999999999</v>
      </c>
      <c r="Q142" s="40">
        <f t="shared" si="52"/>
        <v>119999.8</v>
      </c>
      <c r="R142" s="40">
        <f t="shared" si="53"/>
        <v>-45.600000000005821</v>
      </c>
      <c r="S142" s="137">
        <f t="shared" si="54"/>
        <v>-3.7923237047680837E-4</v>
      </c>
      <c r="T142" s="40">
        <f t="shared" si="55"/>
        <v>-197.49999999998545</v>
      </c>
      <c r="U142" s="137">
        <f t="shared" si="56"/>
        <v>-1.6431317508794746E-3</v>
      </c>
    </row>
    <row r="143" spans="1:21" x14ac:dyDescent="0.2">
      <c r="A143" s="39">
        <f t="shared" si="57"/>
        <v>40</v>
      </c>
      <c r="B143" s="39" t="s">
        <v>148</v>
      </c>
      <c r="D143" s="41">
        <f t="shared" ref="D143:N143" si="62">D106</f>
        <v>25114308</v>
      </c>
      <c r="E143" s="41">
        <f t="shared" si="62"/>
        <v>18869558</v>
      </c>
      <c r="F143" s="40">
        <f t="shared" si="62"/>
        <v>12876.8</v>
      </c>
      <c r="G143" s="40">
        <f t="shared" si="62"/>
        <v>8213.5</v>
      </c>
      <c r="H143" s="40">
        <f t="shared" si="62"/>
        <v>4354.3999999999996</v>
      </c>
      <c r="I143" s="40">
        <f t="shared" si="62"/>
        <v>2146.1</v>
      </c>
      <c r="J143" s="40">
        <f t="shared" si="62"/>
        <v>1207.4000000000001</v>
      </c>
      <c r="K143" s="40">
        <f t="shared" si="62"/>
        <v>676.1</v>
      </c>
      <c r="L143" s="40">
        <f t="shared" si="62"/>
        <v>372.4</v>
      </c>
      <c r="M143" s="40">
        <f t="shared" si="62"/>
        <v>221.7</v>
      </c>
      <c r="N143" s="40">
        <f t="shared" si="62"/>
        <v>157.4</v>
      </c>
      <c r="O143" s="40">
        <f t="shared" si="50"/>
        <v>3353.5</v>
      </c>
      <c r="P143" s="40">
        <f t="shared" si="51"/>
        <v>1048.5</v>
      </c>
      <c r="Q143" s="40">
        <f t="shared" si="52"/>
        <v>379.1</v>
      </c>
      <c r="R143" s="40">
        <f t="shared" si="53"/>
        <v>-2305</v>
      </c>
      <c r="S143" s="137">
        <f t="shared" si="54"/>
        <v>-0.68734158342030716</v>
      </c>
      <c r="T143" s="40">
        <f t="shared" si="55"/>
        <v>-669.4</v>
      </c>
      <c r="U143" s="137">
        <f t="shared" si="56"/>
        <v>-0.63843586075345726</v>
      </c>
    </row>
    <row r="144" spans="1:21" x14ac:dyDescent="0.2">
      <c r="A144" s="39">
        <f t="shared" si="57"/>
        <v>41</v>
      </c>
      <c r="B144" s="42" t="s">
        <v>244</v>
      </c>
      <c r="D144" s="41">
        <f t="shared" ref="D144:N144" si="63">D107</f>
        <v>0</v>
      </c>
      <c r="E144" s="41">
        <f t="shared" si="63"/>
        <v>0</v>
      </c>
      <c r="F144" s="40">
        <f t="shared" si="63"/>
        <v>0</v>
      </c>
      <c r="G144" s="40">
        <f t="shared" si="63"/>
        <v>-344.9</v>
      </c>
      <c r="H144" s="40">
        <f t="shared" si="63"/>
        <v>0</v>
      </c>
      <c r="I144" s="40">
        <f t="shared" si="63"/>
        <v>-730.5</v>
      </c>
      <c r="J144" s="40">
        <f t="shared" si="63"/>
        <v>0</v>
      </c>
      <c r="K144" s="40">
        <f t="shared" si="63"/>
        <v>-2505.6999999999998</v>
      </c>
      <c r="L144" s="40">
        <f t="shared" si="63"/>
        <v>0</v>
      </c>
      <c r="M144" s="40">
        <f t="shared" si="63"/>
        <v>-700</v>
      </c>
      <c r="N144" s="40">
        <f t="shared" si="63"/>
        <v>0</v>
      </c>
      <c r="O144" s="40">
        <f t="shared" si="50"/>
        <v>-730.5</v>
      </c>
      <c r="P144" s="40">
        <f t="shared" si="51"/>
        <v>-2505.6999999999998</v>
      </c>
      <c r="Q144" s="40">
        <f t="shared" si="52"/>
        <v>-700</v>
      </c>
      <c r="R144" s="40">
        <f t="shared" si="53"/>
        <v>-1775.1999999999998</v>
      </c>
      <c r="S144" s="137">
        <f t="shared" si="54"/>
        <v>2.4301163586584527</v>
      </c>
      <c r="T144" s="40">
        <f t="shared" si="55"/>
        <v>1805.6999999999998</v>
      </c>
      <c r="U144" s="137">
        <f t="shared" si="56"/>
        <v>-0.72063694775910925</v>
      </c>
    </row>
    <row r="145" spans="1:21" x14ac:dyDescent="0.2">
      <c r="A145" s="39">
        <f t="shared" si="57"/>
        <v>42</v>
      </c>
      <c r="B145" s="42" t="s">
        <v>360</v>
      </c>
      <c r="D145" s="41"/>
      <c r="E145" s="41"/>
      <c r="F145" s="40"/>
      <c r="G145" s="40"/>
      <c r="H145" s="40">
        <v>0</v>
      </c>
      <c r="I145" s="40">
        <v>0</v>
      </c>
      <c r="J145" s="40">
        <v>0</v>
      </c>
      <c r="K145" s="40">
        <f>K108</f>
        <v>-500000</v>
      </c>
      <c r="L145" s="40">
        <v>0</v>
      </c>
      <c r="M145" s="40">
        <v>0</v>
      </c>
      <c r="N145" s="40">
        <v>0</v>
      </c>
      <c r="O145" s="40">
        <f t="shared" si="50"/>
        <v>0</v>
      </c>
      <c r="P145" s="40">
        <f t="shared" si="51"/>
        <v>-500000</v>
      </c>
      <c r="Q145" s="40">
        <f t="shared" si="52"/>
        <v>0</v>
      </c>
      <c r="R145" s="40">
        <f t="shared" si="53"/>
        <v>-500000</v>
      </c>
      <c r="S145" s="137" t="e">
        <f t="shared" si="54"/>
        <v>#DIV/0!</v>
      </c>
      <c r="T145" s="40">
        <f t="shared" si="55"/>
        <v>500000</v>
      </c>
      <c r="U145" s="137">
        <f t="shared" si="56"/>
        <v>-1</v>
      </c>
    </row>
    <row r="146" spans="1:21" x14ac:dyDescent="0.2">
      <c r="A146" s="39">
        <f t="shared" si="57"/>
        <v>43</v>
      </c>
      <c r="B146" s="39" t="s">
        <v>147</v>
      </c>
      <c r="D146" s="41">
        <f t="shared" ref="D146:N146" si="64">D109-D124</f>
        <v>198438434</v>
      </c>
      <c r="E146" s="41">
        <f t="shared" si="64"/>
        <v>194217096</v>
      </c>
      <c r="F146" s="40">
        <f t="shared" si="64"/>
        <v>153689.79999999999</v>
      </c>
      <c r="G146" s="40">
        <f t="shared" si="64"/>
        <v>149750.20000000001</v>
      </c>
      <c r="H146" s="40">
        <f t="shared" si="64"/>
        <v>92182.5</v>
      </c>
      <c r="I146" s="40">
        <f t="shared" si="64"/>
        <v>82805.200000000012</v>
      </c>
      <c r="J146" s="40">
        <f t="shared" si="64"/>
        <v>73046.100000000006</v>
      </c>
      <c r="K146" s="40">
        <f t="shared" si="64"/>
        <v>70184.2</v>
      </c>
      <c r="L146" s="40">
        <f t="shared" si="64"/>
        <v>70285.8</v>
      </c>
      <c r="M146" s="40">
        <f t="shared" si="64"/>
        <v>75618.700000000012</v>
      </c>
      <c r="N146" s="40">
        <f t="shared" si="64"/>
        <v>80090.5</v>
      </c>
      <c r="O146" s="40">
        <f t="shared" si="50"/>
        <v>155851.30000000002</v>
      </c>
      <c r="P146" s="40">
        <f t="shared" si="51"/>
        <v>140470</v>
      </c>
      <c r="Q146" s="40">
        <f t="shared" si="52"/>
        <v>155709.20000000001</v>
      </c>
      <c r="R146" s="40">
        <f t="shared" si="53"/>
        <v>-15381.300000000017</v>
      </c>
      <c r="S146" s="137">
        <f t="shared" si="54"/>
        <v>-9.869215078732109E-2</v>
      </c>
      <c r="T146" s="40">
        <f t="shared" si="55"/>
        <v>15239.200000000012</v>
      </c>
      <c r="U146" s="137">
        <f t="shared" si="56"/>
        <v>0.10848722147077676</v>
      </c>
    </row>
    <row r="147" spans="1:21" x14ac:dyDescent="0.2">
      <c r="A147" s="39">
        <f t="shared" si="57"/>
        <v>44</v>
      </c>
      <c r="B147" s="39" t="s">
        <v>149</v>
      </c>
      <c r="D147" s="41">
        <f t="shared" ref="D147:N147" si="65">D110-D125</f>
        <v>34642490</v>
      </c>
      <c r="E147" s="41">
        <f t="shared" si="65"/>
        <v>32112369</v>
      </c>
      <c r="F147" s="40">
        <f t="shared" si="65"/>
        <v>19350.899999999998</v>
      </c>
      <c r="G147" s="40">
        <f t="shared" si="65"/>
        <v>25916.100000000002</v>
      </c>
      <c r="H147" s="40">
        <f t="shared" si="65"/>
        <v>30534.000000000007</v>
      </c>
      <c r="I147" s="40">
        <f t="shared" si="65"/>
        <v>25104.5</v>
      </c>
      <c r="J147" s="40">
        <f t="shared" si="65"/>
        <v>19660.399999999994</v>
      </c>
      <c r="K147" s="40">
        <f t="shared" si="65"/>
        <v>16727.800000000003</v>
      </c>
      <c r="L147" s="40">
        <f t="shared" si="65"/>
        <v>16125.199999999997</v>
      </c>
      <c r="M147" s="40">
        <f t="shared" si="65"/>
        <v>18203.800000000003</v>
      </c>
      <c r="N147" s="40">
        <f t="shared" si="65"/>
        <v>21004.5</v>
      </c>
      <c r="O147" s="40">
        <f t="shared" si="50"/>
        <v>44764.899999999994</v>
      </c>
      <c r="P147" s="40">
        <f t="shared" si="51"/>
        <v>32853</v>
      </c>
      <c r="Q147" s="40">
        <f t="shared" si="52"/>
        <v>39208.300000000003</v>
      </c>
      <c r="R147" s="40">
        <f t="shared" si="53"/>
        <v>-11911.899999999994</v>
      </c>
      <c r="S147" s="137">
        <f t="shared" si="54"/>
        <v>-0.26609910890005328</v>
      </c>
      <c r="T147" s="40">
        <f t="shared" si="55"/>
        <v>6355.3000000000029</v>
      </c>
      <c r="U147" s="137">
        <f t="shared" si="56"/>
        <v>0.1934465650016742</v>
      </c>
    </row>
    <row r="148" spans="1:21" x14ac:dyDescent="0.2">
      <c r="A148" s="39">
        <f t="shared" si="57"/>
        <v>45</v>
      </c>
      <c r="B148" s="42" t="s">
        <v>173</v>
      </c>
      <c r="D148" s="41">
        <f t="shared" ref="D148:N148" si="66">D111-D126</f>
        <v>0</v>
      </c>
      <c r="E148" s="41">
        <f t="shared" si="66"/>
        <v>31986524</v>
      </c>
      <c r="F148" s="40">
        <f t="shared" si="66"/>
        <v>12786</v>
      </c>
      <c r="G148" s="40">
        <f t="shared" si="66"/>
        <v>10650.2</v>
      </c>
      <c r="H148" s="40">
        <f t="shared" si="66"/>
        <v>8632</v>
      </c>
      <c r="I148" s="40">
        <f t="shared" si="66"/>
        <v>7132.8999999999978</v>
      </c>
      <c r="J148" s="40">
        <f t="shared" si="66"/>
        <v>5419.0999999999985</v>
      </c>
      <c r="K148" s="40">
        <f t="shared" si="66"/>
        <v>4250.8999999999978</v>
      </c>
      <c r="L148" s="40">
        <f t="shared" si="66"/>
        <v>4010.5</v>
      </c>
      <c r="M148" s="40">
        <f t="shared" si="66"/>
        <v>4578.3999999999978</v>
      </c>
      <c r="N148" s="40">
        <f t="shared" si="66"/>
        <v>5512.6000000000022</v>
      </c>
      <c r="O148" s="40">
        <f t="shared" si="50"/>
        <v>12551.999999999996</v>
      </c>
      <c r="P148" s="40">
        <f t="shared" si="51"/>
        <v>8261.3999999999978</v>
      </c>
      <c r="Q148" s="40">
        <f t="shared" si="52"/>
        <v>10091</v>
      </c>
      <c r="R148" s="40">
        <f t="shared" si="53"/>
        <v>-4290.5999999999985</v>
      </c>
      <c r="S148" s="137">
        <f t="shared" si="54"/>
        <v>-0.34182600382409178</v>
      </c>
      <c r="T148" s="40">
        <f t="shared" si="55"/>
        <v>1829.6000000000022</v>
      </c>
      <c r="U148" s="137">
        <f t="shared" si="56"/>
        <v>0.22146367443774695</v>
      </c>
    </row>
    <row r="149" spans="1:21" x14ac:dyDescent="0.2">
      <c r="A149" s="39">
        <f t="shared" si="57"/>
        <v>46</v>
      </c>
      <c r="B149" s="42" t="s">
        <v>168</v>
      </c>
      <c r="C149" s="42"/>
      <c r="D149" s="41">
        <f t="shared" ref="D149:N149" si="67">D112-D127</f>
        <v>0</v>
      </c>
      <c r="E149" s="41">
        <f t="shared" si="67"/>
        <v>0</v>
      </c>
      <c r="F149" s="40">
        <f t="shared" si="67"/>
        <v>0</v>
      </c>
      <c r="G149" s="40">
        <f t="shared" si="67"/>
        <v>16348.9</v>
      </c>
      <c r="H149" s="40">
        <f t="shared" si="67"/>
        <v>38908.199999999997</v>
      </c>
      <c r="I149" s="40">
        <f t="shared" si="67"/>
        <v>47983.899999999994</v>
      </c>
      <c r="J149" s="40">
        <f t="shared" si="67"/>
        <v>49995</v>
      </c>
      <c r="K149" s="40">
        <f t="shared" si="67"/>
        <v>41484.899999999994</v>
      </c>
      <c r="L149" s="40">
        <f t="shared" si="67"/>
        <v>46104.9</v>
      </c>
      <c r="M149" s="40">
        <f t="shared" si="67"/>
        <v>56810.299999999996</v>
      </c>
      <c r="N149" s="40">
        <f t="shared" si="67"/>
        <v>59586.5</v>
      </c>
      <c r="O149" s="40">
        <f t="shared" si="50"/>
        <v>97978.9</v>
      </c>
      <c r="P149" s="40">
        <f t="shared" si="51"/>
        <v>87589.799999999988</v>
      </c>
      <c r="Q149" s="40">
        <f t="shared" si="52"/>
        <v>116396.79999999999</v>
      </c>
      <c r="R149" s="40">
        <f t="shared" si="53"/>
        <v>-10389.100000000006</v>
      </c>
      <c r="S149" s="137">
        <f t="shared" si="54"/>
        <v>-0.10603405427086859</v>
      </c>
      <c r="T149" s="40">
        <f t="shared" si="55"/>
        <v>28807</v>
      </c>
      <c r="U149" s="137">
        <f t="shared" si="56"/>
        <v>0.32888532683029309</v>
      </c>
    </row>
    <row r="150" spans="1:21" x14ac:dyDescent="0.2">
      <c r="A150" s="39">
        <f t="shared" si="57"/>
        <v>47</v>
      </c>
      <c r="B150" s="42" t="s">
        <v>163</v>
      </c>
      <c r="C150" s="42"/>
      <c r="D150" s="41">
        <f t="shared" ref="D150:N150" si="68">D113-D128-D151</f>
        <v>58417206</v>
      </c>
      <c r="E150" s="41">
        <f t="shared" si="68"/>
        <v>67208298</v>
      </c>
      <c r="F150" s="40">
        <f t="shared" si="68"/>
        <v>116067.69999999998</v>
      </c>
      <c r="G150" s="40">
        <f t="shared" si="68"/>
        <v>114773.99999999997</v>
      </c>
      <c r="H150" s="40">
        <f t="shared" si="68"/>
        <v>107935.19999999994</v>
      </c>
      <c r="I150" s="40">
        <f t="shared" si="68"/>
        <v>95398.599999999904</v>
      </c>
      <c r="J150" s="40">
        <f t="shared" si="68"/>
        <v>76645.899999999951</v>
      </c>
      <c r="K150" s="40">
        <f t="shared" si="68"/>
        <v>60780.499999999956</v>
      </c>
      <c r="L150" s="40">
        <f t="shared" si="68"/>
        <v>58443.700000000026</v>
      </c>
      <c r="M150" s="40">
        <f t="shared" si="68"/>
        <v>68309.300000000047</v>
      </c>
      <c r="N150" s="40">
        <f t="shared" si="68"/>
        <v>84080.399999999907</v>
      </c>
      <c r="O150" s="40">
        <f t="shared" si="50"/>
        <v>172044.49999999985</v>
      </c>
      <c r="P150" s="40">
        <f t="shared" si="51"/>
        <v>119224.19999999998</v>
      </c>
      <c r="Q150" s="40">
        <f t="shared" si="52"/>
        <v>152389.69999999995</v>
      </c>
      <c r="R150" s="40">
        <f t="shared" si="53"/>
        <v>-52820.299999999872</v>
      </c>
      <c r="S150" s="137">
        <f t="shared" si="54"/>
        <v>-0.30701533614849597</v>
      </c>
      <c r="T150" s="40">
        <f t="shared" si="55"/>
        <v>33165.499999999971</v>
      </c>
      <c r="U150" s="137">
        <f t="shared" si="56"/>
        <v>0.2781775847520887</v>
      </c>
    </row>
    <row r="151" spans="1:21" x14ac:dyDescent="0.2">
      <c r="A151" s="39">
        <f t="shared" si="57"/>
        <v>48</v>
      </c>
      <c r="B151" s="39" t="s">
        <v>151</v>
      </c>
      <c r="D151" s="41">
        <f>'FY 2003'!I126</f>
        <v>8345294</v>
      </c>
      <c r="E151" s="41">
        <f>'FY 2004'!I126</f>
        <v>8040369</v>
      </c>
      <c r="F151" s="40">
        <f>ROUND('SUMMARY-ALL YEARS'!F138/1000,1)</f>
        <v>8698.9</v>
      </c>
      <c r="G151" s="40">
        <f>ROUND('SUMMARY-ALL YEARS'!G138/1000,1)</f>
        <v>8672.6</v>
      </c>
      <c r="H151" s="40">
        <f>ROUND('SUMMARY-ALL YEARS'!H138/1000,1)</f>
        <v>8609.2999999999993</v>
      </c>
      <c r="I151" s="40">
        <f>ROUND('SUMMARY-ALL YEARS'!I138/1000,1)</f>
        <v>8609.2999999999993</v>
      </c>
      <c r="J151" s="40">
        <f>ROUND('SUMMARY-ALL YEARS'!J138/1000,1)</f>
        <v>8587.7999999999993</v>
      </c>
      <c r="K151" s="40">
        <f>ROUND('SUMMARY-ALL YEARS'!K138/1000,1)</f>
        <v>8618.7000000000007</v>
      </c>
      <c r="L151" s="40">
        <f>ROUND('SUMMARY-ALL YEARS'!L138/1000,1)</f>
        <v>8593.2000000000007</v>
      </c>
      <c r="M151" s="40">
        <f>ROUND('SUMMARY-ALL YEARS'!M138/1000,1)</f>
        <v>8502</v>
      </c>
      <c r="N151" s="40">
        <f>ROUND('SUMMARY-ALL YEARS'!N138/1000,1)</f>
        <v>8502</v>
      </c>
      <c r="O151" s="40">
        <f t="shared" si="50"/>
        <v>17197.099999999999</v>
      </c>
      <c r="P151" s="40">
        <f t="shared" si="51"/>
        <v>17211.900000000001</v>
      </c>
      <c r="Q151" s="40">
        <f t="shared" si="52"/>
        <v>17004</v>
      </c>
      <c r="R151" s="40">
        <f t="shared" si="53"/>
        <v>14.80000000000291</v>
      </c>
      <c r="S151" s="137">
        <f t="shared" si="54"/>
        <v>8.6061021916502851E-4</v>
      </c>
      <c r="T151" s="40">
        <f t="shared" si="55"/>
        <v>-207.90000000000146</v>
      </c>
      <c r="U151" s="137">
        <f t="shared" si="56"/>
        <v>-1.2078852421870999E-2</v>
      </c>
    </row>
    <row r="152" spans="1:21" x14ac:dyDescent="0.2">
      <c r="B152" s="42" t="s">
        <v>172</v>
      </c>
      <c r="D152" s="41"/>
      <c r="E152" s="41"/>
      <c r="F152" s="40"/>
      <c r="G152" s="40"/>
      <c r="H152" s="40"/>
      <c r="I152" s="40"/>
      <c r="J152" s="40"/>
      <c r="K152" s="40"/>
      <c r="L152" s="40"/>
      <c r="M152" s="40"/>
      <c r="N152" s="40"/>
    </row>
    <row r="153" spans="1:21" x14ac:dyDescent="0.2">
      <c r="A153" s="39">
        <f>A151+1</f>
        <v>49</v>
      </c>
      <c r="B153" s="42"/>
      <c r="C153" s="42" t="s">
        <v>268</v>
      </c>
      <c r="D153" s="41">
        <f>'FY 2003'!I131</f>
        <v>0</v>
      </c>
      <c r="E153" s="41">
        <f>'FY 2004'!I131</f>
        <v>0</v>
      </c>
      <c r="F153" s="40">
        <f>ROUND(SUM('SUMMARY-ALL YEARS'!F140:F144)/1000,1)</f>
        <v>-1090</v>
      </c>
      <c r="G153" s="40">
        <f t="shared" ref="G153:N153" si="69">G115</f>
        <v>-895.4</v>
      </c>
      <c r="H153" s="40">
        <f t="shared" si="69"/>
        <v>-886.1</v>
      </c>
      <c r="I153" s="40">
        <f t="shared" si="69"/>
        <v>-182.3</v>
      </c>
      <c r="J153" s="40">
        <f t="shared" si="69"/>
        <v>261.60000000000002</v>
      </c>
      <c r="K153" s="40">
        <f t="shared" si="69"/>
        <v>677.7</v>
      </c>
      <c r="L153" s="40">
        <f t="shared" si="69"/>
        <v>766.8</v>
      </c>
      <c r="M153" s="40">
        <f t="shared" si="69"/>
        <v>543</v>
      </c>
      <c r="N153" s="40">
        <f t="shared" si="69"/>
        <v>42.4</v>
      </c>
      <c r="O153" s="40">
        <f>SUM(I153:J153)</f>
        <v>79.300000000000011</v>
      </c>
      <c r="P153" s="40">
        <f>SUM(K153:L153)</f>
        <v>1444.5</v>
      </c>
      <c r="Q153" s="40">
        <f>SUM(M153:N153)</f>
        <v>585.4</v>
      </c>
      <c r="R153" s="40">
        <f>P153-O153</f>
        <v>1365.2</v>
      </c>
      <c r="S153" s="137">
        <f>R153/O153</f>
        <v>17.215636822194199</v>
      </c>
      <c r="T153" s="40">
        <f>Q153-P153</f>
        <v>-859.1</v>
      </c>
      <c r="U153" s="137">
        <f>T153/P153</f>
        <v>-0.59473866389754237</v>
      </c>
    </row>
    <row r="154" spans="1:21" x14ac:dyDescent="0.2">
      <c r="A154" s="39">
        <f>A153+1</f>
        <v>50</v>
      </c>
      <c r="B154" s="42"/>
      <c r="C154" s="42"/>
      <c r="D154" s="41">
        <f>'FY 2003'!I132</f>
        <v>0</v>
      </c>
      <c r="E154" s="41">
        <f>'FY 2004'!I132</f>
        <v>0</v>
      </c>
      <c r="F154" s="40">
        <v>0</v>
      </c>
      <c r="G154" s="40">
        <v>0</v>
      </c>
      <c r="H154" s="40">
        <v>0</v>
      </c>
      <c r="I154" s="40">
        <v>0</v>
      </c>
      <c r="J154" s="40">
        <v>0</v>
      </c>
      <c r="K154" s="40">
        <v>0</v>
      </c>
      <c r="L154" s="40">
        <v>0</v>
      </c>
      <c r="M154" s="40">
        <v>0</v>
      </c>
      <c r="N154" s="40">
        <v>0</v>
      </c>
    </row>
    <row r="155" spans="1:21" x14ac:dyDescent="0.2">
      <c r="A155" s="39">
        <f>A154+1</f>
        <v>51</v>
      </c>
      <c r="B155" s="42"/>
      <c r="C155" s="42"/>
      <c r="D155" s="41">
        <f>'FY 2003'!I133</f>
        <v>5196835956</v>
      </c>
      <c r="E155" s="41">
        <f>'FY 2004'!I133</f>
        <v>5163747344</v>
      </c>
      <c r="F155" s="40">
        <v>0</v>
      </c>
      <c r="G155" s="40">
        <v>0</v>
      </c>
      <c r="H155" s="40">
        <v>0</v>
      </c>
      <c r="I155" s="40">
        <v>0</v>
      </c>
      <c r="J155" s="40">
        <v>0</v>
      </c>
      <c r="K155" s="40">
        <v>0</v>
      </c>
      <c r="L155" s="40">
        <v>0</v>
      </c>
      <c r="M155" s="40">
        <v>0</v>
      </c>
      <c r="N155" s="40">
        <v>0</v>
      </c>
    </row>
    <row r="156" spans="1:21" x14ac:dyDescent="0.2">
      <c r="A156" s="39">
        <f>A155+1</f>
        <v>52</v>
      </c>
      <c r="B156" s="42"/>
      <c r="C156" s="42"/>
      <c r="D156" s="41">
        <f>'FY 2003'!I134</f>
        <v>5188490662</v>
      </c>
      <c r="E156" s="41">
        <f>'FY 2004'!I134</f>
        <v>5155706975</v>
      </c>
      <c r="F156" s="40">
        <v>0</v>
      </c>
      <c r="G156" s="40">
        <v>0</v>
      </c>
      <c r="H156" s="40">
        <v>0</v>
      </c>
      <c r="I156" s="40">
        <v>0</v>
      </c>
      <c r="J156" s="40">
        <v>0</v>
      </c>
      <c r="K156" s="40">
        <v>0</v>
      </c>
      <c r="L156" s="40">
        <v>0</v>
      </c>
      <c r="M156" s="40">
        <v>0</v>
      </c>
      <c r="N156" s="40">
        <v>0</v>
      </c>
    </row>
    <row r="157" spans="1:21" x14ac:dyDescent="0.2">
      <c r="A157" s="39">
        <f>A156+1</f>
        <v>53</v>
      </c>
      <c r="B157" s="42"/>
      <c r="C157" s="42"/>
      <c r="D157" s="41">
        <v>0</v>
      </c>
      <c r="E157" s="41">
        <v>0</v>
      </c>
      <c r="F157" s="40">
        <v>0</v>
      </c>
      <c r="G157" s="40">
        <v>0</v>
      </c>
      <c r="H157" s="40">
        <v>0</v>
      </c>
      <c r="I157" s="40">
        <v>0</v>
      </c>
      <c r="J157" s="40">
        <v>0</v>
      </c>
      <c r="K157" s="40">
        <v>0</v>
      </c>
      <c r="L157" s="40">
        <v>0</v>
      </c>
      <c r="M157" s="40">
        <v>0</v>
      </c>
      <c r="N157" s="40">
        <v>0</v>
      </c>
    </row>
    <row r="158" spans="1:21" x14ac:dyDescent="0.2">
      <c r="D158" s="41"/>
      <c r="E158" s="41"/>
      <c r="F158" s="40"/>
      <c r="G158" s="40"/>
      <c r="H158" s="40"/>
      <c r="I158" s="40"/>
      <c r="J158" s="40"/>
      <c r="K158" s="40"/>
      <c r="L158" s="40"/>
      <c r="M158" s="40"/>
      <c r="N158" s="40"/>
    </row>
    <row r="159" spans="1:21" x14ac:dyDescent="0.2">
      <c r="A159" s="39">
        <f>A157+1</f>
        <v>54</v>
      </c>
      <c r="B159" s="42" t="s">
        <v>184</v>
      </c>
      <c r="C159" s="42"/>
      <c r="D159" s="41">
        <f t="shared" ref="D159:N159" si="70">SUM(D133:D157)</f>
        <v>15582625606</v>
      </c>
      <c r="E159" s="41">
        <f t="shared" si="70"/>
        <v>15483880461</v>
      </c>
      <c r="F159" s="40">
        <f t="shared" si="70"/>
        <v>5134727.6000000006</v>
      </c>
      <c r="G159" s="40">
        <f t="shared" si="70"/>
        <v>5355576.5999999996</v>
      </c>
      <c r="H159" s="40">
        <f t="shared" si="70"/>
        <v>5530442.8000000007</v>
      </c>
      <c r="I159" s="40">
        <f t="shared" si="70"/>
        <v>5633296.8999999994</v>
      </c>
      <c r="J159" s="40">
        <f t="shared" si="70"/>
        <v>5688098.3999999985</v>
      </c>
      <c r="K159" s="40">
        <f t="shared" si="70"/>
        <v>5118552.5</v>
      </c>
      <c r="L159" s="40">
        <f t="shared" si="70"/>
        <v>5688394</v>
      </c>
      <c r="M159" s="40">
        <f t="shared" si="70"/>
        <v>5761725.5999999996</v>
      </c>
      <c r="N159" s="40">
        <f t="shared" si="70"/>
        <v>5853567.9000000004</v>
      </c>
      <c r="O159" s="40">
        <f>SUM(I159:J159)</f>
        <v>11321395.299999997</v>
      </c>
      <c r="P159" s="40">
        <f>SUM(K159:L159)</f>
        <v>10806946.5</v>
      </c>
      <c r="Q159" s="40">
        <f>SUM(M159:N159)</f>
        <v>11615293.5</v>
      </c>
      <c r="R159" s="40">
        <f>P159-O159</f>
        <v>-514448.79999999702</v>
      </c>
      <c r="S159" s="137">
        <f>R159/O159</f>
        <v>-4.5440406095527568E-2</v>
      </c>
      <c r="T159" s="40">
        <f>Q159-P159</f>
        <v>808347</v>
      </c>
      <c r="U159" s="137">
        <f>T159/P159</f>
        <v>7.4798834249804047E-2</v>
      </c>
    </row>
    <row r="160" spans="1:21" x14ac:dyDescent="0.2">
      <c r="A160" s="39">
        <f>A159+1</f>
        <v>55</v>
      </c>
      <c r="B160" s="42" t="s">
        <v>160</v>
      </c>
      <c r="C160" s="42"/>
      <c r="D160" s="41">
        <f>D159-D151</f>
        <v>15574280312</v>
      </c>
      <c r="E160" s="41">
        <f>E159-E151</f>
        <v>15475840092</v>
      </c>
      <c r="F160" s="40">
        <f>F159-F151</f>
        <v>5126028.7</v>
      </c>
      <c r="G160" s="40">
        <f>G159-G151</f>
        <v>5346904</v>
      </c>
      <c r="H160" s="40">
        <f>H159-H151</f>
        <v>5521833.5000000009</v>
      </c>
      <c r="I160" s="40">
        <f t="shared" ref="I160:N160" si="71">I159</f>
        <v>5633296.8999999994</v>
      </c>
      <c r="J160" s="40">
        <f t="shared" si="71"/>
        <v>5688098.3999999985</v>
      </c>
      <c r="K160" s="40">
        <f t="shared" si="71"/>
        <v>5118552.5</v>
      </c>
      <c r="L160" s="40">
        <f t="shared" si="71"/>
        <v>5688394</v>
      </c>
      <c r="M160" s="40">
        <f t="shared" si="71"/>
        <v>5761725.5999999996</v>
      </c>
      <c r="N160" s="40">
        <f t="shared" si="71"/>
        <v>5853567.9000000004</v>
      </c>
      <c r="O160" s="40">
        <f>SUM(I160:J160)</f>
        <v>11321395.299999997</v>
      </c>
      <c r="P160" s="40">
        <f>SUM(K160:L160)</f>
        <v>10806946.5</v>
      </c>
      <c r="Q160" s="40">
        <f>SUM(M160:N160)</f>
        <v>11615293.5</v>
      </c>
      <c r="R160" s="40">
        <f>P160-O160</f>
        <v>-514448.79999999702</v>
      </c>
      <c r="S160" s="137">
        <f>R160/O160</f>
        <v>-4.5440406095527568E-2</v>
      </c>
      <c r="T160" s="40">
        <f>Q160-P160</f>
        <v>808347</v>
      </c>
      <c r="U160" s="137">
        <f>T160/P160</f>
        <v>7.4798834249804047E-2</v>
      </c>
    </row>
    <row r="161" spans="1:21" x14ac:dyDescent="0.2">
      <c r="A161" s="39">
        <f>A160+1</f>
        <v>56</v>
      </c>
      <c r="B161" s="42" t="s">
        <v>303</v>
      </c>
      <c r="C161" s="42"/>
      <c r="D161" s="41">
        <f>D151</f>
        <v>8345294</v>
      </c>
      <c r="E161" s="41">
        <f>E151</f>
        <v>8040369</v>
      </c>
      <c r="F161" s="40">
        <f>F151</f>
        <v>8698.9</v>
      </c>
      <c r="G161" s="40">
        <f>G151</f>
        <v>8672.6</v>
      </c>
      <c r="H161" s="40">
        <f>H151</f>
        <v>8609.2999999999993</v>
      </c>
      <c r="I161" s="127" t="s">
        <v>302</v>
      </c>
      <c r="J161" s="127" t="s">
        <v>302</v>
      </c>
      <c r="K161" s="127" t="s">
        <v>302</v>
      </c>
      <c r="L161" s="127" t="s">
        <v>302</v>
      </c>
      <c r="M161" s="127" t="s">
        <v>302</v>
      </c>
      <c r="N161" s="127" t="s">
        <v>302</v>
      </c>
    </row>
    <row r="162" spans="1:21" x14ac:dyDescent="0.2">
      <c r="B162" s="42"/>
      <c r="C162" s="42"/>
      <c r="D162" s="41"/>
      <c r="E162" s="41"/>
      <c r="F162" s="40"/>
      <c r="G162" s="40"/>
      <c r="H162" s="40"/>
      <c r="I162" s="40"/>
      <c r="J162" s="40"/>
      <c r="K162" s="40"/>
      <c r="L162" s="40"/>
      <c r="M162" s="40"/>
      <c r="N162" s="40"/>
    </row>
    <row r="163" spans="1:21" x14ac:dyDescent="0.2">
      <c r="A163" s="39">
        <f>A161+1</f>
        <v>57</v>
      </c>
      <c r="B163" s="42" t="s">
        <v>166</v>
      </c>
      <c r="C163" s="42"/>
      <c r="D163" s="41">
        <f>'FY 2003'!I137</f>
        <v>-46570547</v>
      </c>
      <c r="E163" s="41">
        <f>'FY 2004'!I137</f>
        <v>-46686661</v>
      </c>
      <c r="F163" s="40">
        <f>ROUND('SUMMARY-ALL YEARS'!F150/1000,1)</f>
        <v>-46733.7</v>
      </c>
      <c r="G163" s="40">
        <f>ROUND('SUMMARY-ALL YEARS'!G150/1000,1)</f>
        <v>-46807.7</v>
      </c>
      <c r="H163" s="40">
        <f>ROUND('SUMMARY-ALL YEARS'!H150/1000,1)</f>
        <v>-46967.5</v>
      </c>
      <c r="I163" s="40">
        <f>ROUND('SUMMARY-ALL YEARS'!I150/1000,1)</f>
        <v>-30637.8</v>
      </c>
      <c r="J163" s="40">
        <f>ROUND('SUMMARY-ALL YEARS'!J150/1000,1)</f>
        <v>-30753.1</v>
      </c>
      <c r="K163" s="40">
        <f>ROUND('SUMMARY-ALL YEARS'!K150/1000,1)</f>
        <v>-30857.8</v>
      </c>
      <c r="L163" s="40">
        <f>ROUND('SUMMARY-ALL YEARS'!L150/1000,1)</f>
        <v>-30947.3</v>
      </c>
      <c r="M163" s="40">
        <f>ROUND('SUMMARY-ALL YEARS'!M150/1000,1)</f>
        <v>-31109.1</v>
      </c>
      <c r="N163" s="40">
        <f>ROUND('SUMMARY-ALL YEARS'!N150/1000,1)</f>
        <v>-31263.8</v>
      </c>
      <c r="O163" s="40">
        <f>SUM(I163:J163)</f>
        <v>-61390.899999999994</v>
      </c>
      <c r="P163" s="40">
        <f>SUM(K163:L163)</f>
        <v>-61805.1</v>
      </c>
      <c r="Q163" s="40">
        <f>SUM(M163:N163)</f>
        <v>-62372.899999999994</v>
      </c>
      <c r="R163" s="40">
        <f>P163-O163</f>
        <v>-414.20000000000437</v>
      </c>
      <c r="S163" s="137">
        <f>R163/O163</f>
        <v>6.7469282906750744E-3</v>
      </c>
      <c r="T163" s="40">
        <f>Q163-P163</f>
        <v>-567.79999999999563</v>
      </c>
      <c r="U163" s="137">
        <f>T163/P163</f>
        <v>9.1869441194981586E-3</v>
      </c>
    </row>
    <row r="165" spans="1:21" x14ac:dyDescent="0.2">
      <c r="A165" s="128" t="s">
        <v>162</v>
      </c>
      <c r="B165" s="128"/>
      <c r="C165" s="129"/>
      <c r="D165" s="130" t="s">
        <v>135</v>
      </c>
      <c r="E165" s="130" t="s">
        <v>136</v>
      </c>
      <c r="F165" s="130" t="s">
        <v>137</v>
      </c>
      <c r="G165" s="130" t="s">
        <v>138</v>
      </c>
      <c r="H165" s="130" t="s">
        <v>139</v>
      </c>
      <c r="I165" s="130" t="s">
        <v>164</v>
      </c>
      <c r="J165" s="130" t="s">
        <v>165</v>
      </c>
      <c r="K165" s="130" t="s">
        <v>249</v>
      </c>
      <c r="L165" s="130" t="s">
        <v>250</v>
      </c>
      <c r="M165" s="130" t="s">
        <v>300</v>
      </c>
      <c r="N165" s="130" t="s">
        <v>301</v>
      </c>
      <c r="O165" s="150" t="s">
        <v>319</v>
      </c>
      <c r="P165" s="150" t="s">
        <v>320</v>
      </c>
      <c r="Q165" s="150" t="s">
        <v>355</v>
      </c>
      <c r="R165" s="150" t="s">
        <v>356</v>
      </c>
      <c r="S165" s="150" t="s">
        <v>321</v>
      </c>
      <c r="T165" s="150" t="s">
        <v>357</v>
      </c>
      <c r="U165" s="150" t="s">
        <v>321</v>
      </c>
    </row>
    <row r="167" spans="1:21" x14ac:dyDescent="0.2">
      <c r="A167" s="39">
        <v>1</v>
      </c>
      <c r="B167" s="39" t="s">
        <v>140</v>
      </c>
      <c r="D167" s="43">
        <f t="shared" ref="D167:N167" si="72">D5-D93</f>
        <v>0</v>
      </c>
      <c r="E167" s="43">
        <f t="shared" si="72"/>
        <v>0</v>
      </c>
      <c r="F167" s="43">
        <f t="shared" si="72"/>
        <v>0</v>
      </c>
      <c r="G167" s="43">
        <f t="shared" si="72"/>
        <v>0</v>
      </c>
      <c r="H167" s="43">
        <f t="shared" si="72"/>
        <v>0</v>
      </c>
      <c r="I167" s="43">
        <f t="shared" si="72"/>
        <v>0</v>
      </c>
      <c r="J167" s="43">
        <f t="shared" si="72"/>
        <v>0</v>
      </c>
      <c r="K167" s="43">
        <f t="shared" si="72"/>
        <v>-576</v>
      </c>
      <c r="L167" s="43">
        <f t="shared" si="72"/>
        <v>-1342</v>
      </c>
      <c r="M167" s="43">
        <f t="shared" si="72"/>
        <v>-1522</v>
      </c>
      <c r="N167" s="43">
        <f t="shared" si="72"/>
        <v>-1739</v>
      </c>
    </row>
    <row r="168" spans="1:21" x14ac:dyDescent="0.2">
      <c r="E168" s="43"/>
      <c r="F168" s="43"/>
      <c r="G168" s="43"/>
      <c r="H168" s="43"/>
      <c r="I168" s="43"/>
      <c r="J168" s="43"/>
      <c r="K168" s="43"/>
      <c r="L168" s="43"/>
      <c r="M168" s="43"/>
      <c r="N168" s="43"/>
    </row>
    <row r="169" spans="1:21" x14ac:dyDescent="0.2">
      <c r="B169" s="42" t="s">
        <v>155</v>
      </c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</row>
    <row r="170" spans="1:21" x14ac:dyDescent="0.2">
      <c r="A170" s="39">
        <f>A167+1</f>
        <v>2</v>
      </c>
      <c r="B170" s="39" t="s">
        <v>141</v>
      </c>
      <c r="D170" s="43">
        <f t="shared" ref="D170:Q170" si="73">D8-D96</f>
        <v>0</v>
      </c>
      <c r="E170" s="43">
        <f t="shared" si="73"/>
        <v>0</v>
      </c>
      <c r="F170" s="112">
        <f t="shared" si="73"/>
        <v>0</v>
      </c>
      <c r="G170" s="112">
        <f t="shared" si="73"/>
        <v>0</v>
      </c>
      <c r="H170" s="112">
        <f t="shared" si="73"/>
        <v>0</v>
      </c>
      <c r="I170" s="112">
        <f t="shared" si="73"/>
        <v>0</v>
      </c>
      <c r="J170" s="112">
        <f t="shared" si="73"/>
        <v>0</v>
      </c>
      <c r="K170" s="112">
        <f t="shared" si="73"/>
        <v>-3537.0999999996275</v>
      </c>
      <c r="L170" s="112">
        <f t="shared" si="73"/>
        <v>-6878.9000000003725</v>
      </c>
      <c r="M170" s="112">
        <f t="shared" si="73"/>
        <v>-7796.5</v>
      </c>
      <c r="N170" s="112">
        <f t="shared" si="73"/>
        <v>-8913.7999999998137</v>
      </c>
      <c r="O170" s="112">
        <f t="shared" si="73"/>
        <v>0</v>
      </c>
      <c r="P170" s="112">
        <f t="shared" si="73"/>
        <v>-10416</v>
      </c>
      <c r="Q170" s="112">
        <f t="shared" si="73"/>
        <v>-16710.299999998882</v>
      </c>
    </row>
    <row r="171" spans="1:21" x14ac:dyDescent="0.2">
      <c r="A171" s="39">
        <f>A170+1</f>
        <v>3</v>
      </c>
      <c r="B171" s="42" t="s">
        <v>299</v>
      </c>
      <c r="D171" s="43"/>
      <c r="E171" s="43"/>
      <c r="F171" s="112"/>
      <c r="G171" s="112">
        <f t="shared" ref="G171:Q171" si="74">G9-G97</f>
        <v>0</v>
      </c>
      <c r="H171" s="112">
        <f t="shared" si="74"/>
        <v>0</v>
      </c>
      <c r="I171" s="112">
        <f t="shared" si="74"/>
        <v>0</v>
      </c>
      <c r="J171" s="112">
        <f t="shared" si="74"/>
        <v>0</v>
      </c>
      <c r="K171" s="112">
        <f t="shared" si="74"/>
        <v>0</v>
      </c>
      <c r="L171" s="112">
        <f t="shared" si="74"/>
        <v>0</v>
      </c>
      <c r="M171" s="112">
        <f t="shared" si="74"/>
        <v>0</v>
      </c>
      <c r="N171" s="112">
        <f t="shared" si="74"/>
        <v>0</v>
      </c>
      <c r="O171" s="112">
        <f t="shared" si="74"/>
        <v>0</v>
      </c>
      <c r="P171" s="112">
        <f t="shared" si="74"/>
        <v>0</v>
      </c>
      <c r="Q171" s="112">
        <f t="shared" si="74"/>
        <v>0</v>
      </c>
    </row>
    <row r="172" spans="1:21" x14ac:dyDescent="0.2">
      <c r="A172" s="39">
        <f>A171+1</f>
        <v>4</v>
      </c>
      <c r="B172" s="42" t="s">
        <v>167</v>
      </c>
      <c r="C172" s="42"/>
      <c r="D172" s="43">
        <f t="shared" ref="D172:F173" si="75">D10-D98</f>
        <v>0</v>
      </c>
      <c r="E172" s="43">
        <f t="shared" si="75"/>
        <v>0</v>
      </c>
      <c r="F172" s="112">
        <f t="shared" si="75"/>
        <v>0</v>
      </c>
      <c r="G172" s="112">
        <f t="shared" ref="G172:Q172" si="76">G10-G98</f>
        <v>0</v>
      </c>
      <c r="H172" s="112">
        <f t="shared" si="76"/>
        <v>0</v>
      </c>
      <c r="I172" s="112">
        <f t="shared" si="76"/>
        <v>0</v>
      </c>
      <c r="J172" s="112">
        <f t="shared" si="76"/>
        <v>0</v>
      </c>
      <c r="K172" s="112">
        <f t="shared" si="76"/>
        <v>-8.8999999999996362</v>
      </c>
      <c r="L172" s="112">
        <f t="shared" si="76"/>
        <v>-16.099999999998545</v>
      </c>
      <c r="M172" s="112">
        <f t="shared" si="76"/>
        <v>-18.299999999999272</v>
      </c>
      <c r="N172" s="112">
        <f t="shared" si="76"/>
        <v>-20.899999999999636</v>
      </c>
      <c r="O172" s="112">
        <f t="shared" si="76"/>
        <v>0</v>
      </c>
      <c r="P172" s="112">
        <f t="shared" si="76"/>
        <v>-25</v>
      </c>
      <c r="Q172" s="112">
        <f t="shared" si="76"/>
        <v>-39.19999999999709</v>
      </c>
    </row>
    <row r="173" spans="1:21" x14ac:dyDescent="0.2">
      <c r="A173" s="39">
        <f>A172+1</f>
        <v>5</v>
      </c>
      <c r="B173" s="39" t="s">
        <v>142</v>
      </c>
      <c r="D173" s="43">
        <f t="shared" si="75"/>
        <v>0</v>
      </c>
      <c r="E173" s="43">
        <f t="shared" si="75"/>
        <v>0</v>
      </c>
      <c r="F173" s="112">
        <f t="shared" si="75"/>
        <v>0</v>
      </c>
      <c r="G173" s="112">
        <f t="shared" ref="G173:Q173" si="77">G11-G99</f>
        <v>0</v>
      </c>
      <c r="H173" s="112">
        <f t="shared" si="77"/>
        <v>0</v>
      </c>
      <c r="I173" s="112">
        <f t="shared" si="77"/>
        <v>0</v>
      </c>
      <c r="J173" s="112">
        <f t="shared" si="77"/>
        <v>0</v>
      </c>
      <c r="K173" s="112">
        <f t="shared" si="77"/>
        <v>-189.59999999999854</v>
      </c>
      <c r="L173" s="112">
        <f t="shared" si="77"/>
        <v>-153.30000000000291</v>
      </c>
      <c r="M173" s="112">
        <f t="shared" si="77"/>
        <v>-133.20000000001164</v>
      </c>
      <c r="N173" s="112">
        <f t="shared" si="77"/>
        <v>-134.19999999999709</v>
      </c>
      <c r="O173" s="112">
        <f t="shared" si="77"/>
        <v>0</v>
      </c>
      <c r="P173" s="112">
        <f t="shared" si="77"/>
        <v>-342.89999999999418</v>
      </c>
      <c r="Q173" s="112">
        <f t="shared" si="77"/>
        <v>-267.39999999999418</v>
      </c>
    </row>
    <row r="174" spans="1:21" x14ac:dyDescent="0.2">
      <c r="B174" s="42" t="s">
        <v>171</v>
      </c>
      <c r="D174" s="43"/>
      <c r="E174" s="43"/>
      <c r="F174" s="112"/>
      <c r="G174" s="112"/>
      <c r="H174" s="112"/>
      <c r="I174" s="112"/>
      <c r="J174" s="112"/>
      <c r="K174" s="112"/>
      <c r="L174" s="112"/>
      <c r="M174" s="112"/>
      <c r="N174" s="112"/>
    </row>
    <row r="175" spans="1:21" x14ac:dyDescent="0.2">
      <c r="A175" s="39">
        <f>A173+1</f>
        <v>6</v>
      </c>
      <c r="C175" s="39" t="s">
        <v>143</v>
      </c>
      <c r="D175" s="43">
        <f t="shared" ref="D175:Q175" si="78">D13-D101</f>
        <v>0</v>
      </c>
      <c r="E175" s="43">
        <f t="shared" si="78"/>
        <v>0</v>
      </c>
      <c r="F175" s="112">
        <f t="shared" si="78"/>
        <v>0</v>
      </c>
      <c r="G175" s="112">
        <f t="shared" si="78"/>
        <v>0</v>
      </c>
      <c r="H175" s="112">
        <f t="shared" si="78"/>
        <v>0</v>
      </c>
      <c r="I175" s="112">
        <f t="shared" si="78"/>
        <v>0</v>
      </c>
      <c r="J175" s="112">
        <f t="shared" si="78"/>
        <v>0</v>
      </c>
      <c r="K175" s="112">
        <f t="shared" si="78"/>
        <v>-14.799999999988358</v>
      </c>
      <c r="L175" s="112">
        <f t="shared" si="78"/>
        <v>2.7000000000116415</v>
      </c>
      <c r="M175" s="112">
        <f t="shared" si="78"/>
        <v>-4750.0999999999767</v>
      </c>
      <c r="N175" s="112">
        <f t="shared" si="78"/>
        <v>-4454.8999999999651</v>
      </c>
      <c r="O175" s="112">
        <f t="shared" si="78"/>
        <v>0</v>
      </c>
      <c r="P175" s="112">
        <f t="shared" si="78"/>
        <v>-12.100000000093132</v>
      </c>
      <c r="Q175" s="112">
        <f t="shared" si="78"/>
        <v>-9204.9999999998836</v>
      </c>
    </row>
    <row r="176" spans="1:21" x14ac:dyDescent="0.2">
      <c r="A176" s="39">
        <f t="shared" ref="A176:A187" si="79">A175+1</f>
        <v>7</v>
      </c>
      <c r="C176" s="39" t="s">
        <v>144</v>
      </c>
      <c r="D176" s="43">
        <f t="shared" ref="D176:Q176" si="80">D14-D102</f>
        <v>0</v>
      </c>
      <c r="E176" s="43">
        <f t="shared" si="80"/>
        <v>0</v>
      </c>
      <c r="F176" s="112">
        <f t="shared" si="80"/>
        <v>0</v>
      </c>
      <c r="G176" s="112">
        <f t="shared" si="80"/>
        <v>0</v>
      </c>
      <c r="H176" s="112">
        <f t="shared" si="80"/>
        <v>0</v>
      </c>
      <c r="I176" s="112">
        <f t="shared" si="80"/>
        <v>0</v>
      </c>
      <c r="J176" s="112">
        <f t="shared" si="80"/>
        <v>0</v>
      </c>
      <c r="K176" s="112">
        <f t="shared" si="80"/>
        <v>-4.5</v>
      </c>
      <c r="L176" s="112">
        <f t="shared" si="80"/>
        <v>-54.700000000000728</v>
      </c>
      <c r="M176" s="112">
        <f t="shared" si="80"/>
        <v>-53.69999999999709</v>
      </c>
      <c r="N176" s="112">
        <f t="shared" si="80"/>
        <v>-55.5</v>
      </c>
      <c r="O176" s="112">
        <f t="shared" si="80"/>
        <v>0</v>
      </c>
      <c r="P176" s="112">
        <f t="shared" si="80"/>
        <v>-59.19999999999709</v>
      </c>
      <c r="Q176" s="112">
        <f t="shared" si="80"/>
        <v>-109.19999999999709</v>
      </c>
    </row>
    <row r="177" spans="1:17" x14ac:dyDescent="0.2">
      <c r="A177" s="39">
        <f t="shared" si="79"/>
        <v>8</v>
      </c>
      <c r="B177" s="42"/>
      <c r="C177" s="42" t="s">
        <v>170</v>
      </c>
      <c r="D177" s="43">
        <f t="shared" ref="D177:Q177" si="81">D15-D103</f>
        <v>0</v>
      </c>
      <c r="E177" s="43">
        <f t="shared" si="81"/>
        <v>0</v>
      </c>
      <c r="F177" s="112">
        <f t="shared" si="81"/>
        <v>0</v>
      </c>
      <c r="G177" s="112">
        <f t="shared" si="81"/>
        <v>0</v>
      </c>
      <c r="H177" s="112">
        <f t="shared" si="81"/>
        <v>0</v>
      </c>
      <c r="I177" s="112">
        <f t="shared" si="81"/>
        <v>0</v>
      </c>
      <c r="J177" s="112">
        <f t="shared" si="81"/>
        <v>0</v>
      </c>
      <c r="K177" s="112">
        <f t="shared" si="81"/>
        <v>1.6999999999989086</v>
      </c>
      <c r="L177" s="112">
        <f t="shared" si="81"/>
        <v>-11</v>
      </c>
      <c r="M177" s="112">
        <f t="shared" si="81"/>
        <v>-14.200000000000728</v>
      </c>
      <c r="N177" s="112">
        <f t="shared" si="81"/>
        <v>-19.899999999999636</v>
      </c>
      <c r="O177" s="112">
        <f t="shared" si="81"/>
        <v>0</v>
      </c>
      <c r="P177" s="112">
        <f t="shared" si="81"/>
        <v>-9.2999999999992724</v>
      </c>
      <c r="Q177" s="112">
        <f t="shared" si="81"/>
        <v>-34.099999999998545</v>
      </c>
    </row>
    <row r="178" spans="1:17" x14ac:dyDescent="0.2">
      <c r="A178" s="39">
        <f t="shared" si="79"/>
        <v>9</v>
      </c>
      <c r="B178" s="39" t="s">
        <v>145</v>
      </c>
      <c r="D178" s="43">
        <f t="shared" ref="D178:Q178" si="82">D16-D104</f>
        <v>0</v>
      </c>
      <c r="E178" s="43">
        <f t="shared" si="82"/>
        <v>0</v>
      </c>
      <c r="F178" s="112">
        <f t="shared" si="82"/>
        <v>0</v>
      </c>
      <c r="G178" s="112">
        <f t="shared" si="82"/>
        <v>0</v>
      </c>
      <c r="H178" s="112">
        <f t="shared" si="82"/>
        <v>0</v>
      </c>
      <c r="I178" s="112">
        <f t="shared" si="82"/>
        <v>0</v>
      </c>
      <c r="J178" s="112">
        <f t="shared" si="82"/>
        <v>0</v>
      </c>
      <c r="K178" s="112">
        <f t="shared" si="82"/>
        <v>0.7999999999992724</v>
      </c>
      <c r="L178" s="112">
        <f t="shared" si="82"/>
        <v>60.900000000001455</v>
      </c>
      <c r="M178" s="112">
        <f t="shared" si="82"/>
        <v>8.5</v>
      </c>
      <c r="N178" s="112">
        <f t="shared" si="82"/>
        <v>1.7999999999992724</v>
      </c>
      <c r="O178" s="112">
        <f t="shared" si="82"/>
        <v>0</v>
      </c>
      <c r="P178" s="112">
        <f t="shared" si="82"/>
        <v>61.700000000004366</v>
      </c>
      <c r="Q178" s="112">
        <f t="shared" si="82"/>
        <v>10.30000000000291</v>
      </c>
    </row>
    <row r="179" spans="1:17" x14ac:dyDescent="0.2">
      <c r="A179" s="39">
        <f t="shared" si="79"/>
        <v>10</v>
      </c>
      <c r="B179" s="39" t="s">
        <v>146</v>
      </c>
      <c r="D179" s="43">
        <f t="shared" ref="D179:Q179" si="83">D17-D105</f>
        <v>0</v>
      </c>
      <c r="E179" s="43">
        <f t="shared" si="83"/>
        <v>0</v>
      </c>
      <c r="F179" s="112">
        <f t="shared" si="83"/>
        <v>0</v>
      </c>
      <c r="G179" s="112">
        <f t="shared" si="83"/>
        <v>0</v>
      </c>
      <c r="H179" s="112">
        <f t="shared" si="83"/>
        <v>0</v>
      </c>
      <c r="I179" s="112">
        <f t="shared" si="83"/>
        <v>0</v>
      </c>
      <c r="J179" s="112">
        <f t="shared" si="83"/>
        <v>0</v>
      </c>
      <c r="K179" s="112">
        <f t="shared" si="83"/>
        <v>-53.5</v>
      </c>
      <c r="L179" s="112">
        <f t="shared" si="83"/>
        <v>60.900000000001455</v>
      </c>
      <c r="M179" s="112">
        <f t="shared" si="83"/>
        <v>129.69999999999709</v>
      </c>
      <c r="N179" s="112">
        <f t="shared" si="83"/>
        <v>129.29999999999563</v>
      </c>
      <c r="O179" s="112">
        <f t="shared" si="83"/>
        <v>0</v>
      </c>
      <c r="P179" s="112">
        <f t="shared" si="83"/>
        <v>7.4000000000087311</v>
      </c>
      <c r="Q179" s="112">
        <f t="shared" si="83"/>
        <v>258.99999999998545</v>
      </c>
    </row>
    <row r="180" spans="1:17" x14ac:dyDescent="0.2">
      <c r="A180" s="39">
        <f t="shared" si="79"/>
        <v>11</v>
      </c>
      <c r="B180" s="39" t="s">
        <v>148</v>
      </c>
      <c r="D180" s="43">
        <f t="shared" ref="D180:Q180" si="84">D18-D106</f>
        <v>0</v>
      </c>
      <c r="E180" s="43">
        <f t="shared" si="84"/>
        <v>0</v>
      </c>
      <c r="F180" s="112">
        <f t="shared" si="84"/>
        <v>0</v>
      </c>
      <c r="G180" s="112">
        <f t="shared" si="84"/>
        <v>0</v>
      </c>
      <c r="H180" s="112">
        <f t="shared" si="84"/>
        <v>0</v>
      </c>
      <c r="I180" s="112">
        <f t="shared" si="84"/>
        <v>0</v>
      </c>
      <c r="J180" s="112">
        <f t="shared" si="84"/>
        <v>0</v>
      </c>
      <c r="K180" s="112">
        <f t="shared" si="84"/>
        <v>-0.20000000000004547</v>
      </c>
      <c r="L180" s="112">
        <f t="shared" si="84"/>
        <v>0.80000000000001137</v>
      </c>
      <c r="M180" s="112">
        <f t="shared" si="84"/>
        <v>1.5</v>
      </c>
      <c r="N180" s="112">
        <f t="shared" si="84"/>
        <v>1.5</v>
      </c>
      <c r="O180" s="112">
        <f t="shared" si="84"/>
        <v>0</v>
      </c>
      <c r="P180" s="112">
        <f t="shared" si="84"/>
        <v>0.59999999999990905</v>
      </c>
      <c r="Q180" s="112">
        <f t="shared" si="84"/>
        <v>3</v>
      </c>
    </row>
    <row r="181" spans="1:17" x14ac:dyDescent="0.2">
      <c r="A181" s="39">
        <f t="shared" si="79"/>
        <v>12</v>
      </c>
      <c r="B181" s="42" t="s">
        <v>244</v>
      </c>
      <c r="D181" s="43">
        <f t="shared" ref="D181:Q181" si="85">D19-D107</f>
        <v>0</v>
      </c>
      <c r="E181" s="43">
        <f t="shared" si="85"/>
        <v>0</v>
      </c>
      <c r="F181" s="112">
        <f t="shared" si="85"/>
        <v>0</v>
      </c>
      <c r="G181" s="112">
        <f t="shared" si="85"/>
        <v>0</v>
      </c>
      <c r="H181" s="112">
        <f t="shared" si="85"/>
        <v>0</v>
      </c>
      <c r="I181" s="112">
        <f t="shared" si="85"/>
        <v>0</v>
      </c>
      <c r="J181" s="112">
        <f t="shared" si="85"/>
        <v>0</v>
      </c>
      <c r="K181" s="112">
        <f t="shared" si="85"/>
        <v>-1.4000000000000909</v>
      </c>
      <c r="L181" s="112">
        <f t="shared" si="85"/>
        <v>0</v>
      </c>
      <c r="M181" s="112">
        <f t="shared" si="85"/>
        <v>0</v>
      </c>
      <c r="N181" s="112">
        <f t="shared" si="85"/>
        <v>0</v>
      </c>
      <c r="O181" s="112">
        <f t="shared" si="85"/>
        <v>0</v>
      </c>
      <c r="P181" s="112">
        <f t="shared" si="85"/>
        <v>-1.4000000000000909</v>
      </c>
      <c r="Q181" s="112">
        <f t="shared" si="85"/>
        <v>0</v>
      </c>
    </row>
    <row r="182" spans="1:17" x14ac:dyDescent="0.2">
      <c r="A182" s="39">
        <f t="shared" si="79"/>
        <v>13</v>
      </c>
      <c r="B182" s="42" t="s">
        <v>360</v>
      </c>
      <c r="D182" s="43"/>
      <c r="E182" s="43"/>
      <c r="F182" s="112"/>
      <c r="G182" s="112"/>
      <c r="H182" s="112">
        <v>0</v>
      </c>
      <c r="I182" s="112">
        <v>0</v>
      </c>
      <c r="J182" s="112">
        <v>0</v>
      </c>
      <c r="K182" s="112">
        <f t="shared" ref="K182:K187" si="86">K20-K108</f>
        <v>0</v>
      </c>
      <c r="L182" s="112">
        <v>0</v>
      </c>
      <c r="M182" s="112">
        <v>0</v>
      </c>
      <c r="N182" s="112">
        <v>0</v>
      </c>
      <c r="O182" s="112">
        <f>O20</f>
        <v>0</v>
      </c>
      <c r="P182" s="112">
        <f>P20</f>
        <v>-500000</v>
      </c>
      <c r="Q182" s="112">
        <f>Q20</f>
        <v>0</v>
      </c>
    </row>
    <row r="183" spans="1:17" x14ac:dyDescent="0.2">
      <c r="A183" s="39">
        <f t="shared" si="79"/>
        <v>14</v>
      </c>
      <c r="B183" s="39" t="s">
        <v>147</v>
      </c>
      <c r="D183" s="43">
        <f t="shared" ref="D183:J187" si="87">D21-D109</f>
        <v>0</v>
      </c>
      <c r="E183" s="43">
        <f t="shared" si="87"/>
        <v>0</v>
      </c>
      <c r="F183" s="112">
        <f t="shared" si="87"/>
        <v>0</v>
      </c>
      <c r="G183" s="112">
        <f t="shared" si="87"/>
        <v>0</v>
      </c>
      <c r="H183" s="112">
        <f t="shared" si="87"/>
        <v>0</v>
      </c>
      <c r="I183" s="112">
        <f t="shared" si="87"/>
        <v>0</v>
      </c>
      <c r="J183" s="112">
        <f t="shared" si="87"/>
        <v>0</v>
      </c>
      <c r="K183" s="112">
        <f t="shared" si="86"/>
        <v>-147.10000000000582</v>
      </c>
      <c r="L183" s="112">
        <f t="shared" ref="L183:Q187" si="88">L21-L109</f>
        <v>-271.29999999998836</v>
      </c>
      <c r="M183" s="112">
        <f t="shared" si="88"/>
        <v>-311.60000000000582</v>
      </c>
      <c r="N183" s="112">
        <f t="shared" si="88"/>
        <v>-360.70000000001164</v>
      </c>
      <c r="O183" s="112">
        <f t="shared" si="88"/>
        <v>0</v>
      </c>
      <c r="P183" s="112">
        <f t="shared" si="88"/>
        <v>-418.40000000002328</v>
      </c>
      <c r="Q183" s="112">
        <f t="shared" si="88"/>
        <v>-672.29999999998836</v>
      </c>
    </row>
    <row r="184" spans="1:17" x14ac:dyDescent="0.2">
      <c r="A184" s="39">
        <f t="shared" si="79"/>
        <v>15</v>
      </c>
      <c r="B184" s="39" t="s">
        <v>149</v>
      </c>
      <c r="D184" s="43">
        <f t="shared" si="87"/>
        <v>0</v>
      </c>
      <c r="E184" s="43">
        <f t="shared" si="87"/>
        <v>0</v>
      </c>
      <c r="F184" s="112">
        <f t="shared" si="87"/>
        <v>0</v>
      </c>
      <c r="G184" s="112">
        <f t="shared" si="87"/>
        <v>0</v>
      </c>
      <c r="H184" s="112">
        <f t="shared" si="87"/>
        <v>0</v>
      </c>
      <c r="I184" s="112">
        <f t="shared" si="87"/>
        <v>0</v>
      </c>
      <c r="J184" s="112">
        <f t="shared" si="87"/>
        <v>0</v>
      </c>
      <c r="K184" s="112">
        <f t="shared" si="86"/>
        <v>-78.399999999994179</v>
      </c>
      <c r="L184" s="112">
        <f t="shared" si="88"/>
        <v>-55.5</v>
      </c>
      <c r="M184" s="112">
        <f t="shared" si="88"/>
        <v>-636.80000000000291</v>
      </c>
      <c r="N184" s="112">
        <f t="shared" si="88"/>
        <v>-304.10000000000582</v>
      </c>
      <c r="O184" s="112">
        <f t="shared" si="88"/>
        <v>0</v>
      </c>
      <c r="P184" s="112">
        <f t="shared" si="88"/>
        <v>-133.90000000002328</v>
      </c>
      <c r="Q184" s="112">
        <f t="shared" si="88"/>
        <v>-940.89999999999418</v>
      </c>
    </row>
    <row r="185" spans="1:17" x14ac:dyDescent="0.2">
      <c r="A185" s="39">
        <f t="shared" si="79"/>
        <v>16</v>
      </c>
      <c r="B185" s="42" t="s">
        <v>173</v>
      </c>
      <c r="D185" s="43">
        <f t="shared" si="87"/>
        <v>0</v>
      </c>
      <c r="E185" s="43">
        <f t="shared" si="87"/>
        <v>0</v>
      </c>
      <c r="F185" s="112">
        <f t="shared" si="87"/>
        <v>0</v>
      </c>
      <c r="G185" s="112">
        <f t="shared" si="87"/>
        <v>0</v>
      </c>
      <c r="H185" s="112">
        <f t="shared" si="87"/>
        <v>0</v>
      </c>
      <c r="I185" s="112">
        <f t="shared" si="87"/>
        <v>0</v>
      </c>
      <c r="J185" s="112">
        <f t="shared" si="87"/>
        <v>0</v>
      </c>
      <c r="K185" s="112">
        <f t="shared" si="86"/>
        <v>-21</v>
      </c>
      <c r="L185" s="112">
        <f t="shared" si="88"/>
        <v>-15.5</v>
      </c>
      <c r="M185" s="112">
        <f t="shared" si="88"/>
        <v>-20.799999999999272</v>
      </c>
      <c r="N185" s="112">
        <f t="shared" si="88"/>
        <v>-123.10000000000218</v>
      </c>
      <c r="O185" s="112">
        <f t="shared" si="88"/>
        <v>0</v>
      </c>
      <c r="P185" s="112">
        <f t="shared" si="88"/>
        <v>-36.5</v>
      </c>
      <c r="Q185" s="112">
        <f t="shared" si="88"/>
        <v>-143.89999999999418</v>
      </c>
    </row>
    <row r="186" spans="1:17" x14ac:dyDescent="0.2">
      <c r="A186" s="39">
        <f t="shared" si="79"/>
        <v>17</v>
      </c>
      <c r="B186" s="42" t="s">
        <v>168</v>
      </c>
      <c r="C186" s="42"/>
      <c r="D186" s="43">
        <f t="shared" si="87"/>
        <v>0</v>
      </c>
      <c r="E186" s="43">
        <f t="shared" si="87"/>
        <v>0</v>
      </c>
      <c r="F186" s="112">
        <f t="shared" si="87"/>
        <v>0</v>
      </c>
      <c r="G186" s="112">
        <f t="shared" si="87"/>
        <v>0</v>
      </c>
      <c r="H186" s="112">
        <f t="shared" si="87"/>
        <v>0</v>
      </c>
      <c r="I186" s="112">
        <f t="shared" si="87"/>
        <v>0</v>
      </c>
      <c r="J186" s="112">
        <f t="shared" si="87"/>
        <v>0</v>
      </c>
      <c r="K186" s="112">
        <f t="shared" si="86"/>
        <v>-1.6999999999970896</v>
      </c>
      <c r="L186" s="112">
        <f t="shared" si="88"/>
        <v>-1812.0999999999985</v>
      </c>
      <c r="M186" s="112">
        <f t="shared" si="88"/>
        <v>-834</v>
      </c>
      <c r="N186" s="112">
        <f t="shared" si="88"/>
        <v>-739.5</v>
      </c>
      <c r="O186" s="112">
        <f t="shared" si="88"/>
        <v>0</v>
      </c>
      <c r="P186" s="112">
        <f t="shared" si="88"/>
        <v>-1813.8000000000029</v>
      </c>
      <c r="Q186" s="112">
        <f t="shared" si="88"/>
        <v>-1573.5</v>
      </c>
    </row>
    <row r="187" spans="1:17" x14ac:dyDescent="0.2">
      <c r="A187" s="39">
        <f t="shared" si="79"/>
        <v>18</v>
      </c>
      <c r="B187" s="39" t="s">
        <v>150</v>
      </c>
      <c r="D187" s="43">
        <f t="shared" si="87"/>
        <v>0</v>
      </c>
      <c r="E187" s="43">
        <f t="shared" si="87"/>
        <v>0</v>
      </c>
      <c r="F187" s="112">
        <f t="shared" si="87"/>
        <v>0</v>
      </c>
      <c r="G187" s="112">
        <f t="shared" si="87"/>
        <v>0</v>
      </c>
      <c r="H187" s="112">
        <f t="shared" si="87"/>
        <v>0</v>
      </c>
      <c r="I187" s="112">
        <f t="shared" si="87"/>
        <v>0</v>
      </c>
      <c r="J187" s="112">
        <f t="shared" si="87"/>
        <v>0</v>
      </c>
      <c r="K187" s="112">
        <f t="shared" si="86"/>
        <v>-570.90000000002328</v>
      </c>
      <c r="L187" s="112">
        <f t="shared" si="88"/>
        <v>-562.5</v>
      </c>
      <c r="M187" s="112">
        <f t="shared" si="88"/>
        <v>-73</v>
      </c>
      <c r="N187" s="112">
        <f t="shared" si="88"/>
        <v>13.300000000046566</v>
      </c>
      <c r="O187" s="112">
        <f t="shared" si="88"/>
        <v>0</v>
      </c>
      <c r="P187" s="112">
        <f t="shared" si="88"/>
        <v>-1133.4000000001397</v>
      </c>
      <c r="Q187" s="112">
        <f t="shared" si="88"/>
        <v>-59.700000000186265</v>
      </c>
    </row>
    <row r="188" spans="1:17" x14ac:dyDescent="0.2">
      <c r="B188" s="42" t="s">
        <v>172</v>
      </c>
      <c r="D188" s="43"/>
      <c r="E188" s="43"/>
      <c r="F188" s="112"/>
      <c r="G188" s="112"/>
      <c r="H188" s="112"/>
      <c r="I188" s="112"/>
      <c r="J188" s="112"/>
      <c r="K188" s="112"/>
      <c r="L188" s="112"/>
      <c r="M188" s="112"/>
      <c r="N188" s="112"/>
    </row>
    <row r="189" spans="1:17" x14ac:dyDescent="0.2">
      <c r="A189" s="39">
        <f>A187+1</f>
        <v>19</v>
      </c>
      <c r="B189" s="42"/>
      <c r="C189" s="42" t="s">
        <v>268</v>
      </c>
      <c r="D189" s="43">
        <f t="shared" ref="D189:Q189" si="89">D28-D115</f>
        <v>0</v>
      </c>
      <c r="E189" s="43">
        <f t="shared" si="89"/>
        <v>0</v>
      </c>
      <c r="F189" s="112">
        <f t="shared" si="89"/>
        <v>1088873.94</v>
      </c>
      <c r="G189" s="112">
        <f t="shared" si="89"/>
        <v>0</v>
      </c>
      <c r="H189" s="112">
        <f t="shared" si="89"/>
        <v>0</v>
      </c>
      <c r="I189" s="112">
        <f t="shared" si="89"/>
        <v>0</v>
      </c>
      <c r="J189" s="112">
        <f t="shared" si="89"/>
        <v>0</v>
      </c>
      <c r="K189" s="112">
        <f t="shared" si="89"/>
        <v>-70.800000000000068</v>
      </c>
      <c r="L189" s="112">
        <f t="shared" si="89"/>
        <v>-108.39999999999998</v>
      </c>
      <c r="M189" s="112">
        <f t="shared" si="89"/>
        <v>-204.5</v>
      </c>
      <c r="N189" s="112">
        <f t="shared" si="89"/>
        <v>-187.4</v>
      </c>
      <c r="O189" s="112">
        <f t="shared" si="89"/>
        <v>0</v>
      </c>
      <c r="P189" s="112">
        <f t="shared" si="89"/>
        <v>-179.20000000000005</v>
      </c>
      <c r="Q189" s="112">
        <f t="shared" si="89"/>
        <v>-391.9</v>
      </c>
    </row>
    <row r="190" spans="1:17" x14ac:dyDescent="0.2">
      <c r="A190" s="39">
        <f>A189+1</f>
        <v>20</v>
      </c>
      <c r="B190" s="42"/>
      <c r="C190" s="42"/>
      <c r="D190" s="43">
        <f t="shared" ref="D190:Q190" si="90">D29-D116</f>
        <v>0</v>
      </c>
      <c r="E190" s="43">
        <f t="shared" si="90"/>
        <v>0</v>
      </c>
      <c r="F190" s="112">
        <f t="shared" si="90"/>
        <v>0</v>
      </c>
      <c r="G190" s="112">
        <f t="shared" si="90"/>
        <v>0</v>
      </c>
      <c r="H190" s="112">
        <f t="shared" si="90"/>
        <v>0</v>
      </c>
      <c r="I190" s="112">
        <f t="shared" si="90"/>
        <v>0</v>
      </c>
      <c r="J190" s="112">
        <f t="shared" si="90"/>
        <v>0</v>
      </c>
      <c r="K190" s="112">
        <f t="shared" si="90"/>
        <v>0</v>
      </c>
      <c r="L190" s="112">
        <f t="shared" si="90"/>
        <v>0</v>
      </c>
      <c r="M190" s="112">
        <f t="shared" si="90"/>
        <v>0</v>
      </c>
      <c r="N190" s="112">
        <f t="shared" si="90"/>
        <v>0</v>
      </c>
      <c r="O190" s="112">
        <f t="shared" si="90"/>
        <v>0</v>
      </c>
      <c r="P190" s="112">
        <f t="shared" si="90"/>
        <v>0</v>
      </c>
      <c r="Q190" s="112">
        <f t="shared" si="90"/>
        <v>0</v>
      </c>
    </row>
    <row r="191" spans="1:17" x14ac:dyDescent="0.2">
      <c r="A191" s="39">
        <f>A190+1</f>
        <v>21</v>
      </c>
      <c r="B191" s="42"/>
      <c r="C191" s="42"/>
      <c r="D191" s="43">
        <f t="shared" ref="D191:Q191" si="91">D30-D117</f>
        <v>0</v>
      </c>
      <c r="E191" s="43">
        <f t="shared" si="91"/>
        <v>0</v>
      </c>
      <c r="F191" s="112">
        <f t="shared" si="91"/>
        <v>0</v>
      </c>
      <c r="G191" s="112">
        <f t="shared" si="91"/>
        <v>0</v>
      </c>
      <c r="H191" s="112">
        <f t="shared" si="91"/>
        <v>0</v>
      </c>
      <c r="I191" s="112">
        <f t="shared" si="91"/>
        <v>0</v>
      </c>
      <c r="J191" s="112">
        <f t="shared" si="91"/>
        <v>0</v>
      </c>
      <c r="K191" s="112">
        <f t="shared" si="91"/>
        <v>0</v>
      </c>
      <c r="L191" s="112">
        <f t="shared" si="91"/>
        <v>0</v>
      </c>
      <c r="M191" s="112">
        <f t="shared" si="91"/>
        <v>0</v>
      </c>
      <c r="N191" s="112">
        <f t="shared" si="91"/>
        <v>0</v>
      </c>
      <c r="O191" s="112">
        <f t="shared" si="91"/>
        <v>0</v>
      </c>
      <c r="P191" s="112">
        <f t="shared" si="91"/>
        <v>0</v>
      </c>
      <c r="Q191" s="112">
        <f t="shared" si="91"/>
        <v>0</v>
      </c>
    </row>
    <row r="192" spans="1:17" x14ac:dyDescent="0.2">
      <c r="A192" s="39">
        <f>A191+1</f>
        <v>22</v>
      </c>
      <c r="B192" s="42"/>
      <c r="C192" s="42"/>
      <c r="D192" s="43">
        <f t="shared" ref="D192:Q192" si="92">D31-D118</f>
        <v>0</v>
      </c>
      <c r="E192" s="43">
        <f t="shared" si="92"/>
        <v>0</v>
      </c>
      <c r="F192" s="112">
        <f t="shared" si="92"/>
        <v>0</v>
      </c>
      <c r="G192" s="112">
        <f t="shared" si="92"/>
        <v>0</v>
      </c>
      <c r="H192" s="112">
        <f t="shared" si="92"/>
        <v>0</v>
      </c>
      <c r="I192" s="112">
        <f t="shared" si="92"/>
        <v>0</v>
      </c>
      <c r="J192" s="112">
        <f t="shared" si="92"/>
        <v>0</v>
      </c>
      <c r="K192" s="112">
        <f t="shared" si="92"/>
        <v>0</v>
      </c>
      <c r="L192" s="112">
        <f t="shared" si="92"/>
        <v>0</v>
      </c>
      <c r="M192" s="112">
        <f t="shared" si="92"/>
        <v>0</v>
      </c>
      <c r="N192" s="112">
        <f t="shared" si="92"/>
        <v>0</v>
      </c>
      <c r="O192" s="112">
        <f t="shared" si="92"/>
        <v>0</v>
      </c>
      <c r="P192" s="112">
        <f t="shared" si="92"/>
        <v>0</v>
      </c>
      <c r="Q192" s="112">
        <f t="shared" si="92"/>
        <v>0</v>
      </c>
    </row>
    <row r="193" spans="1:17" x14ac:dyDescent="0.2">
      <c r="A193" s="39">
        <f>A192+1</f>
        <v>23</v>
      </c>
      <c r="B193" s="42"/>
      <c r="C193" s="42"/>
      <c r="D193" s="43">
        <f t="shared" ref="D193:Q193" si="93">D32-D119</f>
        <v>0</v>
      </c>
      <c r="E193" s="43">
        <f t="shared" si="93"/>
        <v>0</v>
      </c>
      <c r="F193" s="112">
        <f t="shared" si="93"/>
        <v>0</v>
      </c>
      <c r="G193" s="112">
        <f t="shared" si="93"/>
        <v>0</v>
      </c>
      <c r="H193" s="112">
        <f t="shared" si="93"/>
        <v>0</v>
      </c>
      <c r="I193" s="112">
        <f t="shared" si="93"/>
        <v>0</v>
      </c>
      <c r="J193" s="112">
        <f t="shared" si="93"/>
        <v>0</v>
      </c>
      <c r="K193" s="112">
        <f t="shared" si="93"/>
        <v>0</v>
      </c>
      <c r="L193" s="112">
        <f t="shared" si="93"/>
        <v>0</v>
      </c>
      <c r="M193" s="112">
        <f t="shared" si="93"/>
        <v>0</v>
      </c>
      <c r="N193" s="112">
        <f t="shared" si="93"/>
        <v>0</v>
      </c>
      <c r="O193" s="112">
        <f t="shared" si="93"/>
        <v>0</v>
      </c>
      <c r="P193" s="112">
        <f t="shared" si="93"/>
        <v>0</v>
      </c>
      <c r="Q193" s="112">
        <f t="shared" si="93"/>
        <v>0</v>
      </c>
    </row>
    <row r="194" spans="1:17" x14ac:dyDescent="0.2">
      <c r="D194" s="41"/>
      <c r="E194" s="41"/>
      <c r="F194" s="113"/>
      <c r="G194" s="113"/>
      <c r="H194" s="113"/>
      <c r="I194" s="113"/>
      <c r="J194" s="113"/>
      <c r="K194" s="113"/>
      <c r="L194" s="113"/>
      <c r="M194" s="113"/>
      <c r="N194" s="113"/>
    </row>
    <row r="195" spans="1:17" x14ac:dyDescent="0.2">
      <c r="A195" s="39">
        <f>A193+1</f>
        <v>24</v>
      </c>
      <c r="B195" s="42" t="s">
        <v>158</v>
      </c>
      <c r="D195" s="43">
        <f t="shared" ref="D195:Q195" si="94">D34-D121</f>
        <v>0</v>
      </c>
      <c r="E195" s="43">
        <f t="shared" si="94"/>
        <v>0</v>
      </c>
      <c r="F195" s="112">
        <f t="shared" si="94"/>
        <v>1088873.9399999995</v>
      </c>
      <c r="G195" s="112">
        <f t="shared" si="94"/>
        <v>0</v>
      </c>
      <c r="H195" s="112">
        <f t="shared" si="94"/>
        <v>0</v>
      </c>
      <c r="I195" s="112">
        <f t="shared" si="94"/>
        <v>0</v>
      </c>
      <c r="J195" s="112">
        <f t="shared" si="94"/>
        <v>0</v>
      </c>
      <c r="K195" s="112">
        <f t="shared" si="94"/>
        <v>-4697.3999999985099</v>
      </c>
      <c r="L195" s="112">
        <f t="shared" si="94"/>
        <v>-9813.9999999981374</v>
      </c>
      <c r="M195" s="112">
        <f t="shared" si="94"/>
        <v>-14706.999999999069</v>
      </c>
      <c r="N195" s="112">
        <f t="shared" si="94"/>
        <v>-15168.099999999627</v>
      </c>
      <c r="O195" s="112">
        <f t="shared" si="94"/>
        <v>0</v>
      </c>
      <c r="P195" s="112">
        <f t="shared" si="94"/>
        <v>-14511.399999996647</v>
      </c>
      <c r="Q195" s="112">
        <f t="shared" si="94"/>
        <v>-29875.099999997765</v>
      </c>
    </row>
    <row r="196" spans="1:17" x14ac:dyDescent="0.2">
      <c r="D196" s="41"/>
      <c r="E196" s="41"/>
      <c r="F196" s="113"/>
      <c r="G196" s="113"/>
      <c r="H196" s="113"/>
      <c r="I196" s="113"/>
      <c r="J196" s="113"/>
      <c r="K196" s="113"/>
      <c r="L196" s="113"/>
      <c r="M196" s="113"/>
      <c r="N196" s="113"/>
    </row>
    <row r="197" spans="1:17" x14ac:dyDescent="0.2">
      <c r="B197" s="42" t="s">
        <v>156</v>
      </c>
      <c r="C197" s="42"/>
      <c r="D197" s="41"/>
      <c r="E197" s="41"/>
      <c r="F197" s="113"/>
      <c r="G197" s="113"/>
      <c r="H197" s="113"/>
      <c r="I197" s="113"/>
      <c r="J197" s="113"/>
      <c r="K197" s="113"/>
      <c r="L197" s="113"/>
      <c r="M197" s="113"/>
      <c r="N197" s="113"/>
    </row>
    <row r="198" spans="1:17" x14ac:dyDescent="0.2">
      <c r="A198" s="39">
        <f>A195+1</f>
        <v>25</v>
      </c>
      <c r="B198" s="39" t="s">
        <v>153</v>
      </c>
      <c r="D198" s="43">
        <f t="shared" ref="D198:Q198" si="95">D37-D124</f>
        <v>0</v>
      </c>
      <c r="E198" s="43">
        <f t="shared" si="95"/>
        <v>0</v>
      </c>
      <c r="F198" s="112">
        <f t="shared" si="95"/>
        <v>0</v>
      </c>
      <c r="G198" s="112">
        <f t="shared" si="95"/>
        <v>0</v>
      </c>
      <c r="H198" s="112">
        <f t="shared" si="95"/>
        <v>0</v>
      </c>
      <c r="I198" s="112">
        <f t="shared" si="95"/>
        <v>0</v>
      </c>
      <c r="J198" s="112">
        <f t="shared" si="95"/>
        <v>0</v>
      </c>
      <c r="K198" s="112">
        <f t="shared" si="95"/>
        <v>-96.099999999991269</v>
      </c>
      <c r="L198" s="112">
        <f t="shared" si="95"/>
        <v>26.19999999999709</v>
      </c>
      <c r="M198" s="112">
        <f t="shared" si="95"/>
        <v>37.80000000000291</v>
      </c>
      <c r="N198" s="112">
        <f t="shared" si="95"/>
        <v>-3581.8000000000029</v>
      </c>
      <c r="O198" s="112">
        <f t="shared" si="95"/>
        <v>0</v>
      </c>
      <c r="P198" s="112">
        <f t="shared" si="95"/>
        <v>-69.899999999994179</v>
      </c>
      <c r="Q198" s="112">
        <f t="shared" si="95"/>
        <v>-3544</v>
      </c>
    </row>
    <row r="199" spans="1:17" x14ac:dyDescent="0.2">
      <c r="A199" s="39">
        <f>A198+1</f>
        <v>26</v>
      </c>
      <c r="B199" s="39" t="s">
        <v>152</v>
      </c>
      <c r="D199" s="43">
        <f t="shared" ref="D199:Q199" si="96">D38-D125</f>
        <v>0</v>
      </c>
      <c r="E199" s="43">
        <f t="shared" si="96"/>
        <v>0</v>
      </c>
      <c r="F199" s="112">
        <f t="shared" si="96"/>
        <v>0</v>
      </c>
      <c r="G199" s="112">
        <f t="shared" si="96"/>
        <v>0</v>
      </c>
      <c r="H199" s="112">
        <f t="shared" si="96"/>
        <v>0</v>
      </c>
      <c r="I199" s="112">
        <f t="shared" si="96"/>
        <v>0</v>
      </c>
      <c r="J199" s="112">
        <f t="shared" si="96"/>
        <v>0</v>
      </c>
      <c r="K199" s="112">
        <f t="shared" si="96"/>
        <v>-70.69999999999709</v>
      </c>
      <c r="L199" s="112">
        <f t="shared" si="96"/>
        <v>41.099999999991269</v>
      </c>
      <c r="M199" s="112">
        <f t="shared" si="96"/>
        <v>-426.30000000000291</v>
      </c>
      <c r="N199" s="112">
        <f t="shared" si="96"/>
        <v>-284.10000000000582</v>
      </c>
      <c r="O199" s="112">
        <f t="shared" si="96"/>
        <v>0</v>
      </c>
      <c r="P199" s="112">
        <f t="shared" si="96"/>
        <v>-29.600000000034925</v>
      </c>
      <c r="Q199" s="112">
        <f t="shared" si="96"/>
        <v>-710.40000000002328</v>
      </c>
    </row>
    <row r="200" spans="1:17" x14ac:dyDescent="0.2">
      <c r="A200" s="39">
        <f>A199+1</f>
        <v>27</v>
      </c>
      <c r="B200" s="42" t="s">
        <v>174</v>
      </c>
      <c r="D200" s="43">
        <f t="shared" ref="D200:Q200" si="97">D39-D126</f>
        <v>0</v>
      </c>
      <c r="E200" s="43">
        <f t="shared" si="97"/>
        <v>0</v>
      </c>
      <c r="F200" s="112">
        <f t="shared" si="97"/>
        <v>0</v>
      </c>
      <c r="G200" s="112">
        <f t="shared" si="97"/>
        <v>0</v>
      </c>
      <c r="H200" s="112">
        <f t="shared" si="97"/>
        <v>0</v>
      </c>
      <c r="I200" s="112">
        <f t="shared" si="97"/>
        <v>0</v>
      </c>
      <c r="J200" s="112">
        <f t="shared" si="97"/>
        <v>0</v>
      </c>
      <c r="K200" s="112">
        <f t="shared" si="97"/>
        <v>-27.700000000000728</v>
      </c>
      <c r="L200" s="112">
        <f t="shared" si="97"/>
        <v>24.099999999998545</v>
      </c>
      <c r="M200" s="112">
        <f t="shared" si="97"/>
        <v>25.69999999999709</v>
      </c>
      <c r="N200" s="112">
        <f t="shared" si="97"/>
        <v>-150.59999999999854</v>
      </c>
      <c r="O200" s="112">
        <f t="shared" si="97"/>
        <v>0</v>
      </c>
      <c r="P200" s="112">
        <f t="shared" si="97"/>
        <v>-3.6000000000058208</v>
      </c>
      <c r="Q200" s="112">
        <f t="shared" si="97"/>
        <v>-124.89999999999418</v>
      </c>
    </row>
    <row r="201" spans="1:17" x14ac:dyDescent="0.2">
      <c r="A201" s="39">
        <f>A200+1</f>
        <v>28</v>
      </c>
      <c r="B201" s="42" t="s">
        <v>168</v>
      </c>
      <c r="C201" s="42"/>
      <c r="D201" s="43">
        <f t="shared" ref="D201:Q201" si="98">D40-D127</f>
        <v>0</v>
      </c>
      <c r="E201" s="43">
        <f t="shared" si="98"/>
        <v>0</v>
      </c>
      <c r="F201" s="112">
        <f t="shared" si="98"/>
        <v>0</v>
      </c>
      <c r="G201" s="112">
        <f t="shared" si="98"/>
        <v>0</v>
      </c>
      <c r="H201" s="112">
        <f t="shared" si="98"/>
        <v>0</v>
      </c>
      <c r="I201" s="112">
        <f t="shared" si="98"/>
        <v>0</v>
      </c>
      <c r="J201" s="112">
        <f t="shared" si="98"/>
        <v>0</v>
      </c>
      <c r="K201" s="112">
        <f t="shared" si="98"/>
        <v>-1.2000000000007276</v>
      </c>
      <c r="L201" s="112">
        <f t="shared" si="98"/>
        <v>-606.09999999999854</v>
      </c>
      <c r="M201" s="112">
        <f t="shared" si="98"/>
        <v>-1008.6000000000022</v>
      </c>
      <c r="N201" s="112">
        <f t="shared" si="98"/>
        <v>-1248</v>
      </c>
      <c r="O201" s="112">
        <f t="shared" si="98"/>
        <v>0</v>
      </c>
      <c r="P201" s="112">
        <f t="shared" si="98"/>
        <v>-607.29999999999563</v>
      </c>
      <c r="Q201" s="112">
        <f t="shared" si="98"/>
        <v>-2256.5999999999985</v>
      </c>
    </row>
    <row r="202" spans="1:17" x14ac:dyDescent="0.2">
      <c r="A202" s="39">
        <f>A201+1</f>
        <v>29</v>
      </c>
      <c r="B202" s="39" t="s">
        <v>154</v>
      </c>
      <c r="D202" s="43">
        <f t="shared" ref="D202:Q202" si="99">D41-D128</f>
        <v>0</v>
      </c>
      <c r="E202" s="43">
        <f t="shared" si="99"/>
        <v>0</v>
      </c>
      <c r="F202" s="112">
        <f t="shared" si="99"/>
        <v>0</v>
      </c>
      <c r="G202" s="112">
        <f t="shared" si="99"/>
        <v>0</v>
      </c>
      <c r="H202" s="112">
        <f t="shared" si="99"/>
        <v>0</v>
      </c>
      <c r="I202" s="112">
        <f t="shared" si="99"/>
        <v>0</v>
      </c>
      <c r="J202" s="112">
        <f t="shared" si="99"/>
        <v>0</v>
      </c>
      <c r="K202" s="112">
        <f t="shared" si="99"/>
        <v>-512.60000000009313</v>
      </c>
      <c r="L202" s="112">
        <f t="shared" si="99"/>
        <v>-728.5</v>
      </c>
      <c r="M202" s="112">
        <f t="shared" si="99"/>
        <v>-108.40000000002328</v>
      </c>
      <c r="N202" s="112">
        <f t="shared" si="99"/>
        <v>-911.10000000009313</v>
      </c>
      <c r="O202" s="112">
        <f t="shared" si="99"/>
        <v>0</v>
      </c>
      <c r="P202" s="112">
        <f t="shared" si="99"/>
        <v>-1241.1000000000931</v>
      </c>
      <c r="Q202" s="112">
        <f t="shared" si="99"/>
        <v>-1019.5</v>
      </c>
    </row>
    <row r="203" spans="1:17" x14ac:dyDescent="0.2">
      <c r="D203" s="41"/>
      <c r="E203" s="41"/>
      <c r="F203" s="113"/>
      <c r="G203" s="113"/>
      <c r="H203" s="113"/>
      <c r="I203" s="113"/>
      <c r="J203" s="113"/>
      <c r="K203" s="113"/>
      <c r="L203" s="113"/>
      <c r="M203" s="113"/>
      <c r="N203" s="113"/>
    </row>
    <row r="204" spans="1:17" x14ac:dyDescent="0.2">
      <c r="A204" s="39">
        <f>A202+1</f>
        <v>30</v>
      </c>
      <c r="B204" s="42" t="s">
        <v>159</v>
      </c>
      <c r="C204" s="42"/>
      <c r="D204" s="43">
        <f t="shared" ref="D204:Q204" si="100">D43-D130</f>
        <v>0</v>
      </c>
      <c r="E204" s="43">
        <f t="shared" si="100"/>
        <v>0</v>
      </c>
      <c r="F204" s="112">
        <f t="shared" si="100"/>
        <v>0</v>
      </c>
      <c r="G204" s="112">
        <f t="shared" si="100"/>
        <v>0</v>
      </c>
      <c r="H204" s="112">
        <f t="shared" si="100"/>
        <v>0</v>
      </c>
      <c r="I204" s="112">
        <f t="shared" si="100"/>
        <v>0</v>
      </c>
      <c r="J204" s="112">
        <f t="shared" si="100"/>
        <v>0</v>
      </c>
      <c r="K204" s="112">
        <f t="shared" si="100"/>
        <v>-708.30000000004657</v>
      </c>
      <c r="L204" s="112">
        <f t="shared" si="100"/>
        <v>-1243.2000000000698</v>
      </c>
      <c r="M204" s="112">
        <f t="shared" si="100"/>
        <v>-1479.8000000000466</v>
      </c>
      <c r="N204" s="112">
        <f t="shared" si="100"/>
        <v>-6175.6000000000931</v>
      </c>
      <c r="O204" s="112">
        <f t="shared" si="100"/>
        <v>0</v>
      </c>
      <c r="P204" s="112">
        <f t="shared" si="100"/>
        <v>-1951.5000000002328</v>
      </c>
      <c r="Q204" s="112">
        <f t="shared" si="100"/>
        <v>-7655.4000000001397</v>
      </c>
    </row>
    <row r="205" spans="1:17" x14ac:dyDescent="0.2">
      <c r="B205" s="42"/>
      <c r="C205" s="42"/>
      <c r="D205" s="41"/>
      <c r="E205" s="41"/>
      <c r="F205" s="113"/>
      <c r="G205" s="113"/>
      <c r="H205" s="113"/>
      <c r="I205" s="113"/>
      <c r="J205" s="113"/>
      <c r="K205" s="113"/>
      <c r="L205" s="113"/>
      <c r="M205" s="113"/>
      <c r="N205" s="113"/>
    </row>
    <row r="206" spans="1:17" x14ac:dyDescent="0.2">
      <c r="B206" s="42" t="s">
        <v>157</v>
      </c>
      <c r="C206" s="42"/>
      <c r="D206" s="41"/>
      <c r="E206" s="41"/>
      <c r="F206" s="113"/>
      <c r="G206" s="113"/>
      <c r="H206" s="113"/>
      <c r="I206" s="113"/>
      <c r="J206" s="113"/>
      <c r="K206" s="113"/>
      <c r="L206" s="113"/>
      <c r="M206" s="113"/>
      <c r="N206" s="113"/>
    </row>
    <row r="207" spans="1:17" x14ac:dyDescent="0.2">
      <c r="A207" s="39">
        <f>A204+1</f>
        <v>31</v>
      </c>
      <c r="B207" s="39" t="s">
        <v>141</v>
      </c>
      <c r="D207" s="43">
        <f t="shared" ref="D207:Q207" si="101">D46-D133</f>
        <v>0</v>
      </c>
      <c r="E207" s="43">
        <f t="shared" si="101"/>
        <v>0</v>
      </c>
      <c r="F207" s="112">
        <f t="shared" si="101"/>
        <v>0</v>
      </c>
      <c r="G207" s="112">
        <f t="shared" si="101"/>
        <v>0</v>
      </c>
      <c r="H207" s="112">
        <f t="shared" si="101"/>
        <v>0</v>
      </c>
      <c r="I207" s="112">
        <f t="shared" si="101"/>
        <v>0</v>
      </c>
      <c r="J207" s="112">
        <f t="shared" si="101"/>
        <v>0</v>
      </c>
      <c r="K207" s="112">
        <f t="shared" si="101"/>
        <v>-3537.0999999996275</v>
      </c>
      <c r="L207" s="112">
        <f t="shared" si="101"/>
        <v>-6878.9000000003725</v>
      </c>
      <c r="M207" s="112">
        <f t="shared" si="101"/>
        <v>-7796.5</v>
      </c>
      <c r="N207" s="112">
        <f t="shared" si="101"/>
        <v>-8913.7999999998137</v>
      </c>
      <c r="O207" s="112">
        <f t="shared" si="101"/>
        <v>0</v>
      </c>
      <c r="P207" s="112">
        <f t="shared" si="101"/>
        <v>-10416</v>
      </c>
      <c r="Q207" s="112">
        <f t="shared" si="101"/>
        <v>-16710.299999998882</v>
      </c>
    </row>
    <row r="208" spans="1:17" x14ac:dyDescent="0.2">
      <c r="A208" s="39">
        <f>A207+1</f>
        <v>32</v>
      </c>
      <c r="B208" s="42" t="s">
        <v>299</v>
      </c>
      <c r="D208" s="43"/>
      <c r="E208" s="43"/>
      <c r="F208" s="112">
        <f>F9</f>
        <v>0</v>
      </c>
      <c r="G208" s="112">
        <f>G9-G134</f>
        <v>0</v>
      </c>
      <c r="H208" s="112">
        <f t="shared" ref="H208:Q208" si="102">H47-H134</f>
        <v>0</v>
      </c>
      <c r="I208" s="112">
        <f t="shared" si="102"/>
        <v>0</v>
      </c>
      <c r="J208" s="112">
        <f t="shared" si="102"/>
        <v>0</v>
      </c>
      <c r="K208" s="112">
        <f t="shared" si="102"/>
        <v>0</v>
      </c>
      <c r="L208" s="112">
        <f t="shared" si="102"/>
        <v>0</v>
      </c>
      <c r="M208" s="112">
        <f t="shared" si="102"/>
        <v>0</v>
      </c>
      <c r="N208" s="112">
        <f t="shared" si="102"/>
        <v>0</v>
      </c>
      <c r="O208" s="112">
        <f t="shared" si="102"/>
        <v>0</v>
      </c>
      <c r="P208" s="112">
        <f t="shared" si="102"/>
        <v>0</v>
      </c>
      <c r="Q208" s="112">
        <f t="shared" si="102"/>
        <v>0</v>
      </c>
    </row>
    <row r="209" spans="1:17" x14ac:dyDescent="0.2">
      <c r="A209" s="39">
        <f>A208+1</f>
        <v>33</v>
      </c>
      <c r="B209" s="42" t="s">
        <v>167</v>
      </c>
      <c r="C209" s="42"/>
      <c r="D209" s="43">
        <f t="shared" ref="D209:G210" si="103">D48-D135</f>
        <v>0</v>
      </c>
      <c r="E209" s="43">
        <f t="shared" si="103"/>
        <v>0</v>
      </c>
      <c r="F209" s="112">
        <f t="shared" si="103"/>
        <v>0</v>
      </c>
      <c r="G209" s="112">
        <f t="shared" si="103"/>
        <v>0</v>
      </c>
      <c r="H209" s="112">
        <f t="shared" ref="H209:Q209" si="104">H48-H135</f>
        <v>0</v>
      </c>
      <c r="I209" s="112">
        <f t="shared" si="104"/>
        <v>0</v>
      </c>
      <c r="J209" s="112">
        <f t="shared" si="104"/>
        <v>0</v>
      </c>
      <c r="K209" s="112">
        <f t="shared" si="104"/>
        <v>-8.8999999999996362</v>
      </c>
      <c r="L209" s="112">
        <f t="shared" si="104"/>
        <v>-16.099999999998545</v>
      </c>
      <c r="M209" s="112">
        <f t="shared" si="104"/>
        <v>-18.299999999999272</v>
      </c>
      <c r="N209" s="112">
        <f t="shared" si="104"/>
        <v>-20.899999999999636</v>
      </c>
      <c r="O209" s="112">
        <f t="shared" si="104"/>
        <v>0</v>
      </c>
      <c r="P209" s="112">
        <f t="shared" si="104"/>
        <v>-25</v>
      </c>
      <c r="Q209" s="112">
        <f t="shared" si="104"/>
        <v>-39.19999999999709</v>
      </c>
    </row>
    <row r="210" spans="1:17" x14ac:dyDescent="0.2">
      <c r="A210" s="39">
        <f>A209+1</f>
        <v>34</v>
      </c>
      <c r="B210" s="39" t="s">
        <v>142</v>
      </c>
      <c r="D210" s="43">
        <f t="shared" si="103"/>
        <v>0</v>
      </c>
      <c r="E210" s="43">
        <f t="shared" si="103"/>
        <v>0</v>
      </c>
      <c r="F210" s="112">
        <f t="shared" si="103"/>
        <v>0</v>
      </c>
      <c r="G210" s="112">
        <f t="shared" si="103"/>
        <v>0</v>
      </c>
      <c r="H210" s="112">
        <f t="shared" ref="H210:Q210" si="105">H49-H136</f>
        <v>0</v>
      </c>
      <c r="I210" s="112">
        <f t="shared" si="105"/>
        <v>0</v>
      </c>
      <c r="J210" s="112">
        <f t="shared" si="105"/>
        <v>0</v>
      </c>
      <c r="K210" s="112">
        <f t="shared" si="105"/>
        <v>-189.59999999999854</v>
      </c>
      <c r="L210" s="112">
        <f t="shared" si="105"/>
        <v>-153.30000000000291</v>
      </c>
      <c r="M210" s="112">
        <f t="shared" si="105"/>
        <v>-133.20000000001164</v>
      </c>
      <c r="N210" s="112">
        <f t="shared" si="105"/>
        <v>-134.19999999999709</v>
      </c>
      <c r="O210" s="112">
        <f t="shared" si="105"/>
        <v>0</v>
      </c>
      <c r="P210" s="112">
        <f t="shared" si="105"/>
        <v>-342.89999999999418</v>
      </c>
      <c r="Q210" s="112">
        <f t="shared" si="105"/>
        <v>-267.39999999999418</v>
      </c>
    </row>
    <row r="211" spans="1:17" x14ac:dyDescent="0.2">
      <c r="B211" s="42" t="s">
        <v>171</v>
      </c>
      <c r="D211" s="43"/>
      <c r="E211" s="43"/>
      <c r="F211" s="112"/>
      <c r="G211" s="112"/>
      <c r="H211" s="112"/>
      <c r="I211" s="112"/>
      <c r="J211" s="112"/>
      <c r="K211" s="112"/>
      <c r="L211" s="112"/>
      <c r="M211" s="112"/>
      <c r="N211" s="112"/>
    </row>
    <row r="212" spans="1:17" x14ac:dyDescent="0.2">
      <c r="A212" s="39">
        <f>A210+1</f>
        <v>35</v>
      </c>
      <c r="C212" s="39" t="s">
        <v>143</v>
      </c>
      <c r="D212" s="43">
        <f t="shared" ref="D212:Q212" si="106">D51-D138</f>
        <v>0</v>
      </c>
      <c r="E212" s="43">
        <f t="shared" si="106"/>
        <v>0</v>
      </c>
      <c r="F212" s="112">
        <f t="shared" si="106"/>
        <v>0</v>
      </c>
      <c r="G212" s="112">
        <f t="shared" si="106"/>
        <v>0</v>
      </c>
      <c r="H212" s="112">
        <f t="shared" si="106"/>
        <v>0</v>
      </c>
      <c r="I212" s="112">
        <f t="shared" si="106"/>
        <v>0</v>
      </c>
      <c r="J212" s="112">
        <f t="shared" si="106"/>
        <v>0</v>
      </c>
      <c r="K212" s="112">
        <f t="shared" si="106"/>
        <v>-14.799999999988358</v>
      </c>
      <c r="L212" s="112">
        <f t="shared" si="106"/>
        <v>2.7000000000116415</v>
      </c>
      <c r="M212" s="112">
        <f t="shared" si="106"/>
        <v>-4750.0999999999767</v>
      </c>
      <c r="N212" s="112">
        <f t="shared" si="106"/>
        <v>-4454.8999999999651</v>
      </c>
      <c r="O212" s="112">
        <f t="shared" si="106"/>
        <v>0</v>
      </c>
      <c r="P212" s="112">
        <f t="shared" si="106"/>
        <v>-12.100000000093132</v>
      </c>
      <c r="Q212" s="112">
        <f t="shared" si="106"/>
        <v>-9204.9999999998836</v>
      </c>
    </row>
    <row r="213" spans="1:17" x14ac:dyDescent="0.2">
      <c r="A213" s="39">
        <f t="shared" ref="A213:A225" si="107">A212+1</f>
        <v>36</v>
      </c>
      <c r="C213" s="39" t="s">
        <v>144</v>
      </c>
      <c r="D213" s="43">
        <f t="shared" ref="D213:Q213" si="108">D52-D139</f>
        <v>0</v>
      </c>
      <c r="E213" s="43">
        <f t="shared" si="108"/>
        <v>0</v>
      </c>
      <c r="F213" s="112">
        <f t="shared" si="108"/>
        <v>0</v>
      </c>
      <c r="G213" s="112">
        <f t="shared" si="108"/>
        <v>0</v>
      </c>
      <c r="H213" s="112">
        <f t="shared" si="108"/>
        <v>0</v>
      </c>
      <c r="I213" s="112">
        <f t="shared" si="108"/>
        <v>0</v>
      </c>
      <c r="J213" s="112">
        <f t="shared" si="108"/>
        <v>0</v>
      </c>
      <c r="K213" s="112">
        <f t="shared" si="108"/>
        <v>-4.5</v>
      </c>
      <c r="L213" s="112">
        <f t="shared" si="108"/>
        <v>-54.700000000000728</v>
      </c>
      <c r="M213" s="112">
        <f t="shared" si="108"/>
        <v>-53.69999999999709</v>
      </c>
      <c r="N213" s="112">
        <f t="shared" si="108"/>
        <v>-55.5</v>
      </c>
      <c r="O213" s="112">
        <f t="shared" si="108"/>
        <v>0</v>
      </c>
      <c r="P213" s="112">
        <f t="shared" si="108"/>
        <v>-59.19999999999709</v>
      </c>
      <c r="Q213" s="112">
        <f t="shared" si="108"/>
        <v>-109.19999999999709</v>
      </c>
    </row>
    <row r="214" spans="1:17" x14ac:dyDescent="0.2">
      <c r="A214" s="39">
        <f t="shared" si="107"/>
        <v>37</v>
      </c>
      <c r="B214" s="42"/>
      <c r="C214" s="42" t="s">
        <v>170</v>
      </c>
      <c r="D214" s="43">
        <f t="shared" ref="D214:Q214" si="109">D53-D140</f>
        <v>0</v>
      </c>
      <c r="E214" s="43">
        <f t="shared" si="109"/>
        <v>0</v>
      </c>
      <c r="F214" s="112">
        <f t="shared" si="109"/>
        <v>0</v>
      </c>
      <c r="G214" s="112">
        <f t="shared" si="109"/>
        <v>0</v>
      </c>
      <c r="H214" s="112">
        <f t="shared" si="109"/>
        <v>0</v>
      </c>
      <c r="I214" s="112">
        <f t="shared" si="109"/>
        <v>0</v>
      </c>
      <c r="J214" s="112">
        <f t="shared" si="109"/>
        <v>0</v>
      </c>
      <c r="K214" s="112">
        <f t="shared" si="109"/>
        <v>1.6999999999989086</v>
      </c>
      <c r="L214" s="112">
        <f t="shared" si="109"/>
        <v>-11</v>
      </c>
      <c r="M214" s="112">
        <f t="shared" si="109"/>
        <v>-14.200000000000728</v>
      </c>
      <c r="N214" s="112">
        <f t="shared" si="109"/>
        <v>-19.899999999999636</v>
      </c>
      <c r="O214" s="112">
        <f t="shared" si="109"/>
        <v>0</v>
      </c>
      <c r="P214" s="112">
        <f t="shared" si="109"/>
        <v>-9.2999999999992724</v>
      </c>
      <c r="Q214" s="112">
        <f t="shared" si="109"/>
        <v>-34.099999999998545</v>
      </c>
    </row>
    <row r="215" spans="1:17" x14ac:dyDescent="0.2">
      <c r="A215" s="39">
        <f t="shared" si="107"/>
        <v>38</v>
      </c>
      <c r="B215" s="39" t="s">
        <v>145</v>
      </c>
      <c r="D215" s="43">
        <f t="shared" ref="D215:Q215" si="110">D54-D141</f>
        <v>0</v>
      </c>
      <c r="E215" s="43">
        <f t="shared" si="110"/>
        <v>0</v>
      </c>
      <c r="F215" s="112">
        <f t="shared" si="110"/>
        <v>0</v>
      </c>
      <c r="G215" s="112">
        <f t="shared" si="110"/>
        <v>0</v>
      </c>
      <c r="H215" s="112">
        <f t="shared" si="110"/>
        <v>0</v>
      </c>
      <c r="I215" s="112">
        <f t="shared" si="110"/>
        <v>0</v>
      </c>
      <c r="J215" s="112">
        <f t="shared" si="110"/>
        <v>0</v>
      </c>
      <c r="K215" s="112">
        <f t="shared" si="110"/>
        <v>0.7999999999992724</v>
      </c>
      <c r="L215" s="112">
        <f t="shared" si="110"/>
        <v>60.900000000001455</v>
      </c>
      <c r="M215" s="112">
        <f t="shared" si="110"/>
        <v>8.5</v>
      </c>
      <c r="N215" s="112">
        <f t="shared" si="110"/>
        <v>1.7999999999992724</v>
      </c>
      <c r="O215" s="112">
        <f t="shared" si="110"/>
        <v>0</v>
      </c>
      <c r="P215" s="112">
        <f t="shared" si="110"/>
        <v>61.700000000004366</v>
      </c>
      <c r="Q215" s="112">
        <f t="shared" si="110"/>
        <v>10.30000000000291</v>
      </c>
    </row>
    <row r="216" spans="1:17" x14ac:dyDescent="0.2">
      <c r="A216" s="39">
        <f t="shared" si="107"/>
        <v>39</v>
      </c>
      <c r="B216" s="39" t="s">
        <v>146</v>
      </c>
      <c r="D216" s="43">
        <f t="shared" ref="D216:Q216" si="111">D55-D142</f>
        <v>0</v>
      </c>
      <c r="E216" s="43">
        <f t="shared" si="111"/>
        <v>0</v>
      </c>
      <c r="F216" s="112">
        <f t="shared" si="111"/>
        <v>0</v>
      </c>
      <c r="G216" s="112">
        <f t="shared" si="111"/>
        <v>0</v>
      </c>
      <c r="H216" s="112">
        <f t="shared" si="111"/>
        <v>0</v>
      </c>
      <c r="I216" s="112">
        <f t="shared" si="111"/>
        <v>0</v>
      </c>
      <c r="J216" s="112">
        <f t="shared" si="111"/>
        <v>0</v>
      </c>
      <c r="K216" s="112">
        <f t="shared" si="111"/>
        <v>-53.5</v>
      </c>
      <c r="L216" s="112">
        <f t="shared" si="111"/>
        <v>60.900000000001455</v>
      </c>
      <c r="M216" s="112">
        <f t="shared" si="111"/>
        <v>129.69999999999709</v>
      </c>
      <c r="N216" s="112">
        <f t="shared" si="111"/>
        <v>129.29999999999563</v>
      </c>
      <c r="O216" s="112">
        <f t="shared" si="111"/>
        <v>0</v>
      </c>
      <c r="P216" s="112">
        <f t="shared" si="111"/>
        <v>7.4000000000087311</v>
      </c>
      <c r="Q216" s="112">
        <f t="shared" si="111"/>
        <v>258.99999999998545</v>
      </c>
    </row>
    <row r="217" spans="1:17" x14ac:dyDescent="0.2">
      <c r="A217" s="39">
        <f t="shared" si="107"/>
        <v>40</v>
      </c>
      <c r="B217" s="39" t="s">
        <v>148</v>
      </c>
      <c r="D217" s="43">
        <f t="shared" ref="D217:Q217" si="112">D56-D143</f>
        <v>0</v>
      </c>
      <c r="E217" s="43">
        <f t="shared" si="112"/>
        <v>0</v>
      </c>
      <c r="F217" s="112">
        <f t="shared" si="112"/>
        <v>0</v>
      </c>
      <c r="G217" s="112">
        <f t="shared" si="112"/>
        <v>0</v>
      </c>
      <c r="H217" s="112">
        <f t="shared" si="112"/>
        <v>0</v>
      </c>
      <c r="I217" s="112">
        <f t="shared" si="112"/>
        <v>0</v>
      </c>
      <c r="J217" s="112">
        <f t="shared" si="112"/>
        <v>0</v>
      </c>
      <c r="K217" s="112">
        <f t="shared" si="112"/>
        <v>-0.20000000000004547</v>
      </c>
      <c r="L217" s="112">
        <f t="shared" si="112"/>
        <v>0.80000000000001137</v>
      </c>
      <c r="M217" s="112">
        <f t="shared" si="112"/>
        <v>1.5</v>
      </c>
      <c r="N217" s="112">
        <f t="shared" si="112"/>
        <v>1.5</v>
      </c>
      <c r="O217" s="112">
        <f t="shared" si="112"/>
        <v>0</v>
      </c>
      <c r="P217" s="112">
        <f t="shared" si="112"/>
        <v>0.59999999999990905</v>
      </c>
      <c r="Q217" s="112">
        <f t="shared" si="112"/>
        <v>3</v>
      </c>
    </row>
    <row r="218" spans="1:17" x14ac:dyDescent="0.2">
      <c r="A218" s="39">
        <f t="shared" si="107"/>
        <v>41</v>
      </c>
      <c r="B218" s="42" t="s">
        <v>244</v>
      </c>
      <c r="D218" s="43">
        <f t="shared" ref="D218:Q218" si="113">D57-D144</f>
        <v>0</v>
      </c>
      <c r="E218" s="43">
        <f t="shared" si="113"/>
        <v>0</v>
      </c>
      <c r="F218" s="112">
        <f t="shared" si="113"/>
        <v>0</v>
      </c>
      <c r="G218" s="112">
        <f t="shared" si="113"/>
        <v>0</v>
      </c>
      <c r="H218" s="112">
        <f t="shared" si="113"/>
        <v>0</v>
      </c>
      <c r="I218" s="112">
        <f t="shared" si="113"/>
        <v>0</v>
      </c>
      <c r="J218" s="112">
        <f t="shared" si="113"/>
        <v>0</v>
      </c>
      <c r="K218" s="112">
        <f t="shared" si="113"/>
        <v>-1.4000000000000909</v>
      </c>
      <c r="L218" s="112">
        <f t="shared" si="113"/>
        <v>0</v>
      </c>
      <c r="M218" s="112">
        <f t="shared" si="113"/>
        <v>0</v>
      </c>
      <c r="N218" s="112">
        <f t="shared" si="113"/>
        <v>0</v>
      </c>
      <c r="O218" s="112">
        <f t="shared" si="113"/>
        <v>0</v>
      </c>
      <c r="P218" s="112">
        <f t="shared" si="113"/>
        <v>-1.4000000000000909</v>
      </c>
      <c r="Q218" s="112">
        <f t="shared" si="113"/>
        <v>0</v>
      </c>
    </row>
    <row r="219" spans="1:17" x14ac:dyDescent="0.2">
      <c r="A219" s="39">
        <f t="shared" si="107"/>
        <v>42</v>
      </c>
      <c r="B219" s="42" t="s">
        <v>360</v>
      </c>
      <c r="D219" s="43"/>
      <c r="E219" s="43"/>
      <c r="F219" s="112"/>
      <c r="G219" s="112"/>
      <c r="H219" s="112">
        <v>0</v>
      </c>
      <c r="I219" s="112">
        <v>0</v>
      </c>
      <c r="J219" s="112">
        <v>0</v>
      </c>
      <c r="K219" s="112">
        <f t="shared" ref="K219:K225" si="114">K58-K145</f>
        <v>0</v>
      </c>
      <c r="L219" s="112">
        <v>0</v>
      </c>
      <c r="M219" s="112">
        <v>0</v>
      </c>
      <c r="N219" s="112">
        <v>0</v>
      </c>
      <c r="O219" s="112">
        <f>O20</f>
        <v>0</v>
      </c>
      <c r="P219" s="112">
        <f>P20</f>
        <v>-500000</v>
      </c>
      <c r="Q219" s="112">
        <f>Q20</f>
        <v>0</v>
      </c>
    </row>
    <row r="220" spans="1:17" x14ac:dyDescent="0.2">
      <c r="A220" s="39">
        <f t="shared" si="107"/>
        <v>43</v>
      </c>
      <c r="B220" s="39" t="s">
        <v>147</v>
      </c>
      <c r="D220" s="43">
        <f t="shared" ref="D220:J225" si="115">D59-D146</f>
        <v>0</v>
      </c>
      <c r="E220" s="43">
        <f t="shared" si="115"/>
        <v>0</v>
      </c>
      <c r="F220" s="112">
        <f t="shared" si="115"/>
        <v>0</v>
      </c>
      <c r="G220" s="112">
        <f t="shared" si="115"/>
        <v>0</v>
      </c>
      <c r="H220" s="112">
        <f t="shared" si="115"/>
        <v>0</v>
      </c>
      <c r="I220" s="112">
        <f t="shared" si="115"/>
        <v>0</v>
      </c>
      <c r="J220" s="112">
        <f t="shared" si="115"/>
        <v>0</v>
      </c>
      <c r="K220" s="112">
        <f t="shared" si="114"/>
        <v>-51.000000000014552</v>
      </c>
      <c r="L220" s="112">
        <f t="shared" ref="L220:Q225" si="116">L59-L146</f>
        <v>-297.49999999998545</v>
      </c>
      <c r="M220" s="112">
        <f t="shared" si="116"/>
        <v>-349.40000000000873</v>
      </c>
      <c r="N220" s="112">
        <f t="shared" si="116"/>
        <v>3221.0999999999913</v>
      </c>
      <c r="O220" s="112">
        <f t="shared" si="116"/>
        <v>0</v>
      </c>
      <c r="P220" s="112">
        <f t="shared" si="116"/>
        <v>-348.5</v>
      </c>
      <c r="Q220" s="112">
        <f t="shared" si="116"/>
        <v>2871.6999999999825</v>
      </c>
    </row>
    <row r="221" spans="1:17" x14ac:dyDescent="0.2">
      <c r="A221" s="39">
        <f t="shared" si="107"/>
        <v>44</v>
      </c>
      <c r="B221" s="39" t="s">
        <v>149</v>
      </c>
      <c r="D221" s="43">
        <f t="shared" si="115"/>
        <v>0</v>
      </c>
      <c r="E221" s="43">
        <f t="shared" si="115"/>
        <v>0</v>
      </c>
      <c r="F221" s="112">
        <f t="shared" si="115"/>
        <v>0</v>
      </c>
      <c r="G221" s="112">
        <f t="shared" si="115"/>
        <v>0</v>
      </c>
      <c r="H221" s="112">
        <f t="shared" si="115"/>
        <v>0</v>
      </c>
      <c r="I221" s="112">
        <f t="shared" si="115"/>
        <v>0</v>
      </c>
      <c r="J221" s="112">
        <f t="shared" si="115"/>
        <v>0</v>
      </c>
      <c r="K221" s="112">
        <f t="shared" si="114"/>
        <v>-7.6999999999970896</v>
      </c>
      <c r="L221" s="112">
        <f t="shared" si="116"/>
        <v>-96.599999999991269</v>
      </c>
      <c r="M221" s="112">
        <f t="shared" si="116"/>
        <v>-210.5</v>
      </c>
      <c r="N221" s="112">
        <f t="shared" si="116"/>
        <v>-20</v>
      </c>
      <c r="O221" s="112">
        <f t="shared" si="116"/>
        <v>0</v>
      </c>
      <c r="P221" s="112">
        <f t="shared" si="116"/>
        <v>-104.29999999998836</v>
      </c>
      <c r="Q221" s="112">
        <f t="shared" si="116"/>
        <v>-230.5</v>
      </c>
    </row>
    <row r="222" spans="1:17" x14ac:dyDescent="0.2">
      <c r="A222" s="39">
        <f t="shared" si="107"/>
        <v>45</v>
      </c>
      <c r="B222" s="42" t="s">
        <v>173</v>
      </c>
      <c r="D222" s="43">
        <f t="shared" si="115"/>
        <v>0</v>
      </c>
      <c r="E222" s="43">
        <f t="shared" si="115"/>
        <v>0</v>
      </c>
      <c r="F222" s="112">
        <f t="shared" si="115"/>
        <v>0</v>
      </c>
      <c r="G222" s="112">
        <f t="shared" si="115"/>
        <v>0</v>
      </c>
      <c r="H222" s="112">
        <f t="shared" si="115"/>
        <v>0</v>
      </c>
      <c r="I222" s="112">
        <f t="shared" si="115"/>
        <v>0</v>
      </c>
      <c r="J222" s="112">
        <f t="shared" si="115"/>
        <v>0</v>
      </c>
      <c r="K222" s="112">
        <f t="shared" si="114"/>
        <v>6.7000000000007276</v>
      </c>
      <c r="L222" s="112">
        <f t="shared" si="116"/>
        <v>-39.599999999998545</v>
      </c>
      <c r="M222" s="112">
        <f t="shared" si="116"/>
        <v>-46.499999999996362</v>
      </c>
      <c r="N222" s="112">
        <f t="shared" si="116"/>
        <v>27.499999999996362</v>
      </c>
      <c r="O222" s="112">
        <f t="shared" si="116"/>
        <v>0</v>
      </c>
      <c r="P222" s="112">
        <f t="shared" si="116"/>
        <v>-32.899999999997817</v>
      </c>
      <c r="Q222" s="112">
        <f t="shared" si="116"/>
        <v>-19</v>
      </c>
    </row>
    <row r="223" spans="1:17" x14ac:dyDescent="0.2">
      <c r="A223" s="39">
        <f t="shared" si="107"/>
        <v>46</v>
      </c>
      <c r="B223" s="42" t="s">
        <v>168</v>
      </c>
      <c r="C223" s="42"/>
      <c r="D223" s="43">
        <f t="shared" si="115"/>
        <v>0</v>
      </c>
      <c r="E223" s="43">
        <f t="shared" si="115"/>
        <v>0</v>
      </c>
      <c r="F223" s="112">
        <f t="shared" si="115"/>
        <v>0</v>
      </c>
      <c r="G223" s="112">
        <f t="shared" si="115"/>
        <v>0</v>
      </c>
      <c r="H223" s="112">
        <f t="shared" si="115"/>
        <v>0</v>
      </c>
      <c r="I223" s="112">
        <f t="shared" si="115"/>
        <v>0</v>
      </c>
      <c r="J223" s="112">
        <f t="shared" si="115"/>
        <v>0</v>
      </c>
      <c r="K223" s="112">
        <f t="shared" si="114"/>
        <v>-0.49999999999272404</v>
      </c>
      <c r="L223" s="112">
        <f t="shared" si="116"/>
        <v>-1206</v>
      </c>
      <c r="M223" s="112">
        <f t="shared" si="116"/>
        <v>174.59999999999854</v>
      </c>
      <c r="N223" s="112">
        <f t="shared" si="116"/>
        <v>508.5</v>
      </c>
      <c r="O223" s="112">
        <f t="shared" si="116"/>
        <v>0</v>
      </c>
      <c r="P223" s="112">
        <f t="shared" si="116"/>
        <v>-1206.4999999999854</v>
      </c>
      <c r="Q223" s="112">
        <f t="shared" si="116"/>
        <v>683.10000000000582</v>
      </c>
    </row>
    <row r="224" spans="1:17" x14ac:dyDescent="0.2">
      <c r="A224" s="39">
        <f t="shared" si="107"/>
        <v>47</v>
      </c>
      <c r="B224" s="42" t="s">
        <v>163</v>
      </c>
      <c r="C224" s="42"/>
      <c r="D224" s="43">
        <f t="shared" si="115"/>
        <v>0</v>
      </c>
      <c r="E224" s="43">
        <f t="shared" si="115"/>
        <v>0</v>
      </c>
      <c r="F224" s="112">
        <f t="shared" si="115"/>
        <v>0</v>
      </c>
      <c r="G224" s="112">
        <f t="shared" si="115"/>
        <v>0</v>
      </c>
      <c r="H224" s="112">
        <f t="shared" si="115"/>
        <v>0</v>
      </c>
      <c r="I224" s="112">
        <f t="shared" si="115"/>
        <v>0</v>
      </c>
      <c r="J224" s="112">
        <f t="shared" si="115"/>
        <v>0</v>
      </c>
      <c r="K224" s="112">
        <f t="shared" si="114"/>
        <v>-58.299999999930151</v>
      </c>
      <c r="L224" s="112">
        <f t="shared" si="116"/>
        <v>166</v>
      </c>
      <c r="M224" s="112">
        <f t="shared" si="116"/>
        <v>35.400000000023283</v>
      </c>
      <c r="N224" s="112">
        <f t="shared" si="116"/>
        <v>903.80000000013388</v>
      </c>
      <c r="O224" s="112">
        <f t="shared" si="116"/>
        <v>0</v>
      </c>
      <c r="P224" s="112">
        <f t="shared" si="116"/>
        <v>107.70000000006985</v>
      </c>
      <c r="Q224" s="112">
        <f t="shared" si="116"/>
        <v>939.20000000015716</v>
      </c>
    </row>
    <row r="225" spans="1:17" x14ac:dyDescent="0.2">
      <c r="A225" s="39">
        <f t="shared" si="107"/>
        <v>48</v>
      </c>
      <c r="B225" s="39" t="s">
        <v>151</v>
      </c>
      <c r="D225" s="43">
        <f t="shared" si="115"/>
        <v>0</v>
      </c>
      <c r="E225" s="43">
        <f t="shared" si="115"/>
        <v>0</v>
      </c>
      <c r="F225" s="112">
        <f t="shared" si="115"/>
        <v>0</v>
      </c>
      <c r="G225" s="112">
        <f t="shared" si="115"/>
        <v>0</v>
      </c>
      <c r="H225" s="112">
        <f t="shared" si="115"/>
        <v>0</v>
      </c>
      <c r="I225" s="112">
        <f t="shared" si="115"/>
        <v>0</v>
      </c>
      <c r="J225" s="112">
        <f t="shared" si="115"/>
        <v>0</v>
      </c>
      <c r="K225" s="112">
        <f t="shared" si="114"/>
        <v>0</v>
      </c>
      <c r="L225" s="112">
        <f t="shared" si="116"/>
        <v>0</v>
      </c>
      <c r="M225" s="112">
        <f t="shared" si="116"/>
        <v>0</v>
      </c>
      <c r="N225" s="112">
        <f t="shared" si="116"/>
        <v>20.600000000000364</v>
      </c>
      <c r="O225" s="112">
        <f t="shared" si="116"/>
        <v>0</v>
      </c>
      <c r="P225" s="112">
        <f t="shared" si="116"/>
        <v>0</v>
      </c>
      <c r="Q225" s="112">
        <f t="shared" si="116"/>
        <v>20.599999999998545</v>
      </c>
    </row>
    <row r="227" spans="1:17" x14ac:dyDescent="0.2">
      <c r="B227" s="42" t="s">
        <v>172</v>
      </c>
      <c r="D227" s="43"/>
      <c r="E227" s="43"/>
      <c r="F227" s="112"/>
      <c r="G227" s="112"/>
      <c r="H227" s="112"/>
      <c r="I227" s="112"/>
      <c r="J227" s="112"/>
      <c r="K227" s="112"/>
      <c r="L227" s="112"/>
      <c r="M227" s="112"/>
      <c r="N227" s="112"/>
    </row>
    <row r="228" spans="1:17" x14ac:dyDescent="0.2">
      <c r="A228" s="39">
        <f>A225+1</f>
        <v>49</v>
      </c>
      <c r="B228" s="42"/>
      <c r="C228" s="42" t="s">
        <v>268</v>
      </c>
      <c r="D228" s="43">
        <f t="shared" ref="D228:Q228" si="117">D67-D153</f>
        <v>1341221</v>
      </c>
      <c r="E228" s="43">
        <f t="shared" si="117"/>
        <v>-679857</v>
      </c>
      <c r="F228" s="112">
        <f t="shared" si="117"/>
        <v>0</v>
      </c>
      <c r="G228" s="112">
        <f t="shared" si="117"/>
        <v>0</v>
      </c>
      <c r="H228" s="112">
        <f t="shared" si="117"/>
        <v>0</v>
      </c>
      <c r="I228" s="112">
        <f t="shared" si="117"/>
        <v>0</v>
      </c>
      <c r="J228" s="112">
        <f t="shared" si="117"/>
        <v>0</v>
      </c>
      <c r="K228" s="112">
        <f t="shared" si="117"/>
        <v>-70.800000000000068</v>
      </c>
      <c r="L228" s="112">
        <f t="shared" si="117"/>
        <v>-108.39999999999998</v>
      </c>
      <c r="M228" s="112">
        <f t="shared" si="117"/>
        <v>-204.5</v>
      </c>
      <c r="N228" s="112">
        <f t="shared" si="117"/>
        <v>-187.4</v>
      </c>
      <c r="O228" s="112">
        <f t="shared" si="117"/>
        <v>0</v>
      </c>
      <c r="P228" s="112">
        <f t="shared" si="117"/>
        <v>-179.20000000000005</v>
      </c>
      <c r="Q228" s="112">
        <f t="shared" si="117"/>
        <v>-391.9</v>
      </c>
    </row>
    <row r="229" spans="1:17" x14ac:dyDescent="0.2">
      <c r="A229" s="39">
        <f>A228+1</f>
        <v>50</v>
      </c>
      <c r="B229" s="42"/>
      <c r="C229" s="42"/>
      <c r="D229" s="43">
        <f t="shared" ref="D229:N229" si="118">D68-D154</f>
        <v>-1804253</v>
      </c>
      <c r="E229" s="43">
        <f t="shared" si="118"/>
        <v>1059</v>
      </c>
      <c r="F229" s="112">
        <f t="shared" si="118"/>
        <v>0</v>
      </c>
      <c r="G229" s="112">
        <f t="shared" si="118"/>
        <v>0</v>
      </c>
      <c r="H229" s="112">
        <f t="shared" si="118"/>
        <v>0</v>
      </c>
      <c r="I229" s="112">
        <f t="shared" si="118"/>
        <v>0</v>
      </c>
      <c r="J229" s="112">
        <f t="shared" si="118"/>
        <v>0</v>
      </c>
      <c r="K229" s="112">
        <f t="shared" si="118"/>
        <v>0</v>
      </c>
      <c r="L229" s="112">
        <f t="shared" si="118"/>
        <v>0</v>
      </c>
      <c r="M229" s="112">
        <f t="shared" si="118"/>
        <v>0</v>
      </c>
      <c r="N229" s="112">
        <f t="shared" si="118"/>
        <v>0</v>
      </c>
    </row>
    <row r="230" spans="1:17" x14ac:dyDescent="0.2">
      <c r="A230" s="39">
        <f>A229+1</f>
        <v>51</v>
      </c>
      <c r="B230" s="42"/>
      <c r="C230" s="42"/>
      <c r="D230" s="43">
        <f t="shared" ref="D230:N230" si="119">D69-D155</f>
        <v>-5196835956</v>
      </c>
      <c r="E230" s="43">
        <f t="shared" si="119"/>
        <v>-5163747344</v>
      </c>
      <c r="F230" s="112">
        <f t="shared" si="119"/>
        <v>0</v>
      </c>
      <c r="G230" s="112">
        <f t="shared" si="119"/>
        <v>0</v>
      </c>
      <c r="H230" s="112">
        <f t="shared" si="119"/>
        <v>0</v>
      </c>
      <c r="I230" s="112">
        <f t="shared" si="119"/>
        <v>0</v>
      </c>
      <c r="J230" s="112">
        <f t="shared" si="119"/>
        <v>0</v>
      </c>
      <c r="K230" s="112">
        <f t="shared" si="119"/>
        <v>0</v>
      </c>
      <c r="L230" s="112">
        <f t="shared" si="119"/>
        <v>0</v>
      </c>
      <c r="M230" s="112">
        <f t="shared" si="119"/>
        <v>0</v>
      </c>
      <c r="N230" s="112">
        <f t="shared" si="119"/>
        <v>0</v>
      </c>
    </row>
    <row r="231" spans="1:17" x14ac:dyDescent="0.2">
      <c r="A231" s="39">
        <f>A230+1</f>
        <v>52</v>
      </c>
      <c r="B231" s="42"/>
      <c r="C231" s="42"/>
      <c r="D231" s="43">
        <f t="shared" ref="D231:N231" si="120">D70-D156</f>
        <v>-5188490662</v>
      </c>
      <c r="E231" s="43">
        <f t="shared" si="120"/>
        <v>-5155706975</v>
      </c>
      <c r="F231" s="112">
        <f t="shared" si="120"/>
        <v>0</v>
      </c>
      <c r="G231" s="112">
        <f t="shared" si="120"/>
        <v>0</v>
      </c>
      <c r="H231" s="112">
        <f t="shared" si="120"/>
        <v>0</v>
      </c>
      <c r="I231" s="112">
        <f t="shared" si="120"/>
        <v>0</v>
      </c>
      <c r="J231" s="112">
        <f t="shared" si="120"/>
        <v>0</v>
      </c>
      <c r="K231" s="112">
        <f t="shared" si="120"/>
        <v>0</v>
      </c>
      <c r="L231" s="112">
        <f t="shared" si="120"/>
        <v>0</v>
      </c>
      <c r="M231" s="112">
        <f t="shared" si="120"/>
        <v>0</v>
      </c>
      <c r="N231" s="112">
        <f t="shared" si="120"/>
        <v>0</v>
      </c>
    </row>
    <row r="232" spans="1:17" x14ac:dyDescent="0.2">
      <c r="A232" s="39">
        <f>A231+1</f>
        <v>53</v>
      </c>
      <c r="B232" s="42"/>
      <c r="C232" s="42"/>
      <c r="D232" s="43">
        <f t="shared" ref="D232:N232" si="121">D71-D157</f>
        <v>0</v>
      </c>
      <c r="E232" s="43">
        <f t="shared" si="121"/>
        <v>0</v>
      </c>
      <c r="F232" s="112">
        <f t="shared" si="121"/>
        <v>0</v>
      </c>
      <c r="G232" s="112">
        <f t="shared" si="121"/>
        <v>0</v>
      </c>
      <c r="H232" s="112">
        <f t="shared" si="121"/>
        <v>0</v>
      </c>
      <c r="I232" s="112">
        <f t="shared" si="121"/>
        <v>0</v>
      </c>
      <c r="J232" s="112">
        <f t="shared" si="121"/>
        <v>0</v>
      </c>
      <c r="K232" s="112">
        <f t="shared" si="121"/>
        <v>0</v>
      </c>
      <c r="L232" s="112">
        <f t="shared" si="121"/>
        <v>0</v>
      </c>
      <c r="M232" s="112">
        <f t="shared" si="121"/>
        <v>0</v>
      </c>
      <c r="N232" s="112">
        <f t="shared" si="121"/>
        <v>0</v>
      </c>
    </row>
    <row r="233" spans="1:17" x14ac:dyDescent="0.2">
      <c r="D233" s="41"/>
      <c r="E233" s="41"/>
      <c r="F233" s="113"/>
      <c r="G233" s="113"/>
      <c r="H233" s="113"/>
      <c r="I233" s="113"/>
      <c r="J233" s="113"/>
      <c r="K233" s="113"/>
      <c r="L233" s="113"/>
      <c r="M233" s="113"/>
      <c r="N233" s="113"/>
    </row>
    <row r="234" spans="1:17" x14ac:dyDescent="0.2">
      <c r="A234" s="39">
        <f>A232+1</f>
        <v>54</v>
      </c>
      <c r="B234" s="42" t="s">
        <v>184</v>
      </c>
      <c r="C234" s="42"/>
      <c r="D234" s="43">
        <f t="shared" ref="D234:Q234" si="122">D73-D159</f>
        <v>-10385789650</v>
      </c>
      <c r="E234" s="43">
        <f t="shared" si="122"/>
        <v>-10320133117</v>
      </c>
      <c r="F234" s="112">
        <f t="shared" si="122"/>
        <v>0</v>
      </c>
      <c r="G234" s="112">
        <f t="shared" si="122"/>
        <v>0</v>
      </c>
      <c r="H234" s="112">
        <f t="shared" si="122"/>
        <v>0</v>
      </c>
      <c r="I234" s="112">
        <f t="shared" si="122"/>
        <v>0</v>
      </c>
      <c r="J234" s="112">
        <f t="shared" si="122"/>
        <v>0</v>
      </c>
      <c r="K234" s="112">
        <f t="shared" si="122"/>
        <v>-3989.0999999977648</v>
      </c>
      <c r="L234" s="112">
        <f t="shared" si="122"/>
        <v>-8570.7999999988824</v>
      </c>
      <c r="M234" s="112">
        <f t="shared" si="122"/>
        <v>-13227.199999998324</v>
      </c>
      <c r="N234" s="112">
        <f t="shared" si="122"/>
        <v>-8992.5</v>
      </c>
      <c r="O234" s="112">
        <f t="shared" si="122"/>
        <v>0</v>
      </c>
      <c r="P234" s="112">
        <f t="shared" si="122"/>
        <v>-12559.899999996647</v>
      </c>
      <c r="Q234" s="112">
        <f t="shared" si="122"/>
        <v>-22219.699999999255</v>
      </c>
    </row>
    <row r="235" spans="1:17" x14ac:dyDescent="0.2">
      <c r="A235" s="39">
        <f>A234+1</f>
        <v>55</v>
      </c>
      <c r="B235" s="42" t="s">
        <v>160</v>
      </c>
      <c r="C235" s="42"/>
      <c r="D235" s="43">
        <f t="shared" ref="D235:Q235" si="123">D74-D160</f>
        <v>-10385789650</v>
      </c>
      <c r="E235" s="43">
        <f t="shared" si="123"/>
        <v>-10320133117</v>
      </c>
      <c r="F235" s="112">
        <f t="shared" si="123"/>
        <v>0</v>
      </c>
      <c r="G235" s="112">
        <f t="shared" si="123"/>
        <v>0</v>
      </c>
      <c r="H235" s="112">
        <f t="shared" si="123"/>
        <v>0</v>
      </c>
      <c r="I235" s="112">
        <f t="shared" si="123"/>
        <v>0</v>
      </c>
      <c r="J235" s="112">
        <f t="shared" si="123"/>
        <v>0</v>
      </c>
      <c r="K235" s="112">
        <f t="shared" si="123"/>
        <v>-3989.0999999977648</v>
      </c>
      <c r="L235" s="112">
        <f t="shared" si="123"/>
        <v>-8570.7999999988824</v>
      </c>
      <c r="M235" s="112">
        <f t="shared" si="123"/>
        <v>-13227.199999998324</v>
      </c>
      <c r="N235" s="112">
        <f t="shared" si="123"/>
        <v>-8992.5</v>
      </c>
      <c r="O235" s="112">
        <f t="shared" si="123"/>
        <v>0</v>
      </c>
      <c r="P235" s="112">
        <f t="shared" si="123"/>
        <v>-12559.899999996647</v>
      </c>
      <c r="Q235" s="112">
        <f t="shared" si="123"/>
        <v>-22219.699999999255</v>
      </c>
    </row>
    <row r="236" spans="1:17" x14ac:dyDescent="0.2">
      <c r="A236" s="39">
        <f>A235+1</f>
        <v>56</v>
      </c>
      <c r="B236" s="42" t="s">
        <v>303</v>
      </c>
      <c r="C236" s="42"/>
      <c r="D236" s="43">
        <f>D75-D161</f>
        <v>0</v>
      </c>
      <c r="E236" s="43">
        <f>E75-E161</f>
        <v>0</v>
      </c>
      <c r="F236" s="112">
        <f>F75-F161</f>
        <v>0</v>
      </c>
      <c r="G236" s="112">
        <f>G75-G161</f>
        <v>0</v>
      </c>
      <c r="H236" s="112">
        <f>H75-H161</f>
        <v>0</v>
      </c>
      <c r="I236" s="127" t="s">
        <v>302</v>
      </c>
      <c r="J236" s="127" t="s">
        <v>302</v>
      </c>
      <c r="K236" s="127" t="s">
        <v>302</v>
      </c>
      <c r="L236" s="127" t="s">
        <v>302</v>
      </c>
      <c r="M236" s="127" t="s">
        <v>302</v>
      </c>
      <c r="N236" s="127" t="s">
        <v>302</v>
      </c>
    </row>
    <row r="237" spans="1:17" x14ac:dyDescent="0.2">
      <c r="B237" s="42"/>
      <c r="C237" s="42"/>
      <c r="D237" s="43"/>
      <c r="E237" s="43"/>
      <c r="F237" s="112"/>
      <c r="G237" s="112"/>
      <c r="H237" s="112"/>
      <c r="I237" s="112"/>
      <c r="J237" s="112"/>
      <c r="K237" s="112"/>
      <c r="L237" s="112"/>
      <c r="M237" s="112"/>
      <c r="N237" s="112"/>
    </row>
    <row r="238" spans="1:17" x14ac:dyDescent="0.2">
      <c r="A238" s="39">
        <f>A236+1</f>
        <v>57</v>
      </c>
      <c r="B238" s="42" t="s">
        <v>166</v>
      </c>
      <c r="C238" s="42"/>
      <c r="D238" s="43">
        <f t="shared" ref="D238:Q238" si="124">D77-D163</f>
        <v>0</v>
      </c>
      <c r="E238" s="43">
        <f t="shared" si="124"/>
        <v>0</v>
      </c>
      <c r="F238" s="112">
        <f t="shared" si="124"/>
        <v>0</v>
      </c>
      <c r="G238" s="112">
        <f t="shared" si="124"/>
        <v>0</v>
      </c>
      <c r="H238" s="112">
        <f t="shared" si="124"/>
        <v>0</v>
      </c>
      <c r="I238" s="112">
        <f t="shared" si="124"/>
        <v>0</v>
      </c>
      <c r="J238" s="112">
        <f t="shared" si="124"/>
        <v>0</v>
      </c>
      <c r="K238" s="112">
        <f t="shared" si="124"/>
        <v>29.899999999997817</v>
      </c>
      <c r="L238" s="112">
        <f t="shared" si="124"/>
        <v>18</v>
      </c>
      <c r="M238" s="112">
        <f t="shared" si="124"/>
        <v>19.19999999999709</v>
      </c>
      <c r="N238" s="112">
        <f t="shared" si="124"/>
        <v>20.5</v>
      </c>
      <c r="O238" s="112">
        <f t="shared" si="124"/>
        <v>0</v>
      </c>
      <c r="P238" s="112">
        <f t="shared" si="124"/>
        <v>47.900000000001455</v>
      </c>
      <c r="Q238" s="112">
        <f t="shared" si="124"/>
        <v>39.69999999999709</v>
      </c>
    </row>
    <row r="241" spans="1:21" x14ac:dyDescent="0.2">
      <c r="B241" s="42" t="s">
        <v>378</v>
      </c>
      <c r="J241" s="113">
        <f>J207+J208+J209+J210+J213+J214+J215+J216+J217+J220+J221+J222+J224+J225+J228</f>
        <v>0</v>
      </c>
      <c r="K241" s="113">
        <f>K207+K208+K209+K210+K213+K214+K215+K216+K217+K220+K221+K222+K224+K225+K228</f>
        <v>-3972.3999999995685</v>
      </c>
      <c r="L241" s="113">
        <f>L207+L208+L209+L210+L213+L214+L215+L216+L217+L220+L221+L222+L224+L225+L228</f>
        <v>-7367.5000000003465</v>
      </c>
      <c r="M241" s="113">
        <f>M207+M208+M209+M210+M213+M214+M215+M216+M217</f>
        <v>-7876.2000000000116</v>
      </c>
      <c r="N241" s="113">
        <f>N207+N208+N209+N210+N213+N214+N215+N216+N217</f>
        <v>-9011.6999999998152</v>
      </c>
    </row>
    <row r="242" spans="1:21" x14ac:dyDescent="0.2">
      <c r="B242" s="42" t="s">
        <v>143</v>
      </c>
      <c r="J242" s="113">
        <f>J212</f>
        <v>0</v>
      </c>
      <c r="K242" s="113">
        <f>K212</f>
        <v>-14.799999999988358</v>
      </c>
      <c r="L242" s="113">
        <f>L212</f>
        <v>2.7000000000116415</v>
      </c>
      <c r="M242" s="113">
        <f>M212</f>
        <v>-4750.0999999999767</v>
      </c>
      <c r="N242" s="113">
        <f>N212</f>
        <v>-4454.8999999999651</v>
      </c>
    </row>
    <row r="243" spans="1:21" x14ac:dyDescent="0.2">
      <c r="B243" s="42" t="s">
        <v>379</v>
      </c>
      <c r="J243" s="113">
        <f>J223</f>
        <v>0</v>
      </c>
      <c r="K243" s="113">
        <f>K223</f>
        <v>-0.49999999999272404</v>
      </c>
      <c r="L243" s="113">
        <f>L223</f>
        <v>-1206</v>
      </c>
      <c r="M243" s="113">
        <f>M223</f>
        <v>174.59999999999854</v>
      </c>
      <c r="N243" s="113">
        <f>N223</f>
        <v>508.5</v>
      </c>
    </row>
    <row r="244" spans="1:21" x14ac:dyDescent="0.2">
      <c r="B244" s="42" t="s">
        <v>380</v>
      </c>
      <c r="J244" s="39">
        <v>0</v>
      </c>
      <c r="K244" s="39">
        <v>0</v>
      </c>
      <c r="L244" s="114">
        <v>0</v>
      </c>
      <c r="M244" s="114">
        <f>M220+M221+M222+M224+M228+M225</f>
        <v>-775.49999999998181</v>
      </c>
      <c r="N244" s="114">
        <f>N220+N221+N222+N224+N228+N225</f>
        <v>3965.6000000001218</v>
      </c>
    </row>
    <row r="245" spans="1:21" x14ac:dyDescent="0.2">
      <c r="B245" s="42" t="s">
        <v>196</v>
      </c>
      <c r="J245" s="113">
        <f>SUM(J241:J244)</f>
        <v>0</v>
      </c>
      <c r="K245" s="113">
        <f>SUM(K241:K244)</f>
        <v>-3987.6999999995496</v>
      </c>
      <c r="L245" s="113">
        <f>SUM(L241:L244)</f>
        <v>-8570.800000000334</v>
      </c>
      <c r="M245" s="113">
        <f>SUM(M241:M244)</f>
        <v>-13227.199999999972</v>
      </c>
      <c r="N245" s="113">
        <f>SUM(N241:N244)</f>
        <v>-8992.499999999658</v>
      </c>
    </row>
    <row r="247" spans="1:21" x14ac:dyDescent="0.2">
      <c r="B247" s="42" t="s">
        <v>381</v>
      </c>
      <c r="J247" s="113">
        <f>J234</f>
        <v>0</v>
      </c>
      <c r="K247" s="113">
        <f>K234</f>
        <v>-3989.0999999977648</v>
      </c>
      <c r="L247" s="113">
        <f>L234</f>
        <v>-8570.7999999988824</v>
      </c>
      <c r="M247" s="113">
        <f>M234</f>
        <v>-13227.199999998324</v>
      </c>
      <c r="N247" s="113">
        <f>N234</f>
        <v>-8992.5</v>
      </c>
    </row>
    <row r="248" spans="1:21" x14ac:dyDescent="0.2">
      <c r="B248" s="42" t="s">
        <v>353</v>
      </c>
      <c r="J248" s="114">
        <f>J245-J247</f>
        <v>0</v>
      </c>
      <c r="K248" s="114">
        <f>K245-K247</f>
        <v>1.3999999982152076</v>
      </c>
      <c r="L248" s="114">
        <f>L245-L247</f>
        <v>-1.4515535440295935E-9</v>
      </c>
      <c r="M248" s="114">
        <f>M245-M247</f>
        <v>-1.648004399612546E-9</v>
      </c>
      <c r="N248" s="114">
        <f>N245-N247</f>
        <v>3.4197000786662102E-10</v>
      </c>
    </row>
    <row r="252" spans="1:21" x14ac:dyDescent="0.2">
      <c r="A252" s="128" t="s">
        <v>354</v>
      </c>
      <c r="B252" s="128"/>
      <c r="C252" s="129"/>
      <c r="D252" s="130" t="s">
        <v>135</v>
      </c>
      <c r="E252" s="130" t="s">
        <v>136</v>
      </c>
      <c r="F252" s="130" t="s">
        <v>137</v>
      </c>
      <c r="G252" s="130" t="s">
        <v>138</v>
      </c>
      <c r="H252" s="130" t="s">
        <v>139</v>
      </c>
      <c r="I252" s="130" t="s">
        <v>164</v>
      </c>
      <c r="J252" s="130" t="s">
        <v>165</v>
      </c>
      <c r="K252" s="130" t="s">
        <v>249</v>
      </c>
      <c r="L252" s="130" t="s">
        <v>250</v>
      </c>
      <c r="M252" s="130" t="s">
        <v>300</v>
      </c>
      <c r="N252" s="130" t="s">
        <v>301</v>
      </c>
      <c r="O252" s="150" t="s">
        <v>319</v>
      </c>
      <c r="P252" s="150" t="s">
        <v>320</v>
      </c>
      <c r="Q252" s="150" t="s">
        <v>355</v>
      </c>
      <c r="R252" s="150" t="s">
        <v>356</v>
      </c>
      <c r="S252" s="150" t="s">
        <v>321</v>
      </c>
      <c r="T252" s="150" t="s">
        <v>357</v>
      </c>
      <c r="U252" s="150" t="s">
        <v>321</v>
      </c>
    </row>
    <row r="254" spans="1:21" x14ac:dyDescent="0.2">
      <c r="A254" s="39">
        <v>1</v>
      </c>
      <c r="B254" s="39" t="s">
        <v>140</v>
      </c>
      <c r="D254" s="43">
        <f t="shared" ref="D254:N254" si="125">D93-D167</f>
        <v>962146</v>
      </c>
      <c r="E254" s="43">
        <f t="shared" si="125"/>
        <v>957096</v>
      </c>
      <c r="F254" s="43">
        <f t="shared" si="125"/>
        <v>953035</v>
      </c>
      <c r="G254" s="43">
        <f t="shared" si="125"/>
        <v>953041</v>
      </c>
      <c r="H254" s="43">
        <f t="shared" si="125"/>
        <v>953288</v>
      </c>
      <c r="I254" s="43">
        <f t="shared" si="125"/>
        <v>953432</v>
      </c>
      <c r="J254" s="43">
        <f t="shared" si="125"/>
        <v>948587</v>
      </c>
      <c r="K254" s="43">
        <f t="shared" si="125"/>
        <v>948362</v>
      </c>
      <c r="L254" s="43">
        <f t="shared" si="125"/>
        <v>950781</v>
      </c>
      <c r="M254" s="43">
        <f t="shared" si="125"/>
        <v>954714</v>
      </c>
      <c r="N254" s="43">
        <f t="shared" si="125"/>
        <v>962932</v>
      </c>
    </row>
    <row r="255" spans="1:21" x14ac:dyDescent="0.2">
      <c r="E255" s="43"/>
      <c r="F255" s="43"/>
      <c r="G255" s="43"/>
      <c r="H255" s="43"/>
      <c r="I255" s="43"/>
      <c r="J255" s="43"/>
      <c r="K255" s="43"/>
      <c r="L255" s="43"/>
      <c r="M255" s="43"/>
      <c r="N255" s="43"/>
    </row>
    <row r="256" spans="1:21" x14ac:dyDescent="0.2">
      <c r="B256" s="42" t="s">
        <v>155</v>
      </c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</row>
    <row r="257" spans="1:17" x14ac:dyDescent="0.2">
      <c r="A257" s="39">
        <f>A254+1</f>
        <v>2</v>
      </c>
      <c r="B257" s="39" t="s">
        <v>141</v>
      </c>
      <c r="D257" s="43">
        <f>D96-D170</f>
        <v>4490060320</v>
      </c>
      <c r="E257" s="43">
        <f>E96-E170</f>
        <v>4403575277</v>
      </c>
      <c r="F257" s="112">
        <f>F96-F170</f>
        <v>4384973.8</v>
      </c>
      <c r="G257" s="112">
        <f>G96-G170</f>
        <v>4558383.7</v>
      </c>
      <c r="H257" s="149">
        <f t="shared" ref="H257:Q257" si="126">IF(H96&gt;0,H170/H96,0)</f>
        <v>0</v>
      </c>
      <c r="I257" s="149">
        <f t="shared" si="126"/>
        <v>0</v>
      </c>
      <c r="J257" s="149">
        <f t="shared" si="126"/>
        <v>0</v>
      </c>
      <c r="K257" s="149">
        <f t="shared" si="126"/>
        <v>-7.2824309166578016E-4</v>
      </c>
      <c r="L257" s="149">
        <f t="shared" si="126"/>
        <v>-1.4139780514692969E-3</v>
      </c>
      <c r="M257" s="149">
        <f t="shared" si="126"/>
        <v>-1.59628473608437E-3</v>
      </c>
      <c r="N257" s="149">
        <f t="shared" si="126"/>
        <v>-1.8098520371139285E-3</v>
      </c>
      <c r="O257" s="149">
        <f t="shared" si="126"/>
        <v>0</v>
      </c>
      <c r="P257" s="149">
        <f t="shared" si="126"/>
        <v>-1.0713890070920891E-3</v>
      </c>
      <c r="Q257" s="149">
        <f t="shared" si="126"/>
        <v>-1.7035147138873912E-3</v>
      </c>
    </row>
    <row r="258" spans="1:17" x14ac:dyDescent="0.2">
      <c r="A258" s="39">
        <f>A257+1</f>
        <v>3</v>
      </c>
      <c r="B258" s="42" t="s">
        <v>299</v>
      </c>
      <c r="D258" s="43"/>
      <c r="E258" s="43"/>
      <c r="F258" s="112"/>
      <c r="G258" s="112">
        <f>G97-G171</f>
        <v>0</v>
      </c>
      <c r="H258" s="149">
        <f t="shared" ref="H258:Q258" si="127">IF(H97&gt;0,H171/H97,0)</f>
        <v>0</v>
      </c>
      <c r="I258" s="149">
        <f t="shared" si="127"/>
        <v>0</v>
      </c>
      <c r="J258" s="149">
        <f t="shared" si="127"/>
        <v>0</v>
      </c>
      <c r="K258" s="149">
        <f t="shared" si="127"/>
        <v>0</v>
      </c>
      <c r="L258" s="149">
        <f t="shared" si="127"/>
        <v>0</v>
      </c>
      <c r="M258" s="149">
        <f t="shared" si="127"/>
        <v>0</v>
      </c>
      <c r="N258" s="149">
        <f t="shared" si="127"/>
        <v>0</v>
      </c>
      <c r="O258" s="149">
        <f t="shared" si="127"/>
        <v>0</v>
      </c>
      <c r="P258" s="149">
        <f t="shared" si="127"/>
        <v>0</v>
      </c>
      <c r="Q258" s="149">
        <f t="shared" si="127"/>
        <v>0</v>
      </c>
    </row>
    <row r="259" spans="1:17" x14ac:dyDescent="0.2">
      <c r="A259" s="39">
        <f>A258+1</f>
        <v>4</v>
      </c>
      <c r="B259" s="42" t="s">
        <v>167</v>
      </c>
      <c r="C259" s="42"/>
      <c r="D259" s="43">
        <f t="shared" ref="D259:F260" si="128">D98-D172</f>
        <v>0</v>
      </c>
      <c r="E259" s="43">
        <f t="shared" si="128"/>
        <v>0</v>
      </c>
      <c r="F259" s="112">
        <f t="shared" si="128"/>
        <v>0</v>
      </c>
      <c r="G259" s="112">
        <f>G98-G172</f>
        <v>3812.2</v>
      </c>
      <c r="H259" s="149">
        <f t="shared" ref="H259:Q259" si="129">IF(H98&gt;0,H172/H98,0)</f>
        <v>0</v>
      </c>
      <c r="I259" s="149">
        <f t="shared" si="129"/>
        <v>0</v>
      </c>
      <c r="J259" s="149">
        <f t="shared" si="129"/>
        <v>0</v>
      </c>
      <c r="K259" s="149">
        <f t="shared" si="129"/>
        <v>-7.8243133945209034E-4</v>
      </c>
      <c r="L259" s="149">
        <f t="shared" si="129"/>
        <v>-1.4131112144855789E-3</v>
      </c>
      <c r="M259" s="149">
        <f t="shared" si="129"/>
        <v>-1.5998880952588473E-3</v>
      </c>
      <c r="N259" s="149">
        <f t="shared" si="129"/>
        <v>-1.8119868565929132E-3</v>
      </c>
      <c r="O259" s="149">
        <f t="shared" si="129"/>
        <v>0</v>
      </c>
      <c r="P259" s="149">
        <f t="shared" si="129"/>
        <v>-1.098027503392905E-3</v>
      </c>
      <c r="Q259" s="149">
        <f t="shared" si="129"/>
        <v>-1.7063806447679885E-3</v>
      </c>
    </row>
    <row r="260" spans="1:17" x14ac:dyDescent="0.2">
      <c r="A260" s="39">
        <f>A259+1</f>
        <v>5</v>
      </c>
      <c r="B260" s="39" t="s">
        <v>142</v>
      </c>
      <c r="D260" s="43">
        <f t="shared" si="128"/>
        <v>0</v>
      </c>
      <c r="E260" s="43">
        <f t="shared" si="128"/>
        <v>50351550</v>
      </c>
      <c r="F260" s="112">
        <f t="shared" si="128"/>
        <v>52327.4</v>
      </c>
      <c r="G260" s="112">
        <f>G99-G173</f>
        <v>52766.2</v>
      </c>
      <c r="H260" s="149">
        <f t="shared" ref="H260:Q260" si="130">IF(H99&gt;0,H173/H99,0)</f>
        <v>0</v>
      </c>
      <c r="I260" s="149">
        <f t="shared" si="130"/>
        <v>0</v>
      </c>
      <c r="J260" s="149">
        <f t="shared" si="130"/>
        <v>0</v>
      </c>
      <c r="K260" s="149">
        <f t="shared" si="130"/>
        <v>-2.9279592309473948E-3</v>
      </c>
      <c r="L260" s="149">
        <f t="shared" si="130"/>
        <v>-2.2144762900805459E-3</v>
      </c>
      <c r="M260" s="149">
        <f t="shared" si="130"/>
        <v>-1.852287059995072E-3</v>
      </c>
      <c r="N260" s="149">
        <f t="shared" si="130"/>
        <v>-1.7611317436778662E-3</v>
      </c>
      <c r="O260" s="149">
        <f t="shared" si="130"/>
        <v>0</v>
      </c>
      <c r="P260" s="149">
        <f t="shared" si="130"/>
        <v>-2.5593123816532175E-3</v>
      </c>
      <c r="Q260" s="149">
        <f t="shared" si="130"/>
        <v>-1.8053892963504951E-3</v>
      </c>
    </row>
    <row r="261" spans="1:17" x14ac:dyDescent="0.2">
      <c r="B261" s="42" t="s">
        <v>171</v>
      </c>
      <c r="D261" s="43"/>
      <c r="E261" s="43"/>
      <c r="F261" s="112"/>
      <c r="G261" s="112"/>
      <c r="H261" s="112"/>
      <c r="I261" s="112"/>
      <c r="J261" s="112"/>
      <c r="K261" s="112"/>
      <c r="L261" s="112"/>
      <c r="M261" s="112"/>
      <c r="N261" s="112"/>
    </row>
    <row r="262" spans="1:17" x14ac:dyDescent="0.2">
      <c r="A262" s="39">
        <f>A260+1</f>
        <v>6</v>
      </c>
      <c r="C262" s="39" t="s">
        <v>143</v>
      </c>
      <c r="D262" s="43">
        <f t="shared" ref="D262:G268" si="131">D101-D175</f>
        <v>262694686</v>
      </c>
      <c r="E262" s="43">
        <f t="shared" si="131"/>
        <v>249146954</v>
      </c>
      <c r="F262" s="112">
        <f t="shared" si="131"/>
        <v>265074.5</v>
      </c>
      <c r="G262" s="112">
        <f t="shared" si="131"/>
        <v>292547.5</v>
      </c>
      <c r="H262" s="149">
        <f t="shared" ref="H262:Q262" si="132">IF(H101&gt;0,H175/H101,0)</f>
        <v>0</v>
      </c>
      <c r="I262" s="149">
        <f t="shared" si="132"/>
        <v>0</v>
      </c>
      <c r="J262" s="149">
        <f t="shared" si="132"/>
        <v>0</v>
      </c>
      <c r="K262" s="149">
        <f t="shared" si="132"/>
        <v>-4.0977694567183788E-5</v>
      </c>
      <c r="L262" s="149">
        <f t="shared" si="132"/>
        <v>6.5176821094976425E-6</v>
      </c>
      <c r="M262" s="149">
        <f t="shared" si="132"/>
        <v>-1.08521475148191E-2</v>
      </c>
      <c r="N262" s="149">
        <f t="shared" si="132"/>
        <v>-9.7478243592985722E-3</v>
      </c>
      <c r="O262" s="149">
        <f t="shared" si="132"/>
        <v>0</v>
      </c>
      <c r="P262" s="149">
        <f t="shared" si="132"/>
        <v>-1.5604249411220889E-5</v>
      </c>
      <c r="Q262" s="149">
        <f t="shared" si="132"/>
        <v>-1.0288072742765417E-2</v>
      </c>
    </row>
    <row r="263" spans="1:17" x14ac:dyDescent="0.2">
      <c r="A263" s="39">
        <f t="shared" ref="A263:A274" si="133">A262+1</f>
        <v>7</v>
      </c>
      <c r="C263" s="39" t="s">
        <v>144</v>
      </c>
      <c r="D263" s="43">
        <f t="shared" si="131"/>
        <v>36857227</v>
      </c>
      <c r="E263" s="43">
        <f t="shared" si="131"/>
        <v>28818713</v>
      </c>
      <c r="F263" s="112">
        <f t="shared" si="131"/>
        <v>29477.7</v>
      </c>
      <c r="G263" s="112">
        <f t="shared" si="131"/>
        <v>30912.7</v>
      </c>
      <c r="H263" s="149">
        <f t="shared" ref="H263:Q263" si="134">IF(H102&gt;0,H176/H102,0)</f>
        <v>0</v>
      </c>
      <c r="I263" s="149">
        <f t="shared" si="134"/>
        <v>0</v>
      </c>
      <c r="J263" s="149">
        <f t="shared" si="134"/>
        <v>0</v>
      </c>
      <c r="K263" s="149">
        <f t="shared" si="134"/>
        <v>-1.4145427569123989E-4</v>
      </c>
      <c r="L263" s="149">
        <f t="shared" si="134"/>
        <v>-1.7240401162387788E-3</v>
      </c>
      <c r="M263" s="149">
        <f t="shared" si="134"/>
        <v>-1.6906144139832101E-3</v>
      </c>
      <c r="N263" s="149">
        <f t="shared" si="134"/>
        <v>-1.738585637089827E-3</v>
      </c>
      <c r="O263" s="149">
        <f t="shared" si="134"/>
        <v>0</v>
      </c>
      <c r="P263" s="149">
        <f t="shared" si="134"/>
        <v>-9.3169363646946484E-4</v>
      </c>
      <c r="Q263" s="149">
        <f t="shared" si="134"/>
        <v>-1.7146598708351916E-3</v>
      </c>
    </row>
    <row r="264" spans="1:17" x14ac:dyDescent="0.2">
      <c r="A264" s="39">
        <f t="shared" si="133"/>
        <v>8</v>
      </c>
      <c r="B264" s="42"/>
      <c r="C264" s="42" t="s">
        <v>170</v>
      </c>
      <c r="D264" s="43">
        <f t="shared" si="131"/>
        <v>9779108</v>
      </c>
      <c r="E264" s="43">
        <f t="shared" si="131"/>
        <v>7276758</v>
      </c>
      <c r="F264" s="112">
        <f t="shared" si="131"/>
        <v>7434.3</v>
      </c>
      <c r="G264" s="112">
        <f t="shared" si="131"/>
        <v>7883.2</v>
      </c>
      <c r="H264" s="149">
        <f t="shared" ref="H264:Q264" si="135">IF(H103&gt;0,H177/H103,0)</f>
        <v>0</v>
      </c>
      <c r="I264" s="149">
        <f t="shared" si="135"/>
        <v>0</v>
      </c>
      <c r="J264" s="149">
        <f t="shared" si="135"/>
        <v>0</v>
      </c>
      <c r="K264" s="149">
        <f t="shared" si="135"/>
        <v>2.0589588934899456E-4</v>
      </c>
      <c r="L264" s="149">
        <f t="shared" si="135"/>
        <v>-1.3097576948264572E-3</v>
      </c>
      <c r="M264" s="149">
        <f t="shared" si="135"/>
        <v>-1.686260539128456E-3</v>
      </c>
      <c r="N264" s="149">
        <f t="shared" si="135"/>
        <v>-2.3356533374021002E-3</v>
      </c>
      <c r="O264" s="149">
        <f t="shared" si="135"/>
        <v>0</v>
      </c>
      <c r="P264" s="149">
        <f t="shared" si="135"/>
        <v>-5.5838752093948841E-4</v>
      </c>
      <c r="Q264" s="149">
        <f t="shared" si="135"/>
        <v>-2.0128563080318604E-3</v>
      </c>
    </row>
    <row r="265" spans="1:17" x14ac:dyDescent="0.2">
      <c r="A265" s="39">
        <f t="shared" si="133"/>
        <v>9</v>
      </c>
      <c r="B265" s="39" t="s">
        <v>145</v>
      </c>
      <c r="D265" s="43">
        <f t="shared" si="131"/>
        <v>16471551</v>
      </c>
      <c r="E265" s="43">
        <f t="shared" si="131"/>
        <v>16909578</v>
      </c>
      <c r="F265" s="112">
        <f t="shared" si="131"/>
        <v>17548.599999999999</v>
      </c>
      <c r="G265" s="112">
        <f t="shared" si="131"/>
        <v>18853.099999999999</v>
      </c>
      <c r="H265" s="149">
        <f t="shared" ref="H265:Q265" si="136">IF(H104&gt;0,H178/H104,0)</f>
        <v>0</v>
      </c>
      <c r="I265" s="149">
        <f t="shared" si="136"/>
        <v>0</v>
      </c>
      <c r="J265" s="149">
        <f t="shared" si="136"/>
        <v>0</v>
      </c>
      <c r="K265" s="149">
        <f t="shared" si="136"/>
        <v>3.4235144087131542E-5</v>
      </c>
      <c r="L265" s="149">
        <f t="shared" si="136"/>
        <v>2.5969817017266923E-3</v>
      </c>
      <c r="M265" s="149">
        <f t="shared" si="136"/>
        <v>3.5240172137876138E-4</v>
      </c>
      <c r="N265" s="149">
        <f t="shared" si="136"/>
        <v>7.3876462138283298E-5</v>
      </c>
      <c r="O265" s="149">
        <f t="shared" si="136"/>
        <v>0</v>
      </c>
      <c r="P265" s="149">
        <f t="shared" si="136"/>
        <v>1.3178663807374576E-3</v>
      </c>
      <c r="Q265" s="149">
        <f t="shared" si="136"/>
        <v>2.124359598393512E-4</v>
      </c>
    </row>
    <row r="266" spans="1:17" x14ac:dyDescent="0.2">
      <c r="A266" s="39">
        <f t="shared" si="133"/>
        <v>10</v>
      </c>
      <c r="B266" s="39" t="s">
        <v>146</v>
      </c>
      <c r="D266" s="43">
        <f t="shared" si="131"/>
        <v>56478364</v>
      </c>
      <c r="E266" s="43">
        <f t="shared" si="131"/>
        <v>55913098</v>
      </c>
      <c r="F266" s="112">
        <f t="shared" si="131"/>
        <v>55511.199999999997</v>
      </c>
      <c r="G266" s="112">
        <f t="shared" si="131"/>
        <v>57332.800000000003</v>
      </c>
      <c r="H266" s="149">
        <f t="shared" ref="H266:Q266" si="137">IF(H105&gt;0,H179/H105,0)</f>
        <v>0</v>
      </c>
      <c r="I266" s="149">
        <f t="shared" si="137"/>
        <v>0</v>
      </c>
      <c r="J266" s="149">
        <f t="shared" si="137"/>
        <v>0</v>
      </c>
      <c r="K266" s="149">
        <f t="shared" si="137"/>
        <v>-8.9335361607836134E-4</v>
      </c>
      <c r="L266" s="149">
        <f t="shared" si="137"/>
        <v>1.0097727430999103E-3</v>
      </c>
      <c r="M266" s="149">
        <f t="shared" si="137"/>
        <v>2.1573555511568898E-3</v>
      </c>
      <c r="N266" s="149">
        <f t="shared" si="137"/>
        <v>2.1593222433570467E-3</v>
      </c>
      <c r="O266" s="149">
        <f t="shared" si="137"/>
        <v>0</v>
      </c>
      <c r="P266" s="149">
        <f t="shared" si="137"/>
        <v>6.1565442817839767E-5</v>
      </c>
      <c r="Q266" s="149">
        <f t="shared" si="137"/>
        <v>2.1583369305614294E-3</v>
      </c>
    </row>
    <row r="267" spans="1:17" x14ac:dyDescent="0.2">
      <c r="A267" s="39">
        <f t="shared" si="133"/>
        <v>11</v>
      </c>
      <c r="B267" s="39" t="s">
        <v>148</v>
      </c>
      <c r="D267" s="43">
        <f t="shared" si="131"/>
        <v>25114308</v>
      </c>
      <c r="E267" s="43">
        <f t="shared" si="131"/>
        <v>18869558</v>
      </c>
      <c r="F267" s="112">
        <f t="shared" si="131"/>
        <v>12876.8</v>
      </c>
      <c r="G267" s="112">
        <f t="shared" si="131"/>
        <v>8213.5</v>
      </c>
      <c r="H267" s="149">
        <f t="shared" ref="H267:Q267" si="138">IF(H106&gt;0,H180/H106,0)</f>
        <v>0</v>
      </c>
      <c r="I267" s="149">
        <f t="shared" si="138"/>
        <v>0</v>
      </c>
      <c r="J267" s="149">
        <f t="shared" si="138"/>
        <v>0</v>
      </c>
      <c r="K267" s="149">
        <f t="shared" si="138"/>
        <v>-2.9581422866446603E-4</v>
      </c>
      <c r="L267" s="149">
        <f t="shared" si="138"/>
        <v>2.1482277121375173E-3</v>
      </c>
      <c r="M267" s="149">
        <f t="shared" si="138"/>
        <v>6.7658998646820028E-3</v>
      </c>
      <c r="N267" s="149">
        <f t="shared" si="138"/>
        <v>9.5298602287166457E-3</v>
      </c>
      <c r="O267" s="149">
        <f t="shared" si="138"/>
        <v>0</v>
      </c>
      <c r="P267" s="149">
        <f t="shared" si="138"/>
        <v>5.7224606580821087E-4</v>
      </c>
      <c r="Q267" s="149">
        <f t="shared" si="138"/>
        <v>7.9134792930625163E-3</v>
      </c>
    </row>
    <row r="268" spans="1:17" x14ac:dyDescent="0.2">
      <c r="A268" s="39">
        <f t="shared" si="133"/>
        <v>12</v>
      </c>
      <c r="B268" s="42" t="s">
        <v>244</v>
      </c>
      <c r="D268" s="43">
        <f t="shared" si="131"/>
        <v>0</v>
      </c>
      <c r="E268" s="43">
        <f t="shared" si="131"/>
        <v>0</v>
      </c>
      <c r="F268" s="112">
        <f t="shared" si="131"/>
        <v>0</v>
      </c>
      <c r="G268" s="112">
        <f t="shared" si="131"/>
        <v>-344.9</v>
      </c>
      <c r="H268" s="149">
        <f t="shared" ref="H268:Q268" si="139">IF(H107&gt;0,H181/H107,0)</f>
        <v>0</v>
      </c>
      <c r="I268" s="149">
        <f t="shared" si="139"/>
        <v>0</v>
      </c>
      <c r="J268" s="149">
        <f t="shared" si="139"/>
        <v>0</v>
      </c>
      <c r="K268" s="149">
        <f t="shared" si="139"/>
        <v>0</v>
      </c>
      <c r="L268" s="149">
        <f t="shared" si="139"/>
        <v>0</v>
      </c>
      <c r="M268" s="149">
        <f t="shared" si="139"/>
        <v>0</v>
      </c>
      <c r="N268" s="149">
        <f t="shared" si="139"/>
        <v>0</v>
      </c>
      <c r="O268" s="149">
        <f t="shared" si="139"/>
        <v>0</v>
      </c>
      <c r="P268" s="149">
        <f t="shared" si="139"/>
        <v>0</v>
      </c>
      <c r="Q268" s="149">
        <f t="shared" si="139"/>
        <v>0</v>
      </c>
    </row>
    <row r="269" spans="1:17" x14ac:dyDescent="0.2">
      <c r="A269" s="39">
        <f t="shared" si="133"/>
        <v>13</v>
      </c>
      <c r="B269" s="42" t="s">
        <v>360</v>
      </c>
      <c r="D269" s="43"/>
      <c r="E269" s="43"/>
      <c r="F269" s="112"/>
      <c r="G269" s="112"/>
      <c r="H269" s="149">
        <f t="shared" ref="H269:Q269" si="140">IF(H108&gt;0,H182/H108,0)</f>
        <v>0</v>
      </c>
      <c r="I269" s="149">
        <f t="shared" si="140"/>
        <v>0</v>
      </c>
      <c r="J269" s="149">
        <f t="shared" si="140"/>
        <v>0</v>
      </c>
      <c r="K269" s="149">
        <f t="shared" si="140"/>
        <v>0</v>
      </c>
      <c r="L269" s="149">
        <f t="shared" si="140"/>
        <v>0</v>
      </c>
      <c r="M269" s="149">
        <f t="shared" si="140"/>
        <v>0</v>
      </c>
      <c r="N269" s="149">
        <f t="shared" si="140"/>
        <v>0</v>
      </c>
      <c r="O269" s="149">
        <f t="shared" si="140"/>
        <v>0</v>
      </c>
      <c r="P269" s="149">
        <f t="shared" si="140"/>
        <v>0</v>
      </c>
      <c r="Q269" s="149">
        <f t="shared" si="140"/>
        <v>0</v>
      </c>
    </row>
    <row r="270" spans="1:17" x14ac:dyDescent="0.2">
      <c r="A270" s="39">
        <f t="shared" si="133"/>
        <v>14</v>
      </c>
      <c r="B270" s="39" t="s">
        <v>147</v>
      </c>
      <c r="D270" s="43">
        <f t="shared" ref="D270:G274" si="141">D109-D183</f>
        <v>198438434</v>
      </c>
      <c r="E270" s="43">
        <f t="shared" si="141"/>
        <v>194217096</v>
      </c>
      <c r="F270" s="112">
        <f t="shared" si="141"/>
        <v>193697.1</v>
      </c>
      <c r="G270" s="112">
        <f t="shared" si="141"/>
        <v>194018.4</v>
      </c>
      <c r="H270" s="149">
        <f t="shared" ref="H270:Q270" si="142">IF(H109&gt;0,H183/H109,0)</f>
        <v>0</v>
      </c>
      <c r="I270" s="149">
        <f t="shared" si="142"/>
        <v>0</v>
      </c>
      <c r="J270" s="149">
        <f t="shared" si="142"/>
        <v>0</v>
      </c>
      <c r="K270" s="149">
        <f t="shared" si="142"/>
        <v>-7.5607701397383399E-4</v>
      </c>
      <c r="L270" s="149">
        <f t="shared" si="142"/>
        <v>-1.3921137500095613E-3</v>
      </c>
      <c r="M270" s="149">
        <f t="shared" si="142"/>
        <v>-1.592927320901782E-3</v>
      </c>
      <c r="N270" s="149">
        <f t="shared" si="142"/>
        <v>-1.8288617401820326E-3</v>
      </c>
      <c r="O270" s="149">
        <f t="shared" si="142"/>
        <v>0</v>
      </c>
      <c r="P270" s="149">
        <f t="shared" si="142"/>
        <v>-1.0743620846733499E-3</v>
      </c>
      <c r="Q270" s="149">
        <f t="shared" si="142"/>
        <v>-1.7113785417618833E-3</v>
      </c>
    </row>
    <row r="271" spans="1:17" x14ac:dyDescent="0.2">
      <c r="A271" s="39">
        <f t="shared" si="133"/>
        <v>15</v>
      </c>
      <c r="B271" s="39" t="s">
        <v>149</v>
      </c>
      <c r="D271" s="43">
        <f t="shared" si="141"/>
        <v>34642490</v>
      </c>
      <c r="E271" s="43">
        <f t="shared" si="141"/>
        <v>32112369</v>
      </c>
      <c r="F271" s="112">
        <f t="shared" si="141"/>
        <v>41731.199999999997</v>
      </c>
      <c r="G271" s="112">
        <f t="shared" si="141"/>
        <v>50999.4</v>
      </c>
      <c r="H271" s="149">
        <f t="shared" ref="H271:Q271" si="143">IF(H110&gt;0,H184/H110,0)</f>
        <v>0</v>
      </c>
      <c r="I271" s="149">
        <f t="shared" si="143"/>
        <v>0</v>
      </c>
      <c r="J271" s="149">
        <f t="shared" si="143"/>
        <v>0</v>
      </c>
      <c r="K271" s="149">
        <f t="shared" si="143"/>
        <v>-8.4667786930916035E-4</v>
      </c>
      <c r="L271" s="149">
        <f t="shared" si="143"/>
        <v>-6.0071761401457959E-4</v>
      </c>
      <c r="M271" s="149">
        <f t="shared" si="143"/>
        <v>-6.7741798221352591E-3</v>
      </c>
      <c r="N271" s="149">
        <f t="shared" si="143"/>
        <v>-3.2082864732903642E-3</v>
      </c>
      <c r="O271" s="149">
        <f t="shared" si="143"/>
        <v>0</v>
      </c>
      <c r="P271" s="149">
        <f t="shared" si="143"/>
        <v>-7.2383582171055153E-4</v>
      </c>
      <c r="Q271" s="149">
        <f t="shared" si="143"/>
        <v>-4.983849763069796E-3</v>
      </c>
    </row>
    <row r="272" spans="1:17" x14ac:dyDescent="0.2">
      <c r="A272" s="39">
        <f t="shared" si="133"/>
        <v>16</v>
      </c>
      <c r="B272" s="42" t="s">
        <v>173</v>
      </c>
      <c r="D272" s="43">
        <f t="shared" si="141"/>
        <v>0</v>
      </c>
      <c r="E272" s="43">
        <f t="shared" si="141"/>
        <v>31986524</v>
      </c>
      <c r="F272" s="112">
        <f t="shared" si="141"/>
        <v>31326.6</v>
      </c>
      <c r="G272" s="112">
        <f t="shared" si="141"/>
        <v>31033.7</v>
      </c>
      <c r="H272" s="149">
        <f t="shared" ref="H272:Q272" si="144">IF(H111&gt;0,H185/H111,0)</f>
        <v>0</v>
      </c>
      <c r="I272" s="149">
        <f t="shared" si="144"/>
        <v>0</v>
      </c>
      <c r="J272" s="149">
        <f t="shared" si="144"/>
        <v>0</v>
      </c>
      <c r="K272" s="149">
        <f t="shared" si="144"/>
        <v>-7.1248994880250798E-4</v>
      </c>
      <c r="L272" s="149">
        <f t="shared" si="144"/>
        <v>-5.3026078567543244E-4</v>
      </c>
      <c r="M272" s="149">
        <f t="shared" si="144"/>
        <v>-7.1421703957034598E-4</v>
      </c>
      <c r="N272" s="149">
        <f t="shared" si="144"/>
        <v>-4.1845982309790183E-3</v>
      </c>
      <c r="O272" s="149">
        <f t="shared" si="144"/>
        <v>0</v>
      </c>
      <c r="P272" s="149">
        <f t="shared" si="144"/>
        <v>-6.2175283195639217E-4</v>
      </c>
      <c r="Q272" s="149">
        <f t="shared" si="144"/>
        <v>-2.4581398765291915E-3</v>
      </c>
    </row>
    <row r="273" spans="1:17" x14ac:dyDescent="0.2">
      <c r="A273" s="39">
        <f t="shared" si="133"/>
        <v>17</v>
      </c>
      <c r="B273" s="42" t="s">
        <v>168</v>
      </c>
      <c r="C273" s="42"/>
      <c r="D273" s="43">
        <f t="shared" si="141"/>
        <v>0</v>
      </c>
      <c r="E273" s="43">
        <f t="shared" si="141"/>
        <v>0</v>
      </c>
      <c r="F273" s="112">
        <f t="shared" si="141"/>
        <v>0</v>
      </c>
      <c r="G273" s="112">
        <f t="shared" si="141"/>
        <v>16348.9</v>
      </c>
      <c r="H273" s="149">
        <f t="shared" ref="H273:Q273" si="145">IF(H112&gt;0,H186/H112,0)</f>
        <v>0</v>
      </c>
      <c r="I273" s="149">
        <f t="shared" si="145"/>
        <v>0</v>
      </c>
      <c r="J273" s="149">
        <f t="shared" si="145"/>
        <v>0</v>
      </c>
      <c r="K273" s="149">
        <f t="shared" si="145"/>
        <v>-2.9162921232615291E-5</v>
      </c>
      <c r="L273" s="149">
        <f t="shared" si="145"/>
        <v>-2.7934760825664009E-2</v>
      </c>
      <c r="M273" s="149">
        <f t="shared" si="145"/>
        <v>-1.0442595773878986E-2</v>
      </c>
      <c r="N273" s="149">
        <f t="shared" si="145"/>
        <v>-8.9475849385345085E-3</v>
      </c>
      <c r="O273" s="149">
        <f t="shared" si="145"/>
        <v>0</v>
      </c>
      <c r="P273" s="149">
        <f t="shared" si="145"/>
        <v>-1.4726921084553564E-2</v>
      </c>
      <c r="Q273" s="149">
        <f t="shared" si="145"/>
        <v>-9.6822904231779316E-3</v>
      </c>
    </row>
    <row r="274" spans="1:17" x14ac:dyDescent="0.2">
      <c r="A274" s="39">
        <f t="shared" si="133"/>
        <v>18</v>
      </c>
      <c r="B274" s="39" t="s">
        <v>150</v>
      </c>
      <c r="D274" s="43">
        <f t="shared" si="141"/>
        <v>291708358</v>
      </c>
      <c r="E274" s="43">
        <f t="shared" si="141"/>
        <v>426336542</v>
      </c>
      <c r="F274" s="112">
        <f t="shared" si="141"/>
        <v>504721.1</v>
      </c>
      <c r="G274" s="112">
        <f t="shared" si="141"/>
        <v>534314.5</v>
      </c>
      <c r="H274" s="149">
        <f t="shared" ref="H274:Q274" si="146">IF(H113&gt;0,H187/H113,0)</f>
        <v>0</v>
      </c>
      <c r="I274" s="149">
        <f t="shared" si="146"/>
        <v>0</v>
      </c>
      <c r="J274" s="149">
        <f t="shared" si="146"/>
        <v>0</v>
      </c>
      <c r="K274" s="149">
        <f t="shared" si="146"/>
        <v>-7.2982156508313661E-4</v>
      </c>
      <c r="L274" s="149">
        <f t="shared" si="146"/>
        <v>-6.9841523685029998E-4</v>
      </c>
      <c r="M274" s="149">
        <f t="shared" si="146"/>
        <v>-8.8746203364477975E-5</v>
      </c>
      <c r="N274" s="149">
        <f t="shared" si="146"/>
        <v>1.4857020171082014E-5</v>
      </c>
      <c r="O274" s="149">
        <f t="shared" si="146"/>
        <v>0</v>
      </c>
      <c r="P274" s="149">
        <f t="shared" si="146"/>
        <v>-7.1388943897142203E-4</v>
      </c>
      <c r="Q274" s="149">
        <f t="shared" si="146"/>
        <v>-3.4754359736606348E-5</v>
      </c>
    </row>
    <row r="275" spans="1:17" x14ac:dyDescent="0.2">
      <c r="B275" s="42" t="s">
        <v>172</v>
      </c>
      <c r="D275" s="43"/>
      <c r="E275" s="43"/>
      <c r="F275" s="112"/>
      <c r="G275" s="112"/>
      <c r="H275" s="112"/>
      <c r="I275" s="112"/>
      <c r="J275" s="112"/>
      <c r="K275" s="112"/>
      <c r="L275" s="112"/>
      <c r="M275" s="112"/>
      <c r="N275" s="112"/>
    </row>
    <row r="276" spans="1:17" x14ac:dyDescent="0.2">
      <c r="A276" s="39">
        <f>A274+1</f>
        <v>19</v>
      </c>
      <c r="B276" s="42"/>
      <c r="C276" s="42" t="s">
        <v>268</v>
      </c>
      <c r="D276" s="43">
        <f t="shared" ref="D276:G280" si="147">D115-D189</f>
        <v>1341221</v>
      </c>
      <c r="E276" s="43">
        <f t="shared" si="147"/>
        <v>-679857</v>
      </c>
      <c r="F276" s="112">
        <f t="shared" si="147"/>
        <v>-2178837.88</v>
      </c>
      <c r="G276" s="112">
        <f t="shared" si="147"/>
        <v>-895.4</v>
      </c>
      <c r="H276" s="149">
        <f t="shared" ref="H276:Q276" si="148">IF(H115&gt;0,H189/H115,0)</f>
        <v>0</v>
      </c>
      <c r="I276" s="149">
        <f t="shared" si="148"/>
        <v>0</v>
      </c>
      <c r="J276" s="149">
        <f t="shared" si="148"/>
        <v>0</v>
      </c>
      <c r="K276" s="149">
        <f t="shared" si="148"/>
        <v>-0.10447100486941134</v>
      </c>
      <c r="L276" s="149">
        <f t="shared" si="148"/>
        <v>-0.14136671883150753</v>
      </c>
      <c r="M276" s="149">
        <f t="shared" si="148"/>
        <v>-0.37661141804788212</v>
      </c>
      <c r="N276" s="149">
        <f t="shared" si="148"/>
        <v>-4.4198113207547172</v>
      </c>
      <c r="O276" s="149">
        <f t="shared" si="148"/>
        <v>0</v>
      </c>
      <c r="P276" s="149">
        <f t="shared" si="148"/>
        <v>-0.12405676704742129</v>
      </c>
      <c r="Q276" s="149">
        <f t="shared" si="148"/>
        <v>-0.66945678168773481</v>
      </c>
    </row>
    <row r="277" spans="1:17" x14ac:dyDescent="0.2">
      <c r="A277" s="39">
        <f>A276+1</f>
        <v>20</v>
      </c>
      <c r="B277" s="42"/>
      <c r="C277" s="42"/>
      <c r="D277" s="43">
        <f t="shared" si="147"/>
        <v>-1804253</v>
      </c>
      <c r="E277" s="43">
        <f t="shared" si="147"/>
        <v>1059</v>
      </c>
      <c r="F277" s="112">
        <f t="shared" si="147"/>
        <v>0</v>
      </c>
      <c r="G277" s="112">
        <f t="shared" si="147"/>
        <v>0</v>
      </c>
      <c r="H277" s="112">
        <f t="shared" ref="H277:N280" si="149">H116-H190</f>
        <v>0</v>
      </c>
      <c r="I277" s="112">
        <f t="shared" si="149"/>
        <v>0</v>
      </c>
      <c r="J277" s="112">
        <f t="shared" si="149"/>
        <v>0</v>
      </c>
      <c r="K277" s="112">
        <f t="shared" si="149"/>
        <v>0</v>
      </c>
      <c r="L277" s="112">
        <f t="shared" si="149"/>
        <v>0</v>
      </c>
      <c r="M277" s="112">
        <f t="shared" si="149"/>
        <v>0</v>
      </c>
      <c r="N277" s="112">
        <f t="shared" si="149"/>
        <v>0</v>
      </c>
    </row>
    <row r="278" spans="1:17" x14ac:dyDescent="0.2">
      <c r="A278" s="39">
        <f>A277+1</f>
        <v>21</v>
      </c>
      <c r="B278" s="42"/>
      <c r="C278" s="42"/>
      <c r="D278" s="43">
        <f t="shared" si="147"/>
        <v>0</v>
      </c>
      <c r="E278" s="43">
        <f t="shared" si="147"/>
        <v>0</v>
      </c>
      <c r="F278" s="112">
        <f t="shared" si="147"/>
        <v>0</v>
      </c>
      <c r="G278" s="112">
        <f t="shared" si="147"/>
        <v>0</v>
      </c>
      <c r="H278" s="112">
        <f t="shared" si="149"/>
        <v>0</v>
      </c>
      <c r="I278" s="112">
        <f t="shared" si="149"/>
        <v>0</v>
      </c>
      <c r="J278" s="112">
        <f t="shared" si="149"/>
        <v>0</v>
      </c>
      <c r="K278" s="112">
        <f t="shared" si="149"/>
        <v>0</v>
      </c>
      <c r="L278" s="112">
        <f t="shared" si="149"/>
        <v>0</v>
      </c>
      <c r="M278" s="112">
        <f t="shared" si="149"/>
        <v>0</v>
      </c>
      <c r="N278" s="112">
        <f t="shared" si="149"/>
        <v>0</v>
      </c>
    </row>
    <row r="279" spans="1:17" x14ac:dyDescent="0.2">
      <c r="A279" s="39">
        <f>A278+1</f>
        <v>22</v>
      </c>
      <c r="B279" s="42"/>
      <c r="C279" s="42"/>
      <c r="D279" s="43">
        <f t="shared" si="147"/>
        <v>0</v>
      </c>
      <c r="E279" s="43">
        <f t="shared" si="147"/>
        <v>0</v>
      </c>
      <c r="F279" s="112">
        <f t="shared" si="147"/>
        <v>0</v>
      </c>
      <c r="G279" s="112">
        <f t="shared" si="147"/>
        <v>0</v>
      </c>
      <c r="H279" s="112">
        <f t="shared" si="149"/>
        <v>0</v>
      </c>
      <c r="I279" s="112">
        <f t="shared" si="149"/>
        <v>0</v>
      </c>
      <c r="J279" s="112">
        <f t="shared" si="149"/>
        <v>0</v>
      </c>
      <c r="K279" s="112">
        <f t="shared" si="149"/>
        <v>0</v>
      </c>
      <c r="L279" s="112">
        <f t="shared" si="149"/>
        <v>0</v>
      </c>
      <c r="M279" s="112">
        <f t="shared" si="149"/>
        <v>0</v>
      </c>
      <c r="N279" s="112">
        <f t="shared" si="149"/>
        <v>0</v>
      </c>
    </row>
    <row r="280" spans="1:17" x14ac:dyDescent="0.2">
      <c r="A280" s="39">
        <f>A279+1</f>
        <v>23</v>
      </c>
      <c r="B280" s="42"/>
      <c r="C280" s="42"/>
      <c r="D280" s="43">
        <f t="shared" si="147"/>
        <v>0</v>
      </c>
      <c r="E280" s="43">
        <f t="shared" si="147"/>
        <v>0</v>
      </c>
      <c r="F280" s="112">
        <f t="shared" si="147"/>
        <v>0</v>
      </c>
      <c r="G280" s="112">
        <f t="shared" si="147"/>
        <v>0</v>
      </c>
      <c r="H280" s="112">
        <f t="shared" si="149"/>
        <v>0</v>
      </c>
      <c r="I280" s="112">
        <f t="shared" si="149"/>
        <v>0</v>
      </c>
      <c r="J280" s="112">
        <f t="shared" si="149"/>
        <v>0</v>
      </c>
      <c r="K280" s="112">
        <f t="shared" si="149"/>
        <v>0</v>
      </c>
      <c r="L280" s="112">
        <f t="shared" si="149"/>
        <v>0</v>
      </c>
      <c r="M280" s="112">
        <f t="shared" si="149"/>
        <v>0</v>
      </c>
      <c r="N280" s="112">
        <f t="shared" si="149"/>
        <v>0</v>
      </c>
    </row>
    <row r="281" spans="1:17" x14ac:dyDescent="0.2">
      <c r="D281" s="41"/>
      <c r="E281" s="41"/>
      <c r="F281" s="113"/>
      <c r="G281" s="113"/>
      <c r="H281" s="113"/>
      <c r="I281" s="113"/>
      <c r="J281" s="113"/>
      <c r="K281" s="113"/>
      <c r="L281" s="113"/>
      <c r="M281" s="113"/>
      <c r="N281" s="113"/>
    </row>
    <row r="282" spans="1:17" x14ac:dyDescent="0.2">
      <c r="A282" s="39">
        <f>A280+1</f>
        <v>24</v>
      </c>
      <c r="B282" s="42" t="s">
        <v>158</v>
      </c>
      <c r="D282" s="43">
        <f>D121-D195</f>
        <v>5421781814</v>
      </c>
      <c r="E282" s="43">
        <f>E121-E195</f>
        <v>5514835219</v>
      </c>
      <c r="F282" s="112">
        <f>F121-F195</f>
        <v>3417862.42</v>
      </c>
      <c r="G282" s="112">
        <f>G121-G195</f>
        <v>5856179.5000000009</v>
      </c>
      <c r="H282" s="149">
        <f t="shared" ref="H282:Q282" si="150">IF(H121&gt;0,H195/H121,0)</f>
        <v>0</v>
      </c>
      <c r="I282" s="149">
        <f t="shared" si="150"/>
        <v>0</v>
      </c>
      <c r="J282" s="149">
        <f t="shared" si="150"/>
        <v>0</v>
      </c>
      <c r="K282" s="149">
        <f t="shared" si="150"/>
        <v>-7.7340351996870132E-4</v>
      </c>
      <c r="L282" s="149">
        <f t="shared" si="150"/>
        <v>-1.4710118043073663E-3</v>
      </c>
      <c r="M282" s="149">
        <f t="shared" si="150"/>
        <v>-2.17853073440691E-3</v>
      </c>
      <c r="N282" s="149">
        <f t="shared" si="150"/>
        <v>-2.200166612784547E-3</v>
      </c>
      <c r="O282" s="149">
        <f t="shared" si="150"/>
        <v>0</v>
      </c>
      <c r="P282" s="149">
        <f t="shared" si="150"/>
        <v>-1.1385712911420448E-3</v>
      </c>
      <c r="Q282" s="149">
        <f t="shared" si="150"/>
        <v>-2.1894621958644012E-3</v>
      </c>
    </row>
    <row r="283" spans="1:17" x14ac:dyDescent="0.2">
      <c r="D283" s="41"/>
      <c r="E283" s="41"/>
      <c r="F283" s="113"/>
      <c r="G283" s="113"/>
      <c r="H283" s="113"/>
      <c r="I283" s="113"/>
      <c r="J283" s="113"/>
      <c r="K283" s="113"/>
      <c r="L283" s="113"/>
      <c r="M283" s="113"/>
      <c r="N283" s="113"/>
    </row>
    <row r="284" spans="1:17" x14ac:dyDescent="0.2">
      <c r="B284" s="42" t="s">
        <v>156</v>
      </c>
      <c r="C284" s="42"/>
      <c r="D284" s="41"/>
      <c r="E284" s="41"/>
      <c r="F284" s="113"/>
      <c r="G284" s="113"/>
      <c r="H284" s="113"/>
      <c r="I284" s="113"/>
      <c r="J284" s="113"/>
      <c r="K284" s="113"/>
      <c r="L284" s="113"/>
      <c r="M284" s="113"/>
      <c r="N284" s="113"/>
    </row>
    <row r="285" spans="1:17" x14ac:dyDescent="0.2">
      <c r="A285" s="39">
        <f>A282+1</f>
        <v>25</v>
      </c>
      <c r="B285" s="39" t="s">
        <v>153</v>
      </c>
      <c r="D285" s="43">
        <f t="shared" ref="D285:G289" si="151">D124-D198</f>
        <v>0</v>
      </c>
      <c r="E285" s="43">
        <f t="shared" si="151"/>
        <v>0</v>
      </c>
      <c r="F285" s="112">
        <f t="shared" si="151"/>
        <v>40007.300000000003</v>
      </c>
      <c r="G285" s="112">
        <f t="shared" si="151"/>
        <v>44268.2</v>
      </c>
      <c r="H285" s="149">
        <f t="shared" ref="H285:Q285" si="152">IF(H124&gt;0,H198/H124,0)</f>
        <v>0</v>
      </c>
      <c r="I285" s="149">
        <f t="shared" si="152"/>
        <v>0</v>
      </c>
      <c r="J285" s="149">
        <f t="shared" si="152"/>
        <v>0</v>
      </c>
      <c r="K285" s="149">
        <f t="shared" si="152"/>
        <v>-7.7267760529433932E-4</v>
      </c>
      <c r="L285" s="149">
        <f t="shared" si="152"/>
        <v>2.1027675470732679E-4</v>
      </c>
      <c r="M285" s="149">
        <f t="shared" si="152"/>
        <v>3.1501050035003593E-4</v>
      </c>
      <c r="N285" s="149">
        <f t="shared" si="152"/>
        <v>-3.057813140281385E-2</v>
      </c>
      <c r="O285" s="149">
        <f t="shared" si="152"/>
        <v>0</v>
      </c>
      <c r="P285" s="149">
        <f t="shared" si="152"/>
        <v>-2.8075626660837666E-4</v>
      </c>
      <c r="Q285" s="149">
        <f t="shared" si="152"/>
        <v>-1.4945262554189228E-2</v>
      </c>
    </row>
    <row r="286" spans="1:17" x14ac:dyDescent="0.2">
      <c r="A286" s="39">
        <f>A285+1</f>
        <v>26</v>
      </c>
      <c r="B286" s="39" t="s">
        <v>152</v>
      </c>
      <c r="D286" s="43">
        <f t="shared" si="151"/>
        <v>0</v>
      </c>
      <c r="E286" s="43">
        <f t="shared" si="151"/>
        <v>0</v>
      </c>
      <c r="F286" s="112">
        <f t="shared" si="151"/>
        <v>22380.3</v>
      </c>
      <c r="G286" s="112">
        <f t="shared" si="151"/>
        <v>25083.3</v>
      </c>
      <c r="H286" s="149">
        <f t="shared" ref="H286:Q286" si="153">IF(H125&gt;0,H199/H125,0)</f>
        <v>0</v>
      </c>
      <c r="I286" s="149">
        <f t="shared" si="153"/>
        <v>0</v>
      </c>
      <c r="J286" s="149">
        <f t="shared" si="153"/>
        <v>0</v>
      </c>
      <c r="K286" s="149">
        <f t="shared" si="153"/>
        <v>-9.3186449345845749E-4</v>
      </c>
      <c r="L286" s="149">
        <f t="shared" si="153"/>
        <v>5.3891532473242742E-4</v>
      </c>
      <c r="M286" s="149">
        <f t="shared" si="153"/>
        <v>-5.6239957150509227E-3</v>
      </c>
      <c r="N286" s="149">
        <f t="shared" si="153"/>
        <v>-3.8505691821641231E-3</v>
      </c>
      <c r="O286" s="149">
        <f t="shared" si="153"/>
        <v>0</v>
      </c>
      <c r="P286" s="149">
        <f t="shared" si="153"/>
        <v>-1.9456570109078344E-4</v>
      </c>
      <c r="Q286" s="149">
        <f t="shared" si="153"/>
        <v>-4.7492504086402614E-3</v>
      </c>
    </row>
    <row r="287" spans="1:17" x14ac:dyDescent="0.2">
      <c r="A287" s="39">
        <f>A286+1</f>
        <v>27</v>
      </c>
      <c r="B287" s="42" t="s">
        <v>174</v>
      </c>
      <c r="D287" s="43">
        <f t="shared" si="151"/>
        <v>0</v>
      </c>
      <c r="E287" s="43">
        <f t="shared" si="151"/>
        <v>0</v>
      </c>
      <c r="F287" s="112">
        <f t="shared" si="151"/>
        <v>18540.599999999999</v>
      </c>
      <c r="G287" s="112">
        <f t="shared" si="151"/>
        <v>20383.5</v>
      </c>
      <c r="H287" s="149">
        <f t="shared" ref="H287:Q287" si="154">IF(H126&gt;0,H200/H126,0)</f>
        <v>0</v>
      </c>
      <c r="I287" s="149">
        <f t="shared" si="154"/>
        <v>0</v>
      </c>
      <c r="J287" s="149">
        <f t="shared" si="154"/>
        <v>0</v>
      </c>
      <c r="K287" s="149">
        <f t="shared" si="154"/>
        <v>-1.0981953122522412E-3</v>
      </c>
      <c r="L287" s="149">
        <f t="shared" si="154"/>
        <v>9.5557564511262875E-4</v>
      </c>
      <c r="M287" s="149">
        <f t="shared" si="154"/>
        <v>1.0470820227830825E-3</v>
      </c>
      <c r="N287" s="149">
        <f t="shared" si="154"/>
        <v>-6.2999899601753019E-3</v>
      </c>
      <c r="O287" s="149">
        <f t="shared" si="154"/>
        <v>0</v>
      </c>
      <c r="P287" s="149">
        <f t="shared" si="154"/>
        <v>-7.1366833453715041E-5</v>
      </c>
      <c r="Q287" s="149">
        <f t="shared" si="154"/>
        <v>-2.5779579435778956E-3</v>
      </c>
    </row>
    <row r="288" spans="1:17" x14ac:dyDescent="0.2">
      <c r="A288" s="39">
        <f>A287+1</f>
        <v>28</v>
      </c>
      <c r="B288" s="42" t="s">
        <v>168</v>
      </c>
      <c r="C288" s="42"/>
      <c r="D288" s="43">
        <f t="shared" si="151"/>
        <v>0</v>
      </c>
      <c r="E288" s="43">
        <f t="shared" si="151"/>
        <v>0</v>
      </c>
      <c r="F288" s="112">
        <f t="shared" si="151"/>
        <v>0</v>
      </c>
      <c r="G288" s="112">
        <f t="shared" si="151"/>
        <v>0</v>
      </c>
      <c r="H288" s="149">
        <f t="shared" ref="H288:Q288" si="155">IF(H127&gt;0,H201/H127,0)</f>
        <v>0</v>
      </c>
      <c r="I288" s="149">
        <f t="shared" si="155"/>
        <v>0</v>
      </c>
      <c r="J288" s="149">
        <f t="shared" si="155"/>
        <v>0</v>
      </c>
      <c r="K288" s="149">
        <f t="shared" si="155"/>
        <v>-7.1393299738862798E-5</v>
      </c>
      <c r="L288" s="149">
        <f t="shared" si="155"/>
        <v>-3.2301042949035581E-2</v>
      </c>
      <c r="M288" s="149">
        <f t="shared" si="155"/>
        <v>-4.3747749936022366E-2</v>
      </c>
      <c r="N288" s="149">
        <f t="shared" si="155"/>
        <v>-5.41161676387052E-2</v>
      </c>
      <c r="O288" s="149">
        <f t="shared" si="155"/>
        <v>0</v>
      </c>
      <c r="P288" s="149">
        <f t="shared" si="155"/>
        <v>-1.7072224533627074E-2</v>
      </c>
      <c r="Q288" s="149">
        <f t="shared" si="155"/>
        <v>-4.8932700731193206E-2</v>
      </c>
    </row>
    <row r="289" spans="1:17" x14ac:dyDescent="0.2">
      <c r="A289" s="39">
        <f>A288+1</f>
        <v>29</v>
      </c>
      <c r="B289" s="39" t="s">
        <v>154</v>
      </c>
      <c r="D289" s="43">
        <f t="shared" si="151"/>
        <v>224945858</v>
      </c>
      <c r="E289" s="43">
        <f t="shared" si="151"/>
        <v>351087875</v>
      </c>
      <c r="F289" s="112">
        <f t="shared" si="151"/>
        <v>379954.5</v>
      </c>
      <c r="G289" s="112">
        <f t="shared" si="151"/>
        <v>410867.9</v>
      </c>
      <c r="H289" s="149">
        <f t="shared" ref="H289:Q289" si="156">IF(H128&gt;0,H202/H128,0)</f>
        <v>0</v>
      </c>
      <c r="I289" s="149">
        <f t="shared" si="156"/>
        <v>0</v>
      </c>
      <c r="J289" s="149">
        <f t="shared" si="156"/>
        <v>0</v>
      </c>
      <c r="K289" s="149">
        <f t="shared" si="156"/>
        <v>-7.1908858958207164E-4</v>
      </c>
      <c r="L289" s="149">
        <f t="shared" si="156"/>
        <v>-9.8664888667135539E-4</v>
      </c>
      <c r="M289" s="149">
        <f t="shared" si="156"/>
        <v>-1.4535524943647794E-4</v>
      </c>
      <c r="N289" s="149">
        <f t="shared" si="156"/>
        <v>-1.1351611783101275E-3</v>
      </c>
      <c r="O289" s="149">
        <f t="shared" si="156"/>
        <v>0</v>
      </c>
      <c r="P289" s="149">
        <f t="shared" si="156"/>
        <v>-8.552204937043637E-4</v>
      </c>
      <c r="Q289" s="149">
        <f t="shared" si="156"/>
        <v>-6.5843163199852438E-4</v>
      </c>
    </row>
    <row r="290" spans="1:17" x14ac:dyDescent="0.2">
      <c r="D290" s="41"/>
      <c r="E290" s="41"/>
      <c r="F290" s="113"/>
      <c r="G290" s="113"/>
      <c r="H290" s="113"/>
      <c r="I290" s="113"/>
      <c r="J290" s="113"/>
      <c r="K290" s="113"/>
      <c r="L290" s="113"/>
      <c r="M290" s="113"/>
      <c r="N290" s="113"/>
    </row>
    <row r="291" spans="1:17" x14ac:dyDescent="0.2">
      <c r="A291" s="39">
        <f>A289+1</f>
        <v>30</v>
      </c>
      <c r="B291" s="42" t="s">
        <v>159</v>
      </c>
      <c r="C291" s="42"/>
      <c r="D291" s="43">
        <f>D130-D204</f>
        <v>224945858</v>
      </c>
      <c r="E291" s="43">
        <f>E130-E204</f>
        <v>351087875</v>
      </c>
      <c r="F291" s="112">
        <f>F130-F204</f>
        <v>460882.7</v>
      </c>
      <c r="G291" s="112">
        <f>G130-G204</f>
        <v>500602.9</v>
      </c>
      <c r="H291" s="149">
        <f t="shared" ref="H291:Q291" si="157">IF(H130&gt;0,H204/H130,0)</f>
        <v>0</v>
      </c>
      <c r="I291" s="149">
        <f t="shared" si="157"/>
        <v>0</v>
      </c>
      <c r="J291" s="149">
        <f t="shared" si="157"/>
        <v>0</v>
      </c>
      <c r="K291" s="149">
        <f t="shared" si="157"/>
        <v>-7.4158189899414416E-4</v>
      </c>
      <c r="L291" s="149">
        <f t="shared" si="157"/>
        <v>-1.2644369777027745E-3</v>
      </c>
      <c r="M291" s="149">
        <f t="shared" si="157"/>
        <v>-1.4960249894203055E-3</v>
      </c>
      <c r="N291" s="149">
        <f t="shared" si="157"/>
        <v>-5.9352183164859277E-3</v>
      </c>
      <c r="O291" s="149">
        <f t="shared" si="157"/>
        <v>0</v>
      </c>
      <c r="P291" s="149">
        <f t="shared" si="157"/>
        <v>-1.0067972096318599E-3</v>
      </c>
      <c r="Q291" s="149">
        <f t="shared" si="157"/>
        <v>-3.7717730915419584E-3</v>
      </c>
    </row>
    <row r="292" spans="1:17" x14ac:dyDescent="0.2">
      <c r="B292" s="42"/>
      <c r="C292" s="42"/>
      <c r="D292" s="41"/>
      <c r="E292" s="41"/>
      <c r="F292" s="113"/>
      <c r="G292" s="113"/>
      <c r="H292" s="113"/>
      <c r="I292" s="113"/>
      <c r="J292" s="113"/>
      <c r="K292" s="113"/>
      <c r="L292" s="113"/>
      <c r="M292" s="113"/>
      <c r="N292" s="113"/>
    </row>
    <row r="293" spans="1:17" x14ac:dyDescent="0.2">
      <c r="B293" s="42" t="s">
        <v>157</v>
      </c>
      <c r="C293" s="42"/>
      <c r="D293" s="41"/>
      <c r="E293" s="41"/>
      <c r="F293" s="113"/>
      <c r="G293" s="113"/>
      <c r="H293" s="113"/>
      <c r="I293" s="113"/>
      <c r="J293" s="113"/>
      <c r="K293" s="113"/>
      <c r="L293" s="113"/>
      <c r="M293" s="113"/>
      <c r="N293" s="113"/>
    </row>
    <row r="294" spans="1:17" x14ac:dyDescent="0.2">
      <c r="A294" s="39">
        <f>A291+1</f>
        <v>31</v>
      </c>
      <c r="B294" s="39" t="s">
        <v>141</v>
      </c>
      <c r="D294" s="43">
        <f>D133-D207</f>
        <v>4490060320</v>
      </c>
      <c r="E294" s="43">
        <f>E133-E207</f>
        <v>4403575277</v>
      </c>
      <c r="F294" s="112">
        <f>F133-F207</f>
        <v>4384973.8</v>
      </c>
      <c r="G294" s="112">
        <f>G133-G207</f>
        <v>4558383.7</v>
      </c>
      <c r="H294" s="149">
        <f t="shared" ref="H294:Q294" si="158">IF(H133&gt;0,H207/H133,0)</f>
        <v>0</v>
      </c>
      <c r="I294" s="149">
        <f t="shared" si="158"/>
        <v>0</v>
      </c>
      <c r="J294" s="149">
        <f t="shared" si="158"/>
        <v>0</v>
      </c>
      <c r="K294" s="149">
        <f t="shared" si="158"/>
        <v>-7.2824309166578016E-4</v>
      </c>
      <c r="L294" s="149">
        <f t="shared" si="158"/>
        <v>-1.4139780514692969E-3</v>
      </c>
      <c r="M294" s="149">
        <f t="shared" si="158"/>
        <v>-1.59628473608437E-3</v>
      </c>
      <c r="N294" s="149">
        <f t="shared" si="158"/>
        <v>-1.8098520371139285E-3</v>
      </c>
      <c r="O294" s="149">
        <f t="shared" si="158"/>
        <v>0</v>
      </c>
      <c r="P294" s="149">
        <f t="shared" si="158"/>
        <v>-1.0713890070920891E-3</v>
      </c>
      <c r="Q294" s="149">
        <f t="shared" si="158"/>
        <v>-1.7035147138873912E-3</v>
      </c>
    </row>
    <row r="295" spans="1:17" x14ac:dyDescent="0.2">
      <c r="A295" s="39">
        <f>A294+1</f>
        <v>32</v>
      </c>
      <c r="B295" s="42" t="s">
        <v>299</v>
      </c>
      <c r="D295" s="43"/>
      <c r="E295" s="43"/>
      <c r="F295" s="112">
        <f>F97</f>
        <v>0</v>
      </c>
      <c r="G295" s="112">
        <f>G97-G208</f>
        <v>0</v>
      </c>
      <c r="H295" s="149">
        <f t="shared" ref="H295:Q295" si="159">IF(H134&gt;0,H208/H134,0)</f>
        <v>0</v>
      </c>
      <c r="I295" s="149">
        <f t="shared" si="159"/>
        <v>0</v>
      </c>
      <c r="J295" s="149">
        <f t="shared" si="159"/>
        <v>0</v>
      </c>
      <c r="K295" s="149">
        <f t="shared" si="159"/>
        <v>0</v>
      </c>
      <c r="L295" s="149">
        <f t="shared" si="159"/>
        <v>0</v>
      </c>
      <c r="M295" s="149">
        <f t="shared" si="159"/>
        <v>0</v>
      </c>
      <c r="N295" s="149">
        <f t="shared" si="159"/>
        <v>0</v>
      </c>
      <c r="O295" s="149">
        <f t="shared" si="159"/>
        <v>0</v>
      </c>
      <c r="P295" s="149">
        <f t="shared" si="159"/>
        <v>0</v>
      </c>
      <c r="Q295" s="149">
        <f t="shared" si="159"/>
        <v>0</v>
      </c>
    </row>
    <row r="296" spans="1:17" x14ac:dyDescent="0.2">
      <c r="A296" s="39">
        <f>A295+1</f>
        <v>33</v>
      </c>
      <c r="B296" s="42" t="s">
        <v>167</v>
      </c>
      <c r="C296" s="42"/>
      <c r="D296" s="43">
        <f t="shared" ref="D296:G297" si="160">D135-D209</f>
        <v>0</v>
      </c>
      <c r="E296" s="43">
        <f t="shared" si="160"/>
        <v>0</v>
      </c>
      <c r="F296" s="112">
        <f t="shared" si="160"/>
        <v>0</v>
      </c>
      <c r="G296" s="112">
        <f t="shared" si="160"/>
        <v>3812.2</v>
      </c>
      <c r="H296" s="149">
        <f t="shared" ref="H296:Q296" si="161">IF(H135&gt;0,H209/H135,0)</f>
        <v>0</v>
      </c>
      <c r="I296" s="149">
        <f t="shared" si="161"/>
        <v>0</v>
      </c>
      <c r="J296" s="149">
        <f t="shared" si="161"/>
        <v>0</v>
      </c>
      <c r="K296" s="149">
        <f t="shared" si="161"/>
        <v>-7.8243133945209034E-4</v>
      </c>
      <c r="L296" s="149">
        <f t="shared" si="161"/>
        <v>-1.4131112144855789E-3</v>
      </c>
      <c r="M296" s="149">
        <f t="shared" si="161"/>
        <v>-1.5998880952588473E-3</v>
      </c>
      <c r="N296" s="149">
        <f t="shared" si="161"/>
        <v>-1.8119868565929132E-3</v>
      </c>
      <c r="O296" s="149">
        <f t="shared" si="161"/>
        <v>0</v>
      </c>
      <c r="P296" s="149">
        <f t="shared" si="161"/>
        <v>-1.098027503392905E-3</v>
      </c>
      <c r="Q296" s="149">
        <f t="shared" si="161"/>
        <v>-1.7063806447679885E-3</v>
      </c>
    </row>
    <row r="297" spans="1:17" x14ac:dyDescent="0.2">
      <c r="A297" s="39">
        <f>A296+1</f>
        <v>34</v>
      </c>
      <c r="B297" s="39" t="s">
        <v>142</v>
      </c>
      <c r="D297" s="43">
        <f t="shared" si="160"/>
        <v>0</v>
      </c>
      <c r="E297" s="43">
        <f t="shared" si="160"/>
        <v>50351550</v>
      </c>
      <c r="F297" s="112">
        <f t="shared" si="160"/>
        <v>52327.4</v>
      </c>
      <c r="G297" s="112">
        <f t="shared" si="160"/>
        <v>52766.2</v>
      </c>
      <c r="H297" s="149">
        <f t="shared" ref="H297:Q297" si="162">IF(H136&gt;0,H210/H136,0)</f>
        <v>0</v>
      </c>
      <c r="I297" s="149">
        <f t="shared" si="162"/>
        <v>0</v>
      </c>
      <c r="J297" s="149">
        <f t="shared" si="162"/>
        <v>0</v>
      </c>
      <c r="K297" s="149">
        <f t="shared" si="162"/>
        <v>-2.9279592309473948E-3</v>
      </c>
      <c r="L297" s="149">
        <f t="shared" si="162"/>
        <v>-2.2144762900805459E-3</v>
      </c>
      <c r="M297" s="149">
        <f t="shared" si="162"/>
        <v>-1.852287059995072E-3</v>
      </c>
      <c r="N297" s="149">
        <f t="shared" si="162"/>
        <v>-1.7611317436778662E-3</v>
      </c>
      <c r="O297" s="149">
        <f t="shared" si="162"/>
        <v>0</v>
      </c>
      <c r="P297" s="149">
        <f t="shared" si="162"/>
        <v>-2.5593123816532175E-3</v>
      </c>
      <c r="Q297" s="149">
        <f t="shared" si="162"/>
        <v>-1.8053892963504951E-3</v>
      </c>
    </row>
    <row r="298" spans="1:17" x14ac:dyDescent="0.2">
      <c r="B298" s="42" t="s">
        <v>171</v>
      </c>
      <c r="D298" s="43"/>
      <c r="E298" s="43"/>
      <c r="F298" s="112"/>
      <c r="G298" s="112"/>
      <c r="H298" s="112"/>
      <c r="I298" s="112"/>
      <c r="J298" s="112"/>
      <c r="K298" s="112"/>
      <c r="L298" s="112"/>
      <c r="M298" s="112"/>
      <c r="N298" s="112"/>
    </row>
    <row r="299" spans="1:17" x14ac:dyDescent="0.2">
      <c r="A299" s="39">
        <f>A297+1</f>
        <v>35</v>
      </c>
      <c r="C299" s="39" t="s">
        <v>143</v>
      </c>
      <c r="D299" s="43">
        <f t="shared" ref="D299:G305" si="163">D138-D212</f>
        <v>262694686</v>
      </c>
      <c r="E299" s="43">
        <f t="shared" si="163"/>
        <v>249146954</v>
      </c>
      <c r="F299" s="112">
        <f t="shared" si="163"/>
        <v>265074.5</v>
      </c>
      <c r="G299" s="112">
        <f t="shared" si="163"/>
        <v>292547.5</v>
      </c>
      <c r="H299" s="149">
        <f t="shared" ref="H299:Q299" si="164">IF(H138&gt;0,H212/H138,0)</f>
        <v>0</v>
      </c>
      <c r="I299" s="149">
        <f t="shared" si="164"/>
        <v>0</v>
      </c>
      <c r="J299" s="149">
        <f t="shared" si="164"/>
        <v>0</v>
      </c>
      <c r="K299" s="149">
        <f t="shared" si="164"/>
        <v>-4.0977694567183788E-5</v>
      </c>
      <c r="L299" s="149">
        <f t="shared" si="164"/>
        <v>6.5176821094976425E-6</v>
      </c>
      <c r="M299" s="149">
        <f t="shared" si="164"/>
        <v>-1.08521475148191E-2</v>
      </c>
      <c r="N299" s="149">
        <f t="shared" si="164"/>
        <v>-9.7478243592985722E-3</v>
      </c>
      <c r="O299" s="149">
        <f t="shared" si="164"/>
        <v>0</v>
      </c>
      <c r="P299" s="149">
        <f t="shared" si="164"/>
        <v>-1.5604249411220889E-5</v>
      </c>
      <c r="Q299" s="149">
        <f t="shared" si="164"/>
        <v>-1.0288072742765417E-2</v>
      </c>
    </row>
    <row r="300" spans="1:17" x14ac:dyDescent="0.2">
      <c r="A300" s="39">
        <f t="shared" ref="A300:A312" si="165">A299+1</f>
        <v>36</v>
      </c>
      <c r="C300" s="39" t="s">
        <v>144</v>
      </c>
      <c r="D300" s="43">
        <f t="shared" si="163"/>
        <v>36857227</v>
      </c>
      <c r="E300" s="43">
        <f t="shared" si="163"/>
        <v>28818713</v>
      </c>
      <c r="F300" s="112">
        <f t="shared" si="163"/>
        <v>29477.7</v>
      </c>
      <c r="G300" s="112">
        <f t="shared" si="163"/>
        <v>30912.7</v>
      </c>
      <c r="H300" s="149">
        <f t="shared" ref="H300:Q300" si="166">IF(H139&gt;0,H213/H139,0)</f>
        <v>0</v>
      </c>
      <c r="I300" s="149">
        <f t="shared" si="166"/>
        <v>0</v>
      </c>
      <c r="J300" s="149">
        <f t="shared" si="166"/>
        <v>0</v>
      </c>
      <c r="K300" s="149">
        <f t="shared" si="166"/>
        <v>-1.4145427569123989E-4</v>
      </c>
      <c r="L300" s="149">
        <f t="shared" si="166"/>
        <v>-1.7240401162387788E-3</v>
      </c>
      <c r="M300" s="149">
        <f t="shared" si="166"/>
        <v>-1.6906144139832101E-3</v>
      </c>
      <c r="N300" s="149">
        <f t="shared" si="166"/>
        <v>-1.738585637089827E-3</v>
      </c>
      <c r="O300" s="149">
        <f t="shared" si="166"/>
        <v>0</v>
      </c>
      <c r="P300" s="149">
        <f t="shared" si="166"/>
        <v>-9.3169363646946484E-4</v>
      </c>
      <c r="Q300" s="149">
        <f t="shared" si="166"/>
        <v>-1.7146598708351916E-3</v>
      </c>
    </row>
    <row r="301" spans="1:17" x14ac:dyDescent="0.2">
      <c r="A301" s="39">
        <f t="shared" si="165"/>
        <v>37</v>
      </c>
      <c r="B301" s="42"/>
      <c r="C301" s="42" t="s">
        <v>170</v>
      </c>
      <c r="D301" s="43">
        <f t="shared" si="163"/>
        <v>9779108</v>
      </c>
      <c r="E301" s="43">
        <f t="shared" si="163"/>
        <v>7276758</v>
      </c>
      <c r="F301" s="112">
        <f t="shared" si="163"/>
        <v>7434.3</v>
      </c>
      <c r="G301" s="112">
        <f t="shared" si="163"/>
        <v>7883.2</v>
      </c>
      <c r="H301" s="149">
        <f t="shared" ref="H301:Q301" si="167">IF(H140&gt;0,H214/H140,0)</f>
        <v>0</v>
      </c>
      <c r="I301" s="149">
        <f t="shared" si="167"/>
        <v>0</v>
      </c>
      <c r="J301" s="149">
        <f t="shared" si="167"/>
        <v>0</v>
      </c>
      <c r="K301" s="149">
        <f t="shared" si="167"/>
        <v>2.0589588934899456E-4</v>
      </c>
      <c r="L301" s="149">
        <f t="shared" si="167"/>
        <v>-1.3097576948264572E-3</v>
      </c>
      <c r="M301" s="149">
        <f t="shared" si="167"/>
        <v>-1.686260539128456E-3</v>
      </c>
      <c r="N301" s="149">
        <f t="shared" si="167"/>
        <v>-2.3356533374021002E-3</v>
      </c>
      <c r="O301" s="149">
        <f t="shared" si="167"/>
        <v>0</v>
      </c>
      <c r="P301" s="149">
        <f t="shared" si="167"/>
        <v>-5.5838752093948841E-4</v>
      </c>
      <c r="Q301" s="149">
        <f t="shared" si="167"/>
        <v>-2.0128563080318604E-3</v>
      </c>
    </row>
    <row r="302" spans="1:17" x14ac:dyDescent="0.2">
      <c r="A302" s="39">
        <f t="shared" si="165"/>
        <v>38</v>
      </c>
      <c r="B302" s="39" t="s">
        <v>145</v>
      </c>
      <c r="D302" s="43">
        <f t="shared" si="163"/>
        <v>16471551</v>
      </c>
      <c r="E302" s="43">
        <f t="shared" si="163"/>
        <v>16909578</v>
      </c>
      <c r="F302" s="112">
        <f t="shared" si="163"/>
        <v>17548.599999999999</v>
      </c>
      <c r="G302" s="112">
        <f t="shared" si="163"/>
        <v>18853.099999999999</v>
      </c>
      <c r="H302" s="149">
        <f t="shared" ref="H302:Q302" si="168">IF(H141&gt;0,H215/H141,0)</f>
        <v>0</v>
      </c>
      <c r="I302" s="149">
        <f t="shared" si="168"/>
        <v>0</v>
      </c>
      <c r="J302" s="149">
        <f t="shared" si="168"/>
        <v>0</v>
      </c>
      <c r="K302" s="149">
        <f t="shared" si="168"/>
        <v>3.4235144087131542E-5</v>
      </c>
      <c r="L302" s="149">
        <f t="shared" si="168"/>
        <v>2.5969817017266923E-3</v>
      </c>
      <c r="M302" s="149">
        <f t="shared" si="168"/>
        <v>3.5240172137876138E-4</v>
      </c>
      <c r="N302" s="149">
        <f t="shared" si="168"/>
        <v>7.3876462138283298E-5</v>
      </c>
      <c r="O302" s="149">
        <f t="shared" si="168"/>
        <v>0</v>
      </c>
      <c r="P302" s="149">
        <f t="shared" si="168"/>
        <v>1.3178663807374576E-3</v>
      </c>
      <c r="Q302" s="149">
        <f t="shared" si="168"/>
        <v>2.124359598393512E-4</v>
      </c>
    </row>
    <row r="303" spans="1:17" x14ac:dyDescent="0.2">
      <c r="A303" s="39">
        <f t="shared" si="165"/>
        <v>39</v>
      </c>
      <c r="B303" s="39" t="s">
        <v>146</v>
      </c>
      <c r="D303" s="43">
        <f t="shared" si="163"/>
        <v>56478364</v>
      </c>
      <c r="E303" s="43">
        <f t="shared" si="163"/>
        <v>55913098</v>
      </c>
      <c r="F303" s="112">
        <f t="shared" si="163"/>
        <v>55511.199999999997</v>
      </c>
      <c r="G303" s="112">
        <f t="shared" si="163"/>
        <v>57332.800000000003</v>
      </c>
      <c r="H303" s="149">
        <f t="shared" ref="H303:Q303" si="169">IF(H142&gt;0,H216/H142,0)</f>
        <v>0</v>
      </c>
      <c r="I303" s="149">
        <f t="shared" si="169"/>
        <v>0</v>
      </c>
      <c r="J303" s="149">
        <f t="shared" si="169"/>
        <v>0</v>
      </c>
      <c r="K303" s="149">
        <f t="shared" si="169"/>
        <v>-8.9335361607836134E-4</v>
      </c>
      <c r="L303" s="149">
        <f t="shared" si="169"/>
        <v>1.0097727430999103E-3</v>
      </c>
      <c r="M303" s="149">
        <f t="shared" si="169"/>
        <v>2.1573555511568898E-3</v>
      </c>
      <c r="N303" s="149">
        <f t="shared" si="169"/>
        <v>2.1593222433570467E-3</v>
      </c>
      <c r="O303" s="149">
        <f t="shared" si="169"/>
        <v>0</v>
      </c>
      <c r="P303" s="149">
        <f t="shared" si="169"/>
        <v>6.1565442817839767E-5</v>
      </c>
      <c r="Q303" s="149">
        <f t="shared" si="169"/>
        <v>2.1583369305614294E-3</v>
      </c>
    </row>
    <row r="304" spans="1:17" x14ac:dyDescent="0.2">
      <c r="A304" s="39">
        <f t="shared" si="165"/>
        <v>40</v>
      </c>
      <c r="B304" s="39" t="s">
        <v>148</v>
      </c>
      <c r="D304" s="43">
        <f t="shared" si="163"/>
        <v>25114308</v>
      </c>
      <c r="E304" s="43">
        <f t="shared" si="163"/>
        <v>18869558</v>
      </c>
      <c r="F304" s="112">
        <f t="shared" si="163"/>
        <v>12876.8</v>
      </c>
      <c r="G304" s="112">
        <f t="shared" si="163"/>
        <v>8213.5</v>
      </c>
      <c r="H304" s="149">
        <f t="shared" ref="H304:Q304" si="170">IF(H143&gt;0,H217/H143,0)</f>
        <v>0</v>
      </c>
      <c r="I304" s="149">
        <f t="shared" si="170"/>
        <v>0</v>
      </c>
      <c r="J304" s="149">
        <f t="shared" si="170"/>
        <v>0</v>
      </c>
      <c r="K304" s="149">
        <f t="shared" si="170"/>
        <v>-2.9581422866446603E-4</v>
      </c>
      <c r="L304" s="149">
        <f t="shared" si="170"/>
        <v>2.1482277121375173E-3</v>
      </c>
      <c r="M304" s="149">
        <f t="shared" si="170"/>
        <v>6.7658998646820028E-3</v>
      </c>
      <c r="N304" s="149">
        <f t="shared" si="170"/>
        <v>9.5298602287166457E-3</v>
      </c>
      <c r="O304" s="149">
        <f t="shared" si="170"/>
        <v>0</v>
      </c>
      <c r="P304" s="149">
        <f t="shared" si="170"/>
        <v>5.7224606580821087E-4</v>
      </c>
      <c r="Q304" s="149">
        <f t="shared" si="170"/>
        <v>7.9134792930625163E-3</v>
      </c>
    </row>
    <row r="305" spans="1:17" x14ac:dyDescent="0.2">
      <c r="A305" s="39">
        <f t="shared" si="165"/>
        <v>41</v>
      </c>
      <c r="B305" s="42" t="s">
        <v>244</v>
      </c>
      <c r="D305" s="43">
        <f t="shared" si="163"/>
        <v>0</v>
      </c>
      <c r="E305" s="43">
        <f t="shared" si="163"/>
        <v>0</v>
      </c>
      <c r="F305" s="112">
        <f t="shared" si="163"/>
        <v>0</v>
      </c>
      <c r="G305" s="112">
        <f t="shared" si="163"/>
        <v>-344.9</v>
      </c>
      <c r="H305" s="149">
        <f t="shared" ref="H305:Q305" si="171">IF(H144&gt;0,H218/H144,0)</f>
        <v>0</v>
      </c>
      <c r="I305" s="149">
        <f t="shared" si="171"/>
        <v>0</v>
      </c>
      <c r="J305" s="149">
        <f t="shared" si="171"/>
        <v>0</v>
      </c>
      <c r="K305" s="149">
        <f t="shared" si="171"/>
        <v>0</v>
      </c>
      <c r="L305" s="149">
        <f t="shared" si="171"/>
        <v>0</v>
      </c>
      <c r="M305" s="149">
        <f t="shared" si="171"/>
        <v>0</v>
      </c>
      <c r="N305" s="149">
        <f t="shared" si="171"/>
        <v>0</v>
      </c>
      <c r="O305" s="149">
        <f t="shared" si="171"/>
        <v>0</v>
      </c>
      <c r="P305" s="149">
        <f t="shared" si="171"/>
        <v>0</v>
      </c>
      <c r="Q305" s="149">
        <f t="shared" si="171"/>
        <v>0</v>
      </c>
    </row>
    <row r="306" spans="1:17" x14ac:dyDescent="0.2">
      <c r="A306" s="39">
        <f t="shared" si="165"/>
        <v>42</v>
      </c>
      <c r="B306" s="42" t="s">
        <v>360</v>
      </c>
      <c r="D306" s="43"/>
      <c r="E306" s="43"/>
      <c r="F306" s="112"/>
      <c r="G306" s="112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</row>
    <row r="307" spans="1:17" x14ac:dyDescent="0.2">
      <c r="A307" s="39">
        <f t="shared" si="165"/>
        <v>43</v>
      </c>
      <c r="B307" s="39" t="s">
        <v>147</v>
      </c>
      <c r="D307" s="43">
        <f t="shared" ref="D307:G312" si="172">D146-D220</f>
        <v>198438434</v>
      </c>
      <c r="E307" s="43">
        <f t="shared" si="172"/>
        <v>194217096</v>
      </c>
      <c r="F307" s="112">
        <f t="shared" si="172"/>
        <v>153689.79999999999</v>
      </c>
      <c r="G307" s="112">
        <f t="shared" si="172"/>
        <v>149750.20000000001</v>
      </c>
      <c r="H307" s="149">
        <f t="shared" ref="H307:Q307" si="173">IF(H146&gt;0,H220/H146,0)</f>
        <v>0</v>
      </c>
      <c r="I307" s="149">
        <f t="shared" si="173"/>
        <v>0</v>
      </c>
      <c r="J307" s="149">
        <f t="shared" si="173"/>
        <v>0</v>
      </c>
      <c r="K307" s="149">
        <f t="shared" si="173"/>
        <v>-7.2665927658952521E-4</v>
      </c>
      <c r="L307" s="149">
        <f t="shared" si="173"/>
        <v>-4.2327184153838392E-3</v>
      </c>
      <c r="M307" s="149">
        <f t="shared" si="173"/>
        <v>-4.6205502078190798E-3</v>
      </c>
      <c r="N307" s="149">
        <f t="shared" si="173"/>
        <v>4.0218253101179179E-2</v>
      </c>
      <c r="O307" s="149">
        <f t="shared" si="173"/>
        <v>0</v>
      </c>
      <c r="P307" s="149">
        <f t="shared" si="173"/>
        <v>-2.4809567879262476E-3</v>
      </c>
      <c r="Q307" s="149">
        <f t="shared" si="173"/>
        <v>1.8442712440883278E-2</v>
      </c>
    </row>
    <row r="308" spans="1:17" x14ac:dyDescent="0.2">
      <c r="A308" s="39">
        <f t="shared" si="165"/>
        <v>44</v>
      </c>
      <c r="B308" s="39" t="s">
        <v>149</v>
      </c>
      <c r="D308" s="43">
        <f t="shared" si="172"/>
        <v>34642490</v>
      </c>
      <c r="E308" s="43">
        <f t="shared" si="172"/>
        <v>32112369</v>
      </c>
      <c r="F308" s="112">
        <f t="shared" si="172"/>
        <v>19350.899999999998</v>
      </c>
      <c r="G308" s="112">
        <f t="shared" si="172"/>
        <v>25916.100000000002</v>
      </c>
      <c r="H308" s="149">
        <f t="shared" ref="H308:Q308" si="174">IF(H147&gt;0,H221/H147,0)</f>
        <v>0</v>
      </c>
      <c r="I308" s="149">
        <f t="shared" si="174"/>
        <v>0</v>
      </c>
      <c r="J308" s="149">
        <f t="shared" si="174"/>
        <v>0</v>
      </c>
      <c r="K308" s="149">
        <f t="shared" si="174"/>
        <v>-4.6031157713489449E-4</v>
      </c>
      <c r="L308" s="149">
        <f t="shared" si="174"/>
        <v>-5.9906233721126736E-3</v>
      </c>
      <c r="M308" s="149">
        <f t="shared" si="174"/>
        <v>-1.1563519704677044E-2</v>
      </c>
      <c r="N308" s="149">
        <f t="shared" si="174"/>
        <v>-9.5217691447070868E-4</v>
      </c>
      <c r="O308" s="149">
        <f t="shared" si="174"/>
        <v>0</v>
      </c>
      <c r="P308" s="149">
        <f t="shared" si="174"/>
        <v>-3.1747481204148285E-3</v>
      </c>
      <c r="Q308" s="149">
        <f t="shared" si="174"/>
        <v>-5.8788572827692094E-3</v>
      </c>
    </row>
    <row r="309" spans="1:17" x14ac:dyDescent="0.2">
      <c r="A309" s="39">
        <f t="shared" si="165"/>
        <v>45</v>
      </c>
      <c r="B309" s="42" t="s">
        <v>173</v>
      </c>
      <c r="D309" s="43">
        <f t="shared" si="172"/>
        <v>0</v>
      </c>
      <c r="E309" s="43">
        <f t="shared" si="172"/>
        <v>31986524</v>
      </c>
      <c r="F309" s="112">
        <f t="shared" si="172"/>
        <v>12786</v>
      </c>
      <c r="G309" s="112">
        <f t="shared" si="172"/>
        <v>10650.2</v>
      </c>
      <c r="H309" s="149">
        <f t="shared" ref="H309:Q309" si="175">IF(H148&gt;0,H222/H148,0)</f>
        <v>0</v>
      </c>
      <c r="I309" s="149">
        <f t="shared" si="175"/>
        <v>0</v>
      </c>
      <c r="J309" s="149">
        <f t="shared" si="175"/>
        <v>0</v>
      </c>
      <c r="K309" s="149">
        <f t="shared" si="175"/>
        <v>1.5761368180857538E-3</v>
      </c>
      <c r="L309" s="149">
        <f t="shared" si="175"/>
        <v>-9.8740805385858482E-3</v>
      </c>
      <c r="M309" s="149">
        <f t="shared" si="175"/>
        <v>-1.0156386510570589E-2</v>
      </c>
      <c r="N309" s="149">
        <f t="shared" si="175"/>
        <v>4.9885716358880295E-3</v>
      </c>
      <c r="O309" s="149">
        <f t="shared" si="175"/>
        <v>0</v>
      </c>
      <c r="P309" s="149">
        <f t="shared" si="175"/>
        <v>-3.9823758684966017E-3</v>
      </c>
      <c r="Q309" s="149">
        <f t="shared" si="175"/>
        <v>-1.8828659201268457E-3</v>
      </c>
    </row>
    <row r="310" spans="1:17" x14ac:dyDescent="0.2">
      <c r="A310" s="39">
        <f t="shared" si="165"/>
        <v>46</v>
      </c>
      <c r="B310" s="42" t="s">
        <v>168</v>
      </c>
      <c r="C310" s="42"/>
      <c r="D310" s="43">
        <f t="shared" si="172"/>
        <v>0</v>
      </c>
      <c r="E310" s="43">
        <f t="shared" si="172"/>
        <v>0</v>
      </c>
      <c r="F310" s="112">
        <f t="shared" si="172"/>
        <v>0</v>
      </c>
      <c r="G310" s="112">
        <f t="shared" si="172"/>
        <v>16348.9</v>
      </c>
      <c r="H310" s="149">
        <f t="shared" ref="H310:Q310" si="176">IF(H149&gt;0,H223/H149,0)</f>
        <v>0</v>
      </c>
      <c r="I310" s="149">
        <f t="shared" si="176"/>
        <v>0</v>
      </c>
      <c r="J310" s="149">
        <f t="shared" si="176"/>
        <v>0</v>
      </c>
      <c r="K310" s="149">
        <f t="shared" si="176"/>
        <v>-1.2052578166820315E-5</v>
      </c>
      <c r="L310" s="149">
        <f t="shared" si="176"/>
        <v>-2.6157740283570725E-2</v>
      </c>
      <c r="M310" s="149">
        <f t="shared" si="176"/>
        <v>3.0733863401530806E-3</v>
      </c>
      <c r="N310" s="149">
        <f t="shared" si="176"/>
        <v>8.5338121890025428E-3</v>
      </c>
      <c r="O310" s="149">
        <f t="shared" si="176"/>
        <v>0</v>
      </c>
      <c r="P310" s="149">
        <f t="shared" si="176"/>
        <v>-1.3774434922787649E-2</v>
      </c>
      <c r="Q310" s="149">
        <f t="shared" si="176"/>
        <v>5.8687180403585483E-3</v>
      </c>
    </row>
    <row r="311" spans="1:17" x14ac:dyDescent="0.2">
      <c r="A311" s="39">
        <f t="shared" si="165"/>
        <v>47</v>
      </c>
      <c r="B311" s="42" t="s">
        <v>163</v>
      </c>
      <c r="C311" s="42"/>
      <c r="D311" s="43">
        <f t="shared" si="172"/>
        <v>58417206</v>
      </c>
      <c r="E311" s="43">
        <f t="shared" si="172"/>
        <v>67208298</v>
      </c>
      <c r="F311" s="112">
        <f t="shared" si="172"/>
        <v>116067.69999999998</v>
      </c>
      <c r="G311" s="112">
        <f t="shared" si="172"/>
        <v>114773.99999999997</v>
      </c>
      <c r="H311" s="149">
        <f t="shared" ref="H311:Q311" si="177">IF(H150&gt;0,H224/H150,0)</f>
        <v>0</v>
      </c>
      <c r="I311" s="149">
        <f t="shared" si="177"/>
        <v>0</v>
      </c>
      <c r="J311" s="149">
        <f t="shared" si="177"/>
        <v>0</v>
      </c>
      <c r="K311" s="149">
        <f t="shared" si="177"/>
        <v>-9.5918921364467535E-4</v>
      </c>
      <c r="L311" s="149">
        <f t="shared" si="177"/>
        <v>2.8403403617498538E-3</v>
      </c>
      <c r="M311" s="149">
        <f t="shared" si="177"/>
        <v>5.1823104613900686E-4</v>
      </c>
      <c r="N311" s="149">
        <f t="shared" si="177"/>
        <v>1.0749235255780597E-2</v>
      </c>
      <c r="O311" s="149">
        <f t="shared" si="177"/>
        <v>0</v>
      </c>
      <c r="P311" s="149">
        <f t="shared" si="177"/>
        <v>9.0334009370639408E-4</v>
      </c>
      <c r="Q311" s="149">
        <f t="shared" si="177"/>
        <v>6.1631461968896682E-3</v>
      </c>
    </row>
    <row r="312" spans="1:17" x14ac:dyDescent="0.2">
      <c r="A312" s="39">
        <f t="shared" si="165"/>
        <v>48</v>
      </c>
      <c r="B312" s="39" t="s">
        <v>151</v>
      </c>
      <c r="D312" s="43">
        <f t="shared" si="172"/>
        <v>8345294</v>
      </c>
      <c r="E312" s="43">
        <f t="shared" si="172"/>
        <v>8040369</v>
      </c>
      <c r="F312" s="112">
        <f t="shared" si="172"/>
        <v>8698.9</v>
      </c>
      <c r="G312" s="112">
        <f t="shared" si="172"/>
        <v>8672.6</v>
      </c>
      <c r="H312" s="149">
        <f t="shared" ref="H312:Q312" si="178">IF(H151&gt;0,H225/H151,0)</f>
        <v>0</v>
      </c>
      <c r="I312" s="149">
        <f t="shared" si="178"/>
        <v>0</v>
      </c>
      <c r="J312" s="149">
        <f t="shared" si="178"/>
        <v>0</v>
      </c>
      <c r="K312" s="149">
        <f t="shared" si="178"/>
        <v>0</v>
      </c>
      <c r="L312" s="149">
        <f t="shared" si="178"/>
        <v>0</v>
      </c>
      <c r="M312" s="149">
        <f t="shared" si="178"/>
        <v>0</v>
      </c>
      <c r="N312" s="149">
        <f t="shared" si="178"/>
        <v>2.4229593036932916E-3</v>
      </c>
      <c r="O312" s="149">
        <f t="shared" si="178"/>
        <v>0</v>
      </c>
      <c r="P312" s="149">
        <f t="shared" si="178"/>
        <v>0</v>
      </c>
      <c r="Q312" s="149">
        <f t="shared" si="178"/>
        <v>1.2114796518465387E-3</v>
      </c>
    </row>
    <row r="313" spans="1:17" x14ac:dyDescent="0.2">
      <c r="B313" s="42" t="s">
        <v>172</v>
      </c>
      <c r="D313" s="43"/>
      <c r="E313" s="43"/>
      <c r="F313" s="112"/>
      <c r="G313" s="112"/>
      <c r="H313" s="112"/>
      <c r="I313" s="112"/>
      <c r="J313" s="112"/>
      <c r="K313" s="112"/>
      <c r="L313" s="112"/>
      <c r="M313" s="112"/>
      <c r="N313" s="112"/>
    </row>
    <row r="314" spans="1:17" x14ac:dyDescent="0.2">
      <c r="A314" s="39">
        <f>A312+1</f>
        <v>49</v>
      </c>
      <c r="B314" s="42"/>
      <c r="C314" s="42" t="s">
        <v>268</v>
      </c>
      <c r="D314" s="43">
        <f t="shared" ref="D314:G318" si="179">D153-D228</f>
        <v>-1341221</v>
      </c>
      <c r="E314" s="43">
        <f t="shared" si="179"/>
        <v>679857</v>
      </c>
      <c r="F314" s="112">
        <f t="shared" si="179"/>
        <v>-1090</v>
      </c>
      <c r="G314" s="112">
        <f t="shared" si="179"/>
        <v>-895.4</v>
      </c>
      <c r="H314" s="149">
        <f t="shared" ref="H314:Q314" si="180">IF(H153&gt;0,H228/H153,0)</f>
        <v>0</v>
      </c>
      <c r="I314" s="149">
        <f t="shared" si="180"/>
        <v>0</v>
      </c>
      <c r="J314" s="149">
        <f t="shared" si="180"/>
        <v>0</v>
      </c>
      <c r="K314" s="149">
        <f t="shared" si="180"/>
        <v>-0.10447100486941134</v>
      </c>
      <c r="L314" s="149">
        <f t="shared" si="180"/>
        <v>-0.14136671883150753</v>
      </c>
      <c r="M314" s="149">
        <f t="shared" si="180"/>
        <v>-0.37661141804788212</v>
      </c>
      <c r="N314" s="149">
        <f t="shared" si="180"/>
        <v>-4.4198113207547172</v>
      </c>
      <c r="O314" s="149">
        <f t="shared" si="180"/>
        <v>0</v>
      </c>
      <c r="P314" s="149">
        <f t="shared" si="180"/>
        <v>-0.12405676704742129</v>
      </c>
      <c r="Q314" s="149">
        <f t="shared" si="180"/>
        <v>-0.66945678168773481</v>
      </c>
    </row>
    <row r="315" spans="1:17" x14ac:dyDescent="0.2">
      <c r="A315" s="39">
        <f>A314+1</f>
        <v>50</v>
      </c>
      <c r="B315" s="42"/>
      <c r="C315" s="42"/>
      <c r="D315" s="43">
        <f t="shared" si="179"/>
        <v>1804253</v>
      </c>
      <c r="E315" s="43">
        <f t="shared" si="179"/>
        <v>-1059</v>
      </c>
      <c r="F315" s="112">
        <f t="shared" si="179"/>
        <v>0</v>
      </c>
      <c r="G315" s="112">
        <f t="shared" si="179"/>
        <v>0</v>
      </c>
      <c r="H315" s="112">
        <f t="shared" ref="H315:N318" si="181">H154-H229</f>
        <v>0</v>
      </c>
      <c r="I315" s="112">
        <f t="shared" si="181"/>
        <v>0</v>
      </c>
      <c r="J315" s="112">
        <f t="shared" si="181"/>
        <v>0</v>
      </c>
      <c r="K315" s="112">
        <f t="shared" si="181"/>
        <v>0</v>
      </c>
      <c r="L315" s="112">
        <f t="shared" si="181"/>
        <v>0</v>
      </c>
      <c r="M315" s="112">
        <f t="shared" si="181"/>
        <v>0</v>
      </c>
      <c r="N315" s="112">
        <f t="shared" si="181"/>
        <v>0</v>
      </c>
    </row>
    <row r="316" spans="1:17" x14ac:dyDescent="0.2">
      <c r="A316" s="39">
        <f>A315+1</f>
        <v>51</v>
      </c>
      <c r="B316" s="42"/>
      <c r="C316" s="42"/>
      <c r="D316" s="43">
        <f t="shared" si="179"/>
        <v>10393671912</v>
      </c>
      <c r="E316" s="43">
        <f t="shared" si="179"/>
        <v>10327494688</v>
      </c>
      <c r="F316" s="112">
        <f t="shared" si="179"/>
        <v>0</v>
      </c>
      <c r="G316" s="112">
        <f t="shared" si="179"/>
        <v>0</v>
      </c>
      <c r="H316" s="112">
        <f t="shared" si="181"/>
        <v>0</v>
      </c>
      <c r="I316" s="112">
        <f t="shared" si="181"/>
        <v>0</v>
      </c>
      <c r="J316" s="112">
        <f t="shared" si="181"/>
        <v>0</v>
      </c>
      <c r="K316" s="112">
        <f t="shared" si="181"/>
        <v>0</v>
      </c>
      <c r="L316" s="112">
        <f t="shared" si="181"/>
        <v>0</v>
      </c>
      <c r="M316" s="112">
        <f t="shared" si="181"/>
        <v>0</v>
      </c>
      <c r="N316" s="112">
        <f t="shared" si="181"/>
        <v>0</v>
      </c>
    </row>
    <row r="317" spans="1:17" x14ac:dyDescent="0.2">
      <c r="A317" s="39">
        <f>A316+1</f>
        <v>52</v>
      </c>
      <c r="B317" s="42"/>
      <c r="C317" s="42"/>
      <c r="D317" s="43">
        <f t="shared" si="179"/>
        <v>10376981324</v>
      </c>
      <c r="E317" s="43">
        <f t="shared" si="179"/>
        <v>10311413950</v>
      </c>
      <c r="F317" s="112">
        <f t="shared" si="179"/>
        <v>0</v>
      </c>
      <c r="G317" s="112">
        <f t="shared" si="179"/>
        <v>0</v>
      </c>
      <c r="H317" s="112">
        <f t="shared" si="181"/>
        <v>0</v>
      </c>
      <c r="I317" s="112">
        <f t="shared" si="181"/>
        <v>0</v>
      </c>
      <c r="J317" s="112">
        <f t="shared" si="181"/>
        <v>0</v>
      </c>
      <c r="K317" s="112">
        <f t="shared" si="181"/>
        <v>0</v>
      </c>
      <c r="L317" s="112">
        <f t="shared" si="181"/>
        <v>0</v>
      </c>
      <c r="M317" s="112">
        <f t="shared" si="181"/>
        <v>0</v>
      </c>
      <c r="N317" s="112">
        <f t="shared" si="181"/>
        <v>0</v>
      </c>
    </row>
    <row r="318" spans="1:17" x14ac:dyDescent="0.2">
      <c r="A318" s="39">
        <f>A317+1</f>
        <v>53</v>
      </c>
      <c r="B318" s="42"/>
      <c r="C318" s="42"/>
      <c r="D318" s="43">
        <f t="shared" si="179"/>
        <v>0</v>
      </c>
      <c r="E318" s="43">
        <f t="shared" si="179"/>
        <v>0</v>
      </c>
      <c r="F318" s="112">
        <f t="shared" si="179"/>
        <v>0</v>
      </c>
      <c r="G318" s="112">
        <f t="shared" si="179"/>
        <v>0</v>
      </c>
      <c r="H318" s="112">
        <f t="shared" si="181"/>
        <v>0</v>
      </c>
      <c r="I318" s="112">
        <f t="shared" si="181"/>
        <v>0</v>
      </c>
      <c r="J318" s="112">
        <f t="shared" si="181"/>
        <v>0</v>
      </c>
      <c r="K318" s="112">
        <f t="shared" si="181"/>
        <v>0</v>
      </c>
      <c r="L318" s="112">
        <f t="shared" si="181"/>
        <v>0</v>
      </c>
      <c r="M318" s="112">
        <f t="shared" si="181"/>
        <v>0</v>
      </c>
      <c r="N318" s="112">
        <f t="shared" si="181"/>
        <v>0</v>
      </c>
    </row>
    <row r="319" spans="1:17" x14ac:dyDescent="0.2">
      <c r="D319" s="41"/>
      <c r="E319" s="41"/>
      <c r="F319" s="113"/>
      <c r="G319" s="113"/>
      <c r="H319" s="113"/>
      <c r="I319" s="113"/>
      <c r="J319" s="113"/>
      <c r="K319" s="113"/>
      <c r="L319" s="113"/>
      <c r="M319" s="113"/>
      <c r="N319" s="113"/>
    </row>
    <row r="320" spans="1:17" x14ac:dyDescent="0.2">
      <c r="A320" s="39">
        <f>A318+1</f>
        <v>54</v>
      </c>
      <c r="B320" s="42" t="s">
        <v>184</v>
      </c>
      <c r="C320" s="42"/>
      <c r="D320" s="43">
        <f t="shared" ref="D320:G322" si="182">D159-D234</f>
        <v>25968415256</v>
      </c>
      <c r="E320" s="43">
        <f t="shared" si="182"/>
        <v>25804013578</v>
      </c>
      <c r="F320" s="112">
        <f t="shared" si="182"/>
        <v>5134727.6000000006</v>
      </c>
      <c r="G320" s="112">
        <f t="shared" si="182"/>
        <v>5355576.5999999996</v>
      </c>
      <c r="H320" s="149">
        <f t="shared" ref="H320:Q320" si="183">IF(H159&gt;0,H234/H159,0)</f>
        <v>0</v>
      </c>
      <c r="I320" s="149">
        <f t="shared" si="183"/>
        <v>0</v>
      </c>
      <c r="J320" s="149">
        <f t="shared" si="183"/>
        <v>0</v>
      </c>
      <c r="K320" s="149">
        <f t="shared" si="183"/>
        <v>-7.7934142513879951E-4</v>
      </c>
      <c r="L320" s="149">
        <f t="shared" si="183"/>
        <v>-1.5067170101084563E-3</v>
      </c>
      <c r="M320" s="149">
        <f t="shared" si="183"/>
        <v>-2.2957011350902105E-3</v>
      </c>
      <c r="N320" s="149">
        <f t="shared" si="183"/>
        <v>-1.5362425367953789E-3</v>
      </c>
      <c r="O320" s="149">
        <f t="shared" si="183"/>
        <v>0</v>
      </c>
      <c r="P320" s="149">
        <f t="shared" si="183"/>
        <v>-1.1622061791456677E-3</v>
      </c>
      <c r="Q320" s="149">
        <f t="shared" si="183"/>
        <v>-1.9129693106764161E-3</v>
      </c>
    </row>
    <row r="321" spans="1:17" x14ac:dyDescent="0.2">
      <c r="A321" s="39">
        <f>A320+1</f>
        <v>55</v>
      </c>
      <c r="B321" s="42" t="s">
        <v>160</v>
      </c>
      <c r="C321" s="42"/>
      <c r="D321" s="43">
        <f t="shared" si="182"/>
        <v>25960069962</v>
      </c>
      <c r="E321" s="43">
        <f t="shared" si="182"/>
        <v>25795973209</v>
      </c>
      <c r="F321" s="112">
        <f t="shared" si="182"/>
        <v>5126028.7</v>
      </c>
      <c r="G321" s="112">
        <f t="shared" si="182"/>
        <v>5346904</v>
      </c>
      <c r="H321" s="149">
        <f t="shared" ref="H321:Q321" si="184">IF(H160&gt;0,H235/H160,0)</f>
        <v>0</v>
      </c>
      <c r="I321" s="149">
        <f t="shared" si="184"/>
        <v>0</v>
      </c>
      <c r="J321" s="149">
        <f t="shared" si="184"/>
        <v>0</v>
      </c>
      <c r="K321" s="149">
        <f t="shared" si="184"/>
        <v>-7.7934142513879951E-4</v>
      </c>
      <c r="L321" s="149">
        <f t="shared" si="184"/>
        <v>-1.5067170101084563E-3</v>
      </c>
      <c r="M321" s="149">
        <f t="shared" si="184"/>
        <v>-2.2957011350902105E-3</v>
      </c>
      <c r="N321" s="149">
        <f t="shared" si="184"/>
        <v>-1.5362425367953789E-3</v>
      </c>
      <c r="O321" s="149">
        <f t="shared" si="184"/>
        <v>0</v>
      </c>
      <c r="P321" s="149">
        <f t="shared" si="184"/>
        <v>-1.1622061791456677E-3</v>
      </c>
      <c r="Q321" s="149">
        <f t="shared" si="184"/>
        <v>-1.9129693106764161E-3</v>
      </c>
    </row>
    <row r="322" spans="1:17" x14ac:dyDescent="0.2">
      <c r="A322" s="39">
        <f>A321+1</f>
        <v>56</v>
      </c>
      <c r="B322" s="42" t="s">
        <v>303</v>
      </c>
      <c r="C322" s="42"/>
      <c r="D322" s="43">
        <f t="shared" si="182"/>
        <v>8345294</v>
      </c>
      <c r="E322" s="43">
        <f t="shared" si="182"/>
        <v>8040369</v>
      </c>
      <c r="F322" s="112">
        <f t="shared" si="182"/>
        <v>8698.9</v>
      </c>
      <c r="G322" s="112">
        <f t="shared" si="182"/>
        <v>8672.6</v>
      </c>
      <c r="H322" s="149">
        <f>IF(H161&gt;0,H236/H161,0)</f>
        <v>0</v>
      </c>
      <c r="I322" s="149"/>
      <c r="J322" s="149"/>
      <c r="K322" s="149"/>
      <c r="L322" s="149"/>
      <c r="M322" s="149"/>
      <c r="N322" s="149"/>
    </row>
    <row r="323" spans="1:17" x14ac:dyDescent="0.2">
      <c r="B323" s="42"/>
      <c r="C323" s="42"/>
      <c r="D323" s="43"/>
      <c r="E323" s="43"/>
      <c r="F323" s="112"/>
      <c r="G323" s="112"/>
      <c r="H323" s="112"/>
      <c r="I323" s="112"/>
      <c r="J323" s="112"/>
      <c r="K323" s="112"/>
      <c r="L323" s="112"/>
      <c r="M323" s="112"/>
      <c r="N323" s="112"/>
    </row>
    <row r="324" spans="1:17" x14ac:dyDescent="0.2">
      <c r="A324" s="39">
        <f>A322+1</f>
        <v>57</v>
      </c>
      <c r="B324" s="42" t="s">
        <v>166</v>
      </c>
      <c r="C324" s="42"/>
      <c r="D324" s="43">
        <f>D163-D238</f>
        <v>-46570547</v>
      </c>
      <c r="E324" s="43">
        <f>E163-E238</f>
        <v>-46686661</v>
      </c>
      <c r="F324" s="112">
        <f>F163-F238</f>
        <v>-46733.7</v>
      </c>
      <c r="G324" s="112">
        <f>G163-G238</f>
        <v>-46807.7</v>
      </c>
      <c r="H324" s="149">
        <f t="shared" ref="H324:Q324" si="185">IF(H163&gt;0,H238/H163,0)</f>
        <v>0</v>
      </c>
      <c r="I324" s="149">
        <f t="shared" si="185"/>
        <v>0</v>
      </c>
      <c r="J324" s="149">
        <f t="shared" si="185"/>
        <v>0</v>
      </c>
      <c r="K324" s="149">
        <f t="shared" si="185"/>
        <v>0</v>
      </c>
      <c r="L324" s="149">
        <f t="shared" si="185"/>
        <v>0</v>
      </c>
      <c r="M324" s="149">
        <f t="shared" si="185"/>
        <v>0</v>
      </c>
      <c r="N324" s="149">
        <f t="shared" si="185"/>
        <v>0</v>
      </c>
      <c r="O324" s="149">
        <f t="shared" si="185"/>
        <v>0</v>
      </c>
      <c r="P324" s="149">
        <f t="shared" si="185"/>
        <v>0</v>
      </c>
      <c r="Q324" s="149">
        <f t="shared" si="185"/>
        <v>0</v>
      </c>
    </row>
  </sheetData>
  <phoneticPr fontId="1" type="noConversion"/>
  <printOptions horizontalCentered="1" gridLines="1"/>
  <pageMargins left="0.5" right="0.25" top="1" bottom="0.5" header="0.5" footer="0.25"/>
  <pageSetup scale="66" fitToHeight="3" orientation="portrait" horizontalDpi="300" verticalDpi="300" r:id="rId1"/>
  <headerFooter alignWithMargins="0">
    <oddHeader>&amp;L&amp;"Arial,Bold"DEPT of EDUCATION
Program Finance Div.&amp;C&amp;"Arial,Bold"FY 07-13 GENERAL EDUCATION REVENUE
NOVEMBER 2009 FORECAST VS. END OF SESSION 2009 FORECAST&amp;R&amp;"Arial,Bold"&amp;D
&amp;T</oddHeader>
    <oddFooter>&amp;L&amp;"Arial,Regular"&amp;F&amp;R&amp;"Arial,Regular"&amp;A</oddFooter>
  </headerFooter>
  <rowBreaks count="2" manualBreakCount="2">
    <brk id="90" max="11" man="1"/>
    <brk id="164" max="11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M78"/>
  <sheetViews>
    <sheetView zoomScaleNormal="100" zoomScaleSheetLayoutView="85" workbookViewId="0">
      <pane xSplit="3" ySplit="3" topLeftCell="H4" activePane="bottomRight" state="frozen"/>
      <selection activeCell="E39" sqref="E39"/>
      <selection pane="topRight" activeCell="E39" sqref="E39"/>
      <selection pane="bottomLeft" activeCell="E39" sqref="E39"/>
      <selection pane="bottomRight"/>
    </sheetView>
  </sheetViews>
  <sheetFormatPr defaultColWidth="8" defaultRowHeight="12.75" x14ac:dyDescent="0.2"/>
  <cols>
    <col min="1" max="1" width="4.125" style="39" customWidth="1"/>
    <col min="2" max="2" width="2.25" style="39" customWidth="1"/>
    <col min="3" max="3" width="28.625" style="39" customWidth="1"/>
    <col min="4" max="8" width="14.625" style="39" customWidth="1"/>
    <col min="9" max="9" width="9.625" style="39" customWidth="1"/>
    <col min="10" max="10" width="14.625" style="39" customWidth="1"/>
    <col min="11" max="11" width="9.625" style="39" customWidth="1"/>
    <col min="12" max="12" width="14.625" style="39" customWidth="1"/>
    <col min="13" max="13" width="9.625" style="39" customWidth="1"/>
    <col min="14" max="16384" width="8" style="39"/>
  </cols>
  <sheetData>
    <row r="1" spans="1:13" x14ac:dyDescent="0.2">
      <c r="A1" s="202" t="s">
        <v>439</v>
      </c>
    </row>
    <row r="3" spans="1:13" ht="13.5" thickBot="1" x14ac:dyDescent="0.25">
      <c r="A3" s="243" t="s">
        <v>438</v>
      </c>
      <c r="B3" s="118"/>
      <c r="C3" s="119"/>
      <c r="D3" s="248" t="s">
        <v>319</v>
      </c>
      <c r="E3" s="248" t="s">
        <v>320</v>
      </c>
      <c r="F3" s="248" t="s">
        <v>355</v>
      </c>
      <c r="G3" s="249" t="s">
        <v>393</v>
      </c>
      <c r="H3" s="248" t="s">
        <v>358</v>
      </c>
      <c r="I3" s="250" t="s">
        <v>321</v>
      </c>
      <c r="J3" s="248" t="s">
        <v>359</v>
      </c>
      <c r="K3" s="250" t="s">
        <v>321</v>
      </c>
      <c r="L3" s="251" t="s">
        <v>395</v>
      </c>
      <c r="M3" s="248" t="s">
        <v>321</v>
      </c>
    </row>
    <row r="4" spans="1:13" x14ac:dyDescent="0.2">
      <c r="C4" s="152"/>
      <c r="F4" s="165"/>
      <c r="G4" s="152"/>
      <c r="I4" s="152"/>
      <c r="K4" s="152"/>
    </row>
    <row r="5" spans="1:13" hidden="1" x14ac:dyDescent="0.2">
      <c r="A5" s="39">
        <v>1</v>
      </c>
      <c r="B5" s="39" t="s">
        <v>140</v>
      </c>
      <c r="C5" s="152"/>
      <c r="F5" s="165"/>
      <c r="G5" s="152"/>
      <c r="I5" s="152"/>
      <c r="K5" s="152"/>
    </row>
    <row r="6" spans="1:13" hidden="1" x14ac:dyDescent="0.2">
      <c r="C6" s="152"/>
      <c r="F6" s="165"/>
      <c r="G6" s="152"/>
      <c r="I6" s="152"/>
      <c r="K6" s="152"/>
    </row>
    <row r="7" spans="1:13" x14ac:dyDescent="0.2">
      <c r="B7" s="42" t="s">
        <v>155</v>
      </c>
      <c r="C7" s="152"/>
      <c r="F7" s="165"/>
      <c r="G7" s="152"/>
      <c r="I7" s="152"/>
      <c r="K7" s="152"/>
    </row>
    <row r="8" spans="1:13" x14ac:dyDescent="0.2">
      <c r="A8" s="39">
        <f>A5+1</f>
        <v>2</v>
      </c>
      <c r="B8" s="39" t="s">
        <v>141</v>
      </c>
      <c r="C8" s="152"/>
      <c r="D8" s="40">
        <f>SUM('SUMMARY-Approp Table'!I8:'SUMMARY-Approp Table'!J8)</f>
        <v>9698299.1999999993</v>
      </c>
      <c r="E8" s="40">
        <f>SUM('SUMMARY-Approp Table'!K8:'SUMMARY-Approp Table'!L8)</f>
        <v>9711543</v>
      </c>
      <c r="F8" s="164">
        <f>SUM('SUMMARY-Approp Table'!M8:'SUMMARY-Approp Table'!N8)</f>
        <v>9792597.4000000004</v>
      </c>
      <c r="G8" s="153">
        <f>SUM('SUMMARY-Approp Table'!O8:'SUMMARY-Approp Table'!P8)</f>
        <v>9985004.5</v>
      </c>
      <c r="H8" s="40">
        <f>E8-D8</f>
        <v>13243.800000000745</v>
      </c>
      <c r="I8" s="154">
        <f>H8/D8</f>
        <v>1.3655796472025472E-3</v>
      </c>
      <c r="J8" s="40">
        <f>F8-E8</f>
        <v>81054.400000000373</v>
      </c>
      <c r="K8" s="154">
        <f>J8/E8</f>
        <v>8.3461917431658771E-3</v>
      </c>
      <c r="L8" s="40">
        <f>G8-F8</f>
        <v>192407.09999999963</v>
      </c>
      <c r="M8" s="137">
        <f>L8/F8</f>
        <v>1.9648219174210065E-2</v>
      </c>
    </row>
    <row r="9" spans="1:13" x14ac:dyDescent="0.2">
      <c r="A9" s="39">
        <f>A8+1</f>
        <v>3</v>
      </c>
      <c r="B9" s="42" t="s">
        <v>299</v>
      </c>
      <c r="C9" s="152"/>
      <c r="D9" s="40">
        <f>SUM('SUMMARY-Approp Table'!I9:'SUMMARY-Approp Table'!J9)</f>
        <v>48378.1</v>
      </c>
      <c r="E9" s="40">
        <f>SUM('SUMMARY-Approp Table'!K9:'SUMMARY-Approp Table'!L9)</f>
        <v>0</v>
      </c>
      <c r="F9" s="164">
        <f>SUM('SUMMARY-Approp Table'!M9:'SUMMARY-Approp Table'!N9)</f>
        <v>0</v>
      </c>
      <c r="G9" s="153">
        <f>SUM('SUMMARY-Approp Table'!O9:'SUMMARY-Approp Table'!P9)</f>
        <v>0</v>
      </c>
      <c r="H9" s="40">
        <f>E9-D9</f>
        <v>-48378.1</v>
      </c>
      <c r="I9" s="154">
        <f>H9/D9</f>
        <v>-1</v>
      </c>
      <c r="J9" s="40">
        <f>F9-E9</f>
        <v>0</v>
      </c>
      <c r="K9" s="154" t="e">
        <f>J9/E9</f>
        <v>#DIV/0!</v>
      </c>
      <c r="L9" s="40">
        <f>G9-F9</f>
        <v>0</v>
      </c>
      <c r="M9" s="137" t="e">
        <f>L9/F9</f>
        <v>#DIV/0!</v>
      </c>
    </row>
    <row r="10" spans="1:13" x14ac:dyDescent="0.2">
      <c r="A10" s="39">
        <f>A9+1</f>
        <v>4</v>
      </c>
      <c r="B10" s="42" t="s">
        <v>167</v>
      </c>
      <c r="C10" s="155"/>
      <c r="D10" s="40">
        <f>SUM('SUMMARY-Approp Table'!I10:'SUMMARY-Approp Table'!J10)</f>
        <v>22824.300000000003</v>
      </c>
      <c r="E10" s="40">
        <f>SUM('SUMMARY-Approp Table'!K10:'SUMMARY-Approp Table'!L10)</f>
        <v>22743.1</v>
      </c>
      <c r="F10" s="164">
        <f>SUM('SUMMARY-Approp Table'!M10:'SUMMARY-Approp Table'!N10)</f>
        <v>22933.4</v>
      </c>
      <c r="G10" s="153">
        <f>SUM('SUMMARY-Approp Table'!O10:'SUMMARY-Approp Table'!P10)</f>
        <v>23384.1</v>
      </c>
      <c r="H10" s="40">
        <f>E10-D10</f>
        <v>-81.200000000004366</v>
      </c>
      <c r="I10" s="154">
        <f>H10/D10</f>
        <v>-3.5576118435178454E-3</v>
      </c>
      <c r="J10" s="40">
        <f>F10-E10</f>
        <v>190.30000000000291</v>
      </c>
      <c r="K10" s="154">
        <f>J10/E10</f>
        <v>8.3673729614697611E-3</v>
      </c>
      <c r="L10" s="40">
        <f>G10-F10</f>
        <v>450.69999999999709</v>
      </c>
      <c r="M10" s="137">
        <f>L10/F10</f>
        <v>1.9652559149537226E-2</v>
      </c>
    </row>
    <row r="11" spans="1:13" x14ac:dyDescent="0.2">
      <c r="A11" s="39">
        <f>A10+1</f>
        <v>5</v>
      </c>
      <c r="B11" s="39" t="s">
        <v>142</v>
      </c>
      <c r="C11" s="152"/>
      <c r="D11" s="40">
        <f>SUM('SUMMARY-Approp Table'!I11:'SUMMARY-Approp Table'!J11)</f>
        <v>120586.4</v>
      </c>
      <c r="E11" s="40">
        <f>SUM('SUMMARY-Approp Table'!K11:'SUMMARY-Approp Table'!L11)</f>
        <v>133638.39999999999</v>
      </c>
      <c r="F11" s="164">
        <f>SUM('SUMMARY-Approp Table'!M11:'SUMMARY-Approp Table'!N11)</f>
        <v>147844.70000000001</v>
      </c>
      <c r="G11" s="153">
        <f>SUM('SUMMARY-Approp Table'!O11:'SUMMARY-Approp Table'!P11)</f>
        <v>165344.6</v>
      </c>
      <c r="H11" s="40">
        <f>E11-D11</f>
        <v>13052</v>
      </c>
      <c r="I11" s="154">
        <f>H11/D11</f>
        <v>0.10823774488665389</v>
      </c>
      <c r="J11" s="40">
        <f>F11-E11</f>
        <v>14206.300000000017</v>
      </c>
      <c r="K11" s="154">
        <f>J11/E11</f>
        <v>0.10630402638762525</v>
      </c>
      <c r="L11" s="40">
        <f>G11-F11</f>
        <v>17499.899999999994</v>
      </c>
      <c r="M11" s="137">
        <f>L11/F11</f>
        <v>0.11836677270135482</v>
      </c>
    </row>
    <row r="12" spans="1:13" x14ac:dyDescent="0.2">
      <c r="B12" s="42" t="s">
        <v>171</v>
      </c>
      <c r="C12" s="152"/>
      <c r="F12" s="165"/>
      <c r="G12" s="152"/>
      <c r="I12" s="152"/>
      <c r="K12" s="152"/>
    </row>
    <row r="13" spans="1:13" x14ac:dyDescent="0.2">
      <c r="A13" s="39">
        <f>A11+1</f>
        <v>6</v>
      </c>
      <c r="C13" s="152" t="s">
        <v>143</v>
      </c>
      <c r="D13" s="40">
        <f>SUM('SUMMARY-Approp Table'!I13:'SUMMARY-Approp Table'!J13)</f>
        <v>682438.8</v>
      </c>
      <c r="E13" s="40">
        <f>SUM('SUMMARY-Approp Table'!K13:'SUMMARY-Approp Table'!L13)</f>
        <v>775417.7</v>
      </c>
      <c r="F13" s="164">
        <f>SUM('SUMMARY-Approp Table'!M13:'SUMMARY-Approp Table'!N13)</f>
        <v>885520.4</v>
      </c>
      <c r="G13" s="153">
        <f>SUM('SUMMARY-Approp Table'!O13:'SUMMARY-Approp Table'!P13)</f>
        <v>969182.1</v>
      </c>
      <c r="H13" s="40">
        <f t="shared" ref="H13:H25" si="0">E13-D13</f>
        <v>92978.899999999907</v>
      </c>
      <c r="I13" s="154">
        <f t="shared" ref="I13:I25" si="1">H13/D13</f>
        <v>0.13624503765026241</v>
      </c>
      <c r="J13" s="40">
        <f t="shared" ref="J13:J25" si="2">F13-E13</f>
        <v>110102.70000000007</v>
      </c>
      <c r="K13" s="154">
        <f t="shared" ref="K13:K25" si="3">J13/E13</f>
        <v>0.14199147117740551</v>
      </c>
      <c r="L13" s="40">
        <f t="shared" ref="L13:L19" si="4">G13-F13</f>
        <v>83661.699999999953</v>
      </c>
      <c r="M13" s="137">
        <f t="shared" ref="M13:M19" si="5">L13/F13</f>
        <v>9.4477439480784353E-2</v>
      </c>
    </row>
    <row r="14" spans="1:13" x14ac:dyDescent="0.2">
      <c r="A14" s="39">
        <f t="shared" ref="A14:A25" si="6">A13+1</f>
        <v>7</v>
      </c>
      <c r="C14" s="152" t="s">
        <v>144</v>
      </c>
      <c r="D14" s="40">
        <f>SUM('SUMMARY-Approp Table'!I14:'SUMMARY-Approp Table'!J14)</f>
        <v>64375</v>
      </c>
      <c r="E14" s="40">
        <f>SUM('SUMMARY-Approp Table'!K14:'SUMMARY-Approp Table'!L14)</f>
        <v>63481</v>
      </c>
      <c r="F14" s="164">
        <f>SUM('SUMMARY-Approp Table'!M14:'SUMMARY-Approp Table'!N14)</f>
        <v>63576.9</v>
      </c>
      <c r="G14" s="153">
        <f>SUM('SUMMARY-Approp Table'!O14:'SUMMARY-Approp Table'!P14)</f>
        <v>64659.4</v>
      </c>
      <c r="H14" s="40">
        <f t="shared" si="0"/>
        <v>-894</v>
      </c>
      <c r="I14" s="154">
        <f t="shared" si="1"/>
        <v>-1.38873786407767E-2</v>
      </c>
      <c r="J14" s="40">
        <f t="shared" si="2"/>
        <v>95.900000000001455</v>
      </c>
      <c r="K14" s="154">
        <f t="shared" si="3"/>
        <v>1.5106882374253943E-3</v>
      </c>
      <c r="L14" s="40">
        <f t="shared" si="4"/>
        <v>1082.5</v>
      </c>
      <c r="M14" s="137">
        <f t="shared" si="5"/>
        <v>1.7026624450075419E-2</v>
      </c>
    </row>
    <row r="15" spans="1:13" x14ac:dyDescent="0.2">
      <c r="A15" s="39">
        <f t="shared" si="6"/>
        <v>8</v>
      </c>
      <c r="B15" s="42"/>
      <c r="C15" s="155" t="s">
        <v>170</v>
      </c>
      <c r="D15" s="40">
        <f>SUM('SUMMARY-Approp Table'!I15:'SUMMARY-Approp Table'!J15)</f>
        <v>16623.3</v>
      </c>
      <c r="E15" s="40">
        <f>SUM('SUMMARY-Approp Table'!K15:'SUMMARY-Approp Table'!L15)</f>
        <v>16645.8</v>
      </c>
      <c r="F15" s="164">
        <f>SUM('SUMMARY-Approp Table'!M15:'SUMMARY-Approp Table'!N15)</f>
        <v>16907</v>
      </c>
      <c r="G15" s="153">
        <f>SUM('SUMMARY-Approp Table'!O15:'SUMMARY-Approp Table'!P15)</f>
        <v>17231.099999999999</v>
      </c>
      <c r="H15" s="40">
        <f t="shared" si="0"/>
        <v>22.5</v>
      </c>
      <c r="I15" s="154">
        <f t="shared" si="1"/>
        <v>1.3535218638898415E-3</v>
      </c>
      <c r="J15" s="40">
        <f t="shared" si="2"/>
        <v>261.20000000000073</v>
      </c>
      <c r="K15" s="154">
        <f t="shared" si="3"/>
        <v>1.5691645940717824E-2</v>
      </c>
      <c r="L15" s="40">
        <f t="shared" si="4"/>
        <v>324.09999999999854</v>
      </c>
      <c r="M15" s="137">
        <f t="shared" si="5"/>
        <v>1.9169574732359293E-2</v>
      </c>
    </row>
    <row r="16" spans="1:13" x14ac:dyDescent="0.2">
      <c r="A16" s="39">
        <f t="shared" si="6"/>
        <v>9</v>
      </c>
      <c r="B16" s="39" t="s">
        <v>145</v>
      </c>
      <c r="C16" s="152"/>
      <c r="D16" s="40">
        <f>SUM('SUMMARY-Approp Table'!I16:'SUMMARY-Approp Table'!J16)</f>
        <v>44536.3</v>
      </c>
      <c r="E16" s="40">
        <f>SUM('SUMMARY-Approp Table'!K16:'SUMMARY-Approp Table'!L16)</f>
        <v>46879.8</v>
      </c>
      <c r="F16" s="164">
        <f>SUM('SUMMARY-Approp Table'!M16:'SUMMARY-Approp Table'!N16)</f>
        <v>48495.5</v>
      </c>
      <c r="G16" s="153">
        <f>SUM('SUMMARY-Approp Table'!O16:'SUMMARY-Approp Table'!P16)</f>
        <v>49649.399999999994</v>
      </c>
      <c r="H16" s="40">
        <f t="shared" si="0"/>
        <v>2343.5</v>
      </c>
      <c r="I16" s="154">
        <f t="shared" si="1"/>
        <v>5.2619997619919028E-2</v>
      </c>
      <c r="J16" s="40">
        <f t="shared" si="2"/>
        <v>1615.6999999999971</v>
      </c>
      <c r="K16" s="154">
        <f t="shared" si="3"/>
        <v>3.4464737477548898E-2</v>
      </c>
      <c r="L16" s="40">
        <f t="shared" si="4"/>
        <v>1153.8999999999942</v>
      </c>
      <c r="M16" s="137">
        <f t="shared" si="5"/>
        <v>2.3793960264354305E-2</v>
      </c>
    </row>
    <row r="17" spans="1:13" x14ac:dyDescent="0.2">
      <c r="A17" s="39">
        <f t="shared" si="6"/>
        <v>10</v>
      </c>
      <c r="B17" s="39" t="s">
        <v>146</v>
      </c>
      <c r="C17" s="152"/>
      <c r="D17" s="40">
        <f>SUM('SUMMARY-Approp Table'!I17:'SUMMARY-Approp Table'!J17)</f>
        <v>120242.9</v>
      </c>
      <c r="E17" s="40">
        <f>SUM('SUMMARY-Approp Table'!K17:'SUMMARY-Approp Table'!L17)</f>
        <v>120204.7</v>
      </c>
      <c r="F17" s="164">
        <f>SUM('SUMMARY-Approp Table'!M17:'SUMMARY-Approp Table'!N17)</f>
        <v>120258.79999999999</v>
      </c>
      <c r="G17" s="153">
        <f>SUM('SUMMARY-Approp Table'!O17:'SUMMARY-Approp Table'!P17)</f>
        <v>119493.70000000001</v>
      </c>
      <c r="H17" s="40">
        <f t="shared" si="0"/>
        <v>-38.19999999999709</v>
      </c>
      <c r="I17" s="154">
        <f t="shared" si="1"/>
        <v>-3.1769027526778787E-4</v>
      </c>
      <c r="J17" s="40">
        <f t="shared" si="2"/>
        <v>54.099999999991269</v>
      </c>
      <c r="K17" s="154">
        <f t="shared" si="3"/>
        <v>4.5006559643667238E-4</v>
      </c>
      <c r="L17" s="40">
        <f t="shared" si="4"/>
        <v>-765.09999999997672</v>
      </c>
      <c r="M17" s="137">
        <f t="shared" si="5"/>
        <v>-6.3621123776386995E-3</v>
      </c>
    </row>
    <row r="18" spans="1:13" x14ac:dyDescent="0.2">
      <c r="A18" s="39">
        <f t="shared" si="6"/>
        <v>11</v>
      </c>
      <c r="B18" s="39" t="s">
        <v>148</v>
      </c>
      <c r="C18" s="152"/>
      <c r="D18" s="40">
        <f>SUM('SUMMARY-Approp Table'!I18:'SUMMARY-Approp Table'!J18)</f>
        <v>3353.5</v>
      </c>
      <c r="E18" s="40">
        <f>SUM('SUMMARY-Approp Table'!K18:'SUMMARY-Approp Table'!L18)</f>
        <v>1049.0999999999999</v>
      </c>
      <c r="F18" s="164">
        <f>SUM('SUMMARY-Approp Table'!M18:'SUMMARY-Approp Table'!N18)</f>
        <v>382.1</v>
      </c>
      <c r="G18" s="153">
        <f>SUM('SUMMARY-Approp Table'!O18:'SUMMARY-Approp Table'!P18)</f>
        <v>233</v>
      </c>
      <c r="H18" s="40">
        <f t="shared" si="0"/>
        <v>-2304.4</v>
      </c>
      <c r="I18" s="154">
        <f t="shared" si="1"/>
        <v>-0.68716266587147756</v>
      </c>
      <c r="J18" s="40">
        <f t="shared" si="2"/>
        <v>-666.99999999999989</v>
      </c>
      <c r="K18" s="154">
        <f t="shared" si="3"/>
        <v>-0.63578305213992936</v>
      </c>
      <c r="L18" s="40">
        <f t="shared" si="4"/>
        <v>-149.10000000000002</v>
      </c>
      <c r="M18" s="137">
        <f t="shared" si="5"/>
        <v>-0.39021198639099713</v>
      </c>
    </row>
    <row r="19" spans="1:13" x14ac:dyDescent="0.2">
      <c r="A19" s="39">
        <f t="shared" si="6"/>
        <v>12</v>
      </c>
      <c r="B19" s="42" t="s">
        <v>244</v>
      </c>
      <c r="C19" s="152"/>
      <c r="D19" s="40">
        <f>SUM('SUMMARY-Approp Table'!I19:'SUMMARY-Approp Table'!J19)</f>
        <v>-730.5</v>
      </c>
      <c r="E19" s="40">
        <f>SUM('SUMMARY-Approp Table'!K19:'SUMMARY-Approp Table'!L19)</f>
        <v>-2507.1</v>
      </c>
      <c r="F19" s="164">
        <f>SUM('SUMMARY-Approp Table'!M19:'SUMMARY-Approp Table'!N19)</f>
        <v>-700</v>
      </c>
      <c r="G19" s="153">
        <f>SUM('SUMMARY-Approp Table'!O19:'SUMMARY-Approp Table'!P19)</f>
        <v>-700</v>
      </c>
      <c r="H19" s="40">
        <f t="shared" si="0"/>
        <v>-1776.6</v>
      </c>
      <c r="I19" s="154">
        <f t="shared" si="1"/>
        <v>2.4320328542094454</v>
      </c>
      <c r="J19" s="40">
        <f t="shared" si="2"/>
        <v>1807.1</v>
      </c>
      <c r="K19" s="154">
        <f t="shared" si="3"/>
        <v>-0.72079294802760163</v>
      </c>
      <c r="L19" s="40">
        <f t="shared" si="4"/>
        <v>0</v>
      </c>
      <c r="M19" s="137">
        <f t="shared" si="5"/>
        <v>0</v>
      </c>
    </row>
    <row r="20" spans="1:13" x14ac:dyDescent="0.2">
      <c r="A20" s="39">
        <f t="shared" si="6"/>
        <v>13</v>
      </c>
      <c r="B20" s="42" t="s">
        <v>360</v>
      </c>
      <c r="C20" s="152"/>
      <c r="D20" s="40"/>
      <c r="E20" s="40"/>
      <c r="F20" s="164"/>
      <c r="G20" s="153"/>
      <c r="H20" s="40"/>
      <c r="I20" s="154"/>
      <c r="J20" s="40"/>
      <c r="K20" s="154"/>
    </row>
    <row r="21" spans="1:13" x14ac:dyDescent="0.2">
      <c r="A21" s="39">
        <f>A20+1</f>
        <v>14</v>
      </c>
      <c r="B21" s="39" t="s">
        <v>147</v>
      </c>
      <c r="C21" s="152"/>
      <c r="D21" s="40">
        <f>SUM('SUMMARY-Approp Table'!I21:'SUMMARY-Approp Table'!J21)</f>
        <v>388934.7</v>
      </c>
      <c r="E21" s="40">
        <f>SUM('SUMMARY-Approp Table'!K21:'SUMMARY-Approp Table'!L21)</f>
        <v>389022</v>
      </c>
      <c r="F21" s="164">
        <f>SUM('SUMMARY-Approp Table'!M21:'SUMMARY-Approp Table'!N21)</f>
        <v>392168.9</v>
      </c>
      <c r="G21" s="153">
        <f>SUM('SUMMARY-Approp Table'!O21:'SUMMARY-Approp Table'!P21)</f>
        <v>399779</v>
      </c>
      <c r="H21" s="40">
        <f t="shared" si="0"/>
        <v>87.299999999988358</v>
      </c>
      <c r="I21" s="154">
        <f t="shared" si="1"/>
        <v>2.244592729833269E-4</v>
      </c>
      <c r="J21" s="40">
        <f t="shared" si="2"/>
        <v>3146.9000000000233</v>
      </c>
      <c r="K21" s="154">
        <f t="shared" si="3"/>
        <v>8.0892597333827483E-3</v>
      </c>
      <c r="L21" s="40">
        <f>G21-F21</f>
        <v>7610.0999999999767</v>
      </c>
      <c r="M21" s="137">
        <f>L21/F21</f>
        <v>1.9405159358633427E-2</v>
      </c>
    </row>
    <row r="22" spans="1:13" x14ac:dyDescent="0.2">
      <c r="A22" s="39">
        <f t="shared" si="6"/>
        <v>15</v>
      </c>
      <c r="B22" s="39" t="s">
        <v>149</v>
      </c>
      <c r="C22" s="152"/>
      <c r="D22" s="40">
        <f>SUM('SUMMARY-Approp Table'!I22:'SUMMARY-Approp Table'!J22)</f>
        <v>189070.8</v>
      </c>
      <c r="E22" s="40">
        <f>SUM('SUMMARY-Approp Table'!K22:'SUMMARY-Approp Table'!L22)</f>
        <v>184852.8</v>
      </c>
      <c r="F22" s="164">
        <f>SUM('SUMMARY-Approp Table'!M22:'SUMMARY-Approp Table'!N22)</f>
        <v>187848.9</v>
      </c>
      <c r="G22" s="153">
        <f>SUM('SUMMARY-Approp Table'!O22:'SUMMARY-Approp Table'!P22)</f>
        <v>194919.8</v>
      </c>
      <c r="H22" s="40">
        <f t="shared" si="0"/>
        <v>-4218</v>
      </c>
      <c r="I22" s="154">
        <f t="shared" si="1"/>
        <v>-2.2309103256557862E-2</v>
      </c>
      <c r="J22" s="40">
        <f t="shared" si="2"/>
        <v>2996.1000000000058</v>
      </c>
      <c r="K22" s="154">
        <f t="shared" si="3"/>
        <v>1.6208031471527648E-2</v>
      </c>
      <c r="L22" s="40">
        <f>G22-F22</f>
        <v>7070.8999999999942</v>
      </c>
      <c r="M22" s="137">
        <f>L22/F22</f>
        <v>3.7641423505807028E-2</v>
      </c>
    </row>
    <row r="23" spans="1:13" x14ac:dyDescent="0.2">
      <c r="A23" s="39">
        <f t="shared" si="6"/>
        <v>16</v>
      </c>
      <c r="B23" s="42" t="s">
        <v>173</v>
      </c>
      <c r="C23" s="152"/>
      <c r="D23" s="40">
        <f>SUM('SUMMARY-Approp Table'!I23:'SUMMARY-Approp Table'!J23)</f>
        <v>59855.3</v>
      </c>
      <c r="E23" s="40">
        <f>SUM('SUMMARY-Approp Table'!K23:'SUMMARY-Approp Table'!L23)</f>
        <v>58668.5</v>
      </c>
      <c r="F23" s="164">
        <f>SUM('SUMMARY-Approp Table'!M23:'SUMMARY-Approp Table'!N23)</f>
        <v>58396.3</v>
      </c>
      <c r="G23" s="153">
        <f>SUM('SUMMARY-Approp Table'!O23:'SUMMARY-Approp Table'!P23)</f>
        <v>59498.2</v>
      </c>
      <c r="H23" s="40">
        <f t="shared" si="0"/>
        <v>-1186.8000000000029</v>
      </c>
      <c r="I23" s="154">
        <f t="shared" si="1"/>
        <v>-1.9827818087955501E-2</v>
      </c>
      <c r="J23" s="40">
        <f t="shared" si="2"/>
        <v>-272.19999999999709</v>
      </c>
      <c r="K23" s="154">
        <f t="shared" si="3"/>
        <v>-4.639627738905837E-3</v>
      </c>
      <c r="L23" s="40">
        <f>G23-F23</f>
        <v>1101.8999999999942</v>
      </c>
      <c r="M23" s="137">
        <f>L23/F23</f>
        <v>1.8869346174329438E-2</v>
      </c>
    </row>
    <row r="24" spans="1:13" x14ac:dyDescent="0.2">
      <c r="A24" s="39">
        <f t="shared" si="6"/>
        <v>17</v>
      </c>
      <c r="B24" s="42" t="s">
        <v>168</v>
      </c>
      <c r="C24" s="155"/>
      <c r="D24" s="40">
        <f>SUM('SUMMARY-Approp Table'!I24:'SUMMARY-Approp Table'!J24)</f>
        <v>124112</v>
      </c>
      <c r="E24" s="40">
        <f>SUM('SUMMARY-Approp Table'!K24:'SUMMARY-Approp Table'!L24)</f>
        <v>121348.4</v>
      </c>
      <c r="F24" s="164">
        <f>SUM('SUMMARY-Approp Table'!M24:'SUMMARY-Approp Table'!N24)</f>
        <v>160939.70000000001</v>
      </c>
      <c r="G24" s="153">
        <f>SUM('SUMMARY-Approp Table'!O24:'SUMMARY-Approp Table'!P24)</f>
        <v>169993</v>
      </c>
      <c r="H24" s="40">
        <f t="shared" si="0"/>
        <v>-2763.6000000000058</v>
      </c>
      <c r="I24" s="154">
        <f t="shared" si="1"/>
        <v>-2.2266984659017709E-2</v>
      </c>
      <c r="J24" s="40">
        <f t="shared" si="2"/>
        <v>39591.300000000017</v>
      </c>
      <c r="K24" s="154">
        <f t="shared" si="3"/>
        <v>0.32626140929752695</v>
      </c>
      <c r="L24" s="40">
        <f>G24-F24</f>
        <v>9053.2999999999884</v>
      </c>
      <c r="M24" s="137">
        <f>L24/F24</f>
        <v>5.6252745593535887E-2</v>
      </c>
    </row>
    <row r="25" spans="1:13" x14ac:dyDescent="0.2">
      <c r="A25" s="39">
        <f t="shared" si="6"/>
        <v>18</v>
      </c>
      <c r="B25" s="39" t="s">
        <v>150</v>
      </c>
      <c r="C25" s="152"/>
      <c r="D25" s="40">
        <f>SUM('SUMMARY-Approp Table'!I25:'SUMMARY-Approp Table'!J25)</f>
        <v>1364759.4</v>
      </c>
      <c r="E25" s="40">
        <f>SUM('SUMMARY-Approp Table'!K25:'SUMMARY-Approp Table'!L25)</f>
        <v>1586507.4</v>
      </c>
      <c r="F25" s="164">
        <f>SUM('SUMMARY-Approp Table'!M25:'SUMMARY-Approp Table'!N25)</f>
        <v>1717710.4</v>
      </c>
      <c r="G25" s="153">
        <f>SUM('SUMMARY-Approp Table'!O25:'SUMMARY-Approp Table'!P25)</f>
        <v>1962184.5</v>
      </c>
      <c r="H25" s="40">
        <f t="shared" si="0"/>
        <v>221748</v>
      </c>
      <c r="I25" s="154">
        <f t="shared" si="1"/>
        <v>0.16248138682906307</v>
      </c>
      <c r="J25" s="40">
        <f t="shared" si="2"/>
        <v>131203</v>
      </c>
      <c r="K25" s="154">
        <f t="shared" si="3"/>
        <v>8.2699267586145528E-2</v>
      </c>
      <c r="L25" s="40">
        <f>G25-F25</f>
        <v>244474.10000000009</v>
      </c>
      <c r="M25" s="137">
        <f>L25/F25</f>
        <v>0.14232556314498654</v>
      </c>
    </row>
    <row r="26" spans="1:13" x14ac:dyDescent="0.2">
      <c r="C26" s="152"/>
      <c r="D26" s="40"/>
      <c r="E26" s="40"/>
      <c r="F26" s="164"/>
      <c r="G26" s="153"/>
      <c r="H26" s="40"/>
      <c r="I26" s="154"/>
      <c r="J26" s="40"/>
      <c r="K26" s="154"/>
    </row>
    <row r="27" spans="1:13" x14ac:dyDescent="0.2">
      <c r="B27" s="42" t="s">
        <v>172</v>
      </c>
      <c r="C27" s="152"/>
      <c r="F27" s="165"/>
      <c r="G27" s="152"/>
      <c r="I27" s="152"/>
      <c r="K27" s="152"/>
    </row>
    <row r="28" spans="1:13" x14ac:dyDescent="0.2">
      <c r="A28" s="39">
        <f>A25+1</f>
        <v>19</v>
      </c>
      <c r="B28" s="42"/>
      <c r="C28" s="155" t="s">
        <v>268</v>
      </c>
      <c r="D28" s="40">
        <f>SUM('SUMMARY-Approp Table'!I28:'SUMMARY-Approp Table'!J28)</f>
        <v>79.300000000000011</v>
      </c>
      <c r="E28" s="40">
        <f>SUM('SUMMARY-Approp Table'!K28:'SUMMARY-Approp Table'!L28)</f>
        <v>1265.3</v>
      </c>
      <c r="F28" s="164">
        <f>SUM('SUMMARY-Approp Table'!M28:'SUMMARY-Approp Table'!N28)</f>
        <v>193.5</v>
      </c>
      <c r="G28" s="153">
        <f>SUM('SUMMARY-Approp Table'!O28:'SUMMARY-Approp Table'!P28)</f>
        <v>-547.9</v>
      </c>
      <c r="H28" s="40">
        <f>E28-D28</f>
        <v>1186</v>
      </c>
      <c r="I28" s="154">
        <f>H28/D28</f>
        <v>14.955863808322823</v>
      </c>
      <c r="J28" s="40">
        <f>F28-E28</f>
        <v>-1071.8</v>
      </c>
      <c r="K28" s="154">
        <f>J28/E28</f>
        <v>-0.84707184067019681</v>
      </c>
      <c r="L28" s="40">
        <f>G28-F28</f>
        <v>-741.4</v>
      </c>
      <c r="M28" s="137">
        <f>L28/F28</f>
        <v>-3.8315245478036175</v>
      </c>
    </row>
    <row r="29" spans="1:13" hidden="1" x14ac:dyDescent="0.2">
      <c r="A29" s="39">
        <f>A28+1</f>
        <v>20</v>
      </c>
      <c r="B29" s="42"/>
      <c r="C29" s="155"/>
      <c r="F29" s="165"/>
      <c r="G29" s="152"/>
      <c r="I29" s="152"/>
      <c r="K29" s="152"/>
    </row>
    <row r="30" spans="1:13" hidden="1" x14ac:dyDescent="0.2">
      <c r="A30" s="39">
        <f>A29+1</f>
        <v>21</v>
      </c>
      <c r="B30" s="42"/>
      <c r="C30" s="155"/>
      <c r="F30" s="165"/>
      <c r="G30" s="152"/>
      <c r="I30" s="152"/>
      <c r="K30" s="152"/>
    </row>
    <row r="31" spans="1:13" hidden="1" x14ac:dyDescent="0.2">
      <c r="A31" s="39">
        <f>A30+1</f>
        <v>22</v>
      </c>
      <c r="B31" s="42"/>
      <c r="C31" s="155"/>
      <c r="F31" s="165"/>
      <c r="G31" s="152"/>
      <c r="I31" s="152"/>
      <c r="K31" s="152"/>
    </row>
    <row r="32" spans="1:13" hidden="1" x14ac:dyDescent="0.2">
      <c r="A32" s="39">
        <f>A31+1</f>
        <v>23</v>
      </c>
      <c r="B32" s="42"/>
      <c r="C32" s="155"/>
      <c r="F32" s="165"/>
      <c r="G32" s="152"/>
      <c r="I32" s="152"/>
      <c r="K32" s="152"/>
    </row>
    <row r="33" spans="1:13" x14ac:dyDescent="0.2">
      <c r="C33" s="152"/>
      <c r="F33" s="165"/>
      <c r="G33" s="152"/>
      <c r="I33" s="152"/>
      <c r="K33" s="152"/>
    </row>
    <row r="34" spans="1:13" x14ac:dyDescent="0.2">
      <c r="A34" s="39">
        <f>A32+1</f>
        <v>24</v>
      </c>
      <c r="B34" s="42" t="s">
        <v>158</v>
      </c>
      <c r="C34" s="152"/>
      <c r="D34" s="40">
        <f>SUM('SUMMARY-Approp Table'!I34:'SUMMARY-Approp Table'!J34)</f>
        <v>12947738.799999997</v>
      </c>
      <c r="E34" s="40">
        <f>SUM('SUMMARY-Approp Table'!K34:'SUMMARY-Approp Table'!L34)</f>
        <v>12730759.900000002</v>
      </c>
      <c r="F34" s="164">
        <f>SUM('SUMMARY-Approp Table'!M34:'SUMMARY-Approp Table'!N34)</f>
        <v>13615073.900000002</v>
      </c>
      <c r="G34" s="153">
        <f>SUM('SUMMARY-Approp Table'!O34:'SUMMARY-Approp Table'!P34)</f>
        <v>14179308.5</v>
      </c>
      <c r="H34" s="40">
        <f>E34-D34</f>
        <v>-216978.89999999478</v>
      </c>
      <c r="I34" s="154">
        <f>H34/D34</f>
        <v>-1.6758053537502225E-2</v>
      </c>
      <c r="J34" s="40">
        <f>F34-E34</f>
        <v>884314</v>
      </c>
      <c r="K34" s="154">
        <f>J34/E34</f>
        <v>6.9462782029217268E-2</v>
      </c>
      <c r="L34" s="40">
        <f>G34-F34</f>
        <v>564234.59999999776</v>
      </c>
      <c r="M34" s="137">
        <f>L34/F34</f>
        <v>4.1441905063768894E-2</v>
      </c>
    </row>
    <row r="35" spans="1:13" x14ac:dyDescent="0.2">
      <c r="C35" s="152"/>
      <c r="F35" s="165"/>
      <c r="G35" s="152"/>
      <c r="I35" s="152"/>
      <c r="K35" s="152"/>
    </row>
    <row r="36" spans="1:13" x14ac:dyDescent="0.2">
      <c r="B36" s="42" t="s">
        <v>156</v>
      </c>
      <c r="C36" s="155"/>
      <c r="F36" s="165"/>
      <c r="G36" s="152"/>
      <c r="I36" s="152"/>
      <c r="K36" s="152"/>
    </row>
    <row r="37" spans="1:13" x14ac:dyDescent="0.2">
      <c r="A37" s="39">
        <f>A34+1</f>
        <v>25</v>
      </c>
      <c r="B37" s="39" t="s">
        <v>153</v>
      </c>
      <c r="C37" s="152"/>
      <c r="D37" s="40">
        <f>SUM('SUMMARY-Approp Table'!I37:'SUMMARY-Approp Table'!J37)</f>
        <v>233083.4</v>
      </c>
      <c r="E37" s="40">
        <f>SUM('SUMMARY-Approp Table'!K37:'SUMMARY-Approp Table'!L37)</f>
        <v>248900.5</v>
      </c>
      <c r="F37" s="164">
        <f>SUM('SUMMARY-Approp Table'!M37:'SUMMARY-Approp Table'!N37)</f>
        <v>233588</v>
      </c>
      <c r="G37" s="153">
        <f>SUM('SUMMARY-Approp Table'!O37:'SUMMARY-Approp Table'!P37)</f>
        <v>227719</v>
      </c>
      <c r="H37" s="40">
        <f>E37-D37</f>
        <v>15817.100000000006</v>
      </c>
      <c r="I37" s="154">
        <f>H37/D37</f>
        <v>6.7860259460776728E-2</v>
      </c>
      <c r="J37" s="40">
        <f>F37-E37</f>
        <v>-15312.5</v>
      </c>
      <c r="K37" s="154">
        <f>J37/E37</f>
        <v>-6.1520567455670035E-2</v>
      </c>
      <c r="L37" s="40">
        <f>G37-F37</f>
        <v>-5869</v>
      </c>
      <c r="M37" s="137">
        <f>L37/F37</f>
        <v>-2.5125434525746185E-2</v>
      </c>
    </row>
    <row r="38" spans="1:13" x14ac:dyDescent="0.2">
      <c r="A38" s="39">
        <f>A37+1</f>
        <v>26</v>
      </c>
      <c r="B38" s="39" t="s">
        <v>152</v>
      </c>
      <c r="C38" s="152"/>
      <c r="D38" s="40">
        <f>SUM('SUMMARY-Approp Table'!I38:'SUMMARY-Approp Table'!J38)</f>
        <v>144305.90000000002</v>
      </c>
      <c r="E38" s="40">
        <f>SUM('SUMMARY-Approp Table'!K38:'SUMMARY-Approp Table'!L38)</f>
        <v>152104.09999999998</v>
      </c>
      <c r="F38" s="164">
        <f>SUM('SUMMARY-Approp Table'!M38:'SUMMARY-Approp Table'!N38)</f>
        <v>148871.09999999998</v>
      </c>
      <c r="G38" s="153">
        <f>SUM('SUMMARY-Approp Table'!O38:'SUMMARY-Approp Table'!P38)</f>
        <v>149400.79999999999</v>
      </c>
      <c r="H38" s="40">
        <f>E38-D38</f>
        <v>7798.1999999999534</v>
      </c>
      <c r="I38" s="154">
        <f>H38/D38</f>
        <v>5.4039370531627273E-2</v>
      </c>
      <c r="J38" s="40">
        <f>F38-E38</f>
        <v>-3233</v>
      </c>
      <c r="K38" s="154">
        <f>J38/E38</f>
        <v>-2.1255179840648612E-2</v>
      </c>
      <c r="L38" s="40">
        <f>G38-F38</f>
        <v>529.70000000001164</v>
      </c>
      <c r="M38" s="137">
        <f>L38/F38</f>
        <v>3.5581116818510223E-3</v>
      </c>
    </row>
    <row r="39" spans="1:13" x14ac:dyDescent="0.2">
      <c r="A39" s="39">
        <f>A38+1</f>
        <v>27</v>
      </c>
      <c r="B39" s="42" t="s">
        <v>174</v>
      </c>
      <c r="C39" s="152"/>
      <c r="D39" s="40">
        <f>SUM('SUMMARY-Approp Table'!I39:'SUMMARY-Approp Table'!J39)</f>
        <v>47303.3</v>
      </c>
      <c r="E39" s="40">
        <f>SUM('SUMMARY-Approp Table'!K39:'SUMMARY-Approp Table'!L39)</f>
        <v>50440</v>
      </c>
      <c r="F39" s="164">
        <f>SUM('SUMMARY-Approp Table'!M39:'SUMMARY-Approp Table'!N39)</f>
        <v>48324.3</v>
      </c>
      <c r="G39" s="153">
        <f>SUM('SUMMARY-Approp Table'!O39:'SUMMARY-Approp Table'!P39)</f>
        <v>47544.7</v>
      </c>
      <c r="H39" s="40">
        <f>E39-D39</f>
        <v>3136.6999999999971</v>
      </c>
      <c r="I39" s="154">
        <f>H39/D39</f>
        <v>6.631038426494551E-2</v>
      </c>
      <c r="J39" s="40">
        <f>F39-E39</f>
        <v>-2115.6999999999971</v>
      </c>
      <c r="K39" s="154">
        <f>J39/E39</f>
        <v>-4.1944885011895264E-2</v>
      </c>
      <c r="L39" s="40">
        <f>G39-F39</f>
        <v>-779.60000000000582</v>
      </c>
      <c r="M39" s="137">
        <f>L39/F39</f>
        <v>-1.6132670312865489E-2</v>
      </c>
    </row>
    <row r="40" spans="1:13" x14ac:dyDescent="0.2">
      <c r="A40" s="39">
        <f>A39+1</f>
        <v>28</v>
      </c>
      <c r="B40" s="42" t="s">
        <v>168</v>
      </c>
      <c r="C40" s="155"/>
      <c r="D40" s="40">
        <f>SUM('SUMMARY-Approp Table'!I40:'SUMMARY-Approp Table'!J40)</f>
        <v>26133.1</v>
      </c>
      <c r="E40" s="40">
        <f>SUM('SUMMARY-Approp Table'!K40:'SUMMARY-Approp Table'!L40)</f>
        <v>34965.1</v>
      </c>
      <c r="F40" s="164">
        <f>SUM('SUMMARY-Approp Table'!M40:'SUMMARY-Approp Table'!N40)</f>
        <v>43859.8</v>
      </c>
      <c r="G40" s="153">
        <f>SUM('SUMMARY-Approp Table'!O40:'SUMMARY-Approp Table'!P40)</f>
        <v>45118.2</v>
      </c>
      <c r="H40" s="40">
        <f>E40-D40</f>
        <v>8832</v>
      </c>
      <c r="I40" s="154">
        <f>H40/D40</f>
        <v>0.33796220119312292</v>
      </c>
      <c r="J40" s="40">
        <f>F40-E40</f>
        <v>8894.7000000000044</v>
      </c>
      <c r="K40" s="154">
        <f>J40/E40</f>
        <v>0.25438794683841903</v>
      </c>
      <c r="L40" s="40">
        <f>G40-F40</f>
        <v>1258.3999999999942</v>
      </c>
      <c r="M40" s="137">
        <f>L40/F40</f>
        <v>2.8691421301510589E-2</v>
      </c>
    </row>
    <row r="41" spans="1:13" x14ac:dyDescent="0.2">
      <c r="A41" s="39">
        <f>A40+1</f>
        <v>29</v>
      </c>
      <c r="B41" s="39" t="s">
        <v>154</v>
      </c>
      <c r="C41" s="152"/>
      <c r="D41" s="40">
        <f>SUM('SUMMARY-Approp Table'!I41:'SUMMARY-Approp Table'!J41)</f>
        <v>1175517.8</v>
      </c>
      <c r="E41" s="40">
        <f>SUM('SUMMARY-Approp Table'!K41:'SUMMARY-Approp Table'!L41)</f>
        <v>1449963.6</v>
      </c>
      <c r="F41" s="164">
        <f>SUM('SUMMARY-Approp Table'!M41:'SUMMARY-Approp Table'!N41)</f>
        <v>1547356.9</v>
      </c>
      <c r="G41" s="153">
        <f>SUM('SUMMARY-Approp Table'!O41:'SUMMARY-Approp Table'!P41)</f>
        <v>1762118.5</v>
      </c>
      <c r="H41" s="40">
        <f>E41-D41</f>
        <v>274445.80000000005</v>
      </c>
      <c r="I41" s="154">
        <f>H41/D41</f>
        <v>0.23346800873623524</v>
      </c>
      <c r="J41" s="40">
        <f>F41-E41</f>
        <v>97393.299999999814</v>
      </c>
      <c r="K41" s="154">
        <f>J41/E41</f>
        <v>6.7169479288997191E-2</v>
      </c>
      <c r="L41" s="40">
        <f>G41-F41</f>
        <v>214761.60000000009</v>
      </c>
      <c r="M41" s="137">
        <f>L41/F41</f>
        <v>0.13879254359482296</v>
      </c>
    </row>
    <row r="42" spans="1:13" x14ac:dyDescent="0.2">
      <c r="C42" s="152"/>
      <c r="F42" s="165"/>
      <c r="G42" s="152"/>
      <c r="I42" s="152"/>
      <c r="K42" s="152"/>
    </row>
    <row r="43" spans="1:13" x14ac:dyDescent="0.2">
      <c r="A43" s="39">
        <f>A41+1</f>
        <v>30</v>
      </c>
      <c r="B43" s="42" t="s">
        <v>159</v>
      </c>
      <c r="C43" s="155"/>
      <c r="D43" s="40">
        <f>SUM('SUMMARY-Approp Table'!I43:'SUMMARY-Approp Table'!J43)</f>
        <v>1626343.5</v>
      </c>
      <c r="E43" s="40">
        <f>SUM('SUMMARY-Approp Table'!K43:'SUMMARY-Approp Table'!L43)</f>
        <v>1936373.2999999998</v>
      </c>
      <c r="F43" s="164">
        <f>SUM('SUMMARY-Approp Table'!M43:'SUMMARY-Approp Table'!N43)</f>
        <v>2022000.0999999999</v>
      </c>
      <c r="G43" s="153">
        <f>SUM('SUMMARY-Approp Table'!O43:'SUMMARY-Approp Table'!P43)</f>
        <v>2231901.2000000002</v>
      </c>
      <c r="H43" s="40">
        <f>E43-D43</f>
        <v>310029.79999999981</v>
      </c>
      <c r="I43" s="154">
        <f>H43/D43</f>
        <v>0.19062996224352347</v>
      </c>
      <c r="J43" s="40">
        <f>F43-E43</f>
        <v>85626.800000000047</v>
      </c>
      <c r="K43" s="154">
        <f>J43/E43</f>
        <v>4.4220192459790711E-2</v>
      </c>
      <c r="L43" s="40">
        <f>G43-F43</f>
        <v>209901.10000000033</v>
      </c>
      <c r="M43" s="137">
        <f>L43/F43</f>
        <v>0.1038086496632717</v>
      </c>
    </row>
    <row r="44" spans="1:13" x14ac:dyDescent="0.2">
      <c r="B44" s="42"/>
      <c r="C44" s="155"/>
      <c r="F44" s="165"/>
      <c r="G44" s="152"/>
      <c r="I44" s="152"/>
      <c r="K44" s="152"/>
    </row>
    <row r="45" spans="1:13" x14ac:dyDescent="0.2">
      <c r="B45" s="42" t="s">
        <v>157</v>
      </c>
      <c r="C45" s="155"/>
      <c r="F45" s="165"/>
      <c r="G45" s="152"/>
      <c r="I45" s="152"/>
      <c r="K45" s="152"/>
    </row>
    <row r="46" spans="1:13" x14ac:dyDescent="0.2">
      <c r="A46" s="39">
        <f>A43+1</f>
        <v>31</v>
      </c>
      <c r="B46" s="39" t="s">
        <v>141</v>
      </c>
      <c r="C46" s="152"/>
      <c r="D46" s="40">
        <f>SUM('SUMMARY-Approp Table'!I46:'SUMMARY-Approp Table'!J46)</f>
        <v>9698299.1999999993</v>
      </c>
      <c r="E46" s="40">
        <f>SUM('SUMMARY-Approp Table'!K46:'SUMMARY-Approp Table'!L46)</f>
        <v>9711543</v>
      </c>
      <c r="F46" s="164">
        <f>SUM('SUMMARY-Approp Table'!M46:'SUMMARY-Approp Table'!N46)</f>
        <v>9792597.4000000004</v>
      </c>
      <c r="G46" s="153">
        <f>SUM('SUMMARY-Approp Table'!O46:'SUMMARY-Approp Table'!P46)</f>
        <v>9985004.5</v>
      </c>
      <c r="H46" s="40">
        <f>E46-D46</f>
        <v>13243.800000000745</v>
      </c>
      <c r="I46" s="154">
        <f>H46/D46</f>
        <v>1.3655796472025472E-3</v>
      </c>
      <c r="J46" s="40">
        <f>F46-E46</f>
        <v>81054.400000000373</v>
      </c>
      <c r="K46" s="154">
        <f>J46/E46</f>
        <v>8.3461917431658771E-3</v>
      </c>
      <c r="L46" s="40">
        <f>G46-F46</f>
        <v>192407.09999999963</v>
      </c>
      <c r="M46" s="137">
        <f>L46/F46</f>
        <v>1.9648219174210065E-2</v>
      </c>
    </row>
    <row r="47" spans="1:13" x14ac:dyDescent="0.2">
      <c r="A47" s="39">
        <f>A46+1</f>
        <v>32</v>
      </c>
      <c r="B47" s="42" t="s">
        <v>299</v>
      </c>
      <c r="C47" s="152"/>
      <c r="D47" s="40">
        <f>SUM('SUMMARY-Approp Table'!I47:'SUMMARY-Approp Table'!J47)</f>
        <v>48378.1</v>
      </c>
      <c r="E47" s="40">
        <f>SUM('SUMMARY-Approp Table'!K47:'SUMMARY-Approp Table'!L47)</f>
        <v>0</v>
      </c>
      <c r="F47" s="164">
        <f>SUM('SUMMARY-Approp Table'!M47:'SUMMARY-Approp Table'!N47)</f>
        <v>0</v>
      </c>
      <c r="G47" s="153">
        <f>SUM('SUMMARY-Approp Table'!O47:'SUMMARY-Approp Table'!P47)</f>
        <v>0</v>
      </c>
      <c r="H47" s="40">
        <f>E47-D47</f>
        <v>-48378.1</v>
      </c>
      <c r="I47" s="154">
        <f>H47/D47</f>
        <v>-1</v>
      </c>
      <c r="J47" s="40">
        <f>F47-E47</f>
        <v>0</v>
      </c>
      <c r="K47" s="154" t="e">
        <f>J47/E47</f>
        <v>#DIV/0!</v>
      </c>
      <c r="L47" s="40">
        <f>G47-F47</f>
        <v>0</v>
      </c>
      <c r="M47" s="137" t="e">
        <f>L47/F47</f>
        <v>#DIV/0!</v>
      </c>
    </row>
    <row r="48" spans="1:13" x14ac:dyDescent="0.2">
      <c r="A48" s="39">
        <f>A47+1</f>
        <v>33</v>
      </c>
      <c r="B48" s="42" t="s">
        <v>167</v>
      </c>
      <c r="C48" s="155"/>
      <c r="D48" s="40">
        <f>SUM('SUMMARY-Approp Table'!I48:'SUMMARY-Approp Table'!J48)</f>
        <v>22824.300000000003</v>
      </c>
      <c r="E48" s="40">
        <f>SUM('SUMMARY-Approp Table'!K48:'SUMMARY-Approp Table'!L48)</f>
        <v>22743.1</v>
      </c>
      <c r="F48" s="164">
        <f>SUM('SUMMARY-Approp Table'!M48:'SUMMARY-Approp Table'!N48)</f>
        <v>22933.4</v>
      </c>
      <c r="G48" s="153">
        <f>SUM('SUMMARY-Approp Table'!O48:'SUMMARY-Approp Table'!P48)</f>
        <v>23384.1</v>
      </c>
      <c r="H48" s="40">
        <f>E48-D48</f>
        <v>-81.200000000004366</v>
      </c>
      <c r="I48" s="154">
        <f>H48/D48</f>
        <v>-3.5576118435178454E-3</v>
      </c>
      <c r="J48" s="40">
        <f>F48-E48</f>
        <v>190.30000000000291</v>
      </c>
      <c r="K48" s="154">
        <f>J48/E48</f>
        <v>8.3673729614697611E-3</v>
      </c>
      <c r="L48" s="40">
        <f>G48-F48</f>
        <v>450.69999999999709</v>
      </c>
      <c r="M48" s="137">
        <f>L48/F48</f>
        <v>1.9652559149537226E-2</v>
      </c>
    </row>
    <row r="49" spans="1:13" x14ac:dyDescent="0.2">
      <c r="A49" s="39">
        <f>A48+1</f>
        <v>34</v>
      </c>
      <c r="B49" s="39" t="s">
        <v>142</v>
      </c>
      <c r="C49" s="152"/>
      <c r="D49" s="40">
        <f>SUM('SUMMARY-Approp Table'!I49:'SUMMARY-Approp Table'!J49)</f>
        <v>120586.4</v>
      </c>
      <c r="E49" s="40">
        <f>SUM('SUMMARY-Approp Table'!K49:'SUMMARY-Approp Table'!L49)</f>
        <v>133638.39999999999</v>
      </c>
      <c r="F49" s="164">
        <f>SUM('SUMMARY-Approp Table'!M49:'SUMMARY-Approp Table'!N49)</f>
        <v>147844.70000000001</v>
      </c>
      <c r="G49" s="153">
        <f>SUM('SUMMARY-Approp Table'!O49:'SUMMARY-Approp Table'!P49)</f>
        <v>165344.6</v>
      </c>
      <c r="H49" s="40">
        <f>E49-D49</f>
        <v>13052</v>
      </c>
      <c r="I49" s="154">
        <f>H49/D49</f>
        <v>0.10823774488665389</v>
      </c>
      <c r="J49" s="40">
        <f>F49-E49</f>
        <v>14206.300000000017</v>
      </c>
      <c r="K49" s="154">
        <f>J49/E49</f>
        <v>0.10630402638762525</v>
      </c>
      <c r="L49" s="40">
        <f>G49-F49</f>
        <v>17499.899999999994</v>
      </c>
      <c r="M49" s="137">
        <f>L49/F49</f>
        <v>0.11836677270135482</v>
      </c>
    </row>
    <row r="50" spans="1:13" x14ac:dyDescent="0.2">
      <c r="B50" s="42" t="s">
        <v>171</v>
      </c>
      <c r="C50" s="152"/>
      <c r="F50" s="165"/>
      <c r="G50" s="152"/>
      <c r="I50" s="152"/>
      <c r="K50" s="152"/>
    </row>
    <row r="51" spans="1:13" x14ac:dyDescent="0.2">
      <c r="A51" s="39">
        <f>A49+1</f>
        <v>35</v>
      </c>
      <c r="C51" s="152" t="s">
        <v>143</v>
      </c>
      <c r="D51" s="40">
        <f>SUM('SUMMARY-Approp Table'!I51:'SUMMARY-Approp Table'!J51)</f>
        <v>682438.8</v>
      </c>
      <c r="E51" s="40">
        <f>SUM('SUMMARY-Approp Table'!K51:'SUMMARY-Approp Table'!L51)</f>
        <v>775417.7</v>
      </c>
      <c r="F51" s="164">
        <f>SUM('SUMMARY-Approp Table'!M51:'SUMMARY-Approp Table'!N51)</f>
        <v>885520.4</v>
      </c>
      <c r="G51" s="153">
        <f>SUM('SUMMARY-Approp Table'!O51:'SUMMARY-Approp Table'!P51)</f>
        <v>969182.1</v>
      </c>
      <c r="H51" s="40">
        <f t="shared" ref="H51:H64" si="7">E51-D51</f>
        <v>92978.899999999907</v>
      </c>
      <c r="I51" s="154">
        <f t="shared" ref="I51:I64" si="8">H51/D51</f>
        <v>0.13624503765026241</v>
      </c>
      <c r="J51" s="40">
        <f t="shared" ref="J51:J64" si="9">F51-E51</f>
        <v>110102.70000000007</v>
      </c>
      <c r="K51" s="154">
        <f t="shared" ref="K51:K64" si="10">J51/E51</f>
        <v>0.14199147117740551</v>
      </c>
      <c r="L51" s="40">
        <f t="shared" ref="L51:L57" si="11">G51-F51</f>
        <v>83661.699999999953</v>
      </c>
      <c r="M51" s="137">
        <f t="shared" ref="M51:M57" si="12">L51/F51</f>
        <v>9.4477439480784353E-2</v>
      </c>
    </row>
    <row r="52" spans="1:13" x14ac:dyDescent="0.2">
      <c r="A52" s="39">
        <f t="shared" ref="A52:A64" si="13">A51+1</f>
        <v>36</v>
      </c>
      <c r="C52" s="152" t="s">
        <v>144</v>
      </c>
      <c r="D52" s="40">
        <f>SUM('SUMMARY-Approp Table'!I52:'SUMMARY-Approp Table'!J52)</f>
        <v>64375</v>
      </c>
      <c r="E52" s="40">
        <f>SUM('SUMMARY-Approp Table'!K52:'SUMMARY-Approp Table'!L52)</f>
        <v>63481</v>
      </c>
      <c r="F52" s="164">
        <f>SUM('SUMMARY-Approp Table'!M52:'SUMMARY-Approp Table'!N52)</f>
        <v>63576.9</v>
      </c>
      <c r="G52" s="153">
        <f>SUM('SUMMARY-Approp Table'!O52:'SUMMARY-Approp Table'!P52)</f>
        <v>64659.4</v>
      </c>
      <c r="H52" s="40">
        <f t="shared" si="7"/>
        <v>-894</v>
      </c>
      <c r="I52" s="154">
        <f t="shared" si="8"/>
        <v>-1.38873786407767E-2</v>
      </c>
      <c r="J52" s="40">
        <f t="shared" si="9"/>
        <v>95.900000000001455</v>
      </c>
      <c r="K52" s="154">
        <f t="shared" si="10"/>
        <v>1.5106882374253943E-3</v>
      </c>
      <c r="L52" s="40">
        <f t="shared" si="11"/>
        <v>1082.5</v>
      </c>
      <c r="M52" s="137">
        <f t="shared" si="12"/>
        <v>1.7026624450075419E-2</v>
      </c>
    </row>
    <row r="53" spans="1:13" x14ac:dyDescent="0.2">
      <c r="A53" s="39">
        <f t="shared" si="13"/>
        <v>37</v>
      </c>
      <c r="B53" s="42"/>
      <c r="C53" s="155" t="s">
        <v>170</v>
      </c>
      <c r="D53" s="40">
        <f>SUM('SUMMARY-Approp Table'!I53:'SUMMARY-Approp Table'!J53)</f>
        <v>16623.3</v>
      </c>
      <c r="E53" s="40">
        <f>SUM('SUMMARY-Approp Table'!K53:'SUMMARY-Approp Table'!L53)</f>
        <v>16645.8</v>
      </c>
      <c r="F53" s="164">
        <f>SUM('SUMMARY-Approp Table'!M53:'SUMMARY-Approp Table'!N53)</f>
        <v>16907</v>
      </c>
      <c r="G53" s="153">
        <f>SUM('SUMMARY-Approp Table'!O53:'SUMMARY-Approp Table'!P53)</f>
        <v>17231.099999999999</v>
      </c>
      <c r="H53" s="40">
        <f t="shared" si="7"/>
        <v>22.5</v>
      </c>
      <c r="I53" s="154">
        <f t="shared" si="8"/>
        <v>1.3535218638898415E-3</v>
      </c>
      <c r="J53" s="40">
        <f t="shared" si="9"/>
        <v>261.20000000000073</v>
      </c>
      <c r="K53" s="154">
        <f t="shared" si="10"/>
        <v>1.5691645940717824E-2</v>
      </c>
      <c r="L53" s="40">
        <f t="shared" si="11"/>
        <v>324.09999999999854</v>
      </c>
      <c r="M53" s="137">
        <f t="shared" si="12"/>
        <v>1.9169574732359293E-2</v>
      </c>
    </row>
    <row r="54" spans="1:13" x14ac:dyDescent="0.2">
      <c r="A54" s="39">
        <f t="shared" si="13"/>
        <v>38</v>
      </c>
      <c r="B54" s="39" t="s">
        <v>145</v>
      </c>
      <c r="C54" s="152"/>
      <c r="D54" s="40">
        <f>SUM('SUMMARY-Approp Table'!I54:'SUMMARY-Approp Table'!J54)</f>
        <v>44536.3</v>
      </c>
      <c r="E54" s="40">
        <f>SUM('SUMMARY-Approp Table'!K54:'SUMMARY-Approp Table'!L54)</f>
        <v>46879.8</v>
      </c>
      <c r="F54" s="164">
        <f>SUM('SUMMARY-Approp Table'!M54:'SUMMARY-Approp Table'!N54)</f>
        <v>48495.5</v>
      </c>
      <c r="G54" s="153">
        <f>SUM('SUMMARY-Approp Table'!O54:'SUMMARY-Approp Table'!P54)</f>
        <v>49649.399999999994</v>
      </c>
      <c r="H54" s="40">
        <f t="shared" si="7"/>
        <v>2343.5</v>
      </c>
      <c r="I54" s="154">
        <f t="shared" si="8"/>
        <v>5.2619997619919028E-2</v>
      </c>
      <c r="J54" s="40">
        <f t="shared" si="9"/>
        <v>1615.6999999999971</v>
      </c>
      <c r="K54" s="154">
        <f t="shared" si="10"/>
        <v>3.4464737477548898E-2</v>
      </c>
      <c r="L54" s="40">
        <f t="shared" si="11"/>
        <v>1153.8999999999942</v>
      </c>
      <c r="M54" s="137">
        <f t="shared" si="12"/>
        <v>2.3793960264354305E-2</v>
      </c>
    </row>
    <row r="55" spans="1:13" x14ac:dyDescent="0.2">
      <c r="A55" s="39">
        <f t="shared" si="13"/>
        <v>39</v>
      </c>
      <c r="B55" s="39" t="s">
        <v>146</v>
      </c>
      <c r="C55" s="152"/>
      <c r="D55" s="40">
        <f>SUM('SUMMARY-Approp Table'!I55:'SUMMARY-Approp Table'!J55)</f>
        <v>120242.9</v>
      </c>
      <c r="E55" s="40">
        <f>SUM('SUMMARY-Approp Table'!K55:'SUMMARY-Approp Table'!L55)</f>
        <v>120204.7</v>
      </c>
      <c r="F55" s="164">
        <f>SUM('SUMMARY-Approp Table'!M55:'SUMMARY-Approp Table'!N55)</f>
        <v>120258.79999999999</v>
      </c>
      <c r="G55" s="153">
        <f>SUM('SUMMARY-Approp Table'!O55:'SUMMARY-Approp Table'!P55)</f>
        <v>119493.70000000001</v>
      </c>
      <c r="H55" s="40">
        <f t="shared" si="7"/>
        <v>-38.19999999999709</v>
      </c>
      <c r="I55" s="154">
        <f t="shared" si="8"/>
        <v>-3.1769027526778787E-4</v>
      </c>
      <c r="J55" s="40">
        <f t="shared" si="9"/>
        <v>54.099999999991269</v>
      </c>
      <c r="K55" s="154">
        <f t="shared" si="10"/>
        <v>4.5006559643667238E-4</v>
      </c>
      <c r="L55" s="40">
        <f t="shared" si="11"/>
        <v>-765.09999999997672</v>
      </c>
      <c r="M55" s="137">
        <f t="shared" si="12"/>
        <v>-6.3621123776386995E-3</v>
      </c>
    </row>
    <row r="56" spans="1:13" x14ac:dyDescent="0.2">
      <c r="A56" s="39">
        <f t="shared" si="13"/>
        <v>40</v>
      </c>
      <c r="B56" s="39" t="s">
        <v>148</v>
      </c>
      <c r="C56" s="152"/>
      <c r="D56" s="40">
        <f>SUM('SUMMARY-Approp Table'!I56:'SUMMARY-Approp Table'!J56)</f>
        <v>3353.5</v>
      </c>
      <c r="E56" s="40">
        <f>SUM('SUMMARY-Approp Table'!K56:'SUMMARY-Approp Table'!L56)</f>
        <v>1049.0999999999999</v>
      </c>
      <c r="F56" s="164">
        <f>SUM('SUMMARY-Approp Table'!M56:'SUMMARY-Approp Table'!N56)</f>
        <v>382.1</v>
      </c>
      <c r="G56" s="153">
        <f>SUM('SUMMARY-Approp Table'!O56:'SUMMARY-Approp Table'!P56)</f>
        <v>233</v>
      </c>
      <c r="H56" s="40">
        <f t="shared" si="7"/>
        <v>-2304.4</v>
      </c>
      <c r="I56" s="154">
        <f t="shared" si="8"/>
        <v>-0.68716266587147756</v>
      </c>
      <c r="J56" s="40">
        <f t="shared" si="9"/>
        <v>-666.99999999999989</v>
      </c>
      <c r="K56" s="154">
        <f t="shared" si="10"/>
        <v>-0.63578305213992936</v>
      </c>
      <c r="L56" s="40">
        <f t="shared" si="11"/>
        <v>-149.10000000000002</v>
      </c>
      <c r="M56" s="137">
        <f t="shared" si="12"/>
        <v>-0.39021198639099713</v>
      </c>
    </row>
    <row r="57" spans="1:13" x14ac:dyDescent="0.2">
      <c r="A57" s="39">
        <f t="shared" si="13"/>
        <v>41</v>
      </c>
      <c r="B57" s="42" t="s">
        <v>244</v>
      </c>
      <c r="C57" s="152"/>
      <c r="D57" s="40">
        <f>SUM('SUMMARY-Approp Table'!I57:'SUMMARY-Approp Table'!J57)</f>
        <v>-730.5</v>
      </c>
      <c r="E57" s="40">
        <f>SUM('SUMMARY-Approp Table'!K57:'SUMMARY-Approp Table'!L57)</f>
        <v>-2507.1</v>
      </c>
      <c r="F57" s="164">
        <f>SUM('SUMMARY-Approp Table'!M57:'SUMMARY-Approp Table'!N57)</f>
        <v>-700</v>
      </c>
      <c r="G57" s="153">
        <f>SUM('SUMMARY-Approp Table'!O57:'SUMMARY-Approp Table'!P57)</f>
        <v>-700</v>
      </c>
      <c r="H57" s="40">
        <f t="shared" si="7"/>
        <v>-1776.6</v>
      </c>
      <c r="I57" s="154">
        <f t="shared" si="8"/>
        <v>2.4320328542094454</v>
      </c>
      <c r="J57" s="40">
        <f t="shared" si="9"/>
        <v>1807.1</v>
      </c>
      <c r="K57" s="154">
        <f t="shared" si="10"/>
        <v>-0.72079294802760163</v>
      </c>
      <c r="L57" s="40">
        <f t="shared" si="11"/>
        <v>0</v>
      </c>
      <c r="M57" s="137">
        <f t="shared" si="12"/>
        <v>0</v>
      </c>
    </row>
    <row r="58" spans="1:13" x14ac:dyDescent="0.2">
      <c r="A58" s="39">
        <f t="shared" si="13"/>
        <v>42</v>
      </c>
      <c r="B58" s="42" t="s">
        <v>360</v>
      </c>
      <c r="C58" s="152"/>
      <c r="D58" s="40"/>
      <c r="E58" s="40"/>
      <c r="F58" s="164"/>
      <c r="G58" s="153"/>
      <c r="H58" s="40"/>
      <c r="I58" s="154"/>
      <c r="J58" s="40"/>
      <c r="K58" s="154"/>
    </row>
    <row r="59" spans="1:13" x14ac:dyDescent="0.2">
      <c r="A59" s="39">
        <f>A58+1</f>
        <v>43</v>
      </c>
      <c r="B59" s="39" t="s">
        <v>147</v>
      </c>
      <c r="C59" s="152"/>
      <c r="D59" s="40">
        <f>SUM('SUMMARY-Approp Table'!I59:'SUMMARY-Approp Table'!J59)</f>
        <v>155851.30000000002</v>
      </c>
      <c r="E59" s="40">
        <f>SUM('SUMMARY-Approp Table'!K59:'SUMMARY-Approp Table'!L59)</f>
        <v>140121.5</v>
      </c>
      <c r="F59" s="164">
        <f>SUM('SUMMARY-Approp Table'!M59:'SUMMARY-Approp Table'!N59)</f>
        <v>158580.9</v>
      </c>
      <c r="G59" s="153">
        <f>SUM('SUMMARY-Approp Table'!O59:'SUMMARY-Approp Table'!P59)</f>
        <v>172060</v>
      </c>
      <c r="H59" s="40">
        <f t="shared" si="7"/>
        <v>-15729.800000000017</v>
      </c>
      <c r="I59" s="154">
        <f t="shared" si="8"/>
        <v>-0.10092825661383649</v>
      </c>
      <c r="J59" s="40">
        <f t="shared" si="9"/>
        <v>18459.399999999994</v>
      </c>
      <c r="K59" s="154">
        <f t="shared" si="10"/>
        <v>0.13173852692127899</v>
      </c>
      <c r="L59" s="40">
        <f t="shared" ref="L59:L64" si="14">G59-F59</f>
        <v>13479.100000000006</v>
      </c>
      <c r="M59" s="137">
        <f t="shared" ref="M59:M64" si="15">L59/F59</f>
        <v>8.4998256410450473E-2</v>
      </c>
    </row>
    <row r="60" spans="1:13" x14ac:dyDescent="0.2">
      <c r="A60" s="39">
        <f t="shared" si="13"/>
        <v>44</v>
      </c>
      <c r="B60" s="39" t="s">
        <v>149</v>
      </c>
      <c r="C60" s="152"/>
      <c r="D60" s="40">
        <f>SUM('SUMMARY-Approp Table'!I60:'SUMMARY-Approp Table'!J60)</f>
        <v>44764.899999999994</v>
      </c>
      <c r="E60" s="40">
        <f>SUM('SUMMARY-Approp Table'!K60:'SUMMARY-Approp Table'!L60)</f>
        <v>32748.700000000012</v>
      </c>
      <c r="F60" s="164">
        <f>SUM('SUMMARY-Approp Table'!M60:'SUMMARY-Approp Table'!N60)</f>
        <v>38977.800000000003</v>
      </c>
      <c r="G60" s="153">
        <f>SUM('SUMMARY-Approp Table'!O60:'SUMMARY-Approp Table'!P60)</f>
        <v>45519</v>
      </c>
      <c r="H60" s="40">
        <f t="shared" si="7"/>
        <v>-12016.199999999983</v>
      </c>
      <c r="I60" s="154">
        <f t="shared" si="8"/>
        <v>-0.26842905937464362</v>
      </c>
      <c r="J60" s="40">
        <f t="shared" si="9"/>
        <v>6229.0999999999913</v>
      </c>
      <c r="K60" s="154">
        <f t="shared" si="10"/>
        <v>0.1902090770015295</v>
      </c>
      <c r="L60" s="40">
        <f t="shared" si="14"/>
        <v>6541.1999999999971</v>
      </c>
      <c r="M60" s="137">
        <f t="shared" si="15"/>
        <v>0.16781860443637139</v>
      </c>
    </row>
    <row r="61" spans="1:13" x14ac:dyDescent="0.2">
      <c r="A61" s="39">
        <f t="shared" si="13"/>
        <v>45</v>
      </c>
      <c r="B61" s="42" t="s">
        <v>173</v>
      </c>
      <c r="C61" s="152"/>
      <c r="D61" s="40">
        <f>SUM('SUMMARY-Approp Table'!I61:'SUMMARY-Approp Table'!J61)</f>
        <v>12551.999999999996</v>
      </c>
      <c r="E61" s="40">
        <f>SUM('SUMMARY-Approp Table'!K61:'SUMMARY-Approp Table'!L61)</f>
        <v>8228.5</v>
      </c>
      <c r="F61" s="164">
        <f>SUM('SUMMARY-Approp Table'!M61:'SUMMARY-Approp Table'!N61)</f>
        <v>10072</v>
      </c>
      <c r="G61" s="153">
        <f>SUM('SUMMARY-Approp Table'!O61:'SUMMARY-Approp Table'!P61)</f>
        <v>11953.500000000004</v>
      </c>
      <c r="H61" s="40">
        <f t="shared" si="7"/>
        <v>-4323.4999999999964</v>
      </c>
      <c r="I61" s="154">
        <f t="shared" si="8"/>
        <v>-0.34444710006373469</v>
      </c>
      <c r="J61" s="40">
        <f t="shared" si="9"/>
        <v>1843.5</v>
      </c>
      <c r="K61" s="154">
        <f t="shared" si="10"/>
        <v>0.22403840311113812</v>
      </c>
      <c r="L61" s="40">
        <f t="shared" si="14"/>
        <v>1881.5000000000036</v>
      </c>
      <c r="M61" s="137">
        <f t="shared" si="15"/>
        <v>0.18680500397140623</v>
      </c>
    </row>
    <row r="62" spans="1:13" x14ac:dyDescent="0.2">
      <c r="A62" s="39">
        <f t="shared" si="13"/>
        <v>46</v>
      </c>
      <c r="B62" s="42" t="s">
        <v>168</v>
      </c>
      <c r="C62" s="155"/>
      <c r="D62" s="40">
        <f>SUM('SUMMARY-Approp Table'!I62:'SUMMARY-Approp Table'!J62)</f>
        <v>97978.9</v>
      </c>
      <c r="E62" s="40">
        <f>SUM('SUMMARY-Approp Table'!K62:'SUMMARY-Approp Table'!L62)</f>
        <v>86383.3</v>
      </c>
      <c r="F62" s="164">
        <f>SUM('SUMMARY-Approp Table'!M62:'SUMMARY-Approp Table'!N62)</f>
        <v>117079.9</v>
      </c>
      <c r="G62" s="153">
        <f>SUM('SUMMARY-Approp Table'!O62:'SUMMARY-Approp Table'!P62)</f>
        <v>124874.8</v>
      </c>
      <c r="H62" s="40">
        <f t="shared" si="7"/>
        <v>-11595.599999999991</v>
      </c>
      <c r="I62" s="154">
        <f t="shared" si="8"/>
        <v>-0.11834793001350283</v>
      </c>
      <c r="J62" s="40">
        <f t="shared" si="9"/>
        <v>30696.599999999991</v>
      </c>
      <c r="K62" s="154">
        <f t="shared" si="10"/>
        <v>0.35535340742944516</v>
      </c>
      <c r="L62" s="40">
        <f t="shared" si="14"/>
        <v>7794.9000000000087</v>
      </c>
      <c r="M62" s="137">
        <f t="shared" si="15"/>
        <v>6.6577610674419849E-2</v>
      </c>
    </row>
    <row r="63" spans="1:13" x14ac:dyDescent="0.2">
      <c r="A63" s="39">
        <f t="shared" si="13"/>
        <v>47</v>
      </c>
      <c r="B63" s="42" t="s">
        <v>163</v>
      </c>
      <c r="C63" s="155"/>
      <c r="D63" s="40">
        <f>SUM('SUMMARY-Approp Table'!I63:'SUMMARY-Approp Table'!J63)</f>
        <v>172044.49999999985</v>
      </c>
      <c r="E63" s="40">
        <f>SUM('SUMMARY-Approp Table'!K63:'SUMMARY-Approp Table'!L63)</f>
        <v>119331.90000000005</v>
      </c>
      <c r="F63" s="164">
        <f>SUM('SUMMARY-Approp Table'!M63:'SUMMARY-Approp Table'!N63)</f>
        <v>153328.90000000011</v>
      </c>
      <c r="G63" s="153">
        <f>SUM('SUMMARY-Approp Table'!O63:'SUMMARY-Approp Table'!P63)</f>
        <v>183020.79999999999</v>
      </c>
      <c r="H63" s="40">
        <f t="shared" si="7"/>
        <v>-52712.599999999802</v>
      </c>
      <c r="I63" s="154">
        <f t="shared" si="8"/>
        <v>-0.30638933531731527</v>
      </c>
      <c r="J63" s="40">
        <f t="shared" si="9"/>
        <v>33997.000000000058</v>
      </c>
      <c r="K63" s="154">
        <f t="shared" si="10"/>
        <v>0.28489448336949336</v>
      </c>
      <c r="L63" s="40">
        <f t="shared" si="14"/>
        <v>29691.899999999878</v>
      </c>
      <c r="M63" s="137">
        <f t="shared" si="15"/>
        <v>0.19364842505228863</v>
      </c>
    </row>
    <row r="64" spans="1:13" x14ac:dyDescent="0.2">
      <c r="A64" s="39">
        <f t="shared" si="13"/>
        <v>48</v>
      </c>
      <c r="B64" s="39" t="s">
        <v>151</v>
      </c>
      <c r="C64" s="152"/>
      <c r="D64" s="40">
        <f>SUM('SUMMARY-Approp Table'!I64:'SUMMARY-Approp Table'!J64)</f>
        <v>17197.099999999999</v>
      </c>
      <c r="E64" s="40">
        <f>SUM('SUMMARY-Approp Table'!K64:'SUMMARY-Approp Table'!L64)</f>
        <v>17211.900000000001</v>
      </c>
      <c r="F64" s="164">
        <f>SUM('SUMMARY-Approp Table'!M64:'SUMMARY-Approp Table'!N64)</f>
        <v>17024.599999999999</v>
      </c>
      <c r="G64" s="153">
        <f>SUM('SUMMARY-Approp Table'!O64:'SUMMARY-Approp Table'!P64)</f>
        <v>17045.2</v>
      </c>
      <c r="H64" s="40">
        <f t="shared" si="7"/>
        <v>14.80000000000291</v>
      </c>
      <c r="I64" s="154">
        <f t="shared" si="8"/>
        <v>8.6061021916502851E-4</v>
      </c>
      <c r="J64" s="40">
        <f t="shared" si="9"/>
        <v>-187.30000000000291</v>
      </c>
      <c r="K64" s="154">
        <f t="shared" si="10"/>
        <v>-1.0882006053951213E-2</v>
      </c>
      <c r="L64" s="40">
        <f t="shared" si="14"/>
        <v>20.600000000002183</v>
      </c>
      <c r="M64" s="137">
        <f t="shared" si="15"/>
        <v>1.2100137448164529E-3</v>
      </c>
    </row>
    <row r="65" spans="1:13" x14ac:dyDescent="0.2">
      <c r="B65" s="42" t="s">
        <v>172</v>
      </c>
      <c r="C65" s="152"/>
      <c r="F65" s="165"/>
      <c r="G65" s="152"/>
      <c r="I65" s="152"/>
      <c r="K65" s="152"/>
    </row>
    <row r="66" spans="1:13" x14ac:dyDescent="0.2">
      <c r="A66" s="39">
        <f>A64+1</f>
        <v>49</v>
      </c>
      <c r="B66" s="42"/>
      <c r="C66" s="155" t="s">
        <v>268</v>
      </c>
      <c r="D66" s="40">
        <f>SUM('SUMMARY-Approp Table'!I66:'SUMMARY-Approp Table'!J66)</f>
        <v>79.300000000000011</v>
      </c>
      <c r="E66" s="40">
        <f>SUM('SUMMARY-Approp Table'!K66:'SUMMARY-Approp Table'!L66)</f>
        <v>1265.3</v>
      </c>
      <c r="F66" s="164">
        <f>SUM('SUMMARY-Approp Table'!M66:'SUMMARY-Approp Table'!N66)</f>
        <v>193.5</v>
      </c>
      <c r="G66" s="153">
        <f>SUM('SUMMARY-Approp Table'!O66:'SUMMARY-Approp Table'!P66)</f>
        <v>-547.9</v>
      </c>
      <c r="H66" s="40">
        <f>E66-D66</f>
        <v>1186</v>
      </c>
      <c r="I66" s="154">
        <f>H66/D66</f>
        <v>14.955863808322823</v>
      </c>
      <c r="J66" s="40">
        <f>F66-E66</f>
        <v>-1071.8</v>
      </c>
      <c r="K66" s="154">
        <f>J66/E66</f>
        <v>-0.84707184067019681</v>
      </c>
      <c r="L66" s="40">
        <f>G66-F66</f>
        <v>-741.4</v>
      </c>
      <c r="M66" s="137">
        <f>L66/F66</f>
        <v>-3.8315245478036175</v>
      </c>
    </row>
    <row r="67" spans="1:13" hidden="1" x14ac:dyDescent="0.2">
      <c r="A67" s="39">
        <f>A66+1</f>
        <v>50</v>
      </c>
      <c r="B67" s="42"/>
      <c r="C67" s="155"/>
      <c r="F67" s="165"/>
      <c r="G67" s="152"/>
      <c r="I67" s="152"/>
      <c r="K67" s="152"/>
    </row>
    <row r="68" spans="1:13" hidden="1" x14ac:dyDescent="0.2">
      <c r="A68" s="39">
        <f>A67+1</f>
        <v>51</v>
      </c>
      <c r="B68" s="42"/>
      <c r="C68" s="155"/>
      <c r="F68" s="165"/>
      <c r="G68" s="152"/>
      <c r="I68" s="152"/>
      <c r="K68" s="152"/>
    </row>
    <row r="69" spans="1:13" hidden="1" x14ac:dyDescent="0.2">
      <c r="A69" s="39">
        <f>A68+1</f>
        <v>52</v>
      </c>
      <c r="B69" s="42"/>
      <c r="C69" s="155"/>
      <c r="F69" s="165"/>
      <c r="G69" s="152"/>
      <c r="I69" s="152"/>
      <c r="K69" s="152"/>
    </row>
    <row r="70" spans="1:13" hidden="1" x14ac:dyDescent="0.2">
      <c r="A70" s="39">
        <f>A69+1</f>
        <v>53</v>
      </c>
      <c r="B70" s="42"/>
      <c r="C70" s="155"/>
      <c r="F70" s="165"/>
      <c r="G70" s="152"/>
      <c r="I70" s="152"/>
      <c r="K70" s="152"/>
    </row>
    <row r="71" spans="1:13" x14ac:dyDescent="0.2">
      <c r="C71" s="152"/>
      <c r="F71" s="165"/>
      <c r="G71" s="152"/>
      <c r="I71" s="152"/>
      <c r="K71" s="152"/>
    </row>
    <row r="72" spans="1:13" x14ac:dyDescent="0.2">
      <c r="A72" s="39">
        <f>A70+1</f>
        <v>54</v>
      </c>
      <c r="B72" s="42" t="s">
        <v>184</v>
      </c>
      <c r="C72" s="155"/>
      <c r="D72" s="40">
        <f>SUM('SUMMARY-Approp Table'!I72:'SUMMARY-Approp Table'!J72)</f>
        <v>11321395.299999997</v>
      </c>
      <c r="E72" s="40">
        <f>SUM('SUMMARY-Approp Table'!K72:'SUMMARY-Approp Table'!L72)</f>
        <v>10794386.600000003</v>
      </c>
      <c r="F72" s="164">
        <f>SUM('SUMMARY-Approp Table'!M72:'SUMMARY-Approp Table'!N72)</f>
        <v>11593073.800000001</v>
      </c>
      <c r="G72" s="153">
        <f>SUM('SUMMARY-Approp Table'!O72:'SUMMARY-Approp Table'!P72)</f>
        <v>11947407.299999997</v>
      </c>
      <c r="H72" s="40">
        <f>E72-D72</f>
        <v>-527008.69999999367</v>
      </c>
      <c r="I72" s="154">
        <f>H72/D72</f>
        <v>-4.6549801153926124E-2</v>
      </c>
      <c r="J72" s="40">
        <f>F72-E72</f>
        <v>798687.19999999739</v>
      </c>
      <c r="K72" s="154">
        <f>J72/E72</f>
        <v>7.3990976013402848E-2</v>
      </c>
      <c r="L72" s="40">
        <f>G72-F72</f>
        <v>354333.49999999627</v>
      </c>
      <c r="M72" s="137">
        <f>L72/F72</f>
        <v>3.0564240865955349E-2</v>
      </c>
    </row>
    <row r="73" spans="1:13" x14ac:dyDescent="0.2">
      <c r="A73" s="39">
        <f>A72+1</f>
        <v>55</v>
      </c>
      <c r="B73" s="173" t="s">
        <v>397</v>
      </c>
      <c r="C73" s="155"/>
      <c r="D73" s="40">
        <f>SUM('SUMMARY-Approp Table'!I73:'SUMMARY-Approp Table'!J73)</f>
        <v>11321395.299999997</v>
      </c>
      <c r="E73" s="40">
        <f>SUM('SUMMARY-Approp Table'!K73:'SUMMARY-Approp Table'!L73)</f>
        <v>10794386.600000003</v>
      </c>
      <c r="F73" s="164">
        <f>SUM('SUMMARY-Approp Table'!M73:'SUMMARY-Approp Table'!N73)</f>
        <v>11593073.800000001</v>
      </c>
      <c r="G73" s="153">
        <f>SUM('SUMMARY-Approp Table'!O73:'SUMMARY-Approp Table'!P73)</f>
        <v>11947407.299999997</v>
      </c>
      <c r="H73" s="40">
        <f>E73-D73</f>
        <v>-527008.69999999367</v>
      </c>
      <c r="I73" s="154">
        <f>H73/D73</f>
        <v>-4.6549801153926124E-2</v>
      </c>
      <c r="J73" s="40">
        <f>F73-E73</f>
        <v>798687.19999999739</v>
      </c>
      <c r="K73" s="154">
        <f>J73/E73</f>
        <v>7.3990976013402848E-2</v>
      </c>
      <c r="L73" s="40">
        <f>G73-F73</f>
        <v>354333.49999999627</v>
      </c>
      <c r="M73" s="137">
        <f>L73/F73</f>
        <v>3.0564240865955349E-2</v>
      </c>
    </row>
    <row r="74" spans="1:13" x14ac:dyDescent="0.2">
      <c r="A74" s="39">
        <f>A73+1</f>
        <v>56</v>
      </c>
      <c r="B74" s="42" t="s">
        <v>303</v>
      </c>
      <c r="C74" s="155"/>
      <c r="F74" s="165"/>
      <c r="G74" s="152"/>
      <c r="I74" s="152"/>
      <c r="K74" s="152"/>
    </row>
    <row r="75" spans="1:13" x14ac:dyDescent="0.2">
      <c r="B75" s="42"/>
      <c r="C75" s="155"/>
      <c r="F75" s="165"/>
      <c r="G75" s="152"/>
      <c r="I75" s="152"/>
      <c r="K75" s="152"/>
    </row>
    <row r="76" spans="1:13" x14ac:dyDescent="0.2">
      <c r="A76" s="39">
        <f>A74+1</f>
        <v>57</v>
      </c>
      <c r="B76" s="42" t="s">
        <v>166</v>
      </c>
      <c r="C76" s="155"/>
      <c r="D76" s="40">
        <f>SUM('SUMMARY-Approp Table'!I76:'SUMMARY-Approp Table'!J76)</f>
        <v>-61390.899999999994</v>
      </c>
      <c r="E76" s="40">
        <f>SUM('SUMMARY-Approp Table'!K76:'SUMMARY-Approp Table'!L76)</f>
        <v>-61757.2</v>
      </c>
      <c r="F76" s="164">
        <f>SUM('SUMMARY-Approp Table'!M76:'SUMMARY-Approp Table'!N76)</f>
        <v>-62333.2</v>
      </c>
      <c r="G76" s="153">
        <f>SUM('SUMMARY-Approp Table'!O76:'SUMMARY-Approp Table'!P76)</f>
        <v>-62984.7</v>
      </c>
      <c r="H76" s="40">
        <f>E76-D76</f>
        <v>-366.30000000000291</v>
      </c>
      <c r="I76" s="154">
        <f>H76/D76</f>
        <v>5.9666823584603413E-3</v>
      </c>
      <c r="J76" s="40">
        <f>F76-E76</f>
        <v>-576</v>
      </c>
      <c r="K76" s="154">
        <f>J76/E76</f>
        <v>9.3268477197800421E-3</v>
      </c>
      <c r="L76" s="40">
        <f>G76-F76</f>
        <v>-651.5</v>
      </c>
      <c r="M76" s="137">
        <f>L76/F76</f>
        <v>1.0451894014746556E-2</v>
      </c>
    </row>
    <row r="77" spans="1:13" x14ac:dyDescent="0.2">
      <c r="C77" s="152"/>
      <c r="F77" s="165"/>
      <c r="G77" s="152"/>
      <c r="H77" s="165"/>
      <c r="I77" s="152"/>
      <c r="J77" s="165"/>
      <c r="K77" s="152"/>
      <c r="L77" s="165"/>
    </row>
    <row r="78" spans="1:13" x14ac:dyDescent="0.2">
      <c r="A78" s="39">
        <f>A76+1</f>
        <v>58</v>
      </c>
      <c r="B78" s="173" t="s">
        <v>396</v>
      </c>
      <c r="D78" s="40">
        <f>D72+D76</f>
        <v>11260004.399999997</v>
      </c>
      <c r="E78" s="40">
        <f>E72+E76</f>
        <v>10732629.400000004</v>
      </c>
      <c r="F78" s="40">
        <f>F72+F76</f>
        <v>11530740.600000001</v>
      </c>
      <c r="G78" s="153">
        <f>G72+G76</f>
        <v>11884422.599999998</v>
      </c>
      <c r="H78" s="40">
        <f>E78-D78</f>
        <v>-527374.99999999255</v>
      </c>
      <c r="I78" s="154">
        <f>H78/D78</f>
        <v>-4.6836127346450478E-2</v>
      </c>
      <c r="J78" s="40">
        <f>F78-E78</f>
        <v>798111.19999999739</v>
      </c>
      <c r="K78" s="154">
        <f>J78/E78</f>
        <v>7.4363063351465114E-2</v>
      </c>
      <c r="L78" s="40">
        <f>G78-F78</f>
        <v>353681.99999999627</v>
      </c>
      <c r="M78" s="137">
        <f>L78/F78</f>
        <v>3.0672964753018225E-2</v>
      </c>
    </row>
  </sheetData>
  <phoneticPr fontId="1" type="noConversion"/>
  <printOptions horizontalCentered="1" gridLines="1"/>
  <pageMargins left="0.75" right="0.5" top="1" bottom="0.5" header="0.5" footer="0.25"/>
  <pageSetup scale="76" fitToHeight="2" orientation="landscape" horizontalDpi="300" verticalDpi="300" r:id="rId1"/>
  <headerFooter alignWithMargins="0">
    <oddHeader>&amp;L&amp;"Arial,Bold"DEPT of EDUCATION
Program Finance Div.&amp;C&amp;"Arial,Bold"FY 09-15 GENERAL EDUCATION REVENUE
FEBRUARY 2011 FORECAST VS. NOVEMBER 2010 FORECAST&amp;R&amp;"Arial,Bold"&amp;D
&amp;T</oddHeader>
    <oddFooter>&amp;L&amp;"Arial,Regular"&amp;F&amp;R&amp;"Arial,Regular"&amp;A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211"/>
  <sheetViews>
    <sheetView zoomScaleNormal="100" zoomScaleSheetLayoutView="85" workbookViewId="0">
      <pane xSplit="3" ySplit="4" topLeftCell="E5" activePane="bottomRight" state="frozen"/>
      <selection activeCell="C139" sqref="C139"/>
      <selection pane="topRight" activeCell="C139" sqref="C139"/>
      <selection pane="bottomLeft" activeCell="C139" sqref="C139"/>
      <selection pane="bottomRight" activeCell="G23" sqref="G23"/>
    </sheetView>
  </sheetViews>
  <sheetFormatPr defaultColWidth="8" defaultRowHeight="12.75" x14ac:dyDescent="0.2"/>
  <cols>
    <col min="1" max="1" width="4.125" style="39" customWidth="1"/>
    <col min="2" max="2" width="2.25" style="39" customWidth="1"/>
    <col min="3" max="3" width="28.625" style="39" customWidth="1"/>
    <col min="4" max="9" width="13.625" style="39" customWidth="1"/>
    <col min="10" max="10" width="14.5" style="39" bestFit="1" customWidth="1"/>
    <col min="11" max="16384" width="8" style="39"/>
  </cols>
  <sheetData>
    <row r="1" spans="1:9" x14ac:dyDescent="0.2">
      <c r="A1" s="42" t="s">
        <v>322</v>
      </c>
    </row>
    <row r="3" spans="1:9" x14ac:dyDescent="0.2">
      <c r="A3" s="156" t="s">
        <v>361</v>
      </c>
      <c r="B3" s="156"/>
      <c r="C3" s="157"/>
      <c r="D3" s="158" t="s">
        <v>176</v>
      </c>
      <c r="E3" s="158" t="s">
        <v>181</v>
      </c>
      <c r="F3" s="158" t="s">
        <v>177</v>
      </c>
      <c r="G3" s="158" t="s">
        <v>178</v>
      </c>
      <c r="H3" s="158" t="s">
        <v>179</v>
      </c>
      <c r="I3" s="158" t="s">
        <v>180</v>
      </c>
    </row>
    <row r="5" spans="1:9" x14ac:dyDescent="0.2">
      <c r="A5" s="39">
        <v>1</v>
      </c>
      <c r="B5" s="39" t="s">
        <v>140</v>
      </c>
      <c r="D5" s="41">
        <f>'Pupil Data'!C39</f>
        <v>929990</v>
      </c>
      <c r="E5" s="41">
        <v>0</v>
      </c>
      <c r="F5" s="41">
        <f>'Pupil Data'!D39</f>
        <v>0</v>
      </c>
      <c r="G5" s="41">
        <f>'Pupil Data'!E39</f>
        <v>23051</v>
      </c>
      <c r="H5" s="41">
        <f>'Pupil Data'!F39</f>
        <v>0</v>
      </c>
      <c r="I5" s="41">
        <f>SUM(D5:H5)</f>
        <v>953041</v>
      </c>
    </row>
    <row r="7" spans="1:9" x14ac:dyDescent="0.2">
      <c r="B7" s="42" t="s">
        <v>155</v>
      </c>
      <c r="D7" s="40"/>
      <c r="E7" s="40"/>
      <c r="F7" s="40"/>
      <c r="G7" s="40"/>
      <c r="H7" s="40"/>
      <c r="I7" s="40"/>
    </row>
    <row r="8" spans="1:9" x14ac:dyDescent="0.2">
      <c r="A8" s="39">
        <f>A5+1</f>
        <v>2</v>
      </c>
      <c r="B8" s="39" t="s">
        <v>141</v>
      </c>
      <c r="D8" s="41">
        <v>4448158911</v>
      </c>
      <c r="E8" s="41">
        <v>0</v>
      </c>
      <c r="F8" s="41">
        <v>0</v>
      </c>
      <c r="G8" s="41">
        <v>110224809</v>
      </c>
      <c r="H8" s="41">
        <v>0</v>
      </c>
      <c r="I8" s="41">
        <f>SUM(D8:H8)</f>
        <v>4558383720</v>
      </c>
    </row>
    <row r="9" spans="1:9" x14ac:dyDescent="0.2">
      <c r="A9" s="39">
        <f>A8+1</f>
        <v>3</v>
      </c>
      <c r="B9" s="42" t="s">
        <v>167</v>
      </c>
      <c r="C9" s="42"/>
      <c r="D9" s="41">
        <v>3719974</v>
      </c>
      <c r="E9" s="41">
        <v>0</v>
      </c>
      <c r="F9" s="41">
        <v>0</v>
      </c>
      <c r="G9" s="41">
        <v>92180</v>
      </c>
      <c r="H9" s="41">
        <v>0</v>
      </c>
      <c r="I9" s="41">
        <f>SUM(D9:H9)</f>
        <v>3812154</v>
      </c>
    </row>
    <row r="10" spans="1:9" x14ac:dyDescent="0.2">
      <c r="A10" s="39">
        <f>A9+1</f>
        <v>4</v>
      </c>
      <c r="B10" s="39" t="s">
        <v>142</v>
      </c>
      <c r="D10" s="41">
        <v>51811953</v>
      </c>
      <c r="E10" s="41">
        <v>0</v>
      </c>
      <c r="F10" s="41">
        <v>0</v>
      </c>
      <c r="G10" s="41">
        <v>954247</v>
      </c>
      <c r="H10" s="41">
        <v>0</v>
      </c>
      <c r="I10" s="41">
        <f>SUM(D10:H10)</f>
        <v>52766200</v>
      </c>
    </row>
    <row r="11" spans="1:9" x14ac:dyDescent="0.2">
      <c r="B11" s="42" t="s">
        <v>171</v>
      </c>
      <c r="D11" s="41"/>
      <c r="E11" s="41"/>
      <c r="F11" s="41"/>
      <c r="G11" s="41"/>
      <c r="H11" s="41"/>
      <c r="I11" s="41"/>
    </row>
    <row r="12" spans="1:9" x14ac:dyDescent="0.2">
      <c r="A12" s="39">
        <f>A10+1</f>
        <v>5</v>
      </c>
      <c r="C12" s="39" t="s">
        <v>143</v>
      </c>
      <c r="D12" s="41">
        <v>271753985</v>
      </c>
      <c r="E12" s="41">
        <v>0</v>
      </c>
      <c r="F12" s="41">
        <v>0</v>
      </c>
      <c r="G12" s="41">
        <v>20793493</v>
      </c>
      <c r="H12" s="41">
        <v>0</v>
      </c>
      <c r="I12" s="41">
        <f t="shared" ref="I12:I23" si="0">SUM(D12:H12)</f>
        <v>292547478</v>
      </c>
    </row>
    <row r="13" spans="1:9" x14ac:dyDescent="0.2">
      <c r="A13" s="39">
        <f t="shared" ref="A13:A23" si="1">A12+1</f>
        <v>6</v>
      </c>
      <c r="C13" s="39" t="s">
        <v>144</v>
      </c>
      <c r="D13" s="41">
        <v>28357728</v>
      </c>
      <c r="E13" s="41">
        <v>0</v>
      </c>
      <c r="F13" s="41">
        <v>0</v>
      </c>
      <c r="G13" s="41">
        <v>2554930</v>
      </c>
      <c r="H13" s="41">
        <v>0</v>
      </c>
      <c r="I13" s="41">
        <f t="shared" si="0"/>
        <v>30912658</v>
      </c>
    </row>
    <row r="14" spans="1:9" x14ac:dyDescent="0.2">
      <c r="A14" s="39">
        <f t="shared" si="1"/>
        <v>7</v>
      </c>
      <c r="B14" s="42"/>
      <c r="C14" s="42" t="s">
        <v>170</v>
      </c>
      <c r="D14" s="41">
        <v>7045250</v>
      </c>
      <c r="E14" s="41">
        <v>0</v>
      </c>
      <c r="F14" s="41">
        <v>0</v>
      </c>
      <c r="G14" s="41">
        <v>837918</v>
      </c>
      <c r="H14" s="41">
        <v>0</v>
      </c>
      <c r="I14" s="41">
        <f t="shared" si="0"/>
        <v>7883168</v>
      </c>
    </row>
    <row r="15" spans="1:9" x14ac:dyDescent="0.2">
      <c r="A15" s="39">
        <f t="shared" si="1"/>
        <v>8</v>
      </c>
      <c r="B15" s="39" t="s">
        <v>145</v>
      </c>
      <c r="D15" s="41">
        <v>18397203</v>
      </c>
      <c r="E15" s="41">
        <v>0</v>
      </c>
      <c r="F15" s="41">
        <v>0</v>
      </c>
      <c r="G15" s="41">
        <v>455858</v>
      </c>
      <c r="H15" s="41">
        <v>0</v>
      </c>
      <c r="I15" s="41">
        <f t="shared" si="0"/>
        <v>18853061</v>
      </c>
    </row>
    <row r="16" spans="1:9" x14ac:dyDescent="0.2">
      <c r="A16" s="39">
        <f t="shared" si="1"/>
        <v>9</v>
      </c>
      <c r="B16" s="39" t="s">
        <v>146</v>
      </c>
      <c r="D16" s="41">
        <v>56687280</v>
      </c>
      <c r="E16" s="41">
        <v>0</v>
      </c>
      <c r="F16" s="41">
        <v>0</v>
      </c>
      <c r="G16" s="41">
        <v>645527</v>
      </c>
      <c r="H16" s="41">
        <v>0</v>
      </c>
      <c r="I16" s="41">
        <f t="shared" si="0"/>
        <v>57332807</v>
      </c>
    </row>
    <row r="17" spans="1:10" x14ac:dyDescent="0.2">
      <c r="A17" s="39">
        <f t="shared" si="1"/>
        <v>10</v>
      </c>
      <c r="B17" s="39" t="s">
        <v>148</v>
      </c>
      <c r="D17" s="41">
        <v>8014853</v>
      </c>
      <c r="E17" s="41">
        <v>0</v>
      </c>
      <c r="F17" s="41">
        <v>0</v>
      </c>
      <c r="G17" s="41">
        <v>198649</v>
      </c>
      <c r="H17" s="41">
        <v>0</v>
      </c>
      <c r="I17" s="41">
        <f t="shared" si="0"/>
        <v>8213502</v>
      </c>
    </row>
    <row r="18" spans="1:10" x14ac:dyDescent="0.2">
      <c r="A18" s="39">
        <f t="shared" si="1"/>
        <v>11</v>
      </c>
      <c r="B18" s="39" t="s">
        <v>244</v>
      </c>
      <c r="D18" s="41">
        <v>-344932</v>
      </c>
      <c r="E18" s="41">
        <v>0</v>
      </c>
      <c r="F18" s="41">
        <v>0</v>
      </c>
      <c r="G18" s="41">
        <v>0</v>
      </c>
      <c r="H18" s="41">
        <v>0</v>
      </c>
      <c r="I18" s="41">
        <f t="shared" si="0"/>
        <v>-344932</v>
      </c>
      <c r="J18" s="43">
        <v>-337237</v>
      </c>
    </row>
    <row r="19" spans="1:10" x14ac:dyDescent="0.2">
      <c r="A19" s="39">
        <f t="shared" si="1"/>
        <v>12</v>
      </c>
      <c r="B19" s="39" t="s">
        <v>147</v>
      </c>
      <c r="D19" s="41">
        <v>189326862</v>
      </c>
      <c r="E19" s="41">
        <v>0</v>
      </c>
      <c r="F19" s="41">
        <v>0</v>
      </c>
      <c r="G19" s="41">
        <v>4691526</v>
      </c>
      <c r="H19" s="41">
        <v>0</v>
      </c>
      <c r="I19" s="41">
        <f t="shared" si="0"/>
        <v>194018388</v>
      </c>
      <c r="J19" s="98">
        <f>J18-I18</f>
        <v>7695</v>
      </c>
    </row>
    <row r="20" spans="1:10" x14ac:dyDescent="0.2">
      <c r="A20" s="39">
        <f t="shared" si="1"/>
        <v>13</v>
      </c>
      <c r="B20" s="39" t="s">
        <v>149</v>
      </c>
      <c r="D20" s="41">
        <v>49766290</v>
      </c>
      <c r="E20" s="41">
        <v>0</v>
      </c>
      <c r="F20" s="41">
        <v>0</v>
      </c>
      <c r="G20" s="41">
        <v>1233144</v>
      </c>
      <c r="H20" s="41">
        <v>0</v>
      </c>
      <c r="I20" s="41">
        <f t="shared" si="0"/>
        <v>50999434</v>
      </c>
    </row>
    <row r="21" spans="1:10" x14ac:dyDescent="0.2">
      <c r="A21" s="39">
        <f t="shared" si="1"/>
        <v>14</v>
      </c>
      <c r="B21" s="42" t="s">
        <v>173</v>
      </c>
      <c r="D21" s="41">
        <v>29975351</v>
      </c>
      <c r="E21" s="41">
        <v>0</v>
      </c>
      <c r="F21" s="41">
        <v>0</v>
      </c>
      <c r="G21" s="41">
        <v>1058391</v>
      </c>
      <c r="H21" s="41">
        <v>0</v>
      </c>
      <c r="I21" s="41">
        <f t="shared" si="0"/>
        <v>31033742</v>
      </c>
    </row>
    <row r="22" spans="1:10" x14ac:dyDescent="0.2">
      <c r="A22" s="39">
        <f t="shared" si="1"/>
        <v>15</v>
      </c>
      <c r="B22" s="42" t="s">
        <v>168</v>
      </c>
      <c r="C22" s="42"/>
      <c r="D22" s="41">
        <v>16096910</v>
      </c>
      <c r="E22" s="41">
        <v>0</v>
      </c>
      <c r="F22" s="41">
        <v>0</v>
      </c>
      <c r="G22" s="41">
        <v>251940</v>
      </c>
      <c r="H22" s="41">
        <v>0</v>
      </c>
      <c r="I22" s="41">
        <f t="shared" si="0"/>
        <v>16348850</v>
      </c>
    </row>
    <row r="23" spans="1:10" x14ac:dyDescent="0.2">
      <c r="A23" s="39">
        <f t="shared" si="1"/>
        <v>16</v>
      </c>
      <c r="B23" s="39" t="s">
        <v>150</v>
      </c>
      <c r="D23" s="41">
        <v>534314512</v>
      </c>
      <c r="E23" s="41">
        <v>0</v>
      </c>
      <c r="F23" s="41">
        <v>0</v>
      </c>
      <c r="G23" s="41">
        <v>0</v>
      </c>
      <c r="H23" s="41">
        <v>0</v>
      </c>
      <c r="I23" s="41">
        <f t="shared" si="0"/>
        <v>534314512</v>
      </c>
    </row>
    <row r="24" spans="1:10" x14ac:dyDescent="0.2">
      <c r="B24" s="42" t="s">
        <v>172</v>
      </c>
      <c r="D24" s="41"/>
      <c r="E24" s="41"/>
      <c r="F24" s="41"/>
      <c r="G24" s="41"/>
      <c r="H24" s="41"/>
      <c r="I24" s="41"/>
    </row>
    <row r="25" spans="1:10" x14ac:dyDescent="0.2">
      <c r="A25" s="39">
        <f>A23+1</f>
        <v>17</v>
      </c>
      <c r="B25" s="42"/>
      <c r="C25" s="42" t="s">
        <v>175</v>
      </c>
      <c r="D25" s="41">
        <v>-3077997.79</v>
      </c>
      <c r="E25" s="41">
        <v>0</v>
      </c>
      <c r="F25" s="41">
        <v>0</v>
      </c>
      <c r="G25" s="41">
        <v>2182556</v>
      </c>
      <c r="H25" s="41">
        <v>0</v>
      </c>
      <c r="I25" s="41">
        <f>SUM(D25:H25)</f>
        <v>-895441.79</v>
      </c>
    </row>
    <row r="26" spans="1:10" x14ac:dyDescent="0.2">
      <c r="A26" s="39">
        <f>A25+1</f>
        <v>18</v>
      </c>
      <c r="B26" s="42"/>
      <c r="C26" s="42" t="s">
        <v>182</v>
      </c>
      <c r="D26" s="41">
        <v>1946553.44</v>
      </c>
      <c r="E26" s="41">
        <v>0</v>
      </c>
      <c r="F26" s="41">
        <v>0</v>
      </c>
      <c r="G26" s="41">
        <v>-1946553</v>
      </c>
      <c r="H26" s="41">
        <v>0</v>
      </c>
      <c r="I26" s="41">
        <f>SUM(D26:H26)</f>
        <v>0.43999999994412065</v>
      </c>
    </row>
    <row r="27" spans="1:10" x14ac:dyDescent="0.2">
      <c r="A27" s="39">
        <f>A26+1</f>
        <v>19</v>
      </c>
      <c r="B27" s="42"/>
      <c r="C27" s="42" t="s">
        <v>201</v>
      </c>
      <c r="D27" s="41">
        <v>33079.82</v>
      </c>
      <c r="E27" s="41">
        <v>0</v>
      </c>
      <c r="F27" s="41">
        <v>0</v>
      </c>
      <c r="G27" s="41">
        <v>-33080</v>
      </c>
      <c r="H27" s="41">
        <v>0</v>
      </c>
      <c r="I27" s="41">
        <f>SUM(D27:H27)</f>
        <v>-0.18000000000029104</v>
      </c>
    </row>
    <row r="28" spans="1:10" x14ac:dyDescent="0.2">
      <c r="A28" s="39">
        <f>A27+1</f>
        <v>20</v>
      </c>
      <c r="B28" s="42"/>
      <c r="C28" s="42" t="s">
        <v>183</v>
      </c>
      <c r="D28" s="41">
        <v>437202.44</v>
      </c>
      <c r="E28" s="41">
        <v>0</v>
      </c>
      <c r="F28" s="41">
        <v>0</v>
      </c>
      <c r="G28" s="41">
        <v>-437202</v>
      </c>
      <c r="H28" s="41">
        <v>0</v>
      </c>
      <c r="I28" s="41">
        <f>SUM(D28:H28)</f>
        <v>0.44000000000232831</v>
      </c>
    </row>
    <row r="29" spans="1:10" x14ac:dyDescent="0.2">
      <c r="A29" s="39">
        <f>A28+1</f>
        <v>21</v>
      </c>
      <c r="B29" s="42"/>
      <c r="C29" s="42"/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f>SUM(D29:H29)</f>
        <v>0</v>
      </c>
    </row>
    <row r="30" spans="1:10" x14ac:dyDescent="0.2">
      <c r="C30" s="41"/>
      <c r="D30" s="41"/>
      <c r="E30" s="41"/>
      <c r="F30" s="41"/>
      <c r="G30" s="41"/>
      <c r="H30" s="41"/>
      <c r="I30" s="41"/>
    </row>
    <row r="31" spans="1:10" x14ac:dyDescent="0.2">
      <c r="A31" s="39">
        <f>A29+1</f>
        <v>22</v>
      </c>
      <c r="B31" s="42" t="s">
        <v>158</v>
      </c>
      <c r="D31" s="41">
        <f t="shared" ref="D31:I31" si="2">SUM(D8:D29)</f>
        <v>5712420967.9099989</v>
      </c>
      <c r="E31" s="41">
        <f t="shared" si="2"/>
        <v>0</v>
      </c>
      <c r="F31" s="41">
        <f t="shared" si="2"/>
        <v>0</v>
      </c>
      <c r="G31" s="41">
        <f>SUM(G8:G29)</f>
        <v>143758333</v>
      </c>
      <c r="H31" s="41">
        <f t="shared" si="2"/>
        <v>0</v>
      </c>
      <c r="I31" s="41">
        <f t="shared" si="2"/>
        <v>5856179300.9099989</v>
      </c>
      <c r="J31" s="43">
        <v>5851554222</v>
      </c>
    </row>
    <row r="32" spans="1:10" x14ac:dyDescent="0.2">
      <c r="D32" s="41"/>
      <c r="E32" s="41"/>
      <c r="F32" s="41"/>
      <c r="G32" s="41"/>
      <c r="H32" s="41"/>
      <c r="I32" s="41"/>
    </row>
    <row r="33" spans="1:9" x14ac:dyDescent="0.2">
      <c r="B33" s="42" t="s">
        <v>156</v>
      </c>
      <c r="C33" s="42"/>
      <c r="D33" s="41"/>
      <c r="E33" s="41"/>
      <c r="F33" s="41"/>
      <c r="G33" s="41"/>
      <c r="H33" s="41"/>
      <c r="I33" s="41"/>
    </row>
    <row r="34" spans="1:9" x14ac:dyDescent="0.2">
      <c r="A34" s="39">
        <f>A31+1</f>
        <v>23</v>
      </c>
      <c r="B34" s="39" t="s">
        <v>153</v>
      </c>
      <c r="D34" s="41">
        <v>44268155</v>
      </c>
      <c r="E34" s="41">
        <v>0</v>
      </c>
      <c r="F34" s="41">
        <v>0</v>
      </c>
      <c r="G34" s="41">
        <v>0</v>
      </c>
      <c r="H34" s="41">
        <v>0</v>
      </c>
      <c r="I34" s="41">
        <f>SUM(D34:H34)</f>
        <v>44268155</v>
      </c>
    </row>
    <row r="35" spans="1:9" x14ac:dyDescent="0.2">
      <c r="A35" s="39">
        <f>A34+1</f>
        <v>24</v>
      </c>
      <c r="B35" s="39" t="s">
        <v>152</v>
      </c>
      <c r="D35" s="41">
        <v>25083314</v>
      </c>
      <c r="E35" s="41">
        <v>0</v>
      </c>
      <c r="F35" s="41">
        <v>0</v>
      </c>
      <c r="G35" s="41">
        <v>0</v>
      </c>
      <c r="H35" s="41">
        <v>0</v>
      </c>
      <c r="I35" s="41">
        <f>SUM(D35:H35)</f>
        <v>25083314</v>
      </c>
    </row>
    <row r="36" spans="1:9" x14ac:dyDescent="0.2">
      <c r="A36" s="39">
        <f>A35+1</f>
        <v>25</v>
      </c>
      <c r="B36" s="42" t="s">
        <v>174</v>
      </c>
      <c r="D36" s="41">
        <v>20383544</v>
      </c>
      <c r="E36" s="41">
        <v>0</v>
      </c>
      <c r="F36" s="41">
        <v>0</v>
      </c>
      <c r="G36" s="41">
        <v>0</v>
      </c>
      <c r="H36" s="41">
        <v>0</v>
      </c>
      <c r="I36" s="41">
        <f>SUM(D36:H36)</f>
        <v>20383544</v>
      </c>
    </row>
    <row r="37" spans="1:9" x14ac:dyDescent="0.2">
      <c r="A37" s="39">
        <f>A36+1</f>
        <v>26</v>
      </c>
      <c r="B37" s="42" t="s">
        <v>168</v>
      </c>
      <c r="C37" s="42"/>
      <c r="D37" s="41">
        <v>0</v>
      </c>
      <c r="E37" s="41">
        <v>0</v>
      </c>
      <c r="F37" s="41">
        <v>0</v>
      </c>
      <c r="G37" s="41">
        <v>0</v>
      </c>
      <c r="H37" s="41">
        <v>0</v>
      </c>
      <c r="I37" s="41">
        <f>SUM(D37:H37)</f>
        <v>0</v>
      </c>
    </row>
    <row r="38" spans="1:9" x14ac:dyDescent="0.2">
      <c r="A38" s="39">
        <f>A37+1</f>
        <v>27</v>
      </c>
      <c r="B38" s="39" t="s">
        <v>154</v>
      </c>
      <c r="D38" s="41">
        <v>410867894</v>
      </c>
      <c r="E38" s="41">
        <v>0</v>
      </c>
      <c r="F38" s="41">
        <v>0</v>
      </c>
      <c r="G38" s="41">
        <v>0</v>
      </c>
      <c r="H38" s="41">
        <v>0</v>
      </c>
      <c r="I38" s="41">
        <f>SUM(D38:H38)</f>
        <v>410867894</v>
      </c>
    </row>
    <row r="39" spans="1:9" x14ac:dyDescent="0.2">
      <c r="D39" s="41"/>
      <c r="E39" s="41"/>
      <c r="F39" s="41"/>
      <c r="G39" s="41"/>
      <c r="H39" s="41"/>
      <c r="I39" s="41"/>
    </row>
    <row r="40" spans="1:9" x14ac:dyDescent="0.2">
      <c r="A40" s="39">
        <f>A38+1</f>
        <v>28</v>
      </c>
      <c r="B40" s="42" t="s">
        <v>159</v>
      </c>
      <c r="C40" s="42"/>
      <c r="D40" s="41">
        <f t="shared" ref="D40:I40" si="3">SUM(D34:D38)</f>
        <v>500602907</v>
      </c>
      <c r="E40" s="41">
        <f t="shared" si="3"/>
        <v>0</v>
      </c>
      <c r="F40" s="41">
        <f t="shared" si="3"/>
        <v>0</v>
      </c>
      <c r="G40" s="41">
        <f t="shared" si="3"/>
        <v>0</v>
      </c>
      <c r="H40" s="41">
        <f t="shared" si="3"/>
        <v>0</v>
      </c>
      <c r="I40" s="41">
        <f t="shared" si="3"/>
        <v>500602907</v>
      </c>
    </row>
    <row r="41" spans="1:9" x14ac:dyDescent="0.2">
      <c r="B41" s="42"/>
      <c r="C41" s="42"/>
      <c r="D41" s="41"/>
      <c r="E41" s="41"/>
      <c r="F41" s="41"/>
      <c r="G41" s="41"/>
      <c r="H41" s="41"/>
      <c r="I41" s="41"/>
    </row>
    <row r="42" spans="1:9" x14ac:dyDescent="0.2">
      <c r="B42" s="42" t="s">
        <v>157</v>
      </c>
      <c r="C42" s="42"/>
      <c r="D42" s="41"/>
      <c r="E42" s="41"/>
      <c r="F42" s="41"/>
      <c r="G42" s="41"/>
      <c r="H42" s="41"/>
      <c r="I42" s="41"/>
    </row>
    <row r="43" spans="1:9" x14ac:dyDescent="0.2">
      <c r="A43" s="39">
        <f>A40+1</f>
        <v>29</v>
      </c>
      <c r="B43" s="39" t="s">
        <v>141</v>
      </c>
      <c r="D43" s="41">
        <f t="shared" ref="D43:H45" si="4">D8</f>
        <v>4448158911</v>
      </c>
      <c r="E43" s="41">
        <f t="shared" si="4"/>
        <v>0</v>
      </c>
      <c r="F43" s="41">
        <f t="shared" si="4"/>
        <v>0</v>
      </c>
      <c r="G43" s="41">
        <f t="shared" si="4"/>
        <v>110224809</v>
      </c>
      <c r="H43" s="41">
        <f t="shared" si="4"/>
        <v>0</v>
      </c>
      <c r="I43" s="41">
        <f>SUM(D43:H43)</f>
        <v>4558383720</v>
      </c>
    </row>
    <row r="44" spans="1:9" x14ac:dyDescent="0.2">
      <c r="A44" s="39">
        <f>A43+1</f>
        <v>30</v>
      </c>
      <c r="B44" s="42" t="s">
        <v>167</v>
      </c>
      <c r="C44" s="42"/>
      <c r="D44" s="41">
        <f t="shared" si="4"/>
        <v>3719974</v>
      </c>
      <c r="E44" s="41">
        <f t="shared" si="4"/>
        <v>0</v>
      </c>
      <c r="F44" s="41">
        <f t="shared" si="4"/>
        <v>0</v>
      </c>
      <c r="G44" s="41">
        <f t="shared" si="4"/>
        <v>92180</v>
      </c>
      <c r="H44" s="41">
        <f t="shared" si="4"/>
        <v>0</v>
      </c>
      <c r="I44" s="41">
        <f>SUM(D44:H44)</f>
        <v>3812154</v>
      </c>
    </row>
    <row r="45" spans="1:9" x14ac:dyDescent="0.2">
      <c r="A45" s="39">
        <f>A44+1</f>
        <v>31</v>
      </c>
      <c r="B45" s="39" t="s">
        <v>142</v>
      </c>
      <c r="D45" s="41">
        <f t="shared" si="4"/>
        <v>51811953</v>
      </c>
      <c r="E45" s="41">
        <f t="shared" si="4"/>
        <v>0</v>
      </c>
      <c r="F45" s="41">
        <f t="shared" si="4"/>
        <v>0</v>
      </c>
      <c r="G45" s="41">
        <f t="shared" si="4"/>
        <v>954247</v>
      </c>
      <c r="H45" s="41">
        <f t="shared" si="4"/>
        <v>0</v>
      </c>
      <c r="I45" s="41">
        <f>SUM(D45:H45)</f>
        <v>52766200</v>
      </c>
    </row>
    <row r="46" spans="1:9" x14ac:dyDescent="0.2">
      <c r="B46" s="42" t="s">
        <v>171</v>
      </c>
      <c r="D46" s="41"/>
      <c r="E46" s="41"/>
      <c r="F46" s="41"/>
      <c r="G46" s="41"/>
      <c r="H46" s="41"/>
      <c r="I46" s="41"/>
    </row>
    <row r="47" spans="1:9" x14ac:dyDescent="0.2">
      <c r="A47" s="39">
        <f>A45+1</f>
        <v>32</v>
      </c>
      <c r="C47" s="39" t="s">
        <v>143</v>
      </c>
      <c r="D47" s="41">
        <f t="shared" ref="D47:H53" si="5">D12</f>
        <v>271753985</v>
      </c>
      <c r="E47" s="41">
        <f t="shared" si="5"/>
        <v>0</v>
      </c>
      <c r="F47" s="41">
        <f t="shared" si="5"/>
        <v>0</v>
      </c>
      <c r="G47" s="41">
        <f t="shared" si="5"/>
        <v>20793493</v>
      </c>
      <c r="H47" s="41">
        <f t="shared" si="5"/>
        <v>0</v>
      </c>
      <c r="I47" s="41">
        <f t="shared" ref="I47:I59" si="6">SUM(D47:H47)</f>
        <v>292547478</v>
      </c>
    </row>
    <row r="48" spans="1:9" x14ac:dyDescent="0.2">
      <c r="A48" s="39">
        <f t="shared" ref="A48:A59" si="7">A47+1</f>
        <v>33</v>
      </c>
      <c r="C48" s="39" t="s">
        <v>144</v>
      </c>
      <c r="D48" s="41">
        <f t="shared" si="5"/>
        <v>28357728</v>
      </c>
      <c r="E48" s="41">
        <f t="shared" si="5"/>
        <v>0</v>
      </c>
      <c r="F48" s="41">
        <f t="shared" si="5"/>
        <v>0</v>
      </c>
      <c r="G48" s="41">
        <f t="shared" si="5"/>
        <v>2554930</v>
      </c>
      <c r="H48" s="41">
        <f t="shared" si="5"/>
        <v>0</v>
      </c>
      <c r="I48" s="41">
        <f t="shared" si="6"/>
        <v>30912658</v>
      </c>
    </row>
    <row r="49" spans="1:9" x14ac:dyDescent="0.2">
      <c r="A49" s="39">
        <f t="shared" si="7"/>
        <v>34</v>
      </c>
      <c r="B49" s="42"/>
      <c r="C49" s="42" t="s">
        <v>170</v>
      </c>
      <c r="D49" s="41">
        <f t="shared" si="5"/>
        <v>7045250</v>
      </c>
      <c r="E49" s="41">
        <f t="shared" si="5"/>
        <v>0</v>
      </c>
      <c r="F49" s="41">
        <f t="shared" si="5"/>
        <v>0</v>
      </c>
      <c r="G49" s="41">
        <f t="shared" si="5"/>
        <v>837918</v>
      </c>
      <c r="H49" s="41">
        <f t="shared" si="5"/>
        <v>0</v>
      </c>
      <c r="I49" s="41">
        <f t="shared" si="6"/>
        <v>7883168</v>
      </c>
    </row>
    <row r="50" spans="1:9" x14ac:dyDescent="0.2">
      <c r="A50" s="39">
        <f t="shared" si="7"/>
        <v>35</v>
      </c>
      <c r="B50" s="39" t="s">
        <v>145</v>
      </c>
      <c r="D50" s="41">
        <f t="shared" si="5"/>
        <v>18397203</v>
      </c>
      <c r="E50" s="41">
        <f t="shared" si="5"/>
        <v>0</v>
      </c>
      <c r="F50" s="41">
        <f t="shared" si="5"/>
        <v>0</v>
      </c>
      <c r="G50" s="41">
        <f t="shared" si="5"/>
        <v>455858</v>
      </c>
      <c r="H50" s="41">
        <f t="shared" si="5"/>
        <v>0</v>
      </c>
      <c r="I50" s="41">
        <f t="shared" si="6"/>
        <v>18853061</v>
      </c>
    </row>
    <row r="51" spans="1:9" x14ac:dyDescent="0.2">
      <c r="A51" s="39">
        <f t="shared" si="7"/>
        <v>36</v>
      </c>
      <c r="B51" s="39" t="s">
        <v>146</v>
      </c>
      <c r="D51" s="41">
        <f t="shared" si="5"/>
        <v>56687280</v>
      </c>
      <c r="E51" s="41">
        <f t="shared" si="5"/>
        <v>0</v>
      </c>
      <c r="F51" s="41">
        <f t="shared" si="5"/>
        <v>0</v>
      </c>
      <c r="G51" s="41">
        <f t="shared" si="5"/>
        <v>645527</v>
      </c>
      <c r="H51" s="41">
        <f t="shared" si="5"/>
        <v>0</v>
      </c>
      <c r="I51" s="41">
        <f t="shared" si="6"/>
        <v>57332807</v>
      </c>
    </row>
    <row r="52" spans="1:9" x14ac:dyDescent="0.2">
      <c r="A52" s="39">
        <f t="shared" si="7"/>
        <v>37</v>
      </c>
      <c r="B52" s="39" t="s">
        <v>148</v>
      </c>
      <c r="D52" s="41">
        <f t="shared" si="5"/>
        <v>8014853</v>
      </c>
      <c r="E52" s="41">
        <f t="shared" si="5"/>
        <v>0</v>
      </c>
      <c r="F52" s="41">
        <f t="shared" si="5"/>
        <v>0</v>
      </c>
      <c r="G52" s="41">
        <f t="shared" si="5"/>
        <v>198649</v>
      </c>
      <c r="H52" s="41">
        <f t="shared" si="5"/>
        <v>0</v>
      </c>
      <c r="I52" s="41">
        <f t="shared" si="6"/>
        <v>8213502</v>
      </c>
    </row>
    <row r="53" spans="1:9" x14ac:dyDescent="0.2">
      <c r="A53" s="39">
        <f t="shared" si="7"/>
        <v>38</v>
      </c>
      <c r="B53" s="39" t="s">
        <v>244</v>
      </c>
      <c r="D53" s="41">
        <f t="shared" si="5"/>
        <v>-344932</v>
      </c>
      <c r="E53" s="41">
        <f t="shared" si="5"/>
        <v>0</v>
      </c>
      <c r="F53" s="41">
        <f t="shared" si="5"/>
        <v>0</v>
      </c>
      <c r="G53" s="41">
        <f t="shared" si="5"/>
        <v>0</v>
      </c>
      <c r="H53" s="41">
        <f t="shared" si="5"/>
        <v>0</v>
      </c>
      <c r="I53" s="41">
        <f>SUM(D53:H53)</f>
        <v>-344932</v>
      </c>
    </row>
    <row r="54" spans="1:9" x14ac:dyDescent="0.2">
      <c r="A54" s="39">
        <f t="shared" si="7"/>
        <v>39</v>
      </c>
      <c r="B54" s="39" t="s">
        <v>147</v>
      </c>
      <c r="D54" s="41">
        <f t="shared" ref="D54:H57" si="8">D19-D34</f>
        <v>145058707</v>
      </c>
      <c r="E54" s="41">
        <f t="shared" si="8"/>
        <v>0</v>
      </c>
      <c r="F54" s="41">
        <f t="shared" si="8"/>
        <v>0</v>
      </c>
      <c r="G54" s="41">
        <f t="shared" si="8"/>
        <v>4691526</v>
      </c>
      <c r="H54" s="41">
        <f t="shared" si="8"/>
        <v>0</v>
      </c>
      <c r="I54" s="41">
        <f t="shared" si="6"/>
        <v>149750233</v>
      </c>
    </row>
    <row r="55" spans="1:9" x14ac:dyDescent="0.2">
      <c r="A55" s="39">
        <f t="shared" si="7"/>
        <v>40</v>
      </c>
      <c r="B55" s="39" t="s">
        <v>149</v>
      </c>
      <c r="D55" s="41">
        <f t="shared" si="8"/>
        <v>24682976</v>
      </c>
      <c r="E55" s="41">
        <f t="shared" si="8"/>
        <v>0</v>
      </c>
      <c r="F55" s="41">
        <f t="shared" si="8"/>
        <v>0</v>
      </c>
      <c r="G55" s="41">
        <f t="shared" si="8"/>
        <v>1233144</v>
      </c>
      <c r="H55" s="41">
        <f t="shared" si="8"/>
        <v>0</v>
      </c>
      <c r="I55" s="41">
        <f t="shared" si="6"/>
        <v>25916120</v>
      </c>
    </row>
    <row r="56" spans="1:9" x14ac:dyDescent="0.2">
      <c r="A56" s="39">
        <f t="shared" si="7"/>
        <v>41</v>
      </c>
      <c r="B56" s="42" t="s">
        <v>173</v>
      </c>
      <c r="D56" s="41">
        <f t="shared" si="8"/>
        <v>9591807</v>
      </c>
      <c r="E56" s="41">
        <f t="shared" si="8"/>
        <v>0</v>
      </c>
      <c r="F56" s="41">
        <f t="shared" si="8"/>
        <v>0</v>
      </c>
      <c r="G56" s="41">
        <f t="shared" si="8"/>
        <v>1058391</v>
      </c>
      <c r="H56" s="41">
        <f t="shared" si="8"/>
        <v>0</v>
      </c>
      <c r="I56" s="41">
        <f t="shared" si="6"/>
        <v>10650198</v>
      </c>
    </row>
    <row r="57" spans="1:9" x14ac:dyDescent="0.2">
      <c r="A57" s="39">
        <f t="shared" si="7"/>
        <v>42</v>
      </c>
      <c r="B57" s="42" t="s">
        <v>168</v>
      </c>
      <c r="C57" s="42"/>
      <c r="D57" s="41">
        <f t="shared" si="8"/>
        <v>16096910</v>
      </c>
      <c r="E57" s="41">
        <f t="shared" si="8"/>
        <v>0</v>
      </c>
      <c r="F57" s="41">
        <f t="shared" si="8"/>
        <v>0</v>
      </c>
      <c r="G57" s="41">
        <f t="shared" si="8"/>
        <v>251940</v>
      </c>
      <c r="H57" s="41">
        <f t="shared" si="8"/>
        <v>0</v>
      </c>
      <c r="I57" s="41">
        <f t="shared" si="6"/>
        <v>16348850</v>
      </c>
    </row>
    <row r="58" spans="1:9" x14ac:dyDescent="0.2">
      <c r="A58" s="39">
        <f t="shared" si="7"/>
        <v>43</v>
      </c>
      <c r="B58" s="42" t="s">
        <v>163</v>
      </c>
      <c r="C58" s="42"/>
      <c r="D58" s="41">
        <f>D23-D38-D59</f>
        <v>114774019</v>
      </c>
      <c r="E58" s="41">
        <f>E23-E38-E59</f>
        <v>0</v>
      </c>
      <c r="F58" s="41">
        <f>F23-F38-F59</f>
        <v>0</v>
      </c>
      <c r="G58" s="41">
        <f>G23-G38-G59</f>
        <v>0</v>
      </c>
      <c r="H58" s="41">
        <f>H23-H38-H59</f>
        <v>0</v>
      </c>
      <c r="I58" s="41">
        <f t="shared" si="6"/>
        <v>114774019</v>
      </c>
    </row>
    <row r="59" spans="1:9" x14ac:dyDescent="0.2">
      <c r="A59" s="39">
        <f t="shared" si="7"/>
        <v>44</v>
      </c>
      <c r="B59" s="39" t="s">
        <v>151</v>
      </c>
      <c r="D59" s="41">
        <v>8672599</v>
      </c>
      <c r="E59" s="41">
        <v>0</v>
      </c>
      <c r="F59" s="41">
        <v>0</v>
      </c>
      <c r="G59" s="41">
        <v>0</v>
      </c>
      <c r="H59" s="41">
        <v>0</v>
      </c>
      <c r="I59" s="41">
        <f t="shared" si="6"/>
        <v>8672599</v>
      </c>
    </row>
    <row r="60" spans="1:9" x14ac:dyDescent="0.2">
      <c r="B60" s="42" t="s">
        <v>172</v>
      </c>
      <c r="D60" s="41"/>
      <c r="E60" s="41"/>
      <c r="F60" s="41"/>
      <c r="G60" s="41"/>
      <c r="H60" s="41"/>
      <c r="I60" s="41"/>
    </row>
    <row r="61" spans="1:9" x14ac:dyDescent="0.2">
      <c r="A61" s="39">
        <f>A59+1</f>
        <v>45</v>
      </c>
      <c r="B61" s="42"/>
      <c r="C61" s="42" t="s">
        <v>175</v>
      </c>
      <c r="D61" s="41">
        <f t="shared" ref="D61:H65" si="9">D25</f>
        <v>-3077997.79</v>
      </c>
      <c r="E61" s="41">
        <f t="shared" si="9"/>
        <v>0</v>
      </c>
      <c r="F61" s="41">
        <f t="shared" si="9"/>
        <v>0</v>
      </c>
      <c r="G61" s="41">
        <f t="shared" si="9"/>
        <v>2182556</v>
      </c>
      <c r="H61" s="41">
        <f t="shared" si="9"/>
        <v>0</v>
      </c>
      <c r="I61" s="41">
        <f>SUM(D61:H61)</f>
        <v>-895441.79</v>
      </c>
    </row>
    <row r="62" spans="1:9" x14ac:dyDescent="0.2">
      <c r="A62" s="39">
        <f>A61+1</f>
        <v>46</v>
      </c>
      <c r="B62" s="42"/>
      <c r="C62" s="42" t="s">
        <v>182</v>
      </c>
      <c r="D62" s="41">
        <f>D26</f>
        <v>1946553.44</v>
      </c>
      <c r="E62" s="41">
        <f t="shared" si="9"/>
        <v>0</v>
      </c>
      <c r="F62" s="41">
        <f t="shared" si="9"/>
        <v>0</v>
      </c>
      <c r="G62" s="41">
        <f t="shared" si="9"/>
        <v>-1946553</v>
      </c>
      <c r="H62" s="41">
        <f t="shared" si="9"/>
        <v>0</v>
      </c>
      <c r="I62" s="41">
        <f>SUM(D62:H62)</f>
        <v>0.43999999994412065</v>
      </c>
    </row>
    <row r="63" spans="1:9" x14ac:dyDescent="0.2">
      <c r="A63" s="39">
        <f>A62+1</f>
        <v>47</v>
      </c>
      <c r="B63" s="42"/>
      <c r="C63" s="42" t="s">
        <v>201</v>
      </c>
      <c r="D63" s="41">
        <f>D27</f>
        <v>33079.82</v>
      </c>
      <c r="E63" s="41">
        <f t="shared" si="9"/>
        <v>0</v>
      </c>
      <c r="F63" s="41">
        <f t="shared" si="9"/>
        <v>0</v>
      </c>
      <c r="G63" s="41">
        <f t="shared" si="9"/>
        <v>-33080</v>
      </c>
      <c r="H63" s="41">
        <f t="shared" si="9"/>
        <v>0</v>
      </c>
      <c r="I63" s="41">
        <f>SUM(D63:H63)</f>
        <v>-0.18000000000029104</v>
      </c>
    </row>
    <row r="64" spans="1:9" x14ac:dyDescent="0.2">
      <c r="A64" s="39">
        <f>A63+1</f>
        <v>48</v>
      </c>
      <c r="B64" s="42"/>
      <c r="C64" s="42" t="s">
        <v>183</v>
      </c>
      <c r="D64" s="41">
        <f>D28</f>
        <v>437202.44</v>
      </c>
      <c r="E64" s="41">
        <f t="shared" si="9"/>
        <v>0</v>
      </c>
      <c r="F64" s="41">
        <f t="shared" si="9"/>
        <v>0</v>
      </c>
      <c r="G64" s="41">
        <f t="shared" si="9"/>
        <v>-437202</v>
      </c>
      <c r="H64" s="41">
        <f t="shared" si="9"/>
        <v>0</v>
      </c>
      <c r="I64" s="41">
        <f>SUM(D64:H64)</f>
        <v>0.44000000000232831</v>
      </c>
    </row>
    <row r="65" spans="1:10" x14ac:dyDescent="0.2">
      <c r="A65" s="39">
        <f>A64+1</f>
        <v>49</v>
      </c>
      <c r="B65" s="42"/>
      <c r="C65" s="42"/>
      <c r="D65" s="41">
        <f t="shared" si="9"/>
        <v>0</v>
      </c>
      <c r="E65" s="41">
        <f t="shared" si="9"/>
        <v>0</v>
      </c>
      <c r="F65" s="41">
        <f t="shared" si="9"/>
        <v>0</v>
      </c>
      <c r="G65" s="41">
        <f t="shared" si="9"/>
        <v>0</v>
      </c>
      <c r="H65" s="41">
        <f t="shared" si="9"/>
        <v>0</v>
      </c>
      <c r="I65" s="41">
        <f>SUM(D65:H65)</f>
        <v>0</v>
      </c>
    </row>
    <row r="66" spans="1:10" x14ac:dyDescent="0.2">
      <c r="C66" s="41"/>
      <c r="D66" s="41"/>
      <c r="E66" s="41"/>
      <c r="F66" s="41"/>
      <c r="G66" s="41"/>
      <c r="H66" s="41"/>
      <c r="I66" s="41"/>
    </row>
    <row r="67" spans="1:10" x14ac:dyDescent="0.2">
      <c r="A67" s="39">
        <f>A65+1</f>
        <v>50</v>
      </c>
      <c r="B67" s="42" t="s">
        <v>184</v>
      </c>
      <c r="C67" s="42"/>
      <c r="D67" s="41">
        <f t="shared" ref="D67:I67" si="10">SUM(D43:D65)</f>
        <v>5211818060.9099989</v>
      </c>
      <c r="E67" s="41">
        <f t="shared" si="10"/>
        <v>0</v>
      </c>
      <c r="F67" s="41">
        <f t="shared" si="10"/>
        <v>0</v>
      </c>
      <c r="G67" s="41">
        <f t="shared" si="10"/>
        <v>143758333</v>
      </c>
      <c r="H67" s="41">
        <f t="shared" si="10"/>
        <v>0</v>
      </c>
      <c r="I67" s="41">
        <f t="shared" si="10"/>
        <v>5355576393.9099989</v>
      </c>
    </row>
    <row r="68" spans="1:10" x14ac:dyDescent="0.2">
      <c r="A68" s="39">
        <f>A67+1</f>
        <v>51</v>
      </c>
      <c r="B68" s="42" t="s">
        <v>160</v>
      </c>
      <c r="C68" s="42"/>
      <c r="D68" s="41">
        <f t="shared" ref="D68:I68" si="11">D67-D59</f>
        <v>5203145461.9099989</v>
      </c>
      <c r="E68" s="41">
        <f t="shared" si="11"/>
        <v>0</v>
      </c>
      <c r="F68" s="41">
        <f t="shared" si="11"/>
        <v>0</v>
      </c>
      <c r="G68" s="41">
        <f t="shared" si="11"/>
        <v>143758333</v>
      </c>
      <c r="H68" s="41">
        <f t="shared" si="11"/>
        <v>0</v>
      </c>
      <c r="I68" s="41">
        <f t="shared" si="11"/>
        <v>5346903794.9099989</v>
      </c>
      <c r="J68" s="41">
        <v>5340699679</v>
      </c>
    </row>
    <row r="69" spans="1:10" x14ac:dyDescent="0.2">
      <c r="A69" s="39">
        <f>A68+1</f>
        <v>52</v>
      </c>
      <c r="B69" s="42" t="s">
        <v>161</v>
      </c>
      <c r="C69" s="42"/>
      <c r="D69" s="41">
        <f t="shared" ref="D69:I69" si="12">D59</f>
        <v>8672599</v>
      </c>
      <c r="E69" s="41">
        <f t="shared" si="12"/>
        <v>0</v>
      </c>
      <c r="F69" s="41">
        <f t="shared" si="12"/>
        <v>0</v>
      </c>
      <c r="G69" s="41">
        <f t="shared" si="12"/>
        <v>0</v>
      </c>
      <c r="H69" s="41">
        <f t="shared" si="12"/>
        <v>0</v>
      </c>
      <c r="I69" s="41">
        <f t="shared" si="12"/>
        <v>8672599</v>
      </c>
    </row>
    <row r="70" spans="1:10" x14ac:dyDescent="0.2">
      <c r="B70" s="42"/>
      <c r="C70" s="42"/>
      <c r="D70" s="41"/>
      <c r="E70" s="41"/>
      <c r="F70" s="41"/>
      <c r="G70" s="41"/>
      <c r="H70" s="41"/>
      <c r="I70" s="97" t="s">
        <v>243</v>
      </c>
    </row>
    <row r="71" spans="1:10" x14ac:dyDescent="0.2">
      <c r="A71" s="39">
        <f>A69+1</f>
        <v>53</v>
      </c>
      <c r="B71" s="42" t="s">
        <v>166</v>
      </c>
      <c r="C71" s="42"/>
      <c r="D71" s="41">
        <v>-45675930</v>
      </c>
      <c r="E71" s="41">
        <v>0</v>
      </c>
      <c r="F71" s="41">
        <v>0</v>
      </c>
      <c r="G71" s="41">
        <v>-1131765</v>
      </c>
      <c r="H71" s="41">
        <v>0</v>
      </c>
      <c r="I71" s="41">
        <f>SUM(D71:H71)</f>
        <v>-46807695</v>
      </c>
    </row>
    <row r="72" spans="1:10" x14ac:dyDescent="0.2">
      <c r="D72" s="40"/>
      <c r="E72" s="40"/>
      <c r="F72" s="40"/>
      <c r="G72" s="40"/>
      <c r="H72" s="40"/>
      <c r="I72" s="40"/>
    </row>
    <row r="73" spans="1:10" x14ac:dyDescent="0.2">
      <c r="A73" s="156" t="s">
        <v>361</v>
      </c>
      <c r="B73" s="156"/>
      <c r="C73" s="157"/>
      <c r="D73" s="158" t="s">
        <v>176</v>
      </c>
      <c r="E73" s="158" t="s">
        <v>181</v>
      </c>
      <c r="F73" s="158" t="s">
        <v>177</v>
      </c>
      <c r="G73" s="158" t="s">
        <v>178</v>
      </c>
      <c r="H73" s="158" t="s">
        <v>179</v>
      </c>
      <c r="I73" s="158" t="s">
        <v>180</v>
      </c>
    </row>
    <row r="75" spans="1:10" x14ac:dyDescent="0.2">
      <c r="A75" s="39">
        <v>1</v>
      </c>
      <c r="B75" s="39" t="s">
        <v>140</v>
      </c>
      <c r="D75" s="41">
        <f>'Pupil Data'!C200</f>
        <v>929990</v>
      </c>
      <c r="E75" s="41">
        <v>0</v>
      </c>
      <c r="F75" s="41">
        <f>'Pupil Data'!D200</f>
        <v>0</v>
      </c>
      <c r="G75" s="41">
        <f>'Pupil Data'!E200</f>
        <v>23051</v>
      </c>
      <c r="H75" s="41">
        <f>'Pupil Data'!F200</f>
        <v>0</v>
      </c>
      <c r="I75" s="41">
        <f>SUM(D75:H75)</f>
        <v>953041</v>
      </c>
    </row>
    <row r="77" spans="1:10" x14ac:dyDescent="0.2">
      <c r="B77" s="42" t="s">
        <v>155</v>
      </c>
      <c r="D77" s="40"/>
      <c r="E77" s="40"/>
      <c r="F77" s="40"/>
      <c r="G77" s="40"/>
      <c r="H77" s="40"/>
      <c r="I77" s="40"/>
    </row>
    <row r="78" spans="1:10" x14ac:dyDescent="0.2">
      <c r="A78" s="39">
        <f>A75+1</f>
        <v>2</v>
      </c>
      <c r="B78" s="39" t="s">
        <v>141</v>
      </c>
      <c r="D78" s="41">
        <v>4448158911</v>
      </c>
      <c r="E78" s="41">
        <v>0</v>
      </c>
      <c r="F78" s="41">
        <v>0</v>
      </c>
      <c r="G78" s="41">
        <v>110224809</v>
      </c>
      <c r="H78" s="41">
        <v>0</v>
      </c>
      <c r="I78" s="41">
        <f>SUM(D78:H78)</f>
        <v>4558383720</v>
      </c>
    </row>
    <row r="79" spans="1:10" x14ac:dyDescent="0.2">
      <c r="A79" s="39">
        <f>A78+1</f>
        <v>3</v>
      </c>
      <c r="B79" s="42" t="s">
        <v>167</v>
      </c>
      <c r="C79" s="42"/>
      <c r="D79" s="41">
        <v>3719974</v>
      </c>
      <c r="E79" s="41">
        <v>0</v>
      </c>
      <c r="F79" s="41">
        <v>0</v>
      </c>
      <c r="G79" s="41">
        <v>92180</v>
      </c>
      <c r="H79" s="41">
        <v>0</v>
      </c>
      <c r="I79" s="41">
        <f>SUM(D79:H79)</f>
        <v>3812154</v>
      </c>
    </row>
    <row r="80" spans="1:10" x14ac:dyDescent="0.2">
      <c r="A80" s="39">
        <f>A79+1</f>
        <v>4</v>
      </c>
      <c r="B80" s="39" t="s">
        <v>142</v>
      </c>
      <c r="D80" s="41">
        <v>51811953</v>
      </c>
      <c r="E80" s="41">
        <v>0</v>
      </c>
      <c r="F80" s="41">
        <v>0</v>
      </c>
      <c r="G80" s="41">
        <v>954247</v>
      </c>
      <c r="H80" s="41">
        <v>0</v>
      </c>
      <c r="I80" s="41">
        <f>SUM(D80:H80)</f>
        <v>52766200</v>
      </c>
    </row>
    <row r="81" spans="1:10" x14ac:dyDescent="0.2">
      <c r="B81" s="42" t="s">
        <v>171</v>
      </c>
      <c r="D81" s="41"/>
      <c r="E81" s="41"/>
      <c r="F81" s="41"/>
      <c r="G81" s="41"/>
      <c r="H81" s="41"/>
      <c r="I81" s="41"/>
    </row>
    <row r="82" spans="1:10" x14ac:dyDescent="0.2">
      <c r="A82" s="39">
        <f>A80+1</f>
        <v>5</v>
      </c>
      <c r="C82" s="39" t="s">
        <v>143</v>
      </c>
      <c r="D82" s="41">
        <v>271753985</v>
      </c>
      <c r="E82" s="41">
        <v>0</v>
      </c>
      <c r="F82" s="41">
        <v>0</v>
      </c>
      <c r="G82" s="41">
        <v>20793493</v>
      </c>
      <c r="H82" s="41">
        <v>0</v>
      </c>
      <c r="I82" s="41">
        <f t="shared" ref="I82:I93" si="13">SUM(D82:H82)</f>
        <v>292547478</v>
      </c>
    </row>
    <row r="83" spans="1:10" x14ac:dyDescent="0.2">
      <c r="A83" s="39">
        <f t="shared" ref="A83:A93" si="14">A82+1</f>
        <v>6</v>
      </c>
      <c r="C83" s="39" t="s">
        <v>144</v>
      </c>
      <c r="D83" s="41">
        <v>28357728</v>
      </c>
      <c r="E83" s="41">
        <v>0</v>
      </c>
      <c r="F83" s="41">
        <v>0</v>
      </c>
      <c r="G83" s="41">
        <v>2554930</v>
      </c>
      <c r="H83" s="41">
        <v>0</v>
      </c>
      <c r="I83" s="41">
        <f t="shared" si="13"/>
        <v>30912658</v>
      </c>
    </row>
    <row r="84" spans="1:10" x14ac:dyDescent="0.2">
      <c r="A84" s="39">
        <f t="shared" si="14"/>
        <v>7</v>
      </c>
      <c r="B84" s="42"/>
      <c r="C84" s="42" t="s">
        <v>170</v>
      </c>
      <c r="D84" s="41">
        <v>7045250</v>
      </c>
      <c r="E84" s="41">
        <v>0</v>
      </c>
      <c r="F84" s="41">
        <v>0</v>
      </c>
      <c r="G84" s="41">
        <v>837918</v>
      </c>
      <c r="H84" s="41">
        <v>0</v>
      </c>
      <c r="I84" s="41">
        <f t="shared" si="13"/>
        <v>7883168</v>
      </c>
    </row>
    <row r="85" spans="1:10" x14ac:dyDescent="0.2">
      <c r="A85" s="39">
        <f t="shared" si="14"/>
        <v>8</v>
      </c>
      <c r="B85" s="39" t="s">
        <v>145</v>
      </c>
      <c r="D85" s="41">
        <v>18397203</v>
      </c>
      <c r="E85" s="41">
        <v>0</v>
      </c>
      <c r="F85" s="41">
        <v>0</v>
      </c>
      <c r="G85" s="41">
        <v>455858</v>
      </c>
      <c r="H85" s="41">
        <v>0</v>
      </c>
      <c r="I85" s="41">
        <f t="shared" si="13"/>
        <v>18853061</v>
      </c>
    </row>
    <row r="86" spans="1:10" x14ac:dyDescent="0.2">
      <c r="A86" s="39">
        <f t="shared" si="14"/>
        <v>9</v>
      </c>
      <c r="B86" s="39" t="s">
        <v>146</v>
      </c>
      <c r="D86" s="41">
        <v>56687280</v>
      </c>
      <c r="E86" s="41">
        <v>0</v>
      </c>
      <c r="F86" s="41">
        <v>0</v>
      </c>
      <c r="G86" s="41">
        <v>645527</v>
      </c>
      <c r="H86" s="41">
        <v>0</v>
      </c>
      <c r="I86" s="41">
        <f t="shared" si="13"/>
        <v>57332807</v>
      </c>
    </row>
    <row r="87" spans="1:10" x14ac:dyDescent="0.2">
      <c r="A87" s="39">
        <f t="shared" si="14"/>
        <v>10</v>
      </c>
      <c r="B87" s="39" t="s">
        <v>148</v>
      </c>
      <c r="D87" s="41">
        <v>8014853</v>
      </c>
      <c r="E87" s="41">
        <v>0</v>
      </c>
      <c r="F87" s="41">
        <v>0</v>
      </c>
      <c r="G87" s="41">
        <v>198649</v>
      </c>
      <c r="H87" s="41">
        <v>0</v>
      </c>
      <c r="I87" s="41">
        <f t="shared" si="13"/>
        <v>8213502</v>
      </c>
    </row>
    <row r="88" spans="1:10" x14ac:dyDescent="0.2">
      <c r="A88" s="39">
        <f t="shared" si="14"/>
        <v>11</v>
      </c>
      <c r="B88" s="39" t="s">
        <v>244</v>
      </c>
      <c r="D88" s="41">
        <v>-344932</v>
      </c>
      <c r="E88" s="41">
        <v>0</v>
      </c>
      <c r="F88" s="41">
        <v>0</v>
      </c>
      <c r="G88" s="41">
        <v>0</v>
      </c>
      <c r="H88" s="41">
        <v>0</v>
      </c>
      <c r="I88" s="41">
        <f t="shared" si="13"/>
        <v>-344932</v>
      </c>
      <c r="J88" s="43">
        <v>-337237</v>
      </c>
    </row>
    <row r="89" spans="1:10" x14ac:dyDescent="0.2">
      <c r="A89" s="39">
        <f t="shared" si="14"/>
        <v>12</v>
      </c>
      <c r="B89" s="39" t="s">
        <v>147</v>
      </c>
      <c r="D89" s="41">
        <v>189326862</v>
      </c>
      <c r="E89" s="41">
        <v>0</v>
      </c>
      <c r="F89" s="41">
        <v>0</v>
      </c>
      <c r="G89" s="41">
        <v>4691526</v>
      </c>
      <c r="H89" s="41">
        <v>0</v>
      </c>
      <c r="I89" s="41">
        <f t="shared" si="13"/>
        <v>194018388</v>
      </c>
      <c r="J89" s="98">
        <f>J88-I88</f>
        <v>7695</v>
      </c>
    </row>
    <row r="90" spans="1:10" x14ac:dyDescent="0.2">
      <c r="A90" s="39">
        <f t="shared" si="14"/>
        <v>13</v>
      </c>
      <c r="B90" s="39" t="s">
        <v>149</v>
      </c>
      <c r="D90" s="41">
        <v>49766290</v>
      </c>
      <c r="E90" s="41">
        <v>0</v>
      </c>
      <c r="F90" s="41">
        <v>0</v>
      </c>
      <c r="G90" s="41">
        <v>1233144</v>
      </c>
      <c r="H90" s="41">
        <v>0</v>
      </c>
      <c r="I90" s="41">
        <f t="shared" si="13"/>
        <v>50999434</v>
      </c>
    </row>
    <row r="91" spans="1:10" x14ac:dyDescent="0.2">
      <c r="A91" s="39">
        <f t="shared" si="14"/>
        <v>14</v>
      </c>
      <c r="B91" s="42" t="s">
        <v>173</v>
      </c>
      <c r="D91" s="41">
        <v>29975351</v>
      </c>
      <c r="E91" s="41">
        <v>0</v>
      </c>
      <c r="F91" s="41">
        <v>0</v>
      </c>
      <c r="G91" s="41">
        <v>1058391</v>
      </c>
      <c r="H91" s="41">
        <v>0</v>
      </c>
      <c r="I91" s="41">
        <f t="shared" si="13"/>
        <v>31033742</v>
      </c>
    </row>
    <row r="92" spans="1:10" x14ac:dyDescent="0.2">
      <c r="A92" s="39">
        <f t="shared" si="14"/>
        <v>15</v>
      </c>
      <c r="B92" s="42" t="s">
        <v>168</v>
      </c>
      <c r="C92" s="42"/>
      <c r="D92" s="41">
        <v>16096910</v>
      </c>
      <c r="E92" s="41">
        <v>0</v>
      </c>
      <c r="F92" s="41">
        <v>0</v>
      </c>
      <c r="G92" s="41">
        <v>251940</v>
      </c>
      <c r="H92" s="41">
        <v>0</v>
      </c>
      <c r="I92" s="41">
        <f t="shared" si="13"/>
        <v>16348850</v>
      </c>
    </row>
    <row r="93" spans="1:10" x14ac:dyDescent="0.2">
      <c r="A93" s="39">
        <f t="shared" si="14"/>
        <v>16</v>
      </c>
      <c r="B93" s="39" t="s">
        <v>150</v>
      </c>
      <c r="D93" s="41">
        <v>534314512</v>
      </c>
      <c r="E93" s="41">
        <v>0</v>
      </c>
      <c r="F93" s="41">
        <v>0</v>
      </c>
      <c r="G93" s="41">
        <v>0</v>
      </c>
      <c r="H93" s="41">
        <v>0</v>
      </c>
      <c r="I93" s="41">
        <f t="shared" si="13"/>
        <v>534314512</v>
      </c>
    </row>
    <row r="94" spans="1:10" x14ac:dyDescent="0.2">
      <c r="B94" s="42" t="s">
        <v>172</v>
      </c>
      <c r="D94" s="41"/>
      <c r="E94" s="41"/>
      <c r="F94" s="41"/>
      <c r="G94" s="41"/>
      <c r="H94" s="41"/>
      <c r="I94" s="41"/>
    </row>
    <row r="95" spans="1:10" x14ac:dyDescent="0.2">
      <c r="A95" s="39">
        <f>A93+1</f>
        <v>17</v>
      </c>
      <c r="B95" s="42"/>
      <c r="C95" s="42" t="s">
        <v>175</v>
      </c>
      <c r="D95" s="41">
        <v>-3077997.79</v>
      </c>
      <c r="E95" s="41">
        <v>0</v>
      </c>
      <c r="F95" s="41">
        <v>0</v>
      </c>
      <c r="G95" s="41">
        <v>2182556</v>
      </c>
      <c r="H95" s="41">
        <v>0</v>
      </c>
      <c r="I95" s="41">
        <f>SUM(D95:H95)</f>
        <v>-895441.79</v>
      </c>
    </row>
    <row r="96" spans="1:10" x14ac:dyDescent="0.2">
      <c r="A96" s="39">
        <f>A95+1</f>
        <v>18</v>
      </c>
      <c r="B96" s="42"/>
      <c r="C96" s="42" t="s">
        <v>182</v>
      </c>
      <c r="D96" s="41">
        <v>1946553.44</v>
      </c>
      <c r="E96" s="41">
        <v>0</v>
      </c>
      <c r="F96" s="41">
        <v>0</v>
      </c>
      <c r="G96" s="41">
        <v>-1946553</v>
      </c>
      <c r="H96" s="41">
        <v>0</v>
      </c>
      <c r="I96" s="41">
        <f>SUM(D96:H96)</f>
        <v>0.43999999994412065</v>
      </c>
    </row>
    <row r="97" spans="1:10" x14ac:dyDescent="0.2">
      <c r="A97" s="39">
        <f>A96+1</f>
        <v>19</v>
      </c>
      <c r="B97" s="42"/>
      <c r="C97" s="42" t="s">
        <v>201</v>
      </c>
      <c r="D97" s="41">
        <v>33079.82</v>
      </c>
      <c r="E97" s="41">
        <v>0</v>
      </c>
      <c r="F97" s="41">
        <v>0</v>
      </c>
      <c r="G97" s="41">
        <v>-33080</v>
      </c>
      <c r="H97" s="41">
        <v>0</v>
      </c>
      <c r="I97" s="41">
        <f>SUM(D97:H97)</f>
        <v>-0.18000000000029104</v>
      </c>
    </row>
    <row r="98" spans="1:10" x14ac:dyDescent="0.2">
      <c r="A98" s="39">
        <f>A97+1</f>
        <v>20</v>
      </c>
      <c r="B98" s="42"/>
      <c r="C98" s="42" t="s">
        <v>183</v>
      </c>
      <c r="D98" s="41">
        <v>437202.44</v>
      </c>
      <c r="E98" s="41">
        <v>0</v>
      </c>
      <c r="F98" s="41">
        <v>0</v>
      </c>
      <c r="G98" s="41">
        <v>-437202</v>
      </c>
      <c r="H98" s="41">
        <v>0</v>
      </c>
      <c r="I98" s="41">
        <f>SUM(D98:H98)</f>
        <v>0.44000000000232831</v>
      </c>
    </row>
    <row r="99" spans="1:10" x14ac:dyDescent="0.2">
      <c r="A99" s="39">
        <f>A98+1</f>
        <v>21</v>
      </c>
      <c r="B99" s="42"/>
      <c r="C99" s="42"/>
      <c r="D99" s="41">
        <v>0</v>
      </c>
      <c r="E99" s="41">
        <v>0</v>
      </c>
      <c r="F99" s="41">
        <v>0</v>
      </c>
      <c r="G99" s="41">
        <v>0</v>
      </c>
      <c r="H99" s="41">
        <v>0</v>
      </c>
      <c r="I99" s="41">
        <f>SUM(D99:H99)</f>
        <v>0</v>
      </c>
    </row>
    <row r="100" spans="1:10" x14ac:dyDescent="0.2">
      <c r="C100" s="41"/>
      <c r="D100" s="41"/>
      <c r="E100" s="41"/>
      <c r="F100" s="41"/>
      <c r="G100" s="41"/>
      <c r="H100" s="41"/>
      <c r="I100" s="41"/>
    </row>
    <row r="101" spans="1:10" x14ac:dyDescent="0.2">
      <c r="A101" s="39">
        <f>A99+1</f>
        <v>22</v>
      </c>
      <c r="B101" s="42" t="s">
        <v>158</v>
      </c>
      <c r="D101" s="41">
        <f t="shared" ref="D101:I101" si="15">SUM(D78:D99)</f>
        <v>5712420967.9099989</v>
      </c>
      <c r="E101" s="41">
        <f t="shared" si="15"/>
        <v>0</v>
      </c>
      <c r="F101" s="41">
        <f t="shared" si="15"/>
        <v>0</v>
      </c>
      <c r="G101" s="41">
        <f t="shared" si="15"/>
        <v>143758333</v>
      </c>
      <c r="H101" s="41">
        <f t="shared" si="15"/>
        <v>0</v>
      </c>
      <c r="I101" s="41">
        <f t="shared" si="15"/>
        <v>5856179300.9099989</v>
      </c>
      <c r="J101" s="43">
        <v>5851554222</v>
      </c>
    </row>
    <row r="102" spans="1:10" x14ac:dyDescent="0.2">
      <c r="D102" s="41"/>
      <c r="E102" s="41"/>
      <c r="F102" s="41"/>
      <c r="G102" s="41"/>
      <c r="H102" s="41"/>
      <c r="I102" s="41"/>
    </row>
    <row r="103" spans="1:10" x14ac:dyDescent="0.2">
      <c r="B103" s="42" t="s">
        <v>156</v>
      </c>
      <c r="C103" s="42"/>
      <c r="D103" s="41"/>
      <c r="E103" s="41"/>
      <c r="F103" s="41"/>
      <c r="G103" s="41"/>
      <c r="H103" s="41"/>
      <c r="I103" s="41"/>
    </row>
    <row r="104" spans="1:10" x14ac:dyDescent="0.2">
      <c r="A104" s="39">
        <f>A101+1</f>
        <v>23</v>
      </c>
      <c r="B104" s="39" t="s">
        <v>153</v>
      </c>
      <c r="D104" s="41">
        <v>44268155</v>
      </c>
      <c r="E104" s="41">
        <v>0</v>
      </c>
      <c r="F104" s="41">
        <v>0</v>
      </c>
      <c r="G104" s="41">
        <v>0</v>
      </c>
      <c r="H104" s="41">
        <v>0</v>
      </c>
      <c r="I104" s="41">
        <f>SUM(D104:H104)</f>
        <v>44268155</v>
      </c>
    </row>
    <row r="105" spans="1:10" x14ac:dyDescent="0.2">
      <c r="A105" s="39">
        <f>A104+1</f>
        <v>24</v>
      </c>
      <c r="B105" s="39" t="s">
        <v>152</v>
      </c>
      <c r="D105" s="41">
        <v>25083314</v>
      </c>
      <c r="E105" s="41">
        <v>0</v>
      </c>
      <c r="F105" s="41">
        <v>0</v>
      </c>
      <c r="G105" s="41">
        <v>0</v>
      </c>
      <c r="H105" s="41">
        <v>0</v>
      </c>
      <c r="I105" s="41">
        <f>SUM(D105:H105)</f>
        <v>25083314</v>
      </c>
    </row>
    <row r="106" spans="1:10" x14ac:dyDescent="0.2">
      <c r="A106" s="39">
        <f>A105+1</f>
        <v>25</v>
      </c>
      <c r="B106" s="42" t="s">
        <v>174</v>
      </c>
      <c r="D106" s="41">
        <v>20383544</v>
      </c>
      <c r="E106" s="41">
        <v>0</v>
      </c>
      <c r="F106" s="41">
        <v>0</v>
      </c>
      <c r="G106" s="41">
        <v>0</v>
      </c>
      <c r="H106" s="41">
        <v>0</v>
      </c>
      <c r="I106" s="41">
        <f>SUM(D106:H106)</f>
        <v>20383544</v>
      </c>
    </row>
    <row r="107" spans="1:10" x14ac:dyDescent="0.2">
      <c r="A107" s="39">
        <f>A106+1</f>
        <v>26</v>
      </c>
      <c r="B107" s="42" t="s">
        <v>168</v>
      </c>
      <c r="C107" s="42"/>
      <c r="D107" s="41">
        <v>0</v>
      </c>
      <c r="E107" s="41">
        <v>0</v>
      </c>
      <c r="F107" s="41">
        <v>0</v>
      </c>
      <c r="G107" s="41">
        <v>0</v>
      </c>
      <c r="H107" s="41">
        <v>0</v>
      </c>
      <c r="I107" s="41">
        <f>SUM(D107:H107)</f>
        <v>0</v>
      </c>
    </row>
    <row r="108" spans="1:10" x14ac:dyDescent="0.2">
      <c r="A108" s="39">
        <f>A107+1</f>
        <v>27</v>
      </c>
      <c r="B108" s="39" t="s">
        <v>154</v>
      </c>
      <c r="D108" s="41">
        <v>410867894</v>
      </c>
      <c r="E108" s="41">
        <v>0</v>
      </c>
      <c r="F108" s="41">
        <v>0</v>
      </c>
      <c r="G108" s="41">
        <v>0</v>
      </c>
      <c r="H108" s="41">
        <v>0</v>
      </c>
      <c r="I108" s="41">
        <f>SUM(D108:H108)</f>
        <v>410867894</v>
      </c>
    </row>
    <row r="109" spans="1:10" x14ac:dyDescent="0.2">
      <c r="D109" s="41"/>
      <c r="E109" s="41"/>
      <c r="F109" s="41"/>
      <c r="G109" s="41"/>
      <c r="H109" s="41"/>
      <c r="I109" s="41"/>
    </row>
    <row r="110" spans="1:10" x14ac:dyDescent="0.2">
      <c r="A110" s="39">
        <f>A108+1</f>
        <v>28</v>
      </c>
      <c r="B110" s="42" t="s">
        <v>159</v>
      </c>
      <c r="C110" s="42"/>
      <c r="D110" s="41">
        <f t="shared" ref="D110:I110" si="16">SUM(D104:D108)</f>
        <v>500602907</v>
      </c>
      <c r="E110" s="41">
        <f t="shared" si="16"/>
        <v>0</v>
      </c>
      <c r="F110" s="41">
        <f t="shared" si="16"/>
        <v>0</v>
      </c>
      <c r="G110" s="41">
        <f t="shared" si="16"/>
        <v>0</v>
      </c>
      <c r="H110" s="41">
        <f t="shared" si="16"/>
        <v>0</v>
      </c>
      <c r="I110" s="41">
        <f t="shared" si="16"/>
        <v>500602907</v>
      </c>
    </row>
    <row r="111" spans="1:10" x14ac:dyDescent="0.2">
      <c r="B111" s="42"/>
      <c r="C111" s="42"/>
      <c r="D111" s="41"/>
      <c r="E111" s="41"/>
      <c r="F111" s="41"/>
      <c r="G111" s="41"/>
      <c r="H111" s="41"/>
      <c r="I111" s="41"/>
    </row>
    <row r="112" spans="1:10" x14ac:dyDescent="0.2">
      <c r="B112" s="42" t="s">
        <v>157</v>
      </c>
      <c r="C112" s="42"/>
      <c r="D112" s="41"/>
      <c r="E112" s="41"/>
      <c r="F112" s="41"/>
      <c r="G112" s="41"/>
      <c r="H112" s="41"/>
      <c r="I112" s="41"/>
    </row>
    <row r="113" spans="1:9" x14ac:dyDescent="0.2">
      <c r="A113" s="39">
        <f>A110+1</f>
        <v>29</v>
      </c>
      <c r="B113" s="39" t="s">
        <v>141</v>
      </c>
      <c r="D113" s="41">
        <f t="shared" ref="D113:H115" si="17">D78</f>
        <v>4448158911</v>
      </c>
      <c r="E113" s="41">
        <f t="shared" si="17"/>
        <v>0</v>
      </c>
      <c r="F113" s="41">
        <f t="shared" si="17"/>
        <v>0</v>
      </c>
      <c r="G113" s="41">
        <f t="shared" si="17"/>
        <v>110224809</v>
      </c>
      <c r="H113" s="41">
        <f t="shared" si="17"/>
        <v>0</v>
      </c>
      <c r="I113" s="41">
        <f>SUM(D113:H113)</f>
        <v>4558383720</v>
      </c>
    </row>
    <row r="114" spans="1:9" x14ac:dyDescent="0.2">
      <c r="A114" s="39">
        <f>A113+1</f>
        <v>30</v>
      </c>
      <c r="B114" s="42" t="s">
        <v>167</v>
      </c>
      <c r="C114" s="42"/>
      <c r="D114" s="41">
        <f t="shared" si="17"/>
        <v>3719974</v>
      </c>
      <c r="E114" s="41">
        <f t="shared" si="17"/>
        <v>0</v>
      </c>
      <c r="F114" s="41">
        <f t="shared" si="17"/>
        <v>0</v>
      </c>
      <c r="G114" s="41">
        <f t="shared" si="17"/>
        <v>92180</v>
      </c>
      <c r="H114" s="41">
        <f t="shared" si="17"/>
        <v>0</v>
      </c>
      <c r="I114" s="41">
        <f>SUM(D114:H114)</f>
        <v>3812154</v>
      </c>
    </row>
    <row r="115" spans="1:9" x14ac:dyDescent="0.2">
      <c r="A115" s="39">
        <f>A114+1</f>
        <v>31</v>
      </c>
      <c r="B115" s="39" t="s">
        <v>142</v>
      </c>
      <c r="D115" s="41">
        <f t="shared" si="17"/>
        <v>51811953</v>
      </c>
      <c r="E115" s="41">
        <f t="shared" si="17"/>
        <v>0</v>
      </c>
      <c r="F115" s="41">
        <f t="shared" si="17"/>
        <v>0</v>
      </c>
      <c r="G115" s="41">
        <f t="shared" si="17"/>
        <v>954247</v>
      </c>
      <c r="H115" s="41">
        <f t="shared" si="17"/>
        <v>0</v>
      </c>
      <c r="I115" s="41">
        <f>SUM(D115:H115)</f>
        <v>52766200</v>
      </c>
    </row>
    <row r="116" spans="1:9" x14ac:dyDescent="0.2">
      <c r="B116" s="42" t="s">
        <v>171</v>
      </c>
      <c r="D116" s="41"/>
      <c r="E116" s="41"/>
      <c r="F116" s="41"/>
      <c r="G116" s="41"/>
      <c r="H116" s="41"/>
      <c r="I116" s="41"/>
    </row>
    <row r="117" spans="1:9" x14ac:dyDescent="0.2">
      <c r="A117" s="39">
        <f>A115+1</f>
        <v>32</v>
      </c>
      <c r="C117" s="39" t="s">
        <v>143</v>
      </c>
      <c r="D117" s="41">
        <f t="shared" ref="D117:H123" si="18">D82</f>
        <v>271753985</v>
      </c>
      <c r="E117" s="41">
        <f t="shared" si="18"/>
        <v>0</v>
      </c>
      <c r="F117" s="41">
        <f t="shared" si="18"/>
        <v>0</v>
      </c>
      <c r="G117" s="41">
        <f t="shared" si="18"/>
        <v>20793493</v>
      </c>
      <c r="H117" s="41">
        <f t="shared" si="18"/>
        <v>0</v>
      </c>
      <c r="I117" s="41">
        <f t="shared" ref="I117:I122" si="19">SUM(D117:H117)</f>
        <v>292547478</v>
      </c>
    </row>
    <row r="118" spans="1:9" x14ac:dyDescent="0.2">
      <c r="A118" s="39">
        <f t="shared" ref="A118:A129" si="20">A117+1</f>
        <v>33</v>
      </c>
      <c r="C118" s="39" t="s">
        <v>144</v>
      </c>
      <c r="D118" s="41">
        <f t="shared" si="18"/>
        <v>28357728</v>
      </c>
      <c r="E118" s="41">
        <f t="shared" si="18"/>
        <v>0</v>
      </c>
      <c r="F118" s="41">
        <f t="shared" si="18"/>
        <v>0</v>
      </c>
      <c r="G118" s="41">
        <f t="shared" si="18"/>
        <v>2554930</v>
      </c>
      <c r="H118" s="41">
        <f t="shared" si="18"/>
        <v>0</v>
      </c>
      <c r="I118" s="41">
        <f t="shared" si="19"/>
        <v>30912658</v>
      </c>
    </row>
    <row r="119" spans="1:9" x14ac:dyDescent="0.2">
      <c r="A119" s="39">
        <f t="shared" si="20"/>
        <v>34</v>
      </c>
      <c r="B119" s="42"/>
      <c r="C119" s="42" t="s">
        <v>170</v>
      </c>
      <c r="D119" s="41">
        <f t="shared" si="18"/>
        <v>7045250</v>
      </c>
      <c r="E119" s="41">
        <f t="shared" si="18"/>
        <v>0</v>
      </c>
      <c r="F119" s="41">
        <f t="shared" si="18"/>
        <v>0</v>
      </c>
      <c r="G119" s="41">
        <f t="shared" si="18"/>
        <v>837918</v>
      </c>
      <c r="H119" s="41">
        <f t="shared" si="18"/>
        <v>0</v>
      </c>
      <c r="I119" s="41">
        <f t="shared" si="19"/>
        <v>7883168</v>
      </c>
    </row>
    <row r="120" spans="1:9" x14ac:dyDescent="0.2">
      <c r="A120" s="39">
        <f t="shared" si="20"/>
        <v>35</v>
      </c>
      <c r="B120" s="39" t="s">
        <v>145</v>
      </c>
      <c r="D120" s="41">
        <f t="shared" si="18"/>
        <v>18397203</v>
      </c>
      <c r="E120" s="41">
        <f t="shared" si="18"/>
        <v>0</v>
      </c>
      <c r="F120" s="41">
        <f t="shared" si="18"/>
        <v>0</v>
      </c>
      <c r="G120" s="41">
        <f t="shared" si="18"/>
        <v>455858</v>
      </c>
      <c r="H120" s="41">
        <f t="shared" si="18"/>
        <v>0</v>
      </c>
      <c r="I120" s="41">
        <f t="shared" si="19"/>
        <v>18853061</v>
      </c>
    </row>
    <row r="121" spans="1:9" x14ac:dyDescent="0.2">
      <c r="A121" s="39">
        <f t="shared" si="20"/>
        <v>36</v>
      </c>
      <c r="B121" s="39" t="s">
        <v>146</v>
      </c>
      <c r="D121" s="41">
        <f t="shared" si="18"/>
        <v>56687280</v>
      </c>
      <c r="E121" s="41">
        <f t="shared" si="18"/>
        <v>0</v>
      </c>
      <c r="F121" s="41">
        <f t="shared" si="18"/>
        <v>0</v>
      </c>
      <c r="G121" s="41">
        <f t="shared" si="18"/>
        <v>645527</v>
      </c>
      <c r="H121" s="41">
        <f t="shared" si="18"/>
        <v>0</v>
      </c>
      <c r="I121" s="41">
        <f t="shared" si="19"/>
        <v>57332807</v>
      </c>
    </row>
    <row r="122" spans="1:9" x14ac:dyDescent="0.2">
      <c r="A122" s="39">
        <f t="shared" si="20"/>
        <v>37</v>
      </c>
      <c r="B122" s="39" t="s">
        <v>148</v>
      </c>
      <c r="D122" s="41">
        <f t="shared" si="18"/>
        <v>8014853</v>
      </c>
      <c r="E122" s="41">
        <f t="shared" si="18"/>
        <v>0</v>
      </c>
      <c r="F122" s="41">
        <f t="shared" si="18"/>
        <v>0</v>
      </c>
      <c r="G122" s="41">
        <f t="shared" si="18"/>
        <v>198649</v>
      </c>
      <c r="H122" s="41">
        <f t="shared" si="18"/>
        <v>0</v>
      </c>
      <c r="I122" s="41">
        <f t="shared" si="19"/>
        <v>8213502</v>
      </c>
    </row>
    <row r="123" spans="1:9" x14ac:dyDescent="0.2">
      <c r="A123" s="39">
        <f t="shared" si="20"/>
        <v>38</v>
      </c>
      <c r="B123" s="39" t="s">
        <v>244</v>
      </c>
      <c r="D123" s="41">
        <f t="shared" si="18"/>
        <v>-344932</v>
      </c>
      <c r="E123" s="41">
        <f t="shared" si="18"/>
        <v>0</v>
      </c>
      <c r="F123" s="41">
        <f t="shared" si="18"/>
        <v>0</v>
      </c>
      <c r="G123" s="41">
        <f t="shared" si="18"/>
        <v>0</v>
      </c>
      <c r="H123" s="41">
        <f t="shared" si="18"/>
        <v>0</v>
      </c>
      <c r="I123" s="41">
        <f>SUM(D123:H123)</f>
        <v>-344932</v>
      </c>
    </row>
    <row r="124" spans="1:9" x14ac:dyDescent="0.2">
      <c r="A124" s="39">
        <f t="shared" si="20"/>
        <v>39</v>
      </c>
      <c r="B124" s="39" t="s">
        <v>147</v>
      </c>
      <c r="D124" s="41">
        <f t="shared" ref="D124:H127" si="21">D89-D104</f>
        <v>145058707</v>
      </c>
      <c r="E124" s="41">
        <f t="shared" si="21"/>
        <v>0</v>
      </c>
      <c r="F124" s="41">
        <f t="shared" si="21"/>
        <v>0</v>
      </c>
      <c r="G124" s="41">
        <f t="shared" si="21"/>
        <v>4691526</v>
      </c>
      <c r="H124" s="41">
        <f t="shared" si="21"/>
        <v>0</v>
      </c>
      <c r="I124" s="41">
        <f t="shared" ref="I124:I129" si="22">SUM(D124:H124)</f>
        <v>149750233</v>
      </c>
    </row>
    <row r="125" spans="1:9" x14ac:dyDescent="0.2">
      <c r="A125" s="39">
        <f t="shared" si="20"/>
        <v>40</v>
      </c>
      <c r="B125" s="39" t="s">
        <v>149</v>
      </c>
      <c r="D125" s="41">
        <f t="shared" si="21"/>
        <v>24682976</v>
      </c>
      <c r="E125" s="41">
        <f t="shared" si="21"/>
        <v>0</v>
      </c>
      <c r="F125" s="41">
        <f t="shared" si="21"/>
        <v>0</v>
      </c>
      <c r="G125" s="41">
        <f t="shared" si="21"/>
        <v>1233144</v>
      </c>
      <c r="H125" s="41">
        <f t="shared" si="21"/>
        <v>0</v>
      </c>
      <c r="I125" s="41">
        <f t="shared" si="22"/>
        <v>25916120</v>
      </c>
    </row>
    <row r="126" spans="1:9" x14ac:dyDescent="0.2">
      <c r="A126" s="39">
        <f t="shared" si="20"/>
        <v>41</v>
      </c>
      <c r="B126" s="42" t="s">
        <v>173</v>
      </c>
      <c r="D126" s="41">
        <f t="shared" si="21"/>
        <v>9591807</v>
      </c>
      <c r="E126" s="41">
        <f t="shared" si="21"/>
        <v>0</v>
      </c>
      <c r="F126" s="41">
        <f t="shared" si="21"/>
        <v>0</v>
      </c>
      <c r="G126" s="41">
        <f t="shared" si="21"/>
        <v>1058391</v>
      </c>
      <c r="H126" s="41">
        <f t="shared" si="21"/>
        <v>0</v>
      </c>
      <c r="I126" s="41">
        <f t="shared" si="22"/>
        <v>10650198</v>
      </c>
    </row>
    <row r="127" spans="1:9" x14ac:dyDescent="0.2">
      <c r="A127" s="39">
        <f t="shared" si="20"/>
        <v>42</v>
      </c>
      <c r="B127" s="42" t="s">
        <v>168</v>
      </c>
      <c r="C127" s="42"/>
      <c r="D127" s="41">
        <f t="shared" si="21"/>
        <v>16096910</v>
      </c>
      <c r="E127" s="41">
        <f t="shared" si="21"/>
        <v>0</v>
      </c>
      <c r="F127" s="41">
        <f t="shared" si="21"/>
        <v>0</v>
      </c>
      <c r="G127" s="41">
        <f t="shared" si="21"/>
        <v>251940</v>
      </c>
      <c r="H127" s="41">
        <f t="shared" si="21"/>
        <v>0</v>
      </c>
      <c r="I127" s="41">
        <f t="shared" si="22"/>
        <v>16348850</v>
      </c>
    </row>
    <row r="128" spans="1:9" x14ac:dyDescent="0.2">
      <c r="A128" s="39">
        <f t="shared" si="20"/>
        <v>43</v>
      </c>
      <c r="B128" s="42" t="s">
        <v>163</v>
      </c>
      <c r="C128" s="42"/>
      <c r="D128" s="41">
        <f>D93-D108-D129</f>
        <v>114774019</v>
      </c>
      <c r="E128" s="41">
        <f>E93-E108-E129</f>
        <v>0</v>
      </c>
      <c r="F128" s="41">
        <f>F93-F108-F129</f>
        <v>0</v>
      </c>
      <c r="G128" s="41">
        <f>G93-G108-G129</f>
        <v>0</v>
      </c>
      <c r="H128" s="41">
        <f>H93-H108-H129</f>
        <v>0</v>
      </c>
      <c r="I128" s="41">
        <f t="shared" si="22"/>
        <v>114774019</v>
      </c>
    </row>
    <row r="129" spans="1:10" x14ac:dyDescent="0.2">
      <c r="A129" s="39">
        <f t="shared" si="20"/>
        <v>44</v>
      </c>
      <c r="B129" s="39" t="s">
        <v>151</v>
      </c>
      <c r="D129" s="41">
        <v>8672599</v>
      </c>
      <c r="E129" s="41">
        <v>0</v>
      </c>
      <c r="F129" s="41">
        <v>0</v>
      </c>
      <c r="G129" s="41">
        <v>0</v>
      </c>
      <c r="H129" s="41">
        <v>0</v>
      </c>
      <c r="I129" s="41">
        <f t="shared" si="22"/>
        <v>8672599</v>
      </c>
    </row>
    <row r="130" spans="1:10" x14ac:dyDescent="0.2">
      <c r="B130" s="42" t="s">
        <v>172</v>
      </c>
      <c r="D130" s="41"/>
      <c r="E130" s="41"/>
      <c r="F130" s="41"/>
      <c r="G130" s="41"/>
      <c r="H130" s="41"/>
      <c r="I130" s="41"/>
    </row>
    <row r="131" spans="1:10" x14ac:dyDescent="0.2">
      <c r="A131" s="39">
        <f>A129+1</f>
        <v>45</v>
      </c>
      <c r="B131" s="42"/>
      <c r="C131" s="42" t="s">
        <v>175</v>
      </c>
      <c r="D131" s="41">
        <f t="shared" ref="D131:H135" si="23">D95</f>
        <v>-3077997.79</v>
      </c>
      <c r="E131" s="41">
        <f t="shared" si="23"/>
        <v>0</v>
      </c>
      <c r="F131" s="41">
        <f t="shared" si="23"/>
        <v>0</v>
      </c>
      <c r="G131" s="41">
        <f t="shared" si="23"/>
        <v>2182556</v>
      </c>
      <c r="H131" s="41">
        <f t="shared" si="23"/>
        <v>0</v>
      </c>
      <c r="I131" s="41">
        <f>SUM(D131:H131)</f>
        <v>-895441.79</v>
      </c>
    </row>
    <row r="132" spans="1:10" x14ac:dyDescent="0.2">
      <c r="A132" s="39">
        <f>A131+1</f>
        <v>46</v>
      </c>
      <c r="B132" s="42"/>
      <c r="C132" s="42" t="s">
        <v>182</v>
      </c>
      <c r="D132" s="41">
        <f t="shared" si="23"/>
        <v>1946553.44</v>
      </c>
      <c r="E132" s="41">
        <f t="shared" si="23"/>
        <v>0</v>
      </c>
      <c r="F132" s="41">
        <f t="shared" si="23"/>
        <v>0</v>
      </c>
      <c r="G132" s="41">
        <f t="shared" si="23"/>
        <v>-1946553</v>
      </c>
      <c r="H132" s="41">
        <f t="shared" si="23"/>
        <v>0</v>
      </c>
      <c r="I132" s="41">
        <f>SUM(D132:H132)</f>
        <v>0.43999999994412065</v>
      </c>
    </row>
    <row r="133" spans="1:10" x14ac:dyDescent="0.2">
      <c r="A133" s="39">
        <f>A132+1</f>
        <v>47</v>
      </c>
      <c r="B133" s="42"/>
      <c r="C133" s="42" t="s">
        <v>201</v>
      </c>
      <c r="D133" s="41">
        <f t="shared" si="23"/>
        <v>33079.82</v>
      </c>
      <c r="E133" s="41">
        <f t="shared" si="23"/>
        <v>0</v>
      </c>
      <c r="F133" s="41">
        <f t="shared" si="23"/>
        <v>0</v>
      </c>
      <c r="G133" s="41">
        <f t="shared" si="23"/>
        <v>-33080</v>
      </c>
      <c r="H133" s="41">
        <f t="shared" si="23"/>
        <v>0</v>
      </c>
      <c r="I133" s="41">
        <f>SUM(D133:H133)</f>
        <v>-0.18000000000029104</v>
      </c>
    </row>
    <row r="134" spans="1:10" x14ac:dyDescent="0.2">
      <c r="A134" s="39">
        <f>A133+1</f>
        <v>48</v>
      </c>
      <c r="B134" s="42"/>
      <c r="C134" s="42" t="s">
        <v>183</v>
      </c>
      <c r="D134" s="41">
        <f t="shared" si="23"/>
        <v>437202.44</v>
      </c>
      <c r="E134" s="41">
        <f t="shared" si="23"/>
        <v>0</v>
      </c>
      <c r="F134" s="41">
        <f t="shared" si="23"/>
        <v>0</v>
      </c>
      <c r="G134" s="41">
        <f t="shared" si="23"/>
        <v>-437202</v>
      </c>
      <c r="H134" s="41">
        <f t="shared" si="23"/>
        <v>0</v>
      </c>
      <c r="I134" s="41">
        <f>SUM(D134:H134)</f>
        <v>0.44000000000232831</v>
      </c>
    </row>
    <row r="135" spans="1:10" x14ac:dyDescent="0.2">
      <c r="A135" s="39">
        <f>A134+1</f>
        <v>49</v>
      </c>
      <c r="B135" s="42"/>
      <c r="C135" s="42"/>
      <c r="D135" s="41">
        <f t="shared" si="23"/>
        <v>0</v>
      </c>
      <c r="E135" s="41">
        <f t="shared" si="23"/>
        <v>0</v>
      </c>
      <c r="F135" s="41">
        <f t="shared" si="23"/>
        <v>0</v>
      </c>
      <c r="G135" s="41">
        <f t="shared" si="23"/>
        <v>0</v>
      </c>
      <c r="H135" s="41">
        <f t="shared" si="23"/>
        <v>0</v>
      </c>
      <c r="I135" s="41">
        <f>SUM(D135:H135)</f>
        <v>0</v>
      </c>
    </row>
    <row r="136" spans="1:10" x14ac:dyDescent="0.2">
      <c r="C136" s="41"/>
      <c r="D136" s="41"/>
      <c r="E136" s="41"/>
      <c r="F136" s="41"/>
      <c r="G136" s="41"/>
      <c r="H136" s="41"/>
      <c r="I136" s="41"/>
    </row>
    <row r="137" spans="1:10" x14ac:dyDescent="0.2">
      <c r="A137" s="39">
        <f>A135+1</f>
        <v>50</v>
      </c>
      <c r="B137" s="42" t="s">
        <v>184</v>
      </c>
      <c r="C137" s="42"/>
      <c r="D137" s="41">
        <f t="shared" ref="D137:I137" si="24">SUM(D113:D135)</f>
        <v>5211818060.9099989</v>
      </c>
      <c r="E137" s="41">
        <f t="shared" si="24"/>
        <v>0</v>
      </c>
      <c r="F137" s="41">
        <f t="shared" si="24"/>
        <v>0</v>
      </c>
      <c r="G137" s="41">
        <f t="shared" si="24"/>
        <v>143758333</v>
      </c>
      <c r="H137" s="41">
        <f t="shared" si="24"/>
        <v>0</v>
      </c>
      <c r="I137" s="41">
        <f t="shared" si="24"/>
        <v>5355576393.9099989</v>
      </c>
    </row>
    <row r="138" spans="1:10" x14ac:dyDescent="0.2">
      <c r="A138" s="39">
        <f>A137+1</f>
        <v>51</v>
      </c>
      <c r="B138" s="42" t="s">
        <v>160</v>
      </c>
      <c r="C138" s="42"/>
      <c r="D138" s="41">
        <f t="shared" ref="D138:I138" si="25">D137-D129</f>
        <v>5203145461.9099989</v>
      </c>
      <c r="E138" s="41">
        <f t="shared" si="25"/>
        <v>0</v>
      </c>
      <c r="F138" s="41">
        <f t="shared" si="25"/>
        <v>0</v>
      </c>
      <c r="G138" s="41">
        <f t="shared" si="25"/>
        <v>143758333</v>
      </c>
      <c r="H138" s="41">
        <f t="shared" si="25"/>
        <v>0</v>
      </c>
      <c r="I138" s="41">
        <f t="shared" si="25"/>
        <v>5346903794.9099989</v>
      </c>
      <c r="J138" s="41">
        <v>5340699679</v>
      </c>
    </row>
    <row r="139" spans="1:10" x14ac:dyDescent="0.2">
      <c r="A139" s="39">
        <f>A138+1</f>
        <v>52</v>
      </c>
      <c r="B139" s="42" t="s">
        <v>161</v>
      </c>
      <c r="C139" s="42"/>
      <c r="D139" s="41">
        <f t="shared" ref="D139:I139" si="26">D129</f>
        <v>8672599</v>
      </c>
      <c r="E139" s="41">
        <f t="shared" si="26"/>
        <v>0</v>
      </c>
      <c r="F139" s="41">
        <f t="shared" si="26"/>
        <v>0</v>
      </c>
      <c r="G139" s="41">
        <f t="shared" si="26"/>
        <v>0</v>
      </c>
      <c r="H139" s="41">
        <f t="shared" si="26"/>
        <v>0</v>
      </c>
      <c r="I139" s="41">
        <f t="shared" si="26"/>
        <v>8672599</v>
      </c>
    </row>
    <row r="140" spans="1:10" x14ac:dyDescent="0.2">
      <c r="B140" s="42"/>
      <c r="C140" s="42"/>
      <c r="D140" s="41"/>
      <c r="E140" s="41"/>
      <c r="F140" s="41"/>
      <c r="G140" s="41"/>
      <c r="H140" s="41"/>
      <c r="I140" s="97" t="s">
        <v>243</v>
      </c>
    </row>
    <row r="141" spans="1:10" x14ac:dyDescent="0.2">
      <c r="A141" s="39">
        <f>A139+1</f>
        <v>53</v>
      </c>
      <c r="B141" s="42" t="s">
        <v>166</v>
      </c>
      <c r="C141" s="42"/>
      <c r="D141" s="41">
        <v>-45675930</v>
      </c>
      <c r="E141" s="41">
        <v>0</v>
      </c>
      <c r="F141" s="41">
        <v>0</v>
      </c>
      <c r="G141" s="41">
        <v>-1131765</v>
      </c>
      <c r="H141" s="41">
        <v>0</v>
      </c>
      <c r="I141" s="41">
        <f>SUM(D141:H141)</f>
        <v>-46807695</v>
      </c>
    </row>
    <row r="143" spans="1:10" x14ac:dyDescent="0.2">
      <c r="A143" s="138" t="s">
        <v>162</v>
      </c>
      <c r="B143" s="138"/>
      <c r="C143" s="139"/>
      <c r="D143" s="140" t="s">
        <v>176</v>
      </c>
      <c r="E143" s="140" t="s">
        <v>181</v>
      </c>
      <c r="F143" s="140" t="s">
        <v>177</v>
      </c>
      <c r="G143" s="140" t="s">
        <v>178</v>
      </c>
      <c r="H143" s="140" t="s">
        <v>179</v>
      </c>
      <c r="I143" s="140" t="s">
        <v>180</v>
      </c>
    </row>
    <row r="145" spans="1:9" x14ac:dyDescent="0.2">
      <c r="A145" s="39">
        <v>1</v>
      </c>
      <c r="B145" s="39" t="s">
        <v>140</v>
      </c>
      <c r="D145" s="43">
        <f t="shared" ref="D145:I145" si="27">D5-D75</f>
        <v>0</v>
      </c>
      <c r="E145" s="43">
        <f t="shared" si="27"/>
        <v>0</v>
      </c>
      <c r="F145" s="43">
        <f t="shared" si="27"/>
        <v>0</v>
      </c>
      <c r="G145" s="43">
        <f t="shared" si="27"/>
        <v>0</v>
      </c>
      <c r="H145" s="43">
        <f t="shared" si="27"/>
        <v>0</v>
      </c>
      <c r="I145" s="43">
        <f t="shared" si="27"/>
        <v>0</v>
      </c>
    </row>
    <row r="146" spans="1:9" x14ac:dyDescent="0.2">
      <c r="E146" s="43"/>
      <c r="F146" s="43"/>
      <c r="G146" s="43"/>
      <c r="H146" s="43"/>
      <c r="I146" s="43"/>
    </row>
    <row r="147" spans="1:9" x14ac:dyDescent="0.2">
      <c r="B147" s="42" t="s">
        <v>155</v>
      </c>
      <c r="D147" s="40"/>
      <c r="E147" s="40"/>
      <c r="F147" s="40"/>
      <c r="G147" s="40"/>
      <c r="H147" s="40"/>
      <c r="I147" s="40"/>
    </row>
    <row r="148" spans="1:9" x14ac:dyDescent="0.2">
      <c r="A148" s="39">
        <f>A145+1</f>
        <v>2</v>
      </c>
      <c r="B148" s="39" t="s">
        <v>141</v>
      </c>
      <c r="D148" s="43">
        <f t="shared" ref="D148:I150" si="28">D8-D78</f>
        <v>0</v>
      </c>
      <c r="E148" s="43">
        <f t="shared" si="28"/>
        <v>0</v>
      </c>
      <c r="F148" s="43">
        <f t="shared" si="28"/>
        <v>0</v>
      </c>
      <c r="G148" s="43">
        <f t="shared" si="28"/>
        <v>0</v>
      </c>
      <c r="H148" s="43">
        <f t="shared" si="28"/>
        <v>0</v>
      </c>
      <c r="I148" s="43">
        <f t="shared" si="28"/>
        <v>0</v>
      </c>
    </row>
    <row r="149" spans="1:9" x14ac:dyDescent="0.2">
      <c r="A149" s="39">
        <f>A148+1</f>
        <v>3</v>
      </c>
      <c r="B149" s="42" t="s">
        <v>167</v>
      </c>
      <c r="C149" s="42"/>
      <c r="D149" s="43">
        <f t="shared" si="28"/>
        <v>0</v>
      </c>
      <c r="E149" s="43">
        <f t="shared" si="28"/>
        <v>0</v>
      </c>
      <c r="F149" s="43">
        <f t="shared" si="28"/>
        <v>0</v>
      </c>
      <c r="G149" s="43">
        <f t="shared" si="28"/>
        <v>0</v>
      </c>
      <c r="H149" s="43">
        <f t="shared" si="28"/>
        <v>0</v>
      </c>
      <c r="I149" s="43">
        <f t="shared" si="28"/>
        <v>0</v>
      </c>
    </row>
    <row r="150" spans="1:9" x14ac:dyDescent="0.2">
      <c r="A150" s="39">
        <f>A149+1</f>
        <v>4</v>
      </c>
      <c r="B150" s="39" t="s">
        <v>142</v>
      </c>
      <c r="D150" s="43">
        <f t="shared" si="28"/>
        <v>0</v>
      </c>
      <c r="E150" s="43">
        <f t="shared" si="28"/>
        <v>0</v>
      </c>
      <c r="F150" s="43">
        <f t="shared" si="28"/>
        <v>0</v>
      </c>
      <c r="G150" s="43">
        <f t="shared" si="28"/>
        <v>0</v>
      </c>
      <c r="H150" s="43">
        <f t="shared" si="28"/>
        <v>0</v>
      </c>
      <c r="I150" s="43">
        <f t="shared" si="28"/>
        <v>0</v>
      </c>
    </row>
    <row r="151" spans="1:9" x14ac:dyDescent="0.2">
      <c r="B151" s="42" t="s">
        <v>171</v>
      </c>
      <c r="D151" s="43"/>
      <c r="E151" s="43"/>
      <c r="F151" s="43"/>
      <c r="G151" s="43"/>
      <c r="H151" s="43"/>
      <c r="I151" s="43"/>
    </row>
    <row r="152" spans="1:9" x14ac:dyDescent="0.2">
      <c r="A152" s="39">
        <f>A150+1</f>
        <v>5</v>
      </c>
      <c r="C152" s="39" t="s">
        <v>143</v>
      </c>
      <c r="D152" s="43">
        <f t="shared" ref="D152:I163" si="29">D12-D82</f>
        <v>0</v>
      </c>
      <c r="E152" s="43">
        <f t="shared" si="29"/>
        <v>0</v>
      </c>
      <c r="F152" s="43">
        <f t="shared" si="29"/>
        <v>0</v>
      </c>
      <c r="G152" s="43">
        <f t="shared" si="29"/>
        <v>0</v>
      </c>
      <c r="H152" s="43">
        <f t="shared" si="29"/>
        <v>0</v>
      </c>
      <c r="I152" s="43">
        <f t="shared" si="29"/>
        <v>0</v>
      </c>
    </row>
    <row r="153" spans="1:9" x14ac:dyDescent="0.2">
      <c r="A153" s="39">
        <f t="shared" ref="A153:A163" si="30">A152+1</f>
        <v>6</v>
      </c>
      <c r="C153" s="39" t="s">
        <v>144</v>
      </c>
      <c r="D153" s="43">
        <f t="shared" si="29"/>
        <v>0</v>
      </c>
      <c r="E153" s="43">
        <f t="shared" si="29"/>
        <v>0</v>
      </c>
      <c r="F153" s="43">
        <f t="shared" si="29"/>
        <v>0</v>
      </c>
      <c r="G153" s="43">
        <f t="shared" si="29"/>
        <v>0</v>
      </c>
      <c r="H153" s="43">
        <f t="shared" si="29"/>
        <v>0</v>
      </c>
      <c r="I153" s="43">
        <f t="shared" si="29"/>
        <v>0</v>
      </c>
    </row>
    <row r="154" spans="1:9" x14ac:dyDescent="0.2">
      <c r="A154" s="39">
        <f t="shared" si="30"/>
        <v>7</v>
      </c>
      <c r="B154" s="42"/>
      <c r="C154" s="42" t="s">
        <v>170</v>
      </c>
      <c r="D154" s="43">
        <f t="shared" si="29"/>
        <v>0</v>
      </c>
      <c r="E154" s="43">
        <f t="shared" si="29"/>
        <v>0</v>
      </c>
      <c r="F154" s="43">
        <f t="shared" si="29"/>
        <v>0</v>
      </c>
      <c r="G154" s="43">
        <f t="shared" si="29"/>
        <v>0</v>
      </c>
      <c r="H154" s="43">
        <f t="shared" si="29"/>
        <v>0</v>
      </c>
      <c r="I154" s="43">
        <f t="shared" si="29"/>
        <v>0</v>
      </c>
    </row>
    <row r="155" spans="1:9" x14ac:dyDescent="0.2">
      <c r="A155" s="39">
        <f t="shared" si="30"/>
        <v>8</v>
      </c>
      <c r="B155" s="39" t="s">
        <v>145</v>
      </c>
      <c r="D155" s="43">
        <f t="shared" si="29"/>
        <v>0</v>
      </c>
      <c r="E155" s="43">
        <f t="shared" si="29"/>
        <v>0</v>
      </c>
      <c r="F155" s="43">
        <f t="shared" si="29"/>
        <v>0</v>
      </c>
      <c r="G155" s="43">
        <f t="shared" si="29"/>
        <v>0</v>
      </c>
      <c r="H155" s="43">
        <f t="shared" si="29"/>
        <v>0</v>
      </c>
      <c r="I155" s="43">
        <f t="shared" si="29"/>
        <v>0</v>
      </c>
    </row>
    <row r="156" spans="1:9" x14ac:dyDescent="0.2">
      <c r="A156" s="39">
        <f t="shared" si="30"/>
        <v>9</v>
      </c>
      <c r="B156" s="39" t="s">
        <v>146</v>
      </c>
      <c r="D156" s="43">
        <f t="shared" si="29"/>
        <v>0</v>
      </c>
      <c r="E156" s="43">
        <f t="shared" si="29"/>
        <v>0</v>
      </c>
      <c r="F156" s="43">
        <f t="shared" si="29"/>
        <v>0</v>
      </c>
      <c r="G156" s="43">
        <f t="shared" si="29"/>
        <v>0</v>
      </c>
      <c r="H156" s="43">
        <f t="shared" si="29"/>
        <v>0</v>
      </c>
      <c r="I156" s="43">
        <f t="shared" si="29"/>
        <v>0</v>
      </c>
    </row>
    <row r="157" spans="1:9" x14ac:dyDescent="0.2">
      <c r="A157" s="39">
        <f t="shared" si="30"/>
        <v>10</v>
      </c>
      <c r="B157" s="39" t="s">
        <v>148</v>
      </c>
      <c r="D157" s="43">
        <f t="shared" si="29"/>
        <v>0</v>
      </c>
      <c r="E157" s="43">
        <f t="shared" si="29"/>
        <v>0</v>
      </c>
      <c r="F157" s="43">
        <f t="shared" si="29"/>
        <v>0</v>
      </c>
      <c r="G157" s="43">
        <f t="shared" si="29"/>
        <v>0</v>
      </c>
      <c r="H157" s="43">
        <f t="shared" si="29"/>
        <v>0</v>
      </c>
      <c r="I157" s="43">
        <f t="shared" si="29"/>
        <v>0</v>
      </c>
    </row>
    <row r="158" spans="1:9" x14ac:dyDescent="0.2">
      <c r="A158" s="39">
        <f t="shared" si="30"/>
        <v>11</v>
      </c>
      <c r="B158" s="39" t="s">
        <v>244</v>
      </c>
      <c r="D158" s="43">
        <f t="shared" si="29"/>
        <v>0</v>
      </c>
      <c r="E158" s="43">
        <f t="shared" si="29"/>
        <v>0</v>
      </c>
      <c r="F158" s="43">
        <f t="shared" si="29"/>
        <v>0</v>
      </c>
      <c r="G158" s="43">
        <f t="shared" si="29"/>
        <v>0</v>
      </c>
      <c r="H158" s="43">
        <f t="shared" si="29"/>
        <v>0</v>
      </c>
      <c r="I158" s="43">
        <f t="shared" si="29"/>
        <v>0</v>
      </c>
    </row>
    <row r="159" spans="1:9" x14ac:dyDescent="0.2">
      <c r="A159" s="39">
        <f t="shared" si="30"/>
        <v>12</v>
      </c>
      <c r="B159" s="39" t="s">
        <v>147</v>
      </c>
      <c r="D159" s="43">
        <f t="shared" si="29"/>
        <v>0</v>
      </c>
      <c r="E159" s="43">
        <f t="shared" si="29"/>
        <v>0</v>
      </c>
      <c r="F159" s="43">
        <f t="shared" si="29"/>
        <v>0</v>
      </c>
      <c r="G159" s="43">
        <f t="shared" si="29"/>
        <v>0</v>
      </c>
      <c r="H159" s="43">
        <f t="shared" si="29"/>
        <v>0</v>
      </c>
      <c r="I159" s="43">
        <f t="shared" si="29"/>
        <v>0</v>
      </c>
    </row>
    <row r="160" spans="1:9" x14ac:dyDescent="0.2">
      <c r="A160" s="39">
        <f t="shared" si="30"/>
        <v>13</v>
      </c>
      <c r="B160" s="39" t="s">
        <v>149</v>
      </c>
      <c r="D160" s="43">
        <f t="shared" si="29"/>
        <v>0</v>
      </c>
      <c r="E160" s="43">
        <f t="shared" si="29"/>
        <v>0</v>
      </c>
      <c r="F160" s="43">
        <f t="shared" si="29"/>
        <v>0</v>
      </c>
      <c r="G160" s="43">
        <f t="shared" si="29"/>
        <v>0</v>
      </c>
      <c r="H160" s="43">
        <f t="shared" si="29"/>
        <v>0</v>
      </c>
      <c r="I160" s="43">
        <f t="shared" si="29"/>
        <v>0</v>
      </c>
    </row>
    <row r="161" spans="1:9" x14ac:dyDescent="0.2">
      <c r="A161" s="39">
        <f t="shared" si="30"/>
        <v>14</v>
      </c>
      <c r="B161" s="42" t="s">
        <v>173</v>
      </c>
      <c r="D161" s="43">
        <f t="shared" si="29"/>
        <v>0</v>
      </c>
      <c r="E161" s="43">
        <f t="shared" si="29"/>
        <v>0</v>
      </c>
      <c r="F161" s="43">
        <f t="shared" si="29"/>
        <v>0</v>
      </c>
      <c r="G161" s="43">
        <f t="shared" si="29"/>
        <v>0</v>
      </c>
      <c r="H161" s="43">
        <f t="shared" si="29"/>
        <v>0</v>
      </c>
      <c r="I161" s="43">
        <f t="shared" si="29"/>
        <v>0</v>
      </c>
    </row>
    <row r="162" spans="1:9" x14ac:dyDescent="0.2">
      <c r="A162" s="39">
        <f t="shared" si="30"/>
        <v>15</v>
      </c>
      <c r="B162" s="42" t="s">
        <v>168</v>
      </c>
      <c r="C162" s="42"/>
      <c r="D162" s="43">
        <f t="shared" si="29"/>
        <v>0</v>
      </c>
      <c r="E162" s="43">
        <f t="shared" si="29"/>
        <v>0</v>
      </c>
      <c r="F162" s="43">
        <f t="shared" si="29"/>
        <v>0</v>
      </c>
      <c r="G162" s="43">
        <f t="shared" si="29"/>
        <v>0</v>
      </c>
      <c r="H162" s="43">
        <f t="shared" si="29"/>
        <v>0</v>
      </c>
      <c r="I162" s="43">
        <f t="shared" si="29"/>
        <v>0</v>
      </c>
    </row>
    <row r="163" spans="1:9" x14ac:dyDescent="0.2">
      <c r="A163" s="39">
        <f t="shared" si="30"/>
        <v>16</v>
      </c>
      <c r="B163" s="39" t="s">
        <v>150</v>
      </c>
      <c r="D163" s="43">
        <f t="shared" si="29"/>
        <v>0</v>
      </c>
      <c r="E163" s="43">
        <f t="shared" si="29"/>
        <v>0</v>
      </c>
      <c r="F163" s="43">
        <f t="shared" si="29"/>
        <v>0</v>
      </c>
      <c r="G163" s="43">
        <f t="shared" si="29"/>
        <v>0</v>
      </c>
      <c r="H163" s="43">
        <f t="shared" si="29"/>
        <v>0</v>
      </c>
      <c r="I163" s="43">
        <f t="shared" si="29"/>
        <v>0</v>
      </c>
    </row>
    <row r="164" spans="1:9" x14ac:dyDescent="0.2">
      <c r="B164" s="42" t="s">
        <v>172</v>
      </c>
      <c r="D164" s="43"/>
      <c r="E164" s="43"/>
      <c r="F164" s="43"/>
      <c r="G164" s="43"/>
      <c r="H164" s="43"/>
      <c r="I164" s="43"/>
    </row>
    <row r="165" spans="1:9" x14ac:dyDescent="0.2">
      <c r="A165" s="39">
        <f>A163+1</f>
        <v>17</v>
      </c>
      <c r="B165" s="42"/>
      <c r="C165" s="42" t="s">
        <v>175</v>
      </c>
      <c r="D165" s="43">
        <f t="shared" ref="D165:I169" si="31">D25-D95</f>
        <v>0</v>
      </c>
      <c r="E165" s="43">
        <f t="shared" si="31"/>
        <v>0</v>
      </c>
      <c r="F165" s="43">
        <f t="shared" si="31"/>
        <v>0</v>
      </c>
      <c r="G165" s="43">
        <f t="shared" si="31"/>
        <v>0</v>
      </c>
      <c r="H165" s="43">
        <f t="shared" si="31"/>
        <v>0</v>
      </c>
      <c r="I165" s="43">
        <f t="shared" si="31"/>
        <v>0</v>
      </c>
    </row>
    <row r="166" spans="1:9" x14ac:dyDescent="0.2">
      <c r="A166" s="39">
        <f>A165+1</f>
        <v>18</v>
      </c>
      <c r="B166" s="42"/>
      <c r="C166" s="42" t="s">
        <v>182</v>
      </c>
      <c r="D166" s="43">
        <f t="shared" si="31"/>
        <v>0</v>
      </c>
      <c r="E166" s="43">
        <f t="shared" si="31"/>
        <v>0</v>
      </c>
      <c r="F166" s="43">
        <f t="shared" si="31"/>
        <v>0</v>
      </c>
      <c r="G166" s="43">
        <f t="shared" si="31"/>
        <v>0</v>
      </c>
      <c r="H166" s="43">
        <f t="shared" si="31"/>
        <v>0</v>
      </c>
      <c r="I166" s="43">
        <f t="shared" si="31"/>
        <v>0</v>
      </c>
    </row>
    <row r="167" spans="1:9" x14ac:dyDescent="0.2">
      <c r="A167" s="39">
        <f>A166+1</f>
        <v>19</v>
      </c>
      <c r="B167" s="42"/>
      <c r="C167" s="42" t="s">
        <v>201</v>
      </c>
      <c r="D167" s="43">
        <f t="shared" si="31"/>
        <v>0</v>
      </c>
      <c r="E167" s="43">
        <f t="shared" si="31"/>
        <v>0</v>
      </c>
      <c r="F167" s="43">
        <f t="shared" si="31"/>
        <v>0</v>
      </c>
      <c r="G167" s="43">
        <f t="shared" si="31"/>
        <v>0</v>
      </c>
      <c r="H167" s="43">
        <f t="shared" si="31"/>
        <v>0</v>
      </c>
      <c r="I167" s="43">
        <f t="shared" si="31"/>
        <v>0</v>
      </c>
    </row>
    <row r="168" spans="1:9" x14ac:dyDescent="0.2">
      <c r="A168" s="39">
        <f>A167+1</f>
        <v>20</v>
      </c>
      <c r="B168" s="42"/>
      <c r="C168" s="42" t="s">
        <v>183</v>
      </c>
      <c r="D168" s="43">
        <f t="shared" si="31"/>
        <v>0</v>
      </c>
      <c r="E168" s="43">
        <f t="shared" si="31"/>
        <v>0</v>
      </c>
      <c r="F168" s="43">
        <f t="shared" si="31"/>
        <v>0</v>
      </c>
      <c r="G168" s="43">
        <f t="shared" si="31"/>
        <v>0</v>
      </c>
      <c r="H168" s="43">
        <f t="shared" si="31"/>
        <v>0</v>
      </c>
      <c r="I168" s="43">
        <f t="shared" si="31"/>
        <v>0</v>
      </c>
    </row>
    <row r="169" spans="1:9" x14ac:dyDescent="0.2">
      <c r="A169" s="39">
        <f>A168+1</f>
        <v>21</v>
      </c>
      <c r="B169" s="42"/>
      <c r="C169" s="42"/>
      <c r="D169" s="43">
        <f t="shared" si="31"/>
        <v>0</v>
      </c>
      <c r="E169" s="43">
        <f t="shared" si="31"/>
        <v>0</v>
      </c>
      <c r="F169" s="43">
        <f t="shared" si="31"/>
        <v>0</v>
      </c>
      <c r="G169" s="43">
        <f t="shared" si="31"/>
        <v>0</v>
      </c>
      <c r="H169" s="43">
        <f t="shared" si="31"/>
        <v>0</v>
      </c>
      <c r="I169" s="43">
        <f t="shared" si="31"/>
        <v>0</v>
      </c>
    </row>
    <row r="170" spans="1:9" x14ac:dyDescent="0.2">
      <c r="D170" s="41"/>
      <c r="E170" s="41"/>
      <c r="F170" s="41"/>
      <c r="G170" s="41"/>
      <c r="H170" s="41"/>
      <c r="I170" s="41"/>
    </row>
    <row r="171" spans="1:9" x14ac:dyDescent="0.2">
      <c r="A171" s="39">
        <f>A169+1</f>
        <v>22</v>
      </c>
      <c r="B171" s="42" t="s">
        <v>158</v>
      </c>
      <c r="D171" s="43">
        <f t="shared" ref="D171:I171" si="32">D31-D101</f>
        <v>0</v>
      </c>
      <c r="E171" s="43">
        <f t="shared" si="32"/>
        <v>0</v>
      </c>
      <c r="F171" s="43">
        <f t="shared" si="32"/>
        <v>0</v>
      </c>
      <c r="G171" s="43">
        <f t="shared" si="32"/>
        <v>0</v>
      </c>
      <c r="H171" s="43">
        <f t="shared" si="32"/>
        <v>0</v>
      </c>
      <c r="I171" s="43">
        <f t="shared" si="32"/>
        <v>0</v>
      </c>
    </row>
    <row r="172" spans="1:9" x14ac:dyDescent="0.2">
      <c r="D172" s="41"/>
      <c r="E172" s="41"/>
      <c r="F172" s="41"/>
      <c r="G172" s="41"/>
      <c r="H172" s="41"/>
      <c r="I172" s="41"/>
    </row>
    <row r="173" spans="1:9" x14ac:dyDescent="0.2">
      <c r="B173" s="42" t="s">
        <v>156</v>
      </c>
      <c r="C173" s="42"/>
      <c r="D173" s="41"/>
      <c r="E173" s="41"/>
      <c r="F173" s="41"/>
      <c r="G173" s="41"/>
      <c r="H173" s="41"/>
      <c r="I173" s="41"/>
    </row>
    <row r="174" spans="1:9" x14ac:dyDescent="0.2">
      <c r="A174" s="39">
        <f>A171+1</f>
        <v>23</v>
      </c>
      <c r="B174" s="39" t="s">
        <v>153</v>
      </c>
      <c r="D174" s="43">
        <f t="shared" ref="D174:I178" si="33">D34-D104</f>
        <v>0</v>
      </c>
      <c r="E174" s="43">
        <f t="shared" si="33"/>
        <v>0</v>
      </c>
      <c r="F174" s="43">
        <f t="shared" si="33"/>
        <v>0</v>
      </c>
      <c r="G174" s="43">
        <f t="shared" si="33"/>
        <v>0</v>
      </c>
      <c r="H174" s="43">
        <f t="shared" si="33"/>
        <v>0</v>
      </c>
      <c r="I174" s="43">
        <f t="shared" si="33"/>
        <v>0</v>
      </c>
    </row>
    <row r="175" spans="1:9" x14ac:dyDescent="0.2">
      <c r="A175" s="39">
        <f>A174+1</f>
        <v>24</v>
      </c>
      <c r="B175" s="39" t="s">
        <v>152</v>
      </c>
      <c r="D175" s="43">
        <f t="shared" si="33"/>
        <v>0</v>
      </c>
      <c r="E175" s="43">
        <f t="shared" si="33"/>
        <v>0</v>
      </c>
      <c r="F175" s="43">
        <f t="shared" si="33"/>
        <v>0</v>
      </c>
      <c r="G175" s="43">
        <f t="shared" si="33"/>
        <v>0</v>
      </c>
      <c r="H175" s="43">
        <f t="shared" si="33"/>
        <v>0</v>
      </c>
      <c r="I175" s="43">
        <f t="shared" si="33"/>
        <v>0</v>
      </c>
    </row>
    <row r="176" spans="1:9" x14ac:dyDescent="0.2">
      <c r="A176" s="39">
        <f>A175+1</f>
        <v>25</v>
      </c>
      <c r="B176" s="42" t="s">
        <v>174</v>
      </c>
      <c r="D176" s="43">
        <f t="shared" si="33"/>
        <v>0</v>
      </c>
      <c r="E176" s="43">
        <f t="shared" si="33"/>
        <v>0</v>
      </c>
      <c r="F176" s="43">
        <f t="shared" si="33"/>
        <v>0</v>
      </c>
      <c r="G176" s="43">
        <f t="shared" si="33"/>
        <v>0</v>
      </c>
      <c r="H176" s="43">
        <f t="shared" si="33"/>
        <v>0</v>
      </c>
      <c r="I176" s="43">
        <f t="shared" si="33"/>
        <v>0</v>
      </c>
    </row>
    <row r="177" spans="1:9" x14ac:dyDescent="0.2">
      <c r="A177" s="39">
        <f>A176+1</f>
        <v>26</v>
      </c>
      <c r="B177" s="42" t="s">
        <v>168</v>
      </c>
      <c r="C177" s="42"/>
      <c r="D177" s="43">
        <f t="shared" si="33"/>
        <v>0</v>
      </c>
      <c r="E177" s="43">
        <f t="shared" si="33"/>
        <v>0</v>
      </c>
      <c r="F177" s="43">
        <f t="shared" si="33"/>
        <v>0</v>
      </c>
      <c r="G177" s="43">
        <f t="shared" si="33"/>
        <v>0</v>
      </c>
      <c r="H177" s="43">
        <f t="shared" si="33"/>
        <v>0</v>
      </c>
      <c r="I177" s="43">
        <f t="shared" si="33"/>
        <v>0</v>
      </c>
    </row>
    <row r="178" spans="1:9" x14ac:dyDescent="0.2">
      <c r="A178" s="39">
        <f>A177+1</f>
        <v>27</v>
      </c>
      <c r="B178" s="39" t="s">
        <v>154</v>
      </c>
      <c r="D178" s="43">
        <f t="shared" si="33"/>
        <v>0</v>
      </c>
      <c r="E178" s="43">
        <f t="shared" si="33"/>
        <v>0</v>
      </c>
      <c r="F178" s="43">
        <f t="shared" si="33"/>
        <v>0</v>
      </c>
      <c r="G178" s="43">
        <f t="shared" si="33"/>
        <v>0</v>
      </c>
      <c r="H178" s="43">
        <f t="shared" si="33"/>
        <v>0</v>
      </c>
      <c r="I178" s="43">
        <f t="shared" si="33"/>
        <v>0</v>
      </c>
    </row>
    <row r="179" spans="1:9" x14ac:dyDescent="0.2">
      <c r="D179" s="41"/>
      <c r="E179" s="41"/>
      <c r="F179" s="41"/>
      <c r="G179" s="41"/>
      <c r="H179" s="41"/>
      <c r="I179" s="41"/>
    </row>
    <row r="180" spans="1:9" x14ac:dyDescent="0.2">
      <c r="A180" s="39">
        <f>A178+1</f>
        <v>28</v>
      </c>
      <c r="B180" s="42" t="s">
        <v>159</v>
      </c>
      <c r="C180" s="42"/>
      <c r="D180" s="43">
        <f t="shared" ref="D180:I180" si="34">D40-D110</f>
        <v>0</v>
      </c>
      <c r="E180" s="43">
        <f t="shared" si="34"/>
        <v>0</v>
      </c>
      <c r="F180" s="43">
        <f t="shared" si="34"/>
        <v>0</v>
      </c>
      <c r="G180" s="43">
        <f t="shared" si="34"/>
        <v>0</v>
      </c>
      <c r="H180" s="43">
        <f t="shared" si="34"/>
        <v>0</v>
      </c>
      <c r="I180" s="43">
        <f t="shared" si="34"/>
        <v>0</v>
      </c>
    </row>
    <row r="181" spans="1:9" x14ac:dyDescent="0.2">
      <c r="B181" s="42"/>
      <c r="C181" s="42"/>
      <c r="D181" s="41"/>
      <c r="E181" s="41"/>
      <c r="F181" s="41"/>
      <c r="G181" s="41"/>
      <c r="H181" s="41"/>
      <c r="I181" s="41"/>
    </row>
    <row r="182" spans="1:9" x14ac:dyDescent="0.2">
      <c r="B182" s="42" t="s">
        <v>157</v>
      </c>
      <c r="C182" s="42"/>
      <c r="D182" s="41"/>
      <c r="E182" s="41"/>
      <c r="F182" s="41"/>
      <c r="G182" s="41"/>
      <c r="H182" s="41"/>
      <c r="I182" s="41"/>
    </row>
    <row r="183" spans="1:9" x14ac:dyDescent="0.2">
      <c r="A183" s="39">
        <f>A180+1</f>
        <v>29</v>
      </c>
      <c r="B183" s="39" t="s">
        <v>141</v>
      </c>
      <c r="D183" s="43">
        <f t="shared" ref="D183:I185" si="35">D43-D113</f>
        <v>0</v>
      </c>
      <c r="E183" s="43">
        <f t="shared" si="35"/>
        <v>0</v>
      </c>
      <c r="F183" s="43">
        <f t="shared" si="35"/>
        <v>0</v>
      </c>
      <c r="G183" s="43">
        <f t="shared" si="35"/>
        <v>0</v>
      </c>
      <c r="H183" s="43">
        <f t="shared" si="35"/>
        <v>0</v>
      </c>
      <c r="I183" s="43">
        <f t="shared" si="35"/>
        <v>0</v>
      </c>
    </row>
    <row r="184" spans="1:9" x14ac:dyDescent="0.2">
      <c r="A184" s="39">
        <f>A183+1</f>
        <v>30</v>
      </c>
      <c r="B184" s="42" t="s">
        <v>167</v>
      </c>
      <c r="C184" s="42"/>
      <c r="D184" s="43">
        <f t="shared" si="35"/>
        <v>0</v>
      </c>
      <c r="E184" s="43">
        <f t="shared" si="35"/>
        <v>0</v>
      </c>
      <c r="F184" s="43">
        <f t="shared" si="35"/>
        <v>0</v>
      </c>
      <c r="G184" s="43">
        <f t="shared" si="35"/>
        <v>0</v>
      </c>
      <c r="H184" s="43">
        <f t="shared" si="35"/>
        <v>0</v>
      </c>
      <c r="I184" s="43">
        <f t="shared" si="35"/>
        <v>0</v>
      </c>
    </row>
    <row r="185" spans="1:9" x14ac:dyDescent="0.2">
      <c r="A185" s="39">
        <f>A184+1</f>
        <v>31</v>
      </c>
      <c r="B185" s="39" t="s">
        <v>142</v>
      </c>
      <c r="D185" s="43">
        <f t="shared" si="35"/>
        <v>0</v>
      </c>
      <c r="E185" s="43">
        <f t="shared" si="35"/>
        <v>0</v>
      </c>
      <c r="F185" s="43">
        <f t="shared" si="35"/>
        <v>0</v>
      </c>
      <c r="G185" s="43">
        <f t="shared" si="35"/>
        <v>0</v>
      </c>
      <c r="H185" s="43">
        <f t="shared" si="35"/>
        <v>0</v>
      </c>
      <c r="I185" s="43">
        <f t="shared" si="35"/>
        <v>0</v>
      </c>
    </row>
    <row r="186" spans="1:9" x14ac:dyDescent="0.2">
      <c r="B186" s="42" t="s">
        <v>171</v>
      </c>
      <c r="D186" s="43"/>
      <c r="E186" s="43"/>
      <c r="F186" s="43"/>
      <c r="G186" s="43"/>
      <c r="H186" s="43"/>
      <c r="I186" s="43"/>
    </row>
    <row r="187" spans="1:9" x14ac:dyDescent="0.2">
      <c r="A187" s="39">
        <f>A185+1</f>
        <v>32</v>
      </c>
      <c r="C187" s="39" t="s">
        <v>143</v>
      </c>
      <c r="D187" s="43">
        <f t="shared" ref="D187:I199" si="36">D47-D117</f>
        <v>0</v>
      </c>
      <c r="E187" s="43">
        <f t="shared" si="36"/>
        <v>0</v>
      </c>
      <c r="F187" s="43">
        <f t="shared" si="36"/>
        <v>0</v>
      </c>
      <c r="G187" s="43">
        <f t="shared" si="36"/>
        <v>0</v>
      </c>
      <c r="H187" s="43">
        <f t="shared" si="36"/>
        <v>0</v>
      </c>
      <c r="I187" s="43">
        <f t="shared" si="36"/>
        <v>0</v>
      </c>
    </row>
    <row r="188" spans="1:9" x14ac:dyDescent="0.2">
      <c r="A188" s="39">
        <f t="shared" ref="A188:A199" si="37">A187+1</f>
        <v>33</v>
      </c>
      <c r="C188" s="39" t="s">
        <v>144</v>
      </c>
      <c r="D188" s="43">
        <f t="shared" si="36"/>
        <v>0</v>
      </c>
      <c r="E188" s="43">
        <f t="shared" si="36"/>
        <v>0</v>
      </c>
      <c r="F188" s="43">
        <f t="shared" si="36"/>
        <v>0</v>
      </c>
      <c r="G188" s="43">
        <f t="shared" si="36"/>
        <v>0</v>
      </c>
      <c r="H188" s="43">
        <f t="shared" si="36"/>
        <v>0</v>
      </c>
      <c r="I188" s="43">
        <f t="shared" si="36"/>
        <v>0</v>
      </c>
    </row>
    <row r="189" spans="1:9" x14ac:dyDescent="0.2">
      <c r="A189" s="39">
        <f t="shared" si="37"/>
        <v>34</v>
      </c>
      <c r="B189" s="42"/>
      <c r="C189" s="42" t="s">
        <v>170</v>
      </c>
      <c r="D189" s="43">
        <f t="shared" si="36"/>
        <v>0</v>
      </c>
      <c r="E189" s="43">
        <f t="shared" si="36"/>
        <v>0</v>
      </c>
      <c r="F189" s="43">
        <f t="shared" si="36"/>
        <v>0</v>
      </c>
      <c r="G189" s="43">
        <f t="shared" si="36"/>
        <v>0</v>
      </c>
      <c r="H189" s="43">
        <f t="shared" si="36"/>
        <v>0</v>
      </c>
      <c r="I189" s="43">
        <f t="shared" si="36"/>
        <v>0</v>
      </c>
    </row>
    <row r="190" spans="1:9" x14ac:dyDescent="0.2">
      <c r="A190" s="39">
        <f t="shared" si="37"/>
        <v>35</v>
      </c>
      <c r="B190" s="39" t="s">
        <v>145</v>
      </c>
      <c r="D190" s="43">
        <f t="shared" si="36"/>
        <v>0</v>
      </c>
      <c r="E190" s="43">
        <f t="shared" si="36"/>
        <v>0</v>
      </c>
      <c r="F190" s="43">
        <f t="shared" si="36"/>
        <v>0</v>
      </c>
      <c r="G190" s="43">
        <f t="shared" si="36"/>
        <v>0</v>
      </c>
      <c r="H190" s="43">
        <f t="shared" si="36"/>
        <v>0</v>
      </c>
      <c r="I190" s="43">
        <f t="shared" si="36"/>
        <v>0</v>
      </c>
    </row>
    <row r="191" spans="1:9" x14ac:dyDescent="0.2">
      <c r="A191" s="39">
        <f t="shared" si="37"/>
        <v>36</v>
      </c>
      <c r="B191" s="39" t="s">
        <v>146</v>
      </c>
      <c r="D191" s="43">
        <f t="shared" si="36"/>
        <v>0</v>
      </c>
      <c r="E191" s="43">
        <f t="shared" si="36"/>
        <v>0</v>
      </c>
      <c r="F191" s="43">
        <f t="shared" si="36"/>
        <v>0</v>
      </c>
      <c r="G191" s="43">
        <f t="shared" si="36"/>
        <v>0</v>
      </c>
      <c r="H191" s="43">
        <f t="shared" si="36"/>
        <v>0</v>
      </c>
      <c r="I191" s="43">
        <f t="shared" si="36"/>
        <v>0</v>
      </c>
    </row>
    <row r="192" spans="1:9" x14ac:dyDescent="0.2">
      <c r="A192" s="39">
        <f t="shared" si="37"/>
        <v>37</v>
      </c>
      <c r="B192" s="39" t="s">
        <v>148</v>
      </c>
      <c r="D192" s="43">
        <f t="shared" si="36"/>
        <v>0</v>
      </c>
      <c r="E192" s="43">
        <f t="shared" si="36"/>
        <v>0</v>
      </c>
      <c r="F192" s="43">
        <f t="shared" si="36"/>
        <v>0</v>
      </c>
      <c r="G192" s="43">
        <f t="shared" si="36"/>
        <v>0</v>
      </c>
      <c r="H192" s="43">
        <f t="shared" si="36"/>
        <v>0</v>
      </c>
      <c r="I192" s="43">
        <f t="shared" si="36"/>
        <v>0</v>
      </c>
    </row>
    <row r="193" spans="1:9" x14ac:dyDescent="0.2">
      <c r="A193" s="39">
        <f t="shared" si="37"/>
        <v>38</v>
      </c>
      <c r="B193" s="39" t="s">
        <v>244</v>
      </c>
      <c r="D193" s="43">
        <f t="shared" si="36"/>
        <v>0</v>
      </c>
      <c r="E193" s="43">
        <f t="shared" si="36"/>
        <v>0</v>
      </c>
      <c r="F193" s="43">
        <f t="shared" si="36"/>
        <v>0</v>
      </c>
      <c r="G193" s="43">
        <f t="shared" si="36"/>
        <v>0</v>
      </c>
      <c r="H193" s="43">
        <f t="shared" si="36"/>
        <v>0</v>
      </c>
      <c r="I193" s="43">
        <f t="shared" si="36"/>
        <v>0</v>
      </c>
    </row>
    <row r="194" spans="1:9" x14ac:dyDescent="0.2">
      <c r="A194" s="39">
        <f t="shared" si="37"/>
        <v>39</v>
      </c>
      <c r="B194" s="39" t="s">
        <v>147</v>
      </c>
      <c r="D194" s="43">
        <f t="shared" si="36"/>
        <v>0</v>
      </c>
      <c r="E194" s="43">
        <f t="shared" si="36"/>
        <v>0</v>
      </c>
      <c r="F194" s="43">
        <f t="shared" si="36"/>
        <v>0</v>
      </c>
      <c r="G194" s="43">
        <f t="shared" si="36"/>
        <v>0</v>
      </c>
      <c r="H194" s="43">
        <f t="shared" si="36"/>
        <v>0</v>
      </c>
      <c r="I194" s="43">
        <f t="shared" si="36"/>
        <v>0</v>
      </c>
    </row>
    <row r="195" spans="1:9" x14ac:dyDescent="0.2">
      <c r="A195" s="39">
        <f t="shared" si="37"/>
        <v>40</v>
      </c>
      <c r="B195" s="39" t="s">
        <v>149</v>
      </c>
      <c r="D195" s="43">
        <f t="shared" si="36"/>
        <v>0</v>
      </c>
      <c r="E195" s="43">
        <f t="shared" si="36"/>
        <v>0</v>
      </c>
      <c r="F195" s="43">
        <f t="shared" si="36"/>
        <v>0</v>
      </c>
      <c r="G195" s="43">
        <f t="shared" si="36"/>
        <v>0</v>
      </c>
      <c r="H195" s="43">
        <f t="shared" si="36"/>
        <v>0</v>
      </c>
      <c r="I195" s="43">
        <f t="shared" si="36"/>
        <v>0</v>
      </c>
    </row>
    <row r="196" spans="1:9" x14ac:dyDescent="0.2">
      <c r="A196" s="39">
        <f t="shared" si="37"/>
        <v>41</v>
      </c>
      <c r="B196" s="42" t="s">
        <v>173</v>
      </c>
      <c r="D196" s="43">
        <f t="shared" si="36"/>
        <v>0</v>
      </c>
      <c r="E196" s="43">
        <f t="shared" si="36"/>
        <v>0</v>
      </c>
      <c r="F196" s="43">
        <f t="shared" si="36"/>
        <v>0</v>
      </c>
      <c r="G196" s="43">
        <f t="shared" si="36"/>
        <v>0</v>
      </c>
      <c r="H196" s="43">
        <f t="shared" si="36"/>
        <v>0</v>
      </c>
      <c r="I196" s="43">
        <f t="shared" si="36"/>
        <v>0</v>
      </c>
    </row>
    <row r="197" spans="1:9" x14ac:dyDescent="0.2">
      <c r="A197" s="39">
        <f t="shared" si="37"/>
        <v>42</v>
      </c>
      <c r="B197" s="42" t="s">
        <v>168</v>
      </c>
      <c r="C197" s="42"/>
      <c r="D197" s="43">
        <f t="shared" si="36"/>
        <v>0</v>
      </c>
      <c r="E197" s="43">
        <f t="shared" si="36"/>
        <v>0</v>
      </c>
      <c r="F197" s="43">
        <f t="shared" si="36"/>
        <v>0</v>
      </c>
      <c r="G197" s="43">
        <f t="shared" si="36"/>
        <v>0</v>
      </c>
      <c r="H197" s="43">
        <f t="shared" si="36"/>
        <v>0</v>
      </c>
      <c r="I197" s="43">
        <f t="shared" si="36"/>
        <v>0</v>
      </c>
    </row>
    <row r="198" spans="1:9" x14ac:dyDescent="0.2">
      <c r="A198" s="39">
        <f t="shared" si="37"/>
        <v>43</v>
      </c>
      <c r="B198" s="42" t="s">
        <v>163</v>
      </c>
      <c r="C198" s="42"/>
      <c r="D198" s="43">
        <f t="shared" si="36"/>
        <v>0</v>
      </c>
      <c r="E198" s="43">
        <f t="shared" si="36"/>
        <v>0</v>
      </c>
      <c r="F198" s="43">
        <f t="shared" si="36"/>
        <v>0</v>
      </c>
      <c r="G198" s="43">
        <f t="shared" si="36"/>
        <v>0</v>
      </c>
      <c r="H198" s="43">
        <f t="shared" si="36"/>
        <v>0</v>
      </c>
      <c r="I198" s="43">
        <f t="shared" si="36"/>
        <v>0</v>
      </c>
    </row>
    <row r="199" spans="1:9" x14ac:dyDescent="0.2">
      <c r="A199" s="39">
        <f t="shared" si="37"/>
        <v>44</v>
      </c>
      <c r="B199" s="39" t="s">
        <v>151</v>
      </c>
      <c r="D199" s="43">
        <f t="shared" si="36"/>
        <v>0</v>
      </c>
      <c r="E199" s="43">
        <f t="shared" si="36"/>
        <v>0</v>
      </c>
      <c r="F199" s="43">
        <f t="shared" si="36"/>
        <v>0</v>
      </c>
      <c r="G199" s="43">
        <f t="shared" si="36"/>
        <v>0</v>
      </c>
      <c r="H199" s="43">
        <f t="shared" si="36"/>
        <v>0</v>
      </c>
      <c r="I199" s="43">
        <f t="shared" si="36"/>
        <v>0</v>
      </c>
    </row>
    <row r="200" spans="1:9" x14ac:dyDescent="0.2">
      <c r="B200" s="42" t="s">
        <v>172</v>
      </c>
      <c r="D200" s="43"/>
      <c r="E200" s="43"/>
      <c r="F200" s="43"/>
      <c r="G200" s="43"/>
      <c r="H200" s="43"/>
      <c r="I200" s="43"/>
    </row>
    <row r="201" spans="1:9" x14ac:dyDescent="0.2">
      <c r="A201" s="39">
        <f>A199+1</f>
        <v>45</v>
      </c>
      <c r="B201" s="42"/>
      <c r="C201" s="42" t="s">
        <v>175</v>
      </c>
      <c r="D201" s="43">
        <f t="shared" ref="D201:I205" si="38">D61-D131</f>
        <v>0</v>
      </c>
      <c r="E201" s="43">
        <f t="shared" si="38"/>
        <v>0</v>
      </c>
      <c r="F201" s="43">
        <f t="shared" si="38"/>
        <v>0</v>
      </c>
      <c r="G201" s="43">
        <f t="shared" si="38"/>
        <v>0</v>
      </c>
      <c r="H201" s="43">
        <f t="shared" si="38"/>
        <v>0</v>
      </c>
      <c r="I201" s="43">
        <f t="shared" si="38"/>
        <v>0</v>
      </c>
    </row>
    <row r="202" spans="1:9" x14ac:dyDescent="0.2">
      <c r="A202" s="39">
        <f>A201+1</f>
        <v>46</v>
      </c>
      <c r="B202" s="42"/>
      <c r="C202" s="42" t="s">
        <v>182</v>
      </c>
      <c r="D202" s="43">
        <f t="shared" si="38"/>
        <v>0</v>
      </c>
      <c r="E202" s="43">
        <f t="shared" si="38"/>
        <v>0</v>
      </c>
      <c r="F202" s="43">
        <f t="shared" si="38"/>
        <v>0</v>
      </c>
      <c r="G202" s="43">
        <f t="shared" si="38"/>
        <v>0</v>
      </c>
      <c r="H202" s="43">
        <f t="shared" si="38"/>
        <v>0</v>
      </c>
      <c r="I202" s="43">
        <f t="shared" si="38"/>
        <v>0</v>
      </c>
    </row>
    <row r="203" spans="1:9" x14ac:dyDescent="0.2">
      <c r="A203" s="39">
        <f>A202+1</f>
        <v>47</v>
      </c>
      <c r="B203" s="42"/>
      <c r="C203" s="42" t="s">
        <v>201</v>
      </c>
      <c r="D203" s="43">
        <f t="shared" si="38"/>
        <v>0</v>
      </c>
      <c r="E203" s="43">
        <f t="shared" si="38"/>
        <v>0</v>
      </c>
      <c r="F203" s="43">
        <f t="shared" si="38"/>
        <v>0</v>
      </c>
      <c r="G203" s="43">
        <f t="shared" si="38"/>
        <v>0</v>
      </c>
      <c r="H203" s="43">
        <f t="shared" si="38"/>
        <v>0</v>
      </c>
      <c r="I203" s="43">
        <f t="shared" si="38"/>
        <v>0</v>
      </c>
    </row>
    <row r="204" spans="1:9" x14ac:dyDescent="0.2">
      <c r="A204" s="39">
        <f>A203+1</f>
        <v>48</v>
      </c>
      <c r="B204" s="42"/>
      <c r="C204" s="42" t="s">
        <v>183</v>
      </c>
      <c r="D204" s="43">
        <f t="shared" si="38"/>
        <v>0</v>
      </c>
      <c r="E204" s="43">
        <f t="shared" si="38"/>
        <v>0</v>
      </c>
      <c r="F204" s="43">
        <f t="shared" si="38"/>
        <v>0</v>
      </c>
      <c r="G204" s="43">
        <f t="shared" si="38"/>
        <v>0</v>
      </c>
      <c r="H204" s="43">
        <f t="shared" si="38"/>
        <v>0</v>
      </c>
      <c r="I204" s="43">
        <f t="shared" si="38"/>
        <v>0</v>
      </c>
    </row>
    <row r="205" spans="1:9" x14ac:dyDescent="0.2">
      <c r="A205" s="39">
        <f>A204+1</f>
        <v>49</v>
      </c>
      <c r="B205" s="42"/>
      <c r="C205" s="42"/>
      <c r="D205" s="43">
        <f t="shared" si="38"/>
        <v>0</v>
      </c>
      <c r="E205" s="43">
        <f t="shared" si="38"/>
        <v>0</v>
      </c>
      <c r="F205" s="43">
        <f t="shared" si="38"/>
        <v>0</v>
      </c>
      <c r="G205" s="43">
        <f t="shared" si="38"/>
        <v>0</v>
      </c>
      <c r="H205" s="43">
        <f t="shared" si="38"/>
        <v>0</v>
      </c>
      <c r="I205" s="43">
        <f t="shared" si="38"/>
        <v>0</v>
      </c>
    </row>
    <row r="206" spans="1:9" x14ac:dyDescent="0.2">
      <c r="D206" s="41"/>
      <c r="E206" s="41"/>
      <c r="F206" s="41"/>
      <c r="G206" s="41"/>
      <c r="H206" s="41"/>
      <c r="I206" s="41"/>
    </row>
    <row r="207" spans="1:9" x14ac:dyDescent="0.2">
      <c r="A207" s="39">
        <f>A205+1</f>
        <v>50</v>
      </c>
      <c r="B207" s="42" t="s">
        <v>184</v>
      </c>
      <c r="C207" s="42"/>
      <c r="D207" s="43">
        <f t="shared" ref="D207:I209" si="39">D67-D137</f>
        <v>0</v>
      </c>
      <c r="E207" s="43">
        <f t="shared" si="39"/>
        <v>0</v>
      </c>
      <c r="F207" s="43">
        <f t="shared" si="39"/>
        <v>0</v>
      </c>
      <c r="G207" s="43">
        <f t="shared" si="39"/>
        <v>0</v>
      </c>
      <c r="H207" s="43">
        <f t="shared" si="39"/>
        <v>0</v>
      </c>
      <c r="I207" s="43">
        <f t="shared" si="39"/>
        <v>0</v>
      </c>
    </row>
    <row r="208" spans="1:9" x14ac:dyDescent="0.2">
      <c r="A208" s="39">
        <f>A207+1</f>
        <v>51</v>
      </c>
      <c r="B208" s="42" t="s">
        <v>160</v>
      </c>
      <c r="C208" s="42"/>
      <c r="D208" s="43">
        <f t="shared" si="39"/>
        <v>0</v>
      </c>
      <c r="E208" s="43">
        <f t="shared" si="39"/>
        <v>0</v>
      </c>
      <c r="F208" s="43">
        <f t="shared" si="39"/>
        <v>0</v>
      </c>
      <c r="G208" s="43">
        <f t="shared" si="39"/>
        <v>0</v>
      </c>
      <c r="H208" s="43">
        <f t="shared" si="39"/>
        <v>0</v>
      </c>
      <c r="I208" s="43">
        <f t="shared" si="39"/>
        <v>0</v>
      </c>
    </row>
    <row r="209" spans="1:9" x14ac:dyDescent="0.2">
      <c r="A209" s="39">
        <f>A208+1</f>
        <v>52</v>
      </c>
      <c r="B209" s="42" t="s">
        <v>161</v>
      </c>
      <c r="C209" s="42"/>
      <c r="D209" s="43">
        <f t="shared" si="39"/>
        <v>0</v>
      </c>
      <c r="E209" s="43">
        <f t="shared" si="39"/>
        <v>0</v>
      </c>
      <c r="F209" s="43">
        <f t="shared" si="39"/>
        <v>0</v>
      </c>
      <c r="G209" s="43">
        <f t="shared" si="39"/>
        <v>0</v>
      </c>
      <c r="H209" s="43">
        <f t="shared" si="39"/>
        <v>0</v>
      </c>
      <c r="I209" s="43">
        <f t="shared" si="39"/>
        <v>0</v>
      </c>
    </row>
    <row r="210" spans="1:9" x14ac:dyDescent="0.2">
      <c r="B210" s="42"/>
      <c r="C210" s="42"/>
      <c r="D210" s="43"/>
      <c r="E210" s="43"/>
      <c r="F210" s="43"/>
      <c r="G210" s="43"/>
      <c r="H210" s="43"/>
      <c r="I210" s="43"/>
    </row>
    <row r="211" spans="1:9" x14ac:dyDescent="0.2">
      <c r="A211" s="39">
        <f>A209+1</f>
        <v>53</v>
      </c>
      <c r="B211" s="42" t="s">
        <v>166</v>
      </c>
      <c r="C211" s="42"/>
      <c r="D211" s="43">
        <f t="shared" ref="D211:I211" si="40">D71-D141</f>
        <v>0</v>
      </c>
      <c r="E211" s="43">
        <f t="shared" si="40"/>
        <v>0</v>
      </c>
      <c r="F211" s="43">
        <f t="shared" si="40"/>
        <v>0</v>
      </c>
      <c r="G211" s="43">
        <f t="shared" si="40"/>
        <v>0</v>
      </c>
      <c r="H211" s="43">
        <f t="shared" si="40"/>
        <v>0</v>
      </c>
      <c r="I211" s="43">
        <f t="shared" si="40"/>
        <v>0</v>
      </c>
    </row>
  </sheetData>
  <phoneticPr fontId="1" type="noConversion"/>
  <printOptions horizontalCentered="1" gridLines="1"/>
  <pageMargins left="0.5" right="0.25" top="1" bottom="0.5" header="0.5" footer="0.25"/>
  <pageSetup scale="73" fitToHeight="3" orientation="portrait" horizontalDpi="300" verticalDpi="300" r:id="rId1"/>
  <headerFooter alignWithMargins="0">
    <oddHeader>&amp;L&amp;"Arial,Bold"DEPT of EDUCATION
Program Finance Div.&amp;C&amp;"Arial,Bold"&amp;A GENERAL EDUCATION
*** FINAL ***&amp;R&amp;"Arial,Bold"&amp;D
&amp;T</oddHeader>
    <oddFooter>&amp;L&amp;"Arial,Regular"&amp;F&amp;R&amp;"Arial,Regular"&amp;A</oddFooter>
  </headerFooter>
  <rowBreaks count="2" manualBreakCount="2">
    <brk id="72" max="9" man="1"/>
    <brk id="142" max="9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211"/>
  <sheetViews>
    <sheetView zoomScaleNormal="100" zoomScaleSheetLayoutView="85" workbookViewId="0">
      <pane xSplit="3" ySplit="4" topLeftCell="D5" activePane="bottomRight" state="frozen"/>
      <selection activeCell="C139" sqref="C139"/>
      <selection pane="topRight" activeCell="C139" sqref="C139"/>
      <selection pane="bottomLeft" activeCell="C139" sqref="C139"/>
      <selection pane="bottomRight" activeCell="A2" sqref="A2"/>
    </sheetView>
  </sheetViews>
  <sheetFormatPr defaultColWidth="8" defaultRowHeight="12.75" x14ac:dyDescent="0.2"/>
  <cols>
    <col min="1" max="1" width="4.125" style="39" customWidth="1"/>
    <col min="2" max="2" width="2.25" style="39" customWidth="1"/>
    <col min="3" max="3" width="28.625" style="39" customWidth="1"/>
    <col min="4" max="9" width="13.625" style="39" customWidth="1"/>
    <col min="10" max="10" width="9.75" style="39" bestFit="1" customWidth="1"/>
    <col min="11" max="16384" width="8" style="39"/>
  </cols>
  <sheetData>
    <row r="1" spans="1:9" x14ac:dyDescent="0.2">
      <c r="A1" s="42" t="s">
        <v>362</v>
      </c>
    </row>
    <row r="3" spans="1:9" x14ac:dyDescent="0.2">
      <c r="A3" s="156" t="s">
        <v>361</v>
      </c>
      <c r="B3" s="156"/>
      <c r="C3" s="157"/>
      <c r="D3" s="158" t="s">
        <v>176</v>
      </c>
      <c r="E3" s="158" t="s">
        <v>181</v>
      </c>
      <c r="F3" s="158" t="s">
        <v>177</v>
      </c>
      <c r="G3" s="158" t="s">
        <v>178</v>
      </c>
      <c r="H3" s="158" t="s">
        <v>179</v>
      </c>
      <c r="I3" s="158" t="s">
        <v>180</v>
      </c>
    </row>
    <row r="5" spans="1:9" x14ac:dyDescent="0.2">
      <c r="A5" s="39">
        <v>1</v>
      </c>
      <c r="B5" s="39" t="s">
        <v>140</v>
      </c>
      <c r="D5" s="41">
        <f>'Pupil Data'!C40</f>
        <v>926532</v>
      </c>
      <c r="E5" s="41">
        <v>0</v>
      </c>
      <c r="F5" s="41">
        <f>'Pupil Data'!D40</f>
        <v>0</v>
      </c>
      <c r="G5" s="41">
        <f>'Pupil Data'!E40</f>
        <v>26756</v>
      </c>
      <c r="H5" s="41">
        <f>'Pupil Data'!F40</f>
        <v>0</v>
      </c>
      <c r="I5" s="41">
        <f>SUM(D5:H5)</f>
        <v>953288</v>
      </c>
    </row>
    <row r="7" spans="1:9" x14ac:dyDescent="0.2">
      <c r="B7" s="42" t="s">
        <v>155</v>
      </c>
      <c r="D7" s="40"/>
      <c r="E7" s="40"/>
      <c r="F7" s="40"/>
      <c r="G7" s="40"/>
      <c r="H7" s="40"/>
      <c r="I7" s="40"/>
    </row>
    <row r="8" spans="1:9" x14ac:dyDescent="0.2">
      <c r="A8" s="39">
        <f>A5+1</f>
        <v>2</v>
      </c>
      <c r="B8" s="39" t="s">
        <v>141</v>
      </c>
      <c r="D8" s="41">
        <v>4608596779</v>
      </c>
      <c r="E8" s="41">
        <v>0</v>
      </c>
      <c r="F8" s="41">
        <f>ROUND(4974*F5,0)</f>
        <v>0</v>
      </c>
      <c r="G8" s="41">
        <v>133080116</v>
      </c>
      <c r="H8" s="41">
        <f>ROUND(4974*H5,0)</f>
        <v>0</v>
      </c>
      <c r="I8" s="41">
        <f>SUM(D8:H8)</f>
        <v>4741676895</v>
      </c>
    </row>
    <row r="9" spans="1:9" x14ac:dyDescent="0.2">
      <c r="A9" s="39">
        <f>A8+1</f>
        <v>3</v>
      </c>
      <c r="B9" s="42" t="s">
        <v>167</v>
      </c>
      <c r="C9" s="42"/>
      <c r="D9" s="41">
        <v>8338836</v>
      </c>
      <c r="E9" s="41">
        <v>0</v>
      </c>
      <c r="F9" s="41">
        <f>ROUND(9*F5,0)</f>
        <v>0</v>
      </c>
      <c r="G9" s="41">
        <v>240796</v>
      </c>
      <c r="H9" s="41">
        <f>ROUND(9*H5,0)</f>
        <v>0</v>
      </c>
      <c r="I9" s="41">
        <f>SUM(D9:H9)</f>
        <v>8579632</v>
      </c>
    </row>
    <row r="10" spans="1:9" x14ac:dyDescent="0.2">
      <c r="A10" s="39">
        <f>A9+1</f>
        <v>4</v>
      </c>
      <c r="B10" s="39" t="s">
        <v>142</v>
      </c>
      <c r="D10" s="41">
        <v>54234932</v>
      </c>
      <c r="E10" s="41">
        <v>0</v>
      </c>
      <c r="F10" s="41">
        <f>ROUND(4601*'Pupil Data'!D126,0)</f>
        <v>0</v>
      </c>
      <c r="G10" s="41">
        <v>1202057</v>
      </c>
      <c r="H10" s="41">
        <f>ROUND(4601*'Pupil Data'!F126,0)</f>
        <v>0</v>
      </c>
      <c r="I10" s="41">
        <f>SUM(D10:H10)</f>
        <v>55436989</v>
      </c>
    </row>
    <row r="11" spans="1:9" x14ac:dyDescent="0.2">
      <c r="B11" s="42" t="s">
        <v>171</v>
      </c>
      <c r="D11" s="41"/>
      <c r="E11" s="41"/>
      <c r="F11" s="41"/>
      <c r="G11" s="41"/>
      <c r="H11" s="41"/>
      <c r="I11" s="41"/>
    </row>
    <row r="12" spans="1:9" x14ac:dyDescent="0.2">
      <c r="A12" s="39">
        <f>A10+1</f>
        <v>5</v>
      </c>
      <c r="C12" s="39" t="s">
        <v>143</v>
      </c>
      <c r="D12" s="41">
        <v>291070678</v>
      </c>
      <c r="E12" s="41">
        <v>0</v>
      </c>
      <c r="F12" s="41">
        <v>0</v>
      </c>
      <c r="G12" s="41">
        <v>24401227</v>
      </c>
      <c r="H12" s="41">
        <v>0</v>
      </c>
      <c r="I12" s="41">
        <f t="shared" ref="I12:I23" si="0">SUM(D12:H12)</f>
        <v>315471905</v>
      </c>
    </row>
    <row r="13" spans="1:9" x14ac:dyDescent="0.2">
      <c r="A13" s="39">
        <f t="shared" ref="A13:A23" si="1">A12+1</f>
        <v>6</v>
      </c>
      <c r="C13" s="39" t="s">
        <v>144</v>
      </c>
      <c r="D13" s="41">
        <v>28520597</v>
      </c>
      <c r="E13" s="41">
        <v>0</v>
      </c>
      <c r="F13" s="41">
        <f>ROUND(700*'Pupil Data'!D155,0)</f>
        <v>0</v>
      </c>
      <c r="G13" s="41">
        <v>2953657</v>
      </c>
      <c r="H13" s="41">
        <f>ROUND(700*'Pupil Data'!F155,0)</f>
        <v>0</v>
      </c>
      <c r="I13" s="41">
        <f t="shared" si="0"/>
        <v>31474254</v>
      </c>
    </row>
    <row r="14" spans="1:9" x14ac:dyDescent="0.2">
      <c r="A14" s="39">
        <f t="shared" si="1"/>
        <v>7</v>
      </c>
      <c r="B14" s="42"/>
      <c r="C14" s="42" t="s">
        <v>170</v>
      </c>
      <c r="D14" s="41">
        <v>7115538</v>
      </c>
      <c r="E14" s="41">
        <v>0</v>
      </c>
      <c r="F14" s="41">
        <f>ROUND(D14/'Pupil Data'!C141*'Pupil Data'!D141,0)</f>
        <v>0</v>
      </c>
      <c r="G14" s="41">
        <v>942075</v>
      </c>
      <c r="H14" s="41">
        <f>ROUND(G14/'Pupil Data'!E141*'Pupil Data'!F141,0)</f>
        <v>0</v>
      </c>
      <c r="I14" s="41">
        <f t="shared" si="0"/>
        <v>8057613</v>
      </c>
    </row>
    <row r="15" spans="1:9" x14ac:dyDescent="0.2">
      <c r="A15" s="39">
        <f t="shared" si="1"/>
        <v>8</v>
      </c>
      <c r="B15" s="39" t="s">
        <v>145</v>
      </c>
      <c r="D15" s="41">
        <v>19685696</v>
      </c>
      <c r="E15" s="41">
        <v>0</v>
      </c>
      <c r="F15" s="41">
        <f>ROUND(D15/D5*F5,0)</f>
        <v>0</v>
      </c>
      <c r="G15" s="41">
        <v>568537</v>
      </c>
      <c r="H15" s="41">
        <f>ROUND(G15/G5*H5,0)</f>
        <v>0</v>
      </c>
      <c r="I15" s="41">
        <f t="shared" si="0"/>
        <v>20254233</v>
      </c>
    </row>
    <row r="16" spans="1:9" x14ac:dyDescent="0.2">
      <c r="A16" s="39">
        <f t="shared" si="1"/>
        <v>9</v>
      </c>
      <c r="B16" s="39" t="s">
        <v>146</v>
      </c>
      <c r="D16" s="41">
        <v>58494223</v>
      </c>
      <c r="E16" s="41">
        <v>0</v>
      </c>
      <c r="F16" s="41">
        <f>ROUND(D16/D5*F5,0)</f>
        <v>0</v>
      </c>
      <c r="G16" s="41">
        <v>727565</v>
      </c>
      <c r="H16" s="41">
        <f>ROUND(G16/G5*H5,0)</f>
        <v>0</v>
      </c>
      <c r="I16" s="41">
        <f t="shared" si="0"/>
        <v>59221788</v>
      </c>
    </row>
    <row r="17" spans="1:10" x14ac:dyDescent="0.2">
      <c r="A17" s="39">
        <f t="shared" si="1"/>
        <v>10</v>
      </c>
      <c r="B17" s="39" t="s">
        <v>148</v>
      </c>
      <c r="D17" s="41">
        <v>4232157</v>
      </c>
      <c r="E17" s="41">
        <v>0</v>
      </c>
      <c r="F17" s="41">
        <f>ROUND(D17/D5*F5,0)</f>
        <v>0</v>
      </c>
      <c r="G17" s="41">
        <v>122271</v>
      </c>
      <c r="H17" s="41">
        <f>ROUND(G17/G5*H5,0)</f>
        <v>0</v>
      </c>
      <c r="I17" s="41">
        <f t="shared" si="0"/>
        <v>4354428</v>
      </c>
    </row>
    <row r="18" spans="1:10" x14ac:dyDescent="0.2">
      <c r="A18" s="39">
        <f t="shared" si="1"/>
        <v>11</v>
      </c>
      <c r="B18" s="39" t="s">
        <v>244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f t="shared" si="0"/>
        <v>0</v>
      </c>
    </row>
    <row r="19" spans="1:10" x14ac:dyDescent="0.2">
      <c r="A19" s="39">
        <f t="shared" si="1"/>
        <v>12</v>
      </c>
      <c r="B19" s="39" t="s">
        <v>147</v>
      </c>
      <c r="D19" s="41">
        <v>188660599</v>
      </c>
      <c r="E19" s="41">
        <v>0</v>
      </c>
      <c r="F19" s="41">
        <f>ROUND(D19/D5*F5,0)</f>
        <v>0</v>
      </c>
      <c r="G19" s="41">
        <v>5456425</v>
      </c>
      <c r="H19" s="41">
        <f>ROUND(G19/G5*H5,0)</f>
        <v>0</v>
      </c>
      <c r="I19" s="41">
        <f t="shared" si="0"/>
        <v>194117024</v>
      </c>
    </row>
    <row r="20" spans="1:10" x14ac:dyDescent="0.2">
      <c r="A20" s="39">
        <f t="shared" si="1"/>
        <v>13</v>
      </c>
      <c r="B20" s="39" t="s">
        <v>149</v>
      </c>
      <c r="D20" s="41">
        <v>91628187</v>
      </c>
      <c r="E20" s="41">
        <v>0</v>
      </c>
      <c r="F20" s="41">
        <f>ROUND(D20/D5*F5,0)</f>
        <v>0</v>
      </c>
      <c r="G20" s="41">
        <v>2645882</v>
      </c>
      <c r="H20" s="41">
        <f>ROUND(G20/G5*H5,0)</f>
        <v>0</v>
      </c>
      <c r="I20" s="41">
        <f t="shared" si="0"/>
        <v>94274069</v>
      </c>
    </row>
    <row r="21" spans="1:10" x14ac:dyDescent="0.2">
      <c r="A21" s="39">
        <f t="shared" si="1"/>
        <v>14</v>
      </c>
      <c r="B21" s="42" t="s">
        <v>173</v>
      </c>
      <c r="D21" s="41">
        <v>29311517</v>
      </c>
      <c r="E21" s="41">
        <v>0</v>
      </c>
      <c r="F21" s="41">
        <f>ROUND(D21/D5*F5,0)</f>
        <v>0</v>
      </c>
      <c r="G21" s="41">
        <v>1150997</v>
      </c>
      <c r="H21" s="41">
        <f>ROUND(G21/G5*H5,0)</f>
        <v>0</v>
      </c>
      <c r="I21" s="41">
        <f t="shared" si="0"/>
        <v>30462514</v>
      </c>
    </row>
    <row r="22" spans="1:10" x14ac:dyDescent="0.2">
      <c r="A22" s="39">
        <f t="shared" si="1"/>
        <v>15</v>
      </c>
      <c r="B22" s="42" t="s">
        <v>168</v>
      </c>
      <c r="C22" s="42"/>
      <c r="D22" s="41">
        <v>47666871</v>
      </c>
      <c r="E22" s="41">
        <v>0</v>
      </c>
      <c r="F22" s="41">
        <v>0</v>
      </c>
      <c r="G22" s="41">
        <v>936843</v>
      </c>
      <c r="H22" s="41">
        <v>0</v>
      </c>
      <c r="I22" s="41">
        <f t="shared" si="0"/>
        <v>48603714</v>
      </c>
    </row>
    <row r="23" spans="1:10" x14ac:dyDescent="0.2">
      <c r="A23" s="39">
        <f t="shared" si="1"/>
        <v>16</v>
      </c>
      <c r="B23" s="39" t="s">
        <v>150</v>
      </c>
      <c r="D23" s="41">
        <v>598966155</v>
      </c>
      <c r="E23" s="41">
        <f>E59</f>
        <v>0</v>
      </c>
      <c r="F23" s="41">
        <f>ROUND(D23/'Pupil Data'!C83*'Pupil Data'!D83,0)</f>
        <v>0</v>
      </c>
      <c r="G23" s="41">
        <v>0</v>
      </c>
      <c r="H23" s="41">
        <v>0</v>
      </c>
      <c r="I23" s="41">
        <f t="shared" si="0"/>
        <v>598966155</v>
      </c>
    </row>
    <row r="24" spans="1:10" x14ac:dyDescent="0.2">
      <c r="B24" s="42" t="s">
        <v>172</v>
      </c>
      <c r="D24" s="41"/>
      <c r="E24" s="41"/>
      <c r="F24" s="41"/>
      <c r="G24" s="41"/>
      <c r="H24" s="41"/>
      <c r="I24" s="41"/>
    </row>
    <row r="25" spans="1:10" x14ac:dyDescent="0.2">
      <c r="A25" s="39">
        <f>A23+1</f>
        <v>17</v>
      </c>
      <c r="B25" s="42"/>
      <c r="C25" s="42" t="s">
        <v>175</v>
      </c>
      <c r="D25" s="41">
        <v>-2965060</v>
      </c>
      <c r="E25" s="41">
        <v>0</v>
      </c>
      <c r="F25" s="41">
        <v>0</v>
      </c>
      <c r="G25" s="41">
        <v>2079388</v>
      </c>
      <c r="H25" s="41">
        <f>ROUND(G25/G5*H5,0)</f>
        <v>0</v>
      </c>
      <c r="I25" s="41">
        <f>SUM(D25:H25)</f>
        <v>-885672</v>
      </c>
      <c r="J25" s="98"/>
    </row>
    <row r="26" spans="1:10" x14ac:dyDescent="0.2">
      <c r="A26" s="39">
        <f>A25+1</f>
        <v>18</v>
      </c>
      <c r="B26" s="42"/>
      <c r="C26" s="42" t="s">
        <v>182</v>
      </c>
      <c r="D26" s="41">
        <v>2248629</v>
      </c>
      <c r="E26" s="41">
        <v>0</v>
      </c>
      <c r="F26" s="41">
        <v>0</v>
      </c>
      <c r="G26" s="41">
        <v>-2248629</v>
      </c>
      <c r="H26" s="41">
        <v>0</v>
      </c>
      <c r="I26" s="41">
        <f>SUM(D26:H26)</f>
        <v>0</v>
      </c>
    </row>
    <row r="27" spans="1:10" x14ac:dyDescent="0.2">
      <c r="A27" s="39">
        <f>A26+1</f>
        <v>19</v>
      </c>
      <c r="B27" s="42"/>
      <c r="C27" s="42" t="s">
        <v>201</v>
      </c>
      <c r="D27" s="41">
        <v>36023</v>
      </c>
      <c r="E27" s="41">
        <v>0</v>
      </c>
      <c r="F27" s="41">
        <v>0</v>
      </c>
      <c r="G27" s="41">
        <v>-36023</v>
      </c>
      <c r="H27" s="41">
        <v>0</v>
      </c>
      <c r="I27" s="41">
        <f>SUM(D27:H27)</f>
        <v>0</v>
      </c>
    </row>
    <row r="28" spans="1:10" x14ac:dyDescent="0.2">
      <c r="A28" s="39">
        <f>A27+1</f>
        <v>20</v>
      </c>
      <c r="B28" s="42"/>
      <c r="C28" s="42" t="s">
        <v>183</v>
      </c>
      <c r="D28" s="41">
        <v>503960</v>
      </c>
      <c r="E28" s="41">
        <v>0</v>
      </c>
      <c r="F28" s="41">
        <v>0</v>
      </c>
      <c r="G28" s="41">
        <v>-503960</v>
      </c>
      <c r="H28" s="41">
        <v>0</v>
      </c>
      <c r="I28" s="41">
        <f>SUM(D28:H28)</f>
        <v>0</v>
      </c>
    </row>
    <row r="29" spans="1:10" x14ac:dyDescent="0.2">
      <c r="A29" s="39">
        <f>A28+1</f>
        <v>21</v>
      </c>
      <c r="B29" s="42"/>
      <c r="C29" s="42" t="s">
        <v>251</v>
      </c>
      <c r="D29" s="41">
        <f>-1018371+1017973</f>
        <v>-398</v>
      </c>
      <c r="E29" s="41">
        <v>0</v>
      </c>
      <c r="F29" s="41">
        <v>0</v>
      </c>
      <c r="G29" s="41">
        <v>0</v>
      </c>
      <c r="H29" s="41">
        <v>0</v>
      </c>
      <c r="I29" s="41">
        <f>SUM(D29:H29)</f>
        <v>-398</v>
      </c>
    </row>
    <row r="30" spans="1:10" x14ac:dyDescent="0.2">
      <c r="C30" s="41"/>
      <c r="D30" s="41"/>
      <c r="E30" s="41"/>
      <c r="F30" s="41"/>
      <c r="G30" s="41"/>
      <c r="H30" s="41"/>
      <c r="I30" s="41"/>
    </row>
    <row r="31" spans="1:10" x14ac:dyDescent="0.2">
      <c r="A31" s="39">
        <f>A29+1</f>
        <v>22</v>
      </c>
      <c r="B31" s="42" t="s">
        <v>158</v>
      </c>
      <c r="D31" s="41">
        <f t="shared" ref="D31:I31" si="2">SUM(D8:D29)</f>
        <v>6036345919</v>
      </c>
      <c r="E31" s="41">
        <f t="shared" si="2"/>
        <v>0</v>
      </c>
      <c r="F31" s="41">
        <f t="shared" si="2"/>
        <v>0</v>
      </c>
      <c r="G31" s="41">
        <f t="shared" si="2"/>
        <v>173719224</v>
      </c>
      <c r="H31" s="41">
        <f t="shared" si="2"/>
        <v>0</v>
      </c>
      <c r="I31" s="41">
        <f t="shared" si="2"/>
        <v>6210065143</v>
      </c>
      <c r="J31" s="98"/>
    </row>
    <row r="32" spans="1:10" x14ac:dyDescent="0.2">
      <c r="D32" s="41"/>
      <c r="E32" s="41"/>
      <c r="F32" s="41"/>
      <c r="G32" s="41"/>
      <c r="H32" s="41"/>
      <c r="I32" s="41"/>
    </row>
    <row r="33" spans="1:10" x14ac:dyDescent="0.2">
      <c r="B33" s="42" t="s">
        <v>156</v>
      </c>
      <c r="C33" s="42"/>
      <c r="D33" s="41"/>
      <c r="E33" s="41"/>
      <c r="F33" s="41"/>
      <c r="G33" s="41"/>
      <c r="H33" s="41"/>
      <c r="I33" s="41"/>
    </row>
    <row r="34" spans="1:10" x14ac:dyDescent="0.2">
      <c r="A34" s="39">
        <f>A31+1</f>
        <v>23</v>
      </c>
      <c r="B34" s="39" t="s">
        <v>153</v>
      </c>
      <c r="D34" s="41">
        <v>101934454</v>
      </c>
      <c r="E34" s="41">
        <v>0</v>
      </c>
      <c r="F34" s="41">
        <f>ROUND(D34/D19*F19,0)</f>
        <v>0</v>
      </c>
      <c r="G34" s="41">
        <v>0</v>
      </c>
      <c r="H34" s="41">
        <v>0</v>
      </c>
      <c r="I34" s="41">
        <f>SUM(D34:H34)</f>
        <v>101934454</v>
      </c>
      <c r="J34" s="98"/>
    </row>
    <row r="35" spans="1:10" x14ac:dyDescent="0.2">
      <c r="A35" s="39">
        <f>A34+1</f>
        <v>24</v>
      </c>
      <c r="B35" s="39" t="s">
        <v>152</v>
      </c>
      <c r="D35" s="41">
        <v>63740065</v>
      </c>
      <c r="E35" s="41">
        <v>0</v>
      </c>
      <c r="F35" s="41">
        <f>ROUND(D35/D20*F20,0)</f>
        <v>0</v>
      </c>
      <c r="G35" s="41">
        <v>0</v>
      </c>
      <c r="H35" s="41">
        <v>0</v>
      </c>
      <c r="I35" s="41">
        <f>SUM(D35:H35)</f>
        <v>63740065</v>
      </c>
      <c r="J35" s="98"/>
    </row>
    <row r="36" spans="1:10" x14ac:dyDescent="0.2">
      <c r="A36" s="39">
        <f>A35+1</f>
        <v>25</v>
      </c>
      <c r="B36" s="42" t="s">
        <v>174</v>
      </c>
      <c r="D36" s="41">
        <v>21830489</v>
      </c>
      <c r="E36" s="41">
        <v>0</v>
      </c>
      <c r="F36" s="41">
        <f>ROUND(D36/D21*F21,0)</f>
        <v>0</v>
      </c>
      <c r="G36" s="41">
        <v>0</v>
      </c>
      <c r="H36" s="41">
        <v>0</v>
      </c>
      <c r="I36" s="41">
        <f>SUM(D36:H36)</f>
        <v>21830489</v>
      </c>
      <c r="J36" s="98"/>
    </row>
    <row r="37" spans="1:10" x14ac:dyDescent="0.2">
      <c r="A37" s="39">
        <f>A36+1</f>
        <v>26</v>
      </c>
      <c r="B37" s="42" t="s">
        <v>168</v>
      </c>
      <c r="C37" s="42"/>
      <c r="D37" s="41">
        <v>9695468</v>
      </c>
      <c r="E37" s="41">
        <v>0</v>
      </c>
      <c r="F37" s="41">
        <v>0</v>
      </c>
      <c r="G37" s="41">
        <v>0</v>
      </c>
      <c r="H37" s="41">
        <v>0</v>
      </c>
      <c r="I37" s="41">
        <f>SUM(D37:H37)</f>
        <v>9695468</v>
      </c>
      <c r="J37" s="98"/>
    </row>
    <row r="38" spans="1:10" x14ac:dyDescent="0.2">
      <c r="A38" s="39">
        <f>A37+1</f>
        <v>27</v>
      </c>
      <c r="B38" s="39" t="s">
        <v>154</v>
      </c>
      <c r="D38" s="41">
        <v>482421730</v>
      </c>
      <c r="E38" s="41">
        <v>0</v>
      </c>
      <c r="F38" s="41">
        <f>ROUND(D38/D23*F23,0)</f>
        <v>0</v>
      </c>
      <c r="G38" s="41">
        <v>0</v>
      </c>
      <c r="H38" s="41">
        <v>0</v>
      </c>
      <c r="I38" s="41">
        <f>SUM(D38:H38)</f>
        <v>482421730</v>
      </c>
      <c r="J38" s="98"/>
    </row>
    <row r="39" spans="1:10" x14ac:dyDescent="0.2">
      <c r="D39" s="41"/>
      <c r="E39" s="41"/>
      <c r="F39" s="41"/>
      <c r="G39" s="41"/>
      <c r="H39" s="41"/>
      <c r="I39" s="41"/>
      <c r="J39" s="98"/>
    </row>
    <row r="40" spans="1:10" x14ac:dyDescent="0.2">
      <c r="A40" s="39">
        <f>A38+1</f>
        <v>28</v>
      </c>
      <c r="B40" s="42" t="s">
        <v>159</v>
      </c>
      <c r="C40" s="42"/>
      <c r="D40" s="41">
        <f t="shared" ref="D40:I40" si="3">SUM(D34:D38)</f>
        <v>679622206</v>
      </c>
      <c r="E40" s="41">
        <f t="shared" si="3"/>
        <v>0</v>
      </c>
      <c r="F40" s="41">
        <f t="shared" si="3"/>
        <v>0</v>
      </c>
      <c r="G40" s="41">
        <f t="shared" si="3"/>
        <v>0</v>
      </c>
      <c r="H40" s="41">
        <f t="shared" si="3"/>
        <v>0</v>
      </c>
      <c r="I40" s="41">
        <f t="shared" si="3"/>
        <v>679622206</v>
      </c>
      <c r="J40" s="98"/>
    </row>
    <row r="41" spans="1:10" x14ac:dyDescent="0.2">
      <c r="B41" s="42"/>
      <c r="C41" s="42"/>
      <c r="D41" s="41"/>
      <c r="E41" s="41"/>
      <c r="F41" s="41"/>
      <c r="G41" s="41"/>
      <c r="H41" s="41"/>
      <c r="I41" s="41"/>
    </row>
    <row r="42" spans="1:10" x14ac:dyDescent="0.2">
      <c r="B42" s="42" t="s">
        <v>157</v>
      </c>
      <c r="C42" s="42"/>
      <c r="D42" s="41"/>
      <c r="E42" s="41"/>
      <c r="F42" s="41"/>
      <c r="G42" s="41"/>
      <c r="H42" s="41"/>
      <c r="I42" s="41"/>
    </row>
    <row r="43" spans="1:10" x14ac:dyDescent="0.2">
      <c r="A43" s="39">
        <f>A40+1</f>
        <v>29</v>
      </c>
      <c r="B43" s="39" t="s">
        <v>141</v>
      </c>
      <c r="D43" s="41">
        <f t="shared" ref="D43:H45" si="4">D8</f>
        <v>4608596779</v>
      </c>
      <c r="E43" s="41">
        <f t="shared" si="4"/>
        <v>0</v>
      </c>
      <c r="F43" s="41">
        <f t="shared" si="4"/>
        <v>0</v>
      </c>
      <c r="G43" s="41">
        <f t="shared" si="4"/>
        <v>133080116</v>
      </c>
      <c r="H43" s="41">
        <f t="shared" si="4"/>
        <v>0</v>
      </c>
      <c r="I43" s="41">
        <f>SUM(D43:H43)</f>
        <v>4741676895</v>
      </c>
    </row>
    <row r="44" spans="1:10" x14ac:dyDescent="0.2">
      <c r="A44" s="39">
        <f>A43+1</f>
        <v>30</v>
      </c>
      <c r="B44" s="42" t="s">
        <v>167</v>
      </c>
      <c r="C44" s="42"/>
      <c r="D44" s="41">
        <f t="shared" si="4"/>
        <v>8338836</v>
      </c>
      <c r="E44" s="41">
        <f t="shared" si="4"/>
        <v>0</v>
      </c>
      <c r="F44" s="41">
        <f t="shared" si="4"/>
        <v>0</v>
      </c>
      <c r="G44" s="41">
        <f t="shared" si="4"/>
        <v>240796</v>
      </c>
      <c r="H44" s="41">
        <f t="shared" si="4"/>
        <v>0</v>
      </c>
      <c r="I44" s="41">
        <f>SUM(D44:H44)</f>
        <v>8579632</v>
      </c>
    </row>
    <row r="45" spans="1:10" x14ac:dyDescent="0.2">
      <c r="A45" s="39">
        <f>A44+1</f>
        <v>31</v>
      </c>
      <c r="B45" s="39" t="s">
        <v>142</v>
      </c>
      <c r="D45" s="41">
        <f t="shared" si="4"/>
        <v>54234932</v>
      </c>
      <c r="E45" s="41">
        <f t="shared" si="4"/>
        <v>0</v>
      </c>
      <c r="F45" s="41">
        <f t="shared" si="4"/>
        <v>0</v>
      </c>
      <c r="G45" s="41">
        <f t="shared" si="4"/>
        <v>1202057</v>
      </c>
      <c r="H45" s="41">
        <f t="shared" si="4"/>
        <v>0</v>
      </c>
      <c r="I45" s="41">
        <f>SUM(D45:H45)</f>
        <v>55436989</v>
      </c>
    </row>
    <row r="46" spans="1:10" x14ac:dyDescent="0.2">
      <c r="B46" s="42" t="s">
        <v>171</v>
      </c>
      <c r="D46" s="41"/>
      <c r="E46" s="41"/>
      <c r="F46" s="41"/>
      <c r="G46" s="41"/>
      <c r="H46" s="41"/>
      <c r="I46" s="41"/>
    </row>
    <row r="47" spans="1:10" x14ac:dyDescent="0.2">
      <c r="A47" s="39">
        <f>A45+1</f>
        <v>32</v>
      </c>
      <c r="C47" s="39" t="s">
        <v>143</v>
      </c>
      <c r="D47" s="41">
        <f t="shared" ref="D47:H53" si="5">D12</f>
        <v>291070678</v>
      </c>
      <c r="E47" s="41">
        <f t="shared" si="5"/>
        <v>0</v>
      </c>
      <c r="F47" s="41">
        <f t="shared" si="5"/>
        <v>0</v>
      </c>
      <c r="G47" s="41">
        <f t="shared" si="5"/>
        <v>24401227</v>
      </c>
      <c r="H47" s="41">
        <f t="shared" si="5"/>
        <v>0</v>
      </c>
      <c r="I47" s="41">
        <f t="shared" ref="I47:I59" si="6">SUM(D47:H47)</f>
        <v>315471905</v>
      </c>
    </row>
    <row r="48" spans="1:10" x14ac:dyDescent="0.2">
      <c r="A48" s="39">
        <f t="shared" ref="A48:A59" si="7">A47+1</f>
        <v>33</v>
      </c>
      <c r="C48" s="39" t="s">
        <v>144</v>
      </c>
      <c r="D48" s="41">
        <f t="shared" si="5"/>
        <v>28520597</v>
      </c>
      <c r="E48" s="41">
        <f t="shared" si="5"/>
        <v>0</v>
      </c>
      <c r="F48" s="41">
        <f t="shared" si="5"/>
        <v>0</v>
      </c>
      <c r="G48" s="41">
        <f t="shared" si="5"/>
        <v>2953657</v>
      </c>
      <c r="H48" s="41">
        <f t="shared" si="5"/>
        <v>0</v>
      </c>
      <c r="I48" s="41">
        <f t="shared" si="6"/>
        <v>31474254</v>
      </c>
    </row>
    <row r="49" spans="1:9" x14ac:dyDescent="0.2">
      <c r="A49" s="39">
        <f t="shared" si="7"/>
        <v>34</v>
      </c>
      <c r="B49" s="42"/>
      <c r="C49" s="42" t="s">
        <v>170</v>
      </c>
      <c r="D49" s="41">
        <f t="shared" si="5"/>
        <v>7115538</v>
      </c>
      <c r="E49" s="41">
        <f t="shared" si="5"/>
        <v>0</v>
      </c>
      <c r="F49" s="41">
        <f t="shared" si="5"/>
        <v>0</v>
      </c>
      <c r="G49" s="41">
        <f t="shared" si="5"/>
        <v>942075</v>
      </c>
      <c r="H49" s="41">
        <f t="shared" si="5"/>
        <v>0</v>
      </c>
      <c r="I49" s="41">
        <f t="shared" si="6"/>
        <v>8057613</v>
      </c>
    </row>
    <row r="50" spans="1:9" x14ac:dyDescent="0.2">
      <c r="A50" s="39">
        <f t="shared" si="7"/>
        <v>35</v>
      </c>
      <c r="B50" s="39" t="s">
        <v>145</v>
      </c>
      <c r="D50" s="41">
        <f t="shared" si="5"/>
        <v>19685696</v>
      </c>
      <c r="E50" s="41">
        <f t="shared" si="5"/>
        <v>0</v>
      </c>
      <c r="F50" s="41">
        <f t="shared" si="5"/>
        <v>0</v>
      </c>
      <c r="G50" s="41">
        <f t="shared" si="5"/>
        <v>568537</v>
      </c>
      <c r="H50" s="41">
        <f t="shared" si="5"/>
        <v>0</v>
      </c>
      <c r="I50" s="41">
        <f t="shared" si="6"/>
        <v>20254233</v>
      </c>
    </row>
    <row r="51" spans="1:9" x14ac:dyDescent="0.2">
      <c r="A51" s="39">
        <f t="shared" si="7"/>
        <v>36</v>
      </c>
      <c r="B51" s="39" t="s">
        <v>146</v>
      </c>
      <c r="D51" s="41">
        <f t="shared" si="5"/>
        <v>58494223</v>
      </c>
      <c r="E51" s="41">
        <f t="shared" si="5"/>
        <v>0</v>
      </c>
      <c r="F51" s="41">
        <f t="shared" si="5"/>
        <v>0</v>
      </c>
      <c r="G51" s="41">
        <f t="shared" si="5"/>
        <v>727565</v>
      </c>
      <c r="H51" s="41">
        <f t="shared" si="5"/>
        <v>0</v>
      </c>
      <c r="I51" s="41">
        <f t="shared" si="6"/>
        <v>59221788</v>
      </c>
    </row>
    <row r="52" spans="1:9" x14ac:dyDescent="0.2">
      <c r="A52" s="39">
        <f t="shared" si="7"/>
        <v>37</v>
      </c>
      <c r="B52" s="39" t="s">
        <v>148</v>
      </c>
      <c r="D52" s="41">
        <f t="shared" si="5"/>
        <v>4232157</v>
      </c>
      <c r="E52" s="41">
        <f t="shared" si="5"/>
        <v>0</v>
      </c>
      <c r="F52" s="41">
        <f t="shared" si="5"/>
        <v>0</v>
      </c>
      <c r="G52" s="41">
        <f t="shared" si="5"/>
        <v>122271</v>
      </c>
      <c r="H52" s="41">
        <f t="shared" si="5"/>
        <v>0</v>
      </c>
      <c r="I52" s="41">
        <f t="shared" si="6"/>
        <v>4354428</v>
      </c>
    </row>
    <row r="53" spans="1:9" x14ac:dyDescent="0.2">
      <c r="A53" s="39">
        <f t="shared" si="7"/>
        <v>38</v>
      </c>
      <c r="B53" s="39" t="s">
        <v>244</v>
      </c>
      <c r="D53" s="41">
        <f t="shared" si="5"/>
        <v>0</v>
      </c>
      <c r="E53" s="41">
        <f t="shared" si="5"/>
        <v>0</v>
      </c>
      <c r="F53" s="41">
        <f t="shared" si="5"/>
        <v>0</v>
      </c>
      <c r="G53" s="41">
        <f t="shared" si="5"/>
        <v>0</v>
      </c>
      <c r="H53" s="41">
        <f t="shared" si="5"/>
        <v>0</v>
      </c>
      <c r="I53" s="41">
        <f>SUM(D53:H53)</f>
        <v>0</v>
      </c>
    </row>
    <row r="54" spans="1:9" x14ac:dyDescent="0.2">
      <c r="A54" s="39">
        <f t="shared" si="7"/>
        <v>39</v>
      </c>
      <c r="B54" s="39" t="s">
        <v>147</v>
      </c>
      <c r="D54" s="41">
        <f t="shared" ref="D54:H57" si="8">D19-D34</f>
        <v>86726145</v>
      </c>
      <c r="E54" s="41">
        <f t="shared" si="8"/>
        <v>0</v>
      </c>
      <c r="F54" s="41">
        <f t="shared" si="8"/>
        <v>0</v>
      </c>
      <c r="G54" s="41">
        <f t="shared" si="8"/>
        <v>5456425</v>
      </c>
      <c r="H54" s="41">
        <f t="shared" si="8"/>
        <v>0</v>
      </c>
      <c r="I54" s="41">
        <f t="shared" si="6"/>
        <v>92182570</v>
      </c>
    </row>
    <row r="55" spans="1:9" x14ac:dyDescent="0.2">
      <c r="A55" s="39">
        <f t="shared" si="7"/>
        <v>40</v>
      </c>
      <c r="B55" s="39" t="s">
        <v>149</v>
      </c>
      <c r="D55" s="41">
        <f t="shared" si="8"/>
        <v>27888122</v>
      </c>
      <c r="E55" s="41">
        <f t="shared" si="8"/>
        <v>0</v>
      </c>
      <c r="F55" s="41">
        <f t="shared" si="8"/>
        <v>0</v>
      </c>
      <c r="G55" s="41">
        <f t="shared" si="8"/>
        <v>2645882</v>
      </c>
      <c r="H55" s="41">
        <f t="shared" si="8"/>
        <v>0</v>
      </c>
      <c r="I55" s="41">
        <f t="shared" si="6"/>
        <v>30534004</v>
      </c>
    </row>
    <row r="56" spans="1:9" x14ac:dyDescent="0.2">
      <c r="A56" s="39">
        <f t="shared" si="7"/>
        <v>41</v>
      </c>
      <c r="B56" s="42" t="s">
        <v>173</v>
      </c>
      <c r="D56" s="41">
        <f t="shared" si="8"/>
        <v>7481028</v>
      </c>
      <c r="E56" s="41">
        <f t="shared" si="8"/>
        <v>0</v>
      </c>
      <c r="F56" s="41">
        <f t="shared" si="8"/>
        <v>0</v>
      </c>
      <c r="G56" s="41">
        <f t="shared" si="8"/>
        <v>1150997</v>
      </c>
      <c r="H56" s="41">
        <f t="shared" si="8"/>
        <v>0</v>
      </c>
      <c r="I56" s="41">
        <f t="shared" si="6"/>
        <v>8632025</v>
      </c>
    </row>
    <row r="57" spans="1:9" x14ac:dyDescent="0.2">
      <c r="A57" s="39">
        <f t="shared" si="7"/>
        <v>42</v>
      </c>
      <c r="B57" s="42" t="s">
        <v>168</v>
      </c>
      <c r="C57" s="42"/>
      <c r="D57" s="41">
        <f>D22-D37</f>
        <v>37971403</v>
      </c>
      <c r="E57" s="41">
        <f t="shared" si="8"/>
        <v>0</v>
      </c>
      <c r="F57" s="41">
        <f t="shared" si="8"/>
        <v>0</v>
      </c>
      <c r="G57" s="41">
        <f t="shared" si="8"/>
        <v>936843</v>
      </c>
      <c r="H57" s="41">
        <f t="shared" si="8"/>
        <v>0</v>
      </c>
      <c r="I57" s="41">
        <f>SUM(D57:H57)</f>
        <v>38908246</v>
      </c>
    </row>
    <row r="58" spans="1:9" x14ac:dyDescent="0.2">
      <c r="A58" s="39">
        <f t="shared" si="7"/>
        <v>43</v>
      </c>
      <c r="B58" s="42" t="s">
        <v>163</v>
      </c>
      <c r="C58" s="42"/>
      <c r="D58" s="41">
        <f>D23-D38-D59</f>
        <v>107935161</v>
      </c>
      <c r="E58" s="41">
        <v>0</v>
      </c>
      <c r="F58" s="41">
        <f>F23-F38-F59</f>
        <v>0</v>
      </c>
      <c r="G58" s="41">
        <f>G23-G38-G59</f>
        <v>0</v>
      </c>
      <c r="H58" s="41">
        <f>H23-H38-H59</f>
        <v>0</v>
      </c>
      <c r="I58" s="41">
        <f t="shared" si="6"/>
        <v>107935161</v>
      </c>
    </row>
    <row r="59" spans="1:9" x14ac:dyDescent="0.2">
      <c r="A59" s="39">
        <f t="shared" si="7"/>
        <v>44</v>
      </c>
      <c r="B59" s="39" t="s">
        <v>151</v>
      </c>
      <c r="D59" s="41">
        <v>8609264</v>
      </c>
      <c r="E59" s="41">
        <v>0</v>
      </c>
      <c r="F59" s="41">
        <v>0</v>
      </c>
      <c r="G59" s="41">
        <v>0</v>
      </c>
      <c r="H59" s="41">
        <v>0</v>
      </c>
      <c r="I59" s="41">
        <f t="shared" si="6"/>
        <v>8609264</v>
      </c>
    </row>
    <row r="60" spans="1:9" x14ac:dyDescent="0.2">
      <c r="B60" s="42" t="s">
        <v>172</v>
      </c>
      <c r="D60" s="41"/>
      <c r="E60" s="41"/>
      <c r="F60" s="41"/>
      <c r="G60" s="41"/>
      <c r="H60" s="41"/>
      <c r="I60" s="41"/>
    </row>
    <row r="61" spans="1:9" x14ac:dyDescent="0.2">
      <c r="A61" s="39">
        <f>A59+1</f>
        <v>45</v>
      </c>
      <c r="B61" s="42"/>
      <c r="C61" s="42" t="s">
        <v>175</v>
      </c>
      <c r="D61" s="41">
        <f t="shared" ref="D61:H65" si="9">D25</f>
        <v>-2965060</v>
      </c>
      <c r="E61" s="41">
        <f t="shared" si="9"/>
        <v>0</v>
      </c>
      <c r="F61" s="41">
        <f t="shared" si="9"/>
        <v>0</v>
      </c>
      <c r="G61" s="41">
        <f t="shared" si="9"/>
        <v>2079388</v>
      </c>
      <c r="H61" s="41">
        <f t="shared" si="9"/>
        <v>0</v>
      </c>
      <c r="I61" s="41">
        <f>SUM(D61:H61)</f>
        <v>-885672</v>
      </c>
    </row>
    <row r="62" spans="1:9" x14ac:dyDescent="0.2">
      <c r="A62" s="39">
        <f>A61+1</f>
        <v>46</v>
      </c>
      <c r="B62" s="42"/>
      <c r="C62" s="42" t="s">
        <v>182</v>
      </c>
      <c r="D62" s="41">
        <f t="shared" si="9"/>
        <v>2248629</v>
      </c>
      <c r="E62" s="41">
        <f t="shared" si="9"/>
        <v>0</v>
      </c>
      <c r="F62" s="41">
        <f t="shared" si="9"/>
        <v>0</v>
      </c>
      <c r="G62" s="41">
        <f t="shared" si="9"/>
        <v>-2248629</v>
      </c>
      <c r="H62" s="41">
        <f t="shared" si="9"/>
        <v>0</v>
      </c>
      <c r="I62" s="41">
        <f>SUM(D62:H62)</f>
        <v>0</v>
      </c>
    </row>
    <row r="63" spans="1:9" x14ac:dyDescent="0.2">
      <c r="A63" s="39">
        <f>A62+1</f>
        <v>47</v>
      </c>
      <c r="B63" s="42"/>
      <c r="C63" s="42" t="s">
        <v>201</v>
      </c>
      <c r="D63" s="41">
        <f t="shared" si="9"/>
        <v>36023</v>
      </c>
      <c r="E63" s="41">
        <f t="shared" si="9"/>
        <v>0</v>
      </c>
      <c r="F63" s="41">
        <f t="shared" si="9"/>
        <v>0</v>
      </c>
      <c r="G63" s="41">
        <f t="shared" si="9"/>
        <v>-36023</v>
      </c>
      <c r="H63" s="41">
        <f t="shared" si="9"/>
        <v>0</v>
      </c>
      <c r="I63" s="41">
        <f>SUM(D63:H63)</f>
        <v>0</v>
      </c>
    </row>
    <row r="64" spans="1:9" x14ac:dyDescent="0.2">
      <c r="A64" s="39">
        <f>A63+1</f>
        <v>48</v>
      </c>
      <c r="B64" s="42"/>
      <c r="C64" s="42" t="s">
        <v>183</v>
      </c>
      <c r="D64" s="41">
        <f t="shared" si="9"/>
        <v>503960</v>
      </c>
      <c r="E64" s="41">
        <f t="shared" si="9"/>
        <v>0</v>
      </c>
      <c r="F64" s="41">
        <f t="shared" si="9"/>
        <v>0</v>
      </c>
      <c r="G64" s="41">
        <f t="shared" si="9"/>
        <v>-503960</v>
      </c>
      <c r="H64" s="41">
        <f t="shared" si="9"/>
        <v>0</v>
      </c>
      <c r="I64" s="41">
        <f>SUM(D64:H64)</f>
        <v>0</v>
      </c>
    </row>
    <row r="65" spans="1:10" x14ac:dyDescent="0.2">
      <c r="A65" s="39">
        <f>A64+1</f>
        <v>49</v>
      </c>
      <c r="B65" s="42"/>
      <c r="C65" s="42" t="s">
        <v>251</v>
      </c>
      <c r="D65" s="41">
        <f t="shared" si="9"/>
        <v>-398</v>
      </c>
      <c r="E65" s="41">
        <f t="shared" si="9"/>
        <v>0</v>
      </c>
      <c r="F65" s="41">
        <f t="shared" si="9"/>
        <v>0</v>
      </c>
      <c r="G65" s="41">
        <f t="shared" si="9"/>
        <v>0</v>
      </c>
      <c r="H65" s="41">
        <f t="shared" si="9"/>
        <v>0</v>
      </c>
      <c r="I65" s="41">
        <f>SUM(D65:H65)</f>
        <v>-398</v>
      </c>
    </row>
    <row r="66" spans="1:10" x14ac:dyDescent="0.2">
      <c r="C66" s="41"/>
      <c r="D66" s="41"/>
      <c r="E66" s="41"/>
      <c r="F66" s="41"/>
      <c r="G66" s="41"/>
      <c r="H66" s="41"/>
      <c r="I66" s="41"/>
    </row>
    <row r="67" spans="1:10" x14ac:dyDescent="0.2">
      <c r="A67" s="39">
        <f>A65+1</f>
        <v>50</v>
      </c>
      <c r="B67" s="42" t="s">
        <v>184</v>
      </c>
      <c r="C67" s="42"/>
      <c r="D67" s="41">
        <f t="shared" ref="D67:I67" si="10">SUM(D43:D65)</f>
        <v>5356723713</v>
      </c>
      <c r="E67" s="41">
        <f t="shared" si="10"/>
        <v>0</v>
      </c>
      <c r="F67" s="41">
        <f t="shared" si="10"/>
        <v>0</v>
      </c>
      <c r="G67" s="41">
        <f t="shared" si="10"/>
        <v>173719224</v>
      </c>
      <c r="H67" s="41">
        <f t="shared" si="10"/>
        <v>0</v>
      </c>
      <c r="I67" s="41">
        <f t="shared" si="10"/>
        <v>5530442937</v>
      </c>
      <c r="J67" s="98"/>
    </row>
    <row r="68" spans="1:10" x14ac:dyDescent="0.2">
      <c r="A68" s="39">
        <f>A67+1</f>
        <v>51</v>
      </c>
      <c r="B68" s="42" t="s">
        <v>160</v>
      </c>
      <c r="C68" s="42"/>
      <c r="D68" s="41">
        <f t="shared" ref="D68:I68" si="11">D67-D59</f>
        <v>5348114449</v>
      </c>
      <c r="E68" s="41">
        <f t="shared" si="11"/>
        <v>0</v>
      </c>
      <c r="F68" s="41">
        <f t="shared" si="11"/>
        <v>0</v>
      </c>
      <c r="G68" s="41">
        <f t="shared" si="11"/>
        <v>173719224</v>
      </c>
      <c r="H68" s="41">
        <f t="shared" si="11"/>
        <v>0</v>
      </c>
      <c r="I68" s="41">
        <f t="shared" si="11"/>
        <v>5521833673</v>
      </c>
      <c r="J68" s="98"/>
    </row>
    <row r="69" spans="1:10" x14ac:dyDescent="0.2">
      <c r="A69" s="39">
        <f>A68+1</f>
        <v>52</v>
      </c>
      <c r="B69" s="42" t="s">
        <v>161</v>
      </c>
      <c r="C69" s="42"/>
      <c r="D69" s="41">
        <f t="shared" ref="D69:I69" si="12">D59</f>
        <v>8609264</v>
      </c>
      <c r="E69" s="41">
        <f t="shared" si="12"/>
        <v>0</v>
      </c>
      <c r="F69" s="41">
        <f t="shared" si="12"/>
        <v>0</v>
      </c>
      <c r="G69" s="41">
        <f t="shared" si="12"/>
        <v>0</v>
      </c>
      <c r="H69" s="41">
        <f t="shared" si="12"/>
        <v>0</v>
      </c>
      <c r="I69" s="41">
        <f t="shared" si="12"/>
        <v>8609264</v>
      </c>
    </row>
    <row r="70" spans="1:10" x14ac:dyDescent="0.2">
      <c r="B70" s="42"/>
      <c r="C70" s="42"/>
      <c r="D70" s="41"/>
      <c r="E70" s="41"/>
      <c r="F70" s="41"/>
      <c r="G70" s="41"/>
      <c r="H70" s="41"/>
      <c r="I70" s="41"/>
    </row>
    <row r="71" spans="1:10" x14ac:dyDescent="0.2">
      <c r="A71" s="39">
        <f>A69+1</f>
        <v>53</v>
      </c>
      <c r="B71" s="42" t="s">
        <v>166</v>
      </c>
      <c r="C71" s="42"/>
      <c r="D71" s="41">
        <v>-45649267</v>
      </c>
      <c r="E71" s="41">
        <v>0</v>
      </c>
      <c r="F71" s="41">
        <v>0</v>
      </c>
      <c r="G71" s="41">
        <v>-1318241</v>
      </c>
      <c r="H71" s="41">
        <v>3</v>
      </c>
      <c r="I71" s="41">
        <f>SUM(D71:H71)</f>
        <v>-46967505</v>
      </c>
    </row>
    <row r="72" spans="1:10" x14ac:dyDescent="0.2">
      <c r="D72" s="40"/>
      <c r="E72" s="40"/>
      <c r="F72" s="40"/>
      <c r="G72" s="40"/>
      <c r="H72" s="40"/>
      <c r="I72" s="40"/>
    </row>
    <row r="73" spans="1:10" x14ac:dyDescent="0.2">
      <c r="A73" s="156" t="s">
        <v>361</v>
      </c>
      <c r="B73" s="156"/>
      <c r="C73" s="157"/>
      <c r="D73" s="158" t="s">
        <v>176</v>
      </c>
      <c r="E73" s="158" t="s">
        <v>181</v>
      </c>
      <c r="F73" s="158" t="s">
        <v>177</v>
      </c>
      <c r="G73" s="158" t="s">
        <v>178</v>
      </c>
      <c r="H73" s="158" t="s">
        <v>179</v>
      </c>
      <c r="I73" s="158" t="s">
        <v>180</v>
      </c>
    </row>
    <row r="75" spans="1:10" x14ac:dyDescent="0.2">
      <c r="A75" s="39">
        <v>1</v>
      </c>
      <c r="B75" s="39" t="s">
        <v>140</v>
      </c>
      <c r="D75" s="41">
        <f>'Pupil Data'!C201</f>
        <v>926532</v>
      </c>
      <c r="E75" s="41">
        <v>0</v>
      </c>
      <c r="F75" s="41">
        <f>'Pupil Data'!D201</f>
        <v>0</v>
      </c>
      <c r="G75" s="41">
        <f>'Pupil Data'!E201</f>
        <v>26756</v>
      </c>
      <c r="H75" s="41">
        <f>'Pupil Data'!F201</f>
        <v>0</v>
      </c>
      <c r="I75" s="41">
        <f>SUM(D75:H75)</f>
        <v>953288</v>
      </c>
    </row>
    <row r="77" spans="1:10" x14ac:dyDescent="0.2">
      <c r="B77" s="42" t="s">
        <v>155</v>
      </c>
      <c r="D77" s="40"/>
      <c r="E77" s="40"/>
      <c r="F77" s="40"/>
      <c r="G77" s="40"/>
      <c r="H77" s="40"/>
      <c r="I77" s="40"/>
    </row>
    <row r="78" spans="1:10" x14ac:dyDescent="0.2">
      <c r="A78" s="39">
        <f>A75+1</f>
        <v>2</v>
      </c>
      <c r="B78" s="39" t="s">
        <v>141</v>
      </c>
      <c r="D78" s="41">
        <v>4608596779</v>
      </c>
      <c r="E78" s="41">
        <v>0</v>
      </c>
      <c r="F78" s="41">
        <v>0</v>
      </c>
      <c r="G78" s="41">
        <v>133080116</v>
      </c>
      <c r="H78" s="41">
        <v>0</v>
      </c>
      <c r="I78" s="41">
        <f>SUM(D78:H78)</f>
        <v>4741676895</v>
      </c>
    </row>
    <row r="79" spans="1:10" x14ac:dyDescent="0.2">
      <c r="A79" s="39">
        <f>A78+1</f>
        <v>3</v>
      </c>
      <c r="B79" s="42" t="s">
        <v>167</v>
      </c>
      <c r="C79" s="42"/>
      <c r="D79" s="41">
        <v>8338836</v>
      </c>
      <c r="E79" s="41">
        <v>0</v>
      </c>
      <c r="F79" s="41">
        <v>0</v>
      </c>
      <c r="G79" s="41">
        <v>240796</v>
      </c>
      <c r="H79" s="41">
        <v>0</v>
      </c>
      <c r="I79" s="41">
        <f>SUM(D79:H79)</f>
        <v>8579632</v>
      </c>
    </row>
    <row r="80" spans="1:10" x14ac:dyDescent="0.2">
      <c r="A80" s="39">
        <f>A79+1</f>
        <v>4</v>
      </c>
      <c r="B80" s="39" t="s">
        <v>142</v>
      </c>
      <c r="D80" s="41">
        <v>54234932</v>
      </c>
      <c r="E80" s="41">
        <v>0</v>
      </c>
      <c r="F80" s="41">
        <v>0</v>
      </c>
      <c r="G80" s="41">
        <v>1202057</v>
      </c>
      <c r="H80" s="41">
        <v>0</v>
      </c>
      <c r="I80" s="41">
        <f>SUM(D80:H80)</f>
        <v>55436989</v>
      </c>
    </row>
    <row r="81" spans="1:10" x14ac:dyDescent="0.2">
      <c r="B81" s="42" t="s">
        <v>171</v>
      </c>
      <c r="D81" s="41"/>
      <c r="E81" s="41"/>
      <c r="F81" s="41"/>
      <c r="G81" s="41"/>
      <c r="H81" s="41"/>
      <c r="I81" s="41"/>
    </row>
    <row r="82" spans="1:10" x14ac:dyDescent="0.2">
      <c r="A82" s="39">
        <f>A80+1</f>
        <v>5</v>
      </c>
      <c r="C82" s="39" t="s">
        <v>143</v>
      </c>
      <c r="D82" s="41">
        <v>291070678</v>
      </c>
      <c r="E82" s="41">
        <v>0</v>
      </c>
      <c r="F82" s="41">
        <v>0</v>
      </c>
      <c r="G82" s="41">
        <v>24401227</v>
      </c>
      <c r="H82" s="41">
        <v>0</v>
      </c>
      <c r="I82" s="41">
        <f t="shared" ref="I82:I93" si="13">SUM(D82:H82)</f>
        <v>315471905</v>
      </c>
    </row>
    <row r="83" spans="1:10" x14ac:dyDescent="0.2">
      <c r="A83" s="39">
        <f t="shared" ref="A83:A93" si="14">A82+1</f>
        <v>6</v>
      </c>
      <c r="C83" s="39" t="s">
        <v>144</v>
      </c>
      <c r="D83" s="41">
        <v>28520597</v>
      </c>
      <c r="E83" s="41">
        <v>0</v>
      </c>
      <c r="F83" s="41">
        <v>0</v>
      </c>
      <c r="G83" s="41">
        <v>2953657</v>
      </c>
      <c r="H83" s="41">
        <v>0</v>
      </c>
      <c r="I83" s="41">
        <f t="shared" si="13"/>
        <v>31474254</v>
      </c>
    </row>
    <row r="84" spans="1:10" x14ac:dyDescent="0.2">
      <c r="A84" s="39">
        <f t="shared" si="14"/>
        <v>7</v>
      </c>
      <c r="B84" s="42"/>
      <c r="C84" s="42" t="s">
        <v>170</v>
      </c>
      <c r="D84" s="41">
        <v>7115538</v>
      </c>
      <c r="E84" s="41">
        <v>0</v>
      </c>
      <c r="F84" s="41">
        <v>0</v>
      </c>
      <c r="G84" s="41">
        <v>942075</v>
      </c>
      <c r="H84" s="41">
        <v>0</v>
      </c>
      <c r="I84" s="41">
        <f t="shared" si="13"/>
        <v>8057613</v>
      </c>
    </row>
    <row r="85" spans="1:10" x14ac:dyDescent="0.2">
      <c r="A85" s="39">
        <f t="shared" si="14"/>
        <v>8</v>
      </c>
      <c r="B85" s="39" t="s">
        <v>145</v>
      </c>
      <c r="D85" s="41">
        <v>19685696</v>
      </c>
      <c r="E85" s="41">
        <v>0</v>
      </c>
      <c r="F85" s="41">
        <v>0</v>
      </c>
      <c r="G85" s="41">
        <v>568537</v>
      </c>
      <c r="H85" s="41">
        <v>0</v>
      </c>
      <c r="I85" s="41">
        <f t="shared" si="13"/>
        <v>20254233</v>
      </c>
    </row>
    <row r="86" spans="1:10" x14ac:dyDescent="0.2">
      <c r="A86" s="39">
        <f t="shared" si="14"/>
        <v>9</v>
      </c>
      <c r="B86" s="39" t="s">
        <v>146</v>
      </c>
      <c r="D86" s="41">
        <v>58494223</v>
      </c>
      <c r="E86" s="41">
        <v>0</v>
      </c>
      <c r="F86" s="41">
        <v>0</v>
      </c>
      <c r="G86" s="41">
        <v>727565</v>
      </c>
      <c r="H86" s="41">
        <v>0</v>
      </c>
      <c r="I86" s="41">
        <f t="shared" si="13"/>
        <v>59221788</v>
      </c>
    </row>
    <row r="87" spans="1:10" x14ac:dyDescent="0.2">
      <c r="A87" s="39">
        <f t="shared" si="14"/>
        <v>10</v>
      </c>
      <c r="B87" s="39" t="s">
        <v>148</v>
      </c>
      <c r="D87" s="41">
        <v>4232157</v>
      </c>
      <c r="E87" s="41">
        <v>0</v>
      </c>
      <c r="F87" s="41">
        <v>0</v>
      </c>
      <c r="G87" s="41">
        <v>122271</v>
      </c>
      <c r="H87" s="41">
        <v>0</v>
      </c>
      <c r="I87" s="41">
        <f t="shared" si="13"/>
        <v>4354428</v>
      </c>
    </row>
    <row r="88" spans="1:10" x14ac:dyDescent="0.2">
      <c r="A88" s="39">
        <f t="shared" si="14"/>
        <v>11</v>
      </c>
      <c r="B88" s="39" t="s">
        <v>244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f t="shared" si="13"/>
        <v>0</v>
      </c>
    </row>
    <row r="89" spans="1:10" x14ac:dyDescent="0.2">
      <c r="A89" s="39">
        <f t="shared" si="14"/>
        <v>12</v>
      </c>
      <c r="B89" s="39" t="s">
        <v>147</v>
      </c>
      <c r="D89" s="41">
        <v>188660599</v>
      </c>
      <c r="E89" s="41">
        <v>0</v>
      </c>
      <c r="F89" s="41">
        <v>0</v>
      </c>
      <c r="G89" s="41">
        <v>5456425</v>
      </c>
      <c r="H89" s="41">
        <v>0</v>
      </c>
      <c r="I89" s="41">
        <f t="shared" si="13"/>
        <v>194117024</v>
      </c>
    </row>
    <row r="90" spans="1:10" x14ac:dyDescent="0.2">
      <c r="A90" s="39">
        <f t="shared" si="14"/>
        <v>13</v>
      </c>
      <c r="B90" s="39" t="s">
        <v>149</v>
      </c>
      <c r="D90" s="41">
        <v>91628187</v>
      </c>
      <c r="E90" s="41">
        <v>0</v>
      </c>
      <c r="F90" s="41">
        <v>0</v>
      </c>
      <c r="G90" s="41">
        <v>2645882</v>
      </c>
      <c r="H90" s="41">
        <v>0</v>
      </c>
      <c r="I90" s="41">
        <f t="shared" si="13"/>
        <v>94274069</v>
      </c>
    </row>
    <row r="91" spans="1:10" x14ac:dyDescent="0.2">
      <c r="A91" s="39">
        <f t="shared" si="14"/>
        <v>14</v>
      </c>
      <c r="B91" s="42" t="s">
        <v>173</v>
      </c>
      <c r="D91" s="41">
        <v>29311517</v>
      </c>
      <c r="E91" s="41">
        <v>0</v>
      </c>
      <c r="F91" s="41">
        <v>0</v>
      </c>
      <c r="G91" s="41">
        <v>1150997</v>
      </c>
      <c r="H91" s="41">
        <v>0</v>
      </c>
      <c r="I91" s="41">
        <f t="shared" si="13"/>
        <v>30462514</v>
      </c>
    </row>
    <row r="92" spans="1:10" x14ac:dyDescent="0.2">
      <c r="A92" s="39">
        <f t="shared" si="14"/>
        <v>15</v>
      </c>
      <c r="B92" s="42" t="s">
        <v>168</v>
      </c>
      <c r="C92" s="42"/>
      <c r="D92" s="41">
        <v>47666871</v>
      </c>
      <c r="E92" s="41">
        <v>0</v>
      </c>
      <c r="F92" s="41">
        <v>0</v>
      </c>
      <c r="G92" s="41">
        <v>936843</v>
      </c>
      <c r="H92" s="41">
        <v>0</v>
      </c>
      <c r="I92" s="41">
        <f t="shared" si="13"/>
        <v>48603714</v>
      </c>
    </row>
    <row r="93" spans="1:10" x14ac:dyDescent="0.2">
      <c r="A93" s="39">
        <f t="shared" si="14"/>
        <v>16</v>
      </c>
      <c r="B93" s="39" t="s">
        <v>150</v>
      </c>
      <c r="D93" s="41">
        <v>598966155</v>
      </c>
      <c r="E93" s="41">
        <f>E129</f>
        <v>0</v>
      </c>
      <c r="F93" s="41">
        <v>0</v>
      </c>
      <c r="G93" s="41">
        <v>0</v>
      </c>
      <c r="H93" s="41">
        <v>0</v>
      </c>
      <c r="I93" s="41">
        <f t="shared" si="13"/>
        <v>598966155</v>
      </c>
    </row>
    <row r="94" spans="1:10" x14ac:dyDescent="0.2">
      <c r="B94" s="42" t="s">
        <v>172</v>
      </c>
      <c r="D94" s="41"/>
      <c r="E94" s="41"/>
      <c r="F94" s="41"/>
      <c r="G94" s="41"/>
      <c r="H94" s="41"/>
      <c r="I94" s="41"/>
    </row>
    <row r="95" spans="1:10" x14ac:dyDescent="0.2">
      <c r="A95" s="39">
        <f>A93+1</f>
        <v>17</v>
      </c>
      <c r="B95" s="42"/>
      <c r="C95" s="42" t="s">
        <v>175</v>
      </c>
      <c r="D95" s="41">
        <v>-2965060</v>
      </c>
      <c r="E95" s="41">
        <v>0</v>
      </c>
      <c r="F95" s="41">
        <v>0</v>
      </c>
      <c r="G95" s="41">
        <v>2079388</v>
      </c>
      <c r="H95" s="41">
        <v>0</v>
      </c>
      <c r="I95" s="41">
        <f>SUM(D95:H95)</f>
        <v>-885672</v>
      </c>
      <c r="J95" s="98"/>
    </row>
    <row r="96" spans="1:10" x14ac:dyDescent="0.2">
      <c r="A96" s="39">
        <f>A95+1</f>
        <v>18</v>
      </c>
      <c r="B96" s="42"/>
      <c r="C96" s="42" t="s">
        <v>182</v>
      </c>
      <c r="D96" s="41">
        <v>2248629</v>
      </c>
      <c r="E96" s="41">
        <v>0</v>
      </c>
      <c r="F96" s="41">
        <v>0</v>
      </c>
      <c r="G96" s="41">
        <v>-2248629</v>
      </c>
      <c r="H96" s="41">
        <v>0</v>
      </c>
      <c r="I96" s="41">
        <f>SUM(D96:H96)</f>
        <v>0</v>
      </c>
    </row>
    <row r="97" spans="1:10" x14ac:dyDescent="0.2">
      <c r="A97" s="39">
        <f>A96+1</f>
        <v>19</v>
      </c>
      <c r="B97" s="42"/>
      <c r="C97" s="42" t="s">
        <v>201</v>
      </c>
      <c r="D97" s="41">
        <v>36023</v>
      </c>
      <c r="E97" s="41">
        <v>0</v>
      </c>
      <c r="F97" s="41">
        <v>0</v>
      </c>
      <c r="G97" s="41">
        <v>-36023</v>
      </c>
      <c r="H97" s="41">
        <v>0</v>
      </c>
      <c r="I97" s="41">
        <f>SUM(D97:H97)</f>
        <v>0</v>
      </c>
    </row>
    <row r="98" spans="1:10" x14ac:dyDescent="0.2">
      <c r="A98" s="39">
        <f>A97+1</f>
        <v>20</v>
      </c>
      <c r="B98" s="42"/>
      <c r="C98" s="42" t="s">
        <v>183</v>
      </c>
      <c r="D98" s="41">
        <v>503960</v>
      </c>
      <c r="E98" s="41">
        <v>0</v>
      </c>
      <c r="F98" s="41">
        <v>0</v>
      </c>
      <c r="G98" s="41">
        <v>-503960</v>
      </c>
      <c r="H98" s="41">
        <v>0</v>
      </c>
      <c r="I98" s="41">
        <f>SUM(D98:H98)</f>
        <v>0</v>
      </c>
    </row>
    <row r="99" spans="1:10" x14ac:dyDescent="0.2">
      <c r="A99" s="39">
        <f>A98+1</f>
        <v>21</v>
      </c>
      <c r="B99" s="42"/>
      <c r="C99" s="42" t="s">
        <v>251</v>
      </c>
      <c r="D99" s="41">
        <f>-1018371+1017973</f>
        <v>-398</v>
      </c>
      <c r="E99" s="41">
        <v>0</v>
      </c>
      <c r="F99" s="41">
        <v>0</v>
      </c>
      <c r="G99" s="41">
        <v>0</v>
      </c>
      <c r="H99" s="41">
        <v>0</v>
      </c>
      <c r="I99" s="41">
        <f>SUM(D99:H99)</f>
        <v>-398</v>
      </c>
    </row>
    <row r="100" spans="1:10" x14ac:dyDescent="0.2">
      <c r="D100" s="41"/>
      <c r="E100" s="41"/>
      <c r="F100" s="41"/>
      <c r="G100" s="41"/>
      <c r="H100" s="41"/>
      <c r="I100" s="41"/>
    </row>
    <row r="101" spans="1:10" x14ac:dyDescent="0.2">
      <c r="A101" s="39">
        <f>A99+1</f>
        <v>22</v>
      </c>
      <c r="B101" s="42" t="s">
        <v>158</v>
      </c>
      <c r="D101" s="41">
        <f t="shared" ref="D101:I101" si="15">SUM(D78:D99)</f>
        <v>6036345919</v>
      </c>
      <c r="E101" s="41">
        <f t="shared" si="15"/>
        <v>0</v>
      </c>
      <c r="F101" s="41">
        <f t="shared" si="15"/>
        <v>0</v>
      </c>
      <c r="G101" s="41">
        <f t="shared" si="15"/>
        <v>173719224</v>
      </c>
      <c r="H101" s="41">
        <f t="shared" si="15"/>
        <v>0</v>
      </c>
      <c r="I101" s="41">
        <f t="shared" si="15"/>
        <v>6210065143</v>
      </c>
      <c r="J101" s="98"/>
    </row>
    <row r="102" spans="1:10" x14ac:dyDescent="0.2">
      <c r="D102" s="41"/>
      <c r="E102" s="41"/>
      <c r="F102" s="41"/>
      <c r="G102" s="41"/>
      <c r="H102" s="41"/>
      <c r="I102" s="41"/>
    </row>
    <row r="103" spans="1:10" x14ac:dyDescent="0.2">
      <c r="B103" s="42" t="s">
        <v>156</v>
      </c>
      <c r="C103" s="42"/>
      <c r="D103" s="41"/>
      <c r="E103" s="41"/>
      <c r="F103" s="41"/>
      <c r="G103" s="41"/>
      <c r="H103" s="41"/>
      <c r="I103" s="41"/>
    </row>
    <row r="104" spans="1:10" x14ac:dyDescent="0.2">
      <c r="A104" s="39">
        <f>A101+1</f>
        <v>23</v>
      </c>
      <c r="B104" s="39" t="s">
        <v>153</v>
      </c>
      <c r="D104" s="41">
        <v>101934454</v>
      </c>
      <c r="E104" s="41">
        <v>0</v>
      </c>
      <c r="F104" s="41">
        <v>0</v>
      </c>
      <c r="G104" s="41">
        <v>0</v>
      </c>
      <c r="H104" s="41">
        <v>0</v>
      </c>
      <c r="I104" s="41">
        <f>SUM(D104:H104)</f>
        <v>101934454</v>
      </c>
      <c r="J104" s="98"/>
    </row>
    <row r="105" spans="1:10" x14ac:dyDescent="0.2">
      <c r="A105" s="39">
        <f>A104+1</f>
        <v>24</v>
      </c>
      <c r="B105" s="39" t="s">
        <v>152</v>
      </c>
      <c r="D105" s="41">
        <v>63740065</v>
      </c>
      <c r="E105" s="41">
        <v>0</v>
      </c>
      <c r="F105" s="41">
        <v>0</v>
      </c>
      <c r="G105" s="41">
        <v>0</v>
      </c>
      <c r="H105" s="41">
        <v>0</v>
      </c>
      <c r="I105" s="41">
        <f>SUM(D105:H105)</f>
        <v>63740065</v>
      </c>
      <c r="J105" s="98"/>
    </row>
    <row r="106" spans="1:10" x14ac:dyDescent="0.2">
      <c r="A106" s="39">
        <f>A105+1</f>
        <v>25</v>
      </c>
      <c r="B106" s="42" t="s">
        <v>174</v>
      </c>
      <c r="D106" s="41">
        <v>21830489</v>
      </c>
      <c r="E106" s="41">
        <v>0</v>
      </c>
      <c r="F106" s="41">
        <v>0</v>
      </c>
      <c r="G106" s="41">
        <v>0</v>
      </c>
      <c r="H106" s="41">
        <v>0</v>
      </c>
      <c r="I106" s="41">
        <f>SUM(D106:H106)</f>
        <v>21830489</v>
      </c>
      <c r="J106" s="98"/>
    </row>
    <row r="107" spans="1:10" x14ac:dyDescent="0.2">
      <c r="A107" s="39">
        <f>A106+1</f>
        <v>26</v>
      </c>
      <c r="B107" s="42" t="s">
        <v>168</v>
      </c>
      <c r="C107" s="42"/>
      <c r="D107" s="41">
        <v>9695468</v>
      </c>
      <c r="E107" s="41">
        <v>0</v>
      </c>
      <c r="F107" s="41">
        <v>0</v>
      </c>
      <c r="G107" s="41">
        <v>0</v>
      </c>
      <c r="H107" s="41">
        <v>0</v>
      </c>
      <c r="I107" s="41">
        <f>SUM(D107:H107)</f>
        <v>9695468</v>
      </c>
      <c r="J107" s="98"/>
    </row>
    <row r="108" spans="1:10" x14ac:dyDescent="0.2">
      <c r="A108" s="39">
        <f>A107+1</f>
        <v>27</v>
      </c>
      <c r="B108" s="39" t="s">
        <v>154</v>
      </c>
      <c r="D108" s="41">
        <v>482421730</v>
      </c>
      <c r="E108" s="41">
        <v>0</v>
      </c>
      <c r="F108" s="41">
        <v>0</v>
      </c>
      <c r="G108" s="41">
        <v>0</v>
      </c>
      <c r="H108" s="41">
        <v>0</v>
      </c>
      <c r="I108" s="41">
        <f>SUM(D108:H108)</f>
        <v>482421730</v>
      </c>
      <c r="J108" s="98"/>
    </row>
    <row r="109" spans="1:10" x14ac:dyDescent="0.2">
      <c r="D109" s="41"/>
      <c r="E109" s="41"/>
      <c r="F109" s="41"/>
      <c r="G109" s="41"/>
      <c r="H109" s="41"/>
      <c r="I109" s="41"/>
      <c r="J109" s="98"/>
    </row>
    <row r="110" spans="1:10" x14ac:dyDescent="0.2">
      <c r="A110" s="39">
        <f>A108+1</f>
        <v>28</v>
      </c>
      <c r="B110" s="42" t="s">
        <v>159</v>
      </c>
      <c r="C110" s="42"/>
      <c r="D110" s="41">
        <f t="shared" ref="D110:I110" si="16">SUM(D104:D108)</f>
        <v>679622206</v>
      </c>
      <c r="E110" s="41">
        <f t="shared" si="16"/>
        <v>0</v>
      </c>
      <c r="F110" s="41">
        <f t="shared" si="16"/>
        <v>0</v>
      </c>
      <c r="G110" s="41">
        <f t="shared" si="16"/>
        <v>0</v>
      </c>
      <c r="H110" s="41">
        <f t="shared" si="16"/>
        <v>0</v>
      </c>
      <c r="I110" s="41">
        <f t="shared" si="16"/>
        <v>679622206</v>
      </c>
      <c r="J110" s="98"/>
    </row>
    <row r="111" spans="1:10" x14ac:dyDescent="0.2">
      <c r="B111" s="42"/>
      <c r="C111" s="42"/>
      <c r="D111" s="41"/>
      <c r="E111" s="41"/>
      <c r="F111" s="41"/>
      <c r="G111" s="41"/>
      <c r="H111" s="41"/>
      <c r="I111" s="41"/>
    </row>
    <row r="112" spans="1:10" x14ac:dyDescent="0.2">
      <c r="B112" s="42" t="s">
        <v>157</v>
      </c>
      <c r="C112" s="42"/>
      <c r="D112" s="41"/>
      <c r="E112" s="41"/>
      <c r="F112" s="41"/>
      <c r="G112" s="41"/>
      <c r="H112" s="41"/>
      <c r="I112" s="41"/>
    </row>
    <row r="113" spans="1:9" x14ac:dyDescent="0.2">
      <c r="A113" s="39">
        <f>A110+1</f>
        <v>29</v>
      </c>
      <c r="B113" s="39" t="s">
        <v>141</v>
      </c>
      <c r="D113" s="41">
        <f t="shared" ref="D113:H115" si="17">D78</f>
        <v>4608596779</v>
      </c>
      <c r="E113" s="41">
        <f t="shared" si="17"/>
        <v>0</v>
      </c>
      <c r="F113" s="41">
        <f t="shared" si="17"/>
        <v>0</v>
      </c>
      <c r="G113" s="41">
        <f t="shared" si="17"/>
        <v>133080116</v>
      </c>
      <c r="H113" s="41">
        <f t="shared" si="17"/>
        <v>0</v>
      </c>
      <c r="I113" s="41">
        <f>SUM(D113:H113)</f>
        <v>4741676895</v>
      </c>
    </row>
    <row r="114" spans="1:9" x14ac:dyDescent="0.2">
      <c r="A114" s="39">
        <f>A113+1</f>
        <v>30</v>
      </c>
      <c r="B114" s="42" t="s">
        <v>167</v>
      </c>
      <c r="C114" s="42"/>
      <c r="D114" s="41">
        <f t="shared" si="17"/>
        <v>8338836</v>
      </c>
      <c r="E114" s="41">
        <f t="shared" si="17"/>
        <v>0</v>
      </c>
      <c r="F114" s="41">
        <f t="shared" si="17"/>
        <v>0</v>
      </c>
      <c r="G114" s="41">
        <f t="shared" si="17"/>
        <v>240796</v>
      </c>
      <c r="H114" s="41">
        <f t="shared" si="17"/>
        <v>0</v>
      </c>
      <c r="I114" s="41">
        <f>SUM(D114:H114)</f>
        <v>8579632</v>
      </c>
    </row>
    <row r="115" spans="1:9" x14ac:dyDescent="0.2">
      <c r="A115" s="39">
        <f>A114+1</f>
        <v>31</v>
      </c>
      <c r="B115" s="39" t="s">
        <v>142</v>
      </c>
      <c r="D115" s="41">
        <f t="shared" si="17"/>
        <v>54234932</v>
      </c>
      <c r="E115" s="41">
        <f t="shared" si="17"/>
        <v>0</v>
      </c>
      <c r="F115" s="41">
        <f t="shared" si="17"/>
        <v>0</v>
      </c>
      <c r="G115" s="41">
        <f t="shared" si="17"/>
        <v>1202057</v>
      </c>
      <c r="H115" s="41">
        <f t="shared" si="17"/>
        <v>0</v>
      </c>
      <c r="I115" s="41">
        <f>SUM(D115:H115)</f>
        <v>55436989</v>
      </c>
    </row>
    <row r="116" spans="1:9" x14ac:dyDescent="0.2">
      <c r="B116" s="42" t="s">
        <v>171</v>
      </c>
      <c r="D116" s="41"/>
      <c r="E116" s="41"/>
      <c r="F116" s="41"/>
      <c r="G116" s="41"/>
      <c r="H116" s="41"/>
      <c r="I116" s="41"/>
    </row>
    <row r="117" spans="1:9" x14ac:dyDescent="0.2">
      <c r="A117" s="39">
        <f>A115+1</f>
        <v>32</v>
      </c>
      <c r="C117" s="39" t="s">
        <v>143</v>
      </c>
      <c r="D117" s="41">
        <f t="shared" ref="D117:H123" si="18">D82</f>
        <v>291070678</v>
      </c>
      <c r="E117" s="41">
        <f t="shared" si="18"/>
        <v>0</v>
      </c>
      <c r="F117" s="41">
        <f t="shared" si="18"/>
        <v>0</v>
      </c>
      <c r="G117" s="41">
        <f t="shared" si="18"/>
        <v>24401227</v>
      </c>
      <c r="H117" s="41">
        <f t="shared" si="18"/>
        <v>0</v>
      </c>
      <c r="I117" s="41">
        <f t="shared" ref="I117:I122" si="19">SUM(D117:H117)</f>
        <v>315471905</v>
      </c>
    </row>
    <row r="118" spans="1:9" x14ac:dyDescent="0.2">
      <c r="A118" s="39">
        <f t="shared" ref="A118:A129" si="20">A117+1</f>
        <v>33</v>
      </c>
      <c r="C118" s="39" t="s">
        <v>144</v>
      </c>
      <c r="D118" s="41">
        <f t="shared" si="18"/>
        <v>28520597</v>
      </c>
      <c r="E118" s="41">
        <f t="shared" si="18"/>
        <v>0</v>
      </c>
      <c r="F118" s="41">
        <f t="shared" si="18"/>
        <v>0</v>
      </c>
      <c r="G118" s="41">
        <f t="shared" si="18"/>
        <v>2953657</v>
      </c>
      <c r="H118" s="41">
        <f t="shared" si="18"/>
        <v>0</v>
      </c>
      <c r="I118" s="41">
        <f t="shared" si="19"/>
        <v>31474254</v>
      </c>
    </row>
    <row r="119" spans="1:9" x14ac:dyDescent="0.2">
      <c r="A119" s="39">
        <f t="shared" si="20"/>
        <v>34</v>
      </c>
      <c r="B119" s="42"/>
      <c r="C119" s="42" t="s">
        <v>170</v>
      </c>
      <c r="D119" s="41">
        <f t="shared" si="18"/>
        <v>7115538</v>
      </c>
      <c r="E119" s="41">
        <f t="shared" si="18"/>
        <v>0</v>
      </c>
      <c r="F119" s="41">
        <f t="shared" si="18"/>
        <v>0</v>
      </c>
      <c r="G119" s="41">
        <f t="shared" si="18"/>
        <v>942075</v>
      </c>
      <c r="H119" s="41">
        <f t="shared" si="18"/>
        <v>0</v>
      </c>
      <c r="I119" s="41">
        <f t="shared" si="19"/>
        <v>8057613</v>
      </c>
    </row>
    <row r="120" spans="1:9" x14ac:dyDescent="0.2">
      <c r="A120" s="39">
        <f t="shared" si="20"/>
        <v>35</v>
      </c>
      <c r="B120" s="39" t="s">
        <v>145</v>
      </c>
      <c r="D120" s="41">
        <f t="shared" si="18"/>
        <v>19685696</v>
      </c>
      <c r="E120" s="41">
        <f t="shared" si="18"/>
        <v>0</v>
      </c>
      <c r="F120" s="41">
        <f t="shared" si="18"/>
        <v>0</v>
      </c>
      <c r="G120" s="41">
        <f t="shared" si="18"/>
        <v>568537</v>
      </c>
      <c r="H120" s="41">
        <f t="shared" si="18"/>
        <v>0</v>
      </c>
      <c r="I120" s="41">
        <f t="shared" si="19"/>
        <v>20254233</v>
      </c>
    </row>
    <row r="121" spans="1:9" x14ac:dyDescent="0.2">
      <c r="A121" s="39">
        <f t="shared" si="20"/>
        <v>36</v>
      </c>
      <c r="B121" s="39" t="s">
        <v>146</v>
      </c>
      <c r="D121" s="41">
        <f t="shared" si="18"/>
        <v>58494223</v>
      </c>
      <c r="E121" s="41">
        <f t="shared" si="18"/>
        <v>0</v>
      </c>
      <c r="F121" s="41">
        <f t="shared" si="18"/>
        <v>0</v>
      </c>
      <c r="G121" s="41">
        <f t="shared" si="18"/>
        <v>727565</v>
      </c>
      <c r="H121" s="41">
        <f t="shared" si="18"/>
        <v>0</v>
      </c>
      <c r="I121" s="41">
        <f t="shared" si="19"/>
        <v>59221788</v>
      </c>
    </row>
    <row r="122" spans="1:9" x14ac:dyDescent="0.2">
      <c r="A122" s="39">
        <f t="shared" si="20"/>
        <v>37</v>
      </c>
      <c r="B122" s="39" t="s">
        <v>148</v>
      </c>
      <c r="D122" s="41">
        <f t="shared" si="18"/>
        <v>4232157</v>
      </c>
      <c r="E122" s="41">
        <f t="shared" si="18"/>
        <v>0</v>
      </c>
      <c r="F122" s="41">
        <f t="shared" si="18"/>
        <v>0</v>
      </c>
      <c r="G122" s="41">
        <f t="shared" si="18"/>
        <v>122271</v>
      </c>
      <c r="H122" s="41">
        <f t="shared" si="18"/>
        <v>0</v>
      </c>
      <c r="I122" s="41">
        <f t="shared" si="19"/>
        <v>4354428</v>
      </c>
    </row>
    <row r="123" spans="1:9" x14ac:dyDescent="0.2">
      <c r="A123" s="39">
        <f t="shared" si="20"/>
        <v>38</v>
      </c>
      <c r="B123" s="39" t="s">
        <v>244</v>
      </c>
      <c r="D123" s="41">
        <f t="shared" si="18"/>
        <v>0</v>
      </c>
      <c r="E123" s="41">
        <f t="shared" si="18"/>
        <v>0</v>
      </c>
      <c r="F123" s="41">
        <f t="shared" si="18"/>
        <v>0</v>
      </c>
      <c r="G123" s="41">
        <f t="shared" si="18"/>
        <v>0</v>
      </c>
      <c r="H123" s="41">
        <f t="shared" si="18"/>
        <v>0</v>
      </c>
      <c r="I123" s="41">
        <f t="shared" ref="I123:I129" si="21">SUM(D123:H123)</f>
        <v>0</v>
      </c>
    </row>
    <row r="124" spans="1:9" x14ac:dyDescent="0.2">
      <c r="A124" s="39">
        <f t="shared" si="20"/>
        <v>39</v>
      </c>
      <c r="B124" s="39" t="s">
        <v>147</v>
      </c>
      <c r="D124" s="41">
        <f t="shared" ref="D124:H127" si="22">D89-D104</f>
        <v>86726145</v>
      </c>
      <c r="E124" s="41">
        <f t="shared" si="22"/>
        <v>0</v>
      </c>
      <c r="F124" s="41">
        <f t="shared" si="22"/>
        <v>0</v>
      </c>
      <c r="G124" s="41">
        <f t="shared" si="22"/>
        <v>5456425</v>
      </c>
      <c r="H124" s="41">
        <f t="shared" si="22"/>
        <v>0</v>
      </c>
      <c r="I124" s="41">
        <f t="shared" si="21"/>
        <v>92182570</v>
      </c>
    </row>
    <row r="125" spans="1:9" x14ac:dyDescent="0.2">
      <c r="A125" s="39">
        <f t="shared" si="20"/>
        <v>40</v>
      </c>
      <c r="B125" s="39" t="s">
        <v>149</v>
      </c>
      <c r="D125" s="41">
        <f t="shared" si="22"/>
        <v>27888122</v>
      </c>
      <c r="E125" s="41">
        <f t="shared" si="22"/>
        <v>0</v>
      </c>
      <c r="F125" s="41">
        <f t="shared" si="22"/>
        <v>0</v>
      </c>
      <c r="G125" s="41">
        <f t="shared" si="22"/>
        <v>2645882</v>
      </c>
      <c r="H125" s="41">
        <f t="shared" si="22"/>
        <v>0</v>
      </c>
      <c r="I125" s="41">
        <f t="shared" si="21"/>
        <v>30534004</v>
      </c>
    </row>
    <row r="126" spans="1:9" x14ac:dyDescent="0.2">
      <c r="A126" s="39">
        <f t="shared" si="20"/>
        <v>41</v>
      </c>
      <c r="B126" s="42" t="s">
        <v>173</v>
      </c>
      <c r="D126" s="41">
        <f t="shared" si="22"/>
        <v>7481028</v>
      </c>
      <c r="E126" s="41">
        <f t="shared" si="22"/>
        <v>0</v>
      </c>
      <c r="F126" s="41">
        <f t="shared" si="22"/>
        <v>0</v>
      </c>
      <c r="G126" s="41">
        <f t="shared" si="22"/>
        <v>1150997</v>
      </c>
      <c r="H126" s="41">
        <f t="shared" si="22"/>
        <v>0</v>
      </c>
      <c r="I126" s="41">
        <f t="shared" si="21"/>
        <v>8632025</v>
      </c>
    </row>
    <row r="127" spans="1:9" x14ac:dyDescent="0.2">
      <c r="A127" s="39">
        <f t="shared" si="20"/>
        <v>42</v>
      </c>
      <c r="B127" s="42" t="s">
        <v>168</v>
      </c>
      <c r="C127" s="42"/>
      <c r="D127" s="41">
        <f t="shared" si="22"/>
        <v>37971403</v>
      </c>
      <c r="E127" s="41">
        <f t="shared" si="22"/>
        <v>0</v>
      </c>
      <c r="F127" s="41">
        <f t="shared" si="22"/>
        <v>0</v>
      </c>
      <c r="G127" s="41">
        <f t="shared" si="22"/>
        <v>936843</v>
      </c>
      <c r="H127" s="41">
        <f t="shared" si="22"/>
        <v>0</v>
      </c>
      <c r="I127" s="41">
        <f t="shared" si="21"/>
        <v>38908246</v>
      </c>
    </row>
    <row r="128" spans="1:9" x14ac:dyDescent="0.2">
      <c r="A128" s="39">
        <f t="shared" si="20"/>
        <v>43</v>
      </c>
      <c r="B128" s="42" t="s">
        <v>163</v>
      </c>
      <c r="C128" s="42"/>
      <c r="D128" s="41">
        <f>D93-D108-D129</f>
        <v>107935161</v>
      </c>
      <c r="E128" s="41">
        <v>0</v>
      </c>
      <c r="F128" s="41">
        <f>F93-F108-F129</f>
        <v>0</v>
      </c>
      <c r="G128" s="41">
        <f>G93-G108-G129</f>
        <v>0</v>
      </c>
      <c r="H128" s="41">
        <f>H93-H108-H129</f>
        <v>0</v>
      </c>
      <c r="I128" s="41">
        <f t="shared" si="21"/>
        <v>107935161</v>
      </c>
    </row>
    <row r="129" spans="1:10" x14ac:dyDescent="0.2">
      <c r="A129" s="39">
        <f t="shared" si="20"/>
        <v>44</v>
      </c>
      <c r="B129" s="39" t="s">
        <v>151</v>
      </c>
      <c r="D129" s="41">
        <v>8609264</v>
      </c>
      <c r="E129" s="41">
        <v>0</v>
      </c>
      <c r="F129" s="41">
        <v>0</v>
      </c>
      <c r="G129" s="41">
        <v>0</v>
      </c>
      <c r="H129" s="41">
        <v>0</v>
      </c>
      <c r="I129" s="41">
        <f t="shared" si="21"/>
        <v>8609264</v>
      </c>
    </row>
    <row r="130" spans="1:10" x14ac:dyDescent="0.2">
      <c r="B130" s="42" t="s">
        <v>172</v>
      </c>
      <c r="D130" s="41"/>
      <c r="E130" s="41"/>
      <c r="F130" s="41"/>
      <c r="G130" s="41"/>
      <c r="H130" s="41"/>
      <c r="I130" s="41"/>
    </row>
    <row r="131" spans="1:10" x14ac:dyDescent="0.2">
      <c r="A131" s="39">
        <f>A129+1</f>
        <v>45</v>
      </c>
      <c r="B131" s="42"/>
      <c r="C131" s="42" t="s">
        <v>175</v>
      </c>
      <c r="D131" s="41">
        <f t="shared" ref="D131:H135" si="23">D95</f>
        <v>-2965060</v>
      </c>
      <c r="E131" s="41">
        <f t="shared" si="23"/>
        <v>0</v>
      </c>
      <c r="F131" s="41">
        <f t="shared" si="23"/>
        <v>0</v>
      </c>
      <c r="G131" s="41">
        <f t="shared" si="23"/>
        <v>2079388</v>
      </c>
      <c r="H131" s="41">
        <f t="shared" si="23"/>
        <v>0</v>
      </c>
      <c r="I131" s="41">
        <f>SUM(D131:H131)</f>
        <v>-885672</v>
      </c>
    </row>
    <row r="132" spans="1:10" x14ac:dyDescent="0.2">
      <c r="A132" s="39">
        <f>A131+1</f>
        <v>46</v>
      </c>
      <c r="B132" s="42"/>
      <c r="C132" s="42" t="s">
        <v>182</v>
      </c>
      <c r="D132" s="41">
        <f t="shared" si="23"/>
        <v>2248629</v>
      </c>
      <c r="E132" s="41">
        <f t="shared" si="23"/>
        <v>0</v>
      </c>
      <c r="F132" s="41">
        <f t="shared" si="23"/>
        <v>0</v>
      </c>
      <c r="G132" s="41">
        <f t="shared" si="23"/>
        <v>-2248629</v>
      </c>
      <c r="H132" s="41">
        <f t="shared" si="23"/>
        <v>0</v>
      </c>
      <c r="I132" s="41">
        <f>SUM(D132:H132)</f>
        <v>0</v>
      </c>
    </row>
    <row r="133" spans="1:10" x14ac:dyDescent="0.2">
      <c r="A133" s="39">
        <f>A132+1</f>
        <v>47</v>
      </c>
      <c r="B133" s="42"/>
      <c r="C133" s="42" t="s">
        <v>201</v>
      </c>
      <c r="D133" s="41">
        <f t="shared" si="23"/>
        <v>36023</v>
      </c>
      <c r="E133" s="41">
        <f t="shared" si="23"/>
        <v>0</v>
      </c>
      <c r="F133" s="41">
        <f t="shared" si="23"/>
        <v>0</v>
      </c>
      <c r="G133" s="41">
        <f t="shared" si="23"/>
        <v>-36023</v>
      </c>
      <c r="H133" s="41">
        <f t="shared" si="23"/>
        <v>0</v>
      </c>
      <c r="I133" s="41">
        <f>SUM(D133:H133)</f>
        <v>0</v>
      </c>
    </row>
    <row r="134" spans="1:10" x14ac:dyDescent="0.2">
      <c r="A134" s="39">
        <f>A133+1</f>
        <v>48</v>
      </c>
      <c r="B134" s="42"/>
      <c r="C134" s="42" t="s">
        <v>183</v>
      </c>
      <c r="D134" s="41">
        <f t="shared" si="23"/>
        <v>503960</v>
      </c>
      <c r="E134" s="41">
        <f t="shared" si="23"/>
        <v>0</v>
      </c>
      <c r="F134" s="41">
        <f t="shared" si="23"/>
        <v>0</v>
      </c>
      <c r="G134" s="41">
        <f t="shared" si="23"/>
        <v>-503960</v>
      </c>
      <c r="H134" s="41">
        <f t="shared" si="23"/>
        <v>0</v>
      </c>
      <c r="I134" s="41">
        <f>SUM(D134:H134)</f>
        <v>0</v>
      </c>
    </row>
    <row r="135" spans="1:10" x14ac:dyDescent="0.2">
      <c r="A135" s="39">
        <f>A134+1</f>
        <v>49</v>
      </c>
      <c r="B135" s="42"/>
      <c r="C135" s="42" t="s">
        <v>251</v>
      </c>
      <c r="D135" s="41">
        <f t="shared" si="23"/>
        <v>-398</v>
      </c>
      <c r="E135" s="41">
        <f t="shared" si="23"/>
        <v>0</v>
      </c>
      <c r="F135" s="41">
        <f t="shared" si="23"/>
        <v>0</v>
      </c>
      <c r="G135" s="41">
        <f t="shared" si="23"/>
        <v>0</v>
      </c>
      <c r="H135" s="41">
        <f t="shared" si="23"/>
        <v>0</v>
      </c>
      <c r="I135" s="41">
        <f>SUM(D135:H135)</f>
        <v>-398</v>
      </c>
    </row>
    <row r="136" spans="1:10" x14ac:dyDescent="0.2">
      <c r="D136" s="41"/>
      <c r="E136" s="41"/>
      <c r="F136" s="41"/>
      <c r="G136" s="41"/>
      <c r="H136" s="41"/>
      <c r="I136" s="41"/>
    </row>
    <row r="137" spans="1:10" x14ac:dyDescent="0.2">
      <c r="A137" s="39">
        <f>A135+1</f>
        <v>50</v>
      </c>
      <c r="B137" s="42" t="s">
        <v>184</v>
      </c>
      <c r="C137" s="42"/>
      <c r="D137" s="41">
        <f t="shared" ref="D137:I137" si="24">SUM(D113:D135)</f>
        <v>5356723713</v>
      </c>
      <c r="E137" s="41">
        <f t="shared" si="24"/>
        <v>0</v>
      </c>
      <c r="F137" s="41">
        <f t="shared" si="24"/>
        <v>0</v>
      </c>
      <c r="G137" s="41">
        <f t="shared" si="24"/>
        <v>173719224</v>
      </c>
      <c r="H137" s="41">
        <f t="shared" si="24"/>
        <v>0</v>
      </c>
      <c r="I137" s="41">
        <f t="shared" si="24"/>
        <v>5530442937</v>
      </c>
      <c r="J137" s="98"/>
    </row>
    <row r="138" spans="1:10" x14ac:dyDescent="0.2">
      <c r="A138" s="39">
        <f>A137+1</f>
        <v>51</v>
      </c>
      <c r="B138" s="42" t="s">
        <v>160</v>
      </c>
      <c r="C138" s="42"/>
      <c r="D138" s="41">
        <f t="shared" ref="D138:I138" si="25">D137-D129</f>
        <v>5348114449</v>
      </c>
      <c r="E138" s="41">
        <f t="shared" si="25"/>
        <v>0</v>
      </c>
      <c r="F138" s="41">
        <f t="shared" si="25"/>
        <v>0</v>
      </c>
      <c r="G138" s="41">
        <f t="shared" si="25"/>
        <v>173719224</v>
      </c>
      <c r="H138" s="41">
        <f t="shared" si="25"/>
        <v>0</v>
      </c>
      <c r="I138" s="41">
        <f t="shared" si="25"/>
        <v>5521833673</v>
      </c>
      <c r="J138" s="98"/>
    </row>
    <row r="139" spans="1:10" x14ac:dyDescent="0.2">
      <c r="A139" s="39">
        <f>A138+1</f>
        <v>52</v>
      </c>
      <c r="B139" s="42" t="s">
        <v>161</v>
      </c>
      <c r="C139" s="42"/>
      <c r="D139" s="41">
        <f t="shared" ref="D139:I139" si="26">D129</f>
        <v>8609264</v>
      </c>
      <c r="E139" s="41">
        <f t="shared" si="26"/>
        <v>0</v>
      </c>
      <c r="F139" s="41">
        <f t="shared" si="26"/>
        <v>0</v>
      </c>
      <c r="G139" s="41">
        <f t="shared" si="26"/>
        <v>0</v>
      </c>
      <c r="H139" s="41">
        <f t="shared" si="26"/>
        <v>0</v>
      </c>
      <c r="I139" s="41">
        <f t="shared" si="26"/>
        <v>8609264</v>
      </c>
    </row>
    <row r="140" spans="1:10" x14ac:dyDescent="0.2">
      <c r="B140" s="42"/>
      <c r="C140" s="42"/>
      <c r="D140" s="41"/>
      <c r="E140" s="41"/>
      <c r="F140" s="41"/>
      <c r="G140" s="41"/>
      <c r="H140" s="41"/>
      <c r="I140" s="41"/>
    </row>
    <row r="141" spans="1:10" x14ac:dyDescent="0.2">
      <c r="A141" s="39">
        <f>A139+1</f>
        <v>53</v>
      </c>
      <c r="B141" s="42" t="s">
        <v>166</v>
      </c>
      <c r="C141" s="42"/>
      <c r="D141" s="41">
        <v>-45649267</v>
      </c>
      <c r="E141" s="41">
        <v>0</v>
      </c>
      <c r="F141" s="41">
        <v>0</v>
      </c>
      <c r="G141" s="41">
        <v>-1318241</v>
      </c>
      <c r="H141" s="41">
        <v>3</v>
      </c>
      <c r="I141" s="41">
        <f>SUM(D141:H141)</f>
        <v>-46967505</v>
      </c>
    </row>
    <row r="143" spans="1:10" x14ac:dyDescent="0.2">
      <c r="A143" s="138" t="s">
        <v>162</v>
      </c>
      <c r="B143" s="138"/>
      <c r="C143" s="139"/>
      <c r="D143" s="140" t="s">
        <v>176</v>
      </c>
      <c r="E143" s="140" t="s">
        <v>181</v>
      </c>
      <c r="F143" s="140" t="s">
        <v>177</v>
      </c>
      <c r="G143" s="140" t="s">
        <v>178</v>
      </c>
      <c r="H143" s="140" t="s">
        <v>179</v>
      </c>
      <c r="I143" s="140" t="s">
        <v>180</v>
      </c>
    </row>
    <row r="145" spans="1:9" x14ac:dyDescent="0.2">
      <c r="A145" s="39">
        <v>1</v>
      </c>
      <c r="B145" s="39" t="s">
        <v>140</v>
      </c>
      <c r="D145" s="43">
        <f t="shared" ref="D145:I145" si="27">D5-D75</f>
        <v>0</v>
      </c>
      <c r="E145" s="43">
        <f t="shared" si="27"/>
        <v>0</v>
      </c>
      <c r="F145" s="43">
        <f t="shared" si="27"/>
        <v>0</v>
      </c>
      <c r="G145" s="43">
        <f t="shared" si="27"/>
        <v>0</v>
      </c>
      <c r="H145" s="43">
        <f t="shared" si="27"/>
        <v>0</v>
      </c>
      <c r="I145" s="43">
        <f t="shared" si="27"/>
        <v>0</v>
      </c>
    </row>
    <row r="146" spans="1:9" x14ac:dyDescent="0.2">
      <c r="E146" s="43"/>
      <c r="F146" s="43"/>
      <c r="G146" s="43"/>
      <c r="H146" s="43"/>
      <c r="I146" s="43"/>
    </row>
    <row r="147" spans="1:9" x14ac:dyDescent="0.2">
      <c r="B147" s="42" t="s">
        <v>155</v>
      </c>
      <c r="D147" s="40"/>
      <c r="E147" s="40"/>
      <c r="F147" s="40"/>
      <c r="G147" s="40"/>
      <c r="H147" s="40"/>
      <c r="I147" s="40"/>
    </row>
    <row r="148" spans="1:9" x14ac:dyDescent="0.2">
      <c r="A148" s="39">
        <f>A145+1</f>
        <v>2</v>
      </c>
      <c r="B148" s="39" t="s">
        <v>141</v>
      </c>
      <c r="D148" s="43">
        <f t="shared" ref="D148:I150" si="28">D8-D78</f>
        <v>0</v>
      </c>
      <c r="E148" s="43">
        <f t="shared" si="28"/>
        <v>0</v>
      </c>
      <c r="F148" s="43">
        <f t="shared" si="28"/>
        <v>0</v>
      </c>
      <c r="G148" s="43">
        <f t="shared" si="28"/>
        <v>0</v>
      </c>
      <c r="H148" s="43">
        <f t="shared" si="28"/>
        <v>0</v>
      </c>
      <c r="I148" s="43">
        <f t="shared" si="28"/>
        <v>0</v>
      </c>
    </row>
    <row r="149" spans="1:9" x14ac:dyDescent="0.2">
      <c r="A149" s="39">
        <f>A148+1</f>
        <v>3</v>
      </c>
      <c r="B149" s="42" t="s">
        <v>167</v>
      </c>
      <c r="C149" s="42"/>
      <c r="D149" s="43">
        <f t="shared" si="28"/>
        <v>0</v>
      </c>
      <c r="E149" s="43">
        <f t="shared" si="28"/>
        <v>0</v>
      </c>
      <c r="F149" s="43">
        <f t="shared" si="28"/>
        <v>0</v>
      </c>
      <c r="G149" s="43">
        <f t="shared" si="28"/>
        <v>0</v>
      </c>
      <c r="H149" s="43">
        <f t="shared" si="28"/>
        <v>0</v>
      </c>
      <c r="I149" s="43">
        <f t="shared" si="28"/>
        <v>0</v>
      </c>
    </row>
    <row r="150" spans="1:9" x14ac:dyDescent="0.2">
      <c r="A150" s="39">
        <f>A149+1</f>
        <v>4</v>
      </c>
      <c r="B150" s="39" t="s">
        <v>142</v>
      </c>
      <c r="D150" s="43">
        <f t="shared" si="28"/>
        <v>0</v>
      </c>
      <c r="E150" s="43">
        <f t="shared" si="28"/>
        <v>0</v>
      </c>
      <c r="F150" s="43">
        <f t="shared" si="28"/>
        <v>0</v>
      </c>
      <c r="G150" s="43">
        <f t="shared" si="28"/>
        <v>0</v>
      </c>
      <c r="H150" s="43">
        <f t="shared" si="28"/>
        <v>0</v>
      </c>
      <c r="I150" s="43">
        <f t="shared" si="28"/>
        <v>0</v>
      </c>
    </row>
    <row r="151" spans="1:9" x14ac:dyDescent="0.2">
      <c r="B151" s="42" t="s">
        <v>171</v>
      </c>
      <c r="D151" s="43"/>
      <c r="E151" s="43"/>
      <c r="F151" s="43"/>
      <c r="G151" s="43"/>
      <c r="H151" s="43"/>
      <c r="I151" s="43"/>
    </row>
    <row r="152" spans="1:9" x14ac:dyDescent="0.2">
      <c r="A152" s="39">
        <f>A150+1</f>
        <v>5</v>
      </c>
      <c r="C152" s="39" t="s">
        <v>143</v>
      </c>
      <c r="D152" s="43">
        <f t="shared" ref="D152:I163" si="29">D12-D82</f>
        <v>0</v>
      </c>
      <c r="E152" s="43">
        <f t="shared" si="29"/>
        <v>0</v>
      </c>
      <c r="F152" s="43">
        <f t="shared" si="29"/>
        <v>0</v>
      </c>
      <c r="G152" s="43">
        <f t="shared" si="29"/>
        <v>0</v>
      </c>
      <c r="H152" s="43">
        <f t="shared" si="29"/>
        <v>0</v>
      </c>
      <c r="I152" s="43">
        <f t="shared" si="29"/>
        <v>0</v>
      </c>
    </row>
    <row r="153" spans="1:9" x14ac:dyDescent="0.2">
      <c r="A153" s="39">
        <f t="shared" ref="A153:A163" si="30">A152+1</f>
        <v>6</v>
      </c>
      <c r="C153" s="39" t="s">
        <v>144</v>
      </c>
      <c r="D153" s="43">
        <f t="shared" si="29"/>
        <v>0</v>
      </c>
      <c r="E153" s="43">
        <f t="shared" si="29"/>
        <v>0</v>
      </c>
      <c r="F153" s="43">
        <f t="shared" si="29"/>
        <v>0</v>
      </c>
      <c r="G153" s="43">
        <f t="shared" si="29"/>
        <v>0</v>
      </c>
      <c r="H153" s="43">
        <f t="shared" si="29"/>
        <v>0</v>
      </c>
      <c r="I153" s="43">
        <f t="shared" si="29"/>
        <v>0</v>
      </c>
    </row>
    <row r="154" spans="1:9" x14ac:dyDescent="0.2">
      <c r="A154" s="39">
        <f t="shared" si="30"/>
        <v>7</v>
      </c>
      <c r="B154" s="42"/>
      <c r="C154" s="42" t="s">
        <v>170</v>
      </c>
      <c r="D154" s="43">
        <f t="shared" si="29"/>
        <v>0</v>
      </c>
      <c r="E154" s="43">
        <f t="shared" si="29"/>
        <v>0</v>
      </c>
      <c r="F154" s="43">
        <f t="shared" si="29"/>
        <v>0</v>
      </c>
      <c r="G154" s="43">
        <f t="shared" si="29"/>
        <v>0</v>
      </c>
      <c r="H154" s="43">
        <f t="shared" si="29"/>
        <v>0</v>
      </c>
      <c r="I154" s="43">
        <f t="shared" si="29"/>
        <v>0</v>
      </c>
    </row>
    <row r="155" spans="1:9" x14ac:dyDescent="0.2">
      <c r="A155" s="39">
        <f t="shared" si="30"/>
        <v>8</v>
      </c>
      <c r="B155" s="39" t="s">
        <v>145</v>
      </c>
      <c r="D155" s="43">
        <f t="shared" si="29"/>
        <v>0</v>
      </c>
      <c r="E155" s="43">
        <f t="shared" si="29"/>
        <v>0</v>
      </c>
      <c r="F155" s="43">
        <f t="shared" si="29"/>
        <v>0</v>
      </c>
      <c r="G155" s="43">
        <f t="shared" si="29"/>
        <v>0</v>
      </c>
      <c r="H155" s="43">
        <f t="shared" si="29"/>
        <v>0</v>
      </c>
      <c r="I155" s="43">
        <f t="shared" si="29"/>
        <v>0</v>
      </c>
    </row>
    <row r="156" spans="1:9" x14ac:dyDescent="0.2">
      <c r="A156" s="39">
        <f t="shared" si="30"/>
        <v>9</v>
      </c>
      <c r="B156" s="39" t="s">
        <v>146</v>
      </c>
      <c r="D156" s="43">
        <f t="shared" si="29"/>
        <v>0</v>
      </c>
      <c r="E156" s="43">
        <f t="shared" si="29"/>
        <v>0</v>
      </c>
      <c r="F156" s="43">
        <f t="shared" si="29"/>
        <v>0</v>
      </c>
      <c r="G156" s="43">
        <f t="shared" si="29"/>
        <v>0</v>
      </c>
      <c r="H156" s="43">
        <f t="shared" si="29"/>
        <v>0</v>
      </c>
      <c r="I156" s="43">
        <f t="shared" si="29"/>
        <v>0</v>
      </c>
    </row>
    <row r="157" spans="1:9" x14ac:dyDescent="0.2">
      <c r="A157" s="39">
        <f t="shared" si="30"/>
        <v>10</v>
      </c>
      <c r="B157" s="39" t="s">
        <v>148</v>
      </c>
      <c r="D157" s="43">
        <f t="shared" si="29"/>
        <v>0</v>
      </c>
      <c r="E157" s="43">
        <f t="shared" si="29"/>
        <v>0</v>
      </c>
      <c r="F157" s="43">
        <f t="shared" si="29"/>
        <v>0</v>
      </c>
      <c r="G157" s="43">
        <f t="shared" si="29"/>
        <v>0</v>
      </c>
      <c r="H157" s="43">
        <f t="shared" si="29"/>
        <v>0</v>
      </c>
      <c r="I157" s="43">
        <f t="shared" si="29"/>
        <v>0</v>
      </c>
    </row>
    <row r="158" spans="1:9" x14ac:dyDescent="0.2">
      <c r="A158" s="39">
        <f t="shared" si="30"/>
        <v>11</v>
      </c>
      <c r="B158" s="39" t="s">
        <v>244</v>
      </c>
      <c r="D158" s="43">
        <f t="shared" si="29"/>
        <v>0</v>
      </c>
      <c r="E158" s="43">
        <f t="shared" si="29"/>
        <v>0</v>
      </c>
      <c r="F158" s="43">
        <f t="shared" si="29"/>
        <v>0</v>
      </c>
      <c r="G158" s="43">
        <f t="shared" si="29"/>
        <v>0</v>
      </c>
      <c r="H158" s="43">
        <f t="shared" si="29"/>
        <v>0</v>
      </c>
      <c r="I158" s="43">
        <f t="shared" si="29"/>
        <v>0</v>
      </c>
    </row>
    <row r="159" spans="1:9" x14ac:dyDescent="0.2">
      <c r="A159" s="39">
        <f t="shared" si="30"/>
        <v>12</v>
      </c>
      <c r="B159" s="39" t="s">
        <v>147</v>
      </c>
      <c r="D159" s="43">
        <f t="shared" si="29"/>
        <v>0</v>
      </c>
      <c r="E159" s="43">
        <f t="shared" si="29"/>
        <v>0</v>
      </c>
      <c r="F159" s="43">
        <f t="shared" si="29"/>
        <v>0</v>
      </c>
      <c r="G159" s="43">
        <f t="shared" si="29"/>
        <v>0</v>
      </c>
      <c r="H159" s="43">
        <f t="shared" si="29"/>
        <v>0</v>
      </c>
      <c r="I159" s="43">
        <f t="shared" si="29"/>
        <v>0</v>
      </c>
    </row>
    <row r="160" spans="1:9" x14ac:dyDescent="0.2">
      <c r="A160" s="39">
        <f t="shared" si="30"/>
        <v>13</v>
      </c>
      <c r="B160" s="39" t="s">
        <v>149</v>
      </c>
      <c r="D160" s="43">
        <f t="shared" si="29"/>
        <v>0</v>
      </c>
      <c r="E160" s="43">
        <f t="shared" si="29"/>
        <v>0</v>
      </c>
      <c r="F160" s="43">
        <f t="shared" si="29"/>
        <v>0</v>
      </c>
      <c r="G160" s="43">
        <f t="shared" si="29"/>
        <v>0</v>
      </c>
      <c r="H160" s="43">
        <f t="shared" si="29"/>
        <v>0</v>
      </c>
      <c r="I160" s="43">
        <f t="shared" si="29"/>
        <v>0</v>
      </c>
    </row>
    <row r="161" spans="1:9" x14ac:dyDescent="0.2">
      <c r="A161" s="39">
        <f t="shared" si="30"/>
        <v>14</v>
      </c>
      <c r="B161" s="42" t="s">
        <v>173</v>
      </c>
      <c r="D161" s="43">
        <f t="shared" si="29"/>
        <v>0</v>
      </c>
      <c r="E161" s="43">
        <f t="shared" si="29"/>
        <v>0</v>
      </c>
      <c r="F161" s="43">
        <f t="shared" si="29"/>
        <v>0</v>
      </c>
      <c r="G161" s="43">
        <f t="shared" si="29"/>
        <v>0</v>
      </c>
      <c r="H161" s="43">
        <f t="shared" si="29"/>
        <v>0</v>
      </c>
      <c r="I161" s="43">
        <f t="shared" si="29"/>
        <v>0</v>
      </c>
    </row>
    <row r="162" spans="1:9" x14ac:dyDescent="0.2">
      <c r="A162" s="39">
        <f t="shared" si="30"/>
        <v>15</v>
      </c>
      <c r="B162" s="42" t="s">
        <v>168</v>
      </c>
      <c r="C162" s="42"/>
      <c r="D162" s="43">
        <f t="shared" si="29"/>
        <v>0</v>
      </c>
      <c r="E162" s="43">
        <f t="shared" si="29"/>
        <v>0</v>
      </c>
      <c r="F162" s="43">
        <f t="shared" si="29"/>
        <v>0</v>
      </c>
      <c r="G162" s="43">
        <f t="shared" si="29"/>
        <v>0</v>
      </c>
      <c r="H162" s="43">
        <f t="shared" si="29"/>
        <v>0</v>
      </c>
      <c r="I162" s="43">
        <f t="shared" si="29"/>
        <v>0</v>
      </c>
    </row>
    <row r="163" spans="1:9" x14ac:dyDescent="0.2">
      <c r="A163" s="39">
        <f t="shared" si="30"/>
        <v>16</v>
      </c>
      <c r="B163" s="39" t="s">
        <v>150</v>
      </c>
      <c r="D163" s="43">
        <f t="shared" si="29"/>
        <v>0</v>
      </c>
      <c r="E163" s="43">
        <f t="shared" si="29"/>
        <v>0</v>
      </c>
      <c r="F163" s="43">
        <f t="shared" si="29"/>
        <v>0</v>
      </c>
      <c r="G163" s="43">
        <f t="shared" si="29"/>
        <v>0</v>
      </c>
      <c r="H163" s="43">
        <f t="shared" si="29"/>
        <v>0</v>
      </c>
      <c r="I163" s="43">
        <f t="shared" si="29"/>
        <v>0</v>
      </c>
    </row>
    <row r="164" spans="1:9" x14ac:dyDescent="0.2">
      <c r="B164" s="42" t="s">
        <v>172</v>
      </c>
      <c r="D164" s="43"/>
      <c r="E164" s="43"/>
      <c r="F164" s="43"/>
      <c r="G164" s="43"/>
      <c r="H164" s="43"/>
      <c r="I164" s="43"/>
    </row>
    <row r="165" spans="1:9" x14ac:dyDescent="0.2">
      <c r="A165" s="39">
        <f>A163+1</f>
        <v>17</v>
      </c>
      <c r="B165" s="42"/>
      <c r="C165" s="42" t="s">
        <v>175</v>
      </c>
      <c r="D165" s="43">
        <f t="shared" ref="D165:I169" si="31">D25-D95</f>
        <v>0</v>
      </c>
      <c r="E165" s="43">
        <f t="shared" si="31"/>
        <v>0</v>
      </c>
      <c r="F165" s="43">
        <f t="shared" si="31"/>
        <v>0</v>
      </c>
      <c r="G165" s="43">
        <f t="shared" si="31"/>
        <v>0</v>
      </c>
      <c r="H165" s="43">
        <f t="shared" si="31"/>
        <v>0</v>
      </c>
      <c r="I165" s="43">
        <f t="shared" si="31"/>
        <v>0</v>
      </c>
    </row>
    <row r="166" spans="1:9" x14ac:dyDescent="0.2">
      <c r="A166" s="39">
        <f>A165+1</f>
        <v>18</v>
      </c>
      <c r="B166" s="42"/>
      <c r="C166" s="42" t="s">
        <v>182</v>
      </c>
      <c r="D166" s="43">
        <f t="shared" si="31"/>
        <v>0</v>
      </c>
      <c r="E166" s="43">
        <f t="shared" si="31"/>
        <v>0</v>
      </c>
      <c r="F166" s="43">
        <f t="shared" si="31"/>
        <v>0</v>
      </c>
      <c r="G166" s="43">
        <f t="shared" si="31"/>
        <v>0</v>
      </c>
      <c r="H166" s="43">
        <f t="shared" si="31"/>
        <v>0</v>
      </c>
      <c r="I166" s="43">
        <f t="shared" si="31"/>
        <v>0</v>
      </c>
    </row>
    <row r="167" spans="1:9" x14ac:dyDescent="0.2">
      <c r="A167" s="39">
        <f>A166+1</f>
        <v>19</v>
      </c>
      <c r="B167" s="42"/>
      <c r="C167" s="42" t="s">
        <v>201</v>
      </c>
      <c r="D167" s="43">
        <f t="shared" si="31"/>
        <v>0</v>
      </c>
      <c r="E167" s="43">
        <f t="shared" si="31"/>
        <v>0</v>
      </c>
      <c r="F167" s="43">
        <f t="shared" si="31"/>
        <v>0</v>
      </c>
      <c r="G167" s="43">
        <f t="shared" si="31"/>
        <v>0</v>
      </c>
      <c r="H167" s="43">
        <f t="shared" si="31"/>
        <v>0</v>
      </c>
      <c r="I167" s="43">
        <f t="shared" si="31"/>
        <v>0</v>
      </c>
    </row>
    <row r="168" spans="1:9" x14ac:dyDescent="0.2">
      <c r="A168" s="39">
        <f>A167+1</f>
        <v>20</v>
      </c>
      <c r="B168" s="42"/>
      <c r="C168" s="42" t="s">
        <v>183</v>
      </c>
      <c r="D168" s="43">
        <f t="shared" si="31"/>
        <v>0</v>
      </c>
      <c r="E168" s="43">
        <f t="shared" si="31"/>
        <v>0</v>
      </c>
      <c r="F168" s="43">
        <f t="shared" si="31"/>
        <v>0</v>
      </c>
      <c r="G168" s="43">
        <f t="shared" si="31"/>
        <v>0</v>
      </c>
      <c r="H168" s="43">
        <f t="shared" si="31"/>
        <v>0</v>
      </c>
      <c r="I168" s="43">
        <f t="shared" si="31"/>
        <v>0</v>
      </c>
    </row>
    <row r="169" spans="1:9" x14ac:dyDescent="0.2">
      <c r="A169" s="39">
        <f>A168+1</f>
        <v>21</v>
      </c>
      <c r="B169" s="42"/>
      <c r="C169" s="42" t="s">
        <v>251</v>
      </c>
      <c r="D169" s="43">
        <f t="shared" si="31"/>
        <v>0</v>
      </c>
      <c r="E169" s="43">
        <f t="shared" si="31"/>
        <v>0</v>
      </c>
      <c r="F169" s="43">
        <f t="shared" si="31"/>
        <v>0</v>
      </c>
      <c r="G169" s="43">
        <f t="shared" si="31"/>
        <v>0</v>
      </c>
      <c r="H169" s="43">
        <f t="shared" si="31"/>
        <v>0</v>
      </c>
      <c r="I169" s="43">
        <f t="shared" si="31"/>
        <v>0</v>
      </c>
    </row>
    <row r="170" spans="1:9" x14ac:dyDescent="0.2">
      <c r="D170" s="41"/>
      <c r="E170" s="41"/>
      <c r="F170" s="41"/>
      <c r="G170" s="41"/>
      <c r="H170" s="41"/>
      <c r="I170" s="41"/>
    </row>
    <row r="171" spans="1:9" x14ac:dyDescent="0.2">
      <c r="A171" s="39">
        <f>A169+1</f>
        <v>22</v>
      </c>
      <c r="B171" s="42" t="s">
        <v>158</v>
      </c>
      <c r="D171" s="43">
        <f t="shared" ref="D171:I171" si="32">D31-D101</f>
        <v>0</v>
      </c>
      <c r="E171" s="43">
        <f t="shared" si="32"/>
        <v>0</v>
      </c>
      <c r="F171" s="43">
        <f t="shared" si="32"/>
        <v>0</v>
      </c>
      <c r="G171" s="43">
        <f t="shared" si="32"/>
        <v>0</v>
      </c>
      <c r="H171" s="43">
        <f t="shared" si="32"/>
        <v>0</v>
      </c>
      <c r="I171" s="43">
        <f t="shared" si="32"/>
        <v>0</v>
      </c>
    </row>
    <row r="172" spans="1:9" x14ac:dyDescent="0.2">
      <c r="D172" s="41"/>
      <c r="E172" s="41"/>
      <c r="F172" s="41"/>
      <c r="G172" s="41"/>
      <c r="H172" s="41"/>
      <c r="I172" s="41"/>
    </row>
    <row r="173" spans="1:9" x14ac:dyDescent="0.2">
      <c r="B173" s="42" t="s">
        <v>156</v>
      </c>
      <c r="C173" s="42"/>
      <c r="D173" s="41"/>
      <c r="E173" s="41"/>
      <c r="F173" s="41"/>
      <c r="G173" s="41"/>
      <c r="H173" s="41"/>
      <c r="I173" s="41"/>
    </row>
    <row r="174" spans="1:9" x14ac:dyDescent="0.2">
      <c r="A174" s="39">
        <f>A171+1</f>
        <v>23</v>
      </c>
      <c r="B174" s="39" t="s">
        <v>153</v>
      </c>
      <c r="D174" s="43">
        <f t="shared" ref="D174:I178" si="33">D34-D104</f>
        <v>0</v>
      </c>
      <c r="E174" s="43">
        <f t="shared" si="33"/>
        <v>0</v>
      </c>
      <c r="F174" s="43">
        <f t="shared" si="33"/>
        <v>0</v>
      </c>
      <c r="G174" s="43">
        <f t="shared" si="33"/>
        <v>0</v>
      </c>
      <c r="H174" s="43">
        <f t="shared" si="33"/>
        <v>0</v>
      </c>
      <c r="I174" s="43">
        <f t="shared" si="33"/>
        <v>0</v>
      </c>
    </row>
    <row r="175" spans="1:9" x14ac:dyDescent="0.2">
      <c r="A175" s="39">
        <f>A174+1</f>
        <v>24</v>
      </c>
      <c r="B175" s="39" t="s">
        <v>152</v>
      </c>
      <c r="D175" s="43">
        <f t="shared" si="33"/>
        <v>0</v>
      </c>
      <c r="E175" s="43">
        <f t="shared" si="33"/>
        <v>0</v>
      </c>
      <c r="F175" s="43">
        <f t="shared" si="33"/>
        <v>0</v>
      </c>
      <c r="G175" s="43">
        <f t="shared" si="33"/>
        <v>0</v>
      </c>
      <c r="H175" s="43">
        <f t="shared" si="33"/>
        <v>0</v>
      </c>
      <c r="I175" s="43">
        <f t="shared" si="33"/>
        <v>0</v>
      </c>
    </row>
    <row r="176" spans="1:9" x14ac:dyDescent="0.2">
      <c r="A176" s="39">
        <f>A175+1</f>
        <v>25</v>
      </c>
      <c r="B176" s="42" t="s">
        <v>174</v>
      </c>
      <c r="D176" s="43">
        <f t="shared" si="33"/>
        <v>0</v>
      </c>
      <c r="E176" s="43">
        <f t="shared" si="33"/>
        <v>0</v>
      </c>
      <c r="F176" s="43">
        <f t="shared" si="33"/>
        <v>0</v>
      </c>
      <c r="G176" s="43">
        <f t="shared" si="33"/>
        <v>0</v>
      </c>
      <c r="H176" s="43">
        <f t="shared" si="33"/>
        <v>0</v>
      </c>
      <c r="I176" s="43">
        <f t="shared" si="33"/>
        <v>0</v>
      </c>
    </row>
    <row r="177" spans="1:9" x14ac:dyDescent="0.2">
      <c r="A177" s="39">
        <f>A176+1</f>
        <v>26</v>
      </c>
      <c r="B177" s="42" t="s">
        <v>168</v>
      </c>
      <c r="C177" s="42"/>
      <c r="D177" s="43">
        <f t="shared" si="33"/>
        <v>0</v>
      </c>
      <c r="E177" s="43">
        <f t="shared" si="33"/>
        <v>0</v>
      </c>
      <c r="F177" s="43">
        <f t="shared" si="33"/>
        <v>0</v>
      </c>
      <c r="G177" s="43">
        <f t="shared" si="33"/>
        <v>0</v>
      </c>
      <c r="H177" s="43">
        <f t="shared" si="33"/>
        <v>0</v>
      </c>
      <c r="I177" s="43">
        <f t="shared" si="33"/>
        <v>0</v>
      </c>
    </row>
    <row r="178" spans="1:9" x14ac:dyDescent="0.2">
      <c r="A178" s="39">
        <f>A177+1</f>
        <v>27</v>
      </c>
      <c r="B178" s="39" t="s">
        <v>154</v>
      </c>
      <c r="D178" s="43">
        <f t="shared" si="33"/>
        <v>0</v>
      </c>
      <c r="E178" s="43">
        <f t="shared" si="33"/>
        <v>0</v>
      </c>
      <c r="F178" s="43">
        <f t="shared" si="33"/>
        <v>0</v>
      </c>
      <c r="G178" s="43">
        <f t="shared" si="33"/>
        <v>0</v>
      </c>
      <c r="H178" s="43">
        <f t="shared" si="33"/>
        <v>0</v>
      </c>
      <c r="I178" s="43">
        <f t="shared" si="33"/>
        <v>0</v>
      </c>
    </row>
    <row r="179" spans="1:9" x14ac:dyDescent="0.2">
      <c r="D179" s="41"/>
      <c r="E179" s="41"/>
      <c r="F179" s="41"/>
      <c r="G179" s="41"/>
      <c r="H179" s="41"/>
      <c r="I179" s="41"/>
    </row>
    <row r="180" spans="1:9" x14ac:dyDescent="0.2">
      <c r="A180" s="39">
        <f>A178+1</f>
        <v>28</v>
      </c>
      <c r="B180" s="42" t="s">
        <v>159</v>
      </c>
      <c r="C180" s="42"/>
      <c r="D180" s="43">
        <f t="shared" ref="D180:I180" si="34">D40-D110</f>
        <v>0</v>
      </c>
      <c r="E180" s="43">
        <f t="shared" si="34"/>
        <v>0</v>
      </c>
      <c r="F180" s="43">
        <f t="shared" si="34"/>
        <v>0</v>
      </c>
      <c r="G180" s="43">
        <f t="shared" si="34"/>
        <v>0</v>
      </c>
      <c r="H180" s="43">
        <f t="shared" si="34"/>
        <v>0</v>
      </c>
      <c r="I180" s="43">
        <f t="shared" si="34"/>
        <v>0</v>
      </c>
    </row>
    <row r="181" spans="1:9" x14ac:dyDescent="0.2">
      <c r="B181" s="42"/>
      <c r="C181" s="42"/>
      <c r="D181" s="41"/>
      <c r="E181" s="41"/>
      <c r="F181" s="41"/>
      <c r="G181" s="41"/>
      <c r="H181" s="41"/>
      <c r="I181" s="41"/>
    </row>
    <row r="182" spans="1:9" x14ac:dyDescent="0.2">
      <c r="B182" s="42" t="s">
        <v>157</v>
      </c>
      <c r="C182" s="42"/>
      <c r="D182" s="41"/>
      <c r="E182" s="41"/>
      <c r="F182" s="41"/>
      <c r="G182" s="41"/>
      <c r="H182" s="41"/>
      <c r="I182" s="41"/>
    </row>
    <row r="183" spans="1:9" x14ac:dyDescent="0.2">
      <c r="A183" s="39">
        <f>A180+1</f>
        <v>29</v>
      </c>
      <c r="B183" s="39" t="s">
        <v>141</v>
      </c>
      <c r="D183" s="43">
        <f t="shared" ref="D183:I185" si="35">D43-D113</f>
        <v>0</v>
      </c>
      <c r="E183" s="43">
        <f t="shared" si="35"/>
        <v>0</v>
      </c>
      <c r="F183" s="43">
        <f t="shared" si="35"/>
        <v>0</v>
      </c>
      <c r="G183" s="43">
        <f t="shared" si="35"/>
        <v>0</v>
      </c>
      <c r="H183" s="43">
        <f t="shared" si="35"/>
        <v>0</v>
      </c>
      <c r="I183" s="43">
        <f t="shared" si="35"/>
        <v>0</v>
      </c>
    </row>
    <row r="184" spans="1:9" x14ac:dyDescent="0.2">
      <c r="A184" s="39">
        <f>A183+1</f>
        <v>30</v>
      </c>
      <c r="B184" s="42" t="s">
        <v>167</v>
      </c>
      <c r="C184" s="42"/>
      <c r="D184" s="43">
        <f t="shared" si="35"/>
        <v>0</v>
      </c>
      <c r="E184" s="43">
        <f t="shared" si="35"/>
        <v>0</v>
      </c>
      <c r="F184" s="43">
        <f t="shared" si="35"/>
        <v>0</v>
      </c>
      <c r="G184" s="43">
        <f t="shared" si="35"/>
        <v>0</v>
      </c>
      <c r="H184" s="43">
        <f t="shared" si="35"/>
        <v>0</v>
      </c>
      <c r="I184" s="43">
        <f t="shared" si="35"/>
        <v>0</v>
      </c>
    </row>
    <row r="185" spans="1:9" x14ac:dyDescent="0.2">
      <c r="A185" s="39">
        <f>A184+1</f>
        <v>31</v>
      </c>
      <c r="B185" s="39" t="s">
        <v>142</v>
      </c>
      <c r="D185" s="43">
        <f t="shared" si="35"/>
        <v>0</v>
      </c>
      <c r="E185" s="43">
        <f t="shared" si="35"/>
        <v>0</v>
      </c>
      <c r="F185" s="43">
        <f t="shared" si="35"/>
        <v>0</v>
      </c>
      <c r="G185" s="43">
        <f t="shared" si="35"/>
        <v>0</v>
      </c>
      <c r="H185" s="43">
        <f t="shared" si="35"/>
        <v>0</v>
      </c>
      <c r="I185" s="43">
        <f t="shared" si="35"/>
        <v>0</v>
      </c>
    </row>
    <row r="186" spans="1:9" x14ac:dyDescent="0.2">
      <c r="B186" s="42" t="s">
        <v>171</v>
      </c>
      <c r="D186" s="43"/>
      <c r="E186" s="43"/>
      <c r="F186" s="43"/>
      <c r="G186" s="43"/>
      <c r="H186" s="43"/>
      <c r="I186" s="43"/>
    </row>
    <row r="187" spans="1:9" x14ac:dyDescent="0.2">
      <c r="A187" s="39">
        <f>A185+1</f>
        <v>32</v>
      </c>
      <c r="C187" s="39" t="s">
        <v>143</v>
      </c>
      <c r="D187" s="43">
        <f t="shared" ref="D187:I199" si="36">D47-D117</f>
        <v>0</v>
      </c>
      <c r="E187" s="43">
        <f t="shared" si="36"/>
        <v>0</v>
      </c>
      <c r="F187" s="43">
        <f t="shared" si="36"/>
        <v>0</v>
      </c>
      <c r="G187" s="43">
        <f t="shared" si="36"/>
        <v>0</v>
      </c>
      <c r="H187" s="43">
        <f t="shared" si="36"/>
        <v>0</v>
      </c>
      <c r="I187" s="43">
        <f t="shared" si="36"/>
        <v>0</v>
      </c>
    </row>
    <row r="188" spans="1:9" x14ac:dyDescent="0.2">
      <c r="A188" s="39">
        <f t="shared" ref="A188:A199" si="37">A187+1</f>
        <v>33</v>
      </c>
      <c r="C188" s="39" t="s">
        <v>144</v>
      </c>
      <c r="D188" s="43">
        <f t="shared" si="36"/>
        <v>0</v>
      </c>
      <c r="E188" s="43">
        <f t="shared" si="36"/>
        <v>0</v>
      </c>
      <c r="F188" s="43">
        <f t="shared" si="36"/>
        <v>0</v>
      </c>
      <c r="G188" s="43">
        <f t="shared" si="36"/>
        <v>0</v>
      </c>
      <c r="H188" s="43">
        <f t="shared" si="36"/>
        <v>0</v>
      </c>
      <c r="I188" s="43">
        <f t="shared" si="36"/>
        <v>0</v>
      </c>
    </row>
    <row r="189" spans="1:9" x14ac:dyDescent="0.2">
      <c r="A189" s="39">
        <f t="shared" si="37"/>
        <v>34</v>
      </c>
      <c r="B189" s="42"/>
      <c r="C189" s="42" t="s">
        <v>170</v>
      </c>
      <c r="D189" s="43">
        <f t="shared" si="36"/>
        <v>0</v>
      </c>
      <c r="E189" s="43">
        <f t="shared" si="36"/>
        <v>0</v>
      </c>
      <c r="F189" s="43">
        <f t="shared" si="36"/>
        <v>0</v>
      </c>
      <c r="G189" s="43">
        <f t="shared" si="36"/>
        <v>0</v>
      </c>
      <c r="H189" s="43">
        <f t="shared" si="36"/>
        <v>0</v>
      </c>
      <c r="I189" s="43">
        <f t="shared" si="36"/>
        <v>0</v>
      </c>
    </row>
    <row r="190" spans="1:9" x14ac:dyDescent="0.2">
      <c r="A190" s="39">
        <f t="shared" si="37"/>
        <v>35</v>
      </c>
      <c r="B190" s="39" t="s">
        <v>145</v>
      </c>
      <c r="D190" s="43">
        <f t="shared" si="36"/>
        <v>0</v>
      </c>
      <c r="E190" s="43">
        <f t="shared" si="36"/>
        <v>0</v>
      </c>
      <c r="F190" s="43">
        <f t="shared" si="36"/>
        <v>0</v>
      </c>
      <c r="G190" s="43">
        <f t="shared" si="36"/>
        <v>0</v>
      </c>
      <c r="H190" s="43">
        <f t="shared" si="36"/>
        <v>0</v>
      </c>
      <c r="I190" s="43">
        <f t="shared" si="36"/>
        <v>0</v>
      </c>
    </row>
    <row r="191" spans="1:9" x14ac:dyDescent="0.2">
      <c r="A191" s="39">
        <f t="shared" si="37"/>
        <v>36</v>
      </c>
      <c r="B191" s="39" t="s">
        <v>146</v>
      </c>
      <c r="D191" s="43">
        <f t="shared" si="36"/>
        <v>0</v>
      </c>
      <c r="E191" s="43">
        <f t="shared" si="36"/>
        <v>0</v>
      </c>
      <c r="F191" s="43">
        <f t="shared" si="36"/>
        <v>0</v>
      </c>
      <c r="G191" s="43">
        <f t="shared" si="36"/>
        <v>0</v>
      </c>
      <c r="H191" s="43">
        <f t="shared" si="36"/>
        <v>0</v>
      </c>
      <c r="I191" s="43">
        <f t="shared" si="36"/>
        <v>0</v>
      </c>
    </row>
    <row r="192" spans="1:9" x14ac:dyDescent="0.2">
      <c r="A192" s="39">
        <f t="shared" si="37"/>
        <v>37</v>
      </c>
      <c r="B192" s="39" t="s">
        <v>148</v>
      </c>
      <c r="D192" s="43">
        <f t="shared" si="36"/>
        <v>0</v>
      </c>
      <c r="E192" s="43">
        <f t="shared" si="36"/>
        <v>0</v>
      </c>
      <c r="F192" s="43">
        <f t="shared" si="36"/>
        <v>0</v>
      </c>
      <c r="G192" s="43">
        <f t="shared" si="36"/>
        <v>0</v>
      </c>
      <c r="H192" s="43">
        <f t="shared" si="36"/>
        <v>0</v>
      </c>
      <c r="I192" s="43">
        <f t="shared" si="36"/>
        <v>0</v>
      </c>
    </row>
    <row r="193" spans="1:9" x14ac:dyDescent="0.2">
      <c r="A193" s="39">
        <f t="shared" si="37"/>
        <v>38</v>
      </c>
      <c r="B193" s="39" t="s">
        <v>244</v>
      </c>
      <c r="D193" s="43">
        <f t="shared" si="36"/>
        <v>0</v>
      </c>
      <c r="E193" s="43">
        <f t="shared" si="36"/>
        <v>0</v>
      </c>
      <c r="F193" s="43">
        <f t="shared" si="36"/>
        <v>0</v>
      </c>
      <c r="G193" s="43">
        <f t="shared" si="36"/>
        <v>0</v>
      </c>
      <c r="H193" s="43">
        <f t="shared" si="36"/>
        <v>0</v>
      </c>
      <c r="I193" s="43">
        <f t="shared" si="36"/>
        <v>0</v>
      </c>
    </row>
    <row r="194" spans="1:9" x14ac:dyDescent="0.2">
      <c r="A194" s="39">
        <f t="shared" si="37"/>
        <v>39</v>
      </c>
      <c r="B194" s="39" t="s">
        <v>147</v>
      </c>
      <c r="D194" s="43">
        <f t="shared" si="36"/>
        <v>0</v>
      </c>
      <c r="E194" s="43">
        <f t="shared" si="36"/>
        <v>0</v>
      </c>
      <c r="F194" s="43">
        <f t="shared" si="36"/>
        <v>0</v>
      </c>
      <c r="G194" s="43">
        <f t="shared" si="36"/>
        <v>0</v>
      </c>
      <c r="H194" s="43">
        <f t="shared" si="36"/>
        <v>0</v>
      </c>
      <c r="I194" s="43">
        <f t="shared" si="36"/>
        <v>0</v>
      </c>
    </row>
    <row r="195" spans="1:9" x14ac:dyDescent="0.2">
      <c r="A195" s="39">
        <f t="shared" si="37"/>
        <v>40</v>
      </c>
      <c r="B195" s="39" t="s">
        <v>149</v>
      </c>
      <c r="D195" s="43">
        <f t="shared" si="36"/>
        <v>0</v>
      </c>
      <c r="E195" s="43">
        <f t="shared" si="36"/>
        <v>0</v>
      </c>
      <c r="F195" s="43">
        <f t="shared" si="36"/>
        <v>0</v>
      </c>
      <c r="G195" s="43">
        <f t="shared" si="36"/>
        <v>0</v>
      </c>
      <c r="H195" s="43">
        <f t="shared" si="36"/>
        <v>0</v>
      </c>
      <c r="I195" s="43">
        <f t="shared" si="36"/>
        <v>0</v>
      </c>
    </row>
    <row r="196" spans="1:9" x14ac:dyDescent="0.2">
      <c r="A196" s="39">
        <f t="shared" si="37"/>
        <v>41</v>
      </c>
      <c r="B196" s="42" t="s">
        <v>173</v>
      </c>
      <c r="D196" s="43">
        <f t="shared" si="36"/>
        <v>0</v>
      </c>
      <c r="E196" s="43">
        <f t="shared" si="36"/>
        <v>0</v>
      </c>
      <c r="F196" s="43">
        <f t="shared" si="36"/>
        <v>0</v>
      </c>
      <c r="G196" s="43">
        <f t="shared" si="36"/>
        <v>0</v>
      </c>
      <c r="H196" s="43">
        <f t="shared" si="36"/>
        <v>0</v>
      </c>
      <c r="I196" s="43">
        <f t="shared" si="36"/>
        <v>0</v>
      </c>
    </row>
    <row r="197" spans="1:9" x14ac:dyDescent="0.2">
      <c r="A197" s="39">
        <f t="shared" si="37"/>
        <v>42</v>
      </c>
      <c r="B197" s="42" t="s">
        <v>168</v>
      </c>
      <c r="C197" s="42"/>
      <c r="D197" s="43">
        <f t="shared" si="36"/>
        <v>0</v>
      </c>
      <c r="E197" s="43">
        <f t="shared" si="36"/>
        <v>0</v>
      </c>
      <c r="F197" s="43">
        <f t="shared" si="36"/>
        <v>0</v>
      </c>
      <c r="G197" s="43">
        <f t="shared" si="36"/>
        <v>0</v>
      </c>
      <c r="H197" s="43">
        <f t="shared" si="36"/>
        <v>0</v>
      </c>
      <c r="I197" s="43">
        <f t="shared" si="36"/>
        <v>0</v>
      </c>
    </row>
    <row r="198" spans="1:9" x14ac:dyDescent="0.2">
      <c r="A198" s="39">
        <f t="shared" si="37"/>
        <v>43</v>
      </c>
      <c r="B198" s="42" t="s">
        <v>163</v>
      </c>
      <c r="C198" s="42"/>
      <c r="D198" s="43">
        <f t="shared" si="36"/>
        <v>0</v>
      </c>
      <c r="E198" s="43">
        <f t="shared" si="36"/>
        <v>0</v>
      </c>
      <c r="F198" s="43">
        <f t="shared" si="36"/>
        <v>0</v>
      </c>
      <c r="G198" s="43">
        <f t="shared" si="36"/>
        <v>0</v>
      </c>
      <c r="H198" s="43">
        <f t="shared" si="36"/>
        <v>0</v>
      </c>
      <c r="I198" s="43">
        <f t="shared" si="36"/>
        <v>0</v>
      </c>
    </row>
    <row r="199" spans="1:9" x14ac:dyDescent="0.2">
      <c r="A199" s="39">
        <f t="shared" si="37"/>
        <v>44</v>
      </c>
      <c r="B199" s="39" t="s">
        <v>151</v>
      </c>
      <c r="D199" s="43">
        <f t="shared" si="36"/>
        <v>0</v>
      </c>
      <c r="E199" s="43">
        <f t="shared" si="36"/>
        <v>0</v>
      </c>
      <c r="F199" s="43">
        <f t="shared" si="36"/>
        <v>0</v>
      </c>
      <c r="G199" s="43">
        <f t="shared" si="36"/>
        <v>0</v>
      </c>
      <c r="H199" s="43">
        <f t="shared" si="36"/>
        <v>0</v>
      </c>
      <c r="I199" s="43">
        <f t="shared" si="36"/>
        <v>0</v>
      </c>
    </row>
    <row r="200" spans="1:9" x14ac:dyDescent="0.2">
      <c r="B200" s="42" t="s">
        <v>172</v>
      </c>
      <c r="D200" s="43"/>
      <c r="E200" s="43"/>
      <c r="F200" s="43"/>
      <c r="G200" s="43"/>
      <c r="H200" s="43"/>
      <c r="I200" s="43"/>
    </row>
    <row r="201" spans="1:9" x14ac:dyDescent="0.2">
      <c r="A201" s="39">
        <f>A199+1</f>
        <v>45</v>
      </c>
      <c r="B201" s="42"/>
      <c r="C201" s="42" t="s">
        <v>175</v>
      </c>
      <c r="D201" s="43">
        <f t="shared" ref="D201:I205" si="38">D61-D131</f>
        <v>0</v>
      </c>
      <c r="E201" s="43">
        <f t="shared" si="38"/>
        <v>0</v>
      </c>
      <c r="F201" s="43">
        <f t="shared" si="38"/>
        <v>0</v>
      </c>
      <c r="G201" s="43">
        <f t="shared" si="38"/>
        <v>0</v>
      </c>
      <c r="H201" s="43">
        <f t="shared" si="38"/>
        <v>0</v>
      </c>
      <c r="I201" s="43">
        <f t="shared" si="38"/>
        <v>0</v>
      </c>
    </row>
    <row r="202" spans="1:9" x14ac:dyDescent="0.2">
      <c r="A202" s="39">
        <f>A201+1</f>
        <v>46</v>
      </c>
      <c r="B202" s="42"/>
      <c r="C202" s="42" t="s">
        <v>182</v>
      </c>
      <c r="D202" s="43">
        <f t="shared" si="38"/>
        <v>0</v>
      </c>
      <c r="E202" s="43">
        <f t="shared" si="38"/>
        <v>0</v>
      </c>
      <c r="F202" s="43">
        <f t="shared" si="38"/>
        <v>0</v>
      </c>
      <c r="G202" s="43">
        <f t="shared" si="38"/>
        <v>0</v>
      </c>
      <c r="H202" s="43">
        <f t="shared" si="38"/>
        <v>0</v>
      </c>
      <c r="I202" s="43">
        <f t="shared" si="38"/>
        <v>0</v>
      </c>
    </row>
    <row r="203" spans="1:9" x14ac:dyDescent="0.2">
      <c r="A203" s="39">
        <f>A202+1</f>
        <v>47</v>
      </c>
      <c r="B203" s="42"/>
      <c r="C203" s="42" t="s">
        <v>201</v>
      </c>
      <c r="D203" s="43">
        <f t="shared" si="38"/>
        <v>0</v>
      </c>
      <c r="E203" s="43">
        <f t="shared" si="38"/>
        <v>0</v>
      </c>
      <c r="F203" s="43">
        <f t="shared" si="38"/>
        <v>0</v>
      </c>
      <c r="G203" s="43">
        <f t="shared" si="38"/>
        <v>0</v>
      </c>
      <c r="H203" s="43">
        <f t="shared" si="38"/>
        <v>0</v>
      </c>
      <c r="I203" s="43">
        <f t="shared" si="38"/>
        <v>0</v>
      </c>
    </row>
    <row r="204" spans="1:9" x14ac:dyDescent="0.2">
      <c r="A204" s="39">
        <f>A203+1</f>
        <v>48</v>
      </c>
      <c r="B204" s="42"/>
      <c r="C204" s="42" t="s">
        <v>183</v>
      </c>
      <c r="D204" s="43">
        <f t="shared" si="38"/>
        <v>0</v>
      </c>
      <c r="E204" s="43">
        <f t="shared" si="38"/>
        <v>0</v>
      </c>
      <c r="F204" s="43">
        <f t="shared" si="38"/>
        <v>0</v>
      </c>
      <c r="G204" s="43">
        <f t="shared" si="38"/>
        <v>0</v>
      </c>
      <c r="H204" s="43">
        <f t="shared" si="38"/>
        <v>0</v>
      </c>
      <c r="I204" s="43">
        <f t="shared" si="38"/>
        <v>0</v>
      </c>
    </row>
    <row r="205" spans="1:9" x14ac:dyDescent="0.2">
      <c r="A205" s="39">
        <f>A204+1</f>
        <v>49</v>
      </c>
      <c r="B205" s="42"/>
      <c r="C205" s="42" t="s">
        <v>251</v>
      </c>
      <c r="D205" s="43">
        <f t="shared" si="38"/>
        <v>0</v>
      </c>
      <c r="E205" s="43">
        <f t="shared" si="38"/>
        <v>0</v>
      </c>
      <c r="F205" s="43">
        <f t="shared" si="38"/>
        <v>0</v>
      </c>
      <c r="G205" s="43">
        <f t="shared" si="38"/>
        <v>0</v>
      </c>
      <c r="H205" s="43">
        <f t="shared" si="38"/>
        <v>0</v>
      </c>
      <c r="I205" s="43">
        <f t="shared" si="38"/>
        <v>0</v>
      </c>
    </row>
    <row r="206" spans="1:9" x14ac:dyDescent="0.2">
      <c r="D206" s="41"/>
      <c r="E206" s="41"/>
      <c r="F206" s="41"/>
      <c r="G206" s="41"/>
      <c r="H206" s="41"/>
      <c r="I206" s="41"/>
    </row>
    <row r="207" spans="1:9" x14ac:dyDescent="0.2">
      <c r="A207" s="39">
        <f>A205+1</f>
        <v>50</v>
      </c>
      <c r="B207" s="42" t="s">
        <v>184</v>
      </c>
      <c r="C207" s="42"/>
      <c r="D207" s="43">
        <f t="shared" ref="D207:I209" si="39">D67-D137</f>
        <v>0</v>
      </c>
      <c r="E207" s="43">
        <f t="shared" si="39"/>
        <v>0</v>
      </c>
      <c r="F207" s="43">
        <f t="shared" si="39"/>
        <v>0</v>
      </c>
      <c r="G207" s="43">
        <f t="shared" si="39"/>
        <v>0</v>
      </c>
      <c r="H207" s="43">
        <f t="shared" si="39"/>
        <v>0</v>
      </c>
      <c r="I207" s="43">
        <f t="shared" si="39"/>
        <v>0</v>
      </c>
    </row>
    <row r="208" spans="1:9" x14ac:dyDescent="0.2">
      <c r="A208" s="39">
        <f>A207+1</f>
        <v>51</v>
      </c>
      <c r="B208" s="42" t="s">
        <v>160</v>
      </c>
      <c r="C208" s="42"/>
      <c r="D208" s="43">
        <f t="shared" si="39"/>
        <v>0</v>
      </c>
      <c r="E208" s="43">
        <f t="shared" si="39"/>
        <v>0</v>
      </c>
      <c r="F208" s="43">
        <f t="shared" si="39"/>
        <v>0</v>
      </c>
      <c r="G208" s="43">
        <f t="shared" si="39"/>
        <v>0</v>
      </c>
      <c r="H208" s="43">
        <f t="shared" si="39"/>
        <v>0</v>
      </c>
      <c r="I208" s="43">
        <f t="shared" si="39"/>
        <v>0</v>
      </c>
    </row>
    <row r="209" spans="1:9" x14ac:dyDescent="0.2">
      <c r="A209" s="39">
        <f>A208+1</f>
        <v>52</v>
      </c>
      <c r="B209" s="42" t="s">
        <v>161</v>
      </c>
      <c r="C209" s="42"/>
      <c r="D209" s="43">
        <f t="shared" si="39"/>
        <v>0</v>
      </c>
      <c r="E209" s="43">
        <f t="shared" si="39"/>
        <v>0</v>
      </c>
      <c r="F209" s="43">
        <f t="shared" si="39"/>
        <v>0</v>
      </c>
      <c r="G209" s="43">
        <f t="shared" si="39"/>
        <v>0</v>
      </c>
      <c r="H209" s="43">
        <f t="shared" si="39"/>
        <v>0</v>
      </c>
      <c r="I209" s="43">
        <f t="shared" si="39"/>
        <v>0</v>
      </c>
    </row>
    <row r="210" spans="1:9" x14ac:dyDescent="0.2">
      <c r="B210" s="42"/>
      <c r="C210" s="42"/>
      <c r="D210" s="43"/>
      <c r="E210" s="43"/>
      <c r="F210" s="43"/>
      <c r="G210" s="43"/>
      <c r="H210" s="43"/>
      <c r="I210" s="43"/>
    </row>
    <row r="211" spans="1:9" x14ac:dyDescent="0.2">
      <c r="A211" s="39">
        <f>A209+1</f>
        <v>53</v>
      </c>
      <c r="B211" s="42" t="s">
        <v>166</v>
      </c>
      <c r="C211" s="42"/>
      <c r="D211" s="43">
        <f t="shared" ref="D211:I211" si="40">D71-D141</f>
        <v>0</v>
      </c>
      <c r="E211" s="43">
        <f t="shared" si="40"/>
        <v>0</v>
      </c>
      <c r="F211" s="43">
        <f t="shared" si="40"/>
        <v>0</v>
      </c>
      <c r="G211" s="43">
        <f t="shared" si="40"/>
        <v>0</v>
      </c>
      <c r="H211" s="43">
        <f t="shared" si="40"/>
        <v>0</v>
      </c>
      <c r="I211" s="43">
        <f t="shared" si="40"/>
        <v>0</v>
      </c>
    </row>
  </sheetData>
  <phoneticPr fontId="1" type="noConversion"/>
  <printOptions horizontalCentered="1" gridLines="1"/>
  <pageMargins left="0.5" right="0.25" top="1" bottom="0.5" header="0.5" footer="0.25"/>
  <pageSetup scale="73" fitToHeight="3" orientation="portrait" horizontalDpi="300" verticalDpi="300" r:id="rId1"/>
  <headerFooter alignWithMargins="0">
    <oddHeader>&amp;L&amp;"Arial,Bold"DEPT of EDUCATION
Program Finance Div.&amp;C&amp;"Arial,Bold"&amp;A GENERAL EDUCATION
*** FINAL ***&amp;R&amp;"Arial,Bold"&amp;D
&amp;T</oddHeader>
    <oddFooter>&amp;L&amp;"Arial,Regular"&amp;F&amp;R&amp;"Arial,Regular"&amp;A</oddFooter>
  </headerFooter>
  <rowBreaks count="2" manualBreakCount="2">
    <brk id="72" max="9" man="1"/>
    <brk id="142" max="9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 enableFormatConditionsCalculation="0">
    <tabColor indexed="43"/>
    <pageSetUpPr fitToPage="1"/>
  </sheetPr>
  <dimension ref="A1:F15"/>
  <sheetViews>
    <sheetView workbookViewId="0">
      <selection activeCell="E9" sqref="E9"/>
    </sheetView>
  </sheetViews>
  <sheetFormatPr defaultRowHeight="12" x14ac:dyDescent="0.15"/>
  <cols>
    <col min="2" max="2" width="15.625" customWidth="1"/>
    <col min="3" max="3" width="16.75" customWidth="1"/>
    <col min="4" max="4" width="16.25" customWidth="1"/>
    <col min="5" max="5" width="17.5" customWidth="1"/>
    <col min="6" max="6" width="16" bestFit="1" customWidth="1"/>
  </cols>
  <sheetData>
    <row r="1" spans="1:6" x14ac:dyDescent="0.15">
      <c r="A1" s="2" t="s">
        <v>408</v>
      </c>
    </row>
    <row r="2" spans="1:6" x14ac:dyDescent="0.15">
      <c r="A2" s="2" t="s">
        <v>440</v>
      </c>
    </row>
    <row r="3" spans="1:6" x14ac:dyDescent="0.15">
      <c r="F3" s="94"/>
    </row>
    <row r="4" spans="1:6" x14ac:dyDescent="0.15">
      <c r="B4" s="100" t="s">
        <v>310</v>
      </c>
      <c r="C4" s="175" t="s">
        <v>310</v>
      </c>
      <c r="D4" s="100" t="s">
        <v>309</v>
      </c>
      <c r="E4" s="100" t="s">
        <v>180</v>
      </c>
      <c r="F4" s="94"/>
    </row>
    <row r="5" spans="1:6" x14ac:dyDescent="0.15">
      <c r="B5" s="100" t="s">
        <v>308</v>
      </c>
      <c r="C5" s="195" t="s">
        <v>409</v>
      </c>
      <c r="D5" s="100" t="s">
        <v>311</v>
      </c>
      <c r="E5" s="100" t="s">
        <v>312</v>
      </c>
      <c r="F5" s="147" t="s">
        <v>353</v>
      </c>
    </row>
    <row r="6" spans="1:6" x14ac:dyDescent="0.15">
      <c r="C6" s="176"/>
      <c r="F6" s="94"/>
    </row>
    <row r="7" spans="1:6" x14ac:dyDescent="0.15">
      <c r="A7" t="s">
        <v>164</v>
      </c>
      <c r="B7" s="132">
        <v>67325</v>
      </c>
      <c r="C7" s="177">
        <v>1071077.75</v>
      </c>
      <c r="D7" s="132">
        <f t="shared" ref="D7:D12" si="0">E7-B7-C7</f>
        <v>-1138757.9299999995</v>
      </c>
      <c r="E7" s="94">
        <f>'FY 2008'!I29</f>
        <v>-355.17999999946915</v>
      </c>
      <c r="F7" s="94">
        <f t="shared" ref="F7:F12" si="1">SUM(B7:D7)-E7</f>
        <v>0</v>
      </c>
    </row>
    <row r="8" spans="1:6" x14ac:dyDescent="0.15">
      <c r="A8" t="s">
        <v>165</v>
      </c>
      <c r="B8" s="132">
        <v>67194.37</v>
      </c>
      <c r="C8" s="177">
        <v>1069001.3899999999</v>
      </c>
      <c r="D8" s="132">
        <f t="shared" si="0"/>
        <v>-1136656.92</v>
      </c>
      <c r="E8" s="94">
        <f>'FY 2009'!I30</f>
        <v>-461.16000000014901</v>
      </c>
      <c r="F8" s="94">
        <f t="shared" si="1"/>
        <v>0</v>
      </c>
    </row>
    <row r="9" spans="1:6" x14ac:dyDescent="0.15">
      <c r="A9" t="s">
        <v>249</v>
      </c>
      <c r="B9" s="132">
        <v>75218</v>
      </c>
      <c r="C9" s="177">
        <v>877539</v>
      </c>
      <c r="D9" s="132">
        <f t="shared" si="0"/>
        <v>-953206</v>
      </c>
      <c r="E9" s="94">
        <f>'FY 2010'!J30</f>
        <v>-449</v>
      </c>
      <c r="F9" s="94">
        <f t="shared" si="1"/>
        <v>0</v>
      </c>
    </row>
    <row r="10" spans="1:6" x14ac:dyDescent="0.15">
      <c r="A10" t="s">
        <v>250</v>
      </c>
      <c r="B10" s="132">
        <v>25093</v>
      </c>
      <c r="C10" s="177">
        <v>878268</v>
      </c>
      <c r="D10" s="132">
        <f t="shared" si="0"/>
        <v>-903556</v>
      </c>
      <c r="E10" s="94">
        <f>'FY 2011'!J29</f>
        <v>-195</v>
      </c>
      <c r="F10" s="94">
        <f t="shared" si="1"/>
        <v>0</v>
      </c>
    </row>
    <row r="11" spans="1:6" x14ac:dyDescent="0.15">
      <c r="A11" t="s">
        <v>300</v>
      </c>
      <c r="B11" s="132">
        <f t="shared" ref="B11:C14" si="2">B10</f>
        <v>25093</v>
      </c>
      <c r="C11" s="177">
        <f t="shared" si="2"/>
        <v>878268</v>
      </c>
      <c r="D11" s="132">
        <f t="shared" si="0"/>
        <v>-903556</v>
      </c>
      <c r="E11" s="94">
        <f>'FY 2012'!J29</f>
        <v>-195</v>
      </c>
      <c r="F11" s="94">
        <f t="shared" si="1"/>
        <v>0</v>
      </c>
    </row>
    <row r="12" spans="1:6" x14ac:dyDescent="0.15">
      <c r="A12" t="s">
        <v>301</v>
      </c>
      <c r="B12" s="132">
        <f t="shared" si="2"/>
        <v>25093</v>
      </c>
      <c r="C12" s="177">
        <f t="shared" si="2"/>
        <v>878268</v>
      </c>
      <c r="D12" s="132">
        <f t="shared" si="0"/>
        <v>-903556</v>
      </c>
      <c r="E12" s="94">
        <f>'FY 2013'!J29</f>
        <v>-195</v>
      </c>
      <c r="F12" s="94">
        <f t="shared" si="1"/>
        <v>0</v>
      </c>
    </row>
    <row r="13" spans="1:6" x14ac:dyDescent="0.15">
      <c r="A13" t="s">
        <v>388</v>
      </c>
      <c r="B13" s="132">
        <f t="shared" si="2"/>
        <v>25093</v>
      </c>
      <c r="C13" s="177">
        <f t="shared" si="2"/>
        <v>878268</v>
      </c>
      <c r="D13" s="132">
        <f>E13-B13-C13</f>
        <v>-903556</v>
      </c>
      <c r="E13" s="94">
        <f>'FY 2014'!J29</f>
        <v>-195</v>
      </c>
      <c r="F13" s="94">
        <f>SUM(B13:D13)-E13</f>
        <v>0</v>
      </c>
    </row>
    <row r="14" spans="1:6" x14ac:dyDescent="0.15">
      <c r="A14" t="s">
        <v>389</v>
      </c>
      <c r="B14" s="132">
        <f t="shared" si="2"/>
        <v>25093</v>
      </c>
      <c r="C14" s="177">
        <f t="shared" si="2"/>
        <v>878268</v>
      </c>
      <c r="D14" s="132">
        <f>E14-B14-C14</f>
        <v>-903556</v>
      </c>
      <c r="E14" s="94">
        <f>'FY 2015'!J29</f>
        <v>-195</v>
      </c>
      <c r="F14" s="94">
        <f>SUM(B14:D14)-E14</f>
        <v>0</v>
      </c>
    </row>
    <row r="15" spans="1:6" x14ac:dyDescent="0.15">
      <c r="F15" s="94"/>
    </row>
  </sheetData>
  <phoneticPr fontId="9" type="noConversion"/>
  <pageMargins left="0.75" right="0.75" top="1" bottom="1" header="0.5" footer="0.5"/>
  <pageSetup scale="99" orientation="portrait" r:id="rId1"/>
  <headerFooter alignWithMargins="0">
    <oddHeader>&amp;R&amp;D</oddHeader>
    <oddFooter>&amp;L&amp;F&amp;R&amp;A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 enableFormatConditionsCalculation="0">
    <tabColor indexed="29"/>
  </sheetPr>
  <dimension ref="A1:E38"/>
  <sheetViews>
    <sheetView zoomScaleNormal="100" zoomScaleSheetLayoutView="85" workbookViewId="0">
      <pane xSplit="3" ySplit="3" topLeftCell="D4" activePane="bottomRight" state="frozen"/>
      <selection activeCell="E39" sqref="E39"/>
      <selection pane="topRight" activeCell="E39" sqref="E39"/>
      <selection pane="bottomLeft" activeCell="E39" sqref="E39"/>
      <selection pane="bottomRight" activeCell="A2" sqref="A2"/>
    </sheetView>
  </sheetViews>
  <sheetFormatPr defaultColWidth="8" defaultRowHeight="12.75" x14ac:dyDescent="0.2"/>
  <cols>
    <col min="1" max="1" width="4.125" style="39" customWidth="1"/>
    <col min="2" max="2" width="2.25" style="39" customWidth="1"/>
    <col min="3" max="3" width="28.625" style="39" customWidth="1"/>
    <col min="4" max="5" width="12.625" style="39" customWidth="1"/>
    <col min="6" max="16384" width="8" style="39"/>
  </cols>
  <sheetData>
    <row r="1" spans="1:5" x14ac:dyDescent="0.2">
      <c r="A1" s="173" t="s">
        <v>383</v>
      </c>
      <c r="D1" s="40"/>
      <c r="E1" s="40"/>
    </row>
    <row r="3" spans="1:5" x14ac:dyDescent="0.2">
      <c r="A3" s="170" t="s">
        <v>382</v>
      </c>
      <c r="B3" s="170"/>
      <c r="C3" s="171"/>
      <c r="D3" s="172" t="s">
        <v>164</v>
      </c>
      <c r="E3" s="172" t="s">
        <v>165</v>
      </c>
    </row>
    <row r="5" spans="1:5" x14ac:dyDescent="0.2">
      <c r="A5" s="39">
        <v>1</v>
      </c>
      <c r="B5" s="39" t="s">
        <v>140</v>
      </c>
      <c r="D5" s="41">
        <f>'FY 2008'!I5</f>
        <v>953432</v>
      </c>
      <c r="E5" s="41">
        <f>'FY 2009'!$I5</f>
        <v>948587</v>
      </c>
    </row>
    <row r="7" spans="1:5" x14ac:dyDescent="0.2">
      <c r="B7" s="42" t="s">
        <v>157</v>
      </c>
      <c r="D7" s="40"/>
      <c r="E7" s="40"/>
    </row>
    <row r="8" spans="1:5" x14ac:dyDescent="0.2">
      <c r="A8" s="39">
        <f>A5+1</f>
        <v>2</v>
      </c>
      <c r="B8" s="42" t="s">
        <v>371</v>
      </c>
      <c r="D8" s="40">
        <f>ROUND(D14/1000,1)</f>
        <v>38137.4</v>
      </c>
      <c r="E8" s="40">
        <f>ROUND(E14/1000,1)</f>
        <v>52172.4</v>
      </c>
    </row>
    <row r="12" spans="1:5" x14ac:dyDescent="0.2">
      <c r="D12" s="160">
        <v>36868026.399999999</v>
      </c>
      <c r="E12" s="160">
        <v>50178416.75</v>
      </c>
    </row>
    <row r="13" spans="1:5" x14ac:dyDescent="0.2">
      <c r="D13" s="160">
        <v>1269336.3999999999</v>
      </c>
      <c r="E13" s="160">
        <v>1994028.3</v>
      </c>
    </row>
    <row r="14" spans="1:5" x14ac:dyDescent="0.2">
      <c r="D14" s="114">
        <f>SUM(D12:D13)</f>
        <v>38137362.799999997</v>
      </c>
      <c r="E14" s="114">
        <f>SUM(E12:E13)</f>
        <v>52172445.049999997</v>
      </c>
    </row>
    <row r="15" spans="1:5" x14ac:dyDescent="0.2">
      <c r="D15" s="114"/>
      <c r="E15" s="114"/>
    </row>
    <row r="16" spans="1:5" x14ac:dyDescent="0.2">
      <c r="D16" s="114"/>
      <c r="E16" s="114"/>
    </row>
    <row r="18" spans="1:5" x14ac:dyDescent="0.2">
      <c r="A18" s="107" t="s">
        <v>368</v>
      </c>
      <c r="B18" s="107"/>
      <c r="C18" s="108"/>
      <c r="D18" s="109" t="s">
        <v>164</v>
      </c>
      <c r="E18" s="109" t="s">
        <v>165</v>
      </c>
    </row>
    <row r="20" spans="1:5" x14ac:dyDescent="0.2">
      <c r="A20" s="39">
        <v>1</v>
      </c>
      <c r="B20" s="39" t="s">
        <v>140</v>
      </c>
      <c r="D20" s="41">
        <f>'FY 2008'!I75</f>
        <v>953432</v>
      </c>
      <c r="E20" s="41">
        <f>'FY 2009'!$I77</f>
        <v>948587</v>
      </c>
    </row>
    <row r="22" spans="1:5" x14ac:dyDescent="0.2">
      <c r="B22" s="42" t="s">
        <v>157</v>
      </c>
      <c r="D22" s="40"/>
      <c r="E22" s="40"/>
    </row>
    <row r="23" spans="1:5" x14ac:dyDescent="0.2">
      <c r="A23" s="39">
        <f>A20+1</f>
        <v>2</v>
      </c>
      <c r="B23" s="42" t="s">
        <v>371</v>
      </c>
      <c r="D23" s="40">
        <f>ROUND(D29/1000,1)</f>
        <v>38137.4</v>
      </c>
      <c r="E23" s="40">
        <f>ROUND(E29/1000,1)</f>
        <v>52150.400000000001</v>
      </c>
    </row>
    <row r="27" spans="1:5" x14ac:dyDescent="0.2">
      <c r="D27" s="160">
        <v>36868026.399999999</v>
      </c>
      <c r="E27" s="160">
        <v>50161774.850000001</v>
      </c>
    </row>
    <row r="28" spans="1:5" x14ac:dyDescent="0.2">
      <c r="D28" s="160">
        <v>1269336.3999999999</v>
      </c>
      <c r="E28" s="160">
        <v>1988603.1</v>
      </c>
    </row>
    <row r="29" spans="1:5" x14ac:dyDescent="0.2">
      <c r="D29" s="114">
        <f>SUM(D27:D28)</f>
        <v>38137362.799999997</v>
      </c>
      <c r="E29" s="114">
        <f>SUM(E27:E28)</f>
        <v>52150377.950000003</v>
      </c>
    </row>
    <row r="33" spans="1:5" x14ac:dyDescent="0.2">
      <c r="A33" s="128" t="s">
        <v>200</v>
      </c>
      <c r="B33" s="128"/>
      <c r="C33" s="129"/>
      <c r="D33" s="130" t="s">
        <v>164</v>
      </c>
      <c r="E33" s="130" t="s">
        <v>165</v>
      </c>
    </row>
    <row r="35" spans="1:5" x14ac:dyDescent="0.2">
      <c r="A35" s="39">
        <v>1</v>
      </c>
      <c r="B35" s="39" t="s">
        <v>140</v>
      </c>
      <c r="D35" s="41">
        <f>D5-D20</f>
        <v>0</v>
      </c>
      <c r="E35" s="41">
        <f>E5-E20</f>
        <v>0</v>
      </c>
    </row>
    <row r="37" spans="1:5" x14ac:dyDescent="0.2">
      <c r="B37" s="42" t="s">
        <v>157</v>
      </c>
      <c r="D37" s="40"/>
      <c r="E37" s="40"/>
    </row>
    <row r="38" spans="1:5" x14ac:dyDescent="0.2">
      <c r="A38" s="39">
        <f>A35+1</f>
        <v>2</v>
      </c>
      <c r="B38" s="42" t="s">
        <v>371</v>
      </c>
      <c r="D38" s="40">
        <f>D8-D23</f>
        <v>0</v>
      </c>
      <c r="E38" s="40">
        <f>E8-E23</f>
        <v>22</v>
      </c>
    </row>
  </sheetData>
  <phoneticPr fontId="1" type="noConversion"/>
  <printOptions horizontalCentered="1" gridLines="1"/>
  <pageMargins left="0.5" right="0.25" top="1" bottom="0.5" header="0.5" footer="0.25"/>
  <pageSetup scale="68" fitToHeight="3" orientation="portrait" horizontalDpi="300" verticalDpi="300" r:id="rId1"/>
  <headerFooter alignWithMargins="0">
    <oddHeader>&amp;L&amp;"Arial,Bold"DEPT of EDUCATION
Program Finance Div.&amp;C&amp;"Arial,Bold"FY 08-15 GENERAL EDUCATION REVENUE
NOVEMBER 2010 FORECAST VS. FEBRUARY 2010 FORECAST&amp;R&amp;"Arial,Bold"&amp;D
&amp;T</oddHeader>
    <oddFooter>&amp;L&amp;"Arial,Regular"&amp;F&amp;R&amp;"Arial,Regular"&amp;A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syncVertical="1" syncRef="A1" transitionEvaluation="1" codeName="Sheet24">
    <pageSetUpPr fitToPage="1"/>
  </sheetPr>
  <dimension ref="A1:J23"/>
  <sheetViews>
    <sheetView workbookViewId="0">
      <selection activeCell="E23" sqref="E23"/>
    </sheetView>
  </sheetViews>
  <sheetFormatPr defaultColWidth="9.625" defaultRowHeight="12" x14ac:dyDescent="0.15"/>
  <cols>
    <col min="1" max="1" width="10.125" style="2" customWidth="1"/>
    <col min="2" max="2" width="13.875" style="2" customWidth="1"/>
    <col min="3" max="3" width="12.625" style="2" bestFit="1" customWidth="1"/>
    <col min="4" max="4" width="12.125" style="2" customWidth="1"/>
    <col min="5" max="5" width="16" style="2" bestFit="1" customWidth="1"/>
    <col min="6" max="6" width="17.125" style="2" bestFit="1" customWidth="1"/>
    <col min="7" max="7" width="9.625" style="2" hidden="1" customWidth="1"/>
    <col min="8" max="8" width="18.375" style="2" customWidth="1"/>
    <col min="9" max="9" width="12.625" style="2" customWidth="1"/>
    <col min="10" max="10" width="14.875" style="2" customWidth="1"/>
    <col min="11" max="11" width="9.625" style="2"/>
    <col min="12" max="29" width="12.625" style="2" customWidth="1"/>
    <col min="30" max="16384" width="9.625" style="2"/>
  </cols>
  <sheetData>
    <row r="1" spans="1:10" x14ac:dyDescent="0.15">
      <c r="A1" s="1" t="s">
        <v>202</v>
      </c>
      <c r="F1" s="51"/>
    </row>
    <row r="2" spans="1:10" x14ac:dyDescent="0.15">
      <c r="A2" s="4" t="s">
        <v>438</v>
      </c>
      <c r="F2" s="51"/>
    </row>
    <row r="3" spans="1:10" ht="12.75" thickBot="1" x14ac:dyDescent="0.2">
      <c r="A3" s="5"/>
      <c r="B3" s="6"/>
      <c r="C3" s="6"/>
      <c r="D3" s="6"/>
      <c r="E3" s="6"/>
      <c r="F3" s="6"/>
      <c r="H3" s="6"/>
    </row>
    <row r="4" spans="1:10" ht="18.75" x14ac:dyDescent="0.25">
      <c r="A4" s="275" t="str">
        <f>A1</f>
        <v>GENERAL REDUCTION FOR CHARTER SCHOOLS</v>
      </c>
      <c r="B4" s="275"/>
      <c r="C4" s="275"/>
      <c r="D4" s="275"/>
      <c r="E4" s="275"/>
      <c r="F4" s="275"/>
      <c r="G4" s="275"/>
      <c r="H4" s="276"/>
    </row>
    <row r="5" spans="1:10" ht="19.5" thickBot="1" x14ac:dyDescent="0.3">
      <c r="A5" s="277" t="str">
        <f>A2</f>
        <v>FEBRUARY 2011 FORECAST</v>
      </c>
      <c r="B5" s="277"/>
      <c r="C5" s="277"/>
      <c r="D5" s="277"/>
      <c r="E5" s="277"/>
      <c r="F5" s="277"/>
      <c r="G5" s="277"/>
      <c r="H5" s="278"/>
    </row>
    <row r="6" spans="1:10" ht="12.75" thickBot="1" x14ac:dyDescent="0.2">
      <c r="A6" s="252"/>
      <c r="B6" s="253" t="s">
        <v>203</v>
      </c>
      <c r="C6" s="254" t="s">
        <v>204</v>
      </c>
      <c r="D6" s="254" t="s">
        <v>205</v>
      </c>
      <c r="E6" s="255" t="s">
        <v>206</v>
      </c>
      <c r="F6" s="256" t="s">
        <v>207</v>
      </c>
      <c r="G6" s="257" t="s">
        <v>9</v>
      </c>
      <c r="H6" s="258" t="s">
        <v>208</v>
      </c>
    </row>
    <row r="7" spans="1:10" x14ac:dyDescent="0.15">
      <c r="A7" s="259"/>
      <c r="B7" s="52"/>
      <c r="C7" s="53"/>
      <c r="D7" s="53"/>
      <c r="E7" s="54"/>
      <c r="F7" s="55"/>
      <c r="G7" s="12"/>
      <c r="H7" s="3"/>
    </row>
    <row r="8" spans="1:10" x14ac:dyDescent="0.15">
      <c r="A8" s="260" t="s">
        <v>136</v>
      </c>
      <c r="B8" s="56">
        <v>-45908384</v>
      </c>
      <c r="C8" s="26">
        <f>'Pupil Data'!C37+'Pupil Data'!D37</f>
        <v>941129</v>
      </c>
      <c r="D8" s="57">
        <f t="shared" ref="D8:D13" si="0">ROUND(B8/C8,2)</f>
        <v>-48.78</v>
      </c>
      <c r="E8" s="54">
        <f>'Pupil Data'!E37+'Pupil Data'!F37</f>
        <v>15967</v>
      </c>
      <c r="F8" s="55">
        <f t="shared" ref="F8:F13" si="1">ROUND(D8*E8,0)</f>
        <v>-778870</v>
      </c>
      <c r="G8" s="12"/>
      <c r="H8" s="58">
        <f t="shared" ref="H8:H13" si="2">B8+F8</f>
        <v>-46687254</v>
      </c>
    </row>
    <row r="9" spans="1:10" x14ac:dyDescent="0.15">
      <c r="A9" s="260" t="s">
        <v>137</v>
      </c>
      <c r="B9" s="56">
        <v>-45782189.030000001</v>
      </c>
      <c r="C9" s="26">
        <f>'Pupil Data'!C38+'Pupil Data'!D38</f>
        <v>933497</v>
      </c>
      <c r="D9" s="57">
        <f t="shared" si="0"/>
        <v>-49.04</v>
      </c>
      <c r="E9" s="54">
        <f>'Pupil Data'!E38+'Pupil Data'!F38</f>
        <v>19538</v>
      </c>
      <c r="F9" s="55">
        <f t="shared" si="1"/>
        <v>-958144</v>
      </c>
      <c r="G9" s="12"/>
      <c r="H9" s="58">
        <f t="shared" si="2"/>
        <v>-46740333.030000001</v>
      </c>
    </row>
    <row r="10" spans="1:10" x14ac:dyDescent="0.15">
      <c r="A10" s="260" t="s">
        <v>138</v>
      </c>
      <c r="B10" s="56">
        <v>-45679087</v>
      </c>
      <c r="C10" s="26">
        <f>'Pupil Data'!C39+'Pupil Data'!D39</f>
        <v>929990</v>
      </c>
      <c r="D10" s="57">
        <f t="shared" si="0"/>
        <v>-49.12</v>
      </c>
      <c r="E10" s="54">
        <f>'Pupil Data'!E39+'Pupil Data'!F39</f>
        <v>23051</v>
      </c>
      <c r="F10" s="55">
        <f t="shared" si="1"/>
        <v>-1132265</v>
      </c>
      <c r="G10" s="12"/>
      <c r="H10" s="58">
        <f t="shared" si="2"/>
        <v>-46811352</v>
      </c>
    </row>
    <row r="11" spans="1:10" x14ac:dyDescent="0.15">
      <c r="A11" s="261" t="s">
        <v>139</v>
      </c>
      <c r="B11" s="56">
        <f>'FY 2007'!D71</f>
        <v>-45649267</v>
      </c>
      <c r="C11" s="59">
        <f>'Pupil Data'!C40+'Pupil Data'!D40</f>
        <v>926532</v>
      </c>
      <c r="D11" s="60">
        <f t="shared" si="0"/>
        <v>-49.27</v>
      </c>
      <c r="E11" s="54">
        <f>'Pupil Data'!E40+'Pupil Data'!F40</f>
        <v>26756</v>
      </c>
      <c r="F11" s="55">
        <f t="shared" si="1"/>
        <v>-1318268</v>
      </c>
      <c r="G11" s="61"/>
      <c r="H11" s="58">
        <f t="shared" si="2"/>
        <v>-46967535</v>
      </c>
    </row>
    <row r="12" spans="1:10" x14ac:dyDescent="0.15">
      <c r="A12" s="261" t="s">
        <v>164</v>
      </c>
      <c r="B12" s="56">
        <f>'FY 2008'!D71</f>
        <v>-29618220</v>
      </c>
      <c r="C12" s="59">
        <f>'Pupil Data'!C41+'Pupil Data'!D41</f>
        <v>921699</v>
      </c>
      <c r="D12" s="60">
        <f t="shared" si="0"/>
        <v>-32.130000000000003</v>
      </c>
      <c r="E12" s="54">
        <f>'Pupil Data'!E41+'Pupil Data'!F41</f>
        <v>31733</v>
      </c>
      <c r="F12" s="55">
        <f t="shared" si="1"/>
        <v>-1019581</v>
      </c>
      <c r="G12" s="61"/>
      <c r="H12" s="58">
        <f t="shared" si="2"/>
        <v>-30637801</v>
      </c>
    </row>
    <row r="13" spans="1:10" x14ac:dyDescent="0.15">
      <c r="A13" s="261" t="s">
        <v>165</v>
      </c>
      <c r="B13" s="56">
        <f>'FY 2009'!D73</f>
        <v>-29577692.690000001</v>
      </c>
      <c r="C13" s="59">
        <f>'Pupil Data'!C42+'Pupil Data'!D42</f>
        <v>912330</v>
      </c>
      <c r="D13" s="60">
        <f t="shared" si="0"/>
        <v>-32.42</v>
      </c>
      <c r="E13" s="54">
        <f>'Pupil Data'!E42+'Pupil Data'!F42</f>
        <v>36257</v>
      </c>
      <c r="F13" s="17">
        <f t="shared" si="1"/>
        <v>-1175452</v>
      </c>
      <c r="G13" s="61"/>
      <c r="H13" s="58">
        <f t="shared" si="2"/>
        <v>-30753144.690000001</v>
      </c>
    </row>
    <row r="14" spans="1:10" x14ac:dyDescent="0.15">
      <c r="A14" s="261" t="s">
        <v>249</v>
      </c>
      <c r="B14" s="56">
        <f>'FY 2010'!D73</f>
        <v>-29548624</v>
      </c>
      <c r="C14" s="59">
        <f>'Pupil Data'!C43+'Pupil Data'!D43</f>
        <v>907892</v>
      </c>
      <c r="D14" s="60">
        <f t="shared" ref="D14:D19" si="3">ROUND(B14/C14,2)</f>
        <v>-32.549999999999997</v>
      </c>
      <c r="E14" s="54">
        <f>'Pupil Data'!E43+'Pupil Data'!F43</f>
        <v>39318</v>
      </c>
      <c r="F14" s="17">
        <f t="shared" ref="F14:F19" si="4">ROUND(D14*E14,0)</f>
        <v>-1279801</v>
      </c>
      <c r="G14" s="61"/>
      <c r="H14" s="263">
        <f t="shared" ref="H14:H19" si="5">B14+F14</f>
        <v>-30828425</v>
      </c>
      <c r="I14" s="262" t="s">
        <v>450</v>
      </c>
      <c r="J14" s="262"/>
    </row>
    <row r="15" spans="1:10" x14ac:dyDescent="0.15">
      <c r="A15" s="261" t="s">
        <v>250</v>
      </c>
      <c r="B15" s="56">
        <f>'FY 2011'!D71</f>
        <v>-29548624</v>
      </c>
      <c r="C15" s="59">
        <f>'Pupil Data'!C44+'Pupil Data'!D44</f>
        <v>905772</v>
      </c>
      <c r="D15" s="60">
        <f t="shared" si="3"/>
        <v>-32.619999999999997</v>
      </c>
      <c r="E15" s="54">
        <f>'Pupil Data'!E44+'Pupil Data'!F44</f>
        <v>42325</v>
      </c>
      <c r="F15" s="55">
        <f t="shared" si="4"/>
        <v>-1380642</v>
      </c>
      <c r="G15" s="61"/>
      <c r="H15" s="58">
        <f t="shared" si="5"/>
        <v>-30929266</v>
      </c>
    </row>
    <row r="16" spans="1:10" x14ac:dyDescent="0.15">
      <c r="A16" s="261" t="s">
        <v>300</v>
      </c>
      <c r="B16" s="56">
        <f>'FY 2012'!D71</f>
        <v>-29548624</v>
      </c>
      <c r="C16" s="59">
        <f>'Pupil Data'!C45+'Pupil Data'!D45</f>
        <v>904492</v>
      </c>
      <c r="D16" s="60">
        <f t="shared" si="3"/>
        <v>-32.67</v>
      </c>
      <c r="E16" s="54">
        <f>'Pupil Data'!E45+'Pupil Data'!F45</f>
        <v>47178</v>
      </c>
      <c r="F16" s="55">
        <f t="shared" si="4"/>
        <v>-1541305</v>
      </c>
      <c r="G16" s="61"/>
      <c r="H16" s="58">
        <f t="shared" si="5"/>
        <v>-31089929</v>
      </c>
    </row>
    <row r="17" spans="1:8" x14ac:dyDescent="0.15">
      <c r="A17" s="261" t="s">
        <v>301</v>
      </c>
      <c r="B17" s="56">
        <f>'FY 2013'!D71</f>
        <v>-29548624</v>
      </c>
      <c r="C17" s="59">
        <f>'Pupil Data'!C46+'Pupil Data'!D46</f>
        <v>907406</v>
      </c>
      <c r="D17" s="60">
        <f t="shared" si="3"/>
        <v>-32.56</v>
      </c>
      <c r="E17" s="54">
        <f>'Pupil Data'!E46+'Pupil Data'!F46</f>
        <v>52048</v>
      </c>
      <c r="F17" s="55">
        <f t="shared" si="4"/>
        <v>-1694683</v>
      </c>
      <c r="G17" s="61"/>
      <c r="H17" s="58">
        <f t="shared" si="5"/>
        <v>-31243307</v>
      </c>
    </row>
    <row r="18" spans="1:8" x14ac:dyDescent="0.15">
      <c r="A18" s="261" t="s">
        <v>388</v>
      </c>
      <c r="B18" s="56">
        <f>'FY 2014'!D71</f>
        <v>-29548624</v>
      </c>
      <c r="C18" s="59">
        <f>'Pupil Data'!C47+'Pupil Data'!D47</f>
        <v>912096</v>
      </c>
      <c r="D18" s="60">
        <f t="shared" si="3"/>
        <v>-32.4</v>
      </c>
      <c r="E18" s="54">
        <f>'Pupil Data'!E47+'Pupil Data'!F47</f>
        <v>57302</v>
      </c>
      <c r="F18" s="55">
        <f t="shared" si="4"/>
        <v>-1856585</v>
      </c>
      <c r="G18" s="61"/>
      <c r="H18" s="58">
        <f t="shared" si="5"/>
        <v>-31405209</v>
      </c>
    </row>
    <row r="19" spans="1:8" x14ac:dyDescent="0.15">
      <c r="A19" s="261" t="s">
        <v>389</v>
      </c>
      <c r="B19" s="56">
        <f>'FY 2015'!D71</f>
        <v>-29548624</v>
      </c>
      <c r="C19" s="59">
        <f>'Pupil Data'!C48+'Pupil Data'!D48</f>
        <v>916303</v>
      </c>
      <c r="D19" s="60">
        <f t="shared" si="3"/>
        <v>-32.25</v>
      </c>
      <c r="E19" s="54">
        <f>'Pupil Data'!E48+'Pupil Data'!F48</f>
        <v>62972</v>
      </c>
      <c r="F19" s="55">
        <f t="shared" si="4"/>
        <v>-2030847</v>
      </c>
      <c r="G19" s="61"/>
      <c r="H19" s="58">
        <f t="shared" si="5"/>
        <v>-31579471</v>
      </c>
    </row>
    <row r="22" spans="1:8" x14ac:dyDescent="0.15">
      <c r="B22" s="193">
        <v>29560535.959999979</v>
      </c>
    </row>
    <row r="23" spans="1:8" x14ac:dyDescent="0.15">
      <c r="B23" s="193">
        <v>29548624</v>
      </c>
    </row>
  </sheetData>
  <mergeCells count="2">
    <mergeCell ref="A4:H4"/>
    <mergeCell ref="A5:H5"/>
  </mergeCells>
  <phoneticPr fontId="0" type="noConversion"/>
  <printOptions horizontalCentered="1" gridLines="1"/>
  <pageMargins left="0.75" right="0.75" top="1" bottom="0.75" header="0.25" footer="0.25"/>
  <pageSetup orientation="landscape" horizontalDpi="300" verticalDpi="300" r:id="rId1"/>
  <headerFooter alignWithMargins="0">
    <oddHeader>&amp;L&amp;"Courier,Bold"DEPT OF EDUCATION
Program Finance Division&amp;R&amp;"Courier,Bold"&amp;D
&amp;T</oddHeader>
    <oddFooter>&amp;L&amp;F&amp;R&amp;A</oddFoot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214"/>
  <sheetViews>
    <sheetView zoomScaleNormal="100" zoomScaleSheetLayoutView="85" workbookViewId="0">
      <pane xSplit="3" ySplit="4" topLeftCell="D5" activePane="bottomRight" state="frozen"/>
      <selection activeCell="C16" sqref="C16"/>
      <selection pane="topRight" activeCell="C16" sqref="C16"/>
      <selection pane="bottomLeft" activeCell="C16" sqref="C16"/>
      <selection pane="bottomRight" activeCell="C16" sqref="C16"/>
    </sheetView>
  </sheetViews>
  <sheetFormatPr defaultColWidth="8" defaultRowHeight="12.75" x14ac:dyDescent="0.2"/>
  <cols>
    <col min="1" max="1" width="4.125" style="39" customWidth="1"/>
    <col min="2" max="2" width="2.25" style="39" customWidth="1"/>
    <col min="3" max="3" width="28.625" style="39" customWidth="1"/>
    <col min="4" max="9" width="13.625" style="39" customWidth="1"/>
    <col min="10" max="10" width="12.125" style="39" bestFit="1" customWidth="1"/>
    <col min="11" max="11" width="11.625" style="39" customWidth="1"/>
    <col min="12" max="16384" width="8" style="39"/>
  </cols>
  <sheetData>
    <row r="1" spans="1:11" x14ac:dyDescent="0.2">
      <c r="A1" s="173" t="s">
        <v>441</v>
      </c>
      <c r="D1" s="41"/>
      <c r="E1" s="41"/>
      <c r="G1" s="41"/>
      <c r="H1" s="41"/>
      <c r="I1" s="41"/>
    </row>
    <row r="3" spans="1:11" x14ac:dyDescent="0.2">
      <c r="A3" s="118" t="s">
        <v>438</v>
      </c>
      <c r="B3" s="118"/>
      <c r="C3" s="119"/>
      <c r="D3" s="120" t="s">
        <v>176</v>
      </c>
      <c r="E3" s="120" t="s">
        <v>181</v>
      </c>
      <c r="F3" s="120" t="s">
        <v>177</v>
      </c>
      <c r="G3" s="120" t="s">
        <v>178</v>
      </c>
      <c r="H3" s="120" t="s">
        <v>179</v>
      </c>
      <c r="I3" s="120" t="s">
        <v>180</v>
      </c>
      <c r="J3" s="174"/>
    </row>
    <row r="5" spans="1:11" x14ac:dyDescent="0.2">
      <c r="A5" s="39">
        <v>1</v>
      </c>
      <c r="B5" s="39" t="s">
        <v>140</v>
      </c>
      <c r="D5" s="41">
        <f>'Pupil Data'!C41</f>
        <v>921287</v>
      </c>
      <c r="E5" s="41">
        <v>0</v>
      </c>
      <c r="F5" s="41">
        <f>'Pupil Data'!D41</f>
        <v>412</v>
      </c>
      <c r="G5" s="41">
        <f>'Pupil Data'!E41</f>
        <v>31733</v>
      </c>
      <c r="H5" s="41">
        <f>'Pupil Data'!F41</f>
        <v>0</v>
      </c>
      <c r="I5" s="41">
        <f>SUM(D5:H5)</f>
        <v>953432</v>
      </c>
    </row>
    <row r="6" spans="1:11" x14ac:dyDescent="0.2">
      <c r="D6" s="41">
        <f>SUM(D25:D29)</f>
        <v>-238416.17999999947</v>
      </c>
    </row>
    <row r="7" spans="1:11" x14ac:dyDescent="0.2">
      <c r="B7" s="42" t="s">
        <v>155</v>
      </c>
      <c r="D7" s="40"/>
      <c r="E7" s="40"/>
      <c r="F7" s="40"/>
      <c r="G7" s="40"/>
      <c r="H7" s="40"/>
      <c r="I7" s="40"/>
    </row>
    <row r="8" spans="1:11" x14ac:dyDescent="0.2">
      <c r="A8" s="39">
        <f>A5+1</f>
        <v>2</v>
      </c>
      <c r="B8" s="39" t="s">
        <v>141</v>
      </c>
      <c r="D8" s="41">
        <v>4676709149</v>
      </c>
      <c r="E8" s="41">
        <v>0</v>
      </c>
      <c r="F8" s="41">
        <v>0</v>
      </c>
      <c r="G8" s="41">
        <v>161015322</v>
      </c>
      <c r="H8" s="41">
        <v>0</v>
      </c>
      <c r="I8" s="41">
        <f>SUM(D8:H8)</f>
        <v>4837724471</v>
      </c>
    </row>
    <row r="9" spans="1:11" x14ac:dyDescent="0.2">
      <c r="A9" s="39">
        <f>A8+1</f>
        <v>3</v>
      </c>
      <c r="B9" s="42" t="s">
        <v>167</v>
      </c>
      <c r="C9" s="42"/>
      <c r="D9" s="41">
        <v>11060408</v>
      </c>
      <c r="E9" s="41">
        <v>0</v>
      </c>
      <c r="F9" s="41">
        <v>0</v>
      </c>
      <c r="G9" s="41">
        <v>380801</v>
      </c>
      <c r="H9" s="41">
        <v>0</v>
      </c>
      <c r="I9" s="41">
        <f>SUM(D9:H9)</f>
        <v>11441209</v>
      </c>
    </row>
    <row r="10" spans="1:11" x14ac:dyDescent="0.2">
      <c r="A10" s="39">
        <f>A9+1</f>
        <v>4</v>
      </c>
      <c r="B10" s="39" t="s">
        <v>142</v>
      </c>
      <c r="D10" s="41">
        <v>57951251</v>
      </c>
      <c r="E10" s="41">
        <v>0</v>
      </c>
      <c r="F10" s="41">
        <v>0</v>
      </c>
      <c r="G10" s="41">
        <v>1639566</v>
      </c>
      <c r="H10" s="41">
        <v>0</v>
      </c>
      <c r="I10" s="41">
        <f>SUM(D10:H10)</f>
        <v>59590817</v>
      </c>
    </row>
    <row r="11" spans="1:11" x14ac:dyDescent="0.2">
      <c r="B11" s="42" t="s">
        <v>171</v>
      </c>
      <c r="D11" s="41"/>
      <c r="E11" s="41"/>
      <c r="F11" s="41"/>
      <c r="G11" s="41"/>
      <c r="H11" s="41"/>
      <c r="I11" s="41"/>
    </row>
    <row r="12" spans="1:11" x14ac:dyDescent="0.2">
      <c r="A12" s="39">
        <f>A10+1</f>
        <v>5</v>
      </c>
      <c r="C12" s="39" t="s">
        <v>143</v>
      </c>
      <c r="D12" s="41">
        <v>302663129</v>
      </c>
      <c r="E12" s="41">
        <v>0</v>
      </c>
      <c r="F12" s="41">
        <v>0</v>
      </c>
      <c r="G12" s="41">
        <v>31264965</v>
      </c>
      <c r="H12" s="41">
        <v>0</v>
      </c>
      <c r="I12" s="41">
        <f t="shared" ref="I12:I23" si="0">SUM(D12:H12)</f>
        <v>333928094</v>
      </c>
    </row>
    <row r="13" spans="1:11" x14ac:dyDescent="0.2">
      <c r="A13" s="39">
        <f t="shared" ref="A13:A23" si="1">A12+1</f>
        <v>6</v>
      </c>
      <c r="C13" s="39" t="s">
        <v>144</v>
      </c>
      <c r="D13" s="41">
        <v>28740187</v>
      </c>
      <c r="E13" s="41">
        <v>0</v>
      </c>
      <c r="F13" s="41">
        <v>0</v>
      </c>
      <c r="G13" s="41">
        <v>3576594</v>
      </c>
      <c r="H13" s="41">
        <v>0</v>
      </c>
      <c r="I13" s="41">
        <f t="shared" si="0"/>
        <v>32316781</v>
      </c>
    </row>
    <row r="14" spans="1:11" x14ac:dyDescent="0.2">
      <c r="A14" s="39">
        <f t="shared" si="1"/>
        <v>7</v>
      </c>
      <c r="B14" s="42"/>
      <c r="C14" s="42" t="s">
        <v>170</v>
      </c>
      <c r="D14" s="41">
        <v>7169433</v>
      </c>
      <c r="E14" s="41">
        <v>0</v>
      </c>
      <c r="F14" s="41">
        <v>0</v>
      </c>
      <c r="G14" s="41">
        <v>1137075</v>
      </c>
      <c r="H14" s="41">
        <v>0</v>
      </c>
      <c r="I14" s="41">
        <f t="shared" si="0"/>
        <v>8306508</v>
      </c>
      <c r="K14" s="42"/>
    </row>
    <row r="15" spans="1:11" x14ac:dyDescent="0.2">
      <c r="A15" s="39">
        <f t="shared" si="1"/>
        <v>8</v>
      </c>
      <c r="B15" s="39" t="s">
        <v>145</v>
      </c>
      <c r="D15" s="41">
        <v>20917538</v>
      </c>
      <c r="E15" s="41">
        <v>0</v>
      </c>
      <c r="F15" s="41">
        <v>0</v>
      </c>
      <c r="G15" s="41">
        <v>719996</v>
      </c>
      <c r="H15" s="41">
        <v>0</v>
      </c>
      <c r="I15" s="41">
        <f t="shared" si="0"/>
        <v>21637534</v>
      </c>
      <c r="J15" s="41"/>
      <c r="K15" s="41"/>
    </row>
    <row r="16" spans="1:11" x14ac:dyDescent="0.2">
      <c r="A16" s="39">
        <f t="shared" si="1"/>
        <v>9</v>
      </c>
      <c r="B16" s="39" t="s">
        <v>146</v>
      </c>
      <c r="D16" s="41">
        <v>59229649</v>
      </c>
      <c r="E16" s="41">
        <v>0</v>
      </c>
      <c r="F16" s="41">
        <v>0</v>
      </c>
      <c r="G16" s="41">
        <v>854116</v>
      </c>
      <c r="H16" s="41">
        <v>0</v>
      </c>
      <c r="I16" s="41">
        <f t="shared" si="0"/>
        <v>60083765</v>
      </c>
    </row>
    <row r="17" spans="1:11" x14ac:dyDescent="0.2">
      <c r="A17" s="39">
        <f t="shared" si="1"/>
        <v>10</v>
      </c>
      <c r="B17" s="39" t="s">
        <v>148</v>
      </c>
      <c r="D17" s="41">
        <v>2074656</v>
      </c>
      <c r="E17" s="41">
        <v>0</v>
      </c>
      <c r="F17" s="41">
        <v>0</v>
      </c>
      <c r="G17" s="41">
        <v>71400</v>
      </c>
      <c r="H17" s="41">
        <v>0</v>
      </c>
      <c r="I17" s="41">
        <f t="shared" si="0"/>
        <v>2146056</v>
      </c>
    </row>
    <row r="18" spans="1:11" x14ac:dyDescent="0.2">
      <c r="A18" s="39">
        <f t="shared" si="1"/>
        <v>11</v>
      </c>
      <c r="B18" s="39" t="s">
        <v>244</v>
      </c>
      <c r="D18" s="41">
        <v>-679690</v>
      </c>
      <c r="E18" s="41">
        <v>-50806</v>
      </c>
      <c r="F18" s="41">
        <v>0</v>
      </c>
      <c r="G18" s="41">
        <v>0</v>
      </c>
      <c r="H18" s="41">
        <v>0</v>
      </c>
      <c r="I18" s="41">
        <f t="shared" si="0"/>
        <v>-730496</v>
      </c>
    </row>
    <row r="19" spans="1:11" x14ac:dyDescent="0.2">
      <c r="A19" s="39">
        <f t="shared" si="1"/>
        <v>12</v>
      </c>
      <c r="B19" s="39" t="s">
        <v>147</v>
      </c>
      <c r="D19" s="41">
        <v>188152111</v>
      </c>
      <c r="E19" s="41">
        <v>0</v>
      </c>
      <c r="F19" s="41">
        <v>0</v>
      </c>
      <c r="G19" s="41">
        <v>6483454</v>
      </c>
      <c r="H19" s="41">
        <v>0</v>
      </c>
      <c r="I19" s="41">
        <f t="shared" si="0"/>
        <v>194635565</v>
      </c>
    </row>
    <row r="20" spans="1:11" x14ac:dyDescent="0.2">
      <c r="A20" s="39">
        <f t="shared" si="1"/>
        <v>13</v>
      </c>
      <c r="B20" s="39" t="s">
        <v>149</v>
      </c>
      <c r="D20" s="41">
        <v>92523386</v>
      </c>
      <c r="E20" s="41">
        <v>0</v>
      </c>
      <c r="F20" s="41">
        <v>0</v>
      </c>
      <c r="G20" s="41">
        <v>3185419</v>
      </c>
      <c r="H20" s="41">
        <v>0</v>
      </c>
      <c r="I20" s="41">
        <f t="shared" si="0"/>
        <v>95708805</v>
      </c>
    </row>
    <row r="21" spans="1:11" x14ac:dyDescent="0.2">
      <c r="A21" s="39">
        <f t="shared" si="1"/>
        <v>14</v>
      </c>
      <c r="B21" s="42" t="s">
        <v>173</v>
      </c>
      <c r="D21" s="41">
        <v>28856504</v>
      </c>
      <c r="E21" s="41">
        <v>0</v>
      </c>
      <c r="F21" s="41">
        <v>0</v>
      </c>
      <c r="G21" s="41">
        <v>1286814</v>
      </c>
      <c r="H21" s="41">
        <v>0</v>
      </c>
      <c r="I21" s="41">
        <f t="shared" si="0"/>
        <v>30143318</v>
      </c>
    </row>
    <row r="22" spans="1:11" x14ac:dyDescent="0.2">
      <c r="A22" s="39">
        <f t="shared" si="1"/>
        <v>15</v>
      </c>
      <c r="B22" s="42" t="s">
        <v>168</v>
      </c>
      <c r="C22" s="42"/>
      <c r="D22" s="41">
        <v>59236538</v>
      </c>
      <c r="E22" s="41">
        <v>0</v>
      </c>
      <c r="F22" s="41">
        <v>0</v>
      </c>
      <c r="G22" s="41">
        <v>1527110</v>
      </c>
      <c r="H22" s="41">
        <v>0</v>
      </c>
      <c r="I22" s="41">
        <f>SUM(D22:H22)</f>
        <v>60763648</v>
      </c>
      <c r="J22" s="41"/>
      <c r="K22" s="41"/>
    </row>
    <row r="23" spans="1:11" x14ac:dyDescent="0.2">
      <c r="A23" s="39">
        <f t="shared" si="1"/>
        <v>16</v>
      </c>
      <c r="B23" s="39" t="s">
        <v>150</v>
      </c>
      <c r="D23" s="41">
        <v>644192179</v>
      </c>
      <c r="E23" s="41">
        <v>0</v>
      </c>
      <c r="F23" s="41">
        <v>0</v>
      </c>
      <c r="G23" s="41">
        <v>0</v>
      </c>
      <c r="H23" s="41">
        <v>0</v>
      </c>
      <c r="I23" s="41">
        <f t="shared" si="0"/>
        <v>644192179</v>
      </c>
    </row>
    <row r="24" spans="1:11" x14ac:dyDescent="0.2">
      <c r="B24" s="42" t="s">
        <v>172</v>
      </c>
      <c r="D24" s="41"/>
      <c r="E24" s="41"/>
      <c r="F24" s="41"/>
      <c r="G24" s="41"/>
      <c r="H24" s="41"/>
      <c r="I24" s="41"/>
    </row>
    <row r="25" spans="1:11" x14ac:dyDescent="0.2">
      <c r="A25" s="39">
        <f>A23+1</f>
        <v>17</v>
      </c>
      <c r="B25" s="42"/>
      <c r="C25" s="42" t="s">
        <v>175</v>
      </c>
      <c r="D25" s="41">
        <v>-2502371</v>
      </c>
      <c r="E25" s="41">
        <v>0</v>
      </c>
      <c r="F25" s="41">
        <v>0</v>
      </c>
      <c r="G25" s="41">
        <v>2320407</v>
      </c>
      <c r="H25" s="41">
        <v>0</v>
      </c>
      <c r="I25" s="41">
        <f>SUM(D25:H25)</f>
        <v>-181964</v>
      </c>
    </row>
    <row r="26" spans="1:11" x14ac:dyDescent="0.2">
      <c r="A26" s="39">
        <f>A25+1</f>
        <v>18</v>
      </c>
      <c r="B26" s="42"/>
      <c r="C26" s="42" t="s">
        <v>182</v>
      </c>
      <c r="D26" s="41">
        <v>1707244</v>
      </c>
      <c r="E26" s="41">
        <v>0</v>
      </c>
      <c r="F26" s="41">
        <v>0</v>
      </c>
      <c r="G26" s="41">
        <v>-1707244</v>
      </c>
      <c r="H26" s="41">
        <v>0</v>
      </c>
      <c r="I26" s="41">
        <f>SUM(D26:H26)</f>
        <v>0</v>
      </c>
    </row>
    <row r="27" spans="1:11" x14ac:dyDescent="0.2">
      <c r="A27" s="39">
        <f>A26+1</f>
        <v>19</v>
      </c>
      <c r="B27" s="42"/>
      <c r="C27" s="42" t="s">
        <v>201</v>
      </c>
      <c r="D27" s="41">
        <v>5272</v>
      </c>
      <c r="E27" s="41">
        <v>0</v>
      </c>
      <c r="F27" s="41">
        <v>0</v>
      </c>
      <c r="G27" s="41">
        <v>-5272</v>
      </c>
      <c r="H27" s="41">
        <v>0</v>
      </c>
      <c r="I27" s="41">
        <f>SUM(D27:H27)</f>
        <v>0</v>
      </c>
    </row>
    <row r="28" spans="1:11" x14ac:dyDescent="0.2">
      <c r="A28" s="39">
        <f>A27+1</f>
        <v>20</v>
      </c>
      <c r="B28" s="42"/>
      <c r="C28" s="42" t="s">
        <v>183</v>
      </c>
      <c r="D28" s="41">
        <v>551794</v>
      </c>
      <c r="E28" s="41">
        <v>0</v>
      </c>
      <c r="F28" s="41">
        <v>0</v>
      </c>
      <c r="G28" s="41">
        <v>-551794</v>
      </c>
      <c r="H28" s="41">
        <v>0</v>
      </c>
      <c r="I28" s="41">
        <f>SUM(D28:H28)</f>
        <v>0</v>
      </c>
    </row>
    <row r="29" spans="1:11" x14ac:dyDescent="0.2">
      <c r="A29" s="39">
        <f>A28+1</f>
        <v>21</v>
      </c>
      <c r="B29" s="42"/>
      <c r="C29" s="42" t="s">
        <v>251</v>
      </c>
      <c r="D29" s="41">
        <v>-355.17999999946915</v>
      </c>
      <c r="E29" s="41">
        <v>0</v>
      </c>
      <c r="F29" s="41">
        <v>0</v>
      </c>
      <c r="G29" s="41">
        <v>0</v>
      </c>
      <c r="H29" s="41">
        <v>0</v>
      </c>
      <c r="I29" s="41">
        <f>SUM(D29:H29)</f>
        <v>-355.17999999946915</v>
      </c>
    </row>
    <row r="30" spans="1:11" x14ac:dyDescent="0.2">
      <c r="C30" s="41"/>
      <c r="D30" s="41"/>
      <c r="E30" s="41"/>
      <c r="F30" s="41"/>
      <c r="G30" s="41"/>
      <c r="H30" s="41"/>
      <c r="I30" s="41"/>
    </row>
    <row r="31" spans="1:11" x14ac:dyDescent="0.2">
      <c r="A31" s="39">
        <f>A29+1</f>
        <v>22</v>
      </c>
      <c r="B31" s="42" t="s">
        <v>158</v>
      </c>
      <c r="D31" s="41">
        <f t="shared" ref="D31:I31" si="2">SUM(D8:D29)</f>
        <v>6178558011.8199997</v>
      </c>
      <c r="E31" s="41">
        <f t="shared" si="2"/>
        <v>-50806</v>
      </c>
      <c r="F31" s="41">
        <f t="shared" si="2"/>
        <v>0</v>
      </c>
      <c r="G31" s="41">
        <f t="shared" si="2"/>
        <v>213198729</v>
      </c>
      <c r="H31" s="41">
        <f t="shared" si="2"/>
        <v>0</v>
      </c>
      <c r="I31" s="41">
        <f t="shared" si="2"/>
        <v>6391705934.8199997</v>
      </c>
      <c r="J31" s="43"/>
      <c r="K31" s="114"/>
    </row>
    <row r="32" spans="1:11" x14ac:dyDescent="0.2">
      <c r="D32" s="41"/>
      <c r="E32" s="41"/>
      <c r="F32" s="41"/>
      <c r="G32" s="41"/>
      <c r="H32" s="41"/>
      <c r="I32" s="41"/>
    </row>
    <row r="33" spans="1:12" x14ac:dyDescent="0.2">
      <c r="B33" s="42" t="s">
        <v>156</v>
      </c>
      <c r="C33" s="42"/>
      <c r="D33" s="41"/>
      <c r="E33" s="41"/>
      <c r="F33" s="41"/>
      <c r="G33" s="41"/>
      <c r="H33" s="41"/>
      <c r="I33" s="41"/>
    </row>
    <row r="34" spans="1:12" x14ac:dyDescent="0.2">
      <c r="A34" s="39">
        <f>A31+1</f>
        <v>23</v>
      </c>
      <c r="B34" s="39" t="s">
        <v>153</v>
      </c>
      <c r="D34" s="41">
        <v>111830374</v>
      </c>
      <c r="E34" s="41">
        <v>0</v>
      </c>
      <c r="F34" s="41">
        <v>0</v>
      </c>
      <c r="G34" s="41">
        <v>0</v>
      </c>
      <c r="H34" s="41">
        <v>0</v>
      </c>
      <c r="I34" s="41">
        <f>SUM(D34:H34)</f>
        <v>111830374</v>
      </c>
    </row>
    <row r="35" spans="1:12" x14ac:dyDescent="0.2">
      <c r="A35" s="39">
        <f>A34+1</f>
        <v>24</v>
      </c>
      <c r="B35" s="39" t="s">
        <v>152</v>
      </c>
      <c r="D35" s="41">
        <v>70604296</v>
      </c>
      <c r="E35" s="41">
        <v>0</v>
      </c>
      <c r="F35" s="41">
        <v>0</v>
      </c>
      <c r="G35" s="41">
        <v>0</v>
      </c>
      <c r="H35" s="41">
        <v>0</v>
      </c>
      <c r="I35" s="41">
        <f>SUM(D35:H35)</f>
        <v>70604296</v>
      </c>
    </row>
    <row r="36" spans="1:12" x14ac:dyDescent="0.2">
      <c r="A36" s="39">
        <f>A35+1</f>
        <v>25</v>
      </c>
      <c r="B36" s="42" t="s">
        <v>174</v>
      </c>
      <c r="D36" s="41">
        <v>23010395</v>
      </c>
      <c r="E36" s="41">
        <v>0</v>
      </c>
      <c r="F36" s="41">
        <v>0</v>
      </c>
      <c r="G36" s="41">
        <v>0</v>
      </c>
      <c r="H36" s="41">
        <v>0</v>
      </c>
      <c r="I36" s="41">
        <f>SUM(D36:H36)</f>
        <v>23010395</v>
      </c>
    </row>
    <row r="37" spans="1:12" x14ac:dyDescent="0.2">
      <c r="A37" s="39">
        <f>A36+1</f>
        <v>26</v>
      </c>
      <c r="B37" s="42" t="s">
        <v>168</v>
      </c>
      <c r="C37" s="42"/>
      <c r="D37" s="41">
        <v>12779741</v>
      </c>
      <c r="E37" s="41">
        <v>0</v>
      </c>
      <c r="F37" s="41">
        <v>0</v>
      </c>
      <c r="G37" s="41">
        <v>0</v>
      </c>
      <c r="H37" s="41">
        <v>0</v>
      </c>
      <c r="I37" s="41">
        <f>SUM(D37:H37)</f>
        <v>12779741</v>
      </c>
      <c r="J37" s="41"/>
      <c r="K37" s="41"/>
      <c r="L37" s="41"/>
    </row>
    <row r="38" spans="1:12" x14ac:dyDescent="0.2">
      <c r="A38" s="39">
        <f>A37+1</f>
        <v>27</v>
      </c>
      <c r="B38" s="39" t="s">
        <v>154</v>
      </c>
      <c r="D38" s="41">
        <v>540184289</v>
      </c>
      <c r="E38" s="41">
        <v>0</v>
      </c>
      <c r="F38" s="41">
        <v>0</v>
      </c>
      <c r="G38" s="41">
        <v>0</v>
      </c>
      <c r="H38" s="41">
        <v>0</v>
      </c>
      <c r="I38" s="41">
        <f>SUM(D38:H38)</f>
        <v>540184289</v>
      </c>
    </row>
    <row r="39" spans="1:12" x14ac:dyDescent="0.2">
      <c r="D39" s="41"/>
      <c r="E39" s="41"/>
      <c r="F39" s="41"/>
      <c r="G39" s="41"/>
      <c r="H39" s="41"/>
      <c r="I39" s="41"/>
    </row>
    <row r="40" spans="1:12" x14ac:dyDescent="0.2">
      <c r="A40" s="39">
        <f>A38+1</f>
        <v>28</v>
      </c>
      <c r="B40" s="42" t="s">
        <v>159</v>
      </c>
      <c r="C40" s="42"/>
      <c r="D40" s="41">
        <f t="shared" ref="D40:I40" si="3">SUM(D34:D38)</f>
        <v>758409095</v>
      </c>
      <c r="E40" s="41">
        <f t="shared" si="3"/>
        <v>0</v>
      </c>
      <c r="F40" s="41">
        <f t="shared" si="3"/>
        <v>0</v>
      </c>
      <c r="G40" s="41">
        <f t="shared" si="3"/>
        <v>0</v>
      </c>
      <c r="H40" s="41">
        <f t="shared" si="3"/>
        <v>0</v>
      </c>
      <c r="I40" s="41">
        <f t="shared" si="3"/>
        <v>758409095</v>
      </c>
    </row>
    <row r="41" spans="1:12" x14ac:dyDescent="0.2">
      <c r="B41" s="42"/>
      <c r="C41" s="42"/>
      <c r="D41" s="41"/>
      <c r="E41" s="41"/>
      <c r="F41" s="41"/>
      <c r="G41" s="41"/>
      <c r="H41" s="41"/>
      <c r="I41" s="41"/>
    </row>
    <row r="42" spans="1:12" x14ac:dyDescent="0.2">
      <c r="B42" s="42" t="s">
        <v>157</v>
      </c>
      <c r="C42" s="42"/>
      <c r="D42" s="41"/>
      <c r="E42" s="41"/>
      <c r="F42" s="41"/>
      <c r="G42" s="41"/>
      <c r="H42" s="41"/>
      <c r="I42" s="41"/>
    </row>
    <row r="43" spans="1:12" x14ac:dyDescent="0.2">
      <c r="A43" s="39">
        <f>A40+1</f>
        <v>29</v>
      </c>
      <c r="B43" s="39" t="s">
        <v>141</v>
      </c>
      <c r="D43" s="41">
        <f t="shared" ref="D43:H45" si="4">D8</f>
        <v>4676709149</v>
      </c>
      <c r="E43" s="41">
        <f t="shared" si="4"/>
        <v>0</v>
      </c>
      <c r="F43" s="41">
        <f t="shared" si="4"/>
        <v>0</v>
      </c>
      <c r="G43" s="41">
        <f t="shared" si="4"/>
        <v>161015322</v>
      </c>
      <c r="H43" s="41">
        <f t="shared" si="4"/>
        <v>0</v>
      </c>
      <c r="I43" s="41">
        <f>SUM(D43:H43)</f>
        <v>4837724471</v>
      </c>
    </row>
    <row r="44" spans="1:12" x14ac:dyDescent="0.2">
      <c r="A44" s="39">
        <f>A43+1</f>
        <v>30</v>
      </c>
      <c r="B44" s="42" t="s">
        <v>167</v>
      </c>
      <c r="C44" s="42"/>
      <c r="D44" s="41">
        <f t="shared" si="4"/>
        <v>11060408</v>
      </c>
      <c r="E44" s="41">
        <f t="shared" si="4"/>
        <v>0</v>
      </c>
      <c r="F44" s="41">
        <f t="shared" si="4"/>
        <v>0</v>
      </c>
      <c r="G44" s="41">
        <f t="shared" si="4"/>
        <v>380801</v>
      </c>
      <c r="H44" s="41">
        <f t="shared" si="4"/>
        <v>0</v>
      </c>
      <c r="I44" s="41">
        <f>SUM(D44:H44)</f>
        <v>11441209</v>
      </c>
    </row>
    <row r="45" spans="1:12" x14ac:dyDescent="0.2">
      <c r="A45" s="39">
        <f>A44+1</f>
        <v>31</v>
      </c>
      <c r="B45" s="39" t="s">
        <v>142</v>
      </c>
      <c r="D45" s="41">
        <f t="shared" si="4"/>
        <v>57951251</v>
      </c>
      <c r="E45" s="41">
        <f t="shared" si="4"/>
        <v>0</v>
      </c>
      <c r="F45" s="41">
        <f t="shared" si="4"/>
        <v>0</v>
      </c>
      <c r="G45" s="41">
        <f t="shared" si="4"/>
        <v>1639566</v>
      </c>
      <c r="H45" s="41">
        <f t="shared" si="4"/>
        <v>0</v>
      </c>
      <c r="I45" s="41">
        <f>SUM(D45:H45)</f>
        <v>59590817</v>
      </c>
    </row>
    <row r="46" spans="1:12" x14ac:dyDescent="0.2">
      <c r="B46" s="42" t="s">
        <v>171</v>
      </c>
      <c r="D46" s="41"/>
      <c r="E46" s="41"/>
      <c r="F46" s="41"/>
      <c r="G46" s="41"/>
      <c r="H46" s="41"/>
      <c r="I46" s="41"/>
    </row>
    <row r="47" spans="1:12" x14ac:dyDescent="0.2">
      <c r="A47" s="39">
        <f>A45+1</f>
        <v>32</v>
      </c>
      <c r="C47" s="39" t="s">
        <v>143</v>
      </c>
      <c r="D47" s="41">
        <f t="shared" ref="D47:H53" si="5">D12</f>
        <v>302663129</v>
      </c>
      <c r="E47" s="41">
        <f t="shared" si="5"/>
        <v>0</v>
      </c>
      <c r="F47" s="41">
        <f t="shared" si="5"/>
        <v>0</v>
      </c>
      <c r="G47" s="41">
        <f t="shared" si="5"/>
        <v>31264965</v>
      </c>
      <c r="H47" s="41">
        <f t="shared" si="5"/>
        <v>0</v>
      </c>
      <c r="I47" s="41">
        <f t="shared" ref="I47:I59" si="6">SUM(D47:H47)</f>
        <v>333928094</v>
      </c>
    </row>
    <row r="48" spans="1:12" x14ac:dyDescent="0.2">
      <c r="A48" s="39">
        <f t="shared" ref="A48:A59" si="7">A47+1</f>
        <v>33</v>
      </c>
      <c r="C48" s="39" t="s">
        <v>144</v>
      </c>
      <c r="D48" s="41">
        <f t="shared" si="5"/>
        <v>28740187</v>
      </c>
      <c r="E48" s="41">
        <f t="shared" si="5"/>
        <v>0</v>
      </c>
      <c r="F48" s="41">
        <f t="shared" si="5"/>
        <v>0</v>
      </c>
      <c r="G48" s="41">
        <f t="shared" si="5"/>
        <v>3576594</v>
      </c>
      <c r="H48" s="41">
        <f t="shared" si="5"/>
        <v>0</v>
      </c>
      <c r="I48" s="41">
        <f t="shared" si="6"/>
        <v>32316781</v>
      </c>
    </row>
    <row r="49" spans="1:10" x14ac:dyDescent="0.2">
      <c r="A49" s="39">
        <f t="shared" si="7"/>
        <v>34</v>
      </c>
      <c r="B49" s="42"/>
      <c r="C49" s="42" t="s">
        <v>170</v>
      </c>
      <c r="D49" s="41">
        <f t="shared" si="5"/>
        <v>7169433</v>
      </c>
      <c r="E49" s="41">
        <f t="shared" si="5"/>
        <v>0</v>
      </c>
      <c r="F49" s="41">
        <f t="shared" si="5"/>
        <v>0</v>
      </c>
      <c r="G49" s="41">
        <f t="shared" si="5"/>
        <v>1137075</v>
      </c>
      <c r="H49" s="41">
        <f t="shared" si="5"/>
        <v>0</v>
      </c>
      <c r="I49" s="41">
        <f t="shared" si="6"/>
        <v>8306508</v>
      </c>
    </row>
    <row r="50" spans="1:10" x14ac:dyDescent="0.2">
      <c r="A50" s="39">
        <f t="shared" si="7"/>
        <v>35</v>
      </c>
      <c r="B50" s="39" t="s">
        <v>145</v>
      </c>
      <c r="D50" s="41">
        <f t="shared" si="5"/>
        <v>20917538</v>
      </c>
      <c r="E50" s="41">
        <f t="shared" si="5"/>
        <v>0</v>
      </c>
      <c r="F50" s="41">
        <f t="shared" si="5"/>
        <v>0</v>
      </c>
      <c r="G50" s="41">
        <f t="shared" si="5"/>
        <v>719996</v>
      </c>
      <c r="H50" s="41">
        <f t="shared" si="5"/>
        <v>0</v>
      </c>
      <c r="I50" s="41">
        <f t="shared" si="6"/>
        <v>21637534</v>
      </c>
    </row>
    <row r="51" spans="1:10" x14ac:dyDescent="0.2">
      <c r="A51" s="39">
        <f t="shared" si="7"/>
        <v>36</v>
      </c>
      <c r="B51" s="39" t="s">
        <v>146</v>
      </c>
      <c r="D51" s="41">
        <f t="shared" si="5"/>
        <v>59229649</v>
      </c>
      <c r="E51" s="41">
        <f t="shared" si="5"/>
        <v>0</v>
      </c>
      <c r="F51" s="41">
        <f t="shared" si="5"/>
        <v>0</v>
      </c>
      <c r="G51" s="41">
        <f t="shared" si="5"/>
        <v>854116</v>
      </c>
      <c r="H51" s="41">
        <f t="shared" si="5"/>
        <v>0</v>
      </c>
      <c r="I51" s="41">
        <f t="shared" si="6"/>
        <v>60083765</v>
      </c>
    </row>
    <row r="52" spans="1:10" x14ac:dyDescent="0.2">
      <c r="A52" s="39">
        <f t="shared" si="7"/>
        <v>37</v>
      </c>
      <c r="B52" s="39" t="s">
        <v>148</v>
      </c>
      <c r="D52" s="41">
        <f t="shared" si="5"/>
        <v>2074656</v>
      </c>
      <c r="E52" s="41">
        <f t="shared" si="5"/>
        <v>0</v>
      </c>
      <c r="F52" s="41">
        <f t="shared" si="5"/>
        <v>0</v>
      </c>
      <c r="G52" s="41">
        <f t="shared" si="5"/>
        <v>71400</v>
      </c>
      <c r="H52" s="41">
        <f t="shared" si="5"/>
        <v>0</v>
      </c>
      <c r="I52" s="41">
        <f t="shared" si="6"/>
        <v>2146056</v>
      </c>
    </row>
    <row r="53" spans="1:10" x14ac:dyDescent="0.2">
      <c r="A53" s="39">
        <f t="shared" si="7"/>
        <v>38</v>
      </c>
      <c r="B53" s="39" t="s">
        <v>244</v>
      </c>
      <c r="D53" s="41">
        <f t="shared" si="5"/>
        <v>-679690</v>
      </c>
      <c r="E53" s="41">
        <f t="shared" si="5"/>
        <v>-50806</v>
      </c>
      <c r="F53" s="41">
        <f t="shared" si="5"/>
        <v>0</v>
      </c>
      <c r="G53" s="41">
        <f t="shared" si="5"/>
        <v>0</v>
      </c>
      <c r="H53" s="41">
        <f t="shared" si="5"/>
        <v>0</v>
      </c>
      <c r="I53" s="41">
        <f>SUM(D53:H53)</f>
        <v>-730496</v>
      </c>
    </row>
    <row r="54" spans="1:10" x14ac:dyDescent="0.2">
      <c r="A54" s="39">
        <f t="shared" si="7"/>
        <v>39</v>
      </c>
      <c r="B54" s="39" t="s">
        <v>147</v>
      </c>
      <c r="D54" s="41">
        <f t="shared" ref="D54:H57" si="8">D19-D34</f>
        <v>76321737</v>
      </c>
      <c r="E54" s="41">
        <f t="shared" si="8"/>
        <v>0</v>
      </c>
      <c r="F54" s="41">
        <f t="shared" si="8"/>
        <v>0</v>
      </c>
      <c r="G54" s="41">
        <f t="shared" si="8"/>
        <v>6483454</v>
      </c>
      <c r="H54" s="41">
        <f t="shared" si="8"/>
        <v>0</v>
      </c>
      <c r="I54" s="41">
        <f t="shared" si="6"/>
        <v>82805191</v>
      </c>
      <c r="J54" s="91"/>
    </row>
    <row r="55" spans="1:10" x14ac:dyDescent="0.2">
      <c r="A55" s="39">
        <f t="shared" si="7"/>
        <v>40</v>
      </c>
      <c r="B55" s="39" t="s">
        <v>149</v>
      </c>
      <c r="D55" s="41">
        <f t="shared" si="8"/>
        <v>21919090</v>
      </c>
      <c r="E55" s="41">
        <f t="shared" si="8"/>
        <v>0</v>
      </c>
      <c r="F55" s="41">
        <f t="shared" si="8"/>
        <v>0</v>
      </c>
      <c r="G55" s="41">
        <f t="shared" si="8"/>
        <v>3185419</v>
      </c>
      <c r="H55" s="41">
        <f t="shared" si="8"/>
        <v>0</v>
      </c>
      <c r="I55" s="41">
        <f t="shared" si="6"/>
        <v>25104509</v>
      </c>
    </row>
    <row r="56" spans="1:10" x14ac:dyDescent="0.2">
      <c r="A56" s="39">
        <f t="shared" si="7"/>
        <v>41</v>
      </c>
      <c r="B56" s="42" t="s">
        <v>173</v>
      </c>
      <c r="D56" s="41">
        <f t="shared" si="8"/>
        <v>5846109</v>
      </c>
      <c r="E56" s="41">
        <f t="shared" si="8"/>
        <v>0</v>
      </c>
      <c r="F56" s="41">
        <f t="shared" si="8"/>
        <v>0</v>
      </c>
      <c r="G56" s="41">
        <f t="shared" si="8"/>
        <v>1286814</v>
      </c>
      <c r="H56" s="41">
        <f t="shared" si="8"/>
        <v>0</v>
      </c>
      <c r="I56" s="41">
        <f t="shared" si="6"/>
        <v>7132923</v>
      </c>
    </row>
    <row r="57" spans="1:10" x14ac:dyDescent="0.2">
      <c r="A57" s="39">
        <f t="shared" si="7"/>
        <v>42</v>
      </c>
      <c r="B57" s="42" t="s">
        <v>168</v>
      </c>
      <c r="C57" s="42"/>
      <c r="D57" s="41">
        <f t="shared" si="8"/>
        <v>46456797</v>
      </c>
      <c r="E57" s="41">
        <f t="shared" si="8"/>
        <v>0</v>
      </c>
      <c r="F57" s="41">
        <f t="shared" si="8"/>
        <v>0</v>
      </c>
      <c r="G57" s="41">
        <f t="shared" si="8"/>
        <v>1527110</v>
      </c>
      <c r="H57" s="41">
        <f t="shared" si="8"/>
        <v>0</v>
      </c>
      <c r="I57" s="41">
        <f t="shared" si="6"/>
        <v>47983907</v>
      </c>
    </row>
    <row r="58" spans="1:10" x14ac:dyDescent="0.2">
      <c r="A58" s="39">
        <f t="shared" si="7"/>
        <v>43</v>
      </c>
      <c r="B58" s="42" t="s">
        <v>163</v>
      </c>
      <c r="C58" s="42"/>
      <c r="D58" s="41">
        <f>D23-D38-D59</f>
        <v>95398626</v>
      </c>
      <c r="E58" s="41">
        <f>E23-E38-E59</f>
        <v>0</v>
      </c>
      <c r="F58" s="41">
        <f>F23-F38-F59</f>
        <v>0</v>
      </c>
      <c r="G58" s="41">
        <f>G23-G38-G59</f>
        <v>0</v>
      </c>
      <c r="H58" s="41">
        <f>H23-H38-H59</f>
        <v>0</v>
      </c>
      <c r="I58" s="41">
        <f t="shared" si="6"/>
        <v>95398626</v>
      </c>
      <c r="J58" s="91"/>
    </row>
    <row r="59" spans="1:10" x14ac:dyDescent="0.2">
      <c r="A59" s="39">
        <f t="shared" si="7"/>
        <v>44</v>
      </c>
      <c r="B59" s="39" t="s">
        <v>151</v>
      </c>
      <c r="D59" s="41">
        <v>8609264</v>
      </c>
      <c r="E59" s="41">
        <v>0</v>
      </c>
      <c r="F59" s="41">
        <v>0</v>
      </c>
      <c r="G59" s="41">
        <v>0</v>
      </c>
      <c r="H59" s="41">
        <v>0</v>
      </c>
      <c r="I59" s="41">
        <f t="shared" si="6"/>
        <v>8609264</v>
      </c>
    </row>
    <row r="60" spans="1:10" x14ac:dyDescent="0.2">
      <c r="B60" s="42" t="s">
        <v>172</v>
      </c>
      <c r="D60" s="41"/>
      <c r="E60" s="41"/>
      <c r="F60" s="41">
        <f>E60-D60</f>
        <v>0</v>
      </c>
      <c r="G60" s="41"/>
      <c r="H60" s="41"/>
      <c r="I60" s="41"/>
    </row>
    <row r="61" spans="1:10" x14ac:dyDescent="0.2">
      <c r="A61" s="39">
        <f>A59+1</f>
        <v>45</v>
      </c>
      <c r="B61" s="42"/>
      <c r="C61" s="42" t="s">
        <v>175</v>
      </c>
      <c r="D61" s="41">
        <f t="shared" ref="D61:H65" si="9">D25</f>
        <v>-2502371</v>
      </c>
      <c r="E61" s="41">
        <f t="shared" si="9"/>
        <v>0</v>
      </c>
      <c r="F61" s="41">
        <f t="shared" si="9"/>
        <v>0</v>
      </c>
      <c r="G61" s="41">
        <f t="shared" si="9"/>
        <v>2320407</v>
      </c>
      <c r="H61" s="41">
        <f t="shared" si="9"/>
        <v>0</v>
      </c>
      <c r="I61" s="41">
        <f>SUM(D61:H61)</f>
        <v>-181964</v>
      </c>
    </row>
    <row r="62" spans="1:10" x14ac:dyDescent="0.2">
      <c r="A62" s="39">
        <f>A61+1</f>
        <v>46</v>
      </c>
      <c r="B62" s="42"/>
      <c r="C62" s="42" t="s">
        <v>182</v>
      </c>
      <c r="D62" s="41">
        <f t="shared" si="9"/>
        <v>1707244</v>
      </c>
      <c r="E62" s="41">
        <f t="shared" si="9"/>
        <v>0</v>
      </c>
      <c r="F62" s="41">
        <f t="shared" si="9"/>
        <v>0</v>
      </c>
      <c r="G62" s="41">
        <f t="shared" si="9"/>
        <v>-1707244</v>
      </c>
      <c r="H62" s="41">
        <f t="shared" si="9"/>
        <v>0</v>
      </c>
      <c r="I62" s="41">
        <f>SUM(D62:H62)</f>
        <v>0</v>
      </c>
    </row>
    <row r="63" spans="1:10" x14ac:dyDescent="0.2">
      <c r="A63" s="39">
        <f>A62+1</f>
        <v>47</v>
      </c>
      <c r="B63" s="42"/>
      <c r="C63" s="42" t="s">
        <v>201</v>
      </c>
      <c r="D63" s="41">
        <f t="shared" si="9"/>
        <v>5272</v>
      </c>
      <c r="E63" s="41">
        <f t="shared" si="9"/>
        <v>0</v>
      </c>
      <c r="F63" s="41">
        <f t="shared" si="9"/>
        <v>0</v>
      </c>
      <c r="G63" s="41">
        <f t="shared" si="9"/>
        <v>-5272</v>
      </c>
      <c r="H63" s="41">
        <f t="shared" si="9"/>
        <v>0</v>
      </c>
      <c r="I63" s="41">
        <f>SUM(D63:H63)</f>
        <v>0</v>
      </c>
    </row>
    <row r="64" spans="1:10" x14ac:dyDescent="0.2">
      <c r="A64" s="39">
        <f>A63+1</f>
        <v>48</v>
      </c>
      <c r="B64" s="42"/>
      <c r="C64" s="42" t="s">
        <v>183</v>
      </c>
      <c r="D64" s="41">
        <f t="shared" si="9"/>
        <v>551794</v>
      </c>
      <c r="E64" s="41">
        <f t="shared" si="9"/>
        <v>0</v>
      </c>
      <c r="F64" s="41">
        <f t="shared" si="9"/>
        <v>0</v>
      </c>
      <c r="G64" s="41">
        <f t="shared" si="9"/>
        <v>-551794</v>
      </c>
      <c r="H64" s="41">
        <f t="shared" si="9"/>
        <v>0</v>
      </c>
      <c r="I64" s="41">
        <f>SUM(D64:H64)</f>
        <v>0</v>
      </c>
    </row>
    <row r="65" spans="1:9" x14ac:dyDescent="0.2">
      <c r="A65" s="39">
        <f>A64+1</f>
        <v>49</v>
      </c>
      <c r="B65" s="42"/>
      <c r="C65" s="42" t="s">
        <v>251</v>
      </c>
      <c r="D65" s="41">
        <f t="shared" si="9"/>
        <v>-355.17999999946915</v>
      </c>
      <c r="E65" s="41">
        <f t="shared" si="9"/>
        <v>0</v>
      </c>
      <c r="F65" s="41">
        <f t="shared" si="9"/>
        <v>0</v>
      </c>
      <c r="G65" s="41">
        <f t="shared" si="9"/>
        <v>0</v>
      </c>
      <c r="H65" s="41">
        <f t="shared" si="9"/>
        <v>0</v>
      </c>
      <c r="I65" s="41">
        <f>SUM(D65:H65)</f>
        <v>-355.17999999946915</v>
      </c>
    </row>
    <row r="66" spans="1:9" x14ac:dyDescent="0.2">
      <c r="D66" s="41"/>
      <c r="E66" s="41"/>
      <c r="F66" s="41"/>
      <c r="G66" s="41"/>
      <c r="H66" s="41"/>
      <c r="I66" s="41"/>
    </row>
    <row r="67" spans="1:9" x14ac:dyDescent="0.2">
      <c r="A67" s="39">
        <f>A65+1</f>
        <v>50</v>
      </c>
      <c r="B67" s="42" t="s">
        <v>184</v>
      </c>
      <c r="C67" s="42"/>
      <c r="D67" s="41">
        <f t="shared" ref="D67:I67" si="10">SUM(D43:D65)</f>
        <v>5420148916.8199997</v>
      </c>
      <c r="E67" s="41">
        <f t="shared" si="10"/>
        <v>-50806</v>
      </c>
      <c r="F67" s="41">
        <f t="shared" si="10"/>
        <v>0</v>
      </c>
      <c r="G67" s="41">
        <f t="shared" si="10"/>
        <v>213198729</v>
      </c>
      <c r="H67" s="41">
        <f t="shared" si="10"/>
        <v>0</v>
      </c>
      <c r="I67" s="41">
        <f t="shared" si="10"/>
        <v>5633296839.8199997</v>
      </c>
    </row>
    <row r="68" spans="1:9" x14ac:dyDescent="0.2">
      <c r="A68" s="39">
        <f>A67+1</f>
        <v>51</v>
      </c>
      <c r="B68" s="173" t="s">
        <v>397</v>
      </c>
      <c r="C68" s="42"/>
      <c r="D68" s="41">
        <f t="shared" ref="D68:I68" si="11">D67</f>
        <v>5420148916.8199997</v>
      </c>
      <c r="E68" s="41">
        <f t="shared" si="11"/>
        <v>-50806</v>
      </c>
      <c r="F68" s="41">
        <f t="shared" si="11"/>
        <v>0</v>
      </c>
      <c r="G68" s="41">
        <f t="shared" si="11"/>
        <v>213198729</v>
      </c>
      <c r="H68" s="41">
        <f t="shared" si="11"/>
        <v>0</v>
      </c>
      <c r="I68" s="41">
        <f t="shared" si="11"/>
        <v>5633296839.8199997</v>
      </c>
    </row>
    <row r="69" spans="1:9" x14ac:dyDescent="0.2">
      <c r="A69" s="39">
        <f>A68+1</f>
        <v>52</v>
      </c>
      <c r="B69" s="42" t="s">
        <v>303</v>
      </c>
      <c r="C69" s="42"/>
      <c r="D69" s="127" t="s">
        <v>302</v>
      </c>
      <c r="E69" s="127" t="s">
        <v>302</v>
      </c>
      <c r="F69" s="127" t="s">
        <v>302</v>
      </c>
      <c r="G69" s="127" t="s">
        <v>302</v>
      </c>
      <c r="H69" s="127" t="s">
        <v>302</v>
      </c>
      <c r="I69" s="127" t="s">
        <v>302</v>
      </c>
    </row>
    <row r="70" spans="1:9" x14ac:dyDescent="0.2">
      <c r="B70" s="42"/>
      <c r="C70" s="42"/>
      <c r="D70" s="41"/>
      <c r="E70" s="41"/>
      <c r="F70" s="41"/>
      <c r="G70" s="41"/>
      <c r="H70" s="41"/>
      <c r="I70" s="41"/>
    </row>
    <row r="71" spans="1:9" x14ac:dyDescent="0.2">
      <c r="A71" s="39">
        <f>A69+1</f>
        <v>53</v>
      </c>
      <c r="B71" s="42" t="s">
        <v>166</v>
      </c>
      <c r="C71" s="42"/>
      <c r="D71" s="41">
        <v>-29618220</v>
      </c>
      <c r="E71" s="41">
        <v>0</v>
      </c>
      <c r="F71" s="41">
        <v>0</v>
      </c>
      <c r="G71" s="41">
        <v>-1019616</v>
      </c>
      <c r="H71" s="41">
        <v>0</v>
      </c>
      <c r="I71" s="41">
        <f>SUM(D71:H71)</f>
        <v>-30637836</v>
      </c>
    </row>
    <row r="72" spans="1:9" x14ac:dyDescent="0.2">
      <c r="D72" s="40"/>
      <c r="E72" s="40"/>
      <c r="F72" s="40"/>
      <c r="G72" s="40"/>
      <c r="H72" s="40"/>
      <c r="I72" s="40"/>
    </row>
    <row r="73" spans="1:9" x14ac:dyDescent="0.2">
      <c r="A73" s="190" t="s">
        <v>391</v>
      </c>
      <c r="B73" s="190"/>
      <c r="C73" s="191"/>
      <c r="D73" s="192" t="s">
        <v>176</v>
      </c>
      <c r="E73" s="192" t="s">
        <v>181</v>
      </c>
      <c r="F73" s="192" t="s">
        <v>177</v>
      </c>
      <c r="G73" s="192" t="s">
        <v>178</v>
      </c>
      <c r="H73" s="192" t="s">
        <v>179</v>
      </c>
      <c r="I73" s="192" t="s">
        <v>180</v>
      </c>
    </row>
    <row r="75" spans="1:9" x14ac:dyDescent="0.2">
      <c r="A75" s="39">
        <v>1</v>
      </c>
      <c r="B75" s="39" t="s">
        <v>140</v>
      </c>
      <c r="D75" s="41">
        <f>'Pupil Data'!C202</f>
        <v>921287</v>
      </c>
      <c r="E75" s="41">
        <v>0</v>
      </c>
      <c r="F75" s="41">
        <f>'Pupil Data'!D202</f>
        <v>412</v>
      </c>
      <c r="G75" s="41">
        <f>'Pupil Data'!E202</f>
        <v>31733</v>
      </c>
      <c r="H75" s="41">
        <f>'Pupil Data'!F202</f>
        <v>0</v>
      </c>
      <c r="I75" s="41">
        <f>SUM(D75:H75)</f>
        <v>953432</v>
      </c>
    </row>
    <row r="77" spans="1:9" x14ac:dyDescent="0.2">
      <c r="B77" s="42" t="s">
        <v>155</v>
      </c>
      <c r="D77" s="40"/>
      <c r="E77" s="40"/>
      <c r="F77" s="40"/>
      <c r="G77" s="40"/>
      <c r="H77" s="40"/>
      <c r="I77" s="40"/>
    </row>
    <row r="78" spans="1:9" x14ac:dyDescent="0.2">
      <c r="A78" s="39">
        <f>A75+1</f>
        <v>2</v>
      </c>
      <c r="B78" s="39" t="s">
        <v>141</v>
      </c>
      <c r="D78" s="41">
        <v>4676709149</v>
      </c>
      <c r="E78" s="41">
        <v>0</v>
      </c>
      <c r="F78" s="41">
        <v>0</v>
      </c>
      <c r="G78" s="41">
        <v>161015322</v>
      </c>
      <c r="H78" s="41">
        <v>0</v>
      </c>
      <c r="I78" s="41">
        <f>SUM(D78:H78)</f>
        <v>4837724471</v>
      </c>
    </row>
    <row r="79" spans="1:9" x14ac:dyDescent="0.2">
      <c r="A79" s="39">
        <f>A78+1</f>
        <v>3</v>
      </c>
      <c r="B79" s="42" t="s">
        <v>167</v>
      </c>
      <c r="C79" s="42"/>
      <c r="D79" s="41">
        <v>11060408</v>
      </c>
      <c r="E79" s="41">
        <v>0</v>
      </c>
      <c r="F79" s="41">
        <v>0</v>
      </c>
      <c r="G79" s="41">
        <v>380801</v>
      </c>
      <c r="H79" s="41">
        <v>0</v>
      </c>
      <c r="I79" s="41">
        <f>SUM(D79:H79)</f>
        <v>11441209</v>
      </c>
    </row>
    <row r="80" spans="1:9" x14ac:dyDescent="0.2">
      <c r="A80" s="39">
        <f>A79+1</f>
        <v>4</v>
      </c>
      <c r="B80" s="39" t="s">
        <v>142</v>
      </c>
      <c r="D80" s="41">
        <v>57951251</v>
      </c>
      <c r="E80" s="41">
        <v>0</v>
      </c>
      <c r="F80" s="41">
        <v>0</v>
      </c>
      <c r="G80" s="41">
        <v>1639566</v>
      </c>
      <c r="H80" s="41">
        <v>0</v>
      </c>
      <c r="I80" s="41">
        <f>SUM(D80:H80)</f>
        <v>59590817</v>
      </c>
    </row>
    <row r="81" spans="1:11" x14ac:dyDescent="0.2">
      <c r="B81" s="42" t="s">
        <v>171</v>
      </c>
      <c r="D81" s="41"/>
      <c r="E81" s="41"/>
      <c r="F81" s="41"/>
      <c r="G81" s="41"/>
      <c r="H81" s="41"/>
      <c r="I81" s="41"/>
    </row>
    <row r="82" spans="1:11" x14ac:dyDescent="0.2">
      <c r="A82" s="39">
        <f>A80+1</f>
        <v>5</v>
      </c>
      <c r="C82" s="39" t="s">
        <v>143</v>
      </c>
      <c r="D82" s="41">
        <v>302663129</v>
      </c>
      <c r="E82" s="41">
        <v>0</v>
      </c>
      <c r="F82" s="41">
        <v>0</v>
      </c>
      <c r="G82" s="41">
        <v>31264965</v>
      </c>
      <c r="H82" s="41">
        <v>0</v>
      </c>
      <c r="I82" s="41">
        <f t="shared" ref="I82:I91" si="12">SUM(D82:H82)</f>
        <v>333928094</v>
      </c>
    </row>
    <row r="83" spans="1:11" x14ac:dyDescent="0.2">
      <c r="A83" s="39">
        <f t="shared" ref="A83:A93" si="13">A82+1</f>
        <v>6</v>
      </c>
      <c r="C83" s="39" t="s">
        <v>144</v>
      </c>
      <c r="D83" s="41">
        <v>28740187</v>
      </c>
      <c r="E83" s="41">
        <v>0</v>
      </c>
      <c r="F83" s="41">
        <v>0</v>
      </c>
      <c r="G83" s="41">
        <v>3576594</v>
      </c>
      <c r="H83" s="41">
        <v>0</v>
      </c>
      <c r="I83" s="41">
        <f t="shared" si="12"/>
        <v>32316781</v>
      </c>
    </row>
    <row r="84" spans="1:11" x14ac:dyDescent="0.2">
      <c r="A84" s="39">
        <f t="shared" si="13"/>
        <v>7</v>
      </c>
      <c r="B84" s="42"/>
      <c r="C84" s="42" t="s">
        <v>170</v>
      </c>
      <c r="D84" s="41">
        <v>7169433</v>
      </c>
      <c r="E84" s="41">
        <v>0</v>
      </c>
      <c r="F84" s="41">
        <v>0</v>
      </c>
      <c r="G84" s="41">
        <v>1137075</v>
      </c>
      <c r="H84" s="41">
        <v>0</v>
      </c>
      <c r="I84" s="41">
        <f t="shared" si="12"/>
        <v>8306508</v>
      </c>
      <c r="K84" s="42"/>
    </row>
    <row r="85" spans="1:11" x14ac:dyDescent="0.2">
      <c r="A85" s="39">
        <f t="shared" si="13"/>
        <v>8</v>
      </c>
      <c r="B85" s="39" t="s">
        <v>145</v>
      </c>
      <c r="D85" s="41">
        <v>20917538</v>
      </c>
      <c r="E85" s="41">
        <v>0</v>
      </c>
      <c r="F85" s="41">
        <v>0</v>
      </c>
      <c r="G85" s="41">
        <v>719996</v>
      </c>
      <c r="H85" s="41">
        <v>0</v>
      </c>
      <c r="I85" s="41">
        <f t="shared" si="12"/>
        <v>21637534</v>
      </c>
      <c r="J85" s="41"/>
      <c r="K85" s="41"/>
    </row>
    <row r="86" spans="1:11" x14ac:dyDescent="0.2">
      <c r="A86" s="39">
        <f t="shared" si="13"/>
        <v>9</v>
      </c>
      <c r="B86" s="39" t="s">
        <v>146</v>
      </c>
      <c r="D86" s="41">
        <v>59229649</v>
      </c>
      <c r="E86" s="41">
        <v>0</v>
      </c>
      <c r="F86" s="41">
        <v>0</v>
      </c>
      <c r="G86" s="41">
        <v>854116</v>
      </c>
      <c r="H86" s="41">
        <v>0</v>
      </c>
      <c r="I86" s="41">
        <f t="shared" si="12"/>
        <v>60083765</v>
      </c>
    </row>
    <row r="87" spans="1:11" x14ac:dyDescent="0.2">
      <c r="A87" s="39">
        <f t="shared" si="13"/>
        <v>10</v>
      </c>
      <c r="B87" s="39" t="s">
        <v>148</v>
      </c>
      <c r="D87" s="41">
        <v>2074656</v>
      </c>
      <c r="E87" s="41">
        <v>0</v>
      </c>
      <c r="F87" s="41">
        <v>0</v>
      </c>
      <c r="G87" s="41">
        <v>71400</v>
      </c>
      <c r="H87" s="41">
        <v>0</v>
      </c>
      <c r="I87" s="41">
        <f t="shared" si="12"/>
        <v>2146056</v>
      </c>
    </row>
    <row r="88" spans="1:11" x14ac:dyDescent="0.2">
      <c r="A88" s="39">
        <f t="shared" si="13"/>
        <v>11</v>
      </c>
      <c r="B88" s="39" t="s">
        <v>244</v>
      </c>
      <c r="D88" s="41">
        <v>-679690</v>
      </c>
      <c r="E88" s="41">
        <v>-50806</v>
      </c>
      <c r="F88" s="41">
        <v>0</v>
      </c>
      <c r="G88" s="41">
        <v>0</v>
      </c>
      <c r="H88" s="41">
        <v>0</v>
      </c>
      <c r="I88" s="41">
        <f t="shared" si="12"/>
        <v>-730496</v>
      </c>
    </row>
    <row r="89" spans="1:11" x14ac:dyDescent="0.2">
      <c r="A89" s="39">
        <f t="shared" si="13"/>
        <v>12</v>
      </c>
      <c r="B89" s="39" t="s">
        <v>147</v>
      </c>
      <c r="D89" s="41">
        <v>188152111</v>
      </c>
      <c r="E89" s="41">
        <v>0</v>
      </c>
      <c r="F89" s="41">
        <v>0</v>
      </c>
      <c r="G89" s="41">
        <v>6483454</v>
      </c>
      <c r="H89" s="41">
        <v>0</v>
      </c>
      <c r="I89" s="41">
        <f t="shared" si="12"/>
        <v>194635565</v>
      </c>
    </row>
    <row r="90" spans="1:11" x14ac:dyDescent="0.2">
      <c r="A90" s="39">
        <f t="shared" si="13"/>
        <v>13</v>
      </c>
      <c r="B90" s="39" t="s">
        <v>149</v>
      </c>
      <c r="D90" s="41">
        <v>92523386</v>
      </c>
      <c r="E90" s="41">
        <v>0</v>
      </c>
      <c r="F90" s="41">
        <v>0</v>
      </c>
      <c r="G90" s="41">
        <v>3185419</v>
      </c>
      <c r="H90" s="41">
        <v>0</v>
      </c>
      <c r="I90" s="41">
        <f t="shared" si="12"/>
        <v>95708805</v>
      </c>
    </row>
    <row r="91" spans="1:11" x14ac:dyDescent="0.2">
      <c r="A91" s="39">
        <f t="shared" si="13"/>
        <v>14</v>
      </c>
      <c r="B91" s="42" t="s">
        <v>173</v>
      </c>
      <c r="D91" s="41">
        <v>28856504</v>
      </c>
      <c r="E91" s="41">
        <v>0</v>
      </c>
      <c r="F91" s="41">
        <v>0</v>
      </c>
      <c r="G91" s="41">
        <v>1286814</v>
      </c>
      <c r="H91" s="41">
        <v>0</v>
      </c>
      <c r="I91" s="41">
        <f t="shared" si="12"/>
        <v>30143318</v>
      </c>
    </row>
    <row r="92" spans="1:11" x14ac:dyDescent="0.2">
      <c r="A92" s="39">
        <f t="shared" si="13"/>
        <v>15</v>
      </c>
      <c r="B92" s="42" t="s">
        <v>168</v>
      </c>
      <c r="C92" s="42"/>
      <c r="D92" s="41">
        <v>59236538</v>
      </c>
      <c r="E92" s="41">
        <v>0</v>
      </c>
      <c r="F92" s="41">
        <v>0</v>
      </c>
      <c r="G92" s="41">
        <v>1527110</v>
      </c>
      <c r="H92" s="41">
        <v>0</v>
      </c>
      <c r="I92" s="41">
        <f>SUM(D92:H92)</f>
        <v>60763648</v>
      </c>
      <c r="J92" s="41"/>
      <c r="K92" s="41"/>
    </row>
    <row r="93" spans="1:11" x14ac:dyDescent="0.2">
      <c r="A93" s="39">
        <f t="shared" si="13"/>
        <v>16</v>
      </c>
      <c r="B93" s="39" t="s">
        <v>150</v>
      </c>
      <c r="D93" s="41">
        <v>644192179</v>
      </c>
      <c r="E93" s="41">
        <v>0</v>
      </c>
      <c r="F93" s="41">
        <v>0</v>
      </c>
      <c r="G93" s="41">
        <v>0</v>
      </c>
      <c r="H93" s="41">
        <v>0</v>
      </c>
      <c r="I93" s="41">
        <f>SUM(D93:H93)</f>
        <v>644192179</v>
      </c>
    </row>
    <row r="94" spans="1:11" x14ac:dyDescent="0.2">
      <c r="B94" s="42" t="s">
        <v>172</v>
      </c>
      <c r="D94" s="41"/>
      <c r="E94" s="41"/>
      <c r="F94" s="41"/>
      <c r="G94" s="41"/>
      <c r="H94" s="41"/>
      <c r="I94" s="41"/>
    </row>
    <row r="95" spans="1:11" x14ac:dyDescent="0.2">
      <c r="A95" s="39">
        <f>A93+1</f>
        <v>17</v>
      </c>
      <c r="B95" s="42"/>
      <c r="C95" s="42" t="s">
        <v>175</v>
      </c>
      <c r="D95" s="41">
        <v>-2502371</v>
      </c>
      <c r="E95" s="41">
        <v>0</v>
      </c>
      <c r="F95" s="41">
        <v>0</v>
      </c>
      <c r="G95" s="41">
        <v>2320407</v>
      </c>
      <c r="H95" s="41">
        <v>0</v>
      </c>
      <c r="I95" s="41">
        <f>SUM(D95:H95)</f>
        <v>-181964</v>
      </c>
    </row>
    <row r="96" spans="1:11" x14ac:dyDescent="0.2">
      <c r="A96" s="39">
        <f>A95+1</f>
        <v>18</v>
      </c>
      <c r="B96" s="42"/>
      <c r="C96" s="42" t="s">
        <v>182</v>
      </c>
      <c r="D96" s="41">
        <v>1707244</v>
      </c>
      <c r="E96" s="41">
        <v>0</v>
      </c>
      <c r="F96" s="41">
        <v>0</v>
      </c>
      <c r="G96" s="41">
        <v>-1707244</v>
      </c>
      <c r="H96" s="41">
        <v>0</v>
      </c>
      <c r="I96" s="41">
        <f>SUM(D96:H96)</f>
        <v>0</v>
      </c>
    </row>
    <row r="97" spans="1:12" x14ac:dyDescent="0.2">
      <c r="A97" s="39">
        <f>A96+1</f>
        <v>19</v>
      </c>
      <c r="B97" s="42"/>
      <c r="C97" s="42" t="s">
        <v>201</v>
      </c>
      <c r="D97" s="41">
        <v>5272</v>
      </c>
      <c r="E97" s="41">
        <v>0</v>
      </c>
      <c r="F97" s="41">
        <v>0</v>
      </c>
      <c r="G97" s="41">
        <v>-5272</v>
      </c>
      <c r="H97" s="41">
        <v>0</v>
      </c>
      <c r="I97" s="41">
        <f>SUM(D97:H97)</f>
        <v>0</v>
      </c>
    </row>
    <row r="98" spans="1:12" x14ac:dyDescent="0.2">
      <c r="A98" s="39">
        <f>A97+1</f>
        <v>20</v>
      </c>
      <c r="B98" s="42"/>
      <c r="C98" s="42" t="s">
        <v>183</v>
      </c>
      <c r="D98" s="41">
        <v>551794</v>
      </c>
      <c r="E98" s="41">
        <v>0</v>
      </c>
      <c r="F98" s="41">
        <v>0</v>
      </c>
      <c r="G98" s="41">
        <v>-551794</v>
      </c>
      <c r="H98" s="41">
        <v>0</v>
      </c>
      <c r="I98" s="41">
        <f>SUM(D98:H98)</f>
        <v>0</v>
      </c>
    </row>
    <row r="99" spans="1:12" x14ac:dyDescent="0.2">
      <c r="A99" s="39">
        <f>A98+1</f>
        <v>21</v>
      </c>
      <c r="B99" s="42"/>
      <c r="C99" s="42" t="s">
        <v>251</v>
      </c>
      <c r="D99" s="41">
        <v>-355.17999999946915</v>
      </c>
      <c r="E99" s="41">
        <v>0</v>
      </c>
      <c r="F99" s="41">
        <v>0</v>
      </c>
      <c r="G99" s="41">
        <v>0</v>
      </c>
      <c r="H99" s="41">
        <v>0</v>
      </c>
      <c r="I99" s="41">
        <f>SUM(D99:H99)</f>
        <v>-355.17999999946915</v>
      </c>
    </row>
    <row r="100" spans="1:12" x14ac:dyDescent="0.2">
      <c r="D100" s="41"/>
      <c r="E100" s="41"/>
      <c r="F100" s="41"/>
      <c r="G100" s="41"/>
      <c r="H100" s="41"/>
      <c r="I100" s="41"/>
    </row>
    <row r="101" spans="1:12" x14ac:dyDescent="0.2">
      <c r="A101" s="39">
        <f>A99+1</f>
        <v>22</v>
      </c>
      <c r="B101" s="42" t="s">
        <v>158</v>
      </c>
      <c r="D101" s="41">
        <f t="shared" ref="D101:I101" si="14">SUM(D78:D99)</f>
        <v>6178558011.8199997</v>
      </c>
      <c r="E101" s="41">
        <f t="shared" si="14"/>
        <v>-50806</v>
      </c>
      <c r="F101" s="41">
        <f t="shared" si="14"/>
        <v>0</v>
      </c>
      <c r="G101" s="41">
        <f t="shared" si="14"/>
        <v>213198729</v>
      </c>
      <c r="H101" s="41">
        <f t="shared" si="14"/>
        <v>0</v>
      </c>
      <c r="I101" s="41">
        <f t="shared" si="14"/>
        <v>6391705934.8199997</v>
      </c>
      <c r="J101" s="43"/>
      <c r="K101" s="114"/>
    </row>
    <row r="102" spans="1:12" x14ac:dyDescent="0.2">
      <c r="D102" s="41"/>
      <c r="E102" s="41"/>
      <c r="F102" s="41"/>
      <c r="G102" s="41"/>
      <c r="H102" s="41"/>
      <c r="I102" s="41"/>
    </row>
    <row r="103" spans="1:12" x14ac:dyDescent="0.2">
      <c r="B103" s="42" t="s">
        <v>156</v>
      </c>
      <c r="C103" s="42"/>
      <c r="D103" s="41"/>
      <c r="E103" s="41"/>
      <c r="F103" s="41"/>
      <c r="G103" s="41"/>
      <c r="H103" s="41"/>
      <c r="I103" s="41"/>
    </row>
    <row r="104" spans="1:12" x14ac:dyDescent="0.2">
      <c r="A104" s="39">
        <f>A101+1</f>
        <v>23</v>
      </c>
      <c r="B104" s="39" t="s">
        <v>153</v>
      </c>
      <c r="D104" s="41">
        <v>111830374</v>
      </c>
      <c r="E104" s="41">
        <v>0</v>
      </c>
      <c r="F104" s="41">
        <v>0</v>
      </c>
      <c r="G104" s="41">
        <v>0</v>
      </c>
      <c r="H104" s="41">
        <v>0</v>
      </c>
      <c r="I104" s="41">
        <f>SUM(D104:H104)</f>
        <v>111830374</v>
      </c>
    </row>
    <row r="105" spans="1:12" x14ac:dyDescent="0.2">
      <c r="A105" s="39">
        <f>A104+1</f>
        <v>24</v>
      </c>
      <c r="B105" s="39" t="s">
        <v>152</v>
      </c>
      <c r="D105" s="41">
        <v>70604296</v>
      </c>
      <c r="E105" s="41">
        <v>0</v>
      </c>
      <c r="F105" s="41">
        <v>0</v>
      </c>
      <c r="G105" s="41">
        <v>0</v>
      </c>
      <c r="H105" s="41">
        <v>0</v>
      </c>
      <c r="I105" s="41">
        <f>SUM(D105:H105)</f>
        <v>70604296</v>
      </c>
    </row>
    <row r="106" spans="1:12" x14ac:dyDescent="0.2">
      <c r="A106" s="39">
        <f>A105+1</f>
        <v>25</v>
      </c>
      <c r="B106" s="42" t="s">
        <v>174</v>
      </c>
      <c r="D106" s="41">
        <v>23010395</v>
      </c>
      <c r="E106" s="41">
        <v>0</v>
      </c>
      <c r="F106" s="41">
        <v>0</v>
      </c>
      <c r="G106" s="41">
        <v>0</v>
      </c>
      <c r="H106" s="41">
        <v>0</v>
      </c>
      <c r="I106" s="41">
        <f>SUM(D106:H106)</f>
        <v>23010395</v>
      </c>
    </row>
    <row r="107" spans="1:12" x14ac:dyDescent="0.2">
      <c r="A107" s="39">
        <f>A106+1</f>
        <v>26</v>
      </c>
      <c r="B107" s="42" t="s">
        <v>168</v>
      </c>
      <c r="C107" s="42"/>
      <c r="D107" s="41">
        <v>12779741</v>
      </c>
      <c r="E107" s="41">
        <v>0</v>
      </c>
      <c r="F107" s="41">
        <v>0</v>
      </c>
      <c r="G107" s="41">
        <v>0</v>
      </c>
      <c r="H107" s="41">
        <v>0</v>
      </c>
      <c r="I107" s="41">
        <f>SUM(D107:H107)</f>
        <v>12779741</v>
      </c>
      <c r="J107" s="41"/>
      <c r="K107" s="41"/>
      <c r="L107" s="41"/>
    </row>
    <row r="108" spans="1:12" x14ac:dyDescent="0.2">
      <c r="A108" s="39">
        <f>A107+1</f>
        <v>27</v>
      </c>
      <c r="B108" s="39" t="s">
        <v>154</v>
      </c>
      <c r="D108" s="41">
        <v>540184289</v>
      </c>
      <c r="E108" s="41">
        <v>0</v>
      </c>
      <c r="F108" s="41">
        <v>0</v>
      </c>
      <c r="G108" s="41">
        <v>0</v>
      </c>
      <c r="H108" s="41">
        <v>0</v>
      </c>
      <c r="I108" s="41">
        <f>SUM(D108:H108)</f>
        <v>540184289</v>
      </c>
    </row>
    <row r="109" spans="1:12" x14ac:dyDescent="0.2">
      <c r="D109" s="41"/>
      <c r="E109" s="41"/>
      <c r="F109" s="41"/>
      <c r="G109" s="41"/>
      <c r="H109" s="41"/>
      <c r="I109" s="41"/>
    </row>
    <row r="110" spans="1:12" x14ac:dyDescent="0.2">
      <c r="A110" s="39">
        <f>A108+1</f>
        <v>28</v>
      </c>
      <c r="B110" s="42" t="s">
        <v>159</v>
      </c>
      <c r="C110" s="42"/>
      <c r="D110" s="41">
        <f t="shared" ref="D110:I110" si="15">SUM(D104:D108)</f>
        <v>758409095</v>
      </c>
      <c r="E110" s="41">
        <f t="shared" si="15"/>
        <v>0</v>
      </c>
      <c r="F110" s="41">
        <f t="shared" si="15"/>
        <v>0</v>
      </c>
      <c r="G110" s="41">
        <f t="shared" si="15"/>
        <v>0</v>
      </c>
      <c r="H110" s="41">
        <f t="shared" si="15"/>
        <v>0</v>
      </c>
      <c r="I110" s="41">
        <f t="shared" si="15"/>
        <v>758409095</v>
      </c>
    </row>
    <row r="111" spans="1:12" x14ac:dyDescent="0.2">
      <c r="B111" s="42"/>
      <c r="C111" s="42"/>
      <c r="D111" s="41"/>
      <c r="E111" s="41"/>
      <c r="F111" s="41"/>
      <c r="G111" s="41"/>
      <c r="H111" s="41"/>
      <c r="I111" s="41"/>
    </row>
    <row r="112" spans="1:12" x14ac:dyDescent="0.2">
      <c r="B112" s="42" t="s">
        <v>157</v>
      </c>
      <c r="C112" s="42"/>
      <c r="D112" s="41"/>
      <c r="E112" s="41"/>
      <c r="F112" s="41"/>
      <c r="G112" s="41"/>
      <c r="H112" s="41"/>
      <c r="I112" s="41"/>
    </row>
    <row r="113" spans="1:10" x14ac:dyDescent="0.2">
      <c r="A113" s="39">
        <f>A110+1</f>
        <v>29</v>
      </c>
      <c r="B113" s="39" t="s">
        <v>141</v>
      </c>
      <c r="D113" s="41">
        <f t="shared" ref="D113:H115" si="16">D78</f>
        <v>4676709149</v>
      </c>
      <c r="E113" s="41">
        <f t="shared" si="16"/>
        <v>0</v>
      </c>
      <c r="F113" s="41">
        <f t="shared" si="16"/>
        <v>0</v>
      </c>
      <c r="G113" s="41">
        <f t="shared" si="16"/>
        <v>161015322</v>
      </c>
      <c r="H113" s="41">
        <f t="shared" si="16"/>
        <v>0</v>
      </c>
      <c r="I113" s="41">
        <f>SUM(D113:H113)</f>
        <v>4837724471</v>
      </c>
    </row>
    <row r="114" spans="1:10" x14ac:dyDescent="0.2">
      <c r="A114" s="39">
        <f>A113+1</f>
        <v>30</v>
      </c>
      <c r="B114" s="42" t="s">
        <v>167</v>
      </c>
      <c r="C114" s="42"/>
      <c r="D114" s="41">
        <f t="shared" si="16"/>
        <v>11060408</v>
      </c>
      <c r="E114" s="41">
        <f t="shared" si="16"/>
        <v>0</v>
      </c>
      <c r="F114" s="41">
        <f t="shared" si="16"/>
        <v>0</v>
      </c>
      <c r="G114" s="41">
        <f t="shared" si="16"/>
        <v>380801</v>
      </c>
      <c r="H114" s="41">
        <f t="shared" si="16"/>
        <v>0</v>
      </c>
      <c r="I114" s="41">
        <f>SUM(D114:H114)</f>
        <v>11441209</v>
      </c>
    </row>
    <row r="115" spans="1:10" x14ac:dyDescent="0.2">
      <c r="A115" s="39">
        <f>A114+1</f>
        <v>31</v>
      </c>
      <c r="B115" s="39" t="s">
        <v>142</v>
      </c>
      <c r="D115" s="41">
        <f t="shared" si="16"/>
        <v>57951251</v>
      </c>
      <c r="E115" s="41">
        <f t="shared" si="16"/>
        <v>0</v>
      </c>
      <c r="F115" s="41">
        <f t="shared" si="16"/>
        <v>0</v>
      </c>
      <c r="G115" s="41">
        <f t="shared" si="16"/>
        <v>1639566</v>
      </c>
      <c r="H115" s="41">
        <f t="shared" si="16"/>
        <v>0</v>
      </c>
      <c r="I115" s="41">
        <f>SUM(D115:H115)</f>
        <v>59590817</v>
      </c>
    </row>
    <row r="116" spans="1:10" x14ac:dyDescent="0.2">
      <c r="B116" s="42" t="s">
        <v>171</v>
      </c>
      <c r="D116" s="41"/>
      <c r="E116" s="41"/>
      <c r="F116" s="41"/>
      <c r="G116" s="41"/>
      <c r="H116" s="41"/>
      <c r="I116" s="41"/>
    </row>
    <row r="117" spans="1:10" x14ac:dyDescent="0.2">
      <c r="A117" s="39">
        <f>A115+1</f>
        <v>32</v>
      </c>
      <c r="C117" s="39" t="s">
        <v>143</v>
      </c>
      <c r="D117" s="41">
        <f t="shared" ref="D117:H123" si="17">D82</f>
        <v>302663129</v>
      </c>
      <c r="E117" s="41">
        <f t="shared" si="17"/>
        <v>0</v>
      </c>
      <c r="F117" s="41">
        <f t="shared" si="17"/>
        <v>0</v>
      </c>
      <c r="G117" s="41">
        <f t="shared" si="17"/>
        <v>31264965</v>
      </c>
      <c r="H117" s="41">
        <f t="shared" si="17"/>
        <v>0</v>
      </c>
      <c r="I117" s="41">
        <f t="shared" ref="I117:I122" si="18">SUM(D117:H117)</f>
        <v>333928094</v>
      </c>
    </row>
    <row r="118" spans="1:10" x14ac:dyDescent="0.2">
      <c r="A118" s="39">
        <f t="shared" ref="A118:A129" si="19">A117+1</f>
        <v>33</v>
      </c>
      <c r="C118" s="39" t="s">
        <v>144</v>
      </c>
      <c r="D118" s="41">
        <f t="shared" si="17"/>
        <v>28740187</v>
      </c>
      <c r="E118" s="41">
        <f t="shared" si="17"/>
        <v>0</v>
      </c>
      <c r="F118" s="41">
        <f t="shared" si="17"/>
        <v>0</v>
      </c>
      <c r="G118" s="41">
        <f t="shared" si="17"/>
        <v>3576594</v>
      </c>
      <c r="H118" s="41">
        <f t="shared" si="17"/>
        <v>0</v>
      </c>
      <c r="I118" s="41">
        <f t="shared" si="18"/>
        <v>32316781</v>
      </c>
    </row>
    <row r="119" spans="1:10" x14ac:dyDescent="0.2">
      <c r="A119" s="39">
        <f t="shared" si="19"/>
        <v>34</v>
      </c>
      <c r="B119" s="42"/>
      <c r="C119" s="42" t="s">
        <v>170</v>
      </c>
      <c r="D119" s="41">
        <f t="shared" si="17"/>
        <v>7169433</v>
      </c>
      <c r="E119" s="41">
        <f t="shared" si="17"/>
        <v>0</v>
      </c>
      <c r="F119" s="41">
        <f t="shared" si="17"/>
        <v>0</v>
      </c>
      <c r="G119" s="41">
        <f t="shared" si="17"/>
        <v>1137075</v>
      </c>
      <c r="H119" s="41">
        <f t="shared" si="17"/>
        <v>0</v>
      </c>
      <c r="I119" s="41">
        <f t="shared" si="18"/>
        <v>8306508</v>
      </c>
    </row>
    <row r="120" spans="1:10" x14ac:dyDescent="0.2">
      <c r="A120" s="39">
        <f t="shared" si="19"/>
        <v>35</v>
      </c>
      <c r="B120" s="39" t="s">
        <v>145</v>
      </c>
      <c r="D120" s="41">
        <f t="shared" si="17"/>
        <v>20917538</v>
      </c>
      <c r="E120" s="41">
        <f t="shared" si="17"/>
        <v>0</v>
      </c>
      <c r="F120" s="41">
        <f t="shared" si="17"/>
        <v>0</v>
      </c>
      <c r="G120" s="41">
        <f t="shared" si="17"/>
        <v>719996</v>
      </c>
      <c r="H120" s="41">
        <f t="shared" si="17"/>
        <v>0</v>
      </c>
      <c r="I120" s="41">
        <f t="shared" si="18"/>
        <v>21637534</v>
      </c>
    </row>
    <row r="121" spans="1:10" x14ac:dyDescent="0.2">
      <c r="A121" s="39">
        <f t="shared" si="19"/>
        <v>36</v>
      </c>
      <c r="B121" s="39" t="s">
        <v>146</v>
      </c>
      <c r="D121" s="41">
        <f t="shared" si="17"/>
        <v>59229649</v>
      </c>
      <c r="E121" s="41">
        <f t="shared" si="17"/>
        <v>0</v>
      </c>
      <c r="F121" s="41">
        <f t="shared" si="17"/>
        <v>0</v>
      </c>
      <c r="G121" s="41">
        <f t="shared" si="17"/>
        <v>854116</v>
      </c>
      <c r="H121" s="41">
        <f t="shared" si="17"/>
        <v>0</v>
      </c>
      <c r="I121" s="41">
        <f t="shared" si="18"/>
        <v>60083765</v>
      </c>
    </row>
    <row r="122" spans="1:10" x14ac:dyDescent="0.2">
      <c r="A122" s="39">
        <f t="shared" si="19"/>
        <v>37</v>
      </c>
      <c r="B122" s="39" t="s">
        <v>148</v>
      </c>
      <c r="D122" s="41">
        <f t="shared" si="17"/>
        <v>2074656</v>
      </c>
      <c r="E122" s="41">
        <f t="shared" si="17"/>
        <v>0</v>
      </c>
      <c r="F122" s="41">
        <f t="shared" si="17"/>
        <v>0</v>
      </c>
      <c r="G122" s="41">
        <f t="shared" si="17"/>
        <v>71400</v>
      </c>
      <c r="H122" s="41">
        <f t="shared" si="17"/>
        <v>0</v>
      </c>
      <c r="I122" s="41">
        <f t="shared" si="18"/>
        <v>2146056</v>
      </c>
    </row>
    <row r="123" spans="1:10" x14ac:dyDescent="0.2">
      <c r="A123" s="39">
        <f t="shared" si="19"/>
        <v>38</v>
      </c>
      <c r="B123" s="39" t="s">
        <v>244</v>
      </c>
      <c r="D123" s="41">
        <f t="shared" si="17"/>
        <v>-679690</v>
      </c>
      <c r="E123" s="41">
        <f t="shared" si="17"/>
        <v>-50806</v>
      </c>
      <c r="F123" s="41">
        <f t="shared" si="17"/>
        <v>0</v>
      </c>
      <c r="G123" s="41">
        <f t="shared" si="17"/>
        <v>0</v>
      </c>
      <c r="H123" s="41">
        <f t="shared" si="17"/>
        <v>0</v>
      </c>
      <c r="I123" s="41">
        <f>SUM(D123:H123)</f>
        <v>-730496</v>
      </c>
    </row>
    <row r="124" spans="1:10" x14ac:dyDescent="0.2">
      <c r="A124" s="39">
        <f t="shared" si="19"/>
        <v>39</v>
      </c>
      <c r="B124" s="39" t="s">
        <v>147</v>
      </c>
      <c r="D124" s="41">
        <f t="shared" ref="D124:H127" si="20">D89-D104</f>
        <v>76321737</v>
      </c>
      <c r="E124" s="41">
        <f t="shared" si="20"/>
        <v>0</v>
      </c>
      <c r="F124" s="41">
        <f t="shared" si="20"/>
        <v>0</v>
      </c>
      <c r="G124" s="41">
        <f t="shared" si="20"/>
        <v>6483454</v>
      </c>
      <c r="H124" s="41">
        <f t="shared" si="20"/>
        <v>0</v>
      </c>
      <c r="I124" s="41">
        <f t="shared" ref="I124:I129" si="21">SUM(D124:H124)</f>
        <v>82805191</v>
      </c>
      <c r="J124" s="91"/>
    </row>
    <row r="125" spans="1:10" x14ac:dyDescent="0.2">
      <c r="A125" s="39">
        <f t="shared" si="19"/>
        <v>40</v>
      </c>
      <c r="B125" s="39" t="s">
        <v>149</v>
      </c>
      <c r="D125" s="41">
        <f t="shared" si="20"/>
        <v>21919090</v>
      </c>
      <c r="E125" s="41">
        <f t="shared" si="20"/>
        <v>0</v>
      </c>
      <c r="F125" s="41">
        <f t="shared" si="20"/>
        <v>0</v>
      </c>
      <c r="G125" s="41">
        <f t="shared" si="20"/>
        <v>3185419</v>
      </c>
      <c r="H125" s="41">
        <f t="shared" si="20"/>
        <v>0</v>
      </c>
      <c r="I125" s="41">
        <f t="shared" si="21"/>
        <v>25104509</v>
      </c>
    </row>
    <row r="126" spans="1:10" x14ac:dyDescent="0.2">
      <c r="A126" s="39">
        <f t="shared" si="19"/>
        <v>41</v>
      </c>
      <c r="B126" s="42" t="s">
        <v>173</v>
      </c>
      <c r="D126" s="41">
        <f t="shared" si="20"/>
        <v>5846109</v>
      </c>
      <c r="E126" s="41">
        <f t="shared" si="20"/>
        <v>0</v>
      </c>
      <c r="F126" s="41">
        <f t="shared" si="20"/>
        <v>0</v>
      </c>
      <c r="G126" s="41">
        <f t="shared" si="20"/>
        <v>1286814</v>
      </c>
      <c r="H126" s="41">
        <f t="shared" si="20"/>
        <v>0</v>
      </c>
      <c r="I126" s="41">
        <f t="shared" si="21"/>
        <v>7132923</v>
      </c>
    </row>
    <row r="127" spans="1:10" x14ac:dyDescent="0.2">
      <c r="A127" s="39">
        <f t="shared" si="19"/>
        <v>42</v>
      </c>
      <c r="B127" s="42" t="s">
        <v>168</v>
      </c>
      <c r="C127" s="42"/>
      <c r="D127" s="41">
        <f t="shared" si="20"/>
        <v>46456797</v>
      </c>
      <c r="E127" s="41">
        <f t="shared" si="20"/>
        <v>0</v>
      </c>
      <c r="F127" s="41">
        <f t="shared" si="20"/>
        <v>0</v>
      </c>
      <c r="G127" s="41">
        <f t="shared" si="20"/>
        <v>1527110</v>
      </c>
      <c r="H127" s="41">
        <f t="shared" si="20"/>
        <v>0</v>
      </c>
      <c r="I127" s="41">
        <f t="shared" si="21"/>
        <v>47983907</v>
      </c>
    </row>
    <row r="128" spans="1:10" x14ac:dyDescent="0.2">
      <c r="A128" s="39">
        <f t="shared" si="19"/>
        <v>43</v>
      </c>
      <c r="B128" s="42" t="s">
        <v>163</v>
      </c>
      <c r="C128" s="42"/>
      <c r="D128" s="41">
        <f>D93-D108-D129</f>
        <v>95398626</v>
      </c>
      <c r="E128" s="41">
        <f>E93-E108-E129</f>
        <v>0</v>
      </c>
      <c r="F128" s="41">
        <f>F93-F108-F129</f>
        <v>0</v>
      </c>
      <c r="G128" s="41">
        <f>G93-G108-G129</f>
        <v>0</v>
      </c>
      <c r="H128" s="41">
        <f>H93-H108-H129</f>
        <v>0</v>
      </c>
      <c r="I128" s="41">
        <f t="shared" si="21"/>
        <v>95398626</v>
      </c>
      <c r="J128" s="91"/>
    </row>
    <row r="129" spans="1:9" x14ac:dyDescent="0.2">
      <c r="A129" s="39">
        <f t="shared" si="19"/>
        <v>44</v>
      </c>
      <c r="B129" s="39" t="s">
        <v>151</v>
      </c>
      <c r="D129" s="41">
        <v>8609264</v>
      </c>
      <c r="E129" s="41">
        <v>0</v>
      </c>
      <c r="F129" s="41">
        <v>0</v>
      </c>
      <c r="G129" s="41">
        <v>0</v>
      </c>
      <c r="H129" s="41">
        <v>0</v>
      </c>
      <c r="I129" s="41">
        <f t="shared" si="21"/>
        <v>8609264</v>
      </c>
    </row>
    <row r="130" spans="1:9" x14ac:dyDescent="0.2">
      <c r="B130" s="42" t="s">
        <v>172</v>
      </c>
      <c r="D130" s="41"/>
      <c r="E130" s="41"/>
      <c r="F130" s="41">
        <f>E130-D130</f>
        <v>0</v>
      </c>
      <c r="G130" s="41"/>
      <c r="H130" s="41"/>
      <c r="I130" s="41"/>
    </row>
    <row r="131" spans="1:9" x14ac:dyDescent="0.2">
      <c r="A131" s="39">
        <f>A129+1</f>
        <v>45</v>
      </c>
      <c r="B131" s="42"/>
      <c r="C131" s="42" t="s">
        <v>175</v>
      </c>
      <c r="D131" s="41">
        <f t="shared" ref="D131:H135" si="22">D95</f>
        <v>-2502371</v>
      </c>
      <c r="E131" s="41">
        <f t="shared" si="22"/>
        <v>0</v>
      </c>
      <c r="F131" s="41">
        <f t="shared" si="22"/>
        <v>0</v>
      </c>
      <c r="G131" s="41">
        <f t="shared" si="22"/>
        <v>2320407</v>
      </c>
      <c r="H131" s="41">
        <f t="shared" si="22"/>
        <v>0</v>
      </c>
      <c r="I131" s="41">
        <f>SUM(D131:H131)</f>
        <v>-181964</v>
      </c>
    </row>
    <row r="132" spans="1:9" x14ac:dyDescent="0.2">
      <c r="A132" s="39">
        <f>A131+1</f>
        <v>46</v>
      </c>
      <c r="B132" s="42"/>
      <c r="C132" s="42" t="s">
        <v>182</v>
      </c>
      <c r="D132" s="41">
        <f t="shared" si="22"/>
        <v>1707244</v>
      </c>
      <c r="E132" s="41">
        <f t="shared" si="22"/>
        <v>0</v>
      </c>
      <c r="F132" s="41">
        <f t="shared" si="22"/>
        <v>0</v>
      </c>
      <c r="G132" s="41">
        <f t="shared" si="22"/>
        <v>-1707244</v>
      </c>
      <c r="H132" s="41">
        <f t="shared" si="22"/>
        <v>0</v>
      </c>
      <c r="I132" s="41">
        <f>SUM(D132:H132)</f>
        <v>0</v>
      </c>
    </row>
    <row r="133" spans="1:9" x14ac:dyDescent="0.2">
      <c r="A133" s="39">
        <f>A132+1</f>
        <v>47</v>
      </c>
      <c r="B133" s="42"/>
      <c r="C133" s="42" t="s">
        <v>201</v>
      </c>
      <c r="D133" s="41">
        <f t="shared" si="22"/>
        <v>5272</v>
      </c>
      <c r="E133" s="41">
        <f t="shared" si="22"/>
        <v>0</v>
      </c>
      <c r="F133" s="41">
        <f t="shared" si="22"/>
        <v>0</v>
      </c>
      <c r="G133" s="41">
        <f t="shared" si="22"/>
        <v>-5272</v>
      </c>
      <c r="H133" s="41">
        <f t="shared" si="22"/>
        <v>0</v>
      </c>
      <c r="I133" s="41">
        <f>SUM(D133:H133)</f>
        <v>0</v>
      </c>
    </row>
    <row r="134" spans="1:9" x14ac:dyDescent="0.2">
      <c r="A134" s="39">
        <f>A133+1</f>
        <v>48</v>
      </c>
      <c r="B134" s="42"/>
      <c r="C134" s="42" t="s">
        <v>183</v>
      </c>
      <c r="D134" s="41">
        <f t="shared" si="22"/>
        <v>551794</v>
      </c>
      <c r="E134" s="41">
        <f t="shared" si="22"/>
        <v>0</v>
      </c>
      <c r="F134" s="41">
        <f t="shared" si="22"/>
        <v>0</v>
      </c>
      <c r="G134" s="41">
        <f t="shared" si="22"/>
        <v>-551794</v>
      </c>
      <c r="H134" s="41">
        <f t="shared" si="22"/>
        <v>0</v>
      </c>
      <c r="I134" s="41">
        <f>SUM(D134:H134)</f>
        <v>0</v>
      </c>
    </row>
    <row r="135" spans="1:9" x14ac:dyDescent="0.2">
      <c r="A135" s="39">
        <f>A134+1</f>
        <v>49</v>
      </c>
      <c r="B135" s="42"/>
      <c r="C135" s="42" t="s">
        <v>251</v>
      </c>
      <c r="D135" s="41">
        <f t="shared" si="22"/>
        <v>-355.17999999946915</v>
      </c>
      <c r="E135" s="41">
        <f t="shared" si="22"/>
        <v>0</v>
      </c>
      <c r="F135" s="41">
        <f t="shared" si="22"/>
        <v>0</v>
      </c>
      <c r="G135" s="41">
        <f t="shared" si="22"/>
        <v>0</v>
      </c>
      <c r="H135" s="41">
        <f t="shared" si="22"/>
        <v>0</v>
      </c>
      <c r="I135" s="41">
        <f>SUM(D135:H135)</f>
        <v>-355.17999999946915</v>
      </c>
    </row>
    <row r="136" spans="1:9" x14ac:dyDescent="0.2">
      <c r="D136" s="41"/>
      <c r="E136" s="41"/>
      <c r="F136" s="41"/>
      <c r="G136" s="41"/>
      <c r="H136" s="41"/>
      <c r="I136" s="41"/>
    </row>
    <row r="137" spans="1:9" x14ac:dyDescent="0.2">
      <c r="A137" s="39">
        <f>A135+1</f>
        <v>50</v>
      </c>
      <c r="B137" s="42" t="s">
        <v>184</v>
      </c>
      <c r="C137" s="42"/>
      <c r="D137" s="41">
        <f t="shared" ref="D137:I137" si="23">SUM(D113:D135)</f>
        <v>5420148916.8199997</v>
      </c>
      <c r="E137" s="41">
        <f t="shared" si="23"/>
        <v>-50806</v>
      </c>
      <c r="F137" s="41">
        <f t="shared" si="23"/>
        <v>0</v>
      </c>
      <c r="G137" s="41">
        <f t="shared" si="23"/>
        <v>213198729</v>
      </c>
      <c r="H137" s="41">
        <f t="shared" si="23"/>
        <v>0</v>
      </c>
      <c r="I137" s="41">
        <f t="shared" si="23"/>
        <v>5633296839.8199997</v>
      </c>
    </row>
    <row r="138" spans="1:9" x14ac:dyDescent="0.2">
      <c r="A138" s="39">
        <f>A137+1</f>
        <v>51</v>
      </c>
      <c r="B138" s="173" t="s">
        <v>397</v>
      </c>
      <c r="C138" s="42"/>
      <c r="D138" s="41">
        <f t="shared" ref="D138:I138" si="24">D137</f>
        <v>5420148916.8199997</v>
      </c>
      <c r="E138" s="41">
        <f t="shared" si="24"/>
        <v>-50806</v>
      </c>
      <c r="F138" s="41">
        <f t="shared" si="24"/>
        <v>0</v>
      </c>
      <c r="G138" s="41">
        <f t="shared" si="24"/>
        <v>213198729</v>
      </c>
      <c r="H138" s="41">
        <f t="shared" si="24"/>
        <v>0</v>
      </c>
      <c r="I138" s="41">
        <f t="shared" si="24"/>
        <v>5633296839.8199997</v>
      </c>
    </row>
    <row r="139" spans="1:9" x14ac:dyDescent="0.2">
      <c r="A139" s="39">
        <f>A138+1</f>
        <v>52</v>
      </c>
      <c r="B139" s="42" t="s">
        <v>303</v>
      </c>
      <c r="C139" s="42"/>
      <c r="D139" s="127" t="s">
        <v>302</v>
      </c>
      <c r="E139" s="127" t="s">
        <v>302</v>
      </c>
      <c r="F139" s="127" t="s">
        <v>302</v>
      </c>
      <c r="G139" s="127" t="s">
        <v>302</v>
      </c>
      <c r="H139" s="127" t="s">
        <v>302</v>
      </c>
      <c r="I139" s="127" t="s">
        <v>302</v>
      </c>
    </row>
    <row r="140" spans="1:9" x14ac:dyDescent="0.2">
      <c r="B140" s="42"/>
      <c r="C140" s="42"/>
      <c r="D140" s="41"/>
      <c r="E140" s="41"/>
      <c r="F140" s="41"/>
      <c r="G140" s="41"/>
      <c r="H140" s="41"/>
      <c r="I140" s="41"/>
    </row>
    <row r="141" spans="1:9" x14ac:dyDescent="0.2">
      <c r="A141" s="39">
        <f>A139+1</f>
        <v>53</v>
      </c>
      <c r="B141" s="42" t="s">
        <v>166</v>
      </c>
      <c r="C141" s="42"/>
      <c r="D141" s="41">
        <v>-29618220</v>
      </c>
      <c r="E141" s="41">
        <v>0</v>
      </c>
      <c r="F141" s="41">
        <v>0</v>
      </c>
      <c r="G141" s="41">
        <v>-1019616</v>
      </c>
      <c r="H141" s="41">
        <v>0</v>
      </c>
      <c r="I141" s="41">
        <f>SUM(D141:H141)</f>
        <v>-30637836</v>
      </c>
    </row>
    <row r="143" spans="1:9" x14ac:dyDescent="0.2">
      <c r="A143" s="107" t="s">
        <v>162</v>
      </c>
      <c r="B143" s="107"/>
      <c r="C143" s="108"/>
      <c r="D143" s="109" t="s">
        <v>176</v>
      </c>
      <c r="E143" s="109" t="s">
        <v>181</v>
      </c>
      <c r="F143" s="109" t="s">
        <v>177</v>
      </c>
      <c r="G143" s="109" t="s">
        <v>178</v>
      </c>
      <c r="H143" s="109" t="s">
        <v>179</v>
      </c>
      <c r="I143" s="109" t="s">
        <v>180</v>
      </c>
    </row>
    <row r="145" spans="1:9" x14ac:dyDescent="0.2">
      <c r="A145" s="39">
        <v>1</v>
      </c>
      <c r="B145" s="39" t="s">
        <v>140</v>
      </c>
      <c r="D145" s="43">
        <f t="shared" ref="D145:I145" si="25">D5-D75</f>
        <v>0</v>
      </c>
      <c r="E145" s="43">
        <f t="shared" si="25"/>
        <v>0</v>
      </c>
      <c r="F145" s="43">
        <f t="shared" si="25"/>
        <v>0</v>
      </c>
      <c r="G145" s="43">
        <f t="shared" si="25"/>
        <v>0</v>
      </c>
      <c r="H145" s="43">
        <f t="shared" si="25"/>
        <v>0</v>
      </c>
      <c r="I145" s="43">
        <f t="shared" si="25"/>
        <v>0</v>
      </c>
    </row>
    <row r="146" spans="1:9" x14ac:dyDescent="0.2">
      <c r="E146" s="43"/>
      <c r="F146" s="43"/>
      <c r="G146" s="43"/>
      <c r="H146" s="43"/>
      <c r="I146" s="43"/>
    </row>
    <row r="147" spans="1:9" x14ac:dyDescent="0.2">
      <c r="B147" s="42" t="s">
        <v>155</v>
      </c>
      <c r="D147" s="40"/>
      <c r="E147" s="40"/>
      <c r="F147" s="40"/>
      <c r="G147" s="40"/>
      <c r="H147" s="40"/>
      <c r="I147" s="40"/>
    </row>
    <row r="148" spans="1:9" x14ac:dyDescent="0.2">
      <c r="A148" s="39">
        <f>A145+1</f>
        <v>2</v>
      </c>
      <c r="B148" s="39" t="s">
        <v>141</v>
      </c>
      <c r="D148" s="43">
        <f t="shared" ref="D148:I150" si="26">D8-D78</f>
        <v>0</v>
      </c>
      <c r="E148" s="43">
        <f t="shared" si="26"/>
        <v>0</v>
      </c>
      <c r="F148" s="43">
        <f t="shared" si="26"/>
        <v>0</v>
      </c>
      <c r="G148" s="43">
        <f t="shared" si="26"/>
        <v>0</v>
      </c>
      <c r="H148" s="43">
        <f t="shared" si="26"/>
        <v>0</v>
      </c>
      <c r="I148" s="43">
        <f t="shared" si="26"/>
        <v>0</v>
      </c>
    </row>
    <row r="149" spans="1:9" x14ac:dyDescent="0.2">
      <c r="A149" s="39">
        <f>A148+1</f>
        <v>3</v>
      </c>
      <c r="B149" s="42" t="s">
        <v>167</v>
      </c>
      <c r="C149" s="42"/>
      <c r="D149" s="43">
        <f t="shared" si="26"/>
        <v>0</v>
      </c>
      <c r="E149" s="43">
        <f t="shared" si="26"/>
        <v>0</v>
      </c>
      <c r="F149" s="43">
        <f t="shared" si="26"/>
        <v>0</v>
      </c>
      <c r="G149" s="43">
        <f t="shared" si="26"/>
        <v>0</v>
      </c>
      <c r="H149" s="43">
        <f t="shared" si="26"/>
        <v>0</v>
      </c>
      <c r="I149" s="43">
        <f t="shared" si="26"/>
        <v>0</v>
      </c>
    </row>
    <row r="150" spans="1:9" x14ac:dyDescent="0.2">
      <c r="A150" s="39">
        <f>A149+1</f>
        <v>4</v>
      </c>
      <c r="B150" s="39" t="s">
        <v>142</v>
      </c>
      <c r="D150" s="43">
        <f t="shared" si="26"/>
        <v>0</v>
      </c>
      <c r="E150" s="43">
        <f t="shared" si="26"/>
        <v>0</v>
      </c>
      <c r="F150" s="43">
        <f t="shared" si="26"/>
        <v>0</v>
      </c>
      <c r="G150" s="43">
        <f t="shared" si="26"/>
        <v>0</v>
      </c>
      <c r="H150" s="43">
        <f t="shared" si="26"/>
        <v>0</v>
      </c>
      <c r="I150" s="43">
        <f t="shared" si="26"/>
        <v>0</v>
      </c>
    </row>
    <row r="151" spans="1:9" x14ac:dyDescent="0.2">
      <c r="B151" s="42" t="s">
        <v>171</v>
      </c>
      <c r="D151" s="43"/>
      <c r="E151" s="43"/>
      <c r="F151" s="43"/>
      <c r="G151" s="43"/>
      <c r="H151" s="43"/>
      <c r="I151" s="43"/>
    </row>
    <row r="152" spans="1:9" x14ac:dyDescent="0.2">
      <c r="A152" s="39">
        <f>A150+1</f>
        <v>5</v>
      </c>
      <c r="C152" s="39" t="s">
        <v>143</v>
      </c>
      <c r="D152" s="43">
        <f t="shared" ref="D152:I163" si="27">D12-D82</f>
        <v>0</v>
      </c>
      <c r="E152" s="43">
        <f t="shared" si="27"/>
        <v>0</v>
      </c>
      <c r="F152" s="43">
        <f t="shared" si="27"/>
        <v>0</v>
      </c>
      <c r="G152" s="43">
        <f t="shared" si="27"/>
        <v>0</v>
      </c>
      <c r="H152" s="43">
        <f t="shared" si="27"/>
        <v>0</v>
      </c>
      <c r="I152" s="43">
        <f t="shared" si="27"/>
        <v>0</v>
      </c>
    </row>
    <row r="153" spans="1:9" x14ac:dyDescent="0.2">
      <c r="A153" s="39">
        <f t="shared" ref="A153:A163" si="28">A152+1</f>
        <v>6</v>
      </c>
      <c r="C153" s="39" t="s">
        <v>144</v>
      </c>
      <c r="D153" s="43">
        <f t="shared" si="27"/>
        <v>0</v>
      </c>
      <c r="E153" s="43">
        <f t="shared" si="27"/>
        <v>0</v>
      </c>
      <c r="F153" s="43">
        <f t="shared" si="27"/>
        <v>0</v>
      </c>
      <c r="G153" s="43">
        <f t="shared" si="27"/>
        <v>0</v>
      </c>
      <c r="H153" s="43">
        <f t="shared" si="27"/>
        <v>0</v>
      </c>
      <c r="I153" s="43">
        <f t="shared" si="27"/>
        <v>0</v>
      </c>
    </row>
    <row r="154" spans="1:9" x14ac:dyDescent="0.2">
      <c r="A154" s="39">
        <f t="shared" si="28"/>
        <v>7</v>
      </c>
      <c r="B154" s="42"/>
      <c r="C154" s="42" t="s">
        <v>170</v>
      </c>
      <c r="D154" s="43">
        <f t="shared" si="27"/>
        <v>0</v>
      </c>
      <c r="E154" s="43">
        <f t="shared" si="27"/>
        <v>0</v>
      </c>
      <c r="F154" s="43">
        <f t="shared" si="27"/>
        <v>0</v>
      </c>
      <c r="G154" s="43">
        <f t="shared" si="27"/>
        <v>0</v>
      </c>
      <c r="H154" s="43">
        <f t="shared" si="27"/>
        <v>0</v>
      </c>
      <c r="I154" s="43">
        <f t="shared" si="27"/>
        <v>0</v>
      </c>
    </row>
    <row r="155" spans="1:9" x14ac:dyDescent="0.2">
      <c r="A155" s="39">
        <f t="shared" si="28"/>
        <v>8</v>
      </c>
      <c r="B155" s="39" t="s">
        <v>145</v>
      </c>
      <c r="D155" s="43">
        <f t="shared" si="27"/>
        <v>0</v>
      </c>
      <c r="E155" s="43">
        <f t="shared" si="27"/>
        <v>0</v>
      </c>
      <c r="F155" s="43">
        <f t="shared" si="27"/>
        <v>0</v>
      </c>
      <c r="G155" s="43">
        <f t="shared" si="27"/>
        <v>0</v>
      </c>
      <c r="H155" s="43">
        <f t="shared" si="27"/>
        <v>0</v>
      </c>
      <c r="I155" s="43">
        <f t="shared" si="27"/>
        <v>0</v>
      </c>
    </row>
    <row r="156" spans="1:9" x14ac:dyDescent="0.2">
      <c r="A156" s="39">
        <f t="shared" si="28"/>
        <v>9</v>
      </c>
      <c r="B156" s="39" t="s">
        <v>146</v>
      </c>
      <c r="D156" s="43">
        <f t="shared" si="27"/>
        <v>0</v>
      </c>
      <c r="E156" s="43">
        <f t="shared" si="27"/>
        <v>0</v>
      </c>
      <c r="F156" s="43">
        <f t="shared" si="27"/>
        <v>0</v>
      </c>
      <c r="G156" s="43">
        <f t="shared" si="27"/>
        <v>0</v>
      </c>
      <c r="H156" s="43">
        <f t="shared" si="27"/>
        <v>0</v>
      </c>
      <c r="I156" s="43">
        <f t="shared" si="27"/>
        <v>0</v>
      </c>
    </row>
    <row r="157" spans="1:9" x14ac:dyDescent="0.2">
      <c r="A157" s="39">
        <f t="shared" si="28"/>
        <v>10</v>
      </c>
      <c r="B157" s="39" t="s">
        <v>148</v>
      </c>
      <c r="D157" s="43">
        <f t="shared" si="27"/>
        <v>0</v>
      </c>
      <c r="E157" s="43">
        <f t="shared" si="27"/>
        <v>0</v>
      </c>
      <c r="F157" s="43">
        <f t="shared" si="27"/>
        <v>0</v>
      </c>
      <c r="G157" s="43">
        <f t="shared" si="27"/>
        <v>0</v>
      </c>
      <c r="H157" s="43">
        <f t="shared" si="27"/>
        <v>0</v>
      </c>
      <c r="I157" s="43">
        <f t="shared" si="27"/>
        <v>0</v>
      </c>
    </row>
    <row r="158" spans="1:9" x14ac:dyDescent="0.2">
      <c r="A158" s="39">
        <f t="shared" si="28"/>
        <v>11</v>
      </c>
      <c r="B158" s="39" t="s">
        <v>244</v>
      </c>
      <c r="D158" s="43">
        <f t="shared" si="27"/>
        <v>0</v>
      </c>
      <c r="E158" s="43">
        <f t="shared" si="27"/>
        <v>0</v>
      </c>
      <c r="F158" s="43">
        <f t="shared" si="27"/>
        <v>0</v>
      </c>
      <c r="G158" s="43">
        <f t="shared" si="27"/>
        <v>0</v>
      </c>
      <c r="H158" s="43">
        <f t="shared" si="27"/>
        <v>0</v>
      </c>
      <c r="I158" s="43">
        <f t="shared" si="27"/>
        <v>0</v>
      </c>
    </row>
    <row r="159" spans="1:9" x14ac:dyDescent="0.2">
      <c r="A159" s="39">
        <f t="shared" si="28"/>
        <v>12</v>
      </c>
      <c r="B159" s="39" t="s">
        <v>147</v>
      </c>
      <c r="D159" s="43">
        <f t="shared" si="27"/>
        <v>0</v>
      </c>
      <c r="E159" s="43">
        <f t="shared" si="27"/>
        <v>0</v>
      </c>
      <c r="F159" s="43">
        <f t="shared" si="27"/>
        <v>0</v>
      </c>
      <c r="G159" s="43">
        <f t="shared" si="27"/>
        <v>0</v>
      </c>
      <c r="H159" s="43">
        <f t="shared" si="27"/>
        <v>0</v>
      </c>
      <c r="I159" s="43">
        <f t="shared" si="27"/>
        <v>0</v>
      </c>
    </row>
    <row r="160" spans="1:9" x14ac:dyDescent="0.2">
      <c r="A160" s="39">
        <f t="shared" si="28"/>
        <v>13</v>
      </c>
      <c r="B160" s="39" t="s">
        <v>149</v>
      </c>
      <c r="D160" s="43">
        <f t="shared" si="27"/>
        <v>0</v>
      </c>
      <c r="E160" s="43">
        <f t="shared" si="27"/>
        <v>0</v>
      </c>
      <c r="F160" s="43">
        <f t="shared" si="27"/>
        <v>0</v>
      </c>
      <c r="G160" s="43">
        <f t="shared" si="27"/>
        <v>0</v>
      </c>
      <c r="H160" s="43">
        <f t="shared" si="27"/>
        <v>0</v>
      </c>
      <c r="I160" s="43">
        <f t="shared" si="27"/>
        <v>0</v>
      </c>
    </row>
    <row r="161" spans="1:9" x14ac:dyDescent="0.2">
      <c r="A161" s="39">
        <f t="shared" si="28"/>
        <v>14</v>
      </c>
      <c r="B161" s="42" t="s">
        <v>173</v>
      </c>
      <c r="D161" s="43">
        <f t="shared" si="27"/>
        <v>0</v>
      </c>
      <c r="E161" s="43">
        <f t="shared" si="27"/>
        <v>0</v>
      </c>
      <c r="F161" s="43">
        <f t="shared" si="27"/>
        <v>0</v>
      </c>
      <c r="G161" s="43">
        <f t="shared" si="27"/>
        <v>0</v>
      </c>
      <c r="H161" s="43">
        <f t="shared" si="27"/>
        <v>0</v>
      </c>
      <c r="I161" s="43">
        <f t="shared" si="27"/>
        <v>0</v>
      </c>
    </row>
    <row r="162" spans="1:9" x14ac:dyDescent="0.2">
      <c r="A162" s="39">
        <f t="shared" si="28"/>
        <v>15</v>
      </c>
      <c r="B162" s="42" t="s">
        <v>168</v>
      </c>
      <c r="C162" s="42"/>
      <c r="D162" s="43">
        <f t="shared" si="27"/>
        <v>0</v>
      </c>
      <c r="E162" s="43">
        <f t="shared" si="27"/>
        <v>0</v>
      </c>
      <c r="F162" s="43">
        <f t="shared" si="27"/>
        <v>0</v>
      </c>
      <c r="G162" s="43">
        <f t="shared" si="27"/>
        <v>0</v>
      </c>
      <c r="H162" s="43">
        <f t="shared" si="27"/>
        <v>0</v>
      </c>
      <c r="I162" s="43">
        <f t="shared" si="27"/>
        <v>0</v>
      </c>
    </row>
    <row r="163" spans="1:9" x14ac:dyDescent="0.2">
      <c r="A163" s="39">
        <f t="shared" si="28"/>
        <v>16</v>
      </c>
      <c r="B163" s="39" t="s">
        <v>150</v>
      </c>
      <c r="D163" s="43">
        <f t="shared" si="27"/>
        <v>0</v>
      </c>
      <c r="E163" s="43">
        <f t="shared" si="27"/>
        <v>0</v>
      </c>
      <c r="F163" s="43">
        <f t="shared" si="27"/>
        <v>0</v>
      </c>
      <c r="G163" s="43">
        <f t="shared" si="27"/>
        <v>0</v>
      </c>
      <c r="H163" s="43">
        <f t="shared" si="27"/>
        <v>0</v>
      </c>
      <c r="I163" s="43">
        <f t="shared" si="27"/>
        <v>0</v>
      </c>
    </row>
    <row r="164" spans="1:9" x14ac:dyDescent="0.2">
      <c r="B164" s="42" t="s">
        <v>172</v>
      </c>
      <c r="D164" s="43"/>
      <c r="E164" s="43"/>
      <c r="F164" s="43"/>
      <c r="G164" s="43"/>
      <c r="H164" s="43"/>
      <c r="I164" s="43"/>
    </row>
    <row r="165" spans="1:9" x14ac:dyDescent="0.2">
      <c r="A165" s="39">
        <f>A163+1</f>
        <v>17</v>
      </c>
      <c r="B165" s="42"/>
      <c r="C165" s="42" t="s">
        <v>175</v>
      </c>
      <c r="D165" s="43">
        <f t="shared" ref="D165:I168" si="29">D25-D95</f>
        <v>0</v>
      </c>
      <c r="E165" s="43">
        <f t="shared" si="29"/>
        <v>0</v>
      </c>
      <c r="F165" s="43">
        <f t="shared" si="29"/>
        <v>0</v>
      </c>
      <c r="G165" s="43">
        <f t="shared" si="29"/>
        <v>0</v>
      </c>
      <c r="H165" s="43">
        <f t="shared" si="29"/>
        <v>0</v>
      </c>
      <c r="I165" s="43">
        <f t="shared" si="29"/>
        <v>0</v>
      </c>
    </row>
    <row r="166" spans="1:9" x14ac:dyDescent="0.2">
      <c r="A166" s="39">
        <f>A165+1</f>
        <v>18</v>
      </c>
      <c r="B166" s="42"/>
      <c r="C166" s="42" t="s">
        <v>182</v>
      </c>
      <c r="D166" s="43">
        <f t="shared" si="29"/>
        <v>0</v>
      </c>
      <c r="E166" s="43">
        <f t="shared" si="29"/>
        <v>0</v>
      </c>
      <c r="F166" s="43">
        <f t="shared" si="29"/>
        <v>0</v>
      </c>
      <c r="G166" s="43">
        <f t="shared" si="29"/>
        <v>0</v>
      </c>
      <c r="H166" s="43">
        <f t="shared" si="29"/>
        <v>0</v>
      </c>
      <c r="I166" s="43">
        <f t="shared" si="29"/>
        <v>0</v>
      </c>
    </row>
    <row r="167" spans="1:9" x14ac:dyDescent="0.2">
      <c r="A167" s="39">
        <f>A166+1</f>
        <v>19</v>
      </c>
      <c r="B167" s="42"/>
      <c r="C167" s="42" t="s">
        <v>201</v>
      </c>
      <c r="D167" s="43">
        <f t="shared" si="29"/>
        <v>0</v>
      </c>
      <c r="E167" s="43">
        <f t="shared" si="29"/>
        <v>0</v>
      </c>
      <c r="F167" s="43">
        <f t="shared" si="29"/>
        <v>0</v>
      </c>
      <c r="G167" s="43">
        <f t="shared" si="29"/>
        <v>0</v>
      </c>
      <c r="H167" s="43">
        <f t="shared" si="29"/>
        <v>0</v>
      </c>
      <c r="I167" s="43">
        <f t="shared" si="29"/>
        <v>0</v>
      </c>
    </row>
    <row r="168" spans="1:9" x14ac:dyDescent="0.2">
      <c r="A168" s="39">
        <f>A167+1</f>
        <v>20</v>
      </c>
      <c r="B168" s="42"/>
      <c r="C168" s="42" t="s">
        <v>183</v>
      </c>
      <c r="D168" s="43">
        <f t="shared" si="29"/>
        <v>0</v>
      </c>
      <c r="E168" s="43">
        <f t="shared" si="29"/>
        <v>0</v>
      </c>
      <c r="F168" s="43">
        <f t="shared" si="29"/>
        <v>0</v>
      </c>
      <c r="G168" s="43">
        <f t="shared" si="29"/>
        <v>0</v>
      </c>
      <c r="H168" s="43">
        <f t="shared" si="29"/>
        <v>0</v>
      </c>
      <c r="I168" s="43">
        <f t="shared" si="29"/>
        <v>0</v>
      </c>
    </row>
    <row r="169" spans="1:9" x14ac:dyDescent="0.2">
      <c r="A169" s="39">
        <f>A168+1</f>
        <v>21</v>
      </c>
      <c r="B169" s="42"/>
      <c r="C169" s="42" t="s">
        <v>251</v>
      </c>
      <c r="D169" s="43">
        <f t="shared" ref="D169:I169" si="30">D29-D99</f>
        <v>0</v>
      </c>
      <c r="E169" s="43">
        <f t="shared" si="30"/>
        <v>0</v>
      </c>
      <c r="F169" s="43">
        <f t="shared" si="30"/>
        <v>0</v>
      </c>
      <c r="G169" s="43">
        <f t="shared" si="30"/>
        <v>0</v>
      </c>
      <c r="H169" s="43">
        <f t="shared" si="30"/>
        <v>0</v>
      </c>
      <c r="I169" s="43">
        <f t="shared" si="30"/>
        <v>0</v>
      </c>
    </row>
    <row r="170" spans="1:9" x14ac:dyDescent="0.2">
      <c r="D170" s="41"/>
      <c r="E170" s="41"/>
      <c r="F170" s="41"/>
      <c r="G170" s="41"/>
      <c r="H170" s="41"/>
      <c r="I170" s="41"/>
    </row>
    <row r="171" spans="1:9" x14ac:dyDescent="0.2">
      <c r="A171" s="39">
        <f>A169+1</f>
        <v>22</v>
      </c>
      <c r="B171" s="42" t="s">
        <v>158</v>
      </c>
      <c r="D171" s="43">
        <f t="shared" ref="D171:I171" si="31">D31-D101</f>
        <v>0</v>
      </c>
      <c r="E171" s="43">
        <f t="shared" si="31"/>
        <v>0</v>
      </c>
      <c r="F171" s="43">
        <f t="shared" si="31"/>
        <v>0</v>
      </c>
      <c r="G171" s="43">
        <f t="shared" si="31"/>
        <v>0</v>
      </c>
      <c r="H171" s="43">
        <f t="shared" si="31"/>
        <v>0</v>
      </c>
      <c r="I171" s="43">
        <f t="shared" si="31"/>
        <v>0</v>
      </c>
    </row>
    <row r="172" spans="1:9" x14ac:dyDescent="0.2">
      <c r="D172" s="41"/>
      <c r="E172" s="41"/>
      <c r="F172" s="41"/>
      <c r="G172" s="41"/>
      <c r="H172" s="41"/>
      <c r="I172" s="41"/>
    </row>
    <row r="173" spans="1:9" x14ac:dyDescent="0.2">
      <c r="B173" s="42" t="s">
        <v>156</v>
      </c>
      <c r="C173" s="42"/>
      <c r="D173" s="41"/>
      <c r="E173" s="41"/>
      <c r="F173" s="41"/>
      <c r="G173" s="41"/>
      <c r="H173" s="41"/>
      <c r="I173" s="41"/>
    </row>
    <row r="174" spans="1:9" x14ac:dyDescent="0.2">
      <c r="A174" s="39">
        <f>A171+1</f>
        <v>23</v>
      </c>
      <c r="B174" s="39" t="s">
        <v>153</v>
      </c>
      <c r="D174" s="43">
        <f t="shared" ref="D174:I178" si="32">D34-D104</f>
        <v>0</v>
      </c>
      <c r="E174" s="43">
        <f t="shared" si="32"/>
        <v>0</v>
      </c>
      <c r="F174" s="43">
        <f t="shared" si="32"/>
        <v>0</v>
      </c>
      <c r="G174" s="43">
        <f t="shared" si="32"/>
        <v>0</v>
      </c>
      <c r="H174" s="43">
        <f t="shared" si="32"/>
        <v>0</v>
      </c>
      <c r="I174" s="43">
        <f t="shared" si="32"/>
        <v>0</v>
      </c>
    </row>
    <row r="175" spans="1:9" x14ac:dyDescent="0.2">
      <c r="A175" s="39">
        <f>A174+1</f>
        <v>24</v>
      </c>
      <c r="B175" s="39" t="s">
        <v>152</v>
      </c>
      <c r="D175" s="43">
        <f t="shared" si="32"/>
        <v>0</v>
      </c>
      <c r="E175" s="43">
        <f t="shared" si="32"/>
        <v>0</v>
      </c>
      <c r="F175" s="43">
        <f t="shared" si="32"/>
        <v>0</v>
      </c>
      <c r="G175" s="43">
        <f t="shared" si="32"/>
        <v>0</v>
      </c>
      <c r="H175" s="43">
        <f t="shared" si="32"/>
        <v>0</v>
      </c>
      <c r="I175" s="43">
        <f t="shared" si="32"/>
        <v>0</v>
      </c>
    </row>
    <row r="176" spans="1:9" x14ac:dyDescent="0.2">
      <c r="A176" s="39">
        <f>A175+1</f>
        <v>25</v>
      </c>
      <c r="B176" s="42" t="s">
        <v>174</v>
      </c>
      <c r="D176" s="43">
        <f t="shared" si="32"/>
        <v>0</v>
      </c>
      <c r="E176" s="43">
        <f t="shared" si="32"/>
        <v>0</v>
      </c>
      <c r="F176" s="43">
        <f t="shared" si="32"/>
        <v>0</v>
      </c>
      <c r="G176" s="43">
        <f t="shared" si="32"/>
        <v>0</v>
      </c>
      <c r="H176" s="43">
        <f t="shared" si="32"/>
        <v>0</v>
      </c>
      <c r="I176" s="43">
        <f t="shared" si="32"/>
        <v>0</v>
      </c>
    </row>
    <row r="177" spans="1:9" x14ac:dyDescent="0.2">
      <c r="A177" s="39">
        <f>A176+1</f>
        <v>26</v>
      </c>
      <c r="B177" s="42" t="s">
        <v>168</v>
      </c>
      <c r="C177" s="42"/>
      <c r="D177" s="43">
        <f t="shared" si="32"/>
        <v>0</v>
      </c>
      <c r="E177" s="43">
        <f t="shared" si="32"/>
        <v>0</v>
      </c>
      <c r="F177" s="43">
        <f t="shared" si="32"/>
        <v>0</v>
      </c>
      <c r="G177" s="43">
        <f t="shared" si="32"/>
        <v>0</v>
      </c>
      <c r="H177" s="43">
        <f t="shared" si="32"/>
        <v>0</v>
      </c>
      <c r="I177" s="43">
        <f t="shared" si="32"/>
        <v>0</v>
      </c>
    </row>
    <row r="178" spans="1:9" x14ac:dyDescent="0.2">
      <c r="A178" s="39">
        <f>A177+1</f>
        <v>27</v>
      </c>
      <c r="B178" s="39" t="s">
        <v>154</v>
      </c>
      <c r="D178" s="43">
        <f t="shared" si="32"/>
        <v>0</v>
      </c>
      <c r="E178" s="43">
        <f t="shared" si="32"/>
        <v>0</v>
      </c>
      <c r="F178" s="43">
        <f t="shared" si="32"/>
        <v>0</v>
      </c>
      <c r="G178" s="43">
        <f t="shared" si="32"/>
        <v>0</v>
      </c>
      <c r="H178" s="43">
        <f t="shared" si="32"/>
        <v>0</v>
      </c>
      <c r="I178" s="43">
        <f t="shared" si="32"/>
        <v>0</v>
      </c>
    </row>
    <row r="179" spans="1:9" x14ac:dyDescent="0.2">
      <c r="D179" s="41"/>
      <c r="E179" s="41"/>
      <c r="F179" s="41"/>
      <c r="G179" s="41"/>
      <c r="H179" s="41"/>
      <c r="I179" s="41"/>
    </row>
    <row r="180" spans="1:9" x14ac:dyDescent="0.2">
      <c r="A180" s="39">
        <f>A178+1</f>
        <v>28</v>
      </c>
      <c r="B180" s="42" t="s">
        <v>159</v>
      </c>
      <c r="C180" s="42"/>
      <c r="D180" s="43">
        <f t="shared" ref="D180:I180" si="33">D40-D110</f>
        <v>0</v>
      </c>
      <c r="E180" s="43">
        <f t="shared" si="33"/>
        <v>0</v>
      </c>
      <c r="F180" s="43">
        <f t="shared" si="33"/>
        <v>0</v>
      </c>
      <c r="G180" s="43">
        <f t="shared" si="33"/>
        <v>0</v>
      </c>
      <c r="H180" s="43">
        <f t="shared" si="33"/>
        <v>0</v>
      </c>
      <c r="I180" s="43">
        <f t="shared" si="33"/>
        <v>0</v>
      </c>
    </row>
    <row r="181" spans="1:9" x14ac:dyDescent="0.2">
      <c r="B181" s="42"/>
      <c r="C181" s="42"/>
      <c r="D181" s="41"/>
      <c r="E181" s="41"/>
      <c r="F181" s="41"/>
      <c r="G181" s="41"/>
      <c r="H181" s="41"/>
      <c r="I181" s="41"/>
    </row>
    <row r="182" spans="1:9" x14ac:dyDescent="0.2">
      <c r="B182" s="42" t="s">
        <v>157</v>
      </c>
      <c r="C182" s="42"/>
      <c r="D182" s="41"/>
      <c r="E182" s="41"/>
      <c r="F182" s="41"/>
      <c r="G182" s="41"/>
      <c r="H182" s="41"/>
      <c r="I182" s="41"/>
    </row>
    <row r="183" spans="1:9" x14ac:dyDescent="0.2">
      <c r="A183" s="39">
        <f>A180+1</f>
        <v>29</v>
      </c>
      <c r="B183" s="39" t="s">
        <v>141</v>
      </c>
      <c r="D183" s="43">
        <f t="shared" ref="D183:I185" si="34">D43-D113</f>
        <v>0</v>
      </c>
      <c r="E183" s="43">
        <f t="shared" si="34"/>
        <v>0</v>
      </c>
      <c r="F183" s="43">
        <f t="shared" si="34"/>
        <v>0</v>
      </c>
      <c r="G183" s="43">
        <f t="shared" si="34"/>
        <v>0</v>
      </c>
      <c r="H183" s="43">
        <f t="shared" si="34"/>
        <v>0</v>
      </c>
      <c r="I183" s="43">
        <f t="shared" si="34"/>
        <v>0</v>
      </c>
    </row>
    <row r="184" spans="1:9" x14ac:dyDescent="0.2">
      <c r="A184" s="39">
        <f>A183+1</f>
        <v>30</v>
      </c>
      <c r="B184" s="42" t="s">
        <v>167</v>
      </c>
      <c r="C184" s="42"/>
      <c r="D184" s="43">
        <f t="shared" si="34"/>
        <v>0</v>
      </c>
      <c r="E184" s="43">
        <f t="shared" si="34"/>
        <v>0</v>
      </c>
      <c r="F184" s="43">
        <f t="shared" si="34"/>
        <v>0</v>
      </c>
      <c r="G184" s="43">
        <f t="shared" si="34"/>
        <v>0</v>
      </c>
      <c r="H184" s="43">
        <f t="shared" si="34"/>
        <v>0</v>
      </c>
      <c r="I184" s="43">
        <f t="shared" si="34"/>
        <v>0</v>
      </c>
    </row>
    <row r="185" spans="1:9" x14ac:dyDescent="0.2">
      <c r="A185" s="39">
        <f>A184+1</f>
        <v>31</v>
      </c>
      <c r="B185" s="39" t="s">
        <v>142</v>
      </c>
      <c r="D185" s="43">
        <f t="shared" si="34"/>
        <v>0</v>
      </c>
      <c r="E185" s="43">
        <f t="shared" si="34"/>
        <v>0</v>
      </c>
      <c r="F185" s="43">
        <f t="shared" si="34"/>
        <v>0</v>
      </c>
      <c r="G185" s="43">
        <f t="shared" si="34"/>
        <v>0</v>
      </c>
      <c r="H185" s="43">
        <f t="shared" si="34"/>
        <v>0</v>
      </c>
      <c r="I185" s="43">
        <f t="shared" si="34"/>
        <v>0</v>
      </c>
    </row>
    <row r="186" spans="1:9" x14ac:dyDescent="0.2">
      <c r="B186" s="42" t="s">
        <v>171</v>
      </c>
      <c r="D186" s="43"/>
      <c r="E186" s="43"/>
      <c r="F186" s="43"/>
      <c r="G186" s="43"/>
      <c r="H186" s="43"/>
      <c r="I186" s="43"/>
    </row>
    <row r="187" spans="1:9" x14ac:dyDescent="0.2">
      <c r="A187" s="39">
        <f>A185+1</f>
        <v>32</v>
      </c>
      <c r="C187" s="39" t="s">
        <v>143</v>
      </c>
      <c r="D187" s="43">
        <f t="shared" ref="D187:I199" si="35">D47-D117</f>
        <v>0</v>
      </c>
      <c r="E187" s="43">
        <f t="shared" si="35"/>
        <v>0</v>
      </c>
      <c r="F187" s="43">
        <f t="shared" si="35"/>
        <v>0</v>
      </c>
      <c r="G187" s="43">
        <f t="shared" si="35"/>
        <v>0</v>
      </c>
      <c r="H187" s="43">
        <f t="shared" si="35"/>
        <v>0</v>
      </c>
      <c r="I187" s="43">
        <f t="shared" si="35"/>
        <v>0</v>
      </c>
    </row>
    <row r="188" spans="1:9" x14ac:dyDescent="0.2">
      <c r="A188" s="39">
        <f t="shared" ref="A188:A199" si="36">A187+1</f>
        <v>33</v>
      </c>
      <c r="C188" s="39" t="s">
        <v>144</v>
      </c>
      <c r="D188" s="43">
        <f t="shared" si="35"/>
        <v>0</v>
      </c>
      <c r="E188" s="43">
        <f t="shared" si="35"/>
        <v>0</v>
      </c>
      <c r="F188" s="43">
        <f t="shared" si="35"/>
        <v>0</v>
      </c>
      <c r="G188" s="43">
        <f t="shared" si="35"/>
        <v>0</v>
      </c>
      <c r="H188" s="43">
        <f t="shared" si="35"/>
        <v>0</v>
      </c>
      <c r="I188" s="43">
        <f t="shared" si="35"/>
        <v>0</v>
      </c>
    </row>
    <row r="189" spans="1:9" x14ac:dyDescent="0.2">
      <c r="A189" s="39">
        <f t="shared" si="36"/>
        <v>34</v>
      </c>
      <c r="B189" s="42"/>
      <c r="C189" s="42" t="s">
        <v>170</v>
      </c>
      <c r="D189" s="43">
        <f t="shared" si="35"/>
        <v>0</v>
      </c>
      <c r="E189" s="43">
        <f t="shared" si="35"/>
        <v>0</v>
      </c>
      <c r="F189" s="43">
        <f t="shared" si="35"/>
        <v>0</v>
      </c>
      <c r="G189" s="43">
        <f t="shared" si="35"/>
        <v>0</v>
      </c>
      <c r="H189" s="43">
        <f t="shared" si="35"/>
        <v>0</v>
      </c>
      <c r="I189" s="43">
        <f t="shared" si="35"/>
        <v>0</v>
      </c>
    </row>
    <row r="190" spans="1:9" x14ac:dyDescent="0.2">
      <c r="A190" s="39">
        <f t="shared" si="36"/>
        <v>35</v>
      </c>
      <c r="B190" s="39" t="s">
        <v>145</v>
      </c>
      <c r="D190" s="43">
        <f t="shared" si="35"/>
        <v>0</v>
      </c>
      <c r="E190" s="43">
        <f t="shared" si="35"/>
        <v>0</v>
      </c>
      <c r="F190" s="43">
        <f t="shared" si="35"/>
        <v>0</v>
      </c>
      <c r="G190" s="43">
        <f t="shared" si="35"/>
        <v>0</v>
      </c>
      <c r="H190" s="43">
        <f t="shared" si="35"/>
        <v>0</v>
      </c>
      <c r="I190" s="43">
        <f t="shared" si="35"/>
        <v>0</v>
      </c>
    </row>
    <row r="191" spans="1:9" x14ac:dyDescent="0.2">
      <c r="A191" s="39">
        <f t="shared" si="36"/>
        <v>36</v>
      </c>
      <c r="B191" s="39" t="s">
        <v>146</v>
      </c>
      <c r="D191" s="43">
        <f t="shared" si="35"/>
        <v>0</v>
      </c>
      <c r="E191" s="43">
        <f t="shared" si="35"/>
        <v>0</v>
      </c>
      <c r="F191" s="43">
        <f t="shared" si="35"/>
        <v>0</v>
      </c>
      <c r="G191" s="43">
        <f t="shared" si="35"/>
        <v>0</v>
      </c>
      <c r="H191" s="43">
        <f t="shared" si="35"/>
        <v>0</v>
      </c>
      <c r="I191" s="43">
        <f t="shared" si="35"/>
        <v>0</v>
      </c>
    </row>
    <row r="192" spans="1:9" x14ac:dyDescent="0.2">
      <c r="A192" s="39">
        <f t="shared" si="36"/>
        <v>37</v>
      </c>
      <c r="B192" s="39" t="s">
        <v>148</v>
      </c>
      <c r="D192" s="43">
        <f t="shared" si="35"/>
        <v>0</v>
      </c>
      <c r="E192" s="43">
        <f t="shared" si="35"/>
        <v>0</v>
      </c>
      <c r="F192" s="43">
        <f t="shared" si="35"/>
        <v>0</v>
      </c>
      <c r="G192" s="43">
        <f t="shared" si="35"/>
        <v>0</v>
      </c>
      <c r="H192" s="43">
        <f t="shared" si="35"/>
        <v>0</v>
      </c>
      <c r="I192" s="43">
        <f t="shared" si="35"/>
        <v>0</v>
      </c>
    </row>
    <row r="193" spans="1:9" x14ac:dyDescent="0.2">
      <c r="A193" s="39">
        <f t="shared" si="36"/>
        <v>38</v>
      </c>
      <c r="B193" s="39" t="s">
        <v>244</v>
      </c>
      <c r="D193" s="43">
        <f t="shared" si="35"/>
        <v>0</v>
      </c>
      <c r="E193" s="43">
        <f t="shared" si="35"/>
        <v>0</v>
      </c>
      <c r="F193" s="43">
        <f t="shared" si="35"/>
        <v>0</v>
      </c>
      <c r="G193" s="43">
        <f t="shared" si="35"/>
        <v>0</v>
      </c>
      <c r="H193" s="43">
        <f t="shared" si="35"/>
        <v>0</v>
      </c>
      <c r="I193" s="43">
        <f t="shared" si="35"/>
        <v>0</v>
      </c>
    </row>
    <row r="194" spans="1:9" x14ac:dyDescent="0.2">
      <c r="A194" s="39">
        <f t="shared" si="36"/>
        <v>39</v>
      </c>
      <c r="B194" s="39" t="s">
        <v>147</v>
      </c>
      <c r="D194" s="43">
        <f t="shared" si="35"/>
        <v>0</v>
      </c>
      <c r="E194" s="43">
        <f t="shared" si="35"/>
        <v>0</v>
      </c>
      <c r="F194" s="43">
        <f t="shared" si="35"/>
        <v>0</v>
      </c>
      <c r="G194" s="43">
        <f t="shared" si="35"/>
        <v>0</v>
      </c>
      <c r="H194" s="43">
        <f t="shared" si="35"/>
        <v>0</v>
      </c>
      <c r="I194" s="43">
        <f t="shared" si="35"/>
        <v>0</v>
      </c>
    </row>
    <row r="195" spans="1:9" x14ac:dyDescent="0.2">
      <c r="A195" s="39">
        <f t="shared" si="36"/>
        <v>40</v>
      </c>
      <c r="B195" s="39" t="s">
        <v>149</v>
      </c>
      <c r="D195" s="43">
        <f t="shared" si="35"/>
        <v>0</v>
      </c>
      <c r="E195" s="43">
        <f t="shared" si="35"/>
        <v>0</v>
      </c>
      <c r="F195" s="43">
        <f t="shared" si="35"/>
        <v>0</v>
      </c>
      <c r="G195" s="43">
        <f t="shared" si="35"/>
        <v>0</v>
      </c>
      <c r="H195" s="43">
        <f t="shared" si="35"/>
        <v>0</v>
      </c>
      <c r="I195" s="43">
        <f t="shared" si="35"/>
        <v>0</v>
      </c>
    </row>
    <row r="196" spans="1:9" x14ac:dyDescent="0.2">
      <c r="A196" s="39">
        <f t="shared" si="36"/>
        <v>41</v>
      </c>
      <c r="B196" s="42" t="s">
        <v>173</v>
      </c>
      <c r="D196" s="43">
        <f t="shared" si="35"/>
        <v>0</v>
      </c>
      <c r="E196" s="43">
        <f t="shared" si="35"/>
        <v>0</v>
      </c>
      <c r="F196" s="43">
        <f t="shared" si="35"/>
        <v>0</v>
      </c>
      <c r="G196" s="43">
        <f t="shared" si="35"/>
        <v>0</v>
      </c>
      <c r="H196" s="43">
        <f t="shared" si="35"/>
        <v>0</v>
      </c>
      <c r="I196" s="43">
        <f t="shared" si="35"/>
        <v>0</v>
      </c>
    </row>
    <row r="197" spans="1:9" x14ac:dyDescent="0.2">
      <c r="A197" s="39">
        <f t="shared" si="36"/>
        <v>42</v>
      </c>
      <c r="B197" s="42" t="s">
        <v>168</v>
      </c>
      <c r="C197" s="42"/>
      <c r="D197" s="43">
        <f t="shared" si="35"/>
        <v>0</v>
      </c>
      <c r="E197" s="43">
        <f t="shared" si="35"/>
        <v>0</v>
      </c>
      <c r="F197" s="43">
        <f t="shared" si="35"/>
        <v>0</v>
      </c>
      <c r="G197" s="43">
        <f t="shared" si="35"/>
        <v>0</v>
      </c>
      <c r="H197" s="43">
        <f t="shared" si="35"/>
        <v>0</v>
      </c>
      <c r="I197" s="43">
        <f t="shared" si="35"/>
        <v>0</v>
      </c>
    </row>
    <row r="198" spans="1:9" x14ac:dyDescent="0.2">
      <c r="A198" s="39">
        <f t="shared" si="36"/>
        <v>43</v>
      </c>
      <c r="B198" s="42" t="s">
        <v>163</v>
      </c>
      <c r="C198" s="42"/>
      <c r="D198" s="43">
        <f t="shared" si="35"/>
        <v>0</v>
      </c>
      <c r="E198" s="43">
        <f t="shared" si="35"/>
        <v>0</v>
      </c>
      <c r="F198" s="43">
        <f t="shared" si="35"/>
        <v>0</v>
      </c>
      <c r="G198" s="43">
        <f t="shared" si="35"/>
        <v>0</v>
      </c>
      <c r="H198" s="43">
        <f t="shared" si="35"/>
        <v>0</v>
      </c>
      <c r="I198" s="43">
        <f t="shared" si="35"/>
        <v>0</v>
      </c>
    </row>
    <row r="199" spans="1:9" x14ac:dyDescent="0.2">
      <c r="A199" s="39">
        <f t="shared" si="36"/>
        <v>44</v>
      </c>
      <c r="B199" s="39" t="s">
        <v>151</v>
      </c>
      <c r="D199" s="43">
        <f t="shared" si="35"/>
        <v>0</v>
      </c>
      <c r="E199" s="43">
        <f t="shared" si="35"/>
        <v>0</v>
      </c>
      <c r="F199" s="43">
        <f t="shared" si="35"/>
        <v>0</v>
      </c>
      <c r="G199" s="43">
        <f t="shared" si="35"/>
        <v>0</v>
      </c>
      <c r="H199" s="43">
        <f t="shared" si="35"/>
        <v>0</v>
      </c>
      <c r="I199" s="43">
        <f t="shared" si="35"/>
        <v>0</v>
      </c>
    </row>
    <row r="200" spans="1:9" x14ac:dyDescent="0.2">
      <c r="B200" s="42" t="s">
        <v>172</v>
      </c>
      <c r="D200" s="43"/>
      <c r="E200" s="43"/>
      <c r="F200" s="43"/>
      <c r="G200" s="43"/>
      <c r="H200" s="43"/>
      <c r="I200" s="43"/>
    </row>
    <row r="201" spans="1:9" x14ac:dyDescent="0.2">
      <c r="A201" s="39">
        <f>A199+1</f>
        <v>45</v>
      </c>
      <c r="B201" s="42"/>
      <c r="C201" s="42" t="s">
        <v>175</v>
      </c>
      <c r="D201" s="43">
        <f t="shared" ref="D201:I204" si="37">D61-D131</f>
        <v>0</v>
      </c>
      <c r="E201" s="43">
        <f t="shared" si="37"/>
        <v>0</v>
      </c>
      <c r="F201" s="43">
        <f t="shared" si="37"/>
        <v>0</v>
      </c>
      <c r="G201" s="43">
        <f t="shared" si="37"/>
        <v>0</v>
      </c>
      <c r="H201" s="43">
        <f t="shared" si="37"/>
        <v>0</v>
      </c>
      <c r="I201" s="43">
        <f t="shared" si="37"/>
        <v>0</v>
      </c>
    </row>
    <row r="202" spans="1:9" x14ac:dyDescent="0.2">
      <c r="A202" s="39">
        <f>A201+1</f>
        <v>46</v>
      </c>
      <c r="B202" s="42"/>
      <c r="C202" s="42" t="s">
        <v>182</v>
      </c>
      <c r="D202" s="43">
        <f t="shared" si="37"/>
        <v>0</v>
      </c>
      <c r="E202" s="43">
        <f t="shared" si="37"/>
        <v>0</v>
      </c>
      <c r="F202" s="43">
        <f t="shared" si="37"/>
        <v>0</v>
      </c>
      <c r="G202" s="43">
        <f t="shared" si="37"/>
        <v>0</v>
      </c>
      <c r="H202" s="43">
        <f t="shared" si="37"/>
        <v>0</v>
      </c>
      <c r="I202" s="43">
        <f t="shared" si="37"/>
        <v>0</v>
      </c>
    </row>
    <row r="203" spans="1:9" x14ac:dyDescent="0.2">
      <c r="A203" s="39">
        <f>A202+1</f>
        <v>47</v>
      </c>
      <c r="B203" s="42"/>
      <c r="C203" s="42" t="s">
        <v>201</v>
      </c>
      <c r="D203" s="43">
        <f t="shared" si="37"/>
        <v>0</v>
      </c>
      <c r="E203" s="43">
        <f t="shared" si="37"/>
        <v>0</v>
      </c>
      <c r="F203" s="43">
        <f t="shared" si="37"/>
        <v>0</v>
      </c>
      <c r="G203" s="43">
        <f t="shared" si="37"/>
        <v>0</v>
      </c>
      <c r="H203" s="43">
        <f t="shared" si="37"/>
        <v>0</v>
      </c>
      <c r="I203" s="43">
        <f t="shared" si="37"/>
        <v>0</v>
      </c>
    </row>
    <row r="204" spans="1:9" x14ac:dyDescent="0.2">
      <c r="A204" s="39">
        <f>A203+1</f>
        <v>48</v>
      </c>
      <c r="B204" s="42"/>
      <c r="C204" s="42" t="s">
        <v>183</v>
      </c>
      <c r="D204" s="43">
        <f t="shared" si="37"/>
        <v>0</v>
      </c>
      <c r="E204" s="43">
        <f t="shared" si="37"/>
        <v>0</v>
      </c>
      <c r="F204" s="43">
        <f t="shared" si="37"/>
        <v>0</v>
      </c>
      <c r="G204" s="43">
        <f t="shared" si="37"/>
        <v>0</v>
      </c>
      <c r="H204" s="43">
        <f t="shared" si="37"/>
        <v>0</v>
      </c>
      <c r="I204" s="43">
        <f t="shared" si="37"/>
        <v>0</v>
      </c>
    </row>
    <row r="205" spans="1:9" x14ac:dyDescent="0.2">
      <c r="A205" s="39">
        <f>A204+1</f>
        <v>49</v>
      </c>
      <c r="B205" s="42"/>
      <c r="C205" s="42" t="s">
        <v>251</v>
      </c>
      <c r="D205" s="43">
        <f t="shared" ref="D205:I205" si="38">D65-D135</f>
        <v>0</v>
      </c>
      <c r="E205" s="43">
        <f t="shared" si="38"/>
        <v>0</v>
      </c>
      <c r="F205" s="43">
        <f t="shared" si="38"/>
        <v>0</v>
      </c>
      <c r="G205" s="43">
        <f t="shared" si="38"/>
        <v>0</v>
      </c>
      <c r="H205" s="43">
        <f t="shared" si="38"/>
        <v>0</v>
      </c>
      <c r="I205" s="43">
        <f t="shared" si="38"/>
        <v>0</v>
      </c>
    </row>
    <row r="206" spans="1:9" x14ac:dyDescent="0.2">
      <c r="D206" s="41"/>
      <c r="E206" s="41"/>
      <c r="F206" s="41"/>
      <c r="G206" s="41"/>
      <c r="H206" s="41"/>
      <c r="I206" s="41"/>
    </row>
    <row r="207" spans="1:9" x14ac:dyDescent="0.2">
      <c r="A207" s="39">
        <f>A205+1</f>
        <v>50</v>
      </c>
      <c r="B207" s="42" t="s">
        <v>184</v>
      </c>
      <c r="C207" s="42"/>
      <c r="D207" s="43">
        <f t="shared" ref="D207:I208" si="39">D67-D137</f>
        <v>0</v>
      </c>
      <c r="E207" s="43">
        <f t="shared" si="39"/>
        <v>0</v>
      </c>
      <c r="F207" s="43">
        <f t="shared" si="39"/>
        <v>0</v>
      </c>
      <c r="G207" s="43">
        <f t="shared" si="39"/>
        <v>0</v>
      </c>
      <c r="H207" s="43">
        <f t="shared" si="39"/>
        <v>0</v>
      </c>
      <c r="I207" s="43">
        <f t="shared" si="39"/>
        <v>0</v>
      </c>
    </row>
    <row r="208" spans="1:9" x14ac:dyDescent="0.2">
      <c r="A208" s="39">
        <f>A207+1</f>
        <v>51</v>
      </c>
      <c r="B208" s="173" t="s">
        <v>397</v>
      </c>
      <c r="C208" s="42"/>
      <c r="D208" s="43">
        <f t="shared" si="39"/>
        <v>0</v>
      </c>
      <c r="E208" s="43">
        <f t="shared" si="39"/>
        <v>0</v>
      </c>
      <c r="F208" s="43">
        <f t="shared" si="39"/>
        <v>0</v>
      </c>
      <c r="G208" s="43">
        <f t="shared" si="39"/>
        <v>0</v>
      </c>
      <c r="H208" s="43">
        <f t="shared" si="39"/>
        <v>0</v>
      </c>
      <c r="I208" s="43">
        <f t="shared" si="39"/>
        <v>0</v>
      </c>
    </row>
    <row r="209" spans="1:9" x14ac:dyDescent="0.2">
      <c r="A209" s="39">
        <f>A208+1</f>
        <v>52</v>
      </c>
      <c r="B209" s="42" t="s">
        <v>303</v>
      </c>
      <c r="C209" s="42"/>
      <c r="D209" s="127" t="s">
        <v>302</v>
      </c>
      <c r="E209" s="127" t="s">
        <v>302</v>
      </c>
      <c r="F209" s="127" t="s">
        <v>302</v>
      </c>
      <c r="G209" s="127" t="s">
        <v>302</v>
      </c>
      <c r="H209" s="127" t="s">
        <v>302</v>
      </c>
      <c r="I209" s="127" t="s">
        <v>302</v>
      </c>
    </row>
    <row r="210" spans="1:9" x14ac:dyDescent="0.2">
      <c r="B210" s="42"/>
      <c r="C210" s="42"/>
      <c r="D210" s="43"/>
      <c r="E210" s="43"/>
      <c r="F210" s="43"/>
      <c r="G210" s="43"/>
      <c r="H210" s="43"/>
      <c r="I210" s="43"/>
    </row>
    <row r="211" spans="1:9" x14ac:dyDescent="0.2">
      <c r="A211" s="39">
        <f>A209+1</f>
        <v>53</v>
      </c>
      <c r="B211" s="42" t="s">
        <v>166</v>
      </c>
      <c r="C211" s="42"/>
      <c r="D211" s="43">
        <f t="shared" ref="D211:I211" si="40">D71-D141</f>
        <v>0</v>
      </c>
      <c r="E211" s="43">
        <f t="shared" si="40"/>
        <v>0</v>
      </c>
      <c r="F211" s="43">
        <f t="shared" si="40"/>
        <v>0</v>
      </c>
      <c r="G211" s="43">
        <f t="shared" si="40"/>
        <v>0</v>
      </c>
      <c r="H211" s="43">
        <f t="shared" si="40"/>
        <v>0</v>
      </c>
      <c r="I211" s="43">
        <f t="shared" si="40"/>
        <v>0</v>
      </c>
    </row>
    <row r="214" spans="1:9" x14ac:dyDescent="0.2">
      <c r="D214" s="98">
        <f>D207+F207</f>
        <v>0</v>
      </c>
      <c r="G214" s="98">
        <f>G207+H207</f>
        <v>0</v>
      </c>
    </row>
  </sheetData>
  <phoneticPr fontId="1" type="noConversion"/>
  <printOptions horizontalCentered="1" gridLines="1"/>
  <pageMargins left="0.5" right="0.25" top="1" bottom="0.5" header="0.5" footer="0.25"/>
  <pageSetup scale="73" fitToHeight="3" orientation="portrait" horizontalDpi="300" verticalDpi="300" r:id="rId1"/>
  <headerFooter alignWithMargins="0">
    <oddHeader>&amp;L&amp;"Arial,Bold"DEPT of EDUCATION
Program Finance Div.&amp;C&amp;"Arial,Bold"&amp;A GENERAL EDUCATION
*** FEB 2011 VS. NOV 2010 ***&amp;R&amp;"Arial,Bold"&amp;D
&amp;T</oddHeader>
    <oddFooter>&amp;L&amp;"Arial,Regular"&amp;F&amp;R&amp;"Arial,Regular"&amp;A</oddFooter>
  </headerFooter>
  <rowBreaks count="2" manualBreakCount="2">
    <brk id="72" max="9" man="1"/>
    <brk id="142" max="9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K217"/>
  <sheetViews>
    <sheetView zoomScaleNormal="100" zoomScaleSheetLayoutView="85" workbookViewId="0">
      <pane xSplit="3" ySplit="4" topLeftCell="D55" activePane="bottomRight" state="frozen"/>
      <selection activeCell="C16" sqref="C16"/>
      <selection pane="topRight" activeCell="C16" sqref="C16"/>
      <selection pane="bottomLeft" activeCell="C16" sqref="C16"/>
      <selection pane="bottomRight" activeCell="D73" sqref="D73"/>
    </sheetView>
  </sheetViews>
  <sheetFormatPr defaultColWidth="8" defaultRowHeight="12.75" x14ac:dyDescent="0.2"/>
  <cols>
    <col min="1" max="1" width="4.125" style="39" customWidth="1"/>
    <col min="2" max="2" width="2.25" style="39" customWidth="1"/>
    <col min="3" max="3" width="28.625" style="39" customWidth="1"/>
    <col min="4" max="9" width="13.625" style="39" customWidth="1"/>
    <col min="10" max="11" width="11.625" style="39" customWidth="1"/>
    <col min="12" max="16384" width="8" style="39"/>
  </cols>
  <sheetData>
    <row r="1" spans="1:10" x14ac:dyDescent="0.2">
      <c r="A1" s="173" t="s">
        <v>442</v>
      </c>
      <c r="D1" s="41"/>
      <c r="E1" s="41"/>
      <c r="G1" s="41"/>
      <c r="H1" s="41"/>
      <c r="I1" s="41"/>
    </row>
    <row r="3" spans="1:10" x14ac:dyDescent="0.2">
      <c r="A3" s="118" t="s">
        <v>438</v>
      </c>
      <c r="B3" s="118"/>
      <c r="C3" s="119"/>
      <c r="D3" s="120" t="s">
        <v>176</v>
      </c>
      <c r="E3" s="120" t="s">
        <v>181</v>
      </c>
      <c r="F3" s="120" t="s">
        <v>177</v>
      </c>
      <c r="G3" s="120" t="s">
        <v>178</v>
      </c>
      <c r="H3" s="120" t="s">
        <v>179</v>
      </c>
      <c r="I3" s="120" t="s">
        <v>180</v>
      </c>
      <c r="J3" s="174"/>
    </row>
    <row r="5" spans="1:10" x14ac:dyDescent="0.2">
      <c r="A5" s="39">
        <v>1</v>
      </c>
      <c r="B5" s="39" t="s">
        <v>140</v>
      </c>
      <c r="D5" s="41">
        <f>'Pupil Data'!C42</f>
        <v>912029</v>
      </c>
      <c r="E5" s="41">
        <v>0</v>
      </c>
      <c r="F5" s="41">
        <f>'Pupil Data'!D42</f>
        <v>301</v>
      </c>
      <c r="G5" s="41">
        <f>'Pupil Data'!E42</f>
        <v>36257</v>
      </c>
      <c r="H5" s="41">
        <f>'Pupil Data'!F42</f>
        <v>0</v>
      </c>
      <c r="I5" s="41">
        <f>SUM(D5:H5)</f>
        <v>948587</v>
      </c>
    </row>
    <row r="6" spans="1:10" x14ac:dyDescent="0.2">
      <c r="D6" s="41"/>
    </row>
    <row r="7" spans="1:10" x14ac:dyDescent="0.2">
      <c r="B7" s="42" t="s">
        <v>155</v>
      </c>
      <c r="D7" s="40"/>
      <c r="E7" s="40"/>
      <c r="F7" s="40"/>
      <c r="G7" s="40"/>
      <c r="H7" s="40"/>
      <c r="I7" s="40"/>
    </row>
    <row r="8" spans="1:10" x14ac:dyDescent="0.2">
      <c r="A8" s="39">
        <f>A5+1</f>
        <v>2</v>
      </c>
      <c r="B8" s="39" t="s">
        <v>141</v>
      </c>
      <c r="D8" s="41">
        <v>4674803771.3999996</v>
      </c>
      <c r="E8" s="41">
        <v>0</v>
      </c>
      <c r="F8" s="41">
        <v>0</v>
      </c>
      <c r="G8" s="41">
        <v>185770927.44</v>
      </c>
      <c r="H8" s="41">
        <v>0</v>
      </c>
      <c r="I8" s="41">
        <f>SUM(D8:H8)</f>
        <v>4860574698.8399992</v>
      </c>
    </row>
    <row r="9" spans="1:10" x14ac:dyDescent="0.2">
      <c r="A9" s="39">
        <f>A8+1</f>
        <v>3</v>
      </c>
      <c r="B9" s="42" t="s">
        <v>299</v>
      </c>
      <c r="D9" s="41">
        <v>46529077.350000001</v>
      </c>
      <c r="E9" s="41">
        <v>0</v>
      </c>
      <c r="F9" s="41">
        <v>0</v>
      </c>
      <c r="G9" s="41">
        <v>1849008.06</v>
      </c>
      <c r="H9" s="41">
        <v>0</v>
      </c>
      <c r="I9" s="41">
        <f>SUM(D9:H9)</f>
        <v>48378085.410000004</v>
      </c>
    </row>
    <row r="10" spans="1:10" x14ac:dyDescent="0.2">
      <c r="A10" s="39">
        <f>A9+1</f>
        <v>4</v>
      </c>
      <c r="B10" s="42" t="s">
        <v>167</v>
      </c>
      <c r="C10" s="42"/>
      <c r="D10" s="41">
        <v>10948018.199999999</v>
      </c>
      <c r="E10" s="41">
        <v>0</v>
      </c>
      <c r="F10" s="41">
        <v>0</v>
      </c>
      <c r="G10" s="41">
        <v>435060.72</v>
      </c>
      <c r="H10" s="41">
        <v>0</v>
      </c>
      <c r="I10" s="41">
        <f>SUM(D10:H10)</f>
        <v>11383078.92</v>
      </c>
    </row>
    <row r="11" spans="1:10" x14ac:dyDescent="0.2">
      <c r="A11" s="39">
        <f>A10+1</f>
        <v>5</v>
      </c>
      <c r="B11" s="39" t="s">
        <v>142</v>
      </c>
      <c r="D11" s="41">
        <v>59288439.990000002</v>
      </c>
      <c r="E11" s="41">
        <v>0</v>
      </c>
      <c r="F11" s="41">
        <v>0</v>
      </c>
      <c r="G11" s="41">
        <v>1707201.05</v>
      </c>
      <c r="H11" s="41">
        <v>0</v>
      </c>
      <c r="I11" s="41">
        <f>SUM(D11:H11)</f>
        <v>60995641.039999999</v>
      </c>
    </row>
    <row r="12" spans="1:10" x14ac:dyDescent="0.2">
      <c r="B12" s="42" t="s">
        <v>171</v>
      </c>
      <c r="D12" s="41"/>
      <c r="E12" s="41"/>
      <c r="F12" s="41"/>
      <c r="G12" s="41"/>
      <c r="H12" s="41"/>
      <c r="I12" s="41"/>
    </row>
    <row r="13" spans="1:10" x14ac:dyDescent="0.2">
      <c r="A13" s="39">
        <f>A11+1</f>
        <v>6</v>
      </c>
      <c r="C13" s="39" t="s">
        <v>143</v>
      </c>
      <c r="D13" s="41">
        <v>312483731</v>
      </c>
      <c r="E13" s="41">
        <v>0</v>
      </c>
      <c r="F13" s="41">
        <v>0</v>
      </c>
      <c r="G13" s="41">
        <v>36026954.619999997</v>
      </c>
      <c r="H13" s="41">
        <v>0</v>
      </c>
      <c r="I13" s="41">
        <f t="shared" ref="I13:I24" si="0">SUM(D13:H13)</f>
        <v>348510685.62</v>
      </c>
    </row>
    <row r="14" spans="1:10" x14ac:dyDescent="0.2">
      <c r="A14" s="39">
        <f t="shared" ref="A14:A24" si="1">A13+1</f>
        <v>7</v>
      </c>
      <c r="C14" s="39" t="s">
        <v>144</v>
      </c>
      <c r="D14" s="41">
        <v>28186662</v>
      </c>
      <c r="E14" s="41">
        <v>0</v>
      </c>
      <c r="F14" s="41">
        <v>0</v>
      </c>
      <c r="G14" s="41">
        <v>3871525</v>
      </c>
      <c r="H14" s="41">
        <v>0</v>
      </c>
      <c r="I14" s="41">
        <f t="shared" si="0"/>
        <v>32058187</v>
      </c>
    </row>
    <row r="15" spans="1:10" x14ac:dyDescent="0.2">
      <c r="A15" s="39">
        <f t="shared" si="1"/>
        <v>8</v>
      </c>
      <c r="B15" s="42"/>
      <c r="C15" s="42" t="s">
        <v>170</v>
      </c>
      <c r="D15" s="41">
        <v>7070972.5</v>
      </c>
      <c r="E15" s="41">
        <v>0</v>
      </c>
      <c r="F15" s="41">
        <v>0</v>
      </c>
      <c r="G15" s="41">
        <v>1245862.5</v>
      </c>
      <c r="H15" s="41">
        <v>0</v>
      </c>
      <c r="I15" s="41">
        <f t="shared" si="0"/>
        <v>8316835</v>
      </c>
    </row>
    <row r="16" spans="1:10" x14ac:dyDescent="0.2">
      <c r="A16" s="39">
        <f t="shared" si="1"/>
        <v>9</v>
      </c>
      <c r="B16" s="39" t="s">
        <v>145</v>
      </c>
      <c r="D16" s="41">
        <v>22023616.75</v>
      </c>
      <c r="E16" s="41">
        <v>0</v>
      </c>
      <c r="F16" s="41">
        <v>0</v>
      </c>
      <c r="G16" s="41">
        <v>875190.66</v>
      </c>
      <c r="H16" s="41">
        <v>0</v>
      </c>
      <c r="I16" s="41">
        <f t="shared" si="0"/>
        <v>22898807.41</v>
      </c>
      <c r="J16" s="43"/>
    </row>
    <row r="17" spans="1:11" x14ac:dyDescent="0.2">
      <c r="A17" s="39">
        <f t="shared" si="1"/>
        <v>10</v>
      </c>
      <c r="B17" s="39" t="s">
        <v>146</v>
      </c>
      <c r="D17" s="41">
        <v>59238642.740000002</v>
      </c>
      <c r="E17" s="41">
        <v>0</v>
      </c>
      <c r="F17" s="41">
        <v>0</v>
      </c>
      <c r="G17" s="41">
        <v>920454.48</v>
      </c>
      <c r="H17" s="41">
        <v>0</v>
      </c>
      <c r="I17" s="41">
        <f t="shared" si="0"/>
        <v>60159097.219999999</v>
      </c>
    </row>
    <row r="18" spans="1:11" x14ac:dyDescent="0.2">
      <c r="A18" s="39">
        <f t="shared" si="1"/>
        <v>11</v>
      </c>
      <c r="B18" s="39" t="s">
        <v>148</v>
      </c>
      <c r="D18" s="41">
        <v>1161402.48</v>
      </c>
      <c r="E18" s="41">
        <v>0</v>
      </c>
      <c r="F18" s="41">
        <v>0</v>
      </c>
      <c r="G18" s="41">
        <v>46045.09</v>
      </c>
      <c r="H18" s="41">
        <v>0</v>
      </c>
      <c r="I18" s="41">
        <f t="shared" si="0"/>
        <v>1207447.57</v>
      </c>
    </row>
    <row r="19" spans="1:11" x14ac:dyDescent="0.2">
      <c r="A19" s="39">
        <f t="shared" si="1"/>
        <v>12</v>
      </c>
      <c r="B19" s="39" t="s">
        <v>244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f t="shared" si="0"/>
        <v>0</v>
      </c>
    </row>
    <row r="20" spans="1:11" x14ac:dyDescent="0.2">
      <c r="A20" s="39">
        <f t="shared" si="1"/>
        <v>13</v>
      </c>
      <c r="B20" s="39" t="s">
        <v>147</v>
      </c>
      <c r="D20" s="41">
        <v>186871183.78</v>
      </c>
      <c r="E20" s="41">
        <v>0</v>
      </c>
      <c r="F20" s="41">
        <v>0</v>
      </c>
      <c r="G20" s="41">
        <v>7427923.25</v>
      </c>
      <c r="H20" s="41">
        <v>0</v>
      </c>
      <c r="I20" s="41">
        <f t="shared" si="0"/>
        <v>194299107.03</v>
      </c>
    </row>
    <row r="21" spans="1:11" x14ac:dyDescent="0.2">
      <c r="A21" s="39">
        <f t="shared" si="1"/>
        <v>14</v>
      </c>
      <c r="B21" s="39" t="s">
        <v>149</v>
      </c>
      <c r="D21" s="41">
        <v>89793768.219999999</v>
      </c>
      <c r="E21" s="41">
        <v>0</v>
      </c>
      <c r="F21" s="41">
        <v>0</v>
      </c>
      <c r="G21" s="41">
        <v>3568221.8</v>
      </c>
      <c r="H21" s="41">
        <v>0</v>
      </c>
      <c r="I21" s="41">
        <f t="shared" si="0"/>
        <v>93361990.019999996</v>
      </c>
    </row>
    <row r="22" spans="1:11" x14ac:dyDescent="0.2">
      <c r="A22" s="39">
        <f t="shared" si="1"/>
        <v>15</v>
      </c>
      <c r="B22" s="42" t="s">
        <v>173</v>
      </c>
      <c r="D22" s="41">
        <v>28295657.390000001</v>
      </c>
      <c r="E22" s="41">
        <v>0</v>
      </c>
      <c r="F22" s="41">
        <v>0</v>
      </c>
      <c r="G22" s="41">
        <v>1416340.01</v>
      </c>
      <c r="H22" s="41">
        <v>0</v>
      </c>
      <c r="I22" s="41">
        <f t="shared" si="0"/>
        <v>29711997.400000002</v>
      </c>
    </row>
    <row r="23" spans="1:11" x14ac:dyDescent="0.2">
      <c r="A23" s="39">
        <f t="shared" si="1"/>
        <v>16</v>
      </c>
      <c r="B23" s="42" t="s">
        <v>168</v>
      </c>
      <c r="C23" s="42"/>
      <c r="D23" s="41">
        <v>61021897.109999999</v>
      </c>
      <c r="E23" s="41">
        <v>0</v>
      </c>
      <c r="F23" s="41">
        <v>0</v>
      </c>
      <c r="G23" s="41">
        <v>2326462.96</v>
      </c>
      <c r="H23" s="41">
        <v>0</v>
      </c>
      <c r="I23" s="41">
        <f t="shared" si="0"/>
        <v>63348360.07</v>
      </c>
      <c r="J23" s="41"/>
      <c r="K23" s="41"/>
    </row>
    <row r="24" spans="1:11" x14ac:dyDescent="0.2">
      <c r="A24" s="39">
        <f t="shared" si="1"/>
        <v>17</v>
      </c>
      <c r="B24" s="39" t="s">
        <v>150</v>
      </c>
      <c r="D24" s="41">
        <v>720567181.45000005</v>
      </c>
      <c r="E24" s="41">
        <v>0</v>
      </c>
      <c r="F24" s="41">
        <v>0</v>
      </c>
      <c r="G24" s="41">
        <v>0</v>
      </c>
      <c r="H24" s="41">
        <v>0</v>
      </c>
      <c r="I24" s="41">
        <f t="shared" si="0"/>
        <v>720567181.45000005</v>
      </c>
      <c r="J24" s="41"/>
      <c r="K24" s="41"/>
    </row>
    <row r="25" spans="1:11" x14ac:dyDescent="0.2">
      <c r="B25" s="42" t="s">
        <v>172</v>
      </c>
      <c r="D25" s="41"/>
      <c r="E25" s="41"/>
      <c r="F25" s="97"/>
      <c r="G25" s="41"/>
      <c r="H25" s="41"/>
      <c r="I25" s="41"/>
    </row>
    <row r="26" spans="1:11" x14ac:dyDescent="0.2">
      <c r="A26" s="39">
        <f>A24+1</f>
        <v>18</v>
      </c>
      <c r="B26" s="42"/>
      <c r="C26" s="42" t="s">
        <v>175</v>
      </c>
      <c r="D26" s="41">
        <v>-1494599.66</v>
      </c>
      <c r="E26" s="41">
        <v>0</v>
      </c>
      <c r="F26" s="41">
        <v>0</v>
      </c>
      <c r="G26" s="41">
        <v>1756695.66</v>
      </c>
      <c r="H26" s="41">
        <v>0</v>
      </c>
      <c r="I26" s="41">
        <f>SUM(D26:H26)</f>
        <v>262096</v>
      </c>
      <c r="J26" s="41"/>
    </row>
    <row r="27" spans="1:11" x14ac:dyDescent="0.2">
      <c r="A27" s="39">
        <f>A26+1</f>
        <v>19</v>
      </c>
      <c r="B27" s="42"/>
      <c r="C27" s="42" t="s">
        <v>182</v>
      </c>
      <c r="D27" s="41">
        <v>1950159.8499999999</v>
      </c>
      <c r="E27" s="41">
        <v>0</v>
      </c>
      <c r="F27" s="41">
        <v>0</v>
      </c>
      <c r="G27" s="41">
        <v>-1950159.8599999994</v>
      </c>
      <c r="H27" s="41">
        <v>0</v>
      </c>
      <c r="I27" s="41">
        <f>SUM(D27:H27)</f>
        <v>-9.9999995436519384E-3</v>
      </c>
    </row>
    <row r="28" spans="1:11" x14ac:dyDescent="0.2">
      <c r="A28" s="39">
        <f>A27+1</f>
        <v>20</v>
      </c>
      <c r="B28" s="42"/>
      <c r="C28" s="42" t="s">
        <v>201</v>
      </c>
      <c r="D28" s="41">
        <v>4370.8</v>
      </c>
      <c r="E28" s="41">
        <v>0</v>
      </c>
      <c r="F28" s="41">
        <v>0</v>
      </c>
      <c r="G28" s="41">
        <v>-4370.8</v>
      </c>
      <c r="H28" s="41">
        <v>0</v>
      </c>
      <c r="I28" s="41">
        <f>SUM(D28:H28)</f>
        <v>0</v>
      </c>
    </row>
    <row r="29" spans="1:11" x14ac:dyDescent="0.2">
      <c r="A29" s="39">
        <f>A28+1</f>
        <v>21</v>
      </c>
      <c r="B29" s="42"/>
      <c r="C29" s="42" t="s">
        <v>183</v>
      </c>
      <c r="D29" s="41">
        <v>624870.17000000004</v>
      </c>
      <c r="E29" s="41">
        <v>0</v>
      </c>
      <c r="F29" s="41">
        <v>0</v>
      </c>
      <c r="G29" s="41">
        <v>-624870.18000000005</v>
      </c>
      <c r="H29" s="41">
        <v>0</v>
      </c>
      <c r="I29" s="41">
        <f>SUM(D29:H29)</f>
        <v>-1.0000000009313226E-2</v>
      </c>
    </row>
    <row r="30" spans="1:11" x14ac:dyDescent="0.2">
      <c r="A30" s="39">
        <f>A29+1</f>
        <v>22</v>
      </c>
      <c r="B30" s="42"/>
      <c r="C30" s="42" t="s">
        <v>251</v>
      </c>
      <c r="D30" s="41">
        <f>-1069462.55+1069001.39</f>
        <v>-461.16000000014901</v>
      </c>
      <c r="E30" s="41">
        <v>0</v>
      </c>
      <c r="F30" s="41">
        <v>0</v>
      </c>
      <c r="G30" s="41">
        <v>0</v>
      </c>
      <c r="H30" s="41">
        <v>0</v>
      </c>
      <c r="I30" s="41">
        <f>SUM(D30:H30)</f>
        <v>-461.16000000014901</v>
      </c>
    </row>
    <row r="31" spans="1:11" x14ac:dyDescent="0.2">
      <c r="C31" s="124"/>
      <c r="D31" s="41"/>
      <c r="E31" s="41"/>
      <c r="F31" s="41"/>
      <c r="G31" s="41"/>
      <c r="H31" s="41"/>
      <c r="I31" s="41"/>
    </row>
    <row r="32" spans="1:11" x14ac:dyDescent="0.2">
      <c r="A32" s="39">
        <f>A30+1</f>
        <v>23</v>
      </c>
      <c r="B32" s="42" t="s">
        <v>158</v>
      </c>
      <c r="D32" s="41">
        <f t="shared" ref="D32:I32" si="2">SUM(D8:D30)</f>
        <v>6309368362.3599997</v>
      </c>
      <c r="E32" s="41">
        <f t="shared" si="2"/>
        <v>0</v>
      </c>
      <c r="F32" s="41">
        <f t="shared" si="2"/>
        <v>0</v>
      </c>
      <c r="G32" s="41">
        <f t="shared" si="2"/>
        <v>246664472.45999998</v>
      </c>
      <c r="H32" s="41">
        <f t="shared" si="2"/>
        <v>0</v>
      </c>
      <c r="I32" s="41">
        <f t="shared" si="2"/>
        <v>6556032834.8199978</v>
      </c>
      <c r="J32" s="43"/>
    </row>
    <row r="33" spans="1:11" x14ac:dyDescent="0.2">
      <c r="C33" s="178"/>
      <c r="D33" s="41"/>
      <c r="E33" s="41"/>
      <c r="F33" s="41"/>
      <c r="G33" s="41"/>
      <c r="H33" s="41"/>
      <c r="I33" s="41"/>
    </row>
    <row r="34" spans="1:11" x14ac:dyDescent="0.2">
      <c r="B34" s="42" t="s">
        <v>156</v>
      </c>
      <c r="C34" s="42"/>
      <c r="D34" s="41"/>
      <c r="E34" s="41"/>
      <c r="F34" s="41"/>
      <c r="G34" s="41"/>
      <c r="H34" s="41"/>
      <c r="I34" s="41"/>
    </row>
    <row r="35" spans="1:11" x14ac:dyDescent="0.2">
      <c r="A35" s="39">
        <f>A32+1</f>
        <v>24</v>
      </c>
      <c r="B35" s="39" t="s">
        <v>153</v>
      </c>
      <c r="D35" s="41">
        <v>121253039.75</v>
      </c>
      <c r="E35" s="41">
        <v>0</v>
      </c>
      <c r="F35" s="41">
        <v>0</v>
      </c>
      <c r="G35" s="41">
        <v>0</v>
      </c>
      <c r="H35" s="41">
        <v>0</v>
      </c>
      <c r="I35" s="41">
        <f>SUM(D35:H35)</f>
        <v>121253039.75</v>
      </c>
    </row>
    <row r="36" spans="1:11" x14ac:dyDescent="0.2">
      <c r="A36" s="39">
        <f>A35+1</f>
        <v>25</v>
      </c>
      <c r="B36" s="39" t="s">
        <v>152</v>
      </c>
      <c r="D36" s="41">
        <v>73701614.290000007</v>
      </c>
      <c r="E36" s="41">
        <v>0</v>
      </c>
      <c r="F36" s="41">
        <v>0</v>
      </c>
      <c r="G36" s="41">
        <v>0</v>
      </c>
      <c r="H36" s="41">
        <v>0</v>
      </c>
      <c r="I36" s="41">
        <f>SUM(D36:H36)</f>
        <v>73701614.290000007</v>
      </c>
    </row>
    <row r="37" spans="1:11" x14ac:dyDescent="0.2">
      <c r="A37" s="39">
        <f>A36+1</f>
        <v>26</v>
      </c>
      <c r="B37" s="42" t="s">
        <v>174</v>
      </c>
      <c r="D37" s="97">
        <v>24292896.73</v>
      </c>
      <c r="E37" s="41">
        <v>0</v>
      </c>
      <c r="F37" s="41">
        <v>0</v>
      </c>
      <c r="G37" s="41">
        <v>0</v>
      </c>
      <c r="H37" s="41">
        <v>0</v>
      </c>
      <c r="I37" s="41">
        <f>SUM(D37:H37)</f>
        <v>24292896.73</v>
      </c>
    </row>
    <row r="38" spans="1:11" x14ac:dyDescent="0.2">
      <c r="A38" s="39">
        <f>A37+1</f>
        <v>27</v>
      </c>
      <c r="B38" s="42" t="s">
        <v>168</v>
      </c>
      <c r="C38" s="42"/>
      <c r="D38" s="41">
        <v>13353371.300000001</v>
      </c>
      <c r="E38" s="41">
        <v>0</v>
      </c>
      <c r="F38" s="41">
        <v>0</v>
      </c>
      <c r="G38" s="41">
        <v>0</v>
      </c>
      <c r="H38" s="41">
        <v>0</v>
      </c>
      <c r="I38" s="41">
        <f>SUM(D38:H38)</f>
        <v>13353371.300000001</v>
      </c>
      <c r="J38" s="41"/>
      <c r="K38" s="41"/>
    </row>
    <row r="39" spans="1:11" x14ac:dyDescent="0.2">
      <c r="A39" s="39">
        <f>A38+1</f>
        <v>28</v>
      </c>
      <c r="B39" s="39" t="s">
        <v>154</v>
      </c>
      <c r="D39" s="41">
        <v>635333526.83000004</v>
      </c>
      <c r="E39" s="41">
        <v>0</v>
      </c>
      <c r="F39" s="41">
        <v>0</v>
      </c>
      <c r="G39" s="41">
        <v>0</v>
      </c>
      <c r="H39" s="41">
        <v>0</v>
      </c>
      <c r="I39" s="41">
        <f>SUM(D39:H39)</f>
        <v>635333526.83000004</v>
      </c>
      <c r="J39" s="41"/>
      <c r="K39" s="41"/>
    </row>
    <row r="40" spans="1:11" x14ac:dyDescent="0.2">
      <c r="D40" s="41"/>
      <c r="E40" s="41"/>
      <c r="F40" s="41"/>
      <c r="G40" s="41"/>
      <c r="H40" s="41"/>
      <c r="I40" s="41"/>
    </row>
    <row r="41" spans="1:11" x14ac:dyDescent="0.2">
      <c r="A41" s="39">
        <f>A39+1</f>
        <v>29</v>
      </c>
      <c r="B41" s="42" t="s">
        <v>159</v>
      </c>
      <c r="C41" s="42"/>
      <c r="D41" s="41">
        <f t="shared" ref="D41:I41" si="3">SUM(D35:D39)</f>
        <v>867934448.9000001</v>
      </c>
      <c r="E41" s="41">
        <f t="shared" si="3"/>
        <v>0</v>
      </c>
      <c r="F41" s="41">
        <f t="shared" si="3"/>
        <v>0</v>
      </c>
      <c r="G41" s="41">
        <f t="shared" si="3"/>
        <v>0</v>
      </c>
      <c r="H41" s="41">
        <f t="shared" si="3"/>
        <v>0</v>
      </c>
      <c r="I41" s="41">
        <f t="shared" si="3"/>
        <v>867934448.9000001</v>
      </c>
    </row>
    <row r="42" spans="1:11" x14ac:dyDescent="0.2">
      <c r="B42" s="42"/>
      <c r="C42" s="42"/>
      <c r="D42" s="41"/>
      <c r="E42" s="41"/>
      <c r="F42" s="41"/>
      <c r="G42" s="41"/>
      <c r="H42" s="41"/>
      <c r="I42" s="41"/>
    </row>
    <row r="43" spans="1:11" x14ac:dyDescent="0.2">
      <c r="B43" s="42" t="s">
        <v>157</v>
      </c>
      <c r="C43" s="42"/>
      <c r="D43" s="41"/>
      <c r="E43" s="41"/>
      <c r="F43" s="41"/>
      <c r="G43" s="41"/>
      <c r="H43" s="41"/>
      <c r="I43" s="41"/>
    </row>
    <row r="44" spans="1:11" x14ac:dyDescent="0.2">
      <c r="A44" s="39">
        <f>A41+1</f>
        <v>30</v>
      </c>
      <c r="B44" s="39" t="s">
        <v>141</v>
      </c>
      <c r="D44" s="41">
        <f t="shared" ref="D44:G45" si="4">D8</f>
        <v>4674803771.3999996</v>
      </c>
      <c r="E44" s="41">
        <f t="shared" si="4"/>
        <v>0</v>
      </c>
      <c r="F44" s="41">
        <f t="shared" si="4"/>
        <v>0</v>
      </c>
      <c r="G44" s="41">
        <f t="shared" si="4"/>
        <v>185770927.44</v>
      </c>
      <c r="H44" s="41">
        <f>H8</f>
        <v>0</v>
      </c>
      <c r="I44" s="41">
        <f>SUM(D44:H44)</f>
        <v>4860574698.8399992</v>
      </c>
    </row>
    <row r="45" spans="1:11" x14ac:dyDescent="0.2">
      <c r="A45" s="39">
        <f>A44+1</f>
        <v>31</v>
      </c>
      <c r="B45" s="42" t="s">
        <v>299</v>
      </c>
      <c r="D45" s="41">
        <f t="shared" si="4"/>
        <v>46529077.350000001</v>
      </c>
      <c r="E45" s="41">
        <f t="shared" si="4"/>
        <v>0</v>
      </c>
      <c r="F45" s="41">
        <f t="shared" si="4"/>
        <v>0</v>
      </c>
      <c r="G45" s="41">
        <f t="shared" si="4"/>
        <v>1849008.06</v>
      </c>
      <c r="H45" s="41">
        <f>H9</f>
        <v>0</v>
      </c>
      <c r="I45" s="41">
        <f>SUM(D45:H45)</f>
        <v>48378085.410000004</v>
      </c>
    </row>
    <row r="46" spans="1:11" x14ac:dyDescent="0.2">
      <c r="A46" s="39">
        <f>A45+1</f>
        <v>32</v>
      </c>
      <c r="B46" s="42" t="s">
        <v>167</v>
      </c>
      <c r="C46" s="42"/>
      <c r="D46" s="41">
        <f t="shared" ref="D46:G47" si="5">D10</f>
        <v>10948018.199999999</v>
      </c>
      <c r="E46" s="41">
        <f t="shared" si="5"/>
        <v>0</v>
      </c>
      <c r="F46" s="41">
        <f t="shared" si="5"/>
        <v>0</v>
      </c>
      <c r="G46" s="41">
        <f t="shared" si="5"/>
        <v>435060.72</v>
      </c>
      <c r="H46" s="41">
        <f>H10</f>
        <v>0</v>
      </c>
      <c r="I46" s="41">
        <f>SUM(D46:H46)</f>
        <v>11383078.92</v>
      </c>
    </row>
    <row r="47" spans="1:11" x14ac:dyDescent="0.2">
      <c r="A47" s="39">
        <f>A46+1</f>
        <v>33</v>
      </c>
      <c r="B47" s="39" t="s">
        <v>142</v>
      </c>
      <c r="D47" s="41">
        <f t="shared" si="5"/>
        <v>59288439.990000002</v>
      </c>
      <c r="E47" s="41">
        <f t="shared" si="5"/>
        <v>0</v>
      </c>
      <c r="F47" s="41">
        <f t="shared" si="5"/>
        <v>0</v>
      </c>
      <c r="G47" s="41">
        <f t="shared" si="5"/>
        <v>1707201.05</v>
      </c>
      <c r="H47" s="41">
        <f>H11</f>
        <v>0</v>
      </c>
      <c r="I47" s="41">
        <f>SUM(D47:H47)</f>
        <v>60995641.039999999</v>
      </c>
    </row>
    <row r="48" spans="1:11" x14ac:dyDescent="0.2">
      <c r="B48" s="42" t="s">
        <v>171</v>
      </c>
      <c r="D48" s="41"/>
      <c r="E48" s="41"/>
      <c r="F48" s="41"/>
      <c r="G48" s="41"/>
      <c r="H48" s="41"/>
      <c r="I48" s="41"/>
    </row>
    <row r="49" spans="1:11" x14ac:dyDescent="0.2">
      <c r="A49" s="39">
        <f>A47+1</f>
        <v>34</v>
      </c>
      <c r="C49" s="39" t="s">
        <v>143</v>
      </c>
      <c r="D49" s="41">
        <f t="shared" ref="D49:G55" si="6">D13</f>
        <v>312483731</v>
      </c>
      <c r="E49" s="41">
        <f t="shared" si="6"/>
        <v>0</v>
      </c>
      <c r="F49" s="41">
        <f t="shared" si="6"/>
        <v>0</v>
      </c>
      <c r="G49" s="41">
        <f t="shared" si="6"/>
        <v>36026954.619999997</v>
      </c>
      <c r="H49" s="41">
        <f t="shared" ref="H49:H55" si="7">H13</f>
        <v>0</v>
      </c>
      <c r="I49" s="41">
        <f t="shared" ref="I49:I61" si="8">SUM(D49:H49)</f>
        <v>348510685.62</v>
      </c>
    </row>
    <row r="50" spans="1:11" x14ac:dyDescent="0.2">
      <c r="A50" s="39">
        <f t="shared" ref="A50:A61" si="9">A49+1</f>
        <v>35</v>
      </c>
      <c r="C50" s="39" t="s">
        <v>144</v>
      </c>
      <c r="D50" s="41">
        <f t="shared" si="6"/>
        <v>28186662</v>
      </c>
      <c r="E50" s="41">
        <f t="shared" si="6"/>
        <v>0</v>
      </c>
      <c r="F50" s="41">
        <f t="shared" si="6"/>
        <v>0</v>
      </c>
      <c r="G50" s="41">
        <f t="shared" si="6"/>
        <v>3871525</v>
      </c>
      <c r="H50" s="41">
        <f t="shared" si="7"/>
        <v>0</v>
      </c>
      <c r="I50" s="41">
        <f t="shared" si="8"/>
        <v>32058187</v>
      </c>
    </row>
    <row r="51" spans="1:11" x14ac:dyDescent="0.2">
      <c r="A51" s="39">
        <f t="shared" si="9"/>
        <v>36</v>
      </c>
      <c r="B51" s="42"/>
      <c r="C51" s="42" t="s">
        <v>170</v>
      </c>
      <c r="D51" s="41">
        <f t="shared" si="6"/>
        <v>7070972.5</v>
      </c>
      <c r="E51" s="41">
        <f t="shared" si="6"/>
        <v>0</v>
      </c>
      <c r="F51" s="41">
        <f t="shared" si="6"/>
        <v>0</v>
      </c>
      <c r="G51" s="41">
        <f t="shared" si="6"/>
        <v>1245862.5</v>
      </c>
      <c r="H51" s="41">
        <f t="shared" si="7"/>
        <v>0</v>
      </c>
      <c r="I51" s="41">
        <f t="shared" si="8"/>
        <v>8316835</v>
      </c>
    </row>
    <row r="52" spans="1:11" x14ac:dyDescent="0.2">
      <c r="A52" s="39">
        <f t="shared" si="9"/>
        <v>37</v>
      </c>
      <c r="B52" s="39" t="s">
        <v>145</v>
      </c>
      <c r="D52" s="41">
        <f t="shared" si="6"/>
        <v>22023616.75</v>
      </c>
      <c r="E52" s="41">
        <f t="shared" si="6"/>
        <v>0</v>
      </c>
      <c r="F52" s="41">
        <f t="shared" si="6"/>
        <v>0</v>
      </c>
      <c r="G52" s="41">
        <f t="shared" si="6"/>
        <v>875190.66</v>
      </c>
      <c r="H52" s="41">
        <f t="shared" si="7"/>
        <v>0</v>
      </c>
      <c r="I52" s="41">
        <f t="shared" si="8"/>
        <v>22898807.41</v>
      </c>
    </row>
    <row r="53" spans="1:11" x14ac:dyDescent="0.2">
      <c r="A53" s="39">
        <f t="shared" si="9"/>
        <v>38</v>
      </c>
      <c r="B53" s="39" t="s">
        <v>146</v>
      </c>
      <c r="D53" s="41">
        <f t="shared" si="6"/>
        <v>59238642.740000002</v>
      </c>
      <c r="E53" s="41">
        <f t="shared" si="6"/>
        <v>0</v>
      </c>
      <c r="F53" s="41">
        <f t="shared" si="6"/>
        <v>0</v>
      </c>
      <c r="G53" s="41">
        <f t="shared" si="6"/>
        <v>920454.48</v>
      </c>
      <c r="H53" s="41">
        <f t="shared" si="7"/>
        <v>0</v>
      </c>
      <c r="I53" s="41">
        <f t="shared" si="8"/>
        <v>60159097.219999999</v>
      </c>
    </row>
    <row r="54" spans="1:11" x14ac:dyDescent="0.2">
      <c r="A54" s="39">
        <f t="shared" si="9"/>
        <v>39</v>
      </c>
      <c r="B54" s="39" t="s">
        <v>148</v>
      </c>
      <c r="D54" s="41">
        <f t="shared" si="6"/>
        <v>1161402.48</v>
      </c>
      <c r="E54" s="41">
        <f t="shared" si="6"/>
        <v>0</v>
      </c>
      <c r="F54" s="41">
        <f t="shared" si="6"/>
        <v>0</v>
      </c>
      <c r="G54" s="41">
        <f t="shared" si="6"/>
        <v>46045.09</v>
      </c>
      <c r="H54" s="41">
        <f t="shared" si="7"/>
        <v>0</v>
      </c>
      <c r="I54" s="41">
        <f t="shared" si="8"/>
        <v>1207447.57</v>
      </c>
    </row>
    <row r="55" spans="1:11" x14ac:dyDescent="0.2">
      <c r="A55" s="39">
        <f t="shared" si="9"/>
        <v>40</v>
      </c>
      <c r="B55" s="39" t="s">
        <v>244</v>
      </c>
      <c r="D55" s="41">
        <f t="shared" si="6"/>
        <v>0</v>
      </c>
      <c r="E55" s="41">
        <f t="shared" si="6"/>
        <v>0</v>
      </c>
      <c r="F55" s="41">
        <f t="shared" si="6"/>
        <v>0</v>
      </c>
      <c r="G55" s="41">
        <f t="shared" si="6"/>
        <v>0</v>
      </c>
      <c r="H55" s="41">
        <f t="shared" si="7"/>
        <v>0</v>
      </c>
      <c r="I55" s="41">
        <f>SUM(D55:H55)</f>
        <v>0</v>
      </c>
    </row>
    <row r="56" spans="1:11" x14ac:dyDescent="0.2">
      <c r="A56" s="39">
        <f t="shared" si="9"/>
        <v>41</v>
      </c>
      <c r="B56" s="39" t="s">
        <v>147</v>
      </c>
      <c r="D56" s="41">
        <f t="shared" ref="D56:G59" si="10">D20-D35</f>
        <v>65618144.030000001</v>
      </c>
      <c r="E56" s="41">
        <f t="shared" si="10"/>
        <v>0</v>
      </c>
      <c r="F56" s="41">
        <f>F20-F35</f>
        <v>0</v>
      </c>
      <c r="G56" s="41">
        <f t="shared" si="10"/>
        <v>7427923.25</v>
      </c>
      <c r="H56" s="41">
        <f>H20-H35</f>
        <v>0</v>
      </c>
      <c r="I56" s="41">
        <f t="shared" si="8"/>
        <v>73046067.280000001</v>
      </c>
      <c r="J56" s="91"/>
    </row>
    <row r="57" spans="1:11" x14ac:dyDescent="0.2">
      <c r="A57" s="39">
        <f t="shared" si="9"/>
        <v>42</v>
      </c>
      <c r="B57" s="39" t="s">
        <v>149</v>
      </c>
      <c r="D57" s="41">
        <f t="shared" si="10"/>
        <v>16092153.929999992</v>
      </c>
      <c r="E57" s="41">
        <f t="shared" si="10"/>
        <v>0</v>
      </c>
      <c r="F57" s="41">
        <f>F21-F36</f>
        <v>0</v>
      </c>
      <c r="G57" s="41">
        <f t="shared" si="10"/>
        <v>3568221.8</v>
      </c>
      <c r="H57" s="41">
        <f>H21-H36</f>
        <v>0</v>
      </c>
      <c r="I57" s="41">
        <f t="shared" si="8"/>
        <v>19660375.729999993</v>
      </c>
    </row>
    <row r="58" spans="1:11" x14ac:dyDescent="0.2">
      <c r="A58" s="39">
        <f t="shared" si="9"/>
        <v>43</v>
      </c>
      <c r="B58" s="42" t="s">
        <v>173</v>
      </c>
      <c r="D58" s="41">
        <f>D22-D37</f>
        <v>4002760.66</v>
      </c>
      <c r="E58" s="41">
        <f t="shared" si="10"/>
        <v>0</v>
      </c>
      <c r="F58" s="41">
        <f t="shared" si="10"/>
        <v>0</v>
      </c>
      <c r="G58" s="41">
        <f t="shared" si="10"/>
        <v>1416340.01</v>
      </c>
      <c r="H58" s="41">
        <f>H22-H37</f>
        <v>0</v>
      </c>
      <c r="I58" s="41">
        <f t="shared" si="8"/>
        <v>5419100.6699999999</v>
      </c>
    </row>
    <row r="59" spans="1:11" x14ac:dyDescent="0.2">
      <c r="A59" s="39">
        <f t="shared" si="9"/>
        <v>44</v>
      </c>
      <c r="B59" s="42" t="s">
        <v>168</v>
      </c>
      <c r="C59" s="42"/>
      <c r="D59" s="41">
        <f>D23-D38</f>
        <v>47668525.810000002</v>
      </c>
      <c r="E59" s="41">
        <f t="shared" si="10"/>
        <v>0</v>
      </c>
      <c r="F59" s="41">
        <f t="shared" si="10"/>
        <v>0</v>
      </c>
      <c r="G59" s="41">
        <f t="shared" si="10"/>
        <v>2326462.96</v>
      </c>
      <c r="H59" s="41">
        <f>H23-H38</f>
        <v>0</v>
      </c>
      <c r="I59" s="41">
        <f>SUM(D59:H59)</f>
        <v>49994988.770000003</v>
      </c>
      <c r="J59" s="41"/>
      <c r="K59" s="41"/>
    </row>
    <row r="60" spans="1:11" x14ac:dyDescent="0.2">
      <c r="A60" s="39">
        <f t="shared" si="9"/>
        <v>45</v>
      </c>
      <c r="B60" s="42" t="s">
        <v>163</v>
      </c>
      <c r="C60" s="42"/>
      <c r="D60" s="41">
        <f>D24-D39-D61</f>
        <v>76645862.950000003</v>
      </c>
      <c r="E60" s="41">
        <f>E24-E39-E61</f>
        <v>0</v>
      </c>
      <c r="F60" s="41">
        <f>F24-F39-F61</f>
        <v>0</v>
      </c>
      <c r="G60" s="41">
        <f>G24-G39-G61</f>
        <v>0</v>
      </c>
      <c r="H60" s="41">
        <f>H24-H39-H61</f>
        <v>0</v>
      </c>
      <c r="I60" s="41">
        <f t="shared" si="8"/>
        <v>76645862.950000003</v>
      </c>
      <c r="J60" s="91"/>
      <c r="K60" s="41"/>
    </row>
    <row r="61" spans="1:11" x14ac:dyDescent="0.2">
      <c r="A61" s="39">
        <f t="shared" si="9"/>
        <v>46</v>
      </c>
      <c r="B61" s="39" t="s">
        <v>151</v>
      </c>
      <c r="D61" s="41">
        <v>8587791.6699999981</v>
      </c>
      <c r="E61" s="41">
        <v>0</v>
      </c>
      <c r="F61" s="41">
        <v>0</v>
      </c>
      <c r="G61" s="41">
        <v>0</v>
      </c>
      <c r="H61" s="41">
        <v>0</v>
      </c>
      <c r="I61" s="41">
        <f t="shared" si="8"/>
        <v>8587791.6699999981</v>
      </c>
    </row>
    <row r="62" spans="1:11" x14ac:dyDescent="0.2">
      <c r="B62" s="42" t="s">
        <v>172</v>
      </c>
      <c r="D62" s="41"/>
      <c r="E62" s="41"/>
      <c r="F62" s="41"/>
      <c r="G62" s="41"/>
      <c r="H62" s="41"/>
      <c r="I62" s="41"/>
    </row>
    <row r="63" spans="1:11" x14ac:dyDescent="0.2">
      <c r="A63" s="39">
        <f>A61+1</f>
        <v>47</v>
      </c>
      <c r="B63" s="42"/>
      <c r="C63" s="42" t="s">
        <v>175</v>
      </c>
      <c r="D63" s="41">
        <f t="shared" ref="D63:G67" si="11">D26</f>
        <v>-1494599.66</v>
      </c>
      <c r="E63" s="41">
        <f t="shared" si="11"/>
        <v>0</v>
      </c>
      <c r="F63" s="41">
        <f t="shared" si="11"/>
        <v>0</v>
      </c>
      <c r="G63" s="41">
        <f t="shared" si="11"/>
        <v>1756695.66</v>
      </c>
      <c r="H63" s="41">
        <f>H26</f>
        <v>0</v>
      </c>
      <c r="I63" s="41">
        <f>SUM(D63:H63)</f>
        <v>262096</v>
      </c>
    </row>
    <row r="64" spans="1:11" x14ac:dyDescent="0.2">
      <c r="A64" s="39">
        <f>A63+1</f>
        <v>48</v>
      </c>
      <c r="B64" s="42"/>
      <c r="C64" s="42" t="s">
        <v>182</v>
      </c>
      <c r="D64" s="41">
        <f t="shared" si="11"/>
        <v>1950159.8499999999</v>
      </c>
      <c r="E64" s="41">
        <f t="shared" si="11"/>
        <v>0</v>
      </c>
      <c r="F64" s="41">
        <f t="shared" si="11"/>
        <v>0</v>
      </c>
      <c r="G64" s="41">
        <f t="shared" si="11"/>
        <v>-1950159.8599999994</v>
      </c>
      <c r="H64" s="41">
        <f>H27</f>
        <v>0</v>
      </c>
      <c r="I64" s="41">
        <f>SUM(D64:H64)</f>
        <v>-9.9999995436519384E-3</v>
      </c>
    </row>
    <row r="65" spans="1:10" x14ac:dyDescent="0.2">
      <c r="A65" s="39">
        <f>A64+1</f>
        <v>49</v>
      </c>
      <c r="B65" s="42"/>
      <c r="C65" s="42" t="s">
        <v>201</v>
      </c>
      <c r="D65" s="41">
        <f t="shared" si="11"/>
        <v>4370.8</v>
      </c>
      <c r="E65" s="41">
        <f t="shared" si="11"/>
        <v>0</v>
      </c>
      <c r="F65" s="41">
        <f t="shared" si="11"/>
        <v>0</v>
      </c>
      <c r="G65" s="41">
        <f t="shared" si="11"/>
        <v>-4370.8</v>
      </c>
      <c r="H65" s="41">
        <f>H28</f>
        <v>0</v>
      </c>
      <c r="I65" s="41">
        <f>SUM(D65:H65)</f>
        <v>0</v>
      </c>
    </row>
    <row r="66" spans="1:10" x14ac:dyDescent="0.2">
      <c r="A66" s="39">
        <f>A65+1</f>
        <v>50</v>
      </c>
      <c r="B66" s="42"/>
      <c r="C66" s="42" t="s">
        <v>183</v>
      </c>
      <c r="D66" s="41">
        <f t="shared" si="11"/>
        <v>624870.17000000004</v>
      </c>
      <c r="E66" s="41">
        <f t="shared" si="11"/>
        <v>0</v>
      </c>
      <c r="F66" s="41">
        <f t="shared" si="11"/>
        <v>0</v>
      </c>
      <c r="G66" s="41">
        <f t="shared" si="11"/>
        <v>-624870.18000000005</v>
      </c>
      <c r="H66" s="41">
        <f>H29</f>
        <v>0</v>
      </c>
      <c r="I66" s="41">
        <f>SUM(D66:H66)</f>
        <v>-1.0000000009313226E-2</v>
      </c>
    </row>
    <row r="67" spans="1:10" x14ac:dyDescent="0.2">
      <c r="A67" s="39">
        <f>A66+1</f>
        <v>51</v>
      </c>
      <c r="B67" s="42"/>
      <c r="C67" s="42" t="s">
        <v>251</v>
      </c>
      <c r="D67" s="41">
        <f t="shared" si="11"/>
        <v>-461.16000000014901</v>
      </c>
      <c r="E67" s="41">
        <f t="shared" si="11"/>
        <v>0</v>
      </c>
      <c r="F67" s="41">
        <f t="shared" si="11"/>
        <v>0</v>
      </c>
      <c r="G67" s="41">
        <f t="shared" si="11"/>
        <v>0</v>
      </c>
      <c r="H67" s="41">
        <f>H30</f>
        <v>0</v>
      </c>
      <c r="I67" s="41">
        <f>SUM(D67:H67)</f>
        <v>-461.16000000014901</v>
      </c>
    </row>
    <row r="68" spans="1:10" x14ac:dyDescent="0.2">
      <c r="C68" s="41"/>
      <c r="D68" s="41"/>
      <c r="E68" s="41"/>
      <c r="F68" s="41"/>
      <c r="G68" s="41"/>
      <c r="H68" s="41"/>
      <c r="I68" s="41"/>
    </row>
    <row r="69" spans="1:10" x14ac:dyDescent="0.2">
      <c r="A69" s="39">
        <f>A67+1</f>
        <v>52</v>
      </c>
      <c r="B69" s="42" t="s">
        <v>184</v>
      </c>
      <c r="C69" s="42"/>
      <c r="D69" s="41">
        <f t="shared" ref="D69:I69" si="12">SUM(D44:D67)</f>
        <v>5441433913.46</v>
      </c>
      <c r="E69" s="41">
        <f t="shared" si="12"/>
        <v>0</v>
      </c>
      <c r="F69" s="41">
        <f>SUM(F44:F67)</f>
        <v>0</v>
      </c>
      <c r="G69" s="41">
        <f t="shared" si="12"/>
        <v>246664472.45999998</v>
      </c>
      <c r="H69" s="41">
        <f t="shared" si="12"/>
        <v>0</v>
      </c>
      <c r="I69" s="41">
        <f t="shared" si="12"/>
        <v>5688098385.9199982</v>
      </c>
      <c r="J69" s="43"/>
    </row>
    <row r="70" spans="1:10" x14ac:dyDescent="0.2">
      <c r="A70" s="39">
        <f>A69+1</f>
        <v>53</v>
      </c>
      <c r="B70" s="173" t="s">
        <v>397</v>
      </c>
      <c r="C70" s="42"/>
      <c r="D70" s="41">
        <f t="shared" ref="D70:I70" si="13">D69</f>
        <v>5441433913.46</v>
      </c>
      <c r="E70" s="41">
        <f t="shared" si="13"/>
        <v>0</v>
      </c>
      <c r="F70" s="41">
        <f t="shared" si="13"/>
        <v>0</v>
      </c>
      <c r="G70" s="41">
        <f t="shared" si="13"/>
        <v>246664472.45999998</v>
      </c>
      <c r="H70" s="41">
        <f t="shared" si="13"/>
        <v>0</v>
      </c>
      <c r="I70" s="41">
        <f t="shared" si="13"/>
        <v>5688098385.9199982</v>
      </c>
    </row>
    <row r="71" spans="1:10" x14ac:dyDescent="0.2">
      <c r="A71" s="39">
        <f>A70+1</f>
        <v>54</v>
      </c>
      <c r="B71" s="42" t="s">
        <v>303</v>
      </c>
      <c r="C71" s="42"/>
      <c r="D71" s="127" t="s">
        <v>302</v>
      </c>
      <c r="E71" s="127" t="s">
        <v>302</v>
      </c>
      <c r="F71" s="127" t="s">
        <v>302</v>
      </c>
      <c r="G71" s="127" t="s">
        <v>302</v>
      </c>
      <c r="H71" s="127" t="s">
        <v>302</v>
      </c>
      <c r="I71" s="127" t="s">
        <v>302</v>
      </c>
    </row>
    <row r="72" spans="1:10" x14ac:dyDescent="0.2">
      <c r="B72" s="42"/>
      <c r="C72" s="42"/>
      <c r="D72" s="41"/>
      <c r="E72" s="41"/>
      <c r="F72" s="41"/>
      <c r="G72" s="41"/>
      <c r="H72" s="41"/>
      <c r="I72" s="41"/>
    </row>
    <row r="73" spans="1:10" x14ac:dyDescent="0.2">
      <c r="A73" s="39">
        <f>A71+1</f>
        <v>55</v>
      </c>
      <c r="B73" s="42" t="s">
        <v>166</v>
      </c>
      <c r="C73" s="42"/>
      <c r="D73" s="41">
        <v>-29577692.690000001</v>
      </c>
      <c r="E73" s="41">
        <v>0</v>
      </c>
      <c r="F73" s="41">
        <v>0</v>
      </c>
      <c r="G73" s="41">
        <v>-1175397.0900000001</v>
      </c>
      <c r="H73" s="41">
        <v>0</v>
      </c>
      <c r="I73" s="41">
        <f>SUM(D73:H73)</f>
        <v>-30753089.780000001</v>
      </c>
    </row>
    <row r="74" spans="1:10" x14ac:dyDescent="0.2">
      <c r="D74" s="40"/>
      <c r="E74" s="40"/>
      <c r="F74" s="40"/>
      <c r="G74" s="40"/>
      <c r="H74" s="40"/>
      <c r="I74" s="40"/>
    </row>
    <row r="75" spans="1:10" x14ac:dyDescent="0.2">
      <c r="A75" s="190" t="s">
        <v>391</v>
      </c>
      <c r="B75" s="190"/>
      <c r="C75" s="191"/>
      <c r="D75" s="192" t="s">
        <v>176</v>
      </c>
      <c r="E75" s="192" t="s">
        <v>181</v>
      </c>
      <c r="F75" s="192" t="s">
        <v>177</v>
      </c>
      <c r="G75" s="192" t="s">
        <v>178</v>
      </c>
      <c r="H75" s="192" t="s">
        <v>179</v>
      </c>
      <c r="I75" s="192" t="s">
        <v>180</v>
      </c>
      <c r="J75" s="174"/>
    </row>
    <row r="77" spans="1:10" x14ac:dyDescent="0.2">
      <c r="A77" s="39">
        <v>1</v>
      </c>
      <c r="B77" s="39" t="s">
        <v>140</v>
      </c>
      <c r="D77" s="41">
        <f>'Pupil Data'!C203</f>
        <v>912029</v>
      </c>
      <c r="E77" s="41">
        <v>0</v>
      </c>
      <c r="F77" s="41">
        <f>'Pupil Data'!D203</f>
        <v>301</v>
      </c>
      <c r="G77" s="41">
        <f>'Pupil Data'!E203</f>
        <v>36257</v>
      </c>
      <c r="H77" s="41">
        <f>'Pupil Data'!F203</f>
        <v>0</v>
      </c>
      <c r="I77" s="41">
        <f>SUM(D77:H77)</f>
        <v>948587</v>
      </c>
    </row>
    <row r="78" spans="1:10" x14ac:dyDescent="0.2">
      <c r="D78" s="41"/>
    </row>
    <row r="79" spans="1:10" x14ac:dyDescent="0.2">
      <c r="B79" s="42" t="s">
        <v>155</v>
      </c>
      <c r="D79" s="40"/>
      <c r="E79" s="40"/>
      <c r="F79" s="40"/>
      <c r="G79" s="40"/>
      <c r="H79" s="40"/>
      <c r="I79" s="40"/>
    </row>
    <row r="80" spans="1:10" x14ac:dyDescent="0.2">
      <c r="A80" s="39">
        <f>A77+1</f>
        <v>2</v>
      </c>
      <c r="B80" s="39" t="s">
        <v>141</v>
      </c>
      <c r="D80" s="41">
        <v>4674803771.3999996</v>
      </c>
      <c r="E80" s="41">
        <v>0</v>
      </c>
      <c r="F80" s="41">
        <v>0</v>
      </c>
      <c r="G80" s="41">
        <v>185770927.44</v>
      </c>
      <c r="H80" s="41">
        <v>0</v>
      </c>
      <c r="I80" s="41">
        <f>SUM(D80:H80)</f>
        <v>4860574698.8399992</v>
      </c>
    </row>
    <row r="81" spans="1:11" x14ac:dyDescent="0.2">
      <c r="A81" s="39">
        <f>A80+1</f>
        <v>3</v>
      </c>
      <c r="B81" s="42" t="s">
        <v>299</v>
      </c>
      <c r="D81" s="41">
        <v>46529077.350000001</v>
      </c>
      <c r="E81" s="41">
        <v>0</v>
      </c>
      <c r="F81" s="41">
        <v>0</v>
      </c>
      <c r="G81" s="41">
        <v>1849008.06</v>
      </c>
      <c r="H81" s="41">
        <v>0</v>
      </c>
      <c r="I81" s="41">
        <f>SUM(D81:H81)</f>
        <v>48378085.410000004</v>
      </c>
    </row>
    <row r="82" spans="1:11" x14ac:dyDescent="0.2">
      <c r="A82" s="39">
        <f>A81+1</f>
        <v>4</v>
      </c>
      <c r="B82" s="42" t="s">
        <v>167</v>
      </c>
      <c r="C82" s="42"/>
      <c r="D82" s="41">
        <v>10948018.199999999</v>
      </c>
      <c r="E82" s="41">
        <v>0</v>
      </c>
      <c r="F82" s="41">
        <v>0</v>
      </c>
      <c r="G82" s="41">
        <v>435060.72</v>
      </c>
      <c r="H82" s="41">
        <v>0</v>
      </c>
      <c r="I82" s="41">
        <f>SUM(D82:H82)</f>
        <v>11383078.92</v>
      </c>
    </row>
    <row r="83" spans="1:11" x14ac:dyDescent="0.2">
      <c r="A83" s="39">
        <f>A82+1</f>
        <v>5</v>
      </c>
      <c r="B83" s="39" t="s">
        <v>142</v>
      </c>
      <c r="D83" s="41">
        <v>59288439.990000002</v>
      </c>
      <c r="E83" s="41">
        <v>0</v>
      </c>
      <c r="F83" s="41">
        <v>0</v>
      </c>
      <c r="G83" s="41">
        <v>1707201.05</v>
      </c>
      <c r="H83" s="41">
        <v>0</v>
      </c>
      <c r="I83" s="41">
        <f>SUM(D83:H83)</f>
        <v>60995641.039999999</v>
      </c>
    </row>
    <row r="84" spans="1:11" x14ac:dyDescent="0.2">
      <c r="B84" s="42" t="s">
        <v>171</v>
      </c>
      <c r="D84" s="41"/>
      <c r="E84" s="41"/>
      <c r="F84" s="41"/>
      <c r="G84" s="41"/>
      <c r="H84" s="41"/>
      <c r="I84" s="41"/>
    </row>
    <row r="85" spans="1:11" x14ac:dyDescent="0.2">
      <c r="A85" s="39">
        <f>A83+1</f>
        <v>6</v>
      </c>
      <c r="C85" s="39" t="s">
        <v>143</v>
      </c>
      <c r="D85" s="41">
        <v>312483731</v>
      </c>
      <c r="E85" s="41">
        <v>0</v>
      </c>
      <c r="F85" s="41">
        <v>0</v>
      </c>
      <c r="G85" s="41">
        <v>36026954.619999997</v>
      </c>
      <c r="H85" s="41">
        <v>0</v>
      </c>
      <c r="I85" s="41">
        <f t="shared" ref="I85:I96" si="14">SUM(D85:H85)</f>
        <v>348510685.62</v>
      </c>
    </row>
    <row r="86" spans="1:11" x14ac:dyDescent="0.2">
      <c r="A86" s="39">
        <f t="shared" ref="A86:A96" si="15">A85+1</f>
        <v>7</v>
      </c>
      <c r="C86" s="39" t="s">
        <v>144</v>
      </c>
      <c r="D86" s="41">
        <v>28186662</v>
      </c>
      <c r="E86" s="41">
        <v>0</v>
      </c>
      <c r="F86" s="41">
        <v>0</v>
      </c>
      <c r="G86" s="41">
        <v>3871525</v>
      </c>
      <c r="H86" s="41">
        <v>0</v>
      </c>
      <c r="I86" s="41">
        <f t="shared" si="14"/>
        <v>32058187</v>
      </c>
    </row>
    <row r="87" spans="1:11" x14ac:dyDescent="0.2">
      <c r="A87" s="39">
        <f t="shared" si="15"/>
        <v>8</v>
      </c>
      <c r="B87" s="42"/>
      <c r="C87" s="42" t="s">
        <v>170</v>
      </c>
      <c r="D87" s="41">
        <v>7070972.5</v>
      </c>
      <c r="E87" s="41">
        <v>0</v>
      </c>
      <c r="F87" s="41">
        <v>0</v>
      </c>
      <c r="G87" s="41">
        <v>1245862.5</v>
      </c>
      <c r="H87" s="41">
        <v>0</v>
      </c>
      <c r="I87" s="41">
        <f t="shared" si="14"/>
        <v>8316835</v>
      </c>
    </row>
    <row r="88" spans="1:11" x14ac:dyDescent="0.2">
      <c r="A88" s="39">
        <f t="shared" si="15"/>
        <v>9</v>
      </c>
      <c r="B88" s="39" t="s">
        <v>145</v>
      </c>
      <c r="D88" s="41">
        <v>22023616.75</v>
      </c>
      <c r="E88" s="41">
        <v>0</v>
      </c>
      <c r="F88" s="41">
        <v>0</v>
      </c>
      <c r="G88" s="41">
        <v>875190.66</v>
      </c>
      <c r="H88" s="41">
        <v>0</v>
      </c>
      <c r="I88" s="41">
        <f t="shared" si="14"/>
        <v>22898807.41</v>
      </c>
      <c r="J88" s="43"/>
    </row>
    <row r="89" spans="1:11" x14ac:dyDescent="0.2">
      <c r="A89" s="39">
        <f t="shared" si="15"/>
        <v>10</v>
      </c>
      <c r="B89" s="39" t="s">
        <v>146</v>
      </c>
      <c r="D89" s="41">
        <v>59238642.740000002</v>
      </c>
      <c r="E89" s="41">
        <v>0</v>
      </c>
      <c r="F89" s="41">
        <v>0</v>
      </c>
      <c r="G89" s="41">
        <v>920454.48</v>
      </c>
      <c r="H89" s="41">
        <v>0</v>
      </c>
      <c r="I89" s="41">
        <f t="shared" si="14"/>
        <v>60159097.219999999</v>
      </c>
    </row>
    <row r="90" spans="1:11" x14ac:dyDescent="0.2">
      <c r="A90" s="39">
        <f t="shared" si="15"/>
        <v>11</v>
      </c>
      <c r="B90" s="39" t="s">
        <v>148</v>
      </c>
      <c r="D90" s="41">
        <v>1161402.48</v>
      </c>
      <c r="E90" s="41">
        <v>0</v>
      </c>
      <c r="F90" s="41">
        <v>0</v>
      </c>
      <c r="G90" s="41">
        <v>46045.09</v>
      </c>
      <c r="H90" s="41">
        <v>0</v>
      </c>
      <c r="I90" s="41">
        <f t="shared" si="14"/>
        <v>1207447.57</v>
      </c>
    </row>
    <row r="91" spans="1:11" x14ac:dyDescent="0.2">
      <c r="A91" s="39">
        <f t="shared" si="15"/>
        <v>12</v>
      </c>
      <c r="B91" s="39" t="s">
        <v>244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f t="shared" si="14"/>
        <v>0</v>
      </c>
    </row>
    <row r="92" spans="1:11" x14ac:dyDescent="0.2">
      <c r="A92" s="39">
        <f t="shared" si="15"/>
        <v>13</v>
      </c>
      <c r="B92" s="39" t="s">
        <v>147</v>
      </c>
      <c r="D92" s="41">
        <v>186871183.78</v>
      </c>
      <c r="E92" s="41">
        <v>0</v>
      </c>
      <c r="F92" s="41">
        <v>0</v>
      </c>
      <c r="G92" s="41">
        <v>7427923.25</v>
      </c>
      <c r="H92" s="41">
        <v>0</v>
      </c>
      <c r="I92" s="41">
        <f t="shared" si="14"/>
        <v>194299107.03</v>
      </c>
    </row>
    <row r="93" spans="1:11" x14ac:dyDescent="0.2">
      <c r="A93" s="39">
        <f t="shared" si="15"/>
        <v>14</v>
      </c>
      <c r="B93" s="39" t="s">
        <v>149</v>
      </c>
      <c r="D93" s="41">
        <v>89793768.219999999</v>
      </c>
      <c r="E93" s="41">
        <v>0</v>
      </c>
      <c r="F93" s="41">
        <v>0</v>
      </c>
      <c r="G93" s="41">
        <v>3568221.8</v>
      </c>
      <c r="H93" s="41">
        <v>0</v>
      </c>
      <c r="I93" s="41">
        <f t="shared" si="14"/>
        <v>93361990.019999996</v>
      </c>
    </row>
    <row r="94" spans="1:11" x14ac:dyDescent="0.2">
      <c r="A94" s="39">
        <f t="shared" si="15"/>
        <v>15</v>
      </c>
      <c r="B94" s="42" t="s">
        <v>173</v>
      </c>
      <c r="D94" s="41">
        <v>28295657.390000001</v>
      </c>
      <c r="E94" s="41">
        <v>0</v>
      </c>
      <c r="F94" s="41">
        <v>0</v>
      </c>
      <c r="G94" s="41">
        <v>1416340.01</v>
      </c>
      <c r="H94" s="41">
        <v>0</v>
      </c>
      <c r="I94" s="41">
        <f t="shared" si="14"/>
        <v>29711997.400000002</v>
      </c>
    </row>
    <row r="95" spans="1:11" x14ac:dyDescent="0.2">
      <c r="A95" s="39">
        <f t="shared" si="15"/>
        <v>16</v>
      </c>
      <c r="B95" s="42" t="s">
        <v>168</v>
      </c>
      <c r="C95" s="42"/>
      <c r="D95" s="41">
        <v>61021897.109999999</v>
      </c>
      <c r="E95" s="41">
        <v>0</v>
      </c>
      <c r="F95" s="41">
        <v>0</v>
      </c>
      <c r="G95" s="41">
        <v>2326462.96</v>
      </c>
      <c r="H95" s="41">
        <v>0</v>
      </c>
      <c r="I95" s="41">
        <f t="shared" si="14"/>
        <v>63348360.07</v>
      </c>
      <c r="J95" s="41"/>
      <c r="K95" s="41"/>
    </row>
    <row r="96" spans="1:11" x14ac:dyDescent="0.2">
      <c r="A96" s="39">
        <f t="shared" si="15"/>
        <v>17</v>
      </c>
      <c r="B96" s="39" t="s">
        <v>150</v>
      </c>
      <c r="D96" s="41">
        <v>720567181.45000005</v>
      </c>
      <c r="E96" s="41">
        <v>0</v>
      </c>
      <c r="F96" s="41">
        <v>0</v>
      </c>
      <c r="G96" s="41">
        <v>0</v>
      </c>
      <c r="H96" s="41">
        <v>0</v>
      </c>
      <c r="I96" s="41">
        <f t="shared" si="14"/>
        <v>720567181.45000005</v>
      </c>
      <c r="J96" s="41"/>
      <c r="K96" s="41"/>
    </row>
    <row r="97" spans="1:11" x14ac:dyDescent="0.2">
      <c r="B97" s="42" t="s">
        <v>172</v>
      </c>
      <c r="D97" s="41"/>
      <c r="E97" s="41"/>
      <c r="F97" s="97"/>
      <c r="G97" s="41"/>
      <c r="H97" s="41"/>
      <c r="I97" s="41"/>
    </row>
    <row r="98" spans="1:11" x14ac:dyDescent="0.2">
      <c r="A98" s="39">
        <f>A96+1</f>
        <v>18</v>
      </c>
      <c r="B98" s="42"/>
      <c r="C98" s="42" t="s">
        <v>175</v>
      </c>
      <c r="D98" s="41">
        <v>-1494599.66</v>
      </c>
      <c r="E98" s="41">
        <v>0</v>
      </c>
      <c r="F98" s="41">
        <v>0</v>
      </c>
      <c r="G98" s="41">
        <v>1756695.66</v>
      </c>
      <c r="H98" s="41">
        <v>0</v>
      </c>
      <c r="I98" s="41">
        <f>SUM(D98:H98)</f>
        <v>262096</v>
      </c>
      <c r="J98" s="41"/>
    </row>
    <row r="99" spans="1:11" x14ac:dyDescent="0.2">
      <c r="A99" s="39">
        <f>A98+1</f>
        <v>19</v>
      </c>
      <c r="B99" s="42"/>
      <c r="C99" s="42" t="s">
        <v>182</v>
      </c>
      <c r="D99" s="41">
        <v>1950159.8499999999</v>
      </c>
      <c r="E99" s="41">
        <v>0</v>
      </c>
      <c r="F99" s="41">
        <v>0</v>
      </c>
      <c r="G99" s="41">
        <v>-1950159.8599999994</v>
      </c>
      <c r="H99" s="41">
        <v>0</v>
      </c>
      <c r="I99" s="41">
        <f>SUM(D99:H99)</f>
        <v>-9.9999995436519384E-3</v>
      </c>
    </row>
    <row r="100" spans="1:11" x14ac:dyDescent="0.2">
      <c r="A100" s="39">
        <f>A99+1</f>
        <v>20</v>
      </c>
      <c r="B100" s="42"/>
      <c r="C100" s="42" t="s">
        <v>201</v>
      </c>
      <c r="D100" s="41">
        <v>4370.8</v>
      </c>
      <c r="E100" s="41">
        <v>0</v>
      </c>
      <c r="F100" s="41">
        <v>0</v>
      </c>
      <c r="G100" s="41">
        <v>-4370.8</v>
      </c>
      <c r="H100" s="41">
        <v>0</v>
      </c>
      <c r="I100" s="41">
        <f>SUM(D100:H100)</f>
        <v>0</v>
      </c>
    </row>
    <row r="101" spans="1:11" x14ac:dyDescent="0.2">
      <c r="A101" s="39">
        <f>A100+1</f>
        <v>21</v>
      </c>
      <c r="B101" s="42"/>
      <c r="C101" s="42" t="s">
        <v>183</v>
      </c>
      <c r="D101" s="41">
        <v>624870.17000000004</v>
      </c>
      <c r="E101" s="41">
        <v>0</v>
      </c>
      <c r="F101" s="41">
        <v>0</v>
      </c>
      <c r="G101" s="41">
        <v>-624870.18000000005</v>
      </c>
      <c r="H101" s="41">
        <v>0</v>
      </c>
      <c r="I101" s="41">
        <f>SUM(D101:H101)</f>
        <v>-1.0000000009313226E-2</v>
      </c>
    </row>
    <row r="102" spans="1:11" x14ac:dyDescent="0.2">
      <c r="A102" s="39">
        <f>A101+1</f>
        <v>22</v>
      </c>
      <c r="B102" s="42"/>
      <c r="C102" s="42" t="s">
        <v>251</v>
      </c>
      <c r="D102" s="41">
        <f>-1069462.55+1069001.39</f>
        <v>-461.16000000014901</v>
      </c>
      <c r="E102" s="41">
        <v>0</v>
      </c>
      <c r="F102" s="41">
        <v>0</v>
      </c>
      <c r="G102" s="41">
        <v>0</v>
      </c>
      <c r="H102" s="41">
        <v>0</v>
      </c>
      <c r="I102" s="41">
        <f>SUM(D102:H102)</f>
        <v>-461.16000000014901</v>
      </c>
    </row>
    <row r="103" spans="1:11" x14ac:dyDescent="0.2">
      <c r="C103" s="124"/>
      <c r="D103" s="41"/>
      <c r="E103" s="41"/>
      <c r="F103" s="41"/>
      <c r="G103" s="41"/>
      <c r="H103" s="41"/>
      <c r="I103" s="41"/>
    </row>
    <row r="104" spans="1:11" x14ac:dyDescent="0.2">
      <c r="A104" s="39">
        <f>A102+1</f>
        <v>23</v>
      </c>
      <c r="B104" s="42" t="s">
        <v>158</v>
      </c>
      <c r="D104" s="41">
        <f t="shared" ref="D104:I104" si="16">SUM(D80:D102)</f>
        <v>6309368362.3599997</v>
      </c>
      <c r="E104" s="41">
        <f t="shared" si="16"/>
        <v>0</v>
      </c>
      <c r="F104" s="41">
        <f t="shared" si="16"/>
        <v>0</v>
      </c>
      <c r="G104" s="41">
        <f t="shared" si="16"/>
        <v>246664472.45999998</v>
      </c>
      <c r="H104" s="41">
        <f t="shared" si="16"/>
        <v>0</v>
      </c>
      <c r="I104" s="41">
        <f t="shared" si="16"/>
        <v>6556032834.8199978</v>
      </c>
      <c r="J104" s="43"/>
    </row>
    <row r="105" spans="1:11" x14ac:dyDescent="0.2">
      <c r="C105" s="178"/>
      <c r="D105" s="41"/>
      <c r="E105" s="41"/>
      <c r="F105" s="41"/>
      <c r="G105" s="41"/>
      <c r="H105" s="41"/>
      <c r="I105" s="41"/>
    </row>
    <row r="106" spans="1:11" x14ac:dyDescent="0.2">
      <c r="B106" s="42" t="s">
        <v>156</v>
      </c>
      <c r="C106" s="42"/>
      <c r="D106" s="41"/>
      <c r="E106" s="41"/>
      <c r="F106" s="41"/>
      <c r="G106" s="41"/>
      <c r="H106" s="41"/>
      <c r="I106" s="41"/>
    </row>
    <row r="107" spans="1:11" x14ac:dyDescent="0.2">
      <c r="A107" s="39">
        <f>A104+1</f>
        <v>24</v>
      </c>
      <c r="B107" s="39" t="s">
        <v>153</v>
      </c>
      <c r="D107" s="41">
        <v>121253039.75</v>
      </c>
      <c r="E107" s="41">
        <v>0</v>
      </c>
      <c r="F107" s="41">
        <v>0</v>
      </c>
      <c r="G107" s="41">
        <v>0</v>
      </c>
      <c r="H107" s="41">
        <v>0</v>
      </c>
      <c r="I107" s="41">
        <f>SUM(D107:H107)</f>
        <v>121253039.75</v>
      </c>
    </row>
    <row r="108" spans="1:11" x14ac:dyDescent="0.2">
      <c r="A108" s="39">
        <f>A107+1</f>
        <v>25</v>
      </c>
      <c r="B108" s="39" t="s">
        <v>152</v>
      </c>
      <c r="D108" s="41">
        <v>73701614.290000007</v>
      </c>
      <c r="E108" s="41">
        <v>0</v>
      </c>
      <c r="F108" s="41">
        <v>0</v>
      </c>
      <c r="G108" s="41">
        <v>0</v>
      </c>
      <c r="H108" s="41">
        <v>0</v>
      </c>
      <c r="I108" s="41">
        <f>SUM(D108:H108)</f>
        <v>73701614.290000007</v>
      </c>
    </row>
    <row r="109" spans="1:11" x14ac:dyDescent="0.2">
      <c r="A109" s="39">
        <f>A108+1</f>
        <v>26</v>
      </c>
      <c r="B109" s="42" t="s">
        <v>174</v>
      </c>
      <c r="D109" s="97">
        <v>24292896.73</v>
      </c>
      <c r="E109" s="41">
        <v>0</v>
      </c>
      <c r="F109" s="41">
        <v>0</v>
      </c>
      <c r="G109" s="41">
        <v>0</v>
      </c>
      <c r="H109" s="41">
        <v>0</v>
      </c>
      <c r="I109" s="41">
        <f>SUM(D109:H109)</f>
        <v>24292896.73</v>
      </c>
    </row>
    <row r="110" spans="1:11" x14ac:dyDescent="0.2">
      <c r="A110" s="39">
        <f>A109+1</f>
        <v>27</v>
      </c>
      <c r="B110" s="42" t="s">
        <v>168</v>
      </c>
      <c r="C110" s="42"/>
      <c r="D110" s="41">
        <v>13353371.300000001</v>
      </c>
      <c r="E110" s="41">
        <v>0</v>
      </c>
      <c r="F110" s="41">
        <v>0</v>
      </c>
      <c r="G110" s="41">
        <v>0</v>
      </c>
      <c r="H110" s="41">
        <v>0</v>
      </c>
      <c r="I110" s="41">
        <f>SUM(D110:H110)</f>
        <v>13353371.300000001</v>
      </c>
      <c r="J110" s="41"/>
      <c r="K110" s="41"/>
    </row>
    <row r="111" spans="1:11" x14ac:dyDescent="0.2">
      <c r="A111" s="39">
        <f>A110+1</f>
        <v>28</v>
      </c>
      <c r="B111" s="39" t="s">
        <v>154</v>
      </c>
      <c r="D111" s="41">
        <v>635333526.83000004</v>
      </c>
      <c r="E111" s="41">
        <v>0</v>
      </c>
      <c r="F111" s="41">
        <v>0</v>
      </c>
      <c r="G111" s="41">
        <v>0</v>
      </c>
      <c r="H111" s="41">
        <v>0</v>
      </c>
      <c r="I111" s="41">
        <f>SUM(D111:H111)</f>
        <v>635333526.83000004</v>
      </c>
      <c r="J111" s="41"/>
      <c r="K111" s="41"/>
    </row>
    <row r="112" spans="1:11" x14ac:dyDescent="0.2">
      <c r="D112" s="41"/>
      <c r="E112" s="41"/>
      <c r="F112" s="41"/>
      <c r="G112" s="41"/>
      <c r="H112" s="41"/>
      <c r="I112" s="41"/>
    </row>
    <row r="113" spans="1:10" x14ac:dyDescent="0.2">
      <c r="A113" s="39">
        <f>A111+1</f>
        <v>29</v>
      </c>
      <c r="B113" s="42" t="s">
        <v>159</v>
      </c>
      <c r="C113" s="42"/>
      <c r="D113" s="41">
        <f t="shared" ref="D113:I113" si="17">SUM(D107:D111)</f>
        <v>867934448.9000001</v>
      </c>
      <c r="E113" s="41">
        <f t="shared" si="17"/>
        <v>0</v>
      </c>
      <c r="F113" s="41">
        <f t="shared" si="17"/>
        <v>0</v>
      </c>
      <c r="G113" s="41">
        <f t="shared" si="17"/>
        <v>0</v>
      </c>
      <c r="H113" s="41">
        <f t="shared" si="17"/>
        <v>0</v>
      </c>
      <c r="I113" s="41">
        <f t="shared" si="17"/>
        <v>867934448.9000001</v>
      </c>
    </row>
    <row r="114" spans="1:10" x14ac:dyDescent="0.2">
      <c r="B114" s="42"/>
      <c r="C114" s="42"/>
      <c r="D114" s="41"/>
      <c r="E114" s="41"/>
      <c r="F114" s="41"/>
      <c r="G114" s="41"/>
      <c r="H114" s="41"/>
      <c r="I114" s="41"/>
    </row>
    <row r="115" spans="1:10" x14ac:dyDescent="0.2">
      <c r="B115" s="42" t="s">
        <v>157</v>
      </c>
      <c r="C115" s="42"/>
      <c r="D115" s="41"/>
      <c r="E115" s="41"/>
      <c r="F115" s="41"/>
      <c r="G115" s="41"/>
      <c r="H115" s="41"/>
      <c r="I115" s="41"/>
    </row>
    <row r="116" spans="1:10" x14ac:dyDescent="0.2">
      <c r="A116" s="39">
        <f>A113+1</f>
        <v>30</v>
      </c>
      <c r="B116" s="39" t="s">
        <v>141</v>
      </c>
      <c r="D116" s="41">
        <f t="shared" ref="D116:H119" si="18">D80</f>
        <v>4674803771.3999996</v>
      </c>
      <c r="E116" s="41">
        <f t="shared" si="18"/>
        <v>0</v>
      </c>
      <c r="F116" s="41">
        <f t="shared" si="18"/>
        <v>0</v>
      </c>
      <c r="G116" s="41">
        <f t="shared" si="18"/>
        <v>185770927.44</v>
      </c>
      <c r="H116" s="41">
        <f t="shared" si="18"/>
        <v>0</v>
      </c>
      <c r="I116" s="41">
        <f>SUM(D116:H116)</f>
        <v>4860574698.8399992</v>
      </c>
    </row>
    <row r="117" spans="1:10" x14ac:dyDescent="0.2">
      <c r="A117" s="39">
        <f>A116+1</f>
        <v>31</v>
      </c>
      <c r="B117" s="42" t="s">
        <v>299</v>
      </c>
      <c r="D117" s="41">
        <f t="shared" si="18"/>
        <v>46529077.350000001</v>
      </c>
      <c r="E117" s="41">
        <f t="shared" si="18"/>
        <v>0</v>
      </c>
      <c r="F117" s="41">
        <f t="shared" si="18"/>
        <v>0</v>
      </c>
      <c r="G117" s="41">
        <f t="shared" si="18"/>
        <v>1849008.06</v>
      </c>
      <c r="H117" s="41">
        <f t="shared" si="18"/>
        <v>0</v>
      </c>
      <c r="I117" s="41">
        <f>SUM(D117:H117)</f>
        <v>48378085.410000004</v>
      </c>
    </row>
    <row r="118" spans="1:10" x14ac:dyDescent="0.2">
      <c r="A118" s="39">
        <f>A117+1</f>
        <v>32</v>
      </c>
      <c r="B118" s="42" t="s">
        <v>167</v>
      </c>
      <c r="C118" s="42"/>
      <c r="D118" s="41">
        <f t="shared" si="18"/>
        <v>10948018.199999999</v>
      </c>
      <c r="E118" s="41">
        <f t="shared" si="18"/>
        <v>0</v>
      </c>
      <c r="F118" s="41">
        <f t="shared" si="18"/>
        <v>0</v>
      </c>
      <c r="G118" s="41">
        <f t="shared" si="18"/>
        <v>435060.72</v>
      </c>
      <c r="H118" s="41">
        <f t="shared" si="18"/>
        <v>0</v>
      </c>
      <c r="I118" s="41">
        <f>SUM(D118:H118)</f>
        <v>11383078.92</v>
      </c>
    </row>
    <row r="119" spans="1:10" x14ac:dyDescent="0.2">
      <c r="A119" s="39">
        <f>A118+1</f>
        <v>33</v>
      </c>
      <c r="B119" s="39" t="s">
        <v>142</v>
      </c>
      <c r="D119" s="41">
        <f t="shared" si="18"/>
        <v>59288439.990000002</v>
      </c>
      <c r="E119" s="41">
        <f t="shared" si="18"/>
        <v>0</v>
      </c>
      <c r="F119" s="41">
        <f t="shared" si="18"/>
        <v>0</v>
      </c>
      <c r="G119" s="41">
        <f t="shared" si="18"/>
        <v>1707201.05</v>
      </c>
      <c r="H119" s="41">
        <f t="shared" si="18"/>
        <v>0</v>
      </c>
      <c r="I119" s="41">
        <f>SUM(D119:H119)</f>
        <v>60995641.039999999</v>
      </c>
    </row>
    <row r="120" spans="1:10" x14ac:dyDescent="0.2">
      <c r="B120" s="42" t="s">
        <v>171</v>
      </c>
      <c r="D120" s="41"/>
      <c r="E120" s="41"/>
      <c r="F120" s="41"/>
      <c r="G120" s="41"/>
      <c r="H120" s="41"/>
      <c r="I120" s="41"/>
    </row>
    <row r="121" spans="1:10" x14ac:dyDescent="0.2">
      <c r="A121" s="39">
        <f>A119+1</f>
        <v>34</v>
      </c>
      <c r="C121" s="39" t="s">
        <v>143</v>
      </c>
      <c r="D121" s="41">
        <f t="shared" ref="D121:H127" si="19">D85</f>
        <v>312483731</v>
      </c>
      <c r="E121" s="41">
        <f t="shared" si="19"/>
        <v>0</v>
      </c>
      <c r="F121" s="41">
        <f t="shared" si="19"/>
        <v>0</v>
      </c>
      <c r="G121" s="41">
        <f t="shared" si="19"/>
        <v>36026954.619999997</v>
      </c>
      <c r="H121" s="41">
        <f t="shared" si="19"/>
        <v>0</v>
      </c>
      <c r="I121" s="41">
        <f t="shared" ref="I121:I126" si="20">SUM(D121:H121)</f>
        <v>348510685.62</v>
      </c>
    </row>
    <row r="122" spans="1:10" x14ac:dyDescent="0.2">
      <c r="A122" s="39">
        <f t="shared" ref="A122:A133" si="21">A121+1</f>
        <v>35</v>
      </c>
      <c r="C122" s="39" t="s">
        <v>144</v>
      </c>
      <c r="D122" s="41">
        <f t="shared" si="19"/>
        <v>28186662</v>
      </c>
      <c r="E122" s="41">
        <f t="shared" si="19"/>
        <v>0</v>
      </c>
      <c r="F122" s="41">
        <f t="shared" si="19"/>
        <v>0</v>
      </c>
      <c r="G122" s="41">
        <f t="shared" si="19"/>
        <v>3871525</v>
      </c>
      <c r="H122" s="41">
        <f t="shared" si="19"/>
        <v>0</v>
      </c>
      <c r="I122" s="41">
        <f t="shared" si="20"/>
        <v>32058187</v>
      </c>
    </row>
    <row r="123" spans="1:10" x14ac:dyDescent="0.2">
      <c r="A123" s="39">
        <f t="shared" si="21"/>
        <v>36</v>
      </c>
      <c r="B123" s="42"/>
      <c r="C123" s="42" t="s">
        <v>170</v>
      </c>
      <c r="D123" s="41">
        <f t="shared" si="19"/>
        <v>7070972.5</v>
      </c>
      <c r="E123" s="41">
        <f t="shared" si="19"/>
        <v>0</v>
      </c>
      <c r="F123" s="41">
        <f t="shared" si="19"/>
        <v>0</v>
      </c>
      <c r="G123" s="41">
        <f t="shared" si="19"/>
        <v>1245862.5</v>
      </c>
      <c r="H123" s="41">
        <f t="shared" si="19"/>
        <v>0</v>
      </c>
      <c r="I123" s="41">
        <f t="shared" si="20"/>
        <v>8316835</v>
      </c>
    </row>
    <row r="124" spans="1:10" x14ac:dyDescent="0.2">
      <c r="A124" s="39">
        <f t="shared" si="21"/>
        <v>37</v>
      </c>
      <c r="B124" s="39" t="s">
        <v>145</v>
      </c>
      <c r="D124" s="41">
        <f t="shared" si="19"/>
        <v>22023616.75</v>
      </c>
      <c r="E124" s="41">
        <f t="shared" si="19"/>
        <v>0</v>
      </c>
      <c r="F124" s="41">
        <f t="shared" si="19"/>
        <v>0</v>
      </c>
      <c r="G124" s="41">
        <f t="shared" si="19"/>
        <v>875190.66</v>
      </c>
      <c r="H124" s="41">
        <f t="shared" si="19"/>
        <v>0</v>
      </c>
      <c r="I124" s="41">
        <f t="shared" si="20"/>
        <v>22898807.41</v>
      </c>
    </row>
    <row r="125" spans="1:10" x14ac:dyDescent="0.2">
      <c r="A125" s="39">
        <f t="shared" si="21"/>
        <v>38</v>
      </c>
      <c r="B125" s="39" t="s">
        <v>146</v>
      </c>
      <c r="D125" s="41">
        <f t="shared" si="19"/>
        <v>59238642.740000002</v>
      </c>
      <c r="E125" s="41">
        <f t="shared" si="19"/>
        <v>0</v>
      </c>
      <c r="F125" s="41">
        <f t="shared" si="19"/>
        <v>0</v>
      </c>
      <c r="G125" s="41">
        <f t="shared" si="19"/>
        <v>920454.48</v>
      </c>
      <c r="H125" s="41">
        <f t="shared" si="19"/>
        <v>0</v>
      </c>
      <c r="I125" s="41">
        <f t="shared" si="20"/>
        <v>60159097.219999999</v>
      </c>
    </row>
    <row r="126" spans="1:10" x14ac:dyDescent="0.2">
      <c r="A126" s="39">
        <f t="shared" si="21"/>
        <v>39</v>
      </c>
      <c r="B126" s="39" t="s">
        <v>148</v>
      </c>
      <c r="D126" s="41">
        <f t="shared" si="19"/>
        <v>1161402.48</v>
      </c>
      <c r="E126" s="41">
        <f t="shared" si="19"/>
        <v>0</v>
      </c>
      <c r="F126" s="41">
        <f t="shared" si="19"/>
        <v>0</v>
      </c>
      <c r="G126" s="41">
        <f t="shared" si="19"/>
        <v>46045.09</v>
      </c>
      <c r="H126" s="41">
        <f t="shared" si="19"/>
        <v>0</v>
      </c>
      <c r="I126" s="41">
        <f t="shared" si="20"/>
        <v>1207447.57</v>
      </c>
    </row>
    <row r="127" spans="1:10" x14ac:dyDescent="0.2">
      <c r="A127" s="39">
        <f t="shared" si="21"/>
        <v>40</v>
      </c>
      <c r="B127" s="39" t="s">
        <v>244</v>
      </c>
      <c r="D127" s="41">
        <f t="shared" si="19"/>
        <v>0</v>
      </c>
      <c r="E127" s="41">
        <f t="shared" si="19"/>
        <v>0</v>
      </c>
      <c r="F127" s="41">
        <f t="shared" si="19"/>
        <v>0</v>
      </c>
      <c r="G127" s="41">
        <f t="shared" si="19"/>
        <v>0</v>
      </c>
      <c r="H127" s="41">
        <f t="shared" si="19"/>
        <v>0</v>
      </c>
      <c r="I127" s="41">
        <f t="shared" ref="I127:I133" si="22">SUM(D127:H127)</f>
        <v>0</v>
      </c>
    </row>
    <row r="128" spans="1:10" x14ac:dyDescent="0.2">
      <c r="A128" s="39">
        <f t="shared" si="21"/>
        <v>41</v>
      </c>
      <c r="B128" s="39" t="s">
        <v>147</v>
      </c>
      <c r="D128" s="41">
        <f t="shared" ref="D128:H131" si="23">D92-D107</f>
        <v>65618144.030000001</v>
      </c>
      <c r="E128" s="41">
        <f t="shared" si="23"/>
        <v>0</v>
      </c>
      <c r="F128" s="41">
        <f t="shared" si="23"/>
        <v>0</v>
      </c>
      <c r="G128" s="41">
        <f t="shared" si="23"/>
        <v>7427923.25</v>
      </c>
      <c r="H128" s="41">
        <f t="shared" si="23"/>
        <v>0</v>
      </c>
      <c r="I128" s="41">
        <f t="shared" si="22"/>
        <v>73046067.280000001</v>
      </c>
      <c r="J128" s="91"/>
    </row>
    <row r="129" spans="1:11" x14ac:dyDescent="0.2">
      <c r="A129" s="39">
        <f t="shared" si="21"/>
        <v>42</v>
      </c>
      <c r="B129" s="39" t="s">
        <v>149</v>
      </c>
      <c r="D129" s="41">
        <f t="shared" si="23"/>
        <v>16092153.929999992</v>
      </c>
      <c r="E129" s="41">
        <f t="shared" si="23"/>
        <v>0</v>
      </c>
      <c r="F129" s="41">
        <f t="shared" si="23"/>
        <v>0</v>
      </c>
      <c r="G129" s="41">
        <f t="shared" si="23"/>
        <v>3568221.8</v>
      </c>
      <c r="H129" s="41">
        <f t="shared" si="23"/>
        <v>0</v>
      </c>
      <c r="I129" s="41">
        <f t="shared" si="22"/>
        <v>19660375.729999993</v>
      </c>
    </row>
    <row r="130" spans="1:11" x14ac:dyDescent="0.2">
      <c r="A130" s="39">
        <f t="shared" si="21"/>
        <v>43</v>
      </c>
      <c r="B130" s="42" t="s">
        <v>173</v>
      </c>
      <c r="D130" s="41">
        <f t="shared" si="23"/>
        <v>4002760.66</v>
      </c>
      <c r="E130" s="41">
        <f t="shared" si="23"/>
        <v>0</v>
      </c>
      <c r="F130" s="41">
        <f t="shared" si="23"/>
        <v>0</v>
      </c>
      <c r="G130" s="41">
        <f t="shared" si="23"/>
        <v>1416340.01</v>
      </c>
      <c r="H130" s="41">
        <f t="shared" si="23"/>
        <v>0</v>
      </c>
      <c r="I130" s="41">
        <f t="shared" si="22"/>
        <v>5419100.6699999999</v>
      </c>
    </row>
    <row r="131" spans="1:11" x14ac:dyDescent="0.2">
      <c r="A131" s="39">
        <f t="shared" si="21"/>
        <v>44</v>
      </c>
      <c r="B131" s="42" t="s">
        <v>168</v>
      </c>
      <c r="C131" s="42"/>
      <c r="D131" s="41">
        <f t="shared" si="23"/>
        <v>47668525.810000002</v>
      </c>
      <c r="E131" s="41">
        <f t="shared" si="23"/>
        <v>0</v>
      </c>
      <c r="F131" s="41">
        <f t="shared" si="23"/>
        <v>0</v>
      </c>
      <c r="G131" s="41">
        <f t="shared" si="23"/>
        <v>2326462.96</v>
      </c>
      <c r="H131" s="41">
        <f t="shared" si="23"/>
        <v>0</v>
      </c>
      <c r="I131" s="41">
        <f t="shared" si="22"/>
        <v>49994988.770000003</v>
      </c>
      <c r="J131" s="41"/>
      <c r="K131" s="41"/>
    </row>
    <row r="132" spans="1:11" x14ac:dyDescent="0.2">
      <c r="A132" s="39">
        <f t="shared" si="21"/>
        <v>45</v>
      </c>
      <c r="B132" s="42" t="s">
        <v>163</v>
      </c>
      <c r="C132" s="42"/>
      <c r="D132" s="41">
        <f>D96-D111-D133</f>
        <v>76645862.950000003</v>
      </c>
      <c r="E132" s="41">
        <f>E96-E111-E133</f>
        <v>0</v>
      </c>
      <c r="F132" s="41">
        <f>F96-F111-F133</f>
        <v>0</v>
      </c>
      <c r="G132" s="41">
        <f>G96-G111-G133</f>
        <v>0</v>
      </c>
      <c r="H132" s="41">
        <f>H96-H111-H133</f>
        <v>0</v>
      </c>
      <c r="I132" s="41">
        <f t="shared" si="22"/>
        <v>76645862.950000003</v>
      </c>
      <c r="J132" s="91"/>
      <c r="K132" s="41"/>
    </row>
    <row r="133" spans="1:11" x14ac:dyDescent="0.2">
      <c r="A133" s="39">
        <f t="shared" si="21"/>
        <v>46</v>
      </c>
      <c r="B133" s="39" t="s">
        <v>151</v>
      </c>
      <c r="D133" s="41">
        <v>8587791.6699999981</v>
      </c>
      <c r="E133" s="41">
        <v>0</v>
      </c>
      <c r="F133" s="41">
        <v>0</v>
      </c>
      <c r="G133" s="41">
        <v>0</v>
      </c>
      <c r="H133" s="41">
        <v>0</v>
      </c>
      <c r="I133" s="41">
        <f t="shared" si="22"/>
        <v>8587791.6699999981</v>
      </c>
    </row>
    <row r="134" spans="1:11" x14ac:dyDescent="0.2">
      <c r="B134" s="42" t="s">
        <v>172</v>
      </c>
      <c r="D134" s="41"/>
      <c r="E134" s="41"/>
      <c r="F134" s="41"/>
      <c r="G134" s="41"/>
      <c r="H134" s="41"/>
      <c r="I134" s="41"/>
    </row>
    <row r="135" spans="1:11" x14ac:dyDescent="0.2">
      <c r="A135" s="39">
        <f>A133+1</f>
        <v>47</v>
      </c>
      <c r="B135" s="42"/>
      <c r="C135" s="42" t="s">
        <v>175</v>
      </c>
      <c r="D135" s="41">
        <f t="shared" ref="D135:H139" si="24">D98</f>
        <v>-1494599.66</v>
      </c>
      <c r="E135" s="41">
        <f t="shared" si="24"/>
        <v>0</v>
      </c>
      <c r="F135" s="41">
        <f t="shared" si="24"/>
        <v>0</v>
      </c>
      <c r="G135" s="41">
        <f t="shared" si="24"/>
        <v>1756695.66</v>
      </c>
      <c r="H135" s="41">
        <f t="shared" si="24"/>
        <v>0</v>
      </c>
      <c r="I135" s="41">
        <f>SUM(D135:H135)</f>
        <v>262096</v>
      </c>
    </row>
    <row r="136" spans="1:11" x14ac:dyDescent="0.2">
      <c r="A136" s="39">
        <f>A135+1</f>
        <v>48</v>
      </c>
      <c r="B136" s="42"/>
      <c r="C136" s="42" t="s">
        <v>182</v>
      </c>
      <c r="D136" s="41">
        <f t="shared" si="24"/>
        <v>1950159.8499999999</v>
      </c>
      <c r="E136" s="41">
        <f t="shared" si="24"/>
        <v>0</v>
      </c>
      <c r="F136" s="41">
        <f t="shared" si="24"/>
        <v>0</v>
      </c>
      <c r="G136" s="41">
        <f t="shared" si="24"/>
        <v>-1950159.8599999994</v>
      </c>
      <c r="H136" s="41">
        <f t="shared" si="24"/>
        <v>0</v>
      </c>
      <c r="I136" s="41">
        <f>SUM(D136:H136)</f>
        <v>-9.9999995436519384E-3</v>
      </c>
    </row>
    <row r="137" spans="1:11" x14ac:dyDescent="0.2">
      <c r="A137" s="39">
        <f>A136+1</f>
        <v>49</v>
      </c>
      <c r="B137" s="42"/>
      <c r="C137" s="42" t="s">
        <v>201</v>
      </c>
      <c r="D137" s="41">
        <f t="shared" si="24"/>
        <v>4370.8</v>
      </c>
      <c r="E137" s="41">
        <f t="shared" si="24"/>
        <v>0</v>
      </c>
      <c r="F137" s="41">
        <f t="shared" si="24"/>
        <v>0</v>
      </c>
      <c r="G137" s="41">
        <f t="shared" si="24"/>
        <v>-4370.8</v>
      </c>
      <c r="H137" s="41">
        <f t="shared" si="24"/>
        <v>0</v>
      </c>
      <c r="I137" s="41">
        <f>SUM(D137:H137)</f>
        <v>0</v>
      </c>
    </row>
    <row r="138" spans="1:11" x14ac:dyDescent="0.2">
      <c r="A138" s="39">
        <f>A137+1</f>
        <v>50</v>
      </c>
      <c r="B138" s="42"/>
      <c r="C138" s="42" t="s">
        <v>183</v>
      </c>
      <c r="D138" s="41">
        <f t="shared" si="24"/>
        <v>624870.17000000004</v>
      </c>
      <c r="E138" s="41">
        <f t="shared" si="24"/>
        <v>0</v>
      </c>
      <c r="F138" s="41">
        <f t="shared" si="24"/>
        <v>0</v>
      </c>
      <c r="G138" s="41">
        <f t="shared" si="24"/>
        <v>-624870.18000000005</v>
      </c>
      <c r="H138" s="41">
        <f t="shared" si="24"/>
        <v>0</v>
      </c>
      <c r="I138" s="41">
        <f>SUM(D138:H138)</f>
        <v>-1.0000000009313226E-2</v>
      </c>
    </row>
    <row r="139" spans="1:11" x14ac:dyDescent="0.2">
      <c r="A139" s="39">
        <f>A138+1</f>
        <v>51</v>
      </c>
      <c r="B139" s="42"/>
      <c r="C139" s="42" t="s">
        <v>251</v>
      </c>
      <c r="D139" s="41">
        <f t="shared" si="24"/>
        <v>-461.16000000014901</v>
      </c>
      <c r="E139" s="41">
        <f t="shared" si="24"/>
        <v>0</v>
      </c>
      <c r="F139" s="41">
        <f t="shared" si="24"/>
        <v>0</v>
      </c>
      <c r="G139" s="41">
        <f t="shared" si="24"/>
        <v>0</v>
      </c>
      <c r="H139" s="41">
        <f t="shared" si="24"/>
        <v>0</v>
      </c>
      <c r="I139" s="41">
        <f>SUM(D139:H139)</f>
        <v>-461.16000000014901</v>
      </c>
    </row>
    <row r="140" spans="1:11" x14ac:dyDescent="0.2">
      <c r="C140" s="41">
        <f>D141-D73</f>
        <v>5471011606.1499996</v>
      </c>
      <c r="D140" s="41"/>
      <c r="E140" s="41"/>
      <c r="F140" s="41"/>
      <c r="G140" s="41"/>
      <c r="H140" s="41"/>
      <c r="I140" s="41"/>
    </row>
    <row r="141" spans="1:11" x14ac:dyDescent="0.2">
      <c r="A141" s="39">
        <f>A139+1</f>
        <v>52</v>
      </c>
      <c r="B141" s="42" t="s">
        <v>184</v>
      </c>
      <c r="C141" s="42"/>
      <c r="D141" s="41">
        <f t="shared" ref="D141:I141" si="25">SUM(D116:D139)</f>
        <v>5441433913.46</v>
      </c>
      <c r="E141" s="41">
        <f t="shared" si="25"/>
        <v>0</v>
      </c>
      <c r="F141" s="41">
        <f t="shared" si="25"/>
        <v>0</v>
      </c>
      <c r="G141" s="41">
        <f t="shared" si="25"/>
        <v>246664472.45999998</v>
      </c>
      <c r="H141" s="41">
        <f t="shared" si="25"/>
        <v>0</v>
      </c>
      <c r="I141" s="41">
        <f t="shared" si="25"/>
        <v>5688098385.9199982</v>
      </c>
      <c r="J141" s="43"/>
    </row>
    <row r="142" spans="1:11" x14ac:dyDescent="0.2">
      <c r="A142" s="39">
        <f>A141+1</f>
        <v>53</v>
      </c>
      <c r="B142" s="173" t="s">
        <v>397</v>
      </c>
      <c r="C142" s="42"/>
      <c r="D142" s="41">
        <f t="shared" ref="D142:I142" si="26">D141</f>
        <v>5441433913.46</v>
      </c>
      <c r="E142" s="41">
        <f t="shared" si="26"/>
        <v>0</v>
      </c>
      <c r="F142" s="41">
        <f t="shared" si="26"/>
        <v>0</v>
      </c>
      <c r="G142" s="41">
        <f t="shared" si="26"/>
        <v>246664472.45999998</v>
      </c>
      <c r="H142" s="41">
        <f t="shared" si="26"/>
        <v>0</v>
      </c>
      <c r="I142" s="41">
        <f t="shared" si="26"/>
        <v>5688098385.9199982</v>
      </c>
    </row>
    <row r="143" spans="1:11" x14ac:dyDescent="0.2">
      <c r="A143" s="39">
        <f>A142+1</f>
        <v>54</v>
      </c>
      <c r="B143" s="42" t="s">
        <v>303</v>
      </c>
      <c r="C143" s="42"/>
      <c r="D143" s="127" t="s">
        <v>302</v>
      </c>
      <c r="E143" s="127" t="s">
        <v>302</v>
      </c>
      <c r="F143" s="127" t="s">
        <v>302</v>
      </c>
      <c r="G143" s="127" t="s">
        <v>302</v>
      </c>
      <c r="H143" s="127" t="s">
        <v>302</v>
      </c>
      <c r="I143" s="127" t="s">
        <v>302</v>
      </c>
    </row>
    <row r="144" spans="1:11" x14ac:dyDescent="0.2">
      <c r="B144" s="42"/>
      <c r="C144" s="42"/>
      <c r="D144" s="41"/>
      <c r="E144" s="41"/>
      <c r="F144" s="41"/>
      <c r="G144" s="41"/>
      <c r="H144" s="41"/>
      <c r="I144" s="41"/>
    </row>
    <row r="145" spans="1:9" x14ac:dyDescent="0.2">
      <c r="A145" s="39">
        <f>A143+1</f>
        <v>55</v>
      </c>
      <c r="B145" s="42" t="s">
        <v>166</v>
      </c>
      <c r="C145" s="42"/>
      <c r="D145" s="41">
        <v>-29577692.690000001</v>
      </c>
      <c r="E145" s="41">
        <v>0</v>
      </c>
      <c r="F145" s="41">
        <v>0</v>
      </c>
      <c r="G145" s="41">
        <v>-1175397.0900000001</v>
      </c>
      <c r="H145" s="41">
        <v>0</v>
      </c>
      <c r="I145" s="41">
        <f>SUM(D145:H145)</f>
        <v>-30753089.780000001</v>
      </c>
    </row>
    <row r="147" spans="1:9" x14ac:dyDescent="0.2">
      <c r="A147" s="107" t="s">
        <v>162</v>
      </c>
      <c r="B147" s="107"/>
      <c r="C147" s="108"/>
      <c r="D147" s="109" t="s">
        <v>176</v>
      </c>
      <c r="E147" s="109" t="s">
        <v>181</v>
      </c>
      <c r="F147" s="109" t="s">
        <v>177</v>
      </c>
      <c r="G147" s="109" t="s">
        <v>178</v>
      </c>
      <c r="H147" s="109" t="s">
        <v>179</v>
      </c>
      <c r="I147" s="109" t="s">
        <v>180</v>
      </c>
    </row>
    <row r="149" spans="1:9" x14ac:dyDescent="0.2">
      <c r="A149" s="39">
        <v>1</v>
      </c>
      <c r="B149" s="39" t="s">
        <v>140</v>
      </c>
      <c r="D149" s="43">
        <f t="shared" ref="D149:I149" si="27">D5-D77</f>
        <v>0</v>
      </c>
      <c r="E149" s="43">
        <f t="shared" si="27"/>
        <v>0</v>
      </c>
      <c r="F149" s="43">
        <f t="shared" si="27"/>
        <v>0</v>
      </c>
      <c r="G149" s="43">
        <f t="shared" si="27"/>
        <v>0</v>
      </c>
      <c r="H149" s="43">
        <f t="shared" si="27"/>
        <v>0</v>
      </c>
      <c r="I149" s="43">
        <f t="shared" si="27"/>
        <v>0</v>
      </c>
    </row>
    <row r="150" spans="1:9" x14ac:dyDescent="0.2">
      <c r="E150" s="43"/>
      <c r="F150" s="43"/>
      <c r="G150" s="43"/>
      <c r="H150" s="43"/>
      <c r="I150" s="43"/>
    </row>
    <row r="151" spans="1:9" x14ac:dyDescent="0.2">
      <c r="B151" s="42" t="s">
        <v>155</v>
      </c>
      <c r="D151" s="40"/>
      <c r="E151" s="40"/>
      <c r="F151" s="40"/>
      <c r="G151" s="40"/>
      <c r="H151" s="40"/>
      <c r="I151" s="40"/>
    </row>
    <row r="152" spans="1:9" x14ac:dyDescent="0.2">
      <c r="A152" s="39">
        <f>A149+1</f>
        <v>2</v>
      </c>
      <c r="B152" s="39" t="s">
        <v>141</v>
      </c>
      <c r="D152" s="43">
        <f t="shared" ref="D152:I152" si="28">D8-D80</f>
        <v>0</v>
      </c>
      <c r="E152" s="43">
        <f t="shared" si="28"/>
        <v>0</v>
      </c>
      <c r="F152" s="43">
        <f t="shared" si="28"/>
        <v>0</v>
      </c>
      <c r="G152" s="43">
        <f t="shared" si="28"/>
        <v>0</v>
      </c>
      <c r="H152" s="43">
        <f t="shared" si="28"/>
        <v>0</v>
      </c>
      <c r="I152" s="43">
        <f t="shared" si="28"/>
        <v>0</v>
      </c>
    </row>
    <row r="153" spans="1:9" x14ac:dyDescent="0.2">
      <c r="A153" s="39">
        <f>A152+1</f>
        <v>3</v>
      </c>
      <c r="B153" s="42" t="s">
        <v>299</v>
      </c>
      <c r="D153" s="43">
        <f t="shared" ref="D153:I155" si="29">D9-D81</f>
        <v>0</v>
      </c>
      <c r="E153" s="43">
        <f t="shared" si="29"/>
        <v>0</v>
      </c>
      <c r="F153" s="43">
        <f t="shared" si="29"/>
        <v>0</v>
      </c>
      <c r="G153" s="43">
        <f t="shared" si="29"/>
        <v>0</v>
      </c>
      <c r="H153" s="43">
        <f t="shared" si="29"/>
        <v>0</v>
      </c>
      <c r="I153" s="43">
        <f t="shared" si="29"/>
        <v>0</v>
      </c>
    </row>
    <row r="154" spans="1:9" x14ac:dyDescent="0.2">
      <c r="A154" s="39">
        <f>A153+1</f>
        <v>4</v>
      </c>
      <c r="B154" s="42" t="s">
        <v>167</v>
      </c>
      <c r="C154" s="42"/>
      <c r="D154" s="43">
        <f t="shared" si="29"/>
        <v>0</v>
      </c>
      <c r="E154" s="43">
        <f t="shared" si="29"/>
        <v>0</v>
      </c>
      <c r="F154" s="43">
        <f t="shared" si="29"/>
        <v>0</v>
      </c>
      <c r="G154" s="43">
        <f t="shared" si="29"/>
        <v>0</v>
      </c>
      <c r="H154" s="43">
        <f t="shared" si="29"/>
        <v>0</v>
      </c>
      <c r="I154" s="43">
        <f t="shared" si="29"/>
        <v>0</v>
      </c>
    </row>
    <row r="155" spans="1:9" x14ac:dyDescent="0.2">
      <c r="A155" s="39">
        <f>A154+1</f>
        <v>5</v>
      </c>
      <c r="B155" s="39" t="s">
        <v>142</v>
      </c>
      <c r="D155" s="43">
        <f t="shared" si="29"/>
        <v>0</v>
      </c>
      <c r="E155" s="43">
        <f t="shared" si="29"/>
        <v>0</v>
      </c>
      <c r="F155" s="43">
        <f t="shared" si="29"/>
        <v>0</v>
      </c>
      <c r="G155" s="43">
        <f t="shared" si="29"/>
        <v>0</v>
      </c>
      <c r="H155" s="43">
        <f t="shared" si="29"/>
        <v>0</v>
      </c>
      <c r="I155" s="43">
        <f t="shared" si="29"/>
        <v>0</v>
      </c>
    </row>
    <row r="156" spans="1:9" x14ac:dyDescent="0.2">
      <c r="B156" s="42" t="s">
        <v>171</v>
      </c>
      <c r="D156" s="43"/>
      <c r="E156" s="43"/>
      <c r="F156" s="43"/>
      <c r="G156" s="43"/>
      <c r="H156" s="43"/>
      <c r="I156" s="43"/>
    </row>
    <row r="157" spans="1:9" x14ac:dyDescent="0.2">
      <c r="A157" s="39">
        <f>A155+1</f>
        <v>6</v>
      </c>
      <c r="C157" s="39" t="s">
        <v>143</v>
      </c>
      <c r="D157" s="43">
        <f t="shared" ref="D157:I168" si="30">D13-D85</f>
        <v>0</v>
      </c>
      <c r="E157" s="43">
        <f t="shared" si="30"/>
        <v>0</v>
      </c>
      <c r="F157" s="43">
        <f t="shared" si="30"/>
        <v>0</v>
      </c>
      <c r="G157" s="43">
        <f t="shared" si="30"/>
        <v>0</v>
      </c>
      <c r="H157" s="43">
        <f t="shared" si="30"/>
        <v>0</v>
      </c>
      <c r="I157" s="43">
        <f t="shared" si="30"/>
        <v>0</v>
      </c>
    </row>
    <row r="158" spans="1:9" x14ac:dyDescent="0.2">
      <c r="A158" s="39">
        <f t="shared" ref="A158:A168" si="31">A157+1</f>
        <v>7</v>
      </c>
      <c r="C158" s="39" t="s">
        <v>144</v>
      </c>
      <c r="D158" s="43">
        <f t="shared" si="30"/>
        <v>0</v>
      </c>
      <c r="E158" s="43">
        <f t="shared" si="30"/>
        <v>0</v>
      </c>
      <c r="F158" s="43">
        <f t="shared" si="30"/>
        <v>0</v>
      </c>
      <c r="G158" s="43">
        <f t="shared" si="30"/>
        <v>0</v>
      </c>
      <c r="H158" s="43">
        <f t="shared" si="30"/>
        <v>0</v>
      </c>
      <c r="I158" s="43">
        <f t="shared" si="30"/>
        <v>0</v>
      </c>
    </row>
    <row r="159" spans="1:9" x14ac:dyDescent="0.2">
      <c r="A159" s="39">
        <f t="shared" si="31"/>
        <v>8</v>
      </c>
      <c r="B159" s="42"/>
      <c r="C159" s="42" t="s">
        <v>170</v>
      </c>
      <c r="D159" s="43">
        <f t="shared" si="30"/>
        <v>0</v>
      </c>
      <c r="E159" s="43">
        <f t="shared" si="30"/>
        <v>0</v>
      </c>
      <c r="F159" s="43">
        <f t="shared" si="30"/>
        <v>0</v>
      </c>
      <c r="G159" s="43">
        <f t="shared" si="30"/>
        <v>0</v>
      </c>
      <c r="H159" s="43">
        <f t="shared" si="30"/>
        <v>0</v>
      </c>
      <c r="I159" s="43">
        <f t="shared" si="30"/>
        <v>0</v>
      </c>
    </row>
    <row r="160" spans="1:9" x14ac:dyDescent="0.2">
      <c r="A160" s="39">
        <f t="shared" si="31"/>
        <v>9</v>
      </c>
      <c r="B160" s="39" t="s">
        <v>145</v>
      </c>
      <c r="D160" s="43">
        <f t="shared" si="30"/>
        <v>0</v>
      </c>
      <c r="E160" s="43">
        <f t="shared" si="30"/>
        <v>0</v>
      </c>
      <c r="F160" s="43">
        <f t="shared" si="30"/>
        <v>0</v>
      </c>
      <c r="G160" s="43">
        <f t="shared" si="30"/>
        <v>0</v>
      </c>
      <c r="H160" s="43">
        <f t="shared" si="30"/>
        <v>0</v>
      </c>
      <c r="I160" s="43">
        <f t="shared" si="30"/>
        <v>0</v>
      </c>
    </row>
    <row r="161" spans="1:9" x14ac:dyDescent="0.2">
      <c r="A161" s="39">
        <f t="shared" si="31"/>
        <v>10</v>
      </c>
      <c r="B161" s="39" t="s">
        <v>146</v>
      </c>
      <c r="D161" s="43">
        <f t="shared" si="30"/>
        <v>0</v>
      </c>
      <c r="E161" s="43">
        <f t="shared" si="30"/>
        <v>0</v>
      </c>
      <c r="F161" s="43">
        <f t="shared" si="30"/>
        <v>0</v>
      </c>
      <c r="G161" s="43">
        <f t="shared" si="30"/>
        <v>0</v>
      </c>
      <c r="H161" s="43">
        <f t="shared" si="30"/>
        <v>0</v>
      </c>
      <c r="I161" s="43">
        <f t="shared" si="30"/>
        <v>0</v>
      </c>
    </row>
    <row r="162" spans="1:9" x14ac:dyDescent="0.2">
      <c r="A162" s="39">
        <f t="shared" si="31"/>
        <v>11</v>
      </c>
      <c r="B162" s="39" t="s">
        <v>148</v>
      </c>
      <c r="D162" s="43">
        <f t="shared" si="30"/>
        <v>0</v>
      </c>
      <c r="E162" s="43">
        <f t="shared" si="30"/>
        <v>0</v>
      </c>
      <c r="F162" s="43">
        <f t="shared" si="30"/>
        <v>0</v>
      </c>
      <c r="G162" s="43">
        <f t="shared" si="30"/>
        <v>0</v>
      </c>
      <c r="H162" s="43">
        <f t="shared" si="30"/>
        <v>0</v>
      </c>
      <c r="I162" s="43">
        <f t="shared" si="30"/>
        <v>0</v>
      </c>
    </row>
    <row r="163" spans="1:9" x14ac:dyDescent="0.2">
      <c r="A163" s="39">
        <f t="shared" si="31"/>
        <v>12</v>
      </c>
      <c r="B163" s="39" t="s">
        <v>244</v>
      </c>
      <c r="D163" s="43">
        <f t="shared" si="30"/>
        <v>0</v>
      </c>
      <c r="E163" s="43">
        <f t="shared" si="30"/>
        <v>0</v>
      </c>
      <c r="F163" s="43">
        <f t="shared" si="30"/>
        <v>0</v>
      </c>
      <c r="G163" s="43">
        <f t="shared" si="30"/>
        <v>0</v>
      </c>
      <c r="H163" s="43">
        <f t="shared" si="30"/>
        <v>0</v>
      </c>
      <c r="I163" s="43">
        <f t="shared" si="30"/>
        <v>0</v>
      </c>
    </row>
    <row r="164" spans="1:9" x14ac:dyDescent="0.2">
      <c r="A164" s="39">
        <f t="shared" si="31"/>
        <v>13</v>
      </c>
      <c r="B164" s="39" t="s">
        <v>147</v>
      </c>
      <c r="D164" s="43">
        <f t="shared" si="30"/>
        <v>0</v>
      </c>
      <c r="E164" s="43">
        <f t="shared" si="30"/>
        <v>0</v>
      </c>
      <c r="F164" s="43">
        <f t="shared" si="30"/>
        <v>0</v>
      </c>
      <c r="G164" s="43">
        <f t="shared" si="30"/>
        <v>0</v>
      </c>
      <c r="H164" s="43">
        <f t="shared" si="30"/>
        <v>0</v>
      </c>
      <c r="I164" s="43">
        <f t="shared" si="30"/>
        <v>0</v>
      </c>
    </row>
    <row r="165" spans="1:9" x14ac:dyDescent="0.2">
      <c r="A165" s="39">
        <f t="shared" si="31"/>
        <v>14</v>
      </c>
      <c r="B165" s="39" t="s">
        <v>149</v>
      </c>
      <c r="D165" s="43">
        <f t="shared" si="30"/>
        <v>0</v>
      </c>
      <c r="E165" s="43">
        <f t="shared" si="30"/>
        <v>0</v>
      </c>
      <c r="F165" s="43">
        <f t="shared" si="30"/>
        <v>0</v>
      </c>
      <c r="G165" s="43">
        <f t="shared" si="30"/>
        <v>0</v>
      </c>
      <c r="H165" s="43">
        <f t="shared" si="30"/>
        <v>0</v>
      </c>
      <c r="I165" s="43">
        <f t="shared" si="30"/>
        <v>0</v>
      </c>
    </row>
    <row r="166" spans="1:9" x14ac:dyDescent="0.2">
      <c r="A166" s="39">
        <f t="shared" si="31"/>
        <v>15</v>
      </c>
      <c r="B166" s="42" t="s">
        <v>173</v>
      </c>
      <c r="D166" s="43">
        <f t="shared" si="30"/>
        <v>0</v>
      </c>
      <c r="E166" s="43">
        <f t="shared" si="30"/>
        <v>0</v>
      </c>
      <c r="F166" s="43">
        <f t="shared" si="30"/>
        <v>0</v>
      </c>
      <c r="G166" s="43">
        <f t="shared" si="30"/>
        <v>0</v>
      </c>
      <c r="H166" s="43">
        <f t="shared" si="30"/>
        <v>0</v>
      </c>
      <c r="I166" s="43">
        <f t="shared" si="30"/>
        <v>0</v>
      </c>
    </row>
    <row r="167" spans="1:9" x14ac:dyDescent="0.2">
      <c r="A167" s="39">
        <f t="shared" si="31"/>
        <v>16</v>
      </c>
      <c r="B167" s="42" t="s">
        <v>168</v>
      </c>
      <c r="C167" s="42"/>
      <c r="D167" s="43">
        <f t="shared" si="30"/>
        <v>0</v>
      </c>
      <c r="E167" s="43">
        <f t="shared" si="30"/>
        <v>0</v>
      </c>
      <c r="F167" s="43">
        <f t="shared" si="30"/>
        <v>0</v>
      </c>
      <c r="G167" s="43">
        <f t="shared" si="30"/>
        <v>0</v>
      </c>
      <c r="H167" s="43">
        <f t="shared" si="30"/>
        <v>0</v>
      </c>
      <c r="I167" s="43">
        <f t="shared" si="30"/>
        <v>0</v>
      </c>
    </row>
    <row r="168" spans="1:9" x14ac:dyDescent="0.2">
      <c r="A168" s="39">
        <f t="shared" si="31"/>
        <v>17</v>
      </c>
      <c r="B168" s="39" t="s">
        <v>150</v>
      </c>
      <c r="D168" s="43">
        <f t="shared" si="30"/>
        <v>0</v>
      </c>
      <c r="E168" s="43">
        <f t="shared" si="30"/>
        <v>0</v>
      </c>
      <c r="F168" s="43">
        <f t="shared" si="30"/>
        <v>0</v>
      </c>
      <c r="G168" s="43">
        <f t="shared" si="30"/>
        <v>0</v>
      </c>
      <c r="H168" s="43">
        <f t="shared" si="30"/>
        <v>0</v>
      </c>
      <c r="I168" s="43">
        <f t="shared" si="30"/>
        <v>0</v>
      </c>
    </row>
    <row r="169" spans="1:9" x14ac:dyDescent="0.2">
      <c r="B169" s="42" t="s">
        <v>172</v>
      </c>
      <c r="D169" s="43"/>
      <c r="E169" s="43"/>
      <c r="F169" s="43"/>
      <c r="G169" s="43"/>
      <c r="H169" s="43"/>
      <c r="I169" s="43"/>
    </row>
    <row r="170" spans="1:9" x14ac:dyDescent="0.2">
      <c r="A170" s="39">
        <f>A168+1</f>
        <v>18</v>
      </c>
      <c r="B170" s="42"/>
      <c r="C170" s="42" t="s">
        <v>175</v>
      </c>
      <c r="D170" s="43">
        <f t="shared" ref="D170:I173" si="32">D26-D98</f>
        <v>0</v>
      </c>
      <c r="E170" s="43">
        <f t="shared" si="32"/>
        <v>0</v>
      </c>
      <c r="F170" s="43">
        <f t="shared" si="32"/>
        <v>0</v>
      </c>
      <c r="G170" s="43">
        <f t="shared" si="32"/>
        <v>0</v>
      </c>
      <c r="H170" s="43">
        <f t="shared" si="32"/>
        <v>0</v>
      </c>
      <c r="I170" s="43">
        <f t="shared" si="32"/>
        <v>0</v>
      </c>
    </row>
    <row r="171" spans="1:9" x14ac:dyDescent="0.2">
      <c r="A171" s="39">
        <f>A170+1</f>
        <v>19</v>
      </c>
      <c r="B171" s="42"/>
      <c r="C171" s="42" t="s">
        <v>182</v>
      </c>
      <c r="D171" s="43">
        <f t="shared" si="32"/>
        <v>0</v>
      </c>
      <c r="E171" s="43">
        <f t="shared" si="32"/>
        <v>0</v>
      </c>
      <c r="F171" s="43">
        <f t="shared" si="32"/>
        <v>0</v>
      </c>
      <c r="G171" s="43">
        <f t="shared" si="32"/>
        <v>0</v>
      </c>
      <c r="H171" s="43">
        <f t="shared" si="32"/>
        <v>0</v>
      </c>
      <c r="I171" s="43">
        <f t="shared" si="32"/>
        <v>0</v>
      </c>
    </row>
    <row r="172" spans="1:9" x14ac:dyDescent="0.2">
      <c r="A172" s="39">
        <f>A171+1</f>
        <v>20</v>
      </c>
      <c r="B172" s="42"/>
      <c r="C172" s="42" t="s">
        <v>201</v>
      </c>
      <c r="D172" s="43">
        <f t="shared" si="32"/>
        <v>0</v>
      </c>
      <c r="E172" s="43">
        <f t="shared" si="32"/>
        <v>0</v>
      </c>
      <c r="F172" s="43">
        <f t="shared" si="32"/>
        <v>0</v>
      </c>
      <c r="G172" s="43">
        <f t="shared" si="32"/>
        <v>0</v>
      </c>
      <c r="H172" s="43">
        <f t="shared" si="32"/>
        <v>0</v>
      </c>
      <c r="I172" s="43">
        <f t="shared" si="32"/>
        <v>0</v>
      </c>
    </row>
    <row r="173" spans="1:9" x14ac:dyDescent="0.2">
      <c r="A173" s="39">
        <f>A172+1</f>
        <v>21</v>
      </c>
      <c r="B173" s="42"/>
      <c r="C173" s="42" t="s">
        <v>183</v>
      </c>
      <c r="D173" s="43">
        <f t="shared" si="32"/>
        <v>0</v>
      </c>
      <c r="E173" s="43">
        <f t="shared" si="32"/>
        <v>0</v>
      </c>
      <c r="F173" s="43">
        <f t="shared" si="32"/>
        <v>0</v>
      </c>
      <c r="G173" s="43">
        <f t="shared" si="32"/>
        <v>0</v>
      </c>
      <c r="H173" s="43">
        <f t="shared" si="32"/>
        <v>0</v>
      </c>
      <c r="I173" s="43">
        <f t="shared" si="32"/>
        <v>0</v>
      </c>
    </row>
    <row r="174" spans="1:9" x14ac:dyDescent="0.2">
      <c r="A174" s="39">
        <f>A173+1</f>
        <v>22</v>
      </c>
      <c r="B174" s="42"/>
      <c r="C174" s="42" t="s">
        <v>251</v>
      </c>
      <c r="D174" s="43">
        <f t="shared" ref="D174:I174" si="33">D30-D102</f>
        <v>0</v>
      </c>
      <c r="E174" s="43">
        <f t="shared" si="33"/>
        <v>0</v>
      </c>
      <c r="F174" s="43">
        <f t="shared" si="33"/>
        <v>0</v>
      </c>
      <c r="G174" s="43">
        <f t="shared" si="33"/>
        <v>0</v>
      </c>
      <c r="H174" s="43">
        <f t="shared" si="33"/>
        <v>0</v>
      </c>
      <c r="I174" s="43">
        <f t="shared" si="33"/>
        <v>0</v>
      </c>
    </row>
    <row r="175" spans="1:9" x14ac:dyDescent="0.2">
      <c r="D175" s="41"/>
      <c r="E175" s="41"/>
      <c r="F175" s="41"/>
      <c r="G175" s="41"/>
      <c r="H175" s="41"/>
      <c r="I175" s="41"/>
    </row>
    <row r="176" spans="1:9" x14ac:dyDescent="0.2">
      <c r="A176" s="39">
        <f>A174+1</f>
        <v>23</v>
      </c>
      <c r="B176" s="42" t="s">
        <v>158</v>
      </c>
      <c r="D176" s="43">
        <f t="shared" ref="D176:I176" si="34">D32-D104</f>
        <v>0</v>
      </c>
      <c r="E176" s="43">
        <f t="shared" si="34"/>
        <v>0</v>
      </c>
      <c r="F176" s="43">
        <f t="shared" si="34"/>
        <v>0</v>
      </c>
      <c r="G176" s="43">
        <f t="shared" si="34"/>
        <v>0</v>
      </c>
      <c r="H176" s="43">
        <f t="shared" si="34"/>
        <v>0</v>
      </c>
      <c r="I176" s="43">
        <f t="shared" si="34"/>
        <v>0</v>
      </c>
    </row>
    <row r="177" spans="1:9" x14ac:dyDescent="0.2">
      <c r="D177" s="41"/>
      <c r="E177" s="41"/>
      <c r="F177" s="41"/>
      <c r="G177" s="41"/>
      <c r="H177" s="41"/>
      <c r="I177" s="41"/>
    </row>
    <row r="178" spans="1:9" x14ac:dyDescent="0.2">
      <c r="B178" s="42" t="s">
        <v>156</v>
      </c>
      <c r="C178" s="42"/>
      <c r="D178" s="41"/>
      <c r="E178" s="41"/>
      <c r="F178" s="41"/>
      <c r="G178" s="41"/>
      <c r="H178" s="41"/>
      <c r="I178" s="41"/>
    </row>
    <row r="179" spans="1:9" x14ac:dyDescent="0.2">
      <c r="A179" s="39">
        <f>A176+1</f>
        <v>24</v>
      </c>
      <c r="B179" s="39" t="s">
        <v>153</v>
      </c>
      <c r="D179" s="43">
        <f t="shared" ref="D179:I183" si="35">D35-D107</f>
        <v>0</v>
      </c>
      <c r="E179" s="43">
        <f t="shared" si="35"/>
        <v>0</v>
      </c>
      <c r="F179" s="43">
        <f t="shared" si="35"/>
        <v>0</v>
      </c>
      <c r="G179" s="43">
        <f t="shared" si="35"/>
        <v>0</v>
      </c>
      <c r="H179" s="43">
        <f t="shared" si="35"/>
        <v>0</v>
      </c>
      <c r="I179" s="43">
        <f t="shared" si="35"/>
        <v>0</v>
      </c>
    </row>
    <row r="180" spans="1:9" x14ac:dyDescent="0.2">
      <c r="A180" s="39">
        <f>A179+1</f>
        <v>25</v>
      </c>
      <c r="B180" s="39" t="s">
        <v>152</v>
      </c>
      <c r="D180" s="43">
        <f t="shared" si="35"/>
        <v>0</v>
      </c>
      <c r="E180" s="43">
        <f t="shared" si="35"/>
        <v>0</v>
      </c>
      <c r="F180" s="43">
        <f t="shared" si="35"/>
        <v>0</v>
      </c>
      <c r="G180" s="43">
        <f t="shared" si="35"/>
        <v>0</v>
      </c>
      <c r="H180" s="43">
        <f t="shared" si="35"/>
        <v>0</v>
      </c>
      <c r="I180" s="43">
        <f t="shared" si="35"/>
        <v>0</v>
      </c>
    </row>
    <row r="181" spans="1:9" x14ac:dyDescent="0.2">
      <c r="A181" s="39">
        <f>A180+1</f>
        <v>26</v>
      </c>
      <c r="B181" s="42" t="s">
        <v>174</v>
      </c>
      <c r="D181" s="43">
        <f t="shared" si="35"/>
        <v>0</v>
      </c>
      <c r="E181" s="43">
        <f t="shared" si="35"/>
        <v>0</v>
      </c>
      <c r="F181" s="43">
        <f t="shared" si="35"/>
        <v>0</v>
      </c>
      <c r="G181" s="43">
        <f t="shared" si="35"/>
        <v>0</v>
      </c>
      <c r="H181" s="43">
        <f t="shared" si="35"/>
        <v>0</v>
      </c>
      <c r="I181" s="43">
        <f t="shared" si="35"/>
        <v>0</v>
      </c>
    </row>
    <row r="182" spans="1:9" x14ac:dyDescent="0.2">
      <c r="A182" s="39">
        <f>A181+1</f>
        <v>27</v>
      </c>
      <c r="B182" s="42" t="s">
        <v>168</v>
      </c>
      <c r="C182" s="42"/>
      <c r="D182" s="43">
        <f t="shared" si="35"/>
        <v>0</v>
      </c>
      <c r="E182" s="43">
        <f t="shared" si="35"/>
        <v>0</v>
      </c>
      <c r="F182" s="43">
        <f t="shared" si="35"/>
        <v>0</v>
      </c>
      <c r="G182" s="43">
        <f t="shared" si="35"/>
        <v>0</v>
      </c>
      <c r="H182" s="43">
        <f t="shared" si="35"/>
        <v>0</v>
      </c>
      <c r="I182" s="43">
        <f t="shared" si="35"/>
        <v>0</v>
      </c>
    </row>
    <row r="183" spans="1:9" x14ac:dyDescent="0.2">
      <c r="A183" s="39">
        <f>A182+1</f>
        <v>28</v>
      </c>
      <c r="B183" s="39" t="s">
        <v>154</v>
      </c>
      <c r="D183" s="43">
        <f t="shared" si="35"/>
        <v>0</v>
      </c>
      <c r="E183" s="43">
        <f t="shared" si="35"/>
        <v>0</v>
      </c>
      <c r="F183" s="43">
        <f t="shared" si="35"/>
        <v>0</v>
      </c>
      <c r="G183" s="43">
        <f t="shared" si="35"/>
        <v>0</v>
      </c>
      <c r="H183" s="43">
        <f t="shared" si="35"/>
        <v>0</v>
      </c>
      <c r="I183" s="43">
        <f t="shared" si="35"/>
        <v>0</v>
      </c>
    </row>
    <row r="184" spans="1:9" x14ac:dyDescent="0.2">
      <c r="D184" s="41"/>
      <c r="E184" s="41"/>
      <c r="F184" s="41"/>
      <c r="G184" s="41"/>
      <c r="H184" s="41"/>
      <c r="I184" s="41"/>
    </row>
    <row r="185" spans="1:9" x14ac:dyDescent="0.2">
      <c r="A185" s="39">
        <f>A183+1</f>
        <v>29</v>
      </c>
      <c r="B185" s="42" t="s">
        <v>159</v>
      </c>
      <c r="C185" s="42"/>
      <c r="D185" s="43">
        <f t="shared" ref="D185:I185" si="36">D41-D113</f>
        <v>0</v>
      </c>
      <c r="E185" s="43">
        <f t="shared" si="36"/>
        <v>0</v>
      </c>
      <c r="F185" s="43">
        <f t="shared" si="36"/>
        <v>0</v>
      </c>
      <c r="G185" s="43">
        <f t="shared" si="36"/>
        <v>0</v>
      </c>
      <c r="H185" s="43">
        <f t="shared" si="36"/>
        <v>0</v>
      </c>
      <c r="I185" s="43">
        <f t="shared" si="36"/>
        <v>0</v>
      </c>
    </row>
    <row r="186" spans="1:9" x14ac:dyDescent="0.2">
      <c r="B186" s="42"/>
      <c r="C186" s="42"/>
      <c r="D186" s="41"/>
      <c r="E186" s="41"/>
      <c r="F186" s="41"/>
      <c r="G186" s="41"/>
      <c r="H186" s="41"/>
      <c r="I186" s="41"/>
    </row>
    <row r="187" spans="1:9" x14ac:dyDescent="0.2">
      <c r="B187" s="42" t="s">
        <v>157</v>
      </c>
      <c r="C187" s="42"/>
      <c r="D187" s="41"/>
      <c r="E187" s="41"/>
      <c r="F187" s="41"/>
      <c r="G187" s="41"/>
      <c r="H187" s="41"/>
      <c r="I187" s="41"/>
    </row>
    <row r="188" spans="1:9" x14ac:dyDescent="0.2">
      <c r="A188" s="39">
        <f>A185+1</f>
        <v>30</v>
      </c>
      <c r="B188" s="39" t="s">
        <v>141</v>
      </c>
      <c r="D188" s="43">
        <f t="shared" ref="D188:I188" si="37">D44-D116</f>
        <v>0</v>
      </c>
      <c r="E188" s="43">
        <f t="shared" si="37"/>
        <v>0</v>
      </c>
      <c r="F188" s="43">
        <f t="shared" si="37"/>
        <v>0</v>
      </c>
      <c r="G188" s="43">
        <f t="shared" si="37"/>
        <v>0</v>
      </c>
      <c r="H188" s="43">
        <f t="shared" si="37"/>
        <v>0</v>
      </c>
      <c r="I188" s="43">
        <f t="shared" si="37"/>
        <v>0</v>
      </c>
    </row>
    <row r="189" spans="1:9" x14ac:dyDescent="0.2">
      <c r="A189" s="39">
        <f>A188+1</f>
        <v>31</v>
      </c>
      <c r="B189" s="42" t="s">
        <v>299</v>
      </c>
      <c r="D189" s="43">
        <f t="shared" ref="D189:I191" si="38">D45-D117</f>
        <v>0</v>
      </c>
      <c r="E189" s="43">
        <f t="shared" si="38"/>
        <v>0</v>
      </c>
      <c r="F189" s="43">
        <f t="shared" si="38"/>
        <v>0</v>
      </c>
      <c r="G189" s="43">
        <f t="shared" si="38"/>
        <v>0</v>
      </c>
      <c r="H189" s="43">
        <f t="shared" si="38"/>
        <v>0</v>
      </c>
      <c r="I189" s="43">
        <f t="shared" si="38"/>
        <v>0</v>
      </c>
    </row>
    <row r="190" spans="1:9" x14ac:dyDescent="0.2">
      <c r="A190" s="39">
        <f>A189+1</f>
        <v>32</v>
      </c>
      <c r="B190" s="42" t="s">
        <v>167</v>
      </c>
      <c r="C190" s="42"/>
      <c r="D190" s="43">
        <f t="shared" si="38"/>
        <v>0</v>
      </c>
      <c r="E190" s="43">
        <f t="shared" si="38"/>
        <v>0</v>
      </c>
      <c r="F190" s="43">
        <f t="shared" si="38"/>
        <v>0</v>
      </c>
      <c r="G190" s="43">
        <f t="shared" si="38"/>
        <v>0</v>
      </c>
      <c r="H190" s="43">
        <f t="shared" si="38"/>
        <v>0</v>
      </c>
      <c r="I190" s="43">
        <f t="shared" si="38"/>
        <v>0</v>
      </c>
    </row>
    <row r="191" spans="1:9" x14ac:dyDescent="0.2">
      <c r="A191" s="39">
        <f>A190+1</f>
        <v>33</v>
      </c>
      <c r="B191" s="39" t="s">
        <v>142</v>
      </c>
      <c r="D191" s="43">
        <f t="shared" si="38"/>
        <v>0</v>
      </c>
      <c r="E191" s="43">
        <f t="shared" si="38"/>
        <v>0</v>
      </c>
      <c r="F191" s="43">
        <f t="shared" si="38"/>
        <v>0</v>
      </c>
      <c r="G191" s="43">
        <f t="shared" si="38"/>
        <v>0</v>
      </c>
      <c r="H191" s="43">
        <f t="shared" si="38"/>
        <v>0</v>
      </c>
      <c r="I191" s="43">
        <f t="shared" si="38"/>
        <v>0</v>
      </c>
    </row>
    <row r="192" spans="1:9" x14ac:dyDescent="0.2">
      <c r="B192" s="42" t="s">
        <v>171</v>
      </c>
      <c r="D192" s="43"/>
      <c r="E192" s="43"/>
      <c r="F192" s="43"/>
      <c r="G192" s="43"/>
      <c r="H192" s="43"/>
      <c r="I192" s="43"/>
    </row>
    <row r="193" spans="1:9" x14ac:dyDescent="0.2">
      <c r="A193" s="39">
        <f>A191+1</f>
        <v>34</v>
      </c>
      <c r="C193" s="39" t="s">
        <v>143</v>
      </c>
      <c r="D193" s="43">
        <f t="shared" ref="D193:I205" si="39">D49-D121</f>
        <v>0</v>
      </c>
      <c r="E193" s="43">
        <f t="shared" si="39"/>
        <v>0</v>
      </c>
      <c r="F193" s="43">
        <f t="shared" si="39"/>
        <v>0</v>
      </c>
      <c r="G193" s="43">
        <f t="shared" si="39"/>
        <v>0</v>
      </c>
      <c r="H193" s="43">
        <f t="shared" si="39"/>
        <v>0</v>
      </c>
      <c r="I193" s="43">
        <f t="shared" si="39"/>
        <v>0</v>
      </c>
    </row>
    <row r="194" spans="1:9" x14ac:dyDescent="0.2">
      <c r="A194" s="39">
        <f t="shared" ref="A194:A205" si="40">A193+1</f>
        <v>35</v>
      </c>
      <c r="C194" s="39" t="s">
        <v>144</v>
      </c>
      <c r="D194" s="43">
        <f t="shared" si="39"/>
        <v>0</v>
      </c>
      <c r="E194" s="43">
        <f t="shared" si="39"/>
        <v>0</v>
      </c>
      <c r="F194" s="43">
        <f t="shared" si="39"/>
        <v>0</v>
      </c>
      <c r="G194" s="43">
        <f t="shared" si="39"/>
        <v>0</v>
      </c>
      <c r="H194" s="43">
        <f t="shared" si="39"/>
        <v>0</v>
      </c>
      <c r="I194" s="43">
        <f t="shared" si="39"/>
        <v>0</v>
      </c>
    </row>
    <row r="195" spans="1:9" x14ac:dyDescent="0.2">
      <c r="A195" s="39">
        <f t="shared" si="40"/>
        <v>36</v>
      </c>
      <c r="B195" s="42"/>
      <c r="C195" s="42" t="s">
        <v>170</v>
      </c>
      <c r="D195" s="43">
        <f t="shared" si="39"/>
        <v>0</v>
      </c>
      <c r="E195" s="43">
        <f t="shared" si="39"/>
        <v>0</v>
      </c>
      <c r="F195" s="43">
        <f t="shared" si="39"/>
        <v>0</v>
      </c>
      <c r="G195" s="43">
        <f t="shared" si="39"/>
        <v>0</v>
      </c>
      <c r="H195" s="43">
        <f t="shared" si="39"/>
        <v>0</v>
      </c>
      <c r="I195" s="43">
        <f t="shared" si="39"/>
        <v>0</v>
      </c>
    </row>
    <row r="196" spans="1:9" x14ac:dyDescent="0.2">
      <c r="A196" s="39">
        <f t="shared" si="40"/>
        <v>37</v>
      </c>
      <c r="B196" s="39" t="s">
        <v>145</v>
      </c>
      <c r="D196" s="43">
        <f t="shared" si="39"/>
        <v>0</v>
      </c>
      <c r="E196" s="43">
        <f t="shared" si="39"/>
        <v>0</v>
      </c>
      <c r="F196" s="43">
        <f t="shared" si="39"/>
        <v>0</v>
      </c>
      <c r="G196" s="43">
        <f t="shared" si="39"/>
        <v>0</v>
      </c>
      <c r="H196" s="43">
        <f t="shared" si="39"/>
        <v>0</v>
      </c>
      <c r="I196" s="43">
        <f t="shared" si="39"/>
        <v>0</v>
      </c>
    </row>
    <row r="197" spans="1:9" x14ac:dyDescent="0.2">
      <c r="A197" s="39">
        <f t="shared" si="40"/>
        <v>38</v>
      </c>
      <c r="B197" s="39" t="s">
        <v>146</v>
      </c>
      <c r="D197" s="43">
        <f t="shared" si="39"/>
        <v>0</v>
      </c>
      <c r="E197" s="43">
        <f t="shared" si="39"/>
        <v>0</v>
      </c>
      <c r="F197" s="43">
        <f t="shared" si="39"/>
        <v>0</v>
      </c>
      <c r="G197" s="43">
        <f t="shared" si="39"/>
        <v>0</v>
      </c>
      <c r="H197" s="43">
        <f t="shared" si="39"/>
        <v>0</v>
      </c>
      <c r="I197" s="43">
        <f t="shared" si="39"/>
        <v>0</v>
      </c>
    </row>
    <row r="198" spans="1:9" x14ac:dyDescent="0.2">
      <c r="A198" s="39">
        <f t="shared" si="40"/>
        <v>39</v>
      </c>
      <c r="B198" s="39" t="s">
        <v>148</v>
      </c>
      <c r="D198" s="43">
        <f t="shared" si="39"/>
        <v>0</v>
      </c>
      <c r="E198" s="43">
        <f t="shared" si="39"/>
        <v>0</v>
      </c>
      <c r="F198" s="43">
        <f t="shared" si="39"/>
        <v>0</v>
      </c>
      <c r="G198" s="43">
        <f t="shared" si="39"/>
        <v>0</v>
      </c>
      <c r="H198" s="43">
        <f t="shared" si="39"/>
        <v>0</v>
      </c>
      <c r="I198" s="43">
        <f t="shared" si="39"/>
        <v>0</v>
      </c>
    </row>
    <row r="199" spans="1:9" x14ac:dyDescent="0.2">
      <c r="A199" s="39">
        <f t="shared" si="40"/>
        <v>40</v>
      </c>
      <c r="B199" s="39" t="s">
        <v>244</v>
      </c>
      <c r="D199" s="43">
        <f t="shared" si="39"/>
        <v>0</v>
      </c>
      <c r="E199" s="43">
        <f t="shared" si="39"/>
        <v>0</v>
      </c>
      <c r="F199" s="43">
        <f t="shared" si="39"/>
        <v>0</v>
      </c>
      <c r="G199" s="43">
        <f t="shared" si="39"/>
        <v>0</v>
      </c>
      <c r="H199" s="43">
        <f t="shared" si="39"/>
        <v>0</v>
      </c>
      <c r="I199" s="43">
        <f t="shared" si="39"/>
        <v>0</v>
      </c>
    </row>
    <row r="200" spans="1:9" x14ac:dyDescent="0.2">
      <c r="A200" s="39">
        <f t="shared" si="40"/>
        <v>41</v>
      </c>
      <c r="B200" s="39" t="s">
        <v>147</v>
      </c>
      <c r="D200" s="43">
        <f t="shared" si="39"/>
        <v>0</v>
      </c>
      <c r="E200" s="43">
        <f t="shared" si="39"/>
        <v>0</v>
      </c>
      <c r="F200" s="43">
        <f t="shared" si="39"/>
        <v>0</v>
      </c>
      <c r="G200" s="43">
        <f t="shared" si="39"/>
        <v>0</v>
      </c>
      <c r="H200" s="43">
        <f t="shared" si="39"/>
        <v>0</v>
      </c>
      <c r="I200" s="43">
        <f t="shared" si="39"/>
        <v>0</v>
      </c>
    </row>
    <row r="201" spans="1:9" x14ac:dyDescent="0.2">
      <c r="A201" s="39">
        <f t="shared" si="40"/>
        <v>42</v>
      </c>
      <c r="B201" s="39" t="s">
        <v>149</v>
      </c>
      <c r="D201" s="43">
        <f t="shared" si="39"/>
        <v>0</v>
      </c>
      <c r="E201" s="43">
        <f t="shared" si="39"/>
        <v>0</v>
      </c>
      <c r="F201" s="43">
        <f t="shared" si="39"/>
        <v>0</v>
      </c>
      <c r="G201" s="43">
        <f t="shared" si="39"/>
        <v>0</v>
      </c>
      <c r="H201" s="43">
        <f t="shared" si="39"/>
        <v>0</v>
      </c>
      <c r="I201" s="43">
        <f t="shared" si="39"/>
        <v>0</v>
      </c>
    </row>
    <row r="202" spans="1:9" x14ac:dyDescent="0.2">
      <c r="A202" s="39">
        <f t="shared" si="40"/>
        <v>43</v>
      </c>
      <c r="B202" s="42" t="s">
        <v>173</v>
      </c>
      <c r="D202" s="43">
        <f t="shared" si="39"/>
        <v>0</v>
      </c>
      <c r="E202" s="43">
        <f t="shared" si="39"/>
        <v>0</v>
      </c>
      <c r="F202" s="43">
        <f t="shared" si="39"/>
        <v>0</v>
      </c>
      <c r="G202" s="43">
        <f t="shared" si="39"/>
        <v>0</v>
      </c>
      <c r="H202" s="43">
        <f t="shared" si="39"/>
        <v>0</v>
      </c>
      <c r="I202" s="43">
        <f t="shared" si="39"/>
        <v>0</v>
      </c>
    </row>
    <row r="203" spans="1:9" x14ac:dyDescent="0.2">
      <c r="A203" s="39">
        <f t="shared" si="40"/>
        <v>44</v>
      </c>
      <c r="B203" s="42" t="s">
        <v>168</v>
      </c>
      <c r="C203" s="42"/>
      <c r="D203" s="43">
        <f t="shared" si="39"/>
        <v>0</v>
      </c>
      <c r="E203" s="43">
        <f t="shared" si="39"/>
        <v>0</v>
      </c>
      <c r="F203" s="43">
        <f t="shared" si="39"/>
        <v>0</v>
      </c>
      <c r="G203" s="43">
        <f t="shared" si="39"/>
        <v>0</v>
      </c>
      <c r="H203" s="43">
        <f t="shared" si="39"/>
        <v>0</v>
      </c>
      <c r="I203" s="43">
        <f t="shared" si="39"/>
        <v>0</v>
      </c>
    </row>
    <row r="204" spans="1:9" x14ac:dyDescent="0.2">
      <c r="A204" s="39">
        <f t="shared" si="40"/>
        <v>45</v>
      </c>
      <c r="B204" s="42" t="s">
        <v>163</v>
      </c>
      <c r="C204" s="42"/>
      <c r="D204" s="43">
        <f t="shared" si="39"/>
        <v>0</v>
      </c>
      <c r="E204" s="43">
        <f t="shared" si="39"/>
        <v>0</v>
      </c>
      <c r="F204" s="43">
        <f t="shared" si="39"/>
        <v>0</v>
      </c>
      <c r="G204" s="43">
        <f t="shared" si="39"/>
        <v>0</v>
      </c>
      <c r="H204" s="43">
        <f t="shared" si="39"/>
        <v>0</v>
      </c>
      <c r="I204" s="43">
        <f t="shared" si="39"/>
        <v>0</v>
      </c>
    </row>
    <row r="205" spans="1:9" x14ac:dyDescent="0.2">
      <c r="A205" s="39">
        <f t="shared" si="40"/>
        <v>46</v>
      </c>
      <c r="B205" s="39" t="s">
        <v>151</v>
      </c>
      <c r="D205" s="43">
        <f t="shared" si="39"/>
        <v>0</v>
      </c>
      <c r="E205" s="43">
        <f t="shared" si="39"/>
        <v>0</v>
      </c>
      <c r="F205" s="43">
        <f t="shared" si="39"/>
        <v>0</v>
      </c>
      <c r="G205" s="43">
        <f t="shared" si="39"/>
        <v>0</v>
      </c>
      <c r="H205" s="43">
        <f t="shared" si="39"/>
        <v>0</v>
      </c>
      <c r="I205" s="43">
        <f t="shared" si="39"/>
        <v>0</v>
      </c>
    </row>
    <row r="206" spans="1:9" x14ac:dyDescent="0.2">
      <c r="B206" s="42" t="s">
        <v>172</v>
      </c>
      <c r="D206" s="43"/>
      <c r="E206" s="43"/>
      <c r="F206" s="43"/>
      <c r="G206" s="43"/>
      <c r="H206" s="43"/>
      <c r="I206" s="43"/>
    </row>
    <row r="207" spans="1:9" x14ac:dyDescent="0.2">
      <c r="A207" s="39">
        <f>A205+1</f>
        <v>47</v>
      </c>
      <c r="B207" s="42"/>
      <c r="C207" s="42" t="s">
        <v>175</v>
      </c>
      <c r="D207" s="43">
        <f t="shared" ref="D207:I210" si="41">D63-D135</f>
        <v>0</v>
      </c>
      <c r="E207" s="43">
        <f t="shared" si="41"/>
        <v>0</v>
      </c>
      <c r="F207" s="43">
        <f t="shared" si="41"/>
        <v>0</v>
      </c>
      <c r="G207" s="43">
        <f t="shared" si="41"/>
        <v>0</v>
      </c>
      <c r="H207" s="43">
        <f t="shared" si="41"/>
        <v>0</v>
      </c>
      <c r="I207" s="43">
        <f t="shared" si="41"/>
        <v>0</v>
      </c>
    </row>
    <row r="208" spans="1:9" x14ac:dyDescent="0.2">
      <c r="A208" s="39">
        <f>A207+1</f>
        <v>48</v>
      </c>
      <c r="B208" s="42"/>
      <c r="C208" s="42" t="s">
        <v>182</v>
      </c>
      <c r="D208" s="43">
        <f t="shared" si="41"/>
        <v>0</v>
      </c>
      <c r="E208" s="43">
        <f t="shared" si="41"/>
        <v>0</v>
      </c>
      <c r="F208" s="43">
        <f t="shared" si="41"/>
        <v>0</v>
      </c>
      <c r="G208" s="43">
        <f t="shared" si="41"/>
        <v>0</v>
      </c>
      <c r="H208" s="43">
        <f t="shared" si="41"/>
        <v>0</v>
      </c>
      <c r="I208" s="43">
        <f t="shared" si="41"/>
        <v>0</v>
      </c>
    </row>
    <row r="209" spans="1:9" x14ac:dyDescent="0.2">
      <c r="A209" s="39">
        <f>A208+1</f>
        <v>49</v>
      </c>
      <c r="B209" s="42"/>
      <c r="C209" s="42" t="s">
        <v>201</v>
      </c>
      <c r="D209" s="43">
        <f t="shared" si="41"/>
        <v>0</v>
      </c>
      <c r="E209" s="43">
        <f t="shared" si="41"/>
        <v>0</v>
      </c>
      <c r="F209" s="43">
        <f t="shared" si="41"/>
        <v>0</v>
      </c>
      <c r="G209" s="43">
        <f t="shared" si="41"/>
        <v>0</v>
      </c>
      <c r="H209" s="43">
        <f t="shared" si="41"/>
        <v>0</v>
      </c>
      <c r="I209" s="43">
        <f t="shared" si="41"/>
        <v>0</v>
      </c>
    </row>
    <row r="210" spans="1:9" x14ac:dyDescent="0.2">
      <c r="A210" s="39">
        <f>A209+1</f>
        <v>50</v>
      </c>
      <c r="B210" s="42"/>
      <c r="C210" s="42" t="s">
        <v>183</v>
      </c>
      <c r="D210" s="43">
        <f t="shared" si="41"/>
        <v>0</v>
      </c>
      <c r="E210" s="43">
        <f t="shared" si="41"/>
        <v>0</v>
      </c>
      <c r="F210" s="43">
        <f t="shared" si="41"/>
        <v>0</v>
      </c>
      <c r="G210" s="43">
        <f t="shared" si="41"/>
        <v>0</v>
      </c>
      <c r="H210" s="43">
        <f t="shared" si="41"/>
        <v>0</v>
      </c>
      <c r="I210" s="43">
        <f t="shared" si="41"/>
        <v>0</v>
      </c>
    </row>
    <row r="211" spans="1:9" x14ac:dyDescent="0.2">
      <c r="A211" s="39">
        <f>A210+1</f>
        <v>51</v>
      </c>
      <c r="B211" s="42"/>
      <c r="C211" s="42" t="s">
        <v>251</v>
      </c>
      <c r="D211" s="43">
        <f t="shared" ref="D211:I211" si="42">D67-D139</f>
        <v>0</v>
      </c>
      <c r="E211" s="43">
        <f t="shared" si="42"/>
        <v>0</v>
      </c>
      <c r="F211" s="43">
        <f t="shared" si="42"/>
        <v>0</v>
      </c>
      <c r="G211" s="43">
        <f t="shared" si="42"/>
        <v>0</v>
      </c>
      <c r="H211" s="43">
        <f t="shared" si="42"/>
        <v>0</v>
      </c>
      <c r="I211" s="43">
        <f t="shared" si="42"/>
        <v>0</v>
      </c>
    </row>
    <row r="212" spans="1:9" x14ac:dyDescent="0.2">
      <c r="D212" s="41"/>
      <c r="E212" s="41"/>
      <c r="F212" s="41"/>
      <c r="G212" s="41"/>
      <c r="H212" s="41"/>
      <c r="I212" s="41"/>
    </row>
    <row r="213" spans="1:9" x14ac:dyDescent="0.2">
      <c r="A213" s="39">
        <f>A211+1</f>
        <v>52</v>
      </c>
      <c r="B213" s="42" t="s">
        <v>184</v>
      </c>
      <c r="C213" s="42"/>
      <c r="D213" s="43">
        <f t="shared" ref="D213:I214" si="43">D69-D141</f>
        <v>0</v>
      </c>
      <c r="E213" s="43">
        <f t="shared" si="43"/>
        <v>0</v>
      </c>
      <c r="F213" s="43">
        <f t="shared" si="43"/>
        <v>0</v>
      </c>
      <c r="G213" s="43">
        <f t="shared" si="43"/>
        <v>0</v>
      </c>
      <c r="H213" s="43">
        <f t="shared" si="43"/>
        <v>0</v>
      </c>
      <c r="I213" s="43">
        <f t="shared" si="43"/>
        <v>0</v>
      </c>
    </row>
    <row r="214" spans="1:9" x14ac:dyDescent="0.2">
      <c r="A214" s="39">
        <f>A213+1</f>
        <v>53</v>
      </c>
      <c r="B214" s="173" t="s">
        <v>397</v>
      </c>
      <c r="C214" s="42"/>
      <c r="D214" s="43">
        <f t="shared" si="43"/>
        <v>0</v>
      </c>
      <c r="E214" s="43">
        <f t="shared" si="43"/>
        <v>0</v>
      </c>
      <c r="F214" s="43">
        <f t="shared" si="43"/>
        <v>0</v>
      </c>
      <c r="G214" s="43">
        <f t="shared" si="43"/>
        <v>0</v>
      </c>
      <c r="H214" s="43">
        <f t="shared" si="43"/>
        <v>0</v>
      </c>
      <c r="I214" s="43">
        <f t="shared" si="43"/>
        <v>0</v>
      </c>
    </row>
    <row r="215" spans="1:9" x14ac:dyDescent="0.2">
      <c r="A215" s="39">
        <f>A214+1</f>
        <v>54</v>
      </c>
      <c r="B215" s="42" t="s">
        <v>303</v>
      </c>
      <c r="C215" s="42"/>
      <c r="D215" s="127" t="s">
        <v>302</v>
      </c>
      <c r="E215" s="127" t="s">
        <v>302</v>
      </c>
      <c r="F215" s="127" t="s">
        <v>302</v>
      </c>
      <c r="G215" s="127" t="s">
        <v>302</v>
      </c>
      <c r="H215" s="127" t="s">
        <v>302</v>
      </c>
      <c r="I215" s="127" t="s">
        <v>302</v>
      </c>
    </row>
    <row r="216" spans="1:9" x14ac:dyDescent="0.2">
      <c r="B216" s="42"/>
      <c r="C216" s="42"/>
      <c r="D216" s="43"/>
      <c r="E216" s="43"/>
      <c r="F216" s="43"/>
      <c r="G216" s="43"/>
      <c r="H216" s="43"/>
      <c r="I216" s="43"/>
    </row>
    <row r="217" spans="1:9" x14ac:dyDescent="0.2">
      <c r="A217" s="39">
        <f>A215+1</f>
        <v>55</v>
      </c>
      <c r="B217" s="42" t="s">
        <v>166</v>
      </c>
      <c r="C217" s="42"/>
      <c r="D217" s="43">
        <f t="shared" ref="D217:I217" si="44">D73-D145</f>
        <v>0</v>
      </c>
      <c r="E217" s="43">
        <f t="shared" si="44"/>
        <v>0</v>
      </c>
      <c r="F217" s="43">
        <f t="shared" si="44"/>
        <v>0</v>
      </c>
      <c r="G217" s="43">
        <f t="shared" si="44"/>
        <v>0</v>
      </c>
      <c r="H217" s="43">
        <f t="shared" si="44"/>
        <v>0</v>
      </c>
      <c r="I217" s="43">
        <f t="shared" si="44"/>
        <v>0</v>
      </c>
    </row>
  </sheetData>
  <phoneticPr fontId="1" type="noConversion"/>
  <printOptions horizontalCentered="1" gridLines="1"/>
  <pageMargins left="0.5" right="0.25" top="1" bottom="0.5" header="0.5" footer="0.25"/>
  <pageSetup scale="73" fitToHeight="3" orientation="portrait" horizontalDpi="300" verticalDpi="300" r:id="rId1"/>
  <headerFooter alignWithMargins="0">
    <oddHeader>&amp;L&amp;"Arial,Bold"DEPT of EDUCATION
Program Finance Div.&amp;C&amp;"Arial,Bold"&amp;A GENERAL EDUCATION
*** FEB 2011 VS. NOV 2010 ***&amp;R&amp;"Arial,Bold"&amp;D
&amp;T</oddHeader>
    <oddFooter>&amp;L&amp;"Arial,Regular"&amp;F&amp;R&amp;"Arial,Regular"&amp;A</oddFooter>
  </headerFooter>
  <rowBreaks count="2" manualBreakCount="2">
    <brk id="74" max="9" man="1"/>
    <brk id="146" max="9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217"/>
  <sheetViews>
    <sheetView zoomScaleNormal="100" zoomScaleSheetLayoutView="85" workbookViewId="0">
      <pane xSplit="3" ySplit="4" topLeftCell="D44" activePane="bottomRight" state="frozen"/>
      <selection activeCell="C16" sqref="C16"/>
      <selection pane="topRight" activeCell="C16" sqref="C16"/>
      <selection pane="bottomLeft" activeCell="C16" sqref="C16"/>
      <selection pane="bottomRight" activeCell="G46" sqref="G46"/>
    </sheetView>
  </sheetViews>
  <sheetFormatPr defaultColWidth="8" defaultRowHeight="12.75" x14ac:dyDescent="0.2"/>
  <cols>
    <col min="1" max="1" width="4.125" style="39" customWidth="1"/>
    <col min="2" max="2" width="2.25" style="39" customWidth="1"/>
    <col min="3" max="3" width="28.625" style="39" customWidth="1"/>
    <col min="4" max="10" width="13.625" style="39" customWidth="1"/>
    <col min="11" max="11" width="12.125" style="39" customWidth="1"/>
    <col min="12" max="12" width="11.625" style="39" customWidth="1"/>
    <col min="13" max="16384" width="8" style="39"/>
  </cols>
  <sheetData>
    <row r="1" spans="1:10" x14ac:dyDescent="0.2">
      <c r="A1" s="173" t="s">
        <v>443</v>
      </c>
      <c r="D1" s="41"/>
      <c r="E1" s="41"/>
      <c r="G1" s="41"/>
      <c r="H1" s="41"/>
      <c r="I1" s="41"/>
    </row>
    <row r="3" spans="1:10" x14ac:dyDescent="0.2">
      <c r="A3" s="118" t="s">
        <v>438</v>
      </c>
      <c r="B3" s="118"/>
      <c r="C3" s="119"/>
      <c r="D3" s="120" t="s">
        <v>176</v>
      </c>
      <c r="E3" s="120" t="s">
        <v>181</v>
      </c>
      <c r="F3" s="120" t="s">
        <v>177</v>
      </c>
      <c r="G3" s="120" t="s">
        <v>178</v>
      </c>
      <c r="H3" s="120" t="s">
        <v>179</v>
      </c>
      <c r="I3" s="120" t="s">
        <v>370</v>
      </c>
      <c r="J3" s="120" t="s">
        <v>180</v>
      </c>
    </row>
    <row r="5" spans="1:10" x14ac:dyDescent="0.2">
      <c r="A5" s="39">
        <v>1</v>
      </c>
      <c r="B5" s="39" t="s">
        <v>140</v>
      </c>
      <c r="D5" s="41">
        <f>'Pupil Data'!C43</f>
        <v>907892</v>
      </c>
      <c r="E5" s="41">
        <v>0</v>
      </c>
      <c r="F5" s="41">
        <f>'Pupil Data'!D43</f>
        <v>0</v>
      </c>
      <c r="G5" s="41">
        <f>'Pupil Data'!E43</f>
        <v>39318</v>
      </c>
      <c r="H5" s="41">
        <f>'Pupil Data'!F43</f>
        <v>0</v>
      </c>
      <c r="I5" s="41">
        <v>0</v>
      </c>
      <c r="J5" s="41">
        <f>SUM(D5:I5)</f>
        <v>947210</v>
      </c>
    </row>
    <row r="6" spans="1:10" x14ac:dyDescent="0.2">
      <c r="D6" s="41"/>
      <c r="G6" s="41"/>
    </row>
    <row r="7" spans="1:10" x14ac:dyDescent="0.2">
      <c r="B7" s="42" t="s">
        <v>155</v>
      </c>
      <c r="D7" s="40"/>
      <c r="E7" s="40"/>
      <c r="F7" s="40"/>
      <c r="G7" s="40"/>
      <c r="H7" s="40"/>
      <c r="I7" s="40"/>
      <c r="J7" s="40"/>
    </row>
    <row r="8" spans="1:10" x14ac:dyDescent="0.2">
      <c r="A8" s="39">
        <f>A5+1</f>
        <v>2</v>
      </c>
      <c r="B8" s="39" t="s">
        <v>141</v>
      </c>
      <c r="D8" s="41">
        <v>4651867979</v>
      </c>
      <c r="E8" s="41">
        <v>250000</v>
      </c>
      <c r="F8" s="194">
        <f>ROUND(5124*F$5,0)</f>
        <v>0</v>
      </c>
      <c r="G8" s="41">
        <v>201376941</v>
      </c>
      <c r="H8" s="41">
        <v>0</v>
      </c>
      <c r="I8" s="41">
        <v>0</v>
      </c>
      <c r="J8" s="41">
        <f>SUM(D8:I8)</f>
        <v>4853494920</v>
      </c>
    </row>
    <row r="9" spans="1:10" x14ac:dyDescent="0.2">
      <c r="A9" s="39">
        <f>A8+1</f>
        <v>3</v>
      </c>
      <c r="B9" s="42" t="s">
        <v>167</v>
      </c>
      <c r="C9" s="42"/>
      <c r="D9" s="41">
        <v>10894304</v>
      </c>
      <c r="E9" s="41">
        <v>0</v>
      </c>
      <c r="F9" s="194">
        <f>ROUND(12*F$5,0)</f>
        <v>0</v>
      </c>
      <c r="G9" s="41">
        <v>471609</v>
      </c>
      <c r="H9" s="41">
        <v>0</v>
      </c>
      <c r="I9" s="41">
        <v>0</v>
      </c>
      <c r="J9" s="41">
        <f>SUM(D9:I9)</f>
        <v>11365913</v>
      </c>
    </row>
    <row r="10" spans="1:10" x14ac:dyDescent="0.2">
      <c r="A10" s="39">
        <f>A9+1</f>
        <v>4</v>
      </c>
      <c r="B10" s="39" t="s">
        <v>142</v>
      </c>
      <c r="D10" s="41">
        <v>62400188</v>
      </c>
      <c r="E10" s="41">
        <v>0</v>
      </c>
      <c r="F10" s="194">
        <f>ROUND(4601*'Pupil Data'!D129,0)</f>
        <v>0</v>
      </c>
      <c r="G10" s="41">
        <v>2165185</v>
      </c>
      <c r="H10" s="41">
        <v>0</v>
      </c>
      <c r="I10" s="41">
        <v>0</v>
      </c>
      <c r="J10" s="41">
        <f>SUM(D10:I10)</f>
        <v>64565373</v>
      </c>
    </row>
    <row r="11" spans="1:10" x14ac:dyDescent="0.2">
      <c r="B11" s="42" t="s">
        <v>171</v>
      </c>
      <c r="D11" s="41"/>
      <c r="E11" s="41"/>
      <c r="F11" s="41"/>
      <c r="G11" s="41"/>
      <c r="H11" s="41"/>
      <c r="I11" s="41"/>
      <c r="J11" s="41"/>
    </row>
    <row r="12" spans="1:10" x14ac:dyDescent="0.2">
      <c r="A12" s="39">
        <f>A10+1</f>
        <v>5</v>
      </c>
      <c r="C12" s="39" t="s">
        <v>143</v>
      </c>
      <c r="D12" s="41">
        <v>317455681</v>
      </c>
      <c r="E12" s="41">
        <v>0</v>
      </c>
      <c r="F12" s="41">
        <v>0</v>
      </c>
      <c r="G12" s="41">
        <v>39260859</v>
      </c>
      <c r="H12" s="41">
        <v>0</v>
      </c>
      <c r="I12" s="41">
        <v>4440728</v>
      </c>
      <c r="J12" s="41">
        <f t="shared" ref="J12:J23" si="0">SUM(D12:I12)</f>
        <v>361157268</v>
      </c>
    </row>
    <row r="13" spans="1:10" x14ac:dyDescent="0.2">
      <c r="A13" s="39">
        <f t="shared" ref="A13:A24" si="1">A12+1</f>
        <v>6</v>
      </c>
      <c r="C13" s="39" t="s">
        <v>144</v>
      </c>
      <c r="D13" s="41">
        <v>27736688</v>
      </c>
      <c r="E13" s="41">
        <v>0</v>
      </c>
      <c r="F13" s="194">
        <f>ROUND(700*'Pupil Data'!D158,0)</f>
        <v>0</v>
      </c>
      <c r="G13" s="41">
        <v>4071249</v>
      </c>
      <c r="H13" s="41">
        <v>0</v>
      </c>
      <c r="I13" s="41">
        <v>0</v>
      </c>
      <c r="J13" s="41">
        <f t="shared" si="0"/>
        <v>31807937</v>
      </c>
    </row>
    <row r="14" spans="1:10" x14ac:dyDescent="0.2">
      <c r="A14" s="39">
        <f t="shared" si="1"/>
        <v>7</v>
      </c>
      <c r="B14" s="42"/>
      <c r="C14" s="42" t="s">
        <v>170</v>
      </c>
      <c r="D14" s="41">
        <v>6939328</v>
      </c>
      <c r="E14" s="41">
        <v>0</v>
      </c>
      <c r="F14" s="194">
        <f>ROUND(D14/'Pupil Data'!C144*'Pupil Data'!D144,0)</f>
        <v>0</v>
      </c>
      <c r="G14" s="41">
        <v>1318948</v>
      </c>
      <c r="H14" s="41">
        <v>0</v>
      </c>
      <c r="I14" s="41">
        <v>0</v>
      </c>
      <c r="J14" s="41">
        <f t="shared" si="0"/>
        <v>8258276</v>
      </c>
    </row>
    <row r="15" spans="1:10" x14ac:dyDescent="0.2">
      <c r="A15" s="39">
        <f t="shared" si="1"/>
        <v>8</v>
      </c>
      <c r="B15" s="39" t="s">
        <v>145</v>
      </c>
      <c r="D15" s="41">
        <v>22399123</v>
      </c>
      <c r="E15" s="41">
        <v>0</v>
      </c>
      <c r="F15" s="194">
        <f>ROUND(D15/D$5*F$5,0)</f>
        <v>0</v>
      </c>
      <c r="G15" s="41">
        <v>969510</v>
      </c>
      <c r="H15" s="41">
        <v>0</v>
      </c>
      <c r="I15" s="41">
        <v>0</v>
      </c>
      <c r="J15" s="41">
        <f t="shared" si="0"/>
        <v>23368633</v>
      </c>
    </row>
    <row r="16" spans="1:10" x14ac:dyDescent="0.2">
      <c r="A16" s="39">
        <f t="shared" si="1"/>
        <v>9</v>
      </c>
      <c r="B16" s="39" t="s">
        <v>146</v>
      </c>
      <c r="D16" s="41">
        <v>58837784</v>
      </c>
      <c r="E16" s="41">
        <v>0</v>
      </c>
      <c r="F16" s="194">
        <f>ROUND(D16/D$5*F$5,0)</f>
        <v>0</v>
      </c>
      <c r="G16" s="41">
        <v>995445</v>
      </c>
      <c r="H16" s="41">
        <v>0</v>
      </c>
      <c r="I16" s="41">
        <v>0</v>
      </c>
      <c r="J16" s="41">
        <f t="shared" si="0"/>
        <v>59833229</v>
      </c>
    </row>
    <row r="17" spans="1:12" x14ac:dyDescent="0.2">
      <c r="A17" s="39">
        <f t="shared" si="1"/>
        <v>10</v>
      </c>
      <c r="B17" s="39" t="s">
        <v>148</v>
      </c>
      <c r="D17" s="41">
        <v>647946</v>
      </c>
      <c r="E17" s="41">
        <v>0</v>
      </c>
      <c r="F17" s="194">
        <f>ROUND(D17/D$5*F$5,0)</f>
        <v>0</v>
      </c>
      <c r="G17" s="41">
        <v>27904</v>
      </c>
      <c r="H17" s="41">
        <v>0</v>
      </c>
      <c r="I17" s="41">
        <v>0</v>
      </c>
      <c r="J17" s="41">
        <f t="shared" si="0"/>
        <v>675850</v>
      </c>
    </row>
    <row r="18" spans="1:12" x14ac:dyDescent="0.2">
      <c r="A18" s="39">
        <f t="shared" si="1"/>
        <v>11</v>
      </c>
      <c r="B18" s="39" t="s">
        <v>244</v>
      </c>
      <c r="D18" s="41">
        <v>-2431656</v>
      </c>
      <c r="E18" s="41">
        <v>0</v>
      </c>
      <c r="F18" s="41">
        <v>0</v>
      </c>
      <c r="G18" s="41">
        <v>0</v>
      </c>
      <c r="H18" s="41">
        <v>0</v>
      </c>
      <c r="I18" s="41">
        <v>-75414</v>
      </c>
      <c r="J18" s="41">
        <f t="shared" si="0"/>
        <v>-2507070</v>
      </c>
    </row>
    <row r="19" spans="1:12" x14ac:dyDescent="0.2">
      <c r="A19" s="39">
        <f t="shared" si="1"/>
        <v>12</v>
      </c>
      <c r="B19" s="42" t="s">
        <v>360</v>
      </c>
      <c r="D19" s="41">
        <v>-481807468</v>
      </c>
      <c r="E19" s="41">
        <f>K19-D19-G19</f>
        <v>0</v>
      </c>
      <c r="F19" s="41">
        <v>0</v>
      </c>
      <c r="G19" s="41">
        <v>-18192532</v>
      </c>
      <c r="H19" s="41">
        <v>0</v>
      </c>
      <c r="I19" s="41">
        <v>0</v>
      </c>
      <c r="J19" s="41">
        <f>SUM(D19:I19)</f>
        <v>-500000000</v>
      </c>
      <c r="K19" s="41">
        <v>-500000000</v>
      </c>
    </row>
    <row r="20" spans="1:12" x14ac:dyDescent="0.2">
      <c r="A20" s="39">
        <f t="shared" si="1"/>
        <v>13</v>
      </c>
      <c r="B20" s="39" t="s">
        <v>147</v>
      </c>
      <c r="D20" s="41">
        <v>186340950</v>
      </c>
      <c r="E20" s="41">
        <v>0</v>
      </c>
      <c r="F20" s="194">
        <f>ROUND(D20/D$5*F$5,0)</f>
        <v>0</v>
      </c>
      <c r="G20" s="41">
        <v>8068810</v>
      </c>
      <c r="H20" s="41">
        <v>0</v>
      </c>
      <c r="I20" s="41">
        <v>0</v>
      </c>
      <c r="J20" s="41">
        <f t="shared" si="0"/>
        <v>194409760</v>
      </c>
    </row>
    <row r="21" spans="1:12" x14ac:dyDescent="0.2">
      <c r="A21" s="39">
        <f t="shared" si="1"/>
        <v>14</v>
      </c>
      <c r="B21" s="39" t="s">
        <v>149</v>
      </c>
      <c r="D21" s="41">
        <v>88679849</v>
      </c>
      <c r="E21" s="41">
        <v>0</v>
      </c>
      <c r="F21" s="194">
        <f>ROUND(D21/D$5*F$5,0)</f>
        <v>0</v>
      </c>
      <c r="G21" s="41">
        <v>3838921</v>
      </c>
      <c r="H21" s="41">
        <v>0</v>
      </c>
      <c r="I21" s="41">
        <v>0</v>
      </c>
      <c r="J21" s="41">
        <f t="shared" si="0"/>
        <v>92518770</v>
      </c>
    </row>
    <row r="22" spans="1:12" x14ac:dyDescent="0.2">
      <c r="A22" s="39">
        <f t="shared" si="1"/>
        <v>15</v>
      </c>
      <c r="B22" s="42" t="s">
        <v>173</v>
      </c>
      <c r="D22" s="41">
        <v>27980279</v>
      </c>
      <c r="E22" s="41">
        <v>0</v>
      </c>
      <c r="F22" s="194">
        <f>ROUND(D22/D$5*F$5,0)</f>
        <v>0</v>
      </c>
      <c r="G22" s="41">
        <v>1472870</v>
      </c>
      <c r="H22" s="41">
        <v>0</v>
      </c>
      <c r="I22" s="41">
        <v>0</v>
      </c>
      <c r="J22" s="41">
        <f t="shared" si="0"/>
        <v>29453149</v>
      </c>
    </row>
    <row r="23" spans="1:12" x14ac:dyDescent="0.2">
      <c r="A23" s="39">
        <f t="shared" si="1"/>
        <v>16</v>
      </c>
      <c r="B23" s="42" t="s">
        <v>168</v>
      </c>
      <c r="C23" s="42"/>
      <c r="D23" s="41">
        <v>55299464</v>
      </c>
      <c r="E23" s="41">
        <v>0</v>
      </c>
      <c r="F23" s="41">
        <v>0</v>
      </c>
      <c r="G23" s="41">
        <v>2992056</v>
      </c>
      <c r="H23" s="41">
        <v>0</v>
      </c>
      <c r="I23" s="41">
        <v>0</v>
      </c>
      <c r="J23" s="41">
        <f t="shared" si="0"/>
        <v>58291520</v>
      </c>
      <c r="K23" s="148"/>
      <c r="L23" s="41"/>
    </row>
    <row r="24" spans="1:12" x14ac:dyDescent="0.2">
      <c r="A24" s="39">
        <f t="shared" si="1"/>
        <v>17</v>
      </c>
      <c r="B24" s="39" t="s">
        <v>150</v>
      </c>
      <c r="D24" s="41">
        <v>781675140</v>
      </c>
      <c r="E24" s="41">
        <v>0</v>
      </c>
      <c r="F24" s="194">
        <v>0</v>
      </c>
      <c r="G24" s="41">
        <v>0</v>
      </c>
      <c r="H24" s="41">
        <v>0</v>
      </c>
      <c r="I24" s="41">
        <v>0</v>
      </c>
      <c r="J24" s="41">
        <f>SUM(D24:I24)</f>
        <v>781675140</v>
      </c>
      <c r="K24" s="41"/>
    </row>
    <row r="25" spans="1:12" x14ac:dyDescent="0.2">
      <c r="B25" s="42" t="s">
        <v>172</v>
      </c>
      <c r="D25" s="41"/>
      <c r="E25" s="41"/>
      <c r="F25" s="41"/>
      <c r="G25" s="41"/>
      <c r="H25" s="41"/>
      <c r="I25" s="41"/>
      <c r="J25" s="41"/>
    </row>
    <row r="26" spans="1:12" x14ac:dyDescent="0.2">
      <c r="A26" s="39">
        <f>A24+1</f>
        <v>18</v>
      </c>
      <c r="B26" s="42"/>
      <c r="C26" s="42" t="s">
        <v>175</v>
      </c>
      <c r="D26" s="41">
        <v>-650976</v>
      </c>
      <c r="E26" s="41">
        <v>0</v>
      </c>
      <c r="F26" s="41">
        <v>0</v>
      </c>
      <c r="G26" s="41">
        <v>1258324</v>
      </c>
      <c r="H26" s="41">
        <v>0</v>
      </c>
      <c r="I26" s="41">
        <v>0</v>
      </c>
      <c r="J26" s="41">
        <f>SUM(D26:I26)</f>
        <v>607348</v>
      </c>
    </row>
    <row r="27" spans="1:12" x14ac:dyDescent="0.2">
      <c r="A27" s="39">
        <f>A26+1</f>
        <v>19</v>
      </c>
      <c r="B27" s="42"/>
      <c r="C27" s="42" t="s">
        <v>182</v>
      </c>
      <c r="D27" s="41">
        <v>2115757</v>
      </c>
      <c r="E27" s="41">
        <v>0</v>
      </c>
      <c r="F27" s="41">
        <v>0</v>
      </c>
      <c r="G27" s="41">
        <v>-2115757</v>
      </c>
      <c r="H27" s="41">
        <v>0</v>
      </c>
      <c r="I27" s="41">
        <v>0</v>
      </c>
      <c r="J27" s="41">
        <f>SUM(D27:I27)</f>
        <v>0</v>
      </c>
    </row>
    <row r="28" spans="1:12" x14ac:dyDescent="0.2">
      <c r="A28" s="39">
        <f>A27+1</f>
        <v>20</v>
      </c>
      <c r="B28" s="42"/>
      <c r="C28" s="42" t="s">
        <v>201</v>
      </c>
      <c r="D28" s="41">
        <v>3867</v>
      </c>
      <c r="E28" s="41">
        <v>0</v>
      </c>
      <c r="F28" s="41">
        <v>0</v>
      </c>
      <c r="G28" s="41">
        <v>-3867</v>
      </c>
      <c r="H28" s="41">
        <v>0</v>
      </c>
      <c r="I28" s="41">
        <v>0</v>
      </c>
      <c r="J28" s="41">
        <f>SUM(D28:I28)</f>
        <v>0</v>
      </c>
    </row>
    <row r="29" spans="1:12" x14ac:dyDescent="0.2">
      <c r="A29" s="39">
        <f>A28+1</f>
        <v>21</v>
      </c>
      <c r="B29" s="42"/>
      <c r="C29" s="42" t="s">
        <v>183</v>
      </c>
      <c r="D29" s="41">
        <v>547464</v>
      </c>
      <c r="E29" s="41">
        <v>0</v>
      </c>
      <c r="F29" s="41">
        <v>0</v>
      </c>
      <c r="G29" s="41">
        <v>-547460</v>
      </c>
      <c r="H29" s="41">
        <v>0</v>
      </c>
      <c r="I29" s="41">
        <v>0</v>
      </c>
      <c r="J29" s="41">
        <f>SUM(D29:I29)</f>
        <v>4</v>
      </c>
    </row>
    <row r="30" spans="1:12" x14ac:dyDescent="0.2">
      <c r="A30" s="39">
        <f>A29+1</f>
        <v>22</v>
      </c>
      <c r="B30" s="42"/>
      <c r="C30" s="42" t="s">
        <v>251</v>
      </c>
      <c r="D30" s="41">
        <v>-449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f>SUM(D30:I30)</f>
        <v>-449</v>
      </c>
    </row>
    <row r="31" spans="1:12" x14ac:dyDescent="0.2">
      <c r="C31" s="41"/>
      <c r="D31" s="41"/>
      <c r="E31" s="41"/>
      <c r="F31" s="41"/>
      <c r="G31" s="41"/>
      <c r="H31" s="41"/>
      <c r="I31" s="41"/>
      <c r="J31" s="41"/>
    </row>
    <row r="32" spans="1:12" x14ac:dyDescent="0.2">
      <c r="A32" s="39">
        <f>A30+1</f>
        <v>23</v>
      </c>
      <c r="B32" s="42" t="s">
        <v>158</v>
      </c>
      <c r="D32" s="41">
        <f>SUM(D8:D30)</f>
        <v>5816931242</v>
      </c>
      <c r="E32" s="41">
        <f t="shared" ref="E32:J32" si="2">SUM(E8:E30)</f>
        <v>250000</v>
      </c>
      <c r="F32" s="41">
        <f t="shared" si="2"/>
        <v>0</v>
      </c>
      <c r="G32" s="41">
        <f>SUM(G8:G30)</f>
        <v>247429015</v>
      </c>
      <c r="H32" s="41">
        <f>SUM(H8:H30)</f>
        <v>0</v>
      </c>
      <c r="I32" s="41">
        <f t="shared" si="2"/>
        <v>4365314</v>
      </c>
      <c r="J32" s="41">
        <f t="shared" si="2"/>
        <v>6068975571</v>
      </c>
      <c r="K32" s="43"/>
    </row>
    <row r="33" spans="1:12" x14ac:dyDescent="0.2">
      <c r="C33" s="42"/>
      <c r="D33" s="41"/>
      <c r="E33" s="41"/>
      <c r="F33" s="41"/>
      <c r="G33" s="41"/>
      <c r="H33" s="41"/>
      <c r="I33" s="41"/>
      <c r="J33" s="41"/>
      <c r="K33" s="43"/>
    </row>
    <row r="34" spans="1:12" x14ac:dyDescent="0.2">
      <c r="B34" s="42" t="s">
        <v>156</v>
      </c>
      <c r="C34" s="42"/>
      <c r="D34" s="41"/>
      <c r="E34" s="41">
        <f>K34-D34</f>
        <v>0</v>
      </c>
      <c r="F34" s="41"/>
      <c r="G34" s="41"/>
      <c r="H34" s="41"/>
      <c r="I34" s="41"/>
      <c r="J34" s="41"/>
    </row>
    <row r="35" spans="1:12" x14ac:dyDescent="0.2">
      <c r="A35" s="39">
        <f>A32+1</f>
        <v>24</v>
      </c>
      <c r="B35" s="39" t="s">
        <v>153</v>
      </c>
      <c r="D35" s="41">
        <v>124276595</v>
      </c>
      <c r="E35" s="41">
        <v>0</v>
      </c>
      <c r="F35" s="194">
        <f>ROUND(D35/D20*F20,0)</f>
        <v>0</v>
      </c>
      <c r="G35" s="41">
        <v>0</v>
      </c>
      <c r="H35" s="41">
        <v>0</v>
      </c>
      <c r="I35" s="41">
        <v>0</v>
      </c>
      <c r="J35" s="41">
        <f>SUM(D35:I35)</f>
        <v>124276595</v>
      </c>
      <c r="L35" s="40">
        <f>ROUND((D35+F35)/1000,1)</f>
        <v>124276.6</v>
      </c>
    </row>
    <row r="36" spans="1:12" x14ac:dyDescent="0.2">
      <c r="A36" s="39">
        <f>A35+1</f>
        <v>25</v>
      </c>
      <c r="B36" s="39" t="s">
        <v>152</v>
      </c>
      <c r="D36" s="41">
        <v>75798743</v>
      </c>
      <c r="E36" s="41">
        <v>0</v>
      </c>
      <c r="F36" s="194">
        <f>ROUND(D36/D21*F21,0)</f>
        <v>0</v>
      </c>
      <c r="G36" s="41">
        <v>0</v>
      </c>
      <c r="H36" s="41">
        <v>0</v>
      </c>
      <c r="I36" s="41">
        <v>0</v>
      </c>
      <c r="J36" s="41">
        <f>SUM(D36:I36)</f>
        <v>75798743</v>
      </c>
      <c r="L36" s="40">
        <f>ROUND((D36+F36)/1000,1)</f>
        <v>75798.7</v>
      </c>
    </row>
    <row r="37" spans="1:12" x14ac:dyDescent="0.2">
      <c r="A37" s="39">
        <f>A36+1</f>
        <v>26</v>
      </c>
      <c r="B37" s="42" t="s">
        <v>174</v>
      </c>
      <c r="D37" s="41">
        <v>25195534</v>
      </c>
      <c r="E37" s="41">
        <v>0</v>
      </c>
      <c r="F37" s="194">
        <f>ROUND(D37/D22*F22,0)</f>
        <v>0</v>
      </c>
      <c r="G37" s="41">
        <v>0</v>
      </c>
      <c r="H37" s="41">
        <v>0</v>
      </c>
      <c r="I37" s="41">
        <v>0</v>
      </c>
      <c r="J37" s="41">
        <f>SUM(D37:I37)</f>
        <v>25195534</v>
      </c>
      <c r="L37" s="40">
        <f>ROUND((D37+F37)/1000,1)</f>
        <v>25195.5</v>
      </c>
    </row>
    <row r="38" spans="1:12" x14ac:dyDescent="0.2">
      <c r="A38" s="39">
        <f>A37+1</f>
        <v>27</v>
      </c>
      <c r="B38" s="42" t="s">
        <v>168</v>
      </c>
      <c r="C38" s="42"/>
      <c r="D38" s="41">
        <v>16807134</v>
      </c>
      <c r="E38" s="41">
        <v>0</v>
      </c>
      <c r="F38" s="41">
        <v>0</v>
      </c>
      <c r="G38" s="41">
        <v>0</v>
      </c>
      <c r="H38" s="41">
        <v>0</v>
      </c>
      <c r="I38" s="41">
        <v>0</v>
      </c>
      <c r="J38" s="41">
        <f>SUM(D38:I38)</f>
        <v>16807134</v>
      </c>
      <c r="K38" s="148"/>
      <c r="L38" s="40">
        <f>ROUND((D38+F38)/1000,1)</f>
        <v>16807.099999999999</v>
      </c>
    </row>
    <row r="39" spans="1:12" x14ac:dyDescent="0.2">
      <c r="A39" s="39">
        <f>A38+1</f>
        <v>28</v>
      </c>
      <c r="B39" s="39" t="s">
        <v>154</v>
      </c>
      <c r="D39" s="41">
        <v>712334239</v>
      </c>
      <c r="E39" s="41">
        <v>0</v>
      </c>
      <c r="F39" s="194">
        <f>ROUND(D39/D24*F24,0)</f>
        <v>0</v>
      </c>
      <c r="G39" s="41">
        <v>0</v>
      </c>
      <c r="H39" s="41">
        <v>0</v>
      </c>
      <c r="I39" s="41">
        <v>0</v>
      </c>
      <c r="J39" s="41">
        <f>SUM(D39:I39)</f>
        <v>712334239</v>
      </c>
      <c r="K39" s="41"/>
      <c r="L39" s="40">
        <f>ROUND((D39+F39)/1000,1)</f>
        <v>712334.2</v>
      </c>
    </row>
    <row r="40" spans="1:12" x14ac:dyDescent="0.2">
      <c r="D40" s="41"/>
      <c r="E40" s="41"/>
      <c r="F40" s="41"/>
      <c r="G40" s="41"/>
      <c r="H40" s="41"/>
      <c r="I40" s="41"/>
      <c r="J40" s="41"/>
    </row>
    <row r="41" spans="1:12" x14ac:dyDescent="0.2">
      <c r="A41" s="39">
        <f>A39+1</f>
        <v>29</v>
      </c>
      <c r="B41" s="42" t="s">
        <v>159</v>
      </c>
      <c r="C41" s="42"/>
      <c r="D41" s="41">
        <f t="shared" ref="D41:J41" si="3">SUM(D35:D39)</f>
        <v>954412245</v>
      </c>
      <c r="E41" s="41">
        <f t="shared" si="3"/>
        <v>0</v>
      </c>
      <c r="F41" s="41">
        <f t="shared" si="3"/>
        <v>0</v>
      </c>
      <c r="G41" s="41">
        <f t="shared" si="3"/>
        <v>0</v>
      </c>
      <c r="H41" s="41">
        <f>SUM(H35:H39)</f>
        <v>0</v>
      </c>
      <c r="I41" s="41">
        <f t="shared" si="3"/>
        <v>0</v>
      </c>
      <c r="J41" s="41">
        <f t="shared" si="3"/>
        <v>954412245</v>
      </c>
    </row>
    <row r="42" spans="1:12" x14ac:dyDescent="0.2">
      <c r="B42" s="42"/>
      <c r="C42" s="42"/>
      <c r="D42" s="41"/>
      <c r="E42" s="41"/>
      <c r="F42" s="41"/>
      <c r="G42" s="41"/>
      <c r="H42" s="41"/>
      <c r="I42" s="41"/>
      <c r="J42" s="41"/>
    </row>
    <row r="43" spans="1:12" x14ac:dyDescent="0.2">
      <c r="B43" s="42" t="s">
        <v>157</v>
      </c>
      <c r="C43" s="42"/>
      <c r="D43" s="41"/>
      <c r="E43" s="41"/>
      <c r="F43" s="41"/>
      <c r="G43" s="41"/>
      <c r="H43" s="41"/>
      <c r="I43" s="41"/>
      <c r="J43" s="41"/>
    </row>
    <row r="44" spans="1:12" x14ac:dyDescent="0.2">
      <c r="A44" s="39">
        <f>A41+1</f>
        <v>30</v>
      </c>
      <c r="B44" s="39" t="s">
        <v>141</v>
      </c>
      <c r="D44" s="41">
        <f t="shared" ref="D44:I46" si="4">D8</f>
        <v>4651867979</v>
      </c>
      <c r="E44" s="41">
        <f t="shared" si="4"/>
        <v>250000</v>
      </c>
      <c r="F44" s="41">
        <f t="shared" si="4"/>
        <v>0</v>
      </c>
      <c r="G44" s="41">
        <f t="shared" si="4"/>
        <v>201376941</v>
      </c>
      <c r="H44" s="41">
        <f>H8</f>
        <v>0</v>
      </c>
      <c r="I44" s="41">
        <f t="shared" si="4"/>
        <v>0</v>
      </c>
      <c r="J44" s="41">
        <f>SUM(D44:I44)</f>
        <v>4853494920</v>
      </c>
    </row>
    <row r="45" spans="1:12" x14ac:dyDescent="0.2">
      <c r="A45" s="39">
        <f>A44+1</f>
        <v>31</v>
      </c>
      <c r="B45" s="42" t="s">
        <v>167</v>
      </c>
      <c r="C45" s="42"/>
      <c r="D45" s="41">
        <f t="shared" si="4"/>
        <v>10894304</v>
      </c>
      <c r="E45" s="41">
        <f t="shared" si="4"/>
        <v>0</v>
      </c>
      <c r="F45" s="41">
        <f t="shared" si="4"/>
        <v>0</v>
      </c>
      <c r="G45" s="41">
        <f t="shared" si="4"/>
        <v>471609</v>
      </c>
      <c r="H45" s="41">
        <f>H9</f>
        <v>0</v>
      </c>
      <c r="I45" s="41">
        <f t="shared" si="4"/>
        <v>0</v>
      </c>
      <c r="J45" s="41">
        <f>SUM(D45:I45)</f>
        <v>11365913</v>
      </c>
    </row>
    <row r="46" spans="1:12" x14ac:dyDescent="0.2">
      <c r="A46" s="39">
        <f>A45+1</f>
        <v>32</v>
      </c>
      <c r="B46" s="39" t="s">
        <v>142</v>
      </c>
      <c r="D46" s="41">
        <f t="shared" si="4"/>
        <v>62400188</v>
      </c>
      <c r="E46" s="41">
        <f t="shared" si="4"/>
        <v>0</v>
      </c>
      <c r="F46" s="41">
        <f t="shared" si="4"/>
        <v>0</v>
      </c>
      <c r="G46" s="41">
        <f t="shared" si="4"/>
        <v>2165185</v>
      </c>
      <c r="H46" s="41">
        <f>H10</f>
        <v>0</v>
      </c>
      <c r="I46" s="41">
        <f t="shared" si="4"/>
        <v>0</v>
      </c>
      <c r="J46" s="41">
        <f>SUM(D46:I46)</f>
        <v>64565373</v>
      </c>
    </row>
    <row r="47" spans="1:12" x14ac:dyDescent="0.2">
      <c r="B47" s="42" t="s">
        <v>171</v>
      </c>
      <c r="D47" s="41"/>
      <c r="E47" s="41"/>
      <c r="F47" s="41"/>
      <c r="G47" s="41"/>
      <c r="H47" s="41"/>
      <c r="I47" s="41"/>
      <c r="J47" s="41"/>
    </row>
    <row r="48" spans="1:12" x14ac:dyDescent="0.2">
      <c r="A48" s="39">
        <f>A46+1</f>
        <v>33</v>
      </c>
      <c r="C48" s="39" t="s">
        <v>143</v>
      </c>
      <c r="D48" s="41">
        <f t="shared" ref="D48:I55" si="5">D12</f>
        <v>317455681</v>
      </c>
      <c r="E48" s="41">
        <f t="shared" si="5"/>
        <v>0</v>
      </c>
      <c r="F48" s="41">
        <f t="shared" si="5"/>
        <v>0</v>
      </c>
      <c r="G48" s="41">
        <f t="shared" si="5"/>
        <v>39260859</v>
      </c>
      <c r="H48" s="41">
        <f t="shared" si="5"/>
        <v>0</v>
      </c>
      <c r="I48" s="41">
        <f t="shared" si="5"/>
        <v>4440728</v>
      </c>
      <c r="J48" s="41">
        <f t="shared" ref="J48:J61" si="6">SUM(D48:I48)</f>
        <v>361157268</v>
      </c>
    </row>
    <row r="49" spans="1:11" x14ac:dyDescent="0.2">
      <c r="A49" s="39">
        <f t="shared" ref="A49:A61" si="7">A48+1</f>
        <v>34</v>
      </c>
      <c r="C49" s="39" t="s">
        <v>144</v>
      </c>
      <c r="D49" s="41">
        <f t="shared" si="5"/>
        <v>27736688</v>
      </c>
      <c r="E49" s="41">
        <f t="shared" si="5"/>
        <v>0</v>
      </c>
      <c r="F49" s="41">
        <f t="shared" si="5"/>
        <v>0</v>
      </c>
      <c r="G49" s="41">
        <f t="shared" si="5"/>
        <v>4071249</v>
      </c>
      <c r="H49" s="41">
        <f t="shared" si="5"/>
        <v>0</v>
      </c>
      <c r="I49" s="41">
        <f t="shared" si="5"/>
        <v>0</v>
      </c>
      <c r="J49" s="41">
        <f t="shared" si="6"/>
        <v>31807937</v>
      </c>
    </row>
    <row r="50" spans="1:11" x14ac:dyDescent="0.2">
      <c r="A50" s="39">
        <f t="shared" si="7"/>
        <v>35</v>
      </c>
      <c r="B50" s="42"/>
      <c r="C50" s="42" t="s">
        <v>170</v>
      </c>
      <c r="D50" s="41">
        <f t="shared" si="5"/>
        <v>6939328</v>
      </c>
      <c r="E50" s="41">
        <f t="shared" si="5"/>
        <v>0</v>
      </c>
      <c r="F50" s="41">
        <f t="shared" si="5"/>
        <v>0</v>
      </c>
      <c r="G50" s="41">
        <f t="shared" si="5"/>
        <v>1318948</v>
      </c>
      <c r="H50" s="41">
        <f t="shared" si="5"/>
        <v>0</v>
      </c>
      <c r="I50" s="41">
        <f t="shared" si="5"/>
        <v>0</v>
      </c>
      <c r="J50" s="41">
        <f t="shared" si="6"/>
        <v>8258276</v>
      </c>
    </row>
    <row r="51" spans="1:11" x14ac:dyDescent="0.2">
      <c r="A51" s="39">
        <f t="shared" si="7"/>
        <v>36</v>
      </c>
      <c r="B51" s="39" t="s">
        <v>145</v>
      </c>
      <c r="D51" s="41">
        <f t="shared" si="5"/>
        <v>22399123</v>
      </c>
      <c r="E51" s="41">
        <f t="shared" si="5"/>
        <v>0</v>
      </c>
      <c r="F51" s="41">
        <f t="shared" si="5"/>
        <v>0</v>
      </c>
      <c r="G51" s="41">
        <f t="shared" si="5"/>
        <v>969510</v>
      </c>
      <c r="H51" s="41">
        <f t="shared" si="5"/>
        <v>0</v>
      </c>
      <c r="I51" s="41">
        <f t="shared" si="5"/>
        <v>0</v>
      </c>
      <c r="J51" s="41">
        <f t="shared" si="6"/>
        <v>23368633</v>
      </c>
    </row>
    <row r="52" spans="1:11" x14ac:dyDescent="0.2">
      <c r="A52" s="39">
        <f t="shared" si="7"/>
        <v>37</v>
      </c>
      <c r="B52" s="39" t="s">
        <v>146</v>
      </c>
      <c r="D52" s="41">
        <f t="shared" si="5"/>
        <v>58837784</v>
      </c>
      <c r="E52" s="41">
        <f t="shared" si="5"/>
        <v>0</v>
      </c>
      <c r="F52" s="41">
        <f t="shared" si="5"/>
        <v>0</v>
      </c>
      <c r="G52" s="41">
        <f t="shared" si="5"/>
        <v>995445</v>
      </c>
      <c r="H52" s="41">
        <f t="shared" si="5"/>
        <v>0</v>
      </c>
      <c r="I52" s="41">
        <f t="shared" si="5"/>
        <v>0</v>
      </c>
      <c r="J52" s="41">
        <f t="shared" si="6"/>
        <v>59833229</v>
      </c>
    </row>
    <row r="53" spans="1:11" x14ac:dyDescent="0.2">
      <c r="A53" s="39">
        <f t="shared" si="7"/>
        <v>38</v>
      </c>
      <c r="B53" s="39" t="s">
        <v>148</v>
      </c>
      <c r="D53" s="41">
        <f t="shared" si="5"/>
        <v>647946</v>
      </c>
      <c r="E53" s="41">
        <f t="shared" si="5"/>
        <v>0</v>
      </c>
      <c r="F53" s="41">
        <f t="shared" si="5"/>
        <v>0</v>
      </c>
      <c r="G53" s="41">
        <f t="shared" si="5"/>
        <v>27904</v>
      </c>
      <c r="H53" s="41">
        <f t="shared" si="5"/>
        <v>0</v>
      </c>
      <c r="I53" s="41">
        <f t="shared" si="5"/>
        <v>0</v>
      </c>
      <c r="J53" s="41">
        <f t="shared" si="6"/>
        <v>675850</v>
      </c>
    </row>
    <row r="54" spans="1:11" x14ac:dyDescent="0.2">
      <c r="A54" s="39">
        <f t="shared" si="7"/>
        <v>39</v>
      </c>
      <c r="B54" s="39" t="s">
        <v>244</v>
      </c>
      <c r="D54" s="41">
        <f t="shared" si="5"/>
        <v>-2431656</v>
      </c>
      <c r="E54" s="41">
        <f t="shared" si="5"/>
        <v>0</v>
      </c>
      <c r="F54" s="41">
        <f t="shared" si="5"/>
        <v>0</v>
      </c>
      <c r="G54" s="41">
        <f t="shared" si="5"/>
        <v>0</v>
      </c>
      <c r="H54" s="41">
        <f t="shared" si="5"/>
        <v>0</v>
      </c>
      <c r="I54" s="41">
        <f t="shared" si="5"/>
        <v>-75414</v>
      </c>
      <c r="J54" s="41">
        <f t="shared" si="6"/>
        <v>-2507070</v>
      </c>
    </row>
    <row r="55" spans="1:11" x14ac:dyDescent="0.2">
      <c r="A55" s="39">
        <f t="shared" si="7"/>
        <v>40</v>
      </c>
      <c r="B55" s="42" t="s">
        <v>360</v>
      </c>
      <c r="D55" s="41">
        <f>D19</f>
        <v>-481807468</v>
      </c>
      <c r="E55" s="41">
        <f>E19</f>
        <v>0</v>
      </c>
      <c r="F55" s="41">
        <f>F19</f>
        <v>0</v>
      </c>
      <c r="G55" s="41">
        <f>G19</f>
        <v>-18192532</v>
      </c>
      <c r="H55" s="41">
        <f t="shared" si="5"/>
        <v>0</v>
      </c>
      <c r="I55" s="41">
        <f>I19</f>
        <v>0</v>
      </c>
      <c r="J55" s="41">
        <f>SUM(D55:I55)</f>
        <v>-500000000</v>
      </c>
    </row>
    <row r="56" spans="1:11" x14ac:dyDescent="0.2">
      <c r="A56" s="39">
        <f t="shared" si="7"/>
        <v>41</v>
      </c>
      <c r="B56" s="39" t="s">
        <v>147</v>
      </c>
      <c r="D56" s="41">
        <f t="shared" ref="D56:I59" si="8">D20-D35</f>
        <v>62064355</v>
      </c>
      <c r="E56" s="41">
        <f t="shared" si="8"/>
        <v>0</v>
      </c>
      <c r="F56" s="41">
        <f t="shared" si="8"/>
        <v>0</v>
      </c>
      <c r="G56" s="41">
        <f t="shared" si="8"/>
        <v>8068810</v>
      </c>
      <c r="H56" s="41">
        <f>H20-H35</f>
        <v>0</v>
      </c>
      <c r="I56" s="41">
        <f t="shared" si="8"/>
        <v>0</v>
      </c>
      <c r="J56" s="41">
        <f t="shared" si="6"/>
        <v>70133165</v>
      </c>
    </row>
    <row r="57" spans="1:11" x14ac:dyDescent="0.2">
      <c r="A57" s="39">
        <f t="shared" si="7"/>
        <v>42</v>
      </c>
      <c r="B57" s="39" t="s">
        <v>149</v>
      </c>
      <c r="D57" s="41">
        <f t="shared" si="8"/>
        <v>12881106</v>
      </c>
      <c r="E57" s="41">
        <f t="shared" si="8"/>
        <v>0</v>
      </c>
      <c r="F57" s="41">
        <f t="shared" si="8"/>
        <v>0</v>
      </c>
      <c r="G57" s="41">
        <f t="shared" si="8"/>
        <v>3838921</v>
      </c>
      <c r="H57" s="41">
        <f>H21-H36</f>
        <v>0</v>
      </c>
      <c r="I57" s="41">
        <f t="shared" si="8"/>
        <v>0</v>
      </c>
      <c r="J57" s="41">
        <f t="shared" si="6"/>
        <v>16720027</v>
      </c>
    </row>
    <row r="58" spans="1:11" x14ac:dyDescent="0.2">
      <c r="A58" s="39">
        <f t="shared" si="7"/>
        <v>43</v>
      </c>
      <c r="B58" s="42" t="s">
        <v>173</v>
      </c>
      <c r="D58" s="41">
        <f t="shared" si="8"/>
        <v>2784745</v>
      </c>
      <c r="E58" s="41">
        <f t="shared" si="8"/>
        <v>0</v>
      </c>
      <c r="F58" s="41">
        <f t="shared" si="8"/>
        <v>0</v>
      </c>
      <c r="G58" s="41">
        <f t="shared" si="8"/>
        <v>1472870</v>
      </c>
      <c r="H58" s="41">
        <f>H22-H37</f>
        <v>0</v>
      </c>
      <c r="I58" s="41">
        <f t="shared" si="8"/>
        <v>0</v>
      </c>
      <c r="J58" s="41">
        <f t="shared" si="6"/>
        <v>4257615</v>
      </c>
    </row>
    <row r="59" spans="1:11" x14ac:dyDescent="0.2">
      <c r="A59" s="39">
        <f t="shared" si="7"/>
        <v>44</v>
      </c>
      <c r="B59" s="42" t="s">
        <v>168</v>
      </c>
      <c r="C59" s="42"/>
      <c r="D59" s="41">
        <f t="shared" si="8"/>
        <v>38492330</v>
      </c>
      <c r="E59" s="41">
        <f t="shared" si="8"/>
        <v>0</v>
      </c>
      <c r="F59" s="41">
        <f t="shared" si="8"/>
        <v>0</v>
      </c>
      <c r="G59" s="41">
        <f t="shared" si="8"/>
        <v>2992056</v>
      </c>
      <c r="H59" s="41">
        <f>H23-H38</f>
        <v>0</v>
      </c>
      <c r="I59" s="41">
        <f t="shared" si="8"/>
        <v>0</v>
      </c>
      <c r="J59" s="41">
        <f t="shared" si="6"/>
        <v>41484386</v>
      </c>
      <c r="K59" s="41"/>
    </row>
    <row r="60" spans="1:11" x14ac:dyDescent="0.2">
      <c r="A60" s="39">
        <f t="shared" si="7"/>
        <v>45</v>
      </c>
      <c r="B60" s="42" t="s">
        <v>163</v>
      </c>
      <c r="C60" s="42"/>
      <c r="D60" s="41">
        <f t="shared" ref="D60:I60" si="9">D24-D39-D61</f>
        <v>60722235</v>
      </c>
      <c r="E60" s="41">
        <f t="shared" si="9"/>
        <v>0</v>
      </c>
      <c r="F60" s="41">
        <f t="shared" si="9"/>
        <v>0</v>
      </c>
      <c r="G60" s="41">
        <f t="shared" si="9"/>
        <v>0</v>
      </c>
      <c r="H60" s="41">
        <f t="shared" si="9"/>
        <v>0</v>
      </c>
      <c r="I60" s="41">
        <f t="shared" si="9"/>
        <v>0</v>
      </c>
      <c r="J60" s="41">
        <f t="shared" si="6"/>
        <v>60722235</v>
      </c>
    </row>
    <row r="61" spans="1:11" x14ac:dyDescent="0.2">
      <c r="A61" s="39">
        <f t="shared" si="7"/>
        <v>46</v>
      </c>
      <c r="B61" s="39" t="s">
        <v>151</v>
      </c>
      <c r="D61" s="41">
        <v>8618666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f t="shared" si="6"/>
        <v>8618666</v>
      </c>
    </row>
    <row r="62" spans="1:11" x14ac:dyDescent="0.2">
      <c r="B62" s="42" t="s">
        <v>172</v>
      </c>
      <c r="D62" s="41"/>
      <c r="E62" s="41"/>
      <c r="F62" s="41"/>
      <c r="G62" s="41"/>
      <c r="H62" s="41"/>
      <c r="I62" s="41"/>
      <c r="J62" s="41"/>
    </row>
    <row r="63" spans="1:11" x14ac:dyDescent="0.2">
      <c r="A63" s="39">
        <f>A61+1</f>
        <v>47</v>
      </c>
      <c r="B63" s="42"/>
      <c r="C63" s="42" t="s">
        <v>175</v>
      </c>
      <c r="D63" s="41">
        <f t="shared" ref="D63:I67" si="10">D26</f>
        <v>-650976</v>
      </c>
      <c r="E63" s="41">
        <f t="shared" si="10"/>
        <v>0</v>
      </c>
      <c r="F63" s="41">
        <f t="shared" si="10"/>
        <v>0</v>
      </c>
      <c r="G63" s="41">
        <f t="shared" si="10"/>
        <v>1258324</v>
      </c>
      <c r="H63" s="41">
        <f>H26</f>
        <v>0</v>
      </c>
      <c r="I63" s="41">
        <f t="shared" si="10"/>
        <v>0</v>
      </c>
      <c r="J63" s="41">
        <f>SUM(D63:I63)</f>
        <v>607348</v>
      </c>
    </row>
    <row r="64" spans="1:11" x14ac:dyDescent="0.2">
      <c r="A64" s="39">
        <f>A63+1</f>
        <v>48</v>
      </c>
      <c r="B64" s="42"/>
      <c r="C64" s="42" t="s">
        <v>182</v>
      </c>
      <c r="D64" s="41">
        <f t="shared" si="10"/>
        <v>2115757</v>
      </c>
      <c r="E64" s="41">
        <f t="shared" si="10"/>
        <v>0</v>
      </c>
      <c r="F64" s="41">
        <f t="shared" si="10"/>
        <v>0</v>
      </c>
      <c r="G64" s="41">
        <f t="shared" si="10"/>
        <v>-2115757</v>
      </c>
      <c r="H64" s="41">
        <f>H27</f>
        <v>0</v>
      </c>
      <c r="I64" s="41">
        <f t="shared" si="10"/>
        <v>0</v>
      </c>
      <c r="J64" s="41">
        <f>SUM(D64:I64)</f>
        <v>0</v>
      </c>
    </row>
    <row r="65" spans="1:11" x14ac:dyDescent="0.2">
      <c r="A65" s="39">
        <f>A64+1</f>
        <v>49</v>
      </c>
      <c r="B65" s="42"/>
      <c r="C65" s="42" t="s">
        <v>201</v>
      </c>
      <c r="D65" s="41">
        <f t="shared" si="10"/>
        <v>3867</v>
      </c>
      <c r="E65" s="41">
        <f t="shared" si="10"/>
        <v>0</v>
      </c>
      <c r="F65" s="41">
        <f t="shared" si="10"/>
        <v>0</v>
      </c>
      <c r="G65" s="41">
        <f t="shared" si="10"/>
        <v>-3867</v>
      </c>
      <c r="H65" s="41">
        <f>H28</f>
        <v>0</v>
      </c>
      <c r="I65" s="41">
        <f t="shared" si="10"/>
        <v>0</v>
      </c>
      <c r="J65" s="41">
        <f>SUM(D65:I65)</f>
        <v>0</v>
      </c>
    </row>
    <row r="66" spans="1:11" x14ac:dyDescent="0.2">
      <c r="A66" s="39">
        <f>A65+1</f>
        <v>50</v>
      </c>
      <c r="B66" s="42"/>
      <c r="C66" s="42" t="s">
        <v>183</v>
      </c>
      <c r="D66" s="41">
        <f t="shared" si="10"/>
        <v>547464</v>
      </c>
      <c r="E66" s="41">
        <f t="shared" si="10"/>
        <v>0</v>
      </c>
      <c r="F66" s="41">
        <f t="shared" si="10"/>
        <v>0</v>
      </c>
      <c r="G66" s="41">
        <f t="shared" si="10"/>
        <v>-547460</v>
      </c>
      <c r="H66" s="41">
        <f>H29</f>
        <v>0</v>
      </c>
      <c r="I66" s="41">
        <f t="shared" si="10"/>
        <v>0</v>
      </c>
      <c r="J66" s="41">
        <f>SUM(D66:I66)</f>
        <v>4</v>
      </c>
    </row>
    <row r="67" spans="1:11" x14ac:dyDescent="0.2">
      <c r="A67" s="39">
        <f>A66+1</f>
        <v>51</v>
      </c>
      <c r="B67" s="42"/>
      <c r="C67" s="42" t="s">
        <v>251</v>
      </c>
      <c r="D67" s="41">
        <f t="shared" si="10"/>
        <v>-449</v>
      </c>
      <c r="E67" s="41">
        <f t="shared" si="10"/>
        <v>0</v>
      </c>
      <c r="F67" s="41">
        <f t="shared" si="10"/>
        <v>0</v>
      </c>
      <c r="G67" s="41">
        <f t="shared" si="10"/>
        <v>0</v>
      </c>
      <c r="H67" s="41">
        <f>H30</f>
        <v>0</v>
      </c>
      <c r="I67" s="41">
        <f t="shared" si="10"/>
        <v>0</v>
      </c>
      <c r="J67" s="41">
        <f>SUM(D67:I67)</f>
        <v>-449</v>
      </c>
    </row>
    <row r="68" spans="1:11" x14ac:dyDescent="0.2">
      <c r="D68" s="41"/>
      <c r="E68" s="41"/>
      <c r="F68" s="41"/>
      <c r="G68" s="41"/>
      <c r="H68" s="41"/>
      <c r="I68" s="41"/>
      <c r="J68" s="41"/>
    </row>
    <row r="69" spans="1:11" x14ac:dyDescent="0.2">
      <c r="A69" s="39">
        <f>A67+1</f>
        <v>52</v>
      </c>
      <c r="B69" s="42" t="s">
        <v>184</v>
      </c>
      <c r="C69" s="42"/>
      <c r="D69" s="41">
        <f t="shared" ref="D69:J69" si="11">SUM(D44:D67)</f>
        <v>4862518997</v>
      </c>
      <c r="E69" s="41">
        <f t="shared" si="11"/>
        <v>250000</v>
      </c>
      <c r="F69" s="41">
        <f t="shared" si="11"/>
        <v>0</v>
      </c>
      <c r="G69" s="41">
        <f t="shared" si="11"/>
        <v>247429015</v>
      </c>
      <c r="H69" s="41">
        <f>SUM(H44:H67)</f>
        <v>0</v>
      </c>
      <c r="I69" s="41">
        <f t="shared" si="11"/>
        <v>4365314</v>
      </c>
      <c r="J69" s="41">
        <f t="shared" si="11"/>
        <v>5114563326</v>
      </c>
    </row>
    <row r="70" spans="1:11" x14ac:dyDescent="0.2">
      <c r="A70" s="39">
        <f>A69+1</f>
        <v>53</v>
      </c>
      <c r="B70" s="173" t="s">
        <v>397</v>
      </c>
      <c r="C70" s="42"/>
      <c r="D70" s="41">
        <f t="shared" ref="D70:J70" si="12">D69</f>
        <v>4862518997</v>
      </c>
      <c r="E70" s="41">
        <f t="shared" si="12"/>
        <v>250000</v>
      </c>
      <c r="F70" s="41">
        <f t="shared" si="12"/>
        <v>0</v>
      </c>
      <c r="G70" s="41">
        <f t="shared" si="12"/>
        <v>247429015</v>
      </c>
      <c r="H70" s="41">
        <f t="shared" si="12"/>
        <v>0</v>
      </c>
      <c r="I70" s="41">
        <f t="shared" si="12"/>
        <v>4365314</v>
      </c>
      <c r="J70" s="41">
        <f t="shared" si="12"/>
        <v>5114563326</v>
      </c>
    </row>
    <row r="71" spans="1:11" x14ac:dyDescent="0.2">
      <c r="A71" s="39">
        <f>A70+1</f>
        <v>54</v>
      </c>
      <c r="B71" s="42" t="s">
        <v>303</v>
      </c>
      <c r="C71" s="42"/>
      <c r="D71" s="127" t="s">
        <v>302</v>
      </c>
      <c r="E71" s="127" t="s">
        <v>302</v>
      </c>
      <c r="F71" s="127" t="s">
        <v>302</v>
      </c>
      <c r="G71" s="127" t="s">
        <v>302</v>
      </c>
      <c r="H71" s="127" t="s">
        <v>302</v>
      </c>
      <c r="I71" s="127" t="s">
        <v>302</v>
      </c>
      <c r="J71" s="127" t="s">
        <v>302</v>
      </c>
    </row>
    <row r="72" spans="1:11" x14ac:dyDescent="0.2">
      <c r="B72" s="42"/>
      <c r="C72" s="42"/>
      <c r="D72" s="41"/>
      <c r="E72" s="41"/>
      <c r="F72" s="41"/>
      <c r="G72" s="41"/>
      <c r="H72" s="41"/>
      <c r="I72" s="41"/>
      <c r="J72" s="41"/>
    </row>
    <row r="73" spans="1:11" x14ac:dyDescent="0.2">
      <c r="A73" s="39">
        <f>A71+1</f>
        <v>55</v>
      </c>
      <c r="B73" s="42" t="s">
        <v>166</v>
      </c>
      <c r="C73" s="42"/>
      <c r="D73" s="41">
        <v>-29548624</v>
      </c>
      <c r="E73" s="41">
        <v>0</v>
      </c>
      <c r="F73" s="41">
        <v>0</v>
      </c>
      <c r="G73" s="41">
        <v>-1279238</v>
      </c>
      <c r="H73" s="41">
        <v>0</v>
      </c>
      <c r="I73" s="41">
        <v>0</v>
      </c>
      <c r="J73" s="41">
        <f>SUM(D73:I73)</f>
        <v>-30827862</v>
      </c>
      <c r="K73" s="43"/>
    </row>
    <row r="74" spans="1:11" x14ac:dyDescent="0.2">
      <c r="D74" s="40"/>
      <c r="E74" s="40"/>
      <c r="F74" s="40"/>
      <c r="G74" s="40"/>
      <c r="H74" s="40"/>
      <c r="I74" s="40"/>
      <c r="J74" s="40"/>
    </row>
    <row r="75" spans="1:11" x14ac:dyDescent="0.2">
      <c r="A75" s="190" t="s">
        <v>391</v>
      </c>
      <c r="B75" s="190"/>
      <c r="C75" s="191"/>
      <c r="D75" s="192" t="s">
        <v>176</v>
      </c>
      <c r="E75" s="192" t="s">
        <v>181</v>
      </c>
      <c r="F75" s="192" t="s">
        <v>177</v>
      </c>
      <c r="G75" s="192" t="s">
        <v>178</v>
      </c>
      <c r="H75" s="192" t="s">
        <v>179</v>
      </c>
      <c r="I75" s="192" t="s">
        <v>370</v>
      </c>
      <c r="J75" s="192" t="s">
        <v>180</v>
      </c>
    </row>
    <row r="77" spans="1:11" x14ac:dyDescent="0.2">
      <c r="A77" s="39">
        <v>1</v>
      </c>
      <c r="B77" s="39" t="s">
        <v>140</v>
      </c>
      <c r="D77" s="41">
        <f>'Pupil Data'!C204</f>
        <v>907884</v>
      </c>
      <c r="E77" s="41">
        <v>0</v>
      </c>
      <c r="F77" s="41">
        <f>'Pupil Data'!D204</f>
        <v>652</v>
      </c>
      <c r="G77" s="41">
        <f>'Pupil Data'!E204</f>
        <v>39250</v>
      </c>
      <c r="H77" s="41">
        <f>'Pupil Data'!F204</f>
        <v>0</v>
      </c>
      <c r="I77" s="41">
        <v>0</v>
      </c>
      <c r="J77" s="41">
        <f>SUM(D77:I77)</f>
        <v>947786</v>
      </c>
    </row>
    <row r="79" spans="1:11" x14ac:dyDescent="0.2">
      <c r="B79" s="42" t="s">
        <v>155</v>
      </c>
      <c r="D79" s="40"/>
      <c r="E79" s="40"/>
      <c r="F79" s="40"/>
      <c r="G79" s="40"/>
      <c r="H79" s="40"/>
      <c r="I79" s="40"/>
      <c r="J79" s="40"/>
    </row>
    <row r="80" spans="1:11" x14ac:dyDescent="0.2">
      <c r="A80" s="39">
        <f>A77+1</f>
        <v>2</v>
      </c>
      <c r="B80" s="39" t="s">
        <v>141</v>
      </c>
      <c r="D80" s="41">
        <v>4652654052</v>
      </c>
      <c r="E80" s="41">
        <v>0</v>
      </c>
      <c r="F80" s="194">
        <v>3340848</v>
      </c>
      <c r="G80" s="41">
        <v>201037066</v>
      </c>
      <c r="H80" s="41">
        <v>0</v>
      </c>
      <c r="I80" s="41">
        <v>0</v>
      </c>
      <c r="J80" s="41">
        <f>SUM(D80:I80)</f>
        <v>4857031966</v>
      </c>
    </row>
    <row r="81" spans="1:12" x14ac:dyDescent="0.2">
      <c r="A81" s="39">
        <f>A80+1</f>
        <v>3</v>
      </c>
      <c r="B81" s="42" t="s">
        <v>167</v>
      </c>
      <c r="C81" s="42"/>
      <c r="D81" s="41">
        <v>10896145</v>
      </c>
      <c r="E81" s="41">
        <v>0</v>
      </c>
      <c r="F81" s="194">
        <v>7824</v>
      </c>
      <c r="G81" s="41">
        <v>470813</v>
      </c>
      <c r="H81" s="41">
        <v>0</v>
      </c>
      <c r="I81" s="41">
        <v>0</v>
      </c>
      <c r="J81" s="41">
        <f>SUM(D81:I81)</f>
        <v>11374782</v>
      </c>
    </row>
    <row r="82" spans="1:12" x14ac:dyDescent="0.2">
      <c r="A82" s="39">
        <f>A81+1</f>
        <v>4</v>
      </c>
      <c r="B82" s="39" t="s">
        <v>142</v>
      </c>
      <c r="D82" s="41">
        <v>61975378</v>
      </c>
      <c r="E82" s="41">
        <v>0</v>
      </c>
      <c r="F82" s="194">
        <v>653342</v>
      </c>
      <c r="G82" s="41">
        <v>2126260</v>
      </c>
      <c r="H82" s="41">
        <v>0</v>
      </c>
      <c r="I82" s="41">
        <v>0</v>
      </c>
      <c r="J82" s="41">
        <f>SUM(D82:I82)</f>
        <v>64754980</v>
      </c>
    </row>
    <row r="83" spans="1:12" x14ac:dyDescent="0.2">
      <c r="B83" s="42" t="s">
        <v>171</v>
      </c>
      <c r="D83" s="41"/>
      <c r="E83" s="41"/>
      <c r="F83" s="41"/>
      <c r="G83" s="41"/>
      <c r="H83" s="41"/>
      <c r="I83" s="41"/>
      <c r="J83" s="41"/>
    </row>
    <row r="84" spans="1:12" x14ac:dyDescent="0.2">
      <c r="A84" s="39">
        <f>A82+1</f>
        <v>5</v>
      </c>
      <c r="C84" s="39" t="s">
        <v>143</v>
      </c>
      <c r="D84" s="41">
        <v>317455681</v>
      </c>
      <c r="E84" s="41">
        <v>0</v>
      </c>
      <c r="F84" s="41">
        <v>0</v>
      </c>
      <c r="G84" s="41">
        <v>39275739</v>
      </c>
      <c r="H84" s="41">
        <v>0</v>
      </c>
      <c r="I84" s="41">
        <v>4440728</v>
      </c>
      <c r="J84" s="41">
        <f t="shared" ref="J84:J90" si="13">SUM(D84:I84)</f>
        <v>361172148</v>
      </c>
    </row>
    <row r="85" spans="1:12" x14ac:dyDescent="0.2">
      <c r="A85" s="39">
        <f t="shared" ref="A85:A96" si="14">A84+1</f>
        <v>6</v>
      </c>
      <c r="C85" s="39" t="s">
        <v>144</v>
      </c>
      <c r="D85" s="41">
        <v>27700785</v>
      </c>
      <c r="E85" s="41">
        <v>0</v>
      </c>
      <c r="F85" s="194">
        <v>42000</v>
      </c>
      <c r="G85" s="41">
        <v>4069646</v>
      </c>
      <c r="H85" s="41">
        <v>0</v>
      </c>
      <c r="I85" s="41">
        <v>0</v>
      </c>
      <c r="J85" s="41">
        <f t="shared" si="13"/>
        <v>31812431</v>
      </c>
    </row>
    <row r="86" spans="1:12" x14ac:dyDescent="0.2">
      <c r="A86" s="39">
        <f t="shared" si="14"/>
        <v>7</v>
      </c>
      <c r="B86" s="42"/>
      <c r="C86" s="42" t="s">
        <v>170</v>
      </c>
      <c r="D86" s="41">
        <v>6927155</v>
      </c>
      <c r="E86" s="41">
        <v>0</v>
      </c>
      <c r="F86" s="194">
        <v>10992</v>
      </c>
      <c r="G86" s="41">
        <v>1318470</v>
      </c>
      <c r="H86" s="41">
        <v>0</v>
      </c>
      <c r="I86" s="41">
        <v>0</v>
      </c>
      <c r="J86" s="41">
        <f t="shared" si="13"/>
        <v>8256617</v>
      </c>
    </row>
    <row r="87" spans="1:12" x14ac:dyDescent="0.2">
      <c r="A87" s="39">
        <f t="shared" si="14"/>
        <v>8</v>
      </c>
      <c r="B87" s="39" t="s">
        <v>145</v>
      </c>
      <c r="D87" s="41">
        <v>22384620</v>
      </c>
      <c r="E87" s="41">
        <v>0</v>
      </c>
      <c r="F87" s="194">
        <v>16076</v>
      </c>
      <c r="G87" s="41">
        <v>967096</v>
      </c>
      <c r="H87" s="41">
        <v>0</v>
      </c>
      <c r="I87" s="41">
        <v>0</v>
      </c>
      <c r="J87" s="41">
        <f t="shared" si="13"/>
        <v>23367792</v>
      </c>
    </row>
    <row r="88" spans="1:12" x14ac:dyDescent="0.2">
      <c r="A88" s="39">
        <f t="shared" si="14"/>
        <v>9</v>
      </c>
      <c r="B88" s="39" t="s">
        <v>146</v>
      </c>
      <c r="D88" s="41">
        <v>58848833</v>
      </c>
      <c r="E88" s="41">
        <v>0</v>
      </c>
      <c r="F88" s="194">
        <v>42262</v>
      </c>
      <c r="G88" s="41">
        <v>995585</v>
      </c>
      <c r="H88" s="41">
        <v>0</v>
      </c>
      <c r="I88" s="41">
        <v>0</v>
      </c>
      <c r="J88" s="41">
        <f t="shared" si="13"/>
        <v>59886680</v>
      </c>
    </row>
    <row r="89" spans="1:12" x14ac:dyDescent="0.2">
      <c r="A89" s="39">
        <f t="shared" si="14"/>
        <v>10</v>
      </c>
      <c r="B89" s="39" t="s">
        <v>148</v>
      </c>
      <c r="D89" s="41">
        <v>647813</v>
      </c>
      <c r="E89" s="41">
        <v>0</v>
      </c>
      <c r="F89" s="194">
        <v>465</v>
      </c>
      <c r="G89" s="41">
        <v>27857</v>
      </c>
      <c r="H89" s="41">
        <v>0</v>
      </c>
      <c r="I89" s="41">
        <v>0</v>
      </c>
      <c r="J89" s="41">
        <f t="shared" si="13"/>
        <v>676135</v>
      </c>
    </row>
    <row r="90" spans="1:12" x14ac:dyDescent="0.2">
      <c r="A90" s="39">
        <f t="shared" si="14"/>
        <v>11</v>
      </c>
      <c r="B90" s="39" t="s">
        <v>244</v>
      </c>
      <c r="D90" s="41">
        <v>-2430314</v>
      </c>
      <c r="E90" s="41">
        <v>0</v>
      </c>
      <c r="F90" s="41">
        <v>0</v>
      </c>
      <c r="G90" s="41">
        <v>0</v>
      </c>
      <c r="H90" s="41">
        <v>0</v>
      </c>
      <c r="I90" s="41">
        <v>-75414</v>
      </c>
      <c r="J90" s="41">
        <f t="shared" si="13"/>
        <v>-2505728</v>
      </c>
    </row>
    <row r="91" spans="1:12" x14ac:dyDescent="0.2">
      <c r="A91" s="39">
        <f t="shared" si="14"/>
        <v>12</v>
      </c>
      <c r="B91" s="42" t="s">
        <v>360</v>
      </c>
      <c r="D91" s="41">
        <v>-481807468</v>
      </c>
      <c r="E91" s="41">
        <v>0</v>
      </c>
      <c r="F91" s="41">
        <v>0</v>
      </c>
      <c r="G91" s="41">
        <v>-18192532</v>
      </c>
      <c r="H91" s="41">
        <v>0</v>
      </c>
      <c r="I91" s="41">
        <v>0</v>
      </c>
      <c r="J91" s="41">
        <f t="shared" ref="J91:J96" si="15">SUM(D91:I91)</f>
        <v>-500000000</v>
      </c>
      <c r="K91" s="41">
        <v>-500000000</v>
      </c>
    </row>
    <row r="92" spans="1:12" x14ac:dyDescent="0.2">
      <c r="A92" s="39">
        <f t="shared" si="14"/>
        <v>13</v>
      </c>
      <c r="B92" s="39" t="s">
        <v>147</v>
      </c>
      <c r="D92" s="41">
        <v>186368221</v>
      </c>
      <c r="E92" s="41">
        <v>0</v>
      </c>
      <c r="F92" s="194">
        <v>133841</v>
      </c>
      <c r="G92" s="41">
        <v>8054803</v>
      </c>
      <c r="H92" s="41">
        <v>0</v>
      </c>
      <c r="I92" s="41">
        <v>0</v>
      </c>
      <c r="J92" s="41">
        <f t="shared" si="15"/>
        <v>194556865</v>
      </c>
    </row>
    <row r="93" spans="1:12" x14ac:dyDescent="0.2">
      <c r="A93" s="39">
        <f t="shared" si="14"/>
        <v>14</v>
      </c>
      <c r="B93" s="39" t="s">
        <v>149</v>
      </c>
      <c r="D93" s="41">
        <v>88700658</v>
      </c>
      <c r="E93" s="41">
        <v>0</v>
      </c>
      <c r="F93" s="194">
        <v>63701</v>
      </c>
      <c r="G93" s="41">
        <v>3832831</v>
      </c>
      <c r="H93" s="41">
        <v>0</v>
      </c>
      <c r="I93" s="41">
        <v>0</v>
      </c>
      <c r="J93" s="41">
        <f t="shared" si="15"/>
        <v>92597190</v>
      </c>
    </row>
    <row r="94" spans="1:12" x14ac:dyDescent="0.2">
      <c r="A94" s="39">
        <f t="shared" si="14"/>
        <v>15</v>
      </c>
      <c r="B94" s="42" t="s">
        <v>173</v>
      </c>
      <c r="D94" s="41">
        <v>27983867</v>
      </c>
      <c r="E94" s="41">
        <v>0</v>
      </c>
      <c r="F94" s="194">
        <v>20097</v>
      </c>
      <c r="G94" s="41">
        <v>1470113</v>
      </c>
      <c r="H94" s="41">
        <v>0</v>
      </c>
      <c r="I94" s="41">
        <v>0</v>
      </c>
      <c r="J94" s="41">
        <f t="shared" si="15"/>
        <v>29474077</v>
      </c>
    </row>
    <row r="95" spans="1:12" x14ac:dyDescent="0.2">
      <c r="A95" s="39">
        <f t="shared" si="14"/>
        <v>16</v>
      </c>
      <c r="B95" s="42" t="s">
        <v>168</v>
      </c>
      <c r="C95" s="42"/>
      <c r="D95" s="41">
        <v>55301019</v>
      </c>
      <c r="E95" s="41">
        <v>0</v>
      </c>
      <c r="F95" s="41">
        <v>0</v>
      </c>
      <c r="G95" s="41">
        <v>2992178</v>
      </c>
      <c r="H95" s="41">
        <v>0</v>
      </c>
      <c r="I95" s="41">
        <v>0</v>
      </c>
      <c r="J95" s="41">
        <f t="shared" si="15"/>
        <v>58293197</v>
      </c>
      <c r="K95" s="148"/>
      <c r="L95" s="41"/>
    </row>
    <row r="96" spans="1:12" x14ac:dyDescent="0.2">
      <c r="A96" s="39">
        <f t="shared" si="14"/>
        <v>17</v>
      </c>
      <c r="B96" s="39" t="s">
        <v>150</v>
      </c>
      <c r="D96" s="41">
        <v>781660285</v>
      </c>
      <c r="E96" s="41">
        <v>0</v>
      </c>
      <c r="F96" s="194">
        <v>585707</v>
      </c>
      <c r="G96" s="41">
        <v>0</v>
      </c>
      <c r="H96" s="41">
        <v>0</v>
      </c>
      <c r="I96" s="41">
        <v>0</v>
      </c>
      <c r="J96" s="41">
        <f t="shared" si="15"/>
        <v>782245992</v>
      </c>
      <c r="K96" s="41"/>
    </row>
    <row r="97" spans="1:12" x14ac:dyDescent="0.2">
      <c r="B97" s="42" t="s">
        <v>172</v>
      </c>
      <c r="D97" s="41"/>
      <c r="E97" s="41"/>
      <c r="F97" s="41"/>
      <c r="G97" s="41"/>
      <c r="H97" s="41"/>
      <c r="I97" s="41"/>
      <c r="J97" s="41"/>
    </row>
    <row r="98" spans="1:12" x14ac:dyDescent="0.2">
      <c r="A98" s="39">
        <f>A96+1</f>
        <v>18</v>
      </c>
      <c r="B98" s="42"/>
      <c r="C98" s="42" t="s">
        <v>175</v>
      </c>
      <c r="D98" s="41">
        <v>-631604</v>
      </c>
      <c r="E98" s="41">
        <v>0</v>
      </c>
      <c r="F98" s="41">
        <v>0</v>
      </c>
      <c r="G98" s="41">
        <v>1254685</v>
      </c>
      <c r="H98" s="41">
        <v>0</v>
      </c>
      <c r="I98" s="41">
        <v>0</v>
      </c>
      <c r="J98" s="41">
        <f>SUM(D98:I98)</f>
        <v>623081</v>
      </c>
    </row>
    <row r="99" spans="1:12" x14ac:dyDescent="0.2">
      <c r="A99" s="39">
        <f>A98+1</f>
        <v>19</v>
      </c>
      <c r="B99" s="42"/>
      <c r="C99" s="42" t="s">
        <v>182</v>
      </c>
      <c r="D99" s="41">
        <v>2115668</v>
      </c>
      <c r="E99" s="41">
        <v>0</v>
      </c>
      <c r="F99" s="41">
        <v>0</v>
      </c>
      <c r="G99" s="41">
        <v>-2115667</v>
      </c>
      <c r="H99" s="41">
        <v>0</v>
      </c>
      <c r="I99" s="41">
        <v>0</v>
      </c>
      <c r="J99" s="41">
        <f>SUM(D99:I99)</f>
        <v>1</v>
      </c>
    </row>
    <row r="100" spans="1:12" x14ac:dyDescent="0.2">
      <c r="A100" s="39">
        <f>A99+1</f>
        <v>20</v>
      </c>
      <c r="B100" s="42"/>
      <c r="C100" s="42" t="s">
        <v>201</v>
      </c>
      <c r="D100" s="41">
        <v>3923</v>
      </c>
      <c r="E100" s="41">
        <v>0</v>
      </c>
      <c r="F100" s="41">
        <v>0</v>
      </c>
      <c r="G100" s="41">
        <v>-3923</v>
      </c>
      <c r="H100" s="41">
        <v>0</v>
      </c>
      <c r="I100" s="41">
        <v>0</v>
      </c>
      <c r="J100" s="41">
        <f>SUM(D100:I100)</f>
        <v>0</v>
      </c>
    </row>
    <row r="101" spans="1:12" x14ac:dyDescent="0.2">
      <c r="A101" s="39">
        <f>A100+1</f>
        <v>21</v>
      </c>
      <c r="B101" s="42"/>
      <c r="C101" s="42" t="s">
        <v>183</v>
      </c>
      <c r="D101" s="41">
        <v>547488</v>
      </c>
      <c r="E101" s="41">
        <v>0</v>
      </c>
      <c r="F101" s="41">
        <v>0</v>
      </c>
      <c r="G101" s="41">
        <v>-547484</v>
      </c>
      <c r="H101" s="41">
        <v>0</v>
      </c>
      <c r="I101" s="41">
        <v>0</v>
      </c>
      <c r="J101" s="41">
        <f>SUM(D101:I101)</f>
        <v>4</v>
      </c>
    </row>
    <row r="102" spans="1:12" x14ac:dyDescent="0.2">
      <c r="A102" s="39">
        <f>A101+1</f>
        <v>22</v>
      </c>
      <c r="B102" s="42"/>
      <c r="C102" s="42" t="s">
        <v>251</v>
      </c>
      <c r="D102" s="41">
        <v>54640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f>SUM(D102:I102)</f>
        <v>54640</v>
      </c>
    </row>
    <row r="103" spans="1:12" x14ac:dyDescent="0.2">
      <c r="C103" s="41"/>
      <c r="D103" s="41"/>
      <c r="E103" s="41"/>
      <c r="F103" s="41"/>
      <c r="G103" s="41"/>
      <c r="H103" s="41"/>
      <c r="I103" s="41"/>
      <c r="J103" s="41"/>
    </row>
    <row r="104" spans="1:12" x14ac:dyDescent="0.2">
      <c r="A104" s="39">
        <f>A102+1</f>
        <v>23</v>
      </c>
      <c r="B104" s="42" t="s">
        <v>158</v>
      </c>
      <c r="D104" s="41">
        <f t="shared" ref="D104:J104" si="16">SUM(D80:D102)</f>
        <v>5817356845</v>
      </c>
      <c r="E104" s="41">
        <f t="shared" si="16"/>
        <v>0</v>
      </c>
      <c r="F104" s="41">
        <f t="shared" si="16"/>
        <v>4917155</v>
      </c>
      <c r="G104" s="41">
        <f t="shared" si="16"/>
        <v>247033536</v>
      </c>
      <c r="H104" s="41">
        <f t="shared" si="16"/>
        <v>0</v>
      </c>
      <c r="I104" s="41">
        <f t="shared" si="16"/>
        <v>4365314</v>
      </c>
      <c r="J104" s="41">
        <f t="shared" si="16"/>
        <v>6073672850</v>
      </c>
      <c r="K104" s="43"/>
    </row>
    <row r="105" spans="1:12" x14ac:dyDescent="0.2">
      <c r="C105" s="42"/>
      <c r="D105" s="41"/>
      <c r="E105" s="41"/>
      <c r="F105" s="41"/>
      <c r="G105" s="41"/>
      <c r="H105" s="41"/>
      <c r="I105" s="41"/>
      <c r="J105" s="41"/>
      <c r="K105" s="43"/>
    </row>
    <row r="106" spans="1:12" x14ac:dyDescent="0.2">
      <c r="B106" s="42" t="s">
        <v>156</v>
      </c>
      <c r="C106" s="42"/>
      <c r="D106" s="41"/>
      <c r="E106" s="41">
        <f>K106-D106</f>
        <v>0</v>
      </c>
      <c r="F106" s="41"/>
      <c r="G106" s="41"/>
      <c r="H106" s="41"/>
      <c r="I106" s="41"/>
      <c r="J106" s="41"/>
    </row>
    <row r="107" spans="1:12" x14ac:dyDescent="0.2">
      <c r="A107" s="39">
        <f>A104+1</f>
        <v>24</v>
      </c>
      <c r="B107" s="39" t="s">
        <v>153</v>
      </c>
      <c r="D107" s="41">
        <v>124283417</v>
      </c>
      <c r="E107" s="41">
        <v>0</v>
      </c>
      <c r="F107" s="194">
        <v>89255</v>
      </c>
      <c r="G107" s="41">
        <v>0</v>
      </c>
      <c r="H107" s="41">
        <v>0</v>
      </c>
      <c r="I107" s="41">
        <v>0</v>
      </c>
      <c r="J107" s="41">
        <f>SUM(D107:I107)</f>
        <v>124372672</v>
      </c>
      <c r="L107" s="41">
        <f>D107+F107</f>
        <v>124372672</v>
      </c>
    </row>
    <row r="108" spans="1:12" x14ac:dyDescent="0.2">
      <c r="A108" s="39">
        <f>A107+1</f>
        <v>25</v>
      </c>
      <c r="B108" s="39" t="s">
        <v>152</v>
      </c>
      <c r="D108" s="41">
        <v>75814974</v>
      </c>
      <c r="E108" s="41">
        <v>0</v>
      </c>
      <c r="F108" s="194">
        <v>54447</v>
      </c>
      <c r="G108" s="41">
        <v>0</v>
      </c>
      <c r="H108" s="41">
        <v>0</v>
      </c>
      <c r="I108" s="41">
        <v>0</v>
      </c>
      <c r="J108" s="41">
        <f>SUM(D108:I108)</f>
        <v>75869421</v>
      </c>
      <c r="L108" s="41">
        <f>D108+F108</f>
        <v>75869421</v>
      </c>
    </row>
    <row r="109" spans="1:12" x14ac:dyDescent="0.2">
      <c r="A109" s="39">
        <f>A108+1</f>
        <v>26</v>
      </c>
      <c r="B109" s="42" t="s">
        <v>174</v>
      </c>
      <c r="D109" s="41">
        <v>25205148</v>
      </c>
      <c r="E109" s="41">
        <v>0</v>
      </c>
      <c r="F109" s="194">
        <v>18101</v>
      </c>
      <c r="G109" s="41">
        <v>0</v>
      </c>
      <c r="H109" s="41">
        <v>0</v>
      </c>
      <c r="I109" s="41">
        <v>0</v>
      </c>
      <c r="J109" s="41">
        <f>SUM(D109:I109)</f>
        <v>25223249</v>
      </c>
      <c r="L109" s="41">
        <f>D109+F109</f>
        <v>25223249</v>
      </c>
    </row>
    <row r="110" spans="1:12" x14ac:dyDescent="0.2">
      <c r="A110" s="39">
        <f>A109+1</f>
        <v>27</v>
      </c>
      <c r="B110" s="42" t="s">
        <v>168</v>
      </c>
      <c r="C110" s="42"/>
      <c r="D110" s="41">
        <v>16808313</v>
      </c>
      <c r="E110" s="41">
        <v>0</v>
      </c>
      <c r="F110" s="41">
        <v>0</v>
      </c>
      <c r="G110" s="41">
        <v>0</v>
      </c>
      <c r="H110" s="41">
        <v>0</v>
      </c>
      <c r="I110" s="41">
        <v>0</v>
      </c>
      <c r="J110" s="41">
        <f>SUM(D110:I110)</f>
        <v>16808313</v>
      </c>
      <c r="K110" s="148"/>
      <c r="L110" s="41">
        <f>D110+F110</f>
        <v>16808313</v>
      </c>
    </row>
    <row r="111" spans="1:12" x14ac:dyDescent="0.2">
      <c r="A111" s="39">
        <f>A110+1</f>
        <v>28</v>
      </c>
      <c r="B111" s="39" t="s">
        <v>154</v>
      </c>
      <c r="D111" s="41">
        <v>712313033</v>
      </c>
      <c r="E111" s="41">
        <v>0</v>
      </c>
      <c r="F111" s="194">
        <v>533744</v>
      </c>
      <c r="G111" s="41">
        <v>0</v>
      </c>
      <c r="H111" s="41">
        <v>0</v>
      </c>
      <c r="I111" s="41">
        <v>0</v>
      </c>
      <c r="J111" s="41">
        <f>SUM(D111:I111)</f>
        <v>712846777</v>
      </c>
      <c r="K111" s="41"/>
      <c r="L111" s="41">
        <f>D111+F111</f>
        <v>712846777</v>
      </c>
    </row>
    <row r="112" spans="1:12" x14ac:dyDescent="0.2">
      <c r="D112" s="41"/>
      <c r="E112" s="41"/>
      <c r="F112" s="41"/>
      <c r="G112" s="41"/>
      <c r="H112" s="41"/>
      <c r="I112" s="41"/>
      <c r="J112" s="41"/>
    </row>
    <row r="113" spans="1:10" x14ac:dyDescent="0.2">
      <c r="A113" s="39">
        <f>A111+1</f>
        <v>29</v>
      </c>
      <c r="B113" s="42" t="s">
        <v>159</v>
      </c>
      <c r="C113" s="42"/>
      <c r="D113" s="41">
        <f t="shared" ref="D113:J113" si="17">SUM(D107:D111)</f>
        <v>954424885</v>
      </c>
      <c r="E113" s="41">
        <f t="shared" si="17"/>
        <v>0</v>
      </c>
      <c r="F113" s="41">
        <f t="shared" si="17"/>
        <v>695547</v>
      </c>
      <c r="G113" s="41">
        <f t="shared" si="17"/>
        <v>0</v>
      </c>
      <c r="H113" s="41">
        <f t="shared" si="17"/>
        <v>0</v>
      </c>
      <c r="I113" s="41">
        <f t="shared" si="17"/>
        <v>0</v>
      </c>
      <c r="J113" s="41">
        <f t="shared" si="17"/>
        <v>955120432</v>
      </c>
    </row>
    <row r="114" spans="1:10" x14ac:dyDescent="0.2">
      <c r="B114" s="42"/>
      <c r="C114" s="42"/>
      <c r="D114" s="41"/>
      <c r="E114" s="41"/>
      <c r="F114" s="41"/>
      <c r="G114" s="41"/>
      <c r="H114" s="41"/>
      <c r="I114" s="41"/>
      <c r="J114" s="41"/>
    </row>
    <row r="115" spans="1:10" x14ac:dyDescent="0.2">
      <c r="B115" s="42" t="s">
        <v>157</v>
      </c>
      <c r="C115" s="42"/>
      <c r="D115" s="41"/>
      <c r="E115" s="41"/>
      <c r="F115" s="41"/>
      <c r="G115" s="41"/>
      <c r="H115" s="41"/>
      <c r="I115" s="41"/>
      <c r="J115" s="41"/>
    </row>
    <row r="116" spans="1:10" x14ac:dyDescent="0.2">
      <c r="A116" s="39">
        <f>A113+1</f>
        <v>30</v>
      </c>
      <c r="B116" s="39" t="s">
        <v>141</v>
      </c>
      <c r="D116" s="41">
        <f t="shared" ref="D116:G118" si="18">D80</f>
        <v>4652654052</v>
      </c>
      <c r="E116" s="41">
        <f t="shared" si="18"/>
        <v>0</v>
      </c>
      <c r="F116" s="41">
        <f t="shared" si="18"/>
        <v>3340848</v>
      </c>
      <c r="G116" s="41">
        <f t="shared" si="18"/>
        <v>201037066</v>
      </c>
      <c r="H116" s="41">
        <f t="shared" ref="H116:I118" si="19">H80</f>
        <v>0</v>
      </c>
      <c r="I116" s="41">
        <f t="shared" si="19"/>
        <v>0</v>
      </c>
      <c r="J116" s="41">
        <f>SUM(D116:I116)</f>
        <v>4857031966</v>
      </c>
    </row>
    <row r="117" spans="1:10" x14ac:dyDescent="0.2">
      <c r="A117" s="39">
        <f>A116+1</f>
        <v>31</v>
      </c>
      <c r="B117" s="42" t="s">
        <v>167</v>
      </c>
      <c r="C117" s="42"/>
      <c r="D117" s="41">
        <f t="shared" si="18"/>
        <v>10896145</v>
      </c>
      <c r="E117" s="41">
        <f t="shared" si="18"/>
        <v>0</v>
      </c>
      <c r="F117" s="41">
        <f t="shared" si="18"/>
        <v>7824</v>
      </c>
      <c r="G117" s="41">
        <f t="shared" si="18"/>
        <v>470813</v>
      </c>
      <c r="H117" s="41">
        <f t="shared" si="19"/>
        <v>0</v>
      </c>
      <c r="I117" s="41">
        <f t="shared" si="19"/>
        <v>0</v>
      </c>
      <c r="J117" s="41">
        <f>SUM(D117:I117)</f>
        <v>11374782</v>
      </c>
    </row>
    <row r="118" spans="1:10" x14ac:dyDescent="0.2">
      <c r="A118" s="39">
        <f>A117+1</f>
        <v>32</v>
      </c>
      <c r="B118" s="39" t="s">
        <v>142</v>
      </c>
      <c r="D118" s="41">
        <f t="shared" si="18"/>
        <v>61975378</v>
      </c>
      <c r="E118" s="41">
        <f t="shared" si="18"/>
        <v>0</v>
      </c>
      <c r="F118" s="41">
        <f t="shared" si="18"/>
        <v>653342</v>
      </c>
      <c r="G118" s="41">
        <f t="shared" si="18"/>
        <v>2126260</v>
      </c>
      <c r="H118" s="41">
        <f t="shared" si="19"/>
        <v>0</v>
      </c>
      <c r="I118" s="41">
        <f t="shared" si="19"/>
        <v>0</v>
      </c>
      <c r="J118" s="41">
        <f>SUM(D118:I118)</f>
        <v>64754980</v>
      </c>
    </row>
    <row r="119" spans="1:10" x14ac:dyDescent="0.2">
      <c r="B119" s="42" t="s">
        <v>171</v>
      </c>
      <c r="D119" s="41"/>
      <c r="E119" s="41"/>
      <c r="F119" s="41"/>
      <c r="G119" s="41"/>
      <c r="H119" s="41"/>
      <c r="I119" s="41"/>
      <c r="J119" s="41"/>
    </row>
    <row r="120" spans="1:10" x14ac:dyDescent="0.2">
      <c r="A120" s="39">
        <f>A118+1</f>
        <v>33</v>
      </c>
      <c r="C120" s="39" t="s">
        <v>143</v>
      </c>
      <c r="D120" s="41">
        <f t="shared" ref="D120:I120" si="20">D84</f>
        <v>317455681</v>
      </c>
      <c r="E120" s="41">
        <f t="shared" si="20"/>
        <v>0</v>
      </c>
      <c r="F120" s="41">
        <f t="shared" si="20"/>
        <v>0</v>
      </c>
      <c r="G120" s="41">
        <f t="shared" si="20"/>
        <v>39275739</v>
      </c>
      <c r="H120" s="41">
        <f t="shared" si="20"/>
        <v>0</v>
      </c>
      <c r="I120" s="41">
        <f t="shared" si="20"/>
        <v>4440728</v>
      </c>
      <c r="J120" s="41">
        <f t="shared" ref="J120:J126" si="21">SUM(D120:I120)</f>
        <v>361172148</v>
      </c>
    </row>
    <row r="121" spans="1:10" x14ac:dyDescent="0.2">
      <c r="A121" s="39">
        <f t="shared" ref="A121:A133" si="22">A120+1</f>
        <v>34</v>
      </c>
      <c r="C121" s="39" t="s">
        <v>144</v>
      </c>
      <c r="D121" s="41">
        <f t="shared" ref="D121:I121" si="23">D85</f>
        <v>27700785</v>
      </c>
      <c r="E121" s="41">
        <f t="shared" si="23"/>
        <v>0</v>
      </c>
      <c r="F121" s="41">
        <f t="shared" si="23"/>
        <v>42000</v>
      </c>
      <c r="G121" s="41">
        <f t="shared" si="23"/>
        <v>4069646</v>
      </c>
      <c r="H121" s="41">
        <f t="shared" si="23"/>
        <v>0</v>
      </c>
      <c r="I121" s="41">
        <f t="shared" si="23"/>
        <v>0</v>
      </c>
      <c r="J121" s="41">
        <f t="shared" si="21"/>
        <v>31812431</v>
      </c>
    </row>
    <row r="122" spans="1:10" x14ac:dyDescent="0.2">
      <c r="A122" s="39">
        <f t="shared" si="22"/>
        <v>35</v>
      </c>
      <c r="B122" s="42"/>
      <c r="C122" s="42" t="s">
        <v>170</v>
      </c>
      <c r="D122" s="41">
        <f t="shared" ref="D122:I122" si="24">D86</f>
        <v>6927155</v>
      </c>
      <c r="E122" s="41">
        <f t="shared" si="24"/>
        <v>0</v>
      </c>
      <c r="F122" s="41">
        <f t="shared" si="24"/>
        <v>10992</v>
      </c>
      <c r="G122" s="41">
        <f t="shared" si="24"/>
        <v>1318470</v>
      </c>
      <c r="H122" s="41">
        <f t="shared" si="24"/>
        <v>0</v>
      </c>
      <c r="I122" s="41">
        <f t="shared" si="24"/>
        <v>0</v>
      </c>
      <c r="J122" s="41">
        <f t="shared" si="21"/>
        <v>8256617</v>
      </c>
    </row>
    <row r="123" spans="1:10" x14ac:dyDescent="0.2">
      <c r="A123" s="39">
        <f t="shared" si="22"/>
        <v>36</v>
      </c>
      <c r="B123" s="39" t="s">
        <v>145</v>
      </c>
      <c r="D123" s="41">
        <f t="shared" ref="D123:I123" si="25">D87</f>
        <v>22384620</v>
      </c>
      <c r="E123" s="41">
        <f t="shared" si="25"/>
        <v>0</v>
      </c>
      <c r="F123" s="41">
        <f t="shared" si="25"/>
        <v>16076</v>
      </c>
      <c r="G123" s="41">
        <f t="shared" si="25"/>
        <v>967096</v>
      </c>
      <c r="H123" s="41">
        <f t="shared" si="25"/>
        <v>0</v>
      </c>
      <c r="I123" s="41">
        <f t="shared" si="25"/>
        <v>0</v>
      </c>
      <c r="J123" s="41">
        <f t="shared" si="21"/>
        <v>23367792</v>
      </c>
    </row>
    <row r="124" spans="1:10" x14ac:dyDescent="0.2">
      <c r="A124" s="39">
        <f t="shared" si="22"/>
        <v>37</v>
      </c>
      <c r="B124" s="39" t="s">
        <v>146</v>
      </c>
      <c r="D124" s="41">
        <f t="shared" ref="D124:I124" si="26">D88</f>
        <v>58848833</v>
      </c>
      <c r="E124" s="41">
        <f t="shared" si="26"/>
        <v>0</v>
      </c>
      <c r="F124" s="41">
        <f t="shared" si="26"/>
        <v>42262</v>
      </c>
      <c r="G124" s="41">
        <f t="shared" si="26"/>
        <v>995585</v>
      </c>
      <c r="H124" s="41">
        <f t="shared" si="26"/>
        <v>0</v>
      </c>
      <c r="I124" s="41">
        <f t="shared" si="26"/>
        <v>0</v>
      </c>
      <c r="J124" s="41">
        <f t="shared" si="21"/>
        <v>59886680</v>
      </c>
    </row>
    <row r="125" spans="1:10" x14ac:dyDescent="0.2">
      <c r="A125" s="39">
        <f t="shared" si="22"/>
        <v>38</v>
      </c>
      <c r="B125" s="39" t="s">
        <v>148</v>
      </c>
      <c r="D125" s="41">
        <f t="shared" ref="D125:I125" si="27">D89</f>
        <v>647813</v>
      </c>
      <c r="E125" s="41">
        <f t="shared" si="27"/>
        <v>0</v>
      </c>
      <c r="F125" s="41">
        <f t="shared" si="27"/>
        <v>465</v>
      </c>
      <c r="G125" s="41">
        <f t="shared" si="27"/>
        <v>27857</v>
      </c>
      <c r="H125" s="41">
        <f t="shared" si="27"/>
        <v>0</v>
      </c>
      <c r="I125" s="41">
        <f t="shared" si="27"/>
        <v>0</v>
      </c>
      <c r="J125" s="41">
        <f t="shared" si="21"/>
        <v>676135</v>
      </c>
    </row>
    <row r="126" spans="1:10" x14ac:dyDescent="0.2">
      <c r="A126" s="39">
        <f t="shared" si="22"/>
        <v>39</v>
      </c>
      <c r="B126" s="39" t="s">
        <v>244</v>
      </c>
      <c r="D126" s="41">
        <f t="shared" ref="D126:I126" si="28">D90</f>
        <v>-2430314</v>
      </c>
      <c r="E126" s="41">
        <f t="shared" si="28"/>
        <v>0</v>
      </c>
      <c r="F126" s="41">
        <f t="shared" si="28"/>
        <v>0</v>
      </c>
      <c r="G126" s="41">
        <f t="shared" si="28"/>
        <v>0</v>
      </c>
      <c r="H126" s="41">
        <f t="shared" si="28"/>
        <v>0</v>
      </c>
      <c r="I126" s="41">
        <f t="shared" si="28"/>
        <v>-75414</v>
      </c>
      <c r="J126" s="41">
        <f t="shared" si="21"/>
        <v>-2505728</v>
      </c>
    </row>
    <row r="127" spans="1:10" x14ac:dyDescent="0.2">
      <c r="A127" s="39">
        <f t="shared" si="22"/>
        <v>40</v>
      </c>
      <c r="B127" s="42" t="s">
        <v>360</v>
      </c>
      <c r="D127" s="41">
        <f t="shared" ref="D127:I127" si="29">D91</f>
        <v>-481807468</v>
      </c>
      <c r="E127" s="41">
        <f t="shared" si="29"/>
        <v>0</v>
      </c>
      <c r="F127" s="41">
        <f t="shared" si="29"/>
        <v>0</v>
      </c>
      <c r="G127" s="41">
        <f t="shared" si="29"/>
        <v>-18192532</v>
      </c>
      <c r="H127" s="41">
        <f t="shared" si="29"/>
        <v>0</v>
      </c>
      <c r="I127" s="41">
        <f t="shared" si="29"/>
        <v>0</v>
      </c>
      <c r="J127" s="41">
        <f t="shared" ref="J127:J133" si="30">SUM(D127:I127)</f>
        <v>-500000000</v>
      </c>
    </row>
    <row r="128" spans="1:10" x14ac:dyDescent="0.2">
      <c r="A128" s="39">
        <f t="shared" si="22"/>
        <v>41</v>
      </c>
      <c r="B128" s="39" t="s">
        <v>147</v>
      </c>
      <c r="D128" s="41">
        <f t="shared" ref="D128:G131" si="31">D92-D107</f>
        <v>62084804</v>
      </c>
      <c r="E128" s="41">
        <f t="shared" si="31"/>
        <v>0</v>
      </c>
      <c r="F128" s="41">
        <f t="shared" si="31"/>
        <v>44586</v>
      </c>
      <c r="G128" s="41">
        <f t="shared" si="31"/>
        <v>8054803</v>
      </c>
      <c r="H128" s="41">
        <f t="shared" ref="H128:I131" si="32">H92-H107</f>
        <v>0</v>
      </c>
      <c r="I128" s="41">
        <f t="shared" si="32"/>
        <v>0</v>
      </c>
      <c r="J128" s="41">
        <f t="shared" si="30"/>
        <v>70184193</v>
      </c>
    </row>
    <row r="129" spans="1:10" x14ac:dyDescent="0.2">
      <c r="A129" s="39">
        <f t="shared" si="22"/>
        <v>42</v>
      </c>
      <c r="B129" s="39" t="s">
        <v>149</v>
      </c>
      <c r="D129" s="41">
        <f t="shared" si="31"/>
        <v>12885684</v>
      </c>
      <c r="E129" s="41">
        <f t="shared" si="31"/>
        <v>0</v>
      </c>
      <c r="F129" s="41">
        <f t="shared" si="31"/>
        <v>9254</v>
      </c>
      <c r="G129" s="41">
        <f t="shared" si="31"/>
        <v>3832831</v>
      </c>
      <c r="H129" s="41">
        <f t="shared" si="32"/>
        <v>0</v>
      </c>
      <c r="I129" s="41">
        <f t="shared" si="32"/>
        <v>0</v>
      </c>
      <c r="J129" s="41">
        <f t="shared" si="30"/>
        <v>16727769</v>
      </c>
    </row>
    <row r="130" spans="1:10" x14ac:dyDescent="0.2">
      <c r="A130" s="39">
        <f t="shared" si="22"/>
        <v>43</v>
      </c>
      <c r="B130" s="42" t="s">
        <v>173</v>
      </c>
      <c r="D130" s="41">
        <f t="shared" si="31"/>
        <v>2778719</v>
      </c>
      <c r="E130" s="41">
        <f t="shared" si="31"/>
        <v>0</v>
      </c>
      <c r="F130" s="41">
        <f t="shared" si="31"/>
        <v>1996</v>
      </c>
      <c r="G130" s="41">
        <f t="shared" si="31"/>
        <v>1470113</v>
      </c>
      <c r="H130" s="41">
        <f t="shared" si="32"/>
        <v>0</v>
      </c>
      <c r="I130" s="41">
        <f t="shared" si="32"/>
        <v>0</v>
      </c>
      <c r="J130" s="41">
        <f t="shared" si="30"/>
        <v>4250828</v>
      </c>
    </row>
    <row r="131" spans="1:10" x14ac:dyDescent="0.2">
      <c r="A131" s="39">
        <f t="shared" si="22"/>
        <v>44</v>
      </c>
      <c r="B131" s="42" t="s">
        <v>168</v>
      </c>
      <c r="C131" s="42"/>
      <c r="D131" s="41">
        <f t="shared" si="31"/>
        <v>38492706</v>
      </c>
      <c r="E131" s="41">
        <f t="shared" si="31"/>
        <v>0</v>
      </c>
      <c r="F131" s="41">
        <f t="shared" si="31"/>
        <v>0</v>
      </c>
      <c r="G131" s="41">
        <f t="shared" si="31"/>
        <v>2992178</v>
      </c>
      <c r="H131" s="41">
        <f t="shared" si="32"/>
        <v>0</v>
      </c>
      <c r="I131" s="41">
        <f t="shared" si="32"/>
        <v>0</v>
      </c>
      <c r="J131" s="41">
        <f t="shared" si="30"/>
        <v>41484884</v>
      </c>
    </row>
    <row r="132" spans="1:10" x14ac:dyDescent="0.2">
      <c r="A132" s="39">
        <f t="shared" si="22"/>
        <v>45</v>
      </c>
      <c r="B132" s="42" t="s">
        <v>163</v>
      </c>
      <c r="C132" s="42"/>
      <c r="D132" s="41">
        <f t="shared" ref="D132:I132" si="33">D96-D111-D133</f>
        <v>60728586</v>
      </c>
      <c r="E132" s="41">
        <f t="shared" si="33"/>
        <v>0</v>
      </c>
      <c r="F132" s="41">
        <f t="shared" si="33"/>
        <v>51963</v>
      </c>
      <c r="G132" s="41">
        <f t="shared" si="33"/>
        <v>0</v>
      </c>
      <c r="H132" s="41">
        <f t="shared" si="33"/>
        <v>0</v>
      </c>
      <c r="I132" s="41">
        <f t="shared" si="33"/>
        <v>0</v>
      </c>
      <c r="J132" s="41">
        <f t="shared" si="30"/>
        <v>60780549</v>
      </c>
    </row>
    <row r="133" spans="1:10" x14ac:dyDescent="0.2">
      <c r="A133" s="39">
        <f t="shared" si="22"/>
        <v>46</v>
      </c>
      <c r="B133" s="39" t="s">
        <v>151</v>
      </c>
      <c r="D133" s="41">
        <v>8618666</v>
      </c>
      <c r="E133" s="41">
        <v>0</v>
      </c>
      <c r="F133" s="41">
        <v>0</v>
      </c>
      <c r="G133" s="41">
        <v>0</v>
      </c>
      <c r="H133" s="41">
        <v>0</v>
      </c>
      <c r="I133" s="41">
        <v>0</v>
      </c>
      <c r="J133" s="41">
        <f t="shared" si="30"/>
        <v>8618666</v>
      </c>
    </row>
    <row r="134" spans="1:10" x14ac:dyDescent="0.2">
      <c r="B134" s="42" t="s">
        <v>172</v>
      </c>
      <c r="D134" s="41"/>
      <c r="E134" s="41"/>
      <c r="F134" s="41"/>
      <c r="G134" s="41"/>
      <c r="H134" s="41"/>
      <c r="I134" s="41"/>
      <c r="J134" s="41"/>
    </row>
    <row r="135" spans="1:10" x14ac:dyDescent="0.2">
      <c r="A135" s="39">
        <f>A133+1</f>
        <v>47</v>
      </c>
      <c r="B135" s="42"/>
      <c r="C135" s="42" t="s">
        <v>175</v>
      </c>
      <c r="D135" s="41">
        <f t="shared" ref="D135:G139" si="34">D98</f>
        <v>-631604</v>
      </c>
      <c r="E135" s="41">
        <f t="shared" si="34"/>
        <v>0</v>
      </c>
      <c r="F135" s="41">
        <f t="shared" si="34"/>
        <v>0</v>
      </c>
      <c r="G135" s="41">
        <f t="shared" si="34"/>
        <v>1254685</v>
      </c>
      <c r="H135" s="41">
        <f t="shared" ref="H135:I139" si="35">H98</f>
        <v>0</v>
      </c>
      <c r="I135" s="41">
        <f t="shared" si="35"/>
        <v>0</v>
      </c>
      <c r="J135" s="41">
        <f>SUM(D135:I135)</f>
        <v>623081</v>
      </c>
    </row>
    <row r="136" spans="1:10" x14ac:dyDescent="0.2">
      <c r="A136" s="39">
        <f>A135+1</f>
        <v>48</v>
      </c>
      <c r="B136" s="42"/>
      <c r="C136" s="42" t="s">
        <v>182</v>
      </c>
      <c r="D136" s="41">
        <f t="shared" si="34"/>
        <v>2115668</v>
      </c>
      <c r="E136" s="41">
        <f t="shared" si="34"/>
        <v>0</v>
      </c>
      <c r="F136" s="41">
        <f t="shared" si="34"/>
        <v>0</v>
      </c>
      <c r="G136" s="41">
        <f t="shared" si="34"/>
        <v>-2115667</v>
      </c>
      <c r="H136" s="41">
        <f t="shared" si="35"/>
        <v>0</v>
      </c>
      <c r="I136" s="41">
        <f t="shared" si="35"/>
        <v>0</v>
      </c>
      <c r="J136" s="41">
        <f>SUM(D136:I136)</f>
        <v>1</v>
      </c>
    </row>
    <row r="137" spans="1:10" x14ac:dyDescent="0.2">
      <c r="A137" s="39">
        <f>A136+1</f>
        <v>49</v>
      </c>
      <c r="B137" s="42"/>
      <c r="C137" s="42" t="s">
        <v>201</v>
      </c>
      <c r="D137" s="41">
        <f t="shared" si="34"/>
        <v>3923</v>
      </c>
      <c r="E137" s="41">
        <f t="shared" si="34"/>
        <v>0</v>
      </c>
      <c r="F137" s="41">
        <f t="shared" si="34"/>
        <v>0</v>
      </c>
      <c r="G137" s="41">
        <f t="shared" si="34"/>
        <v>-3923</v>
      </c>
      <c r="H137" s="41">
        <f t="shared" si="35"/>
        <v>0</v>
      </c>
      <c r="I137" s="41">
        <f t="shared" si="35"/>
        <v>0</v>
      </c>
      <c r="J137" s="41">
        <f>SUM(D137:I137)</f>
        <v>0</v>
      </c>
    </row>
    <row r="138" spans="1:10" x14ac:dyDescent="0.2">
      <c r="A138" s="39">
        <f>A137+1</f>
        <v>50</v>
      </c>
      <c r="B138" s="42"/>
      <c r="C138" s="42" t="s">
        <v>183</v>
      </c>
      <c r="D138" s="41">
        <f t="shared" si="34"/>
        <v>547488</v>
      </c>
      <c r="E138" s="41">
        <f t="shared" si="34"/>
        <v>0</v>
      </c>
      <c r="F138" s="41">
        <f t="shared" si="34"/>
        <v>0</v>
      </c>
      <c r="G138" s="41">
        <f t="shared" si="34"/>
        <v>-547484</v>
      </c>
      <c r="H138" s="41">
        <f t="shared" si="35"/>
        <v>0</v>
      </c>
      <c r="I138" s="41">
        <f t="shared" si="35"/>
        <v>0</v>
      </c>
      <c r="J138" s="41">
        <f>SUM(D138:I138)</f>
        <v>4</v>
      </c>
    </row>
    <row r="139" spans="1:10" x14ac:dyDescent="0.2">
      <c r="A139" s="39">
        <f>A138+1</f>
        <v>51</v>
      </c>
      <c r="B139" s="42"/>
      <c r="C139" s="42" t="s">
        <v>251</v>
      </c>
      <c r="D139" s="41">
        <f t="shared" si="34"/>
        <v>54640</v>
      </c>
      <c r="E139" s="41">
        <f t="shared" si="34"/>
        <v>0</v>
      </c>
      <c r="F139" s="41">
        <f t="shared" si="34"/>
        <v>0</v>
      </c>
      <c r="G139" s="41">
        <f t="shared" si="34"/>
        <v>0</v>
      </c>
      <c r="H139" s="41">
        <f t="shared" si="35"/>
        <v>0</v>
      </c>
      <c r="I139" s="41">
        <f t="shared" si="35"/>
        <v>0</v>
      </c>
      <c r="J139" s="41">
        <f>SUM(D139:I139)</f>
        <v>54640</v>
      </c>
    </row>
    <row r="140" spans="1:10" x14ac:dyDescent="0.2">
      <c r="D140" s="41"/>
      <c r="E140" s="41"/>
      <c r="F140" s="41"/>
      <c r="G140" s="41"/>
      <c r="H140" s="41"/>
      <c r="I140" s="41"/>
      <c r="J140" s="41"/>
    </row>
    <row r="141" spans="1:10" x14ac:dyDescent="0.2">
      <c r="A141" s="39">
        <f>A139+1</f>
        <v>52</v>
      </c>
      <c r="B141" s="42" t="s">
        <v>184</v>
      </c>
      <c r="C141" s="42"/>
      <c r="D141" s="41">
        <f t="shared" ref="D141:J141" si="36">SUM(D116:D139)</f>
        <v>4862931960</v>
      </c>
      <c r="E141" s="41">
        <f t="shared" si="36"/>
        <v>0</v>
      </c>
      <c r="F141" s="41">
        <f t="shared" si="36"/>
        <v>4221608</v>
      </c>
      <c r="G141" s="41">
        <f t="shared" si="36"/>
        <v>247033536</v>
      </c>
      <c r="H141" s="41">
        <f t="shared" si="36"/>
        <v>0</v>
      </c>
      <c r="I141" s="41">
        <f t="shared" si="36"/>
        <v>4365314</v>
      </c>
      <c r="J141" s="41">
        <f t="shared" si="36"/>
        <v>5118552418</v>
      </c>
    </row>
    <row r="142" spans="1:10" x14ac:dyDescent="0.2">
      <c r="A142" s="39">
        <f>A141+1</f>
        <v>53</v>
      </c>
      <c r="B142" s="173" t="s">
        <v>397</v>
      </c>
      <c r="C142" s="42"/>
      <c r="D142" s="41">
        <f t="shared" ref="D142:J142" si="37">D141</f>
        <v>4862931960</v>
      </c>
      <c r="E142" s="41">
        <f t="shared" si="37"/>
        <v>0</v>
      </c>
      <c r="F142" s="41">
        <f t="shared" si="37"/>
        <v>4221608</v>
      </c>
      <c r="G142" s="41">
        <f t="shared" si="37"/>
        <v>247033536</v>
      </c>
      <c r="H142" s="41">
        <f t="shared" si="37"/>
        <v>0</v>
      </c>
      <c r="I142" s="41">
        <f t="shared" si="37"/>
        <v>4365314</v>
      </c>
      <c r="J142" s="41">
        <f t="shared" si="37"/>
        <v>5118552418</v>
      </c>
    </row>
    <row r="143" spans="1:10" x14ac:dyDescent="0.2">
      <c r="A143" s="39">
        <f>A142+1</f>
        <v>54</v>
      </c>
      <c r="B143" s="42" t="s">
        <v>303</v>
      </c>
      <c r="C143" s="42"/>
      <c r="D143" s="127" t="s">
        <v>302</v>
      </c>
      <c r="E143" s="127" t="s">
        <v>302</v>
      </c>
      <c r="F143" s="127" t="s">
        <v>302</v>
      </c>
      <c r="G143" s="127" t="s">
        <v>302</v>
      </c>
      <c r="H143" s="127" t="s">
        <v>302</v>
      </c>
      <c r="I143" s="127" t="s">
        <v>302</v>
      </c>
      <c r="J143" s="127" t="s">
        <v>302</v>
      </c>
    </row>
    <row r="144" spans="1:10" x14ac:dyDescent="0.2">
      <c r="B144" s="42"/>
      <c r="C144" s="42"/>
      <c r="D144" s="41"/>
      <c r="E144" s="41"/>
      <c r="F144" s="41"/>
      <c r="G144" s="41"/>
      <c r="H144" s="41"/>
      <c r="I144" s="41"/>
      <c r="J144" s="41"/>
    </row>
    <row r="145" spans="1:11" x14ac:dyDescent="0.2">
      <c r="A145" s="39">
        <f>A143+1</f>
        <v>55</v>
      </c>
      <c r="B145" s="42" t="s">
        <v>166</v>
      </c>
      <c r="C145" s="42"/>
      <c r="D145" s="41">
        <v>-29560536</v>
      </c>
      <c r="E145" s="41">
        <v>0</v>
      </c>
      <c r="F145" s="41">
        <v>0</v>
      </c>
      <c r="G145" s="41">
        <v>-1297222</v>
      </c>
      <c r="H145" s="41">
        <v>0</v>
      </c>
      <c r="I145" s="41">
        <v>0</v>
      </c>
      <c r="J145" s="41">
        <f>SUM(D145:I145)</f>
        <v>-30857758</v>
      </c>
      <c r="K145" s="43"/>
    </row>
    <row r="146" spans="1:11" x14ac:dyDescent="0.2">
      <c r="D146" s="41"/>
      <c r="E146" s="41"/>
      <c r="F146" s="41"/>
      <c r="G146" s="41"/>
      <c r="H146" s="41"/>
      <c r="I146" s="41"/>
      <c r="J146" s="41"/>
    </row>
    <row r="147" spans="1:11" x14ac:dyDescent="0.2">
      <c r="A147" s="107" t="s">
        <v>162</v>
      </c>
      <c r="B147" s="107"/>
      <c r="C147" s="108"/>
      <c r="D147" s="109" t="s">
        <v>176</v>
      </c>
      <c r="E147" s="109" t="s">
        <v>181</v>
      </c>
      <c r="F147" s="109" t="s">
        <v>177</v>
      </c>
      <c r="G147" s="109" t="s">
        <v>178</v>
      </c>
      <c r="H147" s="109" t="s">
        <v>179</v>
      </c>
      <c r="I147" s="109" t="s">
        <v>370</v>
      </c>
      <c r="J147" s="109" t="s">
        <v>180</v>
      </c>
    </row>
    <row r="149" spans="1:11" x14ac:dyDescent="0.2">
      <c r="A149" s="39">
        <v>1</v>
      </c>
      <c r="B149" s="39" t="s">
        <v>140</v>
      </c>
      <c r="D149" s="43">
        <f t="shared" ref="D149:J149" si="38">D5-D77</f>
        <v>8</v>
      </c>
      <c r="E149" s="43">
        <f t="shared" si="38"/>
        <v>0</v>
      </c>
      <c r="F149" s="43">
        <f t="shared" si="38"/>
        <v>-652</v>
      </c>
      <c r="G149" s="43">
        <f t="shared" si="38"/>
        <v>68</v>
      </c>
      <c r="H149" s="43">
        <f>H5-H77</f>
        <v>0</v>
      </c>
      <c r="I149" s="43">
        <f t="shared" si="38"/>
        <v>0</v>
      </c>
      <c r="J149" s="43">
        <f t="shared" si="38"/>
        <v>-576</v>
      </c>
    </row>
    <row r="150" spans="1:11" x14ac:dyDescent="0.2">
      <c r="E150" s="43"/>
      <c r="F150" s="43"/>
      <c r="G150" s="43"/>
      <c r="H150" s="43"/>
      <c r="I150" s="43"/>
      <c r="J150" s="43"/>
    </row>
    <row r="151" spans="1:11" x14ac:dyDescent="0.2">
      <c r="B151" s="42" t="s">
        <v>155</v>
      </c>
      <c r="D151" s="40"/>
      <c r="E151" s="40"/>
      <c r="F151" s="40"/>
      <c r="G151" s="40"/>
      <c r="H151" s="40"/>
      <c r="I151" s="40"/>
      <c r="J151" s="40"/>
    </row>
    <row r="152" spans="1:11" x14ac:dyDescent="0.2">
      <c r="A152" s="39">
        <f>A149+1</f>
        <v>2</v>
      </c>
      <c r="B152" s="39" t="s">
        <v>141</v>
      </c>
      <c r="D152" s="43">
        <f t="shared" ref="D152:J154" si="39">D8-D80</f>
        <v>-786073</v>
      </c>
      <c r="E152" s="43">
        <f t="shared" si="39"/>
        <v>250000</v>
      </c>
      <c r="F152" s="43">
        <f t="shared" si="39"/>
        <v>-3340848</v>
      </c>
      <c r="G152" s="43">
        <f t="shared" si="39"/>
        <v>339875</v>
      </c>
      <c r="H152" s="43">
        <f>H8-H80</f>
        <v>0</v>
      </c>
      <c r="I152" s="43">
        <f t="shared" si="39"/>
        <v>0</v>
      </c>
      <c r="J152" s="43">
        <f t="shared" si="39"/>
        <v>-3537046</v>
      </c>
    </row>
    <row r="153" spans="1:11" x14ac:dyDescent="0.2">
      <c r="A153" s="39">
        <f>A152+1</f>
        <v>3</v>
      </c>
      <c r="B153" s="42" t="s">
        <v>167</v>
      </c>
      <c r="C153" s="42"/>
      <c r="D153" s="43">
        <f t="shared" si="39"/>
        <v>-1841</v>
      </c>
      <c r="E153" s="43">
        <f t="shared" si="39"/>
        <v>0</v>
      </c>
      <c r="F153" s="43">
        <f t="shared" si="39"/>
        <v>-7824</v>
      </c>
      <c r="G153" s="43">
        <f t="shared" si="39"/>
        <v>796</v>
      </c>
      <c r="H153" s="43">
        <f>H9-H81</f>
        <v>0</v>
      </c>
      <c r="I153" s="43">
        <f t="shared" si="39"/>
        <v>0</v>
      </c>
      <c r="J153" s="43">
        <f t="shared" si="39"/>
        <v>-8869</v>
      </c>
    </row>
    <row r="154" spans="1:11" x14ac:dyDescent="0.2">
      <c r="A154" s="39">
        <f>A153+1</f>
        <v>4</v>
      </c>
      <c r="B154" s="39" t="s">
        <v>142</v>
      </c>
      <c r="D154" s="43">
        <f t="shared" si="39"/>
        <v>424810</v>
      </c>
      <c r="E154" s="43">
        <f t="shared" si="39"/>
        <v>0</v>
      </c>
      <c r="F154" s="43">
        <f t="shared" si="39"/>
        <v>-653342</v>
      </c>
      <c r="G154" s="43">
        <f t="shared" si="39"/>
        <v>38925</v>
      </c>
      <c r="H154" s="43">
        <f>H10-H82</f>
        <v>0</v>
      </c>
      <c r="I154" s="43">
        <f t="shared" si="39"/>
        <v>0</v>
      </c>
      <c r="J154" s="43">
        <f t="shared" si="39"/>
        <v>-189607</v>
      </c>
    </row>
    <row r="155" spans="1:11" x14ac:dyDescent="0.2">
      <c r="B155" s="42" t="s">
        <v>171</v>
      </c>
      <c r="D155" s="43"/>
      <c r="E155" s="43"/>
      <c r="F155" s="43"/>
      <c r="G155" s="43"/>
      <c r="H155" s="43"/>
      <c r="I155" s="43"/>
      <c r="J155" s="43"/>
    </row>
    <row r="156" spans="1:11" x14ac:dyDescent="0.2">
      <c r="A156" s="39">
        <f>A154+1</f>
        <v>5</v>
      </c>
      <c r="C156" s="39" t="s">
        <v>143</v>
      </c>
      <c r="D156" s="43">
        <f t="shared" ref="D156:J168" si="40">D12-D84</f>
        <v>0</v>
      </c>
      <c r="E156" s="43">
        <f t="shared" si="40"/>
        <v>0</v>
      </c>
      <c r="F156" s="43">
        <f t="shared" si="40"/>
        <v>0</v>
      </c>
      <c r="G156" s="43">
        <f t="shared" si="40"/>
        <v>-14880</v>
      </c>
      <c r="H156" s="43">
        <f t="shared" ref="H156:H168" si="41">H12-H84</f>
        <v>0</v>
      </c>
      <c r="I156" s="43">
        <f t="shared" si="40"/>
        <v>0</v>
      </c>
      <c r="J156" s="43">
        <f t="shared" si="40"/>
        <v>-14880</v>
      </c>
    </row>
    <row r="157" spans="1:11" x14ac:dyDescent="0.2">
      <c r="A157" s="39">
        <f t="shared" ref="A157:A168" si="42">A156+1</f>
        <v>6</v>
      </c>
      <c r="C157" s="39" t="s">
        <v>144</v>
      </c>
      <c r="D157" s="43">
        <f t="shared" si="40"/>
        <v>35903</v>
      </c>
      <c r="E157" s="43">
        <f t="shared" si="40"/>
        <v>0</v>
      </c>
      <c r="F157" s="43">
        <f t="shared" si="40"/>
        <v>-42000</v>
      </c>
      <c r="G157" s="43">
        <f t="shared" si="40"/>
        <v>1603</v>
      </c>
      <c r="H157" s="43">
        <f t="shared" si="41"/>
        <v>0</v>
      </c>
      <c r="I157" s="43">
        <f t="shared" si="40"/>
        <v>0</v>
      </c>
      <c r="J157" s="43">
        <f t="shared" si="40"/>
        <v>-4494</v>
      </c>
    </row>
    <row r="158" spans="1:11" x14ac:dyDescent="0.2">
      <c r="A158" s="39">
        <f t="shared" si="42"/>
        <v>7</v>
      </c>
      <c r="B158" s="42"/>
      <c r="C158" s="42" t="s">
        <v>170</v>
      </c>
      <c r="D158" s="43">
        <f t="shared" si="40"/>
        <v>12173</v>
      </c>
      <c r="E158" s="43">
        <f t="shared" si="40"/>
        <v>0</v>
      </c>
      <c r="F158" s="43">
        <f t="shared" si="40"/>
        <v>-10992</v>
      </c>
      <c r="G158" s="43">
        <f t="shared" si="40"/>
        <v>478</v>
      </c>
      <c r="H158" s="43">
        <f t="shared" si="41"/>
        <v>0</v>
      </c>
      <c r="I158" s="43">
        <f t="shared" si="40"/>
        <v>0</v>
      </c>
      <c r="J158" s="43">
        <f t="shared" si="40"/>
        <v>1659</v>
      </c>
    </row>
    <row r="159" spans="1:11" x14ac:dyDescent="0.2">
      <c r="A159" s="39">
        <f t="shared" si="42"/>
        <v>8</v>
      </c>
      <c r="B159" s="39" t="s">
        <v>145</v>
      </c>
      <c r="D159" s="43">
        <f t="shared" si="40"/>
        <v>14503</v>
      </c>
      <c r="E159" s="43">
        <f t="shared" si="40"/>
        <v>0</v>
      </c>
      <c r="F159" s="43">
        <f t="shared" si="40"/>
        <v>-16076</v>
      </c>
      <c r="G159" s="43">
        <f t="shared" si="40"/>
        <v>2414</v>
      </c>
      <c r="H159" s="43">
        <f t="shared" si="41"/>
        <v>0</v>
      </c>
      <c r="I159" s="43">
        <f t="shared" si="40"/>
        <v>0</v>
      </c>
      <c r="J159" s="43">
        <f t="shared" si="40"/>
        <v>841</v>
      </c>
    </row>
    <row r="160" spans="1:11" x14ac:dyDescent="0.2">
      <c r="A160" s="39">
        <f t="shared" si="42"/>
        <v>9</v>
      </c>
      <c r="B160" s="39" t="s">
        <v>146</v>
      </c>
      <c r="D160" s="43">
        <f t="shared" si="40"/>
        <v>-11049</v>
      </c>
      <c r="E160" s="43">
        <f t="shared" si="40"/>
        <v>0</v>
      </c>
      <c r="F160" s="43">
        <f t="shared" si="40"/>
        <v>-42262</v>
      </c>
      <c r="G160" s="43">
        <f t="shared" si="40"/>
        <v>-140</v>
      </c>
      <c r="H160" s="43">
        <f t="shared" si="41"/>
        <v>0</v>
      </c>
      <c r="I160" s="43">
        <f t="shared" si="40"/>
        <v>0</v>
      </c>
      <c r="J160" s="43">
        <f t="shared" si="40"/>
        <v>-53451</v>
      </c>
    </row>
    <row r="161" spans="1:10" x14ac:dyDescent="0.2">
      <c r="A161" s="39">
        <f t="shared" si="42"/>
        <v>10</v>
      </c>
      <c r="B161" s="39" t="s">
        <v>148</v>
      </c>
      <c r="D161" s="43">
        <f t="shared" si="40"/>
        <v>133</v>
      </c>
      <c r="E161" s="43">
        <f t="shared" si="40"/>
        <v>0</v>
      </c>
      <c r="F161" s="43">
        <f t="shared" si="40"/>
        <v>-465</v>
      </c>
      <c r="G161" s="43">
        <f t="shared" si="40"/>
        <v>47</v>
      </c>
      <c r="H161" s="43">
        <f t="shared" si="41"/>
        <v>0</v>
      </c>
      <c r="I161" s="43">
        <f t="shared" si="40"/>
        <v>0</v>
      </c>
      <c r="J161" s="43">
        <f t="shared" si="40"/>
        <v>-285</v>
      </c>
    </row>
    <row r="162" spans="1:10" x14ac:dyDescent="0.2">
      <c r="A162" s="39">
        <f t="shared" si="42"/>
        <v>11</v>
      </c>
      <c r="B162" s="39" t="s">
        <v>244</v>
      </c>
      <c r="D162" s="43">
        <f t="shared" si="40"/>
        <v>-1342</v>
      </c>
      <c r="E162" s="43">
        <f t="shared" si="40"/>
        <v>0</v>
      </c>
      <c r="F162" s="43">
        <f t="shared" si="40"/>
        <v>0</v>
      </c>
      <c r="G162" s="43">
        <f t="shared" si="40"/>
        <v>0</v>
      </c>
      <c r="H162" s="43">
        <f t="shared" si="41"/>
        <v>0</v>
      </c>
      <c r="I162" s="43">
        <f t="shared" si="40"/>
        <v>0</v>
      </c>
      <c r="J162" s="43">
        <f t="shared" si="40"/>
        <v>-1342</v>
      </c>
    </row>
    <row r="163" spans="1:10" x14ac:dyDescent="0.2">
      <c r="A163" s="39">
        <f t="shared" si="42"/>
        <v>12</v>
      </c>
      <c r="B163" s="42" t="s">
        <v>360</v>
      </c>
      <c r="D163" s="43">
        <f t="shared" si="40"/>
        <v>0</v>
      </c>
      <c r="E163" s="43">
        <f t="shared" si="40"/>
        <v>0</v>
      </c>
      <c r="F163" s="43">
        <f t="shared" si="40"/>
        <v>0</v>
      </c>
      <c r="G163" s="43">
        <f t="shared" si="40"/>
        <v>0</v>
      </c>
      <c r="H163" s="43">
        <f t="shared" si="41"/>
        <v>0</v>
      </c>
      <c r="I163" s="43">
        <f t="shared" si="40"/>
        <v>0</v>
      </c>
      <c r="J163" s="43">
        <f t="shared" si="40"/>
        <v>0</v>
      </c>
    </row>
    <row r="164" spans="1:10" x14ac:dyDescent="0.2">
      <c r="A164" s="39">
        <f t="shared" si="42"/>
        <v>13</v>
      </c>
      <c r="B164" s="39" t="s">
        <v>147</v>
      </c>
      <c r="D164" s="43">
        <f t="shared" si="40"/>
        <v>-27271</v>
      </c>
      <c r="E164" s="43">
        <f t="shared" si="40"/>
        <v>0</v>
      </c>
      <c r="F164" s="43">
        <f t="shared" si="40"/>
        <v>-133841</v>
      </c>
      <c r="G164" s="43">
        <f t="shared" si="40"/>
        <v>14007</v>
      </c>
      <c r="H164" s="43">
        <f t="shared" si="41"/>
        <v>0</v>
      </c>
      <c r="I164" s="43">
        <f t="shared" si="40"/>
        <v>0</v>
      </c>
      <c r="J164" s="43">
        <f t="shared" si="40"/>
        <v>-147105</v>
      </c>
    </row>
    <row r="165" spans="1:10" x14ac:dyDescent="0.2">
      <c r="A165" s="39">
        <f t="shared" si="42"/>
        <v>14</v>
      </c>
      <c r="B165" s="39" t="s">
        <v>149</v>
      </c>
      <c r="D165" s="43">
        <f t="shared" si="40"/>
        <v>-20809</v>
      </c>
      <c r="E165" s="43">
        <f t="shared" si="40"/>
        <v>0</v>
      </c>
      <c r="F165" s="43">
        <f t="shared" si="40"/>
        <v>-63701</v>
      </c>
      <c r="G165" s="43">
        <f t="shared" si="40"/>
        <v>6090</v>
      </c>
      <c r="H165" s="43">
        <f t="shared" si="41"/>
        <v>0</v>
      </c>
      <c r="I165" s="43">
        <f t="shared" si="40"/>
        <v>0</v>
      </c>
      <c r="J165" s="43">
        <f t="shared" si="40"/>
        <v>-78420</v>
      </c>
    </row>
    <row r="166" spans="1:10" x14ac:dyDescent="0.2">
      <c r="A166" s="39">
        <f t="shared" si="42"/>
        <v>15</v>
      </c>
      <c r="B166" s="42" t="s">
        <v>173</v>
      </c>
      <c r="D166" s="43">
        <f t="shared" si="40"/>
        <v>-3588</v>
      </c>
      <c r="E166" s="43">
        <f t="shared" si="40"/>
        <v>0</v>
      </c>
      <c r="F166" s="43">
        <f t="shared" si="40"/>
        <v>-20097</v>
      </c>
      <c r="G166" s="43">
        <f t="shared" si="40"/>
        <v>2757</v>
      </c>
      <c r="H166" s="43">
        <f t="shared" si="41"/>
        <v>0</v>
      </c>
      <c r="I166" s="43">
        <f t="shared" si="40"/>
        <v>0</v>
      </c>
      <c r="J166" s="43">
        <f t="shared" si="40"/>
        <v>-20928</v>
      </c>
    </row>
    <row r="167" spans="1:10" x14ac:dyDescent="0.2">
      <c r="A167" s="39">
        <f t="shared" si="42"/>
        <v>16</v>
      </c>
      <c r="B167" s="42" t="s">
        <v>168</v>
      </c>
      <c r="C167" s="42"/>
      <c r="D167" s="43">
        <f t="shared" si="40"/>
        <v>-1555</v>
      </c>
      <c r="E167" s="43">
        <f t="shared" si="40"/>
        <v>0</v>
      </c>
      <c r="F167" s="43">
        <f t="shared" si="40"/>
        <v>0</v>
      </c>
      <c r="G167" s="43">
        <f t="shared" si="40"/>
        <v>-122</v>
      </c>
      <c r="H167" s="43">
        <f t="shared" si="41"/>
        <v>0</v>
      </c>
      <c r="I167" s="43">
        <f t="shared" si="40"/>
        <v>0</v>
      </c>
      <c r="J167" s="43">
        <f t="shared" si="40"/>
        <v>-1677</v>
      </c>
    </row>
    <row r="168" spans="1:10" x14ac:dyDescent="0.2">
      <c r="A168" s="39">
        <f t="shared" si="42"/>
        <v>17</v>
      </c>
      <c r="B168" s="39" t="s">
        <v>150</v>
      </c>
      <c r="D168" s="43">
        <f t="shared" si="40"/>
        <v>14855</v>
      </c>
      <c r="E168" s="43">
        <f t="shared" si="40"/>
        <v>0</v>
      </c>
      <c r="F168" s="43">
        <f t="shared" si="40"/>
        <v>-585707</v>
      </c>
      <c r="G168" s="43">
        <f t="shared" si="40"/>
        <v>0</v>
      </c>
      <c r="H168" s="43">
        <f t="shared" si="41"/>
        <v>0</v>
      </c>
      <c r="I168" s="43">
        <f t="shared" si="40"/>
        <v>0</v>
      </c>
      <c r="J168" s="43">
        <f t="shared" si="40"/>
        <v>-570852</v>
      </c>
    </row>
    <row r="169" spans="1:10" x14ac:dyDescent="0.2">
      <c r="B169" s="42" t="s">
        <v>172</v>
      </c>
      <c r="D169" s="43"/>
      <c r="E169" s="43"/>
      <c r="F169" s="43"/>
      <c r="G169" s="43"/>
      <c r="H169" s="43"/>
      <c r="I169" s="43"/>
      <c r="J169" s="43"/>
    </row>
    <row r="170" spans="1:10" x14ac:dyDescent="0.2">
      <c r="A170" s="39">
        <f>A168+1</f>
        <v>18</v>
      </c>
      <c r="B170" s="42"/>
      <c r="C170" s="42" t="s">
        <v>175</v>
      </c>
      <c r="D170" s="43">
        <f t="shared" ref="D170:J174" si="43">D26-D98</f>
        <v>-19372</v>
      </c>
      <c r="E170" s="43">
        <f t="shared" si="43"/>
        <v>0</v>
      </c>
      <c r="F170" s="43">
        <f t="shared" si="43"/>
        <v>0</v>
      </c>
      <c r="G170" s="43">
        <f t="shared" si="43"/>
        <v>3639</v>
      </c>
      <c r="H170" s="43">
        <f>H26-H98</f>
        <v>0</v>
      </c>
      <c r="I170" s="43">
        <f t="shared" si="43"/>
        <v>0</v>
      </c>
      <c r="J170" s="43">
        <f t="shared" si="43"/>
        <v>-15733</v>
      </c>
    </row>
    <row r="171" spans="1:10" x14ac:dyDescent="0.2">
      <c r="A171" s="39">
        <f>A170+1</f>
        <v>19</v>
      </c>
      <c r="B171" s="42"/>
      <c r="C171" s="42" t="s">
        <v>182</v>
      </c>
      <c r="D171" s="43">
        <f t="shared" si="43"/>
        <v>89</v>
      </c>
      <c r="E171" s="43">
        <f t="shared" si="43"/>
        <v>0</v>
      </c>
      <c r="F171" s="43">
        <f t="shared" si="43"/>
        <v>0</v>
      </c>
      <c r="G171" s="43">
        <f t="shared" si="43"/>
        <v>-90</v>
      </c>
      <c r="H171" s="43">
        <f>H27-H99</f>
        <v>0</v>
      </c>
      <c r="I171" s="43">
        <f t="shared" si="43"/>
        <v>0</v>
      </c>
      <c r="J171" s="43">
        <f t="shared" si="43"/>
        <v>-1</v>
      </c>
    </row>
    <row r="172" spans="1:10" x14ac:dyDescent="0.2">
      <c r="A172" s="39">
        <f>A171+1</f>
        <v>20</v>
      </c>
      <c r="B172" s="42"/>
      <c r="C172" s="42" t="s">
        <v>201</v>
      </c>
      <c r="D172" s="43">
        <f t="shared" si="43"/>
        <v>-56</v>
      </c>
      <c r="E172" s="43">
        <f t="shared" si="43"/>
        <v>0</v>
      </c>
      <c r="F172" s="43">
        <f t="shared" si="43"/>
        <v>0</v>
      </c>
      <c r="G172" s="43">
        <f t="shared" si="43"/>
        <v>56</v>
      </c>
      <c r="H172" s="43">
        <f>H28-H100</f>
        <v>0</v>
      </c>
      <c r="I172" s="43">
        <f t="shared" si="43"/>
        <v>0</v>
      </c>
      <c r="J172" s="43">
        <f t="shared" si="43"/>
        <v>0</v>
      </c>
    </row>
    <row r="173" spans="1:10" x14ac:dyDescent="0.2">
      <c r="A173" s="39">
        <f>A172+1</f>
        <v>21</v>
      </c>
      <c r="B173" s="42"/>
      <c r="C173" s="42" t="s">
        <v>183</v>
      </c>
      <c r="D173" s="43">
        <f t="shared" si="43"/>
        <v>-24</v>
      </c>
      <c r="E173" s="43">
        <f t="shared" si="43"/>
        <v>0</v>
      </c>
      <c r="F173" s="43">
        <f t="shared" si="43"/>
        <v>0</v>
      </c>
      <c r="G173" s="43">
        <f t="shared" si="43"/>
        <v>24</v>
      </c>
      <c r="H173" s="43">
        <f>H29-H101</f>
        <v>0</v>
      </c>
      <c r="I173" s="43">
        <f t="shared" si="43"/>
        <v>0</v>
      </c>
      <c r="J173" s="43">
        <f t="shared" si="43"/>
        <v>0</v>
      </c>
    </row>
    <row r="174" spans="1:10" x14ac:dyDescent="0.2">
      <c r="A174" s="39">
        <f>A173+1</f>
        <v>22</v>
      </c>
      <c r="B174" s="42"/>
      <c r="C174" s="42" t="s">
        <v>251</v>
      </c>
      <c r="D174" s="43">
        <f t="shared" si="43"/>
        <v>-55089</v>
      </c>
      <c r="E174" s="43">
        <f t="shared" si="43"/>
        <v>0</v>
      </c>
      <c r="F174" s="43">
        <f t="shared" si="43"/>
        <v>0</v>
      </c>
      <c r="G174" s="43">
        <f t="shared" si="43"/>
        <v>0</v>
      </c>
      <c r="H174" s="43">
        <f>H30-H102</f>
        <v>0</v>
      </c>
      <c r="I174" s="43">
        <f t="shared" si="43"/>
        <v>0</v>
      </c>
      <c r="J174" s="43">
        <f t="shared" si="43"/>
        <v>-55089</v>
      </c>
    </row>
    <row r="175" spans="1:10" x14ac:dyDescent="0.2">
      <c r="D175" s="41"/>
      <c r="E175" s="41"/>
      <c r="F175" s="41"/>
      <c r="G175" s="41"/>
      <c r="H175" s="41"/>
      <c r="I175" s="41"/>
      <c r="J175" s="41"/>
    </row>
    <row r="176" spans="1:10" x14ac:dyDescent="0.2">
      <c r="A176" s="39">
        <f>A174+1</f>
        <v>23</v>
      </c>
      <c r="B176" s="42" t="s">
        <v>158</v>
      </c>
      <c r="D176" s="43">
        <f t="shared" ref="D176:J176" si="44">D32-D104</f>
        <v>-425603</v>
      </c>
      <c r="E176" s="43">
        <f t="shared" si="44"/>
        <v>250000</v>
      </c>
      <c r="F176" s="43">
        <f t="shared" si="44"/>
        <v>-4917155</v>
      </c>
      <c r="G176" s="43">
        <f t="shared" si="44"/>
        <v>395479</v>
      </c>
      <c r="H176" s="43">
        <f>H32-H104</f>
        <v>0</v>
      </c>
      <c r="I176" s="43">
        <f t="shared" si="44"/>
        <v>0</v>
      </c>
      <c r="J176" s="43">
        <f t="shared" si="44"/>
        <v>-4697279</v>
      </c>
    </row>
    <row r="177" spans="1:10" x14ac:dyDescent="0.2">
      <c r="D177" s="41"/>
      <c r="E177" s="41"/>
      <c r="F177" s="41"/>
      <c r="G177" s="41"/>
      <c r="H177" s="41"/>
      <c r="I177" s="41"/>
      <c r="J177" s="41"/>
    </row>
    <row r="178" spans="1:10" x14ac:dyDescent="0.2">
      <c r="B178" s="42" t="s">
        <v>156</v>
      </c>
      <c r="C178" s="42"/>
      <c r="D178" s="41"/>
      <c r="E178" s="41"/>
      <c r="F178" s="41"/>
      <c r="G178" s="41"/>
      <c r="H178" s="41"/>
      <c r="I178" s="41"/>
      <c r="J178" s="41"/>
    </row>
    <row r="179" spans="1:10" x14ac:dyDescent="0.2">
      <c r="A179" s="39">
        <f>A176+1</f>
        <v>24</v>
      </c>
      <c r="B179" s="39" t="s">
        <v>153</v>
      </c>
      <c r="D179" s="43">
        <f t="shared" ref="D179:J183" si="45">D35-D107</f>
        <v>-6822</v>
      </c>
      <c r="E179" s="43">
        <f t="shared" si="45"/>
        <v>0</v>
      </c>
      <c r="F179" s="43">
        <f t="shared" si="45"/>
        <v>-89255</v>
      </c>
      <c r="G179" s="43">
        <f t="shared" si="45"/>
        <v>0</v>
      </c>
      <c r="H179" s="43">
        <f>H35-H107</f>
        <v>0</v>
      </c>
      <c r="I179" s="43">
        <f t="shared" si="45"/>
        <v>0</v>
      </c>
      <c r="J179" s="43">
        <f t="shared" si="45"/>
        <v>-96077</v>
      </c>
    </row>
    <row r="180" spans="1:10" x14ac:dyDescent="0.2">
      <c r="A180" s="39">
        <f>A179+1</f>
        <v>25</v>
      </c>
      <c r="B180" s="39" t="s">
        <v>152</v>
      </c>
      <c r="D180" s="43">
        <f t="shared" si="45"/>
        <v>-16231</v>
      </c>
      <c r="E180" s="43">
        <f t="shared" si="45"/>
        <v>0</v>
      </c>
      <c r="F180" s="43">
        <f t="shared" si="45"/>
        <v>-54447</v>
      </c>
      <c r="G180" s="43">
        <f t="shared" si="45"/>
        <v>0</v>
      </c>
      <c r="H180" s="43">
        <f>H36-H108</f>
        <v>0</v>
      </c>
      <c r="I180" s="43">
        <f t="shared" si="45"/>
        <v>0</v>
      </c>
      <c r="J180" s="43">
        <f t="shared" si="45"/>
        <v>-70678</v>
      </c>
    </row>
    <row r="181" spans="1:10" x14ac:dyDescent="0.2">
      <c r="A181" s="39">
        <f>A180+1</f>
        <v>26</v>
      </c>
      <c r="B181" s="42" t="s">
        <v>174</v>
      </c>
      <c r="D181" s="43">
        <f t="shared" si="45"/>
        <v>-9614</v>
      </c>
      <c r="E181" s="43">
        <f t="shared" si="45"/>
        <v>0</v>
      </c>
      <c r="F181" s="43">
        <f t="shared" si="45"/>
        <v>-18101</v>
      </c>
      <c r="G181" s="43">
        <f t="shared" si="45"/>
        <v>0</v>
      </c>
      <c r="H181" s="43">
        <f>H37-H109</f>
        <v>0</v>
      </c>
      <c r="I181" s="43">
        <f t="shared" si="45"/>
        <v>0</v>
      </c>
      <c r="J181" s="43">
        <f t="shared" si="45"/>
        <v>-27715</v>
      </c>
    </row>
    <row r="182" spans="1:10" x14ac:dyDescent="0.2">
      <c r="A182" s="39">
        <f>A181+1</f>
        <v>27</v>
      </c>
      <c r="B182" s="42" t="s">
        <v>168</v>
      </c>
      <c r="C182" s="42"/>
      <c r="D182" s="43">
        <f t="shared" si="45"/>
        <v>-1179</v>
      </c>
      <c r="E182" s="43">
        <f t="shared" si="45"/>
        <v>0</v>
      </c>
      <c r="F182" s="43">
        <f t="shared" si="45"/>
        <v>0</v>
      </c>
      <c r="G182" s="43">
        <f t="shared" si="45"/>
        <v>0</v>
      </c>
      <c r="H182" s="43">
        <f>H38-H110</f>
        <v>0</v>
      </c>
      <c r="I182" s="43">
        <f t="shared" si="45"/>
        <v>0</v>
      </c>
      <c r="J182" s="43">
        <f t="shared" si="45"/>
        <v>-1179</v>
      </c>
    </row>
    <row r="183" spans="1:10" x14ac:dyDescent="0.2">
      <c r="A183" s="39">
        <f>A182+1</f>
        <v>28</v>
      </c>
      <c r="B183" s="39" t="s">
        <v>154</v>
      </c>
      <c r="D183" s="43">
        <f t="shared" si="45"/>
        <v>21206</v>
      </c>
      <c r="E183" s="43">
        <f t="shared" si="45"/>
        <v>0</v>
      </c>
      <c r="F183" s="43">
        <f t="shared" si="45"/>
        <v>-533744</v>
      </c>
      <c r="G183" s="43">
        <f t="shared" si="45"/>
        <v>0</v>
      </c>
      <c r="H183" s="43">
        <f>H39-H111</f>
        <v>0</v>
      </c>
      <c r="I183" s="43">
        <f t="shared" si="45"/>
        <v>0</v>
      </c>
      <c r="J183" s="43">
        <f t="shared" si="45"/>
        <v>-512538</v>
      </c>
    </row>
    <row r="184" spans="1:10" x14ac:dyDescent="0.2">
      <c r="D184" s="41"/>
      <c r="E184" s="41"/>
      <c r="F184" s="41"/>
      <c r="G184" s="41"/>
      <c r="H184" s="41"/>
      <c r="I184" s="41"/>
      <c r="J184" s="41"/>
    </row>
    <row r="185" spans="1:10" x14ac:dyDescent="0.2">
      <c r="A185" s="39">
        <f>A183+1</f>
        <v>29</v>
      </c>
      <c r="B185" s="42" t="s">
        <v>159</v>
      </c>
      <c r="C185" s="42"/>
      <c r="D185" s="43">
        <f t="shared" ref="D185:J185" si="46">D41-D113</f>
        <v>-12640</v>
      </c>
      <c r="E185" s="43">
        <f t="shared" si="46"/>
        <v>0</v>
      </c>
      <c r="F185" s="43">
        <f t="shared" si="46"/>
        <v>-695547</v>
      </c>
      <c r="G185" s="43">
        <f t="shared" si="46"/>
        <v>0</v>
      </c>
      <c r="H185" s="43">
        <f>H41-H113</f>
        <v>0</v>
      </c>
      <c r="I185" s="43">
        <f t="shared" si="46"/>
        <v>0</v>
      </c>
      <c r="J185" s="43">
        <f t="shared" si="46"/>
        <v>-708187</v>
      </c>
    </row>
    <row r="186" spans="1:10" x14ac:dyDescent="0.2">
      <c r="B186" s="42"/>
      <c r="C186" s="42"/>
      <c r="D186" s="41"/>
      <c r="E186" s="41"/>
      <c r="F186" s="41"/>
      <c r="G186" s="41"/>
      <c r="H186" s="41"/>
      <c r="I186" s="41"/>
      <c r="J186" s="41"/>
    </row>
    <row r="187" spans="1:10" x14ac:dyDescent="0.2">
      <c r="B187" s="42" t="s">
        <v>157</v>
      </c>
      <c r="C187" s="42"/>
      <c r="D187" s="41"/>
      <c r="E187" s="41"/>
      <c r="F187" s="41"/>
      <c r="G187" s="41"/>
      <c r="H187" s="41"/>
      <c r="I187" s="41"/>
      <c r="J187" s="41"/>
    </row>
    <row r="188" spans="1:10" x14ac:dyDescent="0.2">
      <c r="A188" s="39">
        <f>A185+1</f>
        <v>30</v>
      </c>
      <c r="B188" s="39" t="s">
        <v>141</v>
      </c>
      <c r="D188" s="43">
        <f t="shared" ref="D188:J190" si="47">D44-D116</f>
        <v>-786073</v>
      </c>
      <c r="E188" s="43">
        <f t="shared" si="47"/>
        <v>250000</v>
      </c>
      <c r="F188" s="43">
        <f t="shared" si="47"/>
        <v>-3340848</v>
      </c>
      <c r="G188" s="43">
        <f t="shared" si="47"/>
        <v>339875</v>
      </c>
      <c r="H188" s="43">
        <f>H44-H116</f>
        <v>0</v>
      </c>
      <c r="I188" s="43">
        <f t="shared" si="47"/>
        <v>0</v>
      </c>
      <c r="J188" s="43">
        <f t="shared" si="47"/>
        <v>-3537046</v>
      </c>
    </row>
    <row r="189" spans="1:10" x14ac:dyDescent="0.2">
      <c r="A189" s="39">
        <f>A188+1</f>
        <v>31</v>
      </c>
      <c r="B189" s="42" t="s">
        <v>167</v>
      </c>
      <c r="C189" s="42"/>
      <c r="D189" s="43">
        <f t="shared" si="47"/>
        <v>-1841</v>
      </c>
      <c r="E189" s="43">
        <f t="shared" si="47"/>
        <v>0</v>
      </c>
      <c r="F189" s="43">
        <f t="shared" si="47"/>
        <v>-7824</v>
      </c>
      <c r="G189" s="43">
        <f t="shared" si="47"/>
        <v>796</v>
      </c>
      <c r="H189" s="43">
        <f>H45-H117</f>
        <v>0</v>
      </c>
      <c r="I189" s="43">
        <f t="shared" si="47"/>
        <v>0</v>
      </c>
      <c r="J189" s="43">
        <f t="shared" si="47"/>
        <v>-8869</v>
      </c>
    </row>
    <row r="190" spans="1:10" x14ac:dyDescent="0.2">
      <c r="A190" s="39">
        <f>A189+1</f>
        <v>32</v>
      </c>
      <c r="B190" s="39" t="s">
        <v>142</v>
      </c>
      <c r="D190" s="43">
        <f t="shared" si="47"/>
        <v>424810</v>
      </c>
      <c r="E190" s="43">
        <f t="shared" si="47"/>
        <v>0</v>
      </c>
      <c r="F190" s="43">
        <f t="shared" si="47"/>
        <v>-653342</v>
      </c>
      <c r="G190" s="43">
        <f t="shared" si="47"/>
        <v>38925</v>
      </c>
      <c r="H190" s="43">
        <f>H46-H118</f>
        <v>0</v>
      </c>
      <c r="I190" s="43">
        <f t="shared" si="47"/>
        <v>0</v>
      </c>
      <c r="J190" s="43">
        <f t="shared" si="47"/>
        <v>-189607</v>
      </c>
    </row>
    <row r="191" spans="1:10" x14ac:dyDescent="0.2">
      <c r="B191" s="42" t="s">
        <v>171</v>
      </c>
      <c r="D191" s="43"/>
      <c r="E191" s="43"/>
      <c r="F191" s="43"/>
      <c r="G191" s="43"/>
      <c r="H191" s="43"/>
      <c r="I191" s="43"/>
      <c r="J191" s="43"/>
    </row>
    <row r="192" spans="1:10" x14ac:dyDescent="0.2">
      <c r="A192" s="39">
        <f>A190+1</f>
        <v>33</v>
      </c>
      <c r="C192" s="39" t="s">
        <v>143</v>
      </c>
      <c r="D192" s="43">
        <f t="shared" ref="D192:J205" si="48">D48-D120</f>
        <v>0</v>
      </c>
      <c r="E192" s="43">
        <f t="shared" si="48"/>
        <v>0</v>
      </c>
      <c r="F192" s="43">
        <f t="shared" si="48"/>
        <v>0</v>
      </c>
      <c r="G192" s="43">
        <f t="shared" si="48"/>
        <v>-14880</v>
      </c>
      <c r="H192" s="43">
        <f t="shared" ref="H192:H205" si="49">H48-H120</f>
        <v>0</v>
      </c>
      <c r="I192" s="43">
        <f t="shared" si="48"/>
        <v>0</v>
      </c>
      <c r="J192" s="43">
        <f t="shared" si="48"/>
        <v>-14880</v>
      </c>
    </row>
    <row r="193" spans="1:10" x14ac:dyDescent="0.2">
      <c r="A193" s="39">
        <f t="shared" ref="A193:A205" si="50">A192+1</f>
        <v>34</v>
      </c>
      <c r="C193" s="39" t="s">
        <v>144</v>
      </c>
      <c r="D193" s="43">
        <f t="shared" si="48"/>
        <v>35903</v>
      </c>
      <c r="E193" s="43">
        <f t="shared" si="48"/>
        <v>0</v>
      </c>
      <c r="F193" s="43">
        <f t="shared" si="48"/>
        <v>-42000</v>
      </c>
      <c r="G193" s="43">
        <f t="shared" si="48"/>
        <v>1603</v>
      </c>
      <c r="H193" s="43">
        <f t="shared" si="49"/>
        <v>0</v>
      </c>
      <c r="I193" s="43">
        <f t="shared" si="48"/>
        <v>0</v>
      </c>
      <c r="J193" s="43">
        <f t="shared" si="48"/>
        <v>-4494</v>
      </c>
    </row>
    <row r="194" spans="1:10" x14ac:dyDescent="0.2">
      <c r="A194" s="39">
        <f t="shared" si="50"/>
        <v>35</v>
      </c>
      <c r="B194" s="42"/>
      <c r="C194" s="42" t="s">
        <v>170</v>
      </c>
      <c r="D194" s="43">
        <f t="shared" si="48"/>
        <v>12173</v>
      </c>
      <c r="E194" s="43">
        <f t="shared" si="48"/>
        <v>0</v>
      </c>
      <c r="F194" s="43">
        <f t="shared" si="48"/>
        <v>-10992</v>
      </c>
      <c r="G194" s="43">
        <f t="shared" si="48"/>
        <v>478</v>
      </c>
      <c r="H194" s="43">
        <f t="shared" si="49"/>
        <v>0</v>
      </c>
      <c r="I194" s="43">
        <f t="shared" si="48"/>
        <v>0</v>
      </c>
      <c r="J194" s="43">
        <f t="shared" si="48"/>
        <v>1659</v>
      </c>
    </row>
    <row r="195" spans="1:10" x14ac:dyDescent="0.2">
      <c r="A195" s="39">
        <f t="shared" si="50"/>
        <v>36</v>
      </c>
      <c r="B195" s="39" t="s">
        <v>145</v>
      </c>
      <c r="D195" s="43">
        <f t="shared" si="48"/>
        <v>14503</v>
      </c>
      <c r="E195" s="43">
        <f t="shared" si="48"/>
        <v>0</v>
      </c>
      <c r="F195" s="43">
        <f t="shared" si="48"/>
        <v>-16076</v>
      </c>
      <c r="G195" s="43">
        <f t="shared" si="48"/>
        <v>2414</v>
      </c>
      <c r="H195" s="43">
        <f t="shared" si="49"/>
        <v>0</v>
      </c>
      <c r="I195" s="43">
        <f t="shared" si="48"/>
        <v>0</v>
      </c>
      <c r="J195" s="43">
        <f t="shared" si="48"/>
        <v>841</v>
      </c>
    </row>
    <row r="196" spans="1:10" x14ac:dyDescent="0.2">
      <c r="A196" s="39">
        <f t="shared" si="50"/>
        <v>37</v>
      </c>
      <c r="B196" s="39" t="s">
        <v>146</v>
      </c>
      <c r="D196" s="43">
        <f t="shared" si="48"/>
        <v>-11049</v>
      </c>
      <c r="E196" s="43">
        <f t="shared" si="48"/>
        <v>0</v>
      </c>
      <c r="F196" s="43">
        <f t="shared" si="48"/>
        <v>-42262</v>
      </c>
      <c r="G196" s="43">
        <f t="shared" si="48"/>
        <v>-140</v>
      </c>
      <c r="H196" s="43">
        <f t="shared" si="49"/>
        <v>0</v>
      </c>
      <c r="I196" s="43">
        <f t="shared" si="48"/>
        <v>0</v>
      </c>
      <c r="J196" s="43">
        <f t="shared" si="48"/>
        <v>-53451</v>
      </c>
    </row>
    <row r="197" spans="1:10" x14ac:dyDescent="0.2">
      <c r="A197" s="39">
        <f t="shared" si="50"/>
        <v>38</v>
      </c>
      <c r="B197" s="39" t="s">
        <v>148</v>
      </c>
      <c r="D197" s="43">
        <f t="shared" si="48"/>
        <v>133</v>
      </c>
      <c r="E197" s="43">
        <f t="shared" si="48"/>
        <v>0</v>
      </c>
      <c r="F197" s="43">
        <f t="shared" si="48"/>
        <v>-465</v>
      </c>
      <c r="G197" s="43">
        <f t="shared" si="48"/>
        <v>47</v>
      </c>
      <c r="H197" s="43">
        <f t="shared" si="49"/>
        <v>0</v>
      </c>
      <c r="I197" s="43">
        <f t="shared" si="48"/>
        <v>0</v>
      </c>
      <c r="J197" s="43">
        <f t="shared" si="48"/>
        <v>-285</v>
      </c>
    </row>
    <row r="198" spans="1:10" x14ac:dyDescent="0.2">
      <c r="A198" s="39">
        <f t="shared" si="50"/>
        <v>39</v>
      </c>
      <c r="B198" s="39" t="s">
        <v>244</v>
      </c>
      <c r="D198" s="43">
        <f t="shared" si="48"/>
        <v>-1342</v>
      </c>
      <c r="E198" s="43">
        <f t="shared" si="48"/>
        <v>0</v>
      </c>
      <c r="F198" s="43">
        <f t="shared" si="48"/>
        <v>0</v>
      </c>
      <c r="G198" s="43">
        <f t="shared" si="48"/>
        <v>0</v>
      </c>
      <c r="H198" s="43">
        <f t="shared" si="49"/>
        <v>0</v>
      </c>
      <c r="I198" s="43">
        <f t="shared" si="48"/>
        <v>0</v>
      </c>
      <c r="J198" s="43">
        <f t="shared" si="48"/>
        <v>-1342</v>
      </c>
    </row>
    <row r="199" spans="1:10" x14ac:dyDescent="0.2">
      <c r="A199" s="39">
        <f t="shared" si="50"/>
        <v>40</v>
      </c>
      <c r="B199" s="42" t="s">
        <v>360</v>
      </c>
      <c r="D199" s="43">
        <f t="shared" si="48"/>
        <v>0</v>
      </c>
      <c r="E199" s="43">
        <f t="shared" si="48"/>
        <v>0</v>
      </c>
      <c r="F199" s="43">
        <f t="shared" si="48"/>
        <v>0</v>
      </c>
      <c r="G199" s="43">
        <f t="shared" si="48"/>
        <v>0</v>
      </c>
      <c r="H199" s="43">
        <f t="shared" si="49"/>
        <v>0</v>
      </c>
      <c r="I199" s="43">
        <f t="shared" si="48"/>
        <v>0</v>
      </c>
      <c r="J199" s="43">
        <f t="shared" si="48"/>
        <v>0</v>
      </c>
    </row>
    <row r="200" spans="1:10" x14ac:dyDescent="0.2">
      <c r="A200" s="39">
        <f t="shared" si="50"/>
        <v>41</v>
      </c>
      <c r="B200" s="39" t="s">
        <v>147</v>
      </c>
      <c r="D200" s="43">
        <f t="shared" si="48"/>
        <v>-20449</v>
      </c>
      <c r="E200" s="43">
        <f t="shared" si="48"/>
        <v>0</v>
      </c>
      <c r="F200" s="43">
        <f t="shared" si="48"/>
        <v>-44586</v>
      </c>
      <c r="G200" s="43">
        <f t="shared" si="48"/>
        <v>14007</v>
      </c>
      <c r="H200" s="43">
        <f t="shared" si="49"/>
        <v>0</v>
      </c>
      <c r="I200" s="43">
        <f t="shared" si="48"/>
        <v>0</v>
      </c>
      <c r="J200" s="43">
        <f t="shared" si="48"/>
        <v>-51028</v>
      </c>
    </row>
    <row r="201" spans="1:10" x14ac:dyDescent="0.2">
      <c r="A201" s="39">
        <f t="shared" si="50"/>
        <v>42</v>
      </c>
      <c r="B201" s="39" t="s">
        <v>149</v>
      </c>
      <c r="D201" s="43">
        <f t="shared" si="48"/>
        <v>-4578</v>
      </c>
      <c r="E201" s="43">
        <f t="shared" si="48"/>
        <v>0</v>
      </c>
      <c r="F201" s="43">
        <f t="shared" si="48"/>
        <v>-9254</v>
      </c>
      <c r="G201" s="43">
        <f t="shared" si="48"/>
        <v>6090</v>
      </c>
      <c r="H201" s="43">
        <f t="shared" si="49"/>
        <v>0</v>
      </c>
      <c r="I201" s="43">
        <f t="shared" si="48"/>
        <v>0</v>
      </c>
      <c r="J201" s="43">
        <f t="shared" si="48"/>
        <v>-7742</v>
      </c>
    </row>
    <row r="202" spans="1:10" x14ac:dyDescent="0.2">
      <c r="A202" s="39">
        <f t="shared" si="50"/>
        <v>43</v>
      </c>
      <c r="B202" s="42" t="s">
        <v>173</v>
      </c>
      <c r="D202" s="43">
        <f t="shared" si="48"/>
        <v>6026</v>
      </c>
      <c r="E202" s="43">
        <f t="shared" si="48"/>
        <v>0</v>
      </c>
      <c r="F202" s="43">
        <f t="shared" si="48"/>
        <v>-1996</v>
      </c>
      <c r="G202" s="43">
        <f t="shared" si="48"/>
        <v>2757</v>
      </c>
      <c r="H202" s="43">
        <f t="shared" si="49"/>
        <v>0</v>
      </c>
      <c r="I202" s="43">
        <f t="shared" si="48"/>
        <v>0</v>
      </c>
      <c r="J202" s="43">
        <f t="shared" si="48"/>
        <v>6787</v>
      </c>
    </row>
    <row r="203" spans="1:10" x14ac:dyDescent="0.2">
      <c r="A203" s="39">
        <f t="shared" si="50"/>
        <v>44</v>
      </c>
      <c r="B203" s="42" t="s">
        <v>168</v>
      </c>
      <c r="C203" s="42"/>
      <c r="D203" s="43">
        <f t="shared" si="48"/>
        <v>-376</v>
      </c>
      <c r="E203" s="43">
        <f t="shared" si="48"/>
        <v>0</v>
      </c>
      <c r="F203" s="43">
        <f t="shared" si="48"/>
        <v>0</v>
      </c>
      <c r="G203" s="43">
        <f t="shared" si="48"/>
        <v>-122</v>
      </c>
      <c r="H203" s="43">
        <f t="shared" si="49"/>
        <v>0</v>
      </c>
      <c r="I203" s="43">
        <f t="shared" si="48"/>
        <v>0</v>
      </c>
      <c r="J203" s="43">
        <f t="shared" si="48"/>
        <v>-498</v>
      </c>
    </row>
    <row r="204" spans="1:10" x14ac:dyDescent="0.2">
      <c r="A204" s="39">
        <f t="shared" si="50"/>
        <v>45</v>
      </c>
      <c r="B204" s="42" t="s">
        <v>163</v>
      </c>
      <c r="C204" s="42"/>
      <c r="D204" s="43">
        <f t="shared" si="48"/>
        <v>-6351</v>
      </c>
      <c r="E204" s="43">
        <f t="shared" si="48"/>
        <v>0</v>
      </c>
      <c r="F204" s="43">
        <f t="shared" si="48"/>
        <v>-51963</v>
      </c>
      <c r="G204" s="43">
        <f t="shared" si="48"/>
        <v>0</v>
      </c>
      <c r="H204" s="43">
        <f t="shared" si="49"/>
        <v>0</v>
      </c>
      <c r="I204" s="43">
        <f t="shared" si="48"/>
        <v>0</v>
      </c>
      <c r="J204" s="43">
        <f t="shared" si="48"/>
        <v>-58314</v>
      </c>
    </row>
    <row r="205" spans="1:10" x14ac:dyDescent="0.2">
      <c r="A205" s="39">
        <f t="shared" si="50"/>
        <v>46</v>
      </c>
      <c r="B205" s="39" t="s">
        <v>151</v>
      </c>
      <c r="D205" s="43">
        <f t="shared" si="48"/>
        <v>0</v>
      </c>
      <c r="E205" s="43">
        <f t="shared" si="48"/>
        <v>0</v>
      </c>
      <c r="F205" s="43">
        <f t="shared" si="48"/>
        <v>0</v>
      </c>
      <c r="G205" s="43">
        <f t="shared" si="48"/>
        <v>0</v>
      </c>
      <c r="H205" s="43">
        <f t="shared" si="49"/>
        <v>0</v>
      </c>
      <c r="I205" s="43">
        <f t="shared" si="48"/>
        <v>0</v>
      </c>
      <c r="J205" s="43">
        <f t="shared" si="48"/>
        <v>0</v>
      </c>
    </row>
    <row r="206" spans="1:10" x14ac:dyDescent="0.2">
      <c r="B206" s="42" t="s">
        <v>172</v>
      </c>
      <c r="D206" s="43"/>
      <c r="E206" s="43"/>
      <c r="F206" s="43"/>
      <c r="G206" s="43"/>
      <c r="H206" s="43"/>
      <c r="I206" s="43"/>
      <c r="J206" s="43"/>
    </row>
    <row r="207" spans="1:10" x14ac:dyDescent="0.2">
      <c r="A207" s="39">
        <f>A205+1</f>
        <v>47</v>
      </c>
      <c r="B207" s="42"/>
      <c r="C207" s="42" t="s">
        <v>175</v>
      </c>
      <c r="D207" s="43">
        <f t="shared" ref="D207:J210" si="51">D63-D135</f>
        <v>-19372</v>
      </c>
      <c r="E207" s="43">
        <f t="shared" si="51"/>
        <v>0</v>
      </c>
      <c r="F207" s="43">
        <f t="shared" si="51"/>
        <v>0</v>
      </c>
      <c r="G207" s="43">
        <f t="shared" si="51"/>
        <v>3639</v>
      </c>
      <c r="H207" s="43">
        <f>H63-H135</f>
        <v>0</v>
      </c>
      <c r="I207" s="43">
        <f t="shared" si="51"/>
        <v>0</v>
      </c>
      <c r="J207" s="43">
        <f t="shared" si="51"/>
        <v>-15733</v>
      </c>
    </row>
    <row r="208" spans="1:10" x14ac:dyDescent="0.2">
      <c r="A208" s="39">
        <f>A207+1</f>
        <v>48</v>
      </c>
      <c r="B208" s="42"/>
      <c r="C208" s="42" t="s">
        <v>182</v>
      </c>
      <c r="D208" s="43">
        <f t="shared" si="51"/>
        <v>89</v>
      </c>
      <c r="E208" s="43">
        <f t="shared" si="51"/>
        <v>0</v>
      </c>
      <c r="F208" s="43">
        <f t="shared" si="51"/>
        <v>0</v>
      </c>
      <c r="G208" s="43">
        <f t="shared" si="51"/>
        <v>-90</v>
      </c>
      <c r="H208" s="43">
        <f>H64-H136</f>
        <v>0</v>
      </c>
      <c r="I208" s="43">
        <f t="shared" si="51"/>
        <v>0</v>
      </c>
      <c r="J208" s="43">
        <f t="shared" si="51"/>
        <v>-1</v>
      </c>
    </row>
    <row r="209" spans="1:10" x14ac:dyDescent="0.2">
      <c r="A209" s="39">
        <f>A208+1</f>
        <v>49</v>
      </c>
      <c r="B209" s="42"/>
      <c r="C209" s="42" t="s">
        <v>201</v>
      </c>
      <c r="D209" s="43">
        <f t="shared" si="51"/>
        <v>-56</v>
      </c>
      <c r="E209" s="43">
        <f t="shared" si="51"/>
        <v>0</v>
      </c>
      <c r="F209" s="43">
        <f t="shared" si="51"/>
        <v>0</v>
      </c>
      <c r="G209" s="43">
        <f t="shared" si="51"/>
        <v>56</v>
      </c>
      <c r="H209" s="43">
        <f>H65-H137</f>
        <v>0</v>
      </c>
      <c r="I209" s="43">
        <f t="shared" si="51"/>
        <v>0</v>
      </c>
      <c r="J209" s="43">
        <f t="shared" si="51"/>
        <v>0</v>
      </c>
    </row>
    <row r="210" spans="1:10" x14ac:dyDescent="0.2">
      <c r="A210" s="39">
        <f>A209+1</f>
        <v>50</v>
      </c>
      <c r="B210" s="42"/>
      <c r="C210" s="42" t="s">
        <v>183</v>
      </c>
      <c r="D210" s="43">
        <f t="shared" si="51"/>
        <v>-24</v>
      </c>
      <c r="E210" s="43">
        <f t="shared" si="51"/>
        <v>0</v>
      </c>
      <c r="F210" s="43">
        <f t="shared" si="51"/>
        <v>0</v>
      </c>
      <c r="G210" s="43">
        <f t="shared" si="51"/>
        <v>24</v>
      </c>
      <c r="H210" s="43">
        <f>H66-H138</f>
        <v>0</v>
      </c>
      <c r="I210" s="43">
        <f t="shared" si="51"/>
        <v>0</v>
      </c>
      <c r="J210" s="43">
        <f t="shared" si="51"/>
        <v>0</v>
      </c>
    </row>
    <row r="211" spans="1:10" x14ac:dyDescent="0.2">
      <c r="A211" s="39">
        <f>A210+1</f>
        <v>51</v>
      </c>
      <c r="B211" s="42"/>
      <c r="C211" s="42" t="s">
        <v>251</v>
      </c>
      <c r="D211" s="43">
        <f t="shared" ref="D211:J211" si="52">D67-D139</f>
        <v>-55089</v>
      </c>
      <c r="E211" s="43">
        <f t="shared" si="52"/>
        <v>0</v>
      </c>
      <c r="F211" s="43">
        <f t="shared" si="52"/>
        <v>0</v>
      </c>
      <c r="G211" s="43">
        <f t="shared" si="52"/>
        <v>0</v>
      </c>
      <c r="H211" s="43">
        <f>H67-H139</f>
        <v>0</v>
      </c>
      <c r="I211" s="43">
        <f t="shared" si="52"/>
        <v>0</v>
      </c>
      <c r="J211" s="43">
        <f t="shared" si="52"/>
        <v>-55089</v>
      </c>
    </row>
    <row r="212" spans="1:10" x14ac:dyDescent="0.2">
      <c r="D212" s="41"/>
      <c r="E212" s="41"/>
      <c r="F212" s="41"/>
      <c r="G212" s="41"/>
      <c r="H212" s="41"/>
      <c r="I212" s="41"/>
      <c r="J212" s="41"/>
    </row>
    <row r="213" spans="1:10" x14ac:dyDescent="0.2">
      <c r="A213" s="39">
        <f>A211+1</f>
        <v>52</v>
      </c>
      <c r="B213" s="42" t="s">
        <v>184</v>
      </c>
      <c r="C213" s="42"/>
      <c r="D213" s="43">
        <f t="shared" ref="D213:J214" si="53">D69-D141</f>
        <v>-412963</v>
      </c>
      <c r="E213" s="43">
        <f t="shared" si="53"/>
        <v>250000</v>
      </c>
      <c r="F213" s="43">
        <f t="shared" si="53"/>
        <v>-4221608</v>
      </c>
      <c r="G213" s="43">
        <f t="shared" si="53"/>
        <v>395479</v>
      </c>
      <c r="H213" s="43">
        <f>H69-H141</f>
        <v>0</v>
      </c>
      <c r="I213" s="43">
        <f t="shared" si="53"/>
        <v>0</v>
      </c>
      <c r="J213" s="43">
        <f t="shared" si="53"/>
        <v>-3989092</v>
      </c>
    </row>
    <row r="214" spans="1:10" x14ac:dyDescent="0.2">
      <c r="A214" s="39">
        <f>A213+1</f>
        <v>53</v>
      </c>
      <c r="B214" s="173" t="s">
        <v>397</v>
      </c>
      <c r="C214" s="42"/>
      <c r="D214" s="43">
        <f t="shared" si="53"/>
        <v>-412963</v>
      </c>
      <c r="E214" s="43">
        <f t="shared" si="53"/>
        <v>250000</v>
      </c>
      <c r="F214" s="43">
        <f t="shared" si="53"/>
        <v>-4221608</v>
      </c>
      <c r="G214" s="43">
        <f t="shared" si="53"/>
        <v>395479</v>
      </c>
      <c r="H214" s="43">
        <f>H70-H142</f>
        <v>0</v>
      </c>
      <c r="I214" s="43">
        <f t="shared" si="53"/>
        <v>0</v>
      </c>
      <c r="J214" s="43">
        <f t="shared" si="53"/>
        <v>-3989092</v>
      </c>
    </row>
    <row r="215" spans="1:10" x14ac:dyDescent="0.2">
      <c r="A215" s="39">
        <f>A214+1</f>
        <v>54</v>
      </c>
      <c r="B215" s="42" t="s">
        <v>303</v>
      </c>
      <c r="C215" s="42"/>
      <c r="D215" s="127" t="s">
        <v>302</v>
      </c>
      <c r="E215" s="127" t="s">
        <v>302</v>
      </c>
      <c r="F215" s="127" t="s">
        <v>302</v>
      </c>
      <c r="G215" s="127" t="s">
        <v>302</v>
      </c>
      <c r="H215" s="127" t="s">
        <v>302</v>
      </c>
      <c r="I215" s="127" t="s">
        <v>302</v>
      </c>
      <c r="J215" s="127" t="s">
        <v>302</v>
      </c>
    </row>
    <row r="216" spans="1:10" x14ac:dyDescent="0.2">
      <c r="B216" s="42"/>
      <c r="C216" s="42"/>
      <c r="D216" s="43"/>
      <c r="E216" s="43"/>
      <c r="F216" s="43"/>
      <c r="G216" s="43"/>
      <c r="H216" s="43"/>
      <c r="I216" s="43"/>
      <c r="J216" s="43"/>
    </row>
    <row r="217" spans="1:10" x14ac:dyDescent="0.2">
      <c r="A217" s="39">
        <f>A215+1</f>
        <v>55</v>
      </c>
      <c r="B217" s="42" t="s">
        <v>166</v>
      </c>
      <c r="C217" s="42"/>
      <c r="D217" s="43">
        <f t="shared" ref="D217:J217" si="54">D73-D145</f>
        <v>11912</v>
      </c>
      <c r="E217" s="43">
        <f t="shared" si="54"/>
        <v>0</v>
      </c>
      <c r="F217" s="43">
        <f t="shared" si="54"/>
        <v>0</v>
      </c>
      <c r="G217" s="43">
        <f t="shared" si="54"/>
        <v>17984</v>
      </c>
      <c r="H217" s="43">
        <f>H73-H145</f>
        <v>0</v>
      </c>
      <c r="I217" s="43">
        <f t="shared" si="54"/>
        <v>0</v>
      </c>
      <c r="J217" s="43">
        <f t="shared" si="54"/>
        <v>29896</v>
      </c>
    </row>
  </sheetData>
  <phoneticPr fontId="1" type="noConversion"/>
  <printOptions horizontalCentered="1" gridLines="1"/>
  <pageMargins left="0.5" right="0.25" top="1" bottom="0.5" header="0.5" footer="0.25"/>
  <pageSetup scale="73" fitToHeight="3" orientation="portrait" horizontalDpi="300" verticalDpi="300" r:id="rId1"/>
  <headerFooter alignWithMargins="0">
    <oddHeader>&amp;L&amp;"Arial,Bold"DEPT of EDUCATION
Program Finance Div.&amp;C&amp;"Arial,Bold"&amp;A GENERAL EDUCATION
*** FEB 2011 VS. NOV 2010 ***&amp;R&amp;"Arial,Bold"&amp;D
&amp;T</oddHeader>
    <oddFooter>&amp;L&amp;"Arial,Regular"&amp;F&amp;R&amp;"Arial,Regular"&amp;A</oddFooter>
  </headerFooter>
  <rowBreaks count="2" manualBreakCount="2">
    <brk id="74" max="9" man="1"/>
    <brk id="146" max="9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M211"/>
  <sheetViews>
    <sheetView zoomScaleNormal="100" zoomScaleSheetLayoutView="85" workbookViewId="0">
      <pane xSplit="3" ySplit="4" topLeftCell="D42" activePane="bottomRight" state="frozen"/>
      <selection activeCell="C16" sqref="C16"/>
      <selection pane="topRight" activeCell="C16" sqref="C16"/>
      <selection pane="bottomLeft" activeCell="C16" sqref="C16"/>
      <selection pane="bottomRight" activeCell="J71" sqref="J71"/>
    </sheetView>
  </sheetViews>
  <sheetFormatPr defaultColWidth="8" defaultRowHeight="12.75" x14ac:dyDescent="0.2"/>
  <cols>
    <col min="1" max="1" width="4.125" style="39" customWidth="1"/>
    <col min="2" max="2" width="2.25" style="39" customWidth="1"/>
    <col min="3" max="3" width="28.625" style="39" customWidth="1"/>
    <col min="4" max="10" width="13.625" style="39" customWidth="1"/>
    <col min="11" max="11" width="13.25" style="39" customWidth="1"/>
    <col min="12" max="12" width="11.625" style="39" customWidth="1"/>
    <col min="13" max="13" width="10.125" style="39" customWidth="1"/>
    <col min="14" max="16384" width="8" style="39"/>
  </cols>
  <sheetData>
    <row r="1" spans="1:10" x14ac:dyDescent="0.2">
      <c r="A1" s="173" t="s">
        <v>444</v>
      </c>
      <c r="D1" s="41"/>
      <c r="E1" s="41"/>
      <c r="G1" s="41"/>
      <c r="H1" s="41"/>
      <c r="I1" s="41"/>
    </row>
    <row r="3" spans="1:10" x14ac:dyDescent="0.2">
      <c r="A3" s="118" t="s">
        <v>438</v>
      </c>
      <c r="B3" s="118"/>
      <c r="C3" s="119"/>
      <c r="D3" s="120" t="s">
        <v>176</v>
      </c>
      <c r="E3" s="120" t="s">
        <v>181</v>
      </c>
      <c r="F3" s="120" t="s">
        <v>177</v>
      </c>
      <c r="G3" s="120" t="s">
        <v>178</v>
      </c>
      <c r="H3" s="120" t="s">
        <v>179</v>
      </c>
      <c r="I3" s="120" t="s">
        <v>370</v>
      </c>
      <c r="J3" s="120" t="s">
        <v>180</v>
      </c>
    </row>
    <row r="5" spans="1:10" x14ac:dyDescent="0.2">
      <c r="A5" s="39">
        <v>1</v>
      </c>
      <c r="B5" s="39" t="s">
        <v>140</v>
      </c>
      <c r="D5" s="41">
        <f>'Pupil Data'!C44</f>
        <v>904209</v>
      </c>
      <c r="E5" s="41">
        <v>0</v>
      </c>
      <c r="F5" s="41">
        <f>'Pupil Data'!D44</f>
        <v>1563</v>
      </c>
      <c r="G5" s="41">
        <f>'Pupil Data'!E44</f>
        <v>42325</v>
      </c>
      <c r="H5" s="41">
        <f>'Pupil Data'!F44</f>
        <v>0</v>
      </c>
      <c r="I5" s="41">
        <v>0</v>
      </c>
      <c r="J5" s="41">
        <f>SUM(D5:I5)</f>
        <v>948097</v>
      </c>
    </row>
    <row r="7" spans="1:10" x14ac:dyDescent="0.2">
      <c r="B7" s="42" t="s">
        <v>155</v>
      </c>
      <c r="D7" s="40"/>
      <c r="E7" s="40"/>
      <c r="F7" s="40"/>
      <c r="G7" s="40"/>
      <c r="H7" s="40"/>
      <c r="I7" s="40"/>
      <c r="J7" s="40"/>
    </row>
    <row r="8" spans="1:10" x14ac:dyDescent="0.2">
      <c r="A8" s="39">
        <f>A5+1</f>
        <v>2</v>
      </c>
      <c r="B8" s="39" t="s">
        <v>141</v>
      </c>
      <c r="D8" s="41">
        <v>4633165941</v>
      </c>
      <c r="E8" s="41">
        <v>0</v>
      </c>
      <c r="F8" s="41">
        <v>8010349</v>
      </c>
      <c r="G8" s="41">
        <v>216871767</v>
      </c>
      <c r="H8" s="41">
        <v>0</v>
      </c>
      <c r="I8" s="41">
        <v>0</v>
      </c>
      <c r="J8" s="41">
        <f>SUM(D8:I8)</f>
        <v>4858048057</v>
      </c>
    </row>
    <row r="9" spans="1:10" x14ac:dyDescent="0.2">
      <c r="A9" s="39">
        <f>A8+1</f>
        <v>3</v>
      </c>
      <c r="B9" s="42" t="s">
        <v>167</v>
      </c>
      <c r="C9" s="42"/>
      <c r="D9" s="41">
        <v>10850506</v>
      </c>
      <c r="E9" s="41">
        <v>0</v>
      </c>
      <c r="F9" s="41">
        <v>18760</v>
      </c>
      <c r="G9" s="41">
        <v>507897</v>
      </c>
      <c r="H9" s="41">
        <v>0</v>
      </c>
      <c r="I9" s="41">
        <v>0</v>
      </c>
      <c r="J9" s="41">
        <f>SUM(D9:I9)</f>
        <v>11377163</v>
      </c>
    </row>
    <row r="10" spans="1:10" x14ac:dyDescent="0.2">
      <c r="A10" s="39">
        <f>A9+1</f>
        <v>4</v>
      </c>
      <c r="B10" s="39" t="s">
        <v>142</v>
      </c>
      <c r="D10" s="41">
        <v>54627633</v>
      </c>
      <c r="E10" s="41">
        <v>0</v>
      </c>
      <c r="F10" s="41">
        <v>12063822</v>
      </c>
      <c r="G10" s="41">
        <v>2056555</v>
      </c>
      <c r="H10" s="41">
        <v>325015</v>
      </c>
      <c r="I10" s="41">
        <v>0</v>
      </c>
      <c r="J10" s="41">
        <f>SUM(D10:I10)</f>
        <v>69073025</v>
      </c>
    </row>
    <row r="11" spans="1:10" x14ac:dyDescent="0.2">
      <c r="B11" s="42" t="s">
        <v>171</v>
      </c>
      <c r="D11" s="41"/>
      <c r="E11" s="41"/>
      <c r="F11" s="41"/>
      <c r="G11" s="41"/>
      <c r="H11" s="41"/>
      <c r="I11" s="41"/>
      <c r="J11" s="41"/>
    </row>
    <row r="12" spans="1:10" x14ac:dyDescent="0.2">
      <c r="A12" s="39">
        <f>A10+1</f>
        <v>5</v>
      </c>
      <c r="C12" s="39" t="s">
        <v>143</v>
      </c>
      <c r="D12" s="41">
        <v>365210547</v>
      </c>
      <c r="E12" s="41">
        <v>0</v>
      </c>
      <c r="F12" s="41">
        <v>0</v>
      </c>
      <c r="G12" s="41">
        <v>43323700</v>
      </c>
      <c r="H12" s="41">
        <v>0</v>
      </c>
      <c r="I12" s="41">
        <v>5726191</v>
      </c>
      <c r="J12" s="41">
        <f t="shared" ref="J12:J22" si="0">SUM(D12:I12)</f>
        <v>414260438</v>
      </c>
    </row>
    <row r="13" spans="1:10" x14ac:dyDescent="0.2">
      <c r="A13" s="39">
        <f t="shared" ref="A13:A23" si="1">A12+1</f>
        <v>6</v>
      </c>
      <c r="C13" s="39" t="s">
        <v>144</v>
      </c>
      <c r="D13" s="41">
        <v>27927283</v>
      </c>
      <c r="E13" s="41">
        <v>0</v>
      </c>
      <c r="F13" s="41">
        <v>-607982</v>
      </c>
      <c r="G13" s="41">
        <v>4773180</v>
      </c>
      <c r="H13" s="41">
        <v>-419361</v>
      </c>
      <c r="I13" s="41">
        <v>0</v>
      </c>
      <c r="J13" s="41">
        <f t="shared" si="0"/>
        <v>31673120</v>
      </c>
    </row>
    <row r="14" spans="1:10" x14ac:dyDescent="0.2">
      <c r="A14" s="39">
        <f t="shared" si="1"/>
        <v>7</v>
      </c>
      <c r="B14" s="42"/>
      <c r="C14" s="42" t="s">
        <v>170</v>
      </c>
      <c r="D14" s="41">
        <v>7058037</v>
      </c>
      <c r="E14" s="41">
        <v>0</v>
      </c>
      <c r="F14" s="41">
        <v>-153655</v>
      </c>
      <c r="G14" s="41">
        <v>1589127</v>
      </c>
      <c r="H14" s="41">
        <v>-105985</v>
      </c>
      <c r="I14" s="41">
        <v>0</v>
      </c>
      <c r="J14" s="41">
        <f t="shared" si="0"/>
        <v>8387524</v>
      </c>
    </row>
    <row r="15" spans="1:10" x14ac:dyDescent="0.2">
      <c r="A15" s="39">
        <f t="shared" si="1"/>
        <v>8</v>
      </c>
      <c r="B15" s="39" t="s">
        <v>145</v>
      </c>
      <c r="D15" s="41">
        <v>22459853</v>
      </c>
      <c r="E15" s="41">
        <v>0</v>
      </c>
      <c r="F15" s="41">
        <v>0</v>
      </c>
      <c r="G15" s="41">
        <v>1051308</v>
      </c>
      <c r="H15" s="41">
        <v>0</v>
      </c>
      <c r="I15" s="41">
        <v>0</v>
      </c>
      <c r="J15" s="41">
        <f t="shared" si="0"/>
        <v>23511161</v>
      </c>
    </row>
    <row r="16" spans="1:10" x14ac:dyDescent="0.2">
      <c r="A16" s="39">
        <f t="shared" si="1"/>
        <v>9</v>
      </c>
      <c r="B16" s="39" t="s">
        <v>146</v>
      </c>
      <c r="D16" s="41">
        <v>59321316</v>
      </c>
      <c r="E16" s="41">
        <v>0</v>
      </c>
      <c r="F16" s="41">
        <v>0</v>
      </c>
      <c r="G16" s="41">
        <v>1050163</v>
      </c>
      <c r="H16" s="41">
        <v>0</v>
      </c>
      <c r="I16" s="41">
        <v>0</v>
      </c>
      <c r="J16" s="41">
        <f t="shared" si="0"/>
        <v>60371479</v>
      </c>
    </row>
    <row r="17" spans="1:12" x14ac:dyDescent="0.2">
      <c r="A17" s="39">
        <f t="shared" si="1"/>
        <v>10</v>
      </c>
      <c r="B17" s="39" t="s">
        <v>148</v>
      </c>
      <c r="D17" s="41">
        <v>355951</v>
      </c>
      <c r="E17" s="41">
        <v>0</v>
      </c>
      <c r="F17" s="41">
        <v>615</v>
      </c>
      <c r="G17" s="41">
        <v>16662</v>
      </c>
      <c r="H17" s="41">
        <v>0</v>
      </c>
      <c r="I17" s="41">
        <v>0</v>
      </c>
      <c r="J17" s="41">
        <f t="shared" si="0"/>
        <v>373228</v>
      </c>
    </row>
    <row r="18" spans="1:12" x14ac:dyDescent="0.2">
      <c r="A18" s="39">
        <f t="shared" si="1"/>
        <v>11</v>
      </c>
      <c r="B18" s="39" t="s">
        <v>244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f t="shared" si="0"/>
        <v>0</v>
      </c>
    </row>
    <row r="19" spans="1:12" x14ac:dyDescent="0.2">
      <c r="A19" s="39">
        <f t="shared" si="1"/>
        <v>12</v>
      </c>
      <c r="B19" s="39" t="s">
        <v>147</v>
      </c>
      <c r="D19" s="41">
        <v>185603478</v>
      </c>
      <c r="E19" s="41">
        <v>0</v>
      </c>
      <c r="F19" s="41">
        <v>320893</v>
      </c>
      <c r="G19" s="41">
        <v>8687839</v>
      </c>
      <c r="H19" s="41">
        <v>0</v>
      </c>
      <c r="I19" s="41">
        <v>0</v>
      </c>
      <c r="J19" s="41">
        <f t="shared" si="0"/>
        <v>194612210</v>
      </c>
    </row>
    <row r="20" spans="1:12" x14ac:dyDescent="0.2">
      <c r="A20" s="39">
        <f t="shared" si="1"/>
        <v>13</v>
      </c>
      <c r="B20" s="39" t="s">
        <v>149</v>
      </c>
      <c r="D20" s="41">
        <v>88059815</v>
      </c>
      <c r="E20" s="41">
        <v>0</v>
      </c>
      <c r="F20" s="41">
        <v>152248</v>
      </c>
      <c r="G20" s="41">
        <v>4121949</v>
      </c>
      <c r="H20" s="41">
        <v>0</v>
      </c>
      <c r="I20" s="41">
        <v>0</v>
      </c>
      <c r="J20" s="41">
        <f t="shared" si="0"/>
        <v>92334012</v>
      </c>
      <c r="K20" s="43"/>
    </row>
    <row r="21" spans="1:12" x14ac:dyDescent="0.2">
      <c r="A21" s="39">
        <f t="shared" si="1"/>
        <v>14</v>
      </c>
      <c r="B21" s="42" t="s">
        <v>173</v>
      </c>
      <c r="D21" s="41">
        <v>27631582</v>
      </c>
      <c r="E21" s="41">
        <v>0</v>
      </c>
      <c r="F21" s="41">
        <v>47773</v>
      </c>
      <c r="G21" s="41">
        <v>1536088</v>
      </c>
      <c r="H21" s="41">
        <v>0</v>
      </c>
      <c r="I21" s="41">
        <v>0</v>
      </c>
      <c r="J21" s="41">
        <f t="shared" si="0"/>
        <v>29215443</v>
      </c>
    </row>
    <row r="22" spans="1:12" x14ac:dyDescent="0.2">
      <c r="A22" s="39">
        <f t="shared" si="1"/>
        <v>15</v>
      </c>
      <c r="B22" s="42" t="s">
        <v>168</v>
      </c>
      <c r="C22" s="42"/>
      <c r="D22" s="41">
        <v>58407265</v>
      </c>
      <c r="E22" s="41">
        <v>0</v>
      </c>
      <c r="F22" s="41">
        <v>0</v>
      </c>
      <c r="G22" s="41">
        <v>4649667</v>
      </c>
      <c r="H22" s="41">
        <v>0</v>
      </c>
      <c r="I22" s="41">
        <v>0</v>
      </c>
      <c r="J22" s="41">
        <f t="shared" si="0"/>
        <v>63056932</v>
      </c>
      <c r="K22" s="148"/>
      <c r="L22" s="41"/>
    </row>
    <row r="23" spans="1:12" x14ac:dyDescent="0.2">
      <c r="A23" s="39">
        <f t="shared" si="1"/>
        <v>16</v>
      </c>
      <c r="B23" s="39" t="s">
        <v>150</v>
      </c>
      <c r="D23" s="41">
        <v>790322416</v>
      </c>
      <c r="E23" s="41">
        <v>0</v>
      </c>
      <c r="F23" s="41">
        <v>14509849</v>
      </c>
      <c r="G23" s="41">
        <v>0</v>
      </c>
      <c r="H23" s="41">
        <v>0</v>
      </c>
      <c r="I23" s="41">
        <v>0</v>
      </c>
      <c r="J23" s="41">
        <f>SUM(D23:I23)</f>
        <v>804832265</v>
      </c>
      <c r="K23" s="41"/>
    </row>
    <row r="24" spans="1:12" x14ac:dyDescent="0.2">
      <c r="B24" s="42" t="s">
        <v>172</v>
      </c>
      <c r="D24" s="41"/>
      <c r="E24" s="41"/>
      <c r="F24" s="41"/>
      <c r="G24" s="41"/>
      <c r="H24" s="41"/>
      <c r="I24" s="41"/>
      <c r="J24" s="41"/>
    </row>
    <row r="25" spans="1:12" x14ac:dyDescent="0.2">
      <c r="A25" s="39">
        <f>A23+1</f>
        <v>17</v>
      </c>
      <c r="B25" s="42"/>
      <c r="C25" s="42" t="s">
        <v>175</v>
      </c>
      <c r="D25" s="41">
        <v>945051</v>
      </c>
      <c r="E25" s="41">
        <v>0</v>
      </c>
      <c r="F25" s="41">
        <v>-1212890</v>
      </c>
      <c r="G25" s="41">
        <v>925435</v>
      </c>
      <c r="H25" s="41">
        <v>0</v>
      </c>
      <c r="I25" s="41">
        <v>0</v>
      </c>
      <c r="J25" s="41">
        <f>SUM(D25:I25)</f>
        <v>657596</v>
      </c>
    </row>
    <row r="26" spans="1:12" x14ac:dyDescent="0.2">
      <c r="A26" s="39">
        <f>A25+1</f>
        <v>18</v>
      </c>
      <c r="B26" s="42"/>
      <c r="C26" s="42" t="s">
        <v>182</v>
      </c>
      <c r="D26" s="41">
        <v>2109748</v>
      </c>
      <c r="E26" s="41">
        <v>0</v>
      </c>
      <c r="F26" s="41">
        <v>0</v>
      </c>
      <c r="G26" s="41">
        <v>-2109716</v>
      </c>
      <c r="H26" s="41">
        <v>0</v>
      </c>
      <c r="I26" s="41">
        <v>0</v>
      </c>
      <c r="J26" s="41">
        <f>SUM(D26:I26)</f>
        <v>32</v>
      </c>
    </row>
    <row r="27" spans="1:12" x14ac:dyDescent="0.2">
      <c r="A27" s="39">
        <f>A26+1</f>
        <v>19</v>
      </c>
      <c r="B27" s="42"/>
      <c r="C27" s="42" t="s">
        <v>201</v>
      </c>
      <c r="D27" s="41">
        <v>1647</v>
      </c>
      <c r="E27" s="41">
        <v>0</v>
      </c>
      <c r="F27" s="41">
        <v>0</v>
      </c>
      <c r="G27" s="41">
        <v>-870</v>
      </c>
      <c r="H27" s="41">
        <v>0</v>
      </c>
      <c r="I27" s="41">
        <v>0</v>
      </c>
      <c r="J27" s="41">
        <f>SUM(D27:I27)</f>
        <v>777</v>
      </c>
    </row>
    <row r="28" spans="1:12" x14ac:dyDescent="0.2">
      <c r="A28" s="39">
        <f>A27+1</f>
        <v>20</v>
      </c>
      <c r="B28" s="42"/>
      <c r="C28" s="42" t="s">
        <v>183</v>
      </c>
      <c r="D28" s="41">
        <v>554687</v>
      </c>
      <c r="E28" s="41">
        <v>0</v>
      </c>
      <c r="F28" s="41">
        <v>0</v>
      </c>
      <c r="G28" s="41">
        <v>-554522</v>
      </c>
      <c r="H28" s="41">
        <v>0</v>
      </c>
      <c r="I28" s="41">
        <v>0</v>
      </c>
      <c r="J28" s="41">
        <f>SUM(D28:I28)</f>
        <v>165</v>
      </c>
    </row>
    <row r="29" spans="1:12" x14ac:dyDescent="0.2">
      <c r="A29" s="39">
        <f>A28+1</f>
        <v>21</v>
      </c>
      <c r="B29" s="42"/>
      <c r="C29" s="42" t="s">
        <v>251</v>
      </c>
      <c r="D29" s="41">
        <v>-195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f>SUM(D29:I29)</f>
        <v>-195</v>
      </c>
    </row>
    <row r="30" spans="1:12" x14ac:dyDescent="0.2">
      <c r="C30" s="41"/>
      <c r="D30" s="41"/>
      <c r="E30" s="41"/>
      <c r="F30" s="41"/>
      <c r="G30" s="41"/>
      <c r="H30" s="41"/>
      <c r="I30" s="41"/>
      <c r="J30" s="41"/>
    </row>
    <row r="31" spans="1:12" x14ac:dyDescent="0.2">
      <c r="A31" s="39">
        <f>A29+1</f>
        <v>22</v>
      </c>
      <c r="B31" s="42" t="s">
        <v>158</v>
      </c>
      <c r="D31" s="41">
        <f>SUM(D8:D29)</f>
        <v>6334612561</v>
      </c>
      <c r="E31" s="41">
        <f t="shared" ref="E31:J31" si="2">SUM(E8:E29)</f>
        <v>0</v>
      </c>
      <c r="F31" s="41">
        <f t="shared" si="2"/>
        <v>33149782</v>
      </c>
      <c r="G31" s="41">
        <f t="shared" si="2"/>
        <v>288496229</v>
      </c>
      <c r="H31" s="41">
        <f>SUM(H8:H29)</f>
        <v>-200331</v>
      </c>
      <c r="I31" s="41">
        <f>SUM(I8:I29)</f>
        <v>5726191</v>
      </c>
      <c r="J31" s="41">
        <f t="shared" si="2"/>
        <v>6661784432</v>
      </c>
      <c r="K31" s="43"/>
    </row>
    <row r="32" spans="1:12" x14ac:dyDescent="0.2">
      <c r="C32" s="42"/>
      <c r="D32" s="41"/>
      <c r="E32" s="41"/>
      <c r="F32" s="41"/>
      <c r="G32" s="41"/>
      <c r="H32" s="41"/>
      <c r="I32" s="41"/>
      <c r="J32" s="41"/>
      <c r="K32" s="43"/>
    </row>
    <row r="33" spans="1:12" x14ac:dyDescent="0.2">
      <c r="B33" s="42" t="s">
        <v>156</v>
      </c>
      <c r="C33" s="42"/>
      <c r="D33" s="41"/>
      <c r="E33" s="41"/>
      <c r="F33" s="41"/>
      <c r="G33" s="41"/>
      <c r="H33" s="41"/>
      <c r="I33" s="41"/>
      <c r="J33" s="41"/>
    </row>
    <row r="34" spans="1:12" x14ac:dyDescent="0.2">
      <c r="A34" s="39">
        <f>A31+1</f>
        <v>23</v>
      </c>
      <c r="B34" s="39" t="s">
        <v>153</v>
      </c>
      <c r="D34" s="41">
        <v>124579683</v>
      </c>
      <c r="E34" s="41">
        <v>0</v>
      </c>
      <c r="F34" s="41">
        <v>44176</v>
      </c>
      <c r="G34" s="41">
        <v>0</v>
      </c>
      <c r="H34" s="41">
        <v>0</v>
      </c>
      <c r="I34" s="41">
        <v>0</v>
      </c>
      <c r="J34" s="41">
        <f>SUM(D34:I34)</f>
        <v>124623859</v>
      </c>
      <c r="L34" s="40">
        <f>ROUND((D34+F34)/1000,1)</f>
        <v>124623.9</v>
      </c>
    </row>
    <row r="35" spans="1:12" x14ac:dyDescent="0.2">
      <c r="A35" s="39">
        <f>A34+1</f>
        <v>24</v>
      </c>
      <c r="B35" s="39" t="s">
        <v>152</v>
      </c>
      <c r="D35" s="41">
        <v>76809157</v>
      </c>
      <c r="E35" s="41">
        <v>0</v>
      </c>
      <c r="F35" s="41">
        <v>-503797</v>
      </c>
      <c r="G35" s="41">
        <v>0</v>
      </c>
      <c r="H35" s="41">
        <v>0</v>
      </c>
      <c r="I35" s="41">
        <v>0</v>
      </c>
      <c r="J35" s="41">
        <f>SUM(D35:I35)</f>
        <v>76305360</v>
      </c>
      <c r="K35" s="41"/>
      <c r="L35" s="40">
        <f>ROUND((D35+F35)/1000,1)</f>
        <v>76305.399999999994</v>
      </c>
    </row>
    <row r="36" spans="1:12" x14ac:dyDescent="0.2">
      <c r="A36" s="39">
        <f>A35+1</f>
        <v>25</v>
      </c>
      <c r="B36" s="42" t="s">
        <v>174</v>
      </c>
      <c r="D36" s="41">
        <v>25447887</v>
      </c>
      <c r="E36" s="41">
        <v>0</v>
      </c>
      <c r="F36" s="41">
        <v>-203356</v>
      </c>
      <c r="G36" s="41">
        <v>0</v>
      </c>
      <c r="H36" s="41">
        <v>0</v>
      </c>
      <c r="I36" s="41">
        <v>0</v>
      </c>
      <c r="J36" s="41">
        <f>SUM(D36:I36)</f>
        <v>25244531</v>
      </c>
      <c r="L36" s="40">
        <f>ROUND((D36+F36)/1000,1)</f>
        <v>25244.5</v>
      </c>
    </row>
    <row r="37" spans="1:12" x14ac:dyDescent="0.2">
      <c r="A37" s="39">
        <f>A36+1</f>
        <v>26</v>
      </c>
      <c r="B37" s="42" t="s">
        <v>168</v>
      </c>
      <c r="C37" s="42"/>
      <c r="D37" s="41">
        <v>18158004</v>
      </c>
      <c r="E37" s="41">
        <v>0</v>
      </c>
      <c r="F37" s="41">
        <v>0</v>
      </c>
      <c r="G37" s="41">
        <v>0</v>
      </c>
      <c r="H37" s="41">
        <v>0</v>
      </c>
      <c r="I37" s="41">
        <v>0</v>
      </c>
      <c r="J37" s="41">
        <f>SUM(D37:I37)</f>
        <v>18158004</v>
      </c>
      <c r="K37" s="148"/>
      <c r="L37" s="40">
        <f>ROUND((D37+F37)/1000,1)</f>
        <v>18158</v>
      </c>
    </row>
    <row r="38" spans="1:12" x14ac:dyDescent="0.2">
      <c r="A38" s="39">
        <f>A37+1</f>
        <v>27</v>
      </c>
      <c r="B38" s="39" t="s">
        <v>154</v>
      </c>
      <c r="D38" s="41">
        <v>728042968</v>
      </c>
      <c r="E38" s="41">
        <v>0</v>
      </c>
      <c r="F38" s="41">
        <v>9586428</v>
      </c>
      <c r="G38" s="41">
        <v>0</v>
      </c>
      <c r="H38" s="41">
        <v>0</v>
      </c>
      <c r="I38" s="41">
        <v>0</v>
      </c>
      <c r="J38" s="41">
        <f>SUM(D38:I38)</f>
        <v>737629396</v>
      </c>
      <c r="K38" s="41"/>
      <c r="L38" s="40">
        <f>ROUND((D38+F38)/1000,1)</f>
        <v>737629.4</v>
      </c>
    </row>
    <row r="39" spans="1:12" x14ac:dyDescent="0.2">
      <c r="D39" s="41"/>
      <c r="E39" s="41"/>
      <c r="F39" s="41"/>
      <c r="G39" s="41"/>
      <c r="H39" s="41"/>
      <c r="I39" s="41"/>
      <c r="J39" s="41"/>
    </row>
    <row r="40" spans="1:12" x14ac:dyDescent="0.2">
      <c r="A40" s="39">
        <f>A38+1</f>
        <v>28</v>
      </c>
      <c r="B40" s="42" t="s">
        <v>159</v>
      </c>
      <c r="C40" s="42"/>
      <c r="D40" s="41">
        <f t="shared" ref="D40:J40" si="3">SUM(D34:D38)</f>
        <v>973037699</v>
      </c>
      <c r="E40" s="41">
        <f t="shared" si="3"/>
        <v>0</v>
      </c>
      <c r="F40" s="41">
        <f t="shared" si="3"/>
        <v>8923451</v>
      </c>
      <c r="G40" s="41">
        <f t="shared" si="3"/>
        <v>0</v>
      </c>
      <c r="H40" s="41">
        <f>SUM(H34:H38)</f>
        <v>0</v>
      </c>
      <c r="I40" s="41">
        <f>SUM(I34:I38)</f>
        <v>0</v>
      </c>
      <c r="J40" s="41">
        <f t="shared" si="3"/>
        <v>981961150</v>
      </c>
      <c r="K40" s="43"/>
    </row>
    <row r="41" spans="1:12" x14ac:dyDescent="0.2">
      <c r="B41" s="42"/>
      <c r="C41" s="42"/>
      <c r="D41" s="41"/>
      <c r="E41" s="41"/>
      <c r="F41" s="41"/>
      <c r="G41" s="41"/>
      <c r="H41" s="41"/>
      <c r="I41" s="41"/>
      <c r="J41" s="41"/>
    </row>
    <row r="42" spans="1:12" x14ac:dyDescent="0.2">
      <c r="B42" s="42" t="s">
        <v>157</v>
      </c>
      <c r="C42" s="42"/>
      <c r="D42" s="41"/>
      <c r="E42" s="41"/>
      <c r="F42" s="41"/>
      <c r="G42" s="41"/>
      <c r="H42" s="41"/>
      <c r="I42" s="41"/>
      <c r="J42" s="41"/>
    </row>
    <row r="43" spans="1:12" x14ac:dyDescent="0.2">
      <c r="A43" s="39">
        <f>A40+1</f>
        <v>29</v>
      </c>
      <c r="B43" s="39" t="s">
        <v>141</v>
      </c>
      <c r="D43" s="41">
        <f t="shared" ref="D43:G45" si="4">D8</f>
        <v>4633165941</v>
      </c>
      <c r="E43" s="41">
        <f t="shared" si="4"/>
        <v>0</v>
      </c>
      <c r="F43" s="41">
        <f t="shared" si="4"/>
        <v>8010349</v>
      </c>
      <c r="G43" s="41">
        <f t="shared" si="4"/>
        <v>216871767</v>
      </c>
      <c r="H43" s="41">
        <f t="shared" ref="H43:I45" si="5">H8</f>
        <v>0</v>
      </c>
      <c r="I43" s="41">
        <f t="shared" si="5"/>
        <v>0</v>
      </c>
      <c r="J43" s="41">
        <f>SUM(D43:I43)</f>
        <v>4858048057</v>
      </c>
    </row>
    <row r="44" spans="1:12" x14ac:dyDescent="0.2">
      <c r="A44" s="39">
        <f>A43+1</f>
        <v>30</v>
      </c>
      <c r="B44" s="42" t="s">
        <v>167</v>
      </c>
      <c r="C44" s="42"/>
      <c r="D44" s="41">
        <f t="shared" si="4"/>
        <v>10850506</v>
      </c>
      <c r="E44" s="41">
        <f t="shared" si="4"/>
        <v>0</v>
      </c>
      <c r="F44" s="41">
        <f t="shared" si="4"/>
        <v>18760</v>
      </c>
      <c r="G44" s="41">
        <f t="shared" si="4"/>
        <v>507897</v>
      </c>
      <c r="H44" s="41">
        <f>H9</f>
        <v>0</v>
      </c>
      <c r="I44" s="41">
        <f t="shared" si="5"/>
        <v>0</v>
      </c>
      <c r="J44" s="41">
        <f>SUM(D44:I44)</f>
        <v>11377163</v>
      </c>
    </row>
    <row r="45" spans="1:12" x14ac:dyDescent="0.2">
      <c r="A45" s="39">
        <f>A44+1</f>
        <v>31</v>
      </c>
      <c r="B45" s="39" t="s">
        <v>142</v>
      </c>
      <c r="D45" s="41">
        <f t="shared" si="4"/>
        <v>54627633</v>
      </c>
      <c r="E45" s="41">
        <f t="shared" si="4"/>
        <v>0</v>
      </c>
      <c r="F45" s="41">
        <f t="shared" si="4"/>
        <v>12063822</v>
      </c>
      <c r="G45" s="41">
        <f t="shared" si="4"/>
        <v>2056555</v>
      </c>
      <c r="H45" s="41">
        <f>H10</f>
        <v>325015</v>
      </c>
      <c r="I45" s="41">
        <f t="shared" si="5"/>
        <v>0</v>
      </c>
      <c r="J45" s="41">
        <f>SUM(D45:I45)</f>
        <v>69073025</v>
      </c>
    </row>
    <row r="46" spans="1:12" x14ac:dyDescent="0.2">
      <c r="B46" s="42" t="s">
        <v>171</v>
      </c>
      <c r="D46" s="41"/>
      <c r="E46" s="41"/>
      <c r="F46" s="41"/>
      <c r="G46" s="41"/>
      <c r="H46" s="41"/>
      <c r="I46" s="41"/>
      <c r="J46" s="41"/>
    </row>
    <row r="47" spans="1:12" x14ac:dyDescent="0.2">
      <c r="A47" s="39">
        <f>A45+1</f>
        <v>32</v>
      </c>
      <c r="C47" s="39" t="s">
        <v>143</v>
      </c>
      <c r="D47" s="41">
        <f t="shared" ref="D47:G53" si="6">D12</f>
        <v>365210547</v>
      </c>
      <c r="E47" s="41">
        <f t="shared" si="6"/>
        <v>0</v>
      </c>
      <c r="F47" s="41">
        <f t="shared" si="6"/>
        <v>0</v>
      </c>
      <c r="G47" s="41">
        <f t="shared" si="6"/>
        <v>43323700</v>
      </c>
      <c r="H47" s="41">
        <f t="shared" ref="H47:I53" si="7">H12</f>
        <v>0</v>
      </c>
      <c r="I47" s="41">
        <f t="shared" si="7"/>
        <v>5726191</v>
      </c>
      <c r="J47" s="41">
        <f t="shared" ref="J47:J59" si="8">SUM(D47:I47)</f>
        <v>414260438</v>
      </c>
    </row>
    <row r="48" spans="1:12" x14ac:dyDescent="0.2">
      <c r="A48" s="39">
        <f t="shared" ref="A48:A59" si="9">A47+1</f>
        <v>33</v>
      </c>
      <c r="C48" s="39" t="s">
        <v>144</v>
      </c>
      <c r="D48" s="41">
        <f t="shared" si="6"/>
        <v>27927283</v>
      </c>
      <c r="E48" s="41">
        <f t="shared" si="6"/>
        <v>0</v>
      </c>
      <c r="F48" s="41">
        <f t="shared" si="6"/>
        <v>-607982</v>
      </c>
      <c r="G48" s="41">
        <f t="shared" si="6"/>
        <v>4773180</v>
      </c>
      <c r="H48" s="41">
        <f t="shared" ref="H48:H53" si="10">H13</f>
        <v>-419361</v>
      </c>
      <c r="I48" s="41">
        <f t="shared" si="7"/>
        <v>0</v>
      </c>
      <c r="J48" s="41">
        <f t="shared" si="8"/>
        <v>31673120</v>
      </c>
    </row>
    <row r="49" spans="1:10" x14ac:dyDescent="0.2">
      <c r="A49" s="39">
        <f t="shared" si="9"/>
        <v>34</v>
      </c>
      <c r="B49" s="42"/>
      <c r="C49" s="42" t="s">
        <v>170</v>
      </c>
      <c r="D49" s="41">
        <f t="shared" si="6"/>
        <v>7058037</v>
      </c>
      <c r="E49" s="41">
        <f t="shared" si="6"/>
        <v>0</v>
      </c>
      <c r="F49" s="41">
        <f t="shared" si="6"/>
        <v>-153655</v>
      </c>
      <c r="G49" s="41">
        <f t="shared" si="6"/>
        <v>1589127</v>
      </c>
      <c r="H49" s="41">
        <f t="shared" si="10"/>
        <v>-105985</v>
      </c>
      <c r="I49" s="41">
        <f t="shared" si="7"/>
        <v>0</v>
      </c>
      <c r="J49" s="41">
        <f t="shared" si="8"/>
        <v>8387524</v>
      </c>
    </row>
    <row r="50" spans="1:10" x14ac:dyDescent="0.2">
      <c r="A50" s="39">
        <f t="shared" si="9"/>
        <v>35</v>
      </c>
      <c r="B50" s="39" t="s">
        <v>145</v>
      </c>
      <c r="D50" s="41">
        <f t="shared" si="6"/>
        <v>22459853</v>
      </c>
      <c r="E50" s="41">
        <f t="shared" si="6"/>
        <v>0</v>
      </c>
      <c r="F50" s="41">
        <f t="shared" si="6"/>
        <v>0</v>
      </c>
      <c r="G50" s="41">
        <f t="shared" si="6"/>
        <v>1051308</v>
      </c>
      <c r="H50" s="41">
        <f t="shared" si="10"/>
        <v>0</v>
      </c>
      <c r="I50" s="41">
        <f t="shared" si="7"/>
        <v>0</v>
      </c>
      <c r="J50" s="41">
        <f t="shared" si="8"/>
        <v>23511161</v>
      </c>
    </row>
    <row r="51" spans="1:10" x14ac:dyDescent="0.2">
      <c r="A51" s="39">
        <f t="shared" si="9"/>
        <v>36</v>
      </c>
      <c r="B51" s="39" t="s">
        <v>146</v>
      </c>
      <c r="D51" s="41">
        <f t="shared" si="6"/>
        <v>59321316</v>
      </c>
      <c r="E51" s="41">
        <f t="shared" si="6"/>
        <v>0</v>
      </c>
      <c r="F51" s="41">
        <f t="shared" si="6"/>
        <v>0</v>
      </c>
      <c r="G51" s="41">
        <f t="shared" si="6"/>
        <v>1050163</v>
      </c>
      <c r="H51" s="41">
        <f t="shared" si="10"/>
        <v>0</v>
      </c>
      <c r="I51" s="41">
        <f t="shared" si="7"/>
        <v>0</v>
      </c>
      <c r="J51" s="41">
        <f t="shared" si="8"/>
        <v>60371479</v>
      </c>
    </row>
    <row r="52" spans="1:10" x14ac:dyDescent="0.2">
      <c r="A52" s="39">
        <f t="shared" si="9"/>
        <v>37</v>
      </c>
      <c r="B52" s="39" t="s">
        <v>148</v>
      </c>
      <c r="D52" s="41">
        <f t="shared" si="6"/>
        <v>355951</v>
      </c>
      <c r="E52" s="41">
        <f t="shared" si="6"/>
        <v>0</v>
      </c>
      <c r="F52" s="41">
        <f t="shared" si="6"/>
        <v>615</v>
      </c>
      <c r="G52" s="41">
        <f t="shared" si="6"/>
        <v>16662</v>
      </c>
      <c r="H52" s="41">
        <f t="shared" si="10"/>
        <v>0</v>
      </c>
      <c r="I52" s="41">
        <f t="shared" si="7"/>
        <v>0</v>
      </c>
      <c r="J52" s="41">
        <f t="shared" si="8"/>
        <v>373228</v>
      </c>
    </row>
    <row r="53" spans="1:10" x14ac:dyDescent="0.2">
      <c r="A53" s="39">
        <f t="shared" si="9"/>
        <v>38</v>
      </c>
      <c r="B53" s="39" t="s">
        <v>244</v>
      </c>
      <c r="D53" s="41">
        <f t="shared" si="6"/>
        <v>0</v>
      </c>
      <c r="E53" s="41">
        <f t="shared" si="6"/>
        <v>0</v>
      </c>
      <c r="F53" s="41">
        <f t="shared" si="6"/>
        <v>0</v>
      </c>
      <c r="G53" s="41">
        <f t="shared" si="6"/>
        <v>0</v>
      </c>
      <c r="H53" s="41">
        <f t="shared" si="10"/>
        <v>0</v>
      </c>
      <c r="I53" s="41">
        <f t="shared" si="7"/>
        <v>0</v>
      </c>
      <c r="J53" s="41">
        <f t="shared" si="8"/>
        <v>0</v>
      </c>
    </row>
    <row r="54" spans="1:10" x14ac:dyDescent="0.2">
      <c r="A54" s="39">
        <f t="shared" si="9"/>
        <v>39</v>
      </c>
      <c r="B54" s="39" t="s">
        <v>147</v>
      </c>
      <c r="D54" s="41">
        <f t="shared" ref="D54:G57" si="11">D19-D34</f>
        <v>61023795</v>
      </c>
      <c r="E54" s="41">
        <f t="shared" si="11"/>
        <v>0</v>
      </c>
      <c r="F54" s="41">
        <f t="shared" si="11"/>
        <v>276717</v>
      </c>
      <c r="G54" s="41">
        <f t="shared" si="11"/>
        <v>8687839</v>
      </c>
      <c r="H54" s="41">
        <f t="shared" ref="H54:I57" si="12">H19-H34</f>
        <v>0</v>
      </c>
      <c r="I54" s="41">
        <f t="shared" si="12"/>
        <v>0</v>
      </c>
      <c r="J54" s="41">
        <f t="shared" si="8"/>
        <v>69988351</v>
      </c>
    </row>
    <row r="55" spans="1:10" x14ac:dyDescent="0.2">
      <c r="A55" s="39">
        <f t="shared" si="9"/>
        <v>40</v>
      </c>
      <c r="B55" s="39" t="s">
        <v>149</v>
      </c>
      <c r="D55" s="41">
        <f t="shared" si="11"/>
        <v>11250658</v>
      </c>
      <c r="E55" s="41">
        <f t="shared" si="11"/>
        <v>0</v>
      </c>
      <c r="F55" s="41">
        <f t="shared" si="11"/>
        <v>656045</v>
      </c>
      <c r="G55" s="41">
        <f t="shared" si="11"/>
        <v>4121949</v>
      </c>
      <c r="H55" s="41">
        <f>H20-H35</f>
        <v>0</v>
      </c>
      <c r="I55" s="41">
        <f t="shared" si="12"/>
        <v>0</v>
      </c>
      <c r="J55" s="41">
        <f t="shared" si="8"/>
        <v>16028652</v>
      </c>
    </row>
    <row r="56" spans="1:10" x14ac:dyDescent="0.2">
      <c r="A56" s="39">
        <f t="shared" si="9"/>
        <v>41</v>
      </c>
      <c r="B56" s="42" t="s">
        <v>173</v>
      </c>
      <c r="D56" s="41">
        <f t="shared" si="11"/>
        <v>2183695</v>
      </c>
      <c r="E56" s="41">
        <f t="shared" si="11"/>
        <v>0</v>
      </c>
      <c r="F56" s="41">
        <f t="shared" si="11"/>
        <v>251129</v>
      </c>
      <c r="G56" s="41">
        <f t="shared" si="11"/>
        <v>1536088</v>
      </c>
      <c r="H56" s="41">
        <f>H21-H36</f>
        <v>0</v>
      </c>
      <c r="I56" s="41">
        <f t="shared" si="12"/>
        <v>0</v>
      </c>
      <c r="J56" s="41">
        <f t="shared" si="8"/>
        <v>3970912</v>
      </c>
    </row>
    <row r="57" spans="1:10" x14ac:dyDescent="0.2">
      <c r="A57" s="39">
        <f t="shared" si="9"/>
        <v>42</v>
      </c>
      <c r="B57" s="42" t="s">
        <v>168</v>
      </c>
      <c r="C57" s="42"/>
      <c r="D57" s="41">
        <f t="shared" si="11"/>
        <v>40249261</v>
      </c>
      <c r="E57" s="41">
        <f t="shared" si="11"/>
        <v>0</v>
      </c>
      <c r="F57" s="41">
        <f t="shared" si="11"/>
        <v>0</v>
      </c>
      <c r="G57" s="41">
        <f t="shared" si="11"/>
        <v>4649667</v>
      </c>
      <c r="H57" s="41">
        <f>H22-H37</f>
        <v>0</v>
      </c>
      <c r="I57" s="41">
        <f t="shared" si="12"/>
        <v>0</v>
      </c>
      <c r="J57" s="41">
        <f t="shared" si="8"/>
        <v>44898928</v>
      </c>
    </row>
    <row r="58" spans="1:10" x14ac:dyDescent="0.2">
      <c r="A58" s="39">
        <f t="shared" si="9"/>
        <v>43</v>
      </c>
      <c r="B58" s="42" t="s">
        <v>163</v>
      </c>
      <c r="C58" s="42"/>
      <c r="D58" s="41">
        <f t="shared" ref="D58:I58" si="13">D23-D38-D59</f>
        <v>53686266</v>
      </c>
      <c r="E58" s="41">
        <f t="shared" si="13"/>
        <v>0</v>
      </c>
      <c r="F58" s="41">
        <f t="shared" si="13"/>
        <v>4923421</v>
      </c>
      <c r="G58" s="41">
        <f t="shared" si="13"/>
        <v>0</v>
      </c>
      <c r="H58" s="41">
        <f t="shared" si="13"/>
        <v>0</v>
      </c>
      <c r="I58" s="41">
        <f t="shared" si="13"/>
        <v>0</v>
      </c>
      <c r="J58" s="41">
        <f t="shared" si="8"/>
        <v>58609687</v>
      </c>
    </row>
    <row r="59" spans="1:10" x14ac:dyDescent="0.2">
      <c r="A59" s="39">
        <f t="shared" si="9"/>
        <v>44</v>
      </c>
      <c r="B59" s="39" t="s">
        <v>151</v>
      </c>
      <c r="D59" s="41">
        <v>8593182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f t="shared" si="8"/>
        <v>8593182</v>
      </c>
    </row>
    <row r="60" spans="1:10" x14ac:dyDescent="0.2">
      <c r="B60" s="42" t="s">
        <v>172</v>
      </c>
      <c r="D60" s="41"/>
      <c r="E60" s="41"/>
      <c r="F60" s="41"/>
      <c r="G60" s="41"/>
      <c r="H60" s="41"/>
      <c r="I60" s="41"/>
      <c r="J60" s="41"/>
    </row>
    <row r="61" spans="1:10" x14ac:dyDescent="0.2">
      <c r="A61" s="39">
        <f>A59+1</f>
        <v>45</v>
      </c>
      <c r="B61" s="42"/>
      <c r="C61" s="42" t="s">
        <v>175</v>
      </c>
      <c r="D61" s="41">
        <f t="shared" ref="D61:G65" si="14">D25</f>
        <v>945051</v>
      </c>
      <c r="E61" s="41">
        <f t="shared" si="14"/>
        <v>0</v>
      </c>
      <c r="F61" s="41">
        <f t="shared" si="14"/>
        <v>-1212890</v>
      </c>
      <c r="G61" s="41">
        <f t="shared" si="14"/>
        <v>925435</v>
      </c>
      <c r="H61" s="41">
        <f t="shared" ref="H61:I65" si="15">H25</f>
        <v>0</v>
      </c>
      <c r="I61" s="41">
        <f t="shared" si="15"/>
        <v>0</v>
      </c>
      <c r="J61" s="41">
        <f>SUM(D61:I61)</f>
        <v>657596</v>
      </c>
    </row>
    <row r="62" spans="1:10" x14ac:dyDescent="0.2">
      <c r="A62" s="39">
        <f>A61+1</f>
        <v>46</v>
      </c>
      <c r="B62" s="42"/>
      <c r="C62" s="42" t="s">
        <v>182</v>
      </c>
      <c r="D62" s="41">
        <f t="shared" si="14"/>
        <v>2109748</v>
      </c>
      <c r="E62" s="41">
        <f t="shared" si="14"/>
        <v>0</v>
      </c>
      <c r="F62" s="41">
        <f t="shared" si="14"/>
        <v>0</v>
      </c>
      <c r="G62" s="41">
        <f t="shared" si="14"/>
        <v>-2109716</v>
      </c>
      <c r="H62" s="41">
        <f>H26</f>
        <v>0</v>
      </c>
      <c r="I62" s="41">
        <f t="shared" si="15"/>
        <v>0</v>
      </c>
      <c r="J62" s="41">
        <f>SUM(D62:I62)</f>
        <v>32</v>
      </c>
    </row>
    <row r="63" spans="1:10" x14ac:dyDescent="0.2">
      <c r="A63" s="39">
        <f>A62+1</f>
        <v>47</v>
      </c>
      <c r="B63" s="42"/>
      <c r="C63" s="42" t="s">
        <v>201</v>
      </c>
      <c r="D63" s="41">
        <f t="shared" si="14"/>
        <v>1647</v>
      </c>
      <c r="E63" s="41">
        <f t="shared" si="14"/>
        <v>0</v>
      </c>
      <c r="F63" s="41">
        <f t="shared" si="14"/>
        <v>0</v>
      </c>
      <c r="G63" s="41">
        <f t="shared" si="14"/>
        <v>-870</v>
      </c>
      <c r="H63" s="41">
        <f>H27</f>
        <v>0</v>
      </c>
      <c r="I63" s="41">
        <f t="shared" si="15"/>
        <v>0</v>
      </c>
      <c r="J63" s="41">
        <f>SUM(D63:I63)</f>
        <v>777</v>
      </c>
    </row>
    <row r="64" spans="1:10" x14ac:dyDescent="0.2">
      <c r="A64" s="39">
        <f>A63+1</f>
        <v>48</v>
      </c>
      <c r="B64" s="42"/>
      <c r="C64" s="42" t="s">
        <v>183</v>
      </c>
      <c r="D64" s="41">
        <f t="shared" si="14"/>
        <v>554687</v>
      </c>
      <c r="E64" s="41">
        <f t="shared" si="14"/>
        <v>0</v>
      </c>
      <c r="F64" s="41">
        <f t="shared" si="14"/>
        <v>0</v>
      </c>
      <c r="G64" s="41">
        <f t="shared" si="14"/>
        <v>-554522</v>
      </c>
      <c r="H64" s="41">
        <f>H28</f>
        <v>0</v>
      </c>
      <c r="I64" s="41">
        <f t="shared" si="15"/>
        <v>0</v>
      </c>
      <c r="J64" s="41">
        <f>SUM(D64:I64)</f>
        <v>165</v>
      </c>
    </row>
    <row r="65" spans="1:13" x14ac:dyDescent="0.2">
      <c r="A65" s="39">
        <f>A64+1</f>
        <v>49</v>
      </c>
      <c r="B65" s="42"/>
      <c r="C65" s="42" t="s">
        <v>251</v>
      </c>
      <c r="D65" s="41">
        <f t="shared" si="14"/>
        <v>-195</v>
      </c>
      <c r="E65" s="41">
        <f t="shared" si="14"/>
        <v>0</v>
      </c>
      <c r="F65" s="41">
        <f t="shared" si="14"/>
        <v>0</v>
      </c>
      <c r="G65" s="41">
        <f t="shared" si="14"/>
        <v>0</v>
      </c>
      <c r="H65" s="41">
        <f>H29</f>
        <v>0</v>
      </c>
      <c r="I65" s="41">
        <f t="shared" si="15"/>
        <v>0</v>
      </c>
      <c r="J65" s="41">
        <f>SUM(D65:I65)</f>
        <v>-195</v>
      </c>
    </row>
    <row r="66" spans="1:13" x14ac:dyDescent="0.2">
      <c r="D66" s="41"/>
      <c r="E66" s="41"/>
      <c r="F66" s="41"/>
      <c r="G66" s="41"/>
      <c r="H66" s="41"/>
      <c r="I66" s="41"/>
      <c r="J66" s="41"/>
    </row>
    <row r="67" spans="1:13" x14ac:dyDescent="0.2">
      <c r="A67" s="39">
        <f>A65+1</f>
        <v>50</v>
      </c>
      <c r="B67" s="42" t="s">
        <v>184</v>
      </c>
      <c r="C67" s="42"/>
      <c r="D67" s="41">
        <f t="shared" ref="D67:J67" si="16">SUM(D43:D65)</f>
        <v>5361574862</v>
      </c>
      <c r="E67" s="41">
        <f t="shared" si="16"/>
        <v>0</v>
      </c>
      <c r="F67" s="41">
        <f t="shared" si="16"/>
        <v>24226331</v>
      </c>
      <c r="G67" s="41">
        <f t="shared" si="16"/>
        <v>288496229</v>
      </c>
      <c r="H67" s="41">
        <f>SUM(H43:H65)</f>
        <v>-200331</v>
      </c>
      <c r="I67" s="41">
        <f>SUM(I43:I65)</f>
        <v>5726191</v>
      </c>
      <c r="J67" s="41">
        <f t="shared" si="16"/>
        <v>5679823282</v>
      </c>
      <c r="K67" s="43"/>
    </row>
    <row r="68" spans="1:13" x14ac:dyDescent="0.2">
      <c r="A68" s="39">
        <f>A67+1</f>
        <v>51</v>
      </c>
      <c r="B68" s="173" t="s">
        <v>397</v>
      </c>
      <c r="C68" s="42"/>
      <c r="D68" s="41">
        <f t="shared" ref="D68:J68" si="17">D67</f>
        <v>5361574862</v>
      </c>
      <c r="E68" s="41">
        <f t="shared" si="17"/>
        <v>0</v>
      </c>
      <c r="F68" s="41">
        <f t="shared" si="17"/>
        <v>24226331</v>
      </c>
      <c r="G68" s="41">
        <f t="shared" si="17"/>
        <v>288496229</v>
      </c>
      <c r="H68" s="41">
        <f t="shared" si="17"/>
        <v>-200331</v>
      </c>
      <c r="I68" s="41">
        <f t="shared" si="17"/>
        <v>5726191</v>
      </c>
      <c r="J68" s="41">
        <f t="shared" si="17"/>
        <v>5679823282</v>
      </c>
      <c r="K68" s="43"/>
    </row>
    <row r="69" spans="1:13" x14ac:dyDescent="0.2">
      <c r="A69" s="39">
        <f>A68+1</f>
        <v>52</v>
      </c>
      <c r="B69" s="42" t="s">
        <v>303</v>
      </c>
      <c r="C69" s="42"/>
      <c r="D69" s="127" t="s">
        <v>302</v>
      </c>
      <c r="E69" s="127" t="s">
        <v>302</v>
      </c>
      <c r="F69" s="127" t="s">
        <v>302</v>
      </c>
      <c r="G69" s="127" t="s">
        <v>302</v>
      </c>
      <c r="H69" s="127" t="s">
        <v>302</v>
      </c>
      <c r="I69" s="127" t="s">
        <v>302</v>
      </c>
      <c r="J69" s="127" t="s">
        <v>302</v>
      </c>
    </row>
    <row r="70" spans="1:13" x14ac:dyDescent="0.2">
      <c r="B70" s="42"/>
      <c r="C70" s="42"/>
      <c r="D70" s="41"/>
      <c r="E70" s="41"/>
      <c r="F70" s="41"/>
      <c r="G70" s="41"/>
      <c r="H70" s="41"/>
      <c r="I70" s="41"/>
      <c r="J70" s="41"/>
    </row>
    <row r="71" spans="1:13" x14ac:dyDescent="0.2">
      <c r="A71" s="39">
        <f>A69+1</f>
        <v>53</v>
      </c>
      <c r="B71" s="42" t="s">
        <v>166</v>
      </c>
      <c r="C71" s="42"/>
      <c r="D71" s="41">
        <v>-29548624</v>
      </c>
      <c r="E71" s="41">
        <v>0</v>
      </c>
      <c r="F71" s="41">
        <v>0</v>
      </c>
      <c r="G71" s="41">
        <v>-1380632</v>
      </c>
      <c r="H71" s="41">
        <v>0</v>
      </c>
      <c r="I71" s="41">
        <v>0</v>
      </c>
      <c r="J71" s="41">
        <f>SUM(D71:I71)</f>
        <v>-30929256</v>
      </c>
      <c r="K71" s="43">
        <v>-1380642</v>
      </c>
      <c r="L71" s="41">
        <f>K71+D71</f>
        <v>-30929266</v>
      </c>
      <c r="M71" s="41">
        <v>-1379785.22</v>
      </c>
    </row>
    <row r="72" spans="1:13" x14ac:dyDescent="0.2">
      <c r="D72" s="40"/>
      <c r="E72" s="40"/>
      <c r="F72" s="40"/>
      <c r="G72" s="40"/>
      <c r="H72" s="40"/>
      <c r="I72" s="40"/>
      <c r="J72" s="40"/>
      <c r="K72" s="41">
        <f>D71-G71</f>
        <v>-28167992</v>
      </c>
    </row>
    <row r="73" spans="1:13" x14ac:dyDescent="0.2">
      <c r="A73" s="190" t="s">
        <v>391</v>
      </c>
      <c r="B73" s="190"/>
      <c r="C73" s="191"/>
      <c r="D73" s="192" t="s">
        <v>176</v>
      </c>
      <c r="E73" s="192" t="s">
        <v>181</v>
      </c>
      <c r="F73" s="192" t="s">
        <v>177</v>
      </c>
      <c r="G73" s="192" t="s">
        <v>178</v>
      </c>
      <c r="H73" s="192" t="s">
        <v>179</v>
      </c>
      <c r="I73" s="192" t="s">
        <v>370</v>
      </c>
      <c r="J73" s="192" t="s">
        <v>180</v>
      </c>
      <c r="K73" s="98">
        <v>-29560535.929999977</v>
      </c>
    </row>
    <row r="74" spans="1:13" x14ac:dyDescent="0.2">
      <c r="K74" s="43">
        <f>K73-G71</f>
        <v>-28179903.929999977</v>
      </c>
    </row>
    <row r="75" spans="1:13" x14ac:dyDescent="0.2">
      <c r="A75" s="39">
        <v>1</v>
      </c>
      <c r="B75" s="39" t="s">
        <v>140</v>
      </c>
      <c r="D75" s="41">
        <f>'Pupil Data'!C205</f>
        <v>903246</v>
      </c>
      <c r="E75" s="41">
        <v>0</v>
      </c>
      <c r="F75" s="41">
        <f>'Pupil Data'!D205</f>
        <v>3289</v>
      </c>
      <c r="G75" s="41">
        <f>'Pupil Data'!E205</f>
        <v>42904</v>
      </c>
      <c r="H75" s="41">
        <f>'Pupil Data'!F205</f>
        <v>0</v>
      </c>
      <c r="I75" s="41">
        <v>0</v>
      </c>
      <c r="J75" s="41">
        <f>SUM(D75:I75)</f>
        <v>949439</v>
      </c>
    </row>
    <row r="77" spans="1:13" x14ac:dyDescent="0.2">
      <c r="B77" s="42" t="s">
        <v>155</v>
      </c>
      <c r="D77" s="40"/>
      <c r="E77" s="40"/>
      <c r="F77" s="40"/>
      <c r="G77" s="40"/>
      <c r="H77" s="40"/>
      <c r="I77" s="40"/>
      <c r="J77" s="40"/>
    </row>
    <row r="78" spans="1:13" x14ac:dyDescent="0.2">
      <c r="A78" s="39">
        <f>A75+1</f>
        <v>2</v>
      </c>
      <c r="B78" s="39" t="s">
        <v>141</v>
      </c>
      <c r="D78" s="41">
        <v>4628234963</v>
      </c>
      <c r="E78" s="41">
        <v>0</v>
      </c>
      <c r="F78" s="41">
        <v>16850838</v>
      </c>
      <c r="G78" s="41">
        <v>219841223</v>
      </c>
      <c r="H78" s="41">
        <v>0</v>
      </c>
      <c r="I78" s="41">
        <v>0</v>
      </c>
      <c r="J78" s="41">
        <f>SUM(D78:I78)</f>
        <v>4864927024</v>
      </c>
    </row>
    <row r="79" spans="1:13" x14ac:dyDescent="0.2">
      <c r="A79" s="39">
        <f>A78+1</f>
        <v>3</v>
      </c>
      <c r="B79" s="42" t="s">
        <v>167</v>
      </c>
      <c r="C79" s="42"/>
      <c r="D79" s="41">
        <v>10838964</v>
      </c>
      <c r="E79" s="41">
        <v>0</v>
      </c>
      <c r="F79" s="41">
        <v>39463</v>
      </c>
      <c r="G79" s="41">
        <v>514855</v>
      </c>
      <c r="H79" s="41">
        <v>0</v>
      </c>
      <c r="I79" s="41">
        <v>0</v>
      </c>
      <c r="J79" s="41">
        <f>SUM(D79:I79)</f>
        <v>11393282</v>
      </c>
    </row>
    <row r="80" spans="1:13" x14ac:dyDescent="0.2">
      <c r="A80" s="39">
        <f>A79+1</f>
        <v>4</v>
      </c>
      <c r="B80" s="39" t="s">
        <v>142</v>
      </c>
      <c r="D80" s="41">
        <v>53690640</v>
      </c>
      <c r="E80" s="41">
        <v>0</v>
      </c>
      <c r="F80" s="41">
        <v>13193644</v>
      </c>
      <c r="G80" s="41">
        <v>2289549</v>
      </c>
      <c r="H80" s="41">
        <v>52451</v>
      </c>
      <c r="I80" s="41">
        <v>0</v>
      </c>
      <c r="J80" s="41">
        <f>SUM(D80:I80)</f>
        <v>69226284</v>
      </c>
    </row>
    <row r="81" spans="1:12" x14ac:dyDescent="0.2">
      <c r="B81" s="42" t="s">
        <v>171</v>
      </c>
      <c r="D81" s="41"/>
      <c r="E81" s="41"/>
      <c r="F81" s="41"/>
      <c r="G81" s="41"/>
      <c r="H81" s="41"/>
      <c r="I81" s="41"/>
      <c r="J81" s="41"/>
    </row>
    <row r="82" spans="1:12" x14ac:dyDescent="0.2">
      <c r="A82" s="39">
        <f>A80+1</f>
        <v>5</v>
      </c>
      <c r="C82" s="39" t="s">
        <v>143</v>
      </c>
      <c r="D82" s="41">
        <v>365280334</v>
      </c>
      <c r="E82" s="41">
        <v>0</v>
      </c>
      <c r="F82" s="41">
        <v>0</v>
      </c>
      <c r="G82" s="41">
        <v>43296953</v>
      </c>
      <c r="H82" s="41">
        <v>0</v>
      </c>
      <c r="I82" s="41">
        <v>5680420</v>
      </c>
      <c r="J82" s="41">
        <f t="shared" ref="J82:J92" si="18">SUM(D82:I82)</f>
        <v>414257707</v>
      </c>
    </row>
    <row r="83" spans="1:12" x14ac:dyDescent="0.2">
      <c r="A83" s="39">
        <f t="shared" ref="A83:A93" si="19">A82+1</f>
        <v>6</v>
      </c>
      <c r="C83" s="39" t="s">
        <v>144</v>
      </c>
      <c r="D83" s="41">
        <v>27933723</v>
      </c>
      <c r="E83" s="41">
        <v>0</v>
      </c>
      <c r="F83" s="41">
        <v>-623348</v>
      </c>
      <c r="G83" s="41">
        <v>4772191</v>
      </c>
      <c r="H83" s="41">
        <v>-354763</v>
      </c>
      <c r="I83" s="41">
        <v>0</v>
      </c>
      <c r="J83" s="41">
        <f t="shared" si="18"/>
        <v>31727803</v>
      </c>
    </row>
    <row r="84" spans="1:12" x14ac:dyDescent="0.2">
      <c r="A84" s="39">
        <f t="shared" si="19"/>
        <v>7</v>
      </c>
      <c r="B84" s="42"/>
      <c r="C84" s="42" t="s">
        <v>170</v>
      </c>
      <c r="D84" s="41">
        <v>7056639</v>
      </c>
      <c r="E84" s="41">
        <v>0</v>
      </c>
      <c r="F84" s="41">
        <v>-157471</v>
      </c>
      <c r="G84" s="41">
        <v>1588919</v>
      </c>
      <c r="H84" s="41">
        <v>-89620</v>
      </c>
      <c r="I84" s="41">
        <v>0</v>
      </c>
      <c r="J84" s="41">
        <f t="shared" si="18"/>
        <v>8398467</v>
      </c>
    </row>
    <row r="85" spans="1:12" x14ac:dyDescent="0.2">
      <c r="A85" s="39">
        <f t="shared" si="19"/>
        <v>8</v>
      </c>
      <c r="B85" s="39" t="s">
        <v>145</v>
      </c>
      <c r="D85" s="41">
        <v>22386877</v>
      </c>
      <c r="E85" s="41">
        <v>0</v>
      </c>
      <c r="F85" s="41">
        <v>0</v>
      </c>
      <c r="G85" s="41">
        <v>1063378</v>
      </c>
      <c r="H85" s="41">
        <v>0</v>
      </c>
      <c r="I85" s="41">
        <v>0</v>
      </c>
      <c r="J85" s="41">
        <f t="shared" si="18"/>
        <v>23450255</v>
      </c>
    </row>
    <row r="86" spans="1:12" x14ac:dyDescent="0.2">
      <c r="A86" s="39">
        <f t="shared" si="19"/>
        <v>9</v>
      </c>
      <c r="B86" s="39" t="s">
        <v>146</v>
      </c>
      <c r="D86" s="41">
        <v>59259527</v>
      </c>
      <c r="E86" s="41">
        <v>0</v>
      </c>
      <c r="F86" s="41">
        <v>0</v>
      </c>
      <c r="G86" s="41">
        <v>1051103</v>
      </c>
      <c r="H86" s="41">
        <v>0</v>
      </c>
      <c r="I86" s="41">
        <v>0</v>
      </c>
      <c r="J86" s="41">
        <f t="shared" si="18"/>
        <v>60310630</v>
      </c>
    </row>
    <row r="87" spans="1:12" x14ac:dyDescent="0.2">
      <c r="A87" s="39">
        <f t="shared" si="19"/>
        <v>10</v>
      </c>
      <c r="B87" s="39" t="s">
        <v>148</v>
      </c>
      <c r="D87" s="41">
        <v>354291</v>
      </c>
      <c r="E87" s="41">
        <v>0</v>
      </c>
      <c r="F87" s="41">
        <v>1290</v>
      </c>
      <c r="G87" s="41">
        <v>16828</v>
      </c>
      <c r="H87" s="41">
        <v>0</v>
      </c>
      <c r="I87" s="41">
        <v>0</v>
      </c>
      <c r="J87" s="41">
        <f t="shared" si="18"/>
        <v>372409</v>
      </c>
    </row>
    <row r="88" spans="1:12" x14ac:dyDescent="0.2">
      <c r="A88" s="39">
        <f t="shared" si="19"/>
        <v>11</v>
      </c>
      <c r="B88" s="39" t="s">
        <v>244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f t="shared" si="18"/>
        <v>0</v>
      </c>
    </row>
    <row r="89" spans="1:12" x14ac:dyDescent="0.2">
      <c r="A89" s="39">
        <f t="shared" si="19"/>
        <v>12</v>
      </c>
      <c r="B89" s="39" t="s">
        <v>147</v>
      </c>
      <c r="D89" s="41">
        <v>185401933</v>
      </c>
      <c r="E89" s="41">
        <v>0</v>
      </c>
      <c r="F89" s="41">
        <v>675026</v>
      </c>
      <c r="G89" s="41">
        <v>8806588</v>
      </c>
      <c r="H89" s="41">
        <v>0</v>
      </c>
      <c r="I89" s="41">
        <v>0</v>
      </c>
      <c r="J89" s="41">
        <f t="shared" si="18"/>
        <v>194883547</v>
      </c>
    </row>
    <row r="90" spans="1:12" x14ac:dyDescent="0.2">
      <c r="A90" s="39">
        <f t="shared" si="19"/>
        <v>13</v>
      </c>
      <c r="B90" s="39" t="s">
        <v>149</v>
      </c>
      <c r="D90" s="41">
        <v>87894471</v>
      </c>
      <c r="E90" s="41">
        <v>0</v>
      </c>
      <c r="F90" s="41">
        <v>320013</v>
      </c>
      <c r="G90" s="41">
        <v>4174989</v>
      </c>
      <c r="H90" s="41">
        <v>0</v>
      </c>
      <c r="I90" s="41">
        <v>0</v>
      </c>
      <c r="J90" s="41">
        <f t="shared" si="18"/>
        <v>92389473</v>
      </c>
      <c r="K90" s="43"/>
    </row>
    <row r="91" spans="1:12" x14ac:dyDescent="0.2">
      <c r="A91" s="39">
        <f t="shared" si="19"/>
        <v>14</v>
      </c>
      <c r="B91" s="42" t="s">
        <v>173</v>
      </c>
      <c r="D91" s="41">
        <v>27578862</v>
      </c>
      <c r="E91" s="41">
        <v>0</v>
      </c>
      <c r="F91" s="41">
        <v>100411</v>
      </c>
      <c r="G91" s="41">
        <v>1551653</v>
      </c>
      <c r="H91" s="41">
        <v>0</v>
      </c>
      <c r="I91" s="41">
        <v>0</v>
      </c>
      <c r="J91" s="41">
        <f t="shared" si="18"/>
        <v>29230926</v>
      </c>
    </row>
    <row r="92" spans="1:12" x14ac:dyDescent="0.2">
      <c r="A92" s="39">
        <f t="shared" si="19"/>
        <v>15</v>
      </c>
      <c r="B92" s="42" t="s">
        <v>168</v>
      </c>
      <c r="C92" s="42"/>
      <c r="D92" s="41">
        <v>60208623</v>
      </c>
      <c r="E92" s="41">
        <v>0</v>
      </c>
      <c r="F92" s="41">
        <v>0</v>
      </c>
      <c r="G92" s="41">
        <v>4660405</v>
      </c>
      <c r="H92" s="41">
        <v>0</v>
      </c>
      <c r="I92" s="41">
        <v>0</v>
      </c>
      <c r="J92" s="41">
        <f t="shared" si="18"/>
        <v>64869028</v>
      </c>
      <c r="K92" s="148"/>
      <c r="L92" s="41">
        <v>2688952</v>
      </c>
    </row>
    <row r="93" spans="1:12" x14ac:dyDescent="0.2">
      <c r="A93" s="39">
        <f t="shared" si="19"/>
        <v>16</v>
      </c>
      <c r="B93" s="39" t="s">
        <v>150</v>
      </c>
      <c r="D93" s="41">
        <v>789663975</v>
      </c>
      <c r="E93" s="41">
        <v>0</v>
      </c>
      <c r="F93" s="41">
        <v>15730858</v>
      </c>
      <c r="G93" s="41">
        <v>0</v>
      </c>
      <c r="H93" s="41">
        <v>0</v>
      </c>
      <c r="I93" s="41">
        <v>0</v>
      </c>
      <c r="J93" s="41">
        <f>SUM(D93:I93)</f>
        <v>805394833</v>
      </c>
      <c r="K93" s="41"/>
    </row>
    <row r="94" spans="1:12" x14ac:dyDescent="0.2">
      <c r="B94" s="42" t="s">
        <v>172</v>
      </c>
      <c r="D94" s="41"/>
      <c r="E94" s="41"/>
      <c r="F94" s="41"/>
      <c r="G94" s="41"/>
      <c r="H94" s="41"/>
      <c r="I94" s="41"/>
      <c r="J94" s="41"/>
    </row>
    <row r="95" spans="1:12" x14ac:dyDescent="0.2">
      <c r="A95" s="39">
        <f>A93+1</f>
        <v>17</v>
      </c>
      <c r="B95" s="42"/>
      <c r="C95" s="42" t="s">
        <v>175</v>
      </c>
      <c r="D95" s="41">
        <v>1017224</v>
      </c>
      <c r="E95" s="41">
        <v>0</v>
      </c>
      <c r="F95" s="41">
        <v>-1168285</v>
      </c>
      <c r="G95" s="41">
        <v>903240</v>
      </c>
      <c r="H95" s="41">
        <v>0</v>
      </c>
      <c r="I95" s="41">
        <v>0</v>
      </c>
      <c r="J95" s="41">
        <f>SUM(D95:I95)</f>
        <v>752179</v>
      </c>
    </row>
    <row r="96" spans="1:12" x14ac:dyDescent="0.2">
      <c r="A96" s="39">
        <f>A95+1</f>
        <v>18</v>
      </c>
      <c r="B96" s="42"/>
      <c r="C96" s="42" t="s">
        <v>182</v>
      </c>
      <c r="D96" s="41">
        <v>2220567</v>
      </c>
      <c r="E96" s="41">
        <v>0</v>
      </c>
      <c r="F96" s="41">
        <v>0</v>
      </c>
      <c r="G96" s="41">
        <v>-2204832</v>
      </c>
      <c r="H96" s="41">
        <v>0</v>
      </c>
      <c r="I96" s="41">
        <v>0</v>
      </c>
      <c r="J96" s="41">
        <f>SUM(D96:I96)</f>
        <v>15735</v>
      </c>
    </row>
    <row r="97" spans="1:12" x14ac:dyDescent="0.2">
      <c r="A97" s="39">
        <f>A96+1</f>
        <v>19</v>
      </c>
      <c r="B97" s="42"/>
      <c r="C97" s="42" t="s">
        <v>201</v>
      </c>
      <c r="D97" s="41">
        <v>870</v>
      </c>
      <c r="E97" s="41">
        <v>0</v>
      </c>
      <c r="F97" s="41">
        <v>0</v>
      </c>
      <c r="G97" s="41">
        <v>-870</v>
      </c>
      <c r="H97" s="41">
        <v>0</v>
      </c>
      <c r="I97" s="41">
        <v>0</v>
      </c>
      <c r="J97" s="41">
        <f>SUM(D97:I97)</f>
        <v>0</v>
      </c>
    </row>
    <row r="98" spans="1:12" x14ac:dyDescent="0.2">
      <c r="A98" s="39">
        <f>A97+1</f>
        <v>20</v>
      </c>
      <c r="B98" s="42"/>
      <c r="C98" s="42" t="s">
        <v>183</v>
      </c>
      <c r="D98" s="41">
        <v>557739</v>
      </c>
      <c r="E98" s="41">
        <v>0</v>
      </c>
      <c r="F98" s="41">
        <v>0</v>
      </c>
      <c r="G98" s="41">
        <v>-558629</v>
      </c>
      <c r="H98" s="41">
        <v>0</v>
      </c>
      <c r="I98" s="41">
        <v>0</v>
      </c>
      <c r="J98" s="41">
        <f>SUM(D98:I98)</f>
        <v>-890</v>
      </c>
    </row>
    <row r="99" spans="1:12" x14ac:dyDescent="0.2">
      <c r="A99" s="39">
        <f>A98+1</f>
        <v>21</v>
      </c>
      <c r="B99" s="42"/>
      <c r="C99" s="42" t="s">
        <v>251</v>
      </c>
      <c r="D99" s="41">
        <v>-196</v>
      </c>
      <c r="E99" s="41">
        <v>0</v>
      </c>
      <c r="F99" s="41">
        <v>0</v>
      </c>
      <c r="G99" s="41">
        <v>0</v>
      </c>
      <c r="H99" s="41">
        <v>0</v>
      </c>
      <c r="I99" s="41">
        <v>0</v>
      </c>
      <c r="J99" s="41">
        <f>SUM(D99:I99)</f>
        <v>-196</v>
      </c>
    </row>
    <row r="100" spans="1:12" x14ac:dyDescent="0.2">
      <c r="D100" s="41"/>
      <c r="E100" s="41"/>
      <c r="F100" s="41"/>
      <c r="G100" s="41"/>
      <c r="H100" s="41"/>
      <c r="I100" s="41"/>
      <c r="J100" s="41"/>
    </row>
    <row r="101" spans="1:12" x14ac:dyDescent="0.2">
      <c r="A101" s="39">
        <f>A99+1</f>
        <v>22</v>
      </c>
      <c r="B101" s="42" t="s">
        <v>158</v>
      </c>
      <c r="D101" s="41">
        <f t="shared" ref="D101:J101" si="20">SUM(D78:D99)</f>
        <v>6329580026</v>
      </c>
      <c r="E101" s="41">
        <f t="shared" si="20"/>
        <v>0</v>
      </c>
      <c r="F101" s="41">
        <f t="shared" si="20"/>
        <v>44962439</v>
      </c>
      <c r="G101" s="41">
        <f t="shared" si="20"/>
        <v>291767543</v>
      </c>
      <c r="H101" s="41">
        <f t="shared" si="20"/>
        <v>-391932</v>
      </c>
      <c r="I101" s="41">
        <f t="shared" si="20"/>
        <v>5680420</v>
      </c>
      <c r="J101" s="41">
        <f t="shared" si="20"/>
        <v>6671598496</v>
      </c>
      <c r="K101" s="43"/>
    </row>
    <row r="102" spans="1:12" x14ac:dyDescent="0.2">
      <c r="C102" s="42"/>
      <c r="D102" s="41"/>
      <c r="E102" s="41"/>
      <c r="F102" s="41"/>
      <c r="G102" s="41"/>
      <c r="H102" s="41"/>
      <c r="I102" s="41"/>
      <c r="J102" s="41"/>
      <c r="K102" s="43"/>
    </row>
    <row r="103" spans="1:12" x14ac:dyDescent="0.2">
      <c r="B103" s="42" t="s">
        <v>156</v>
      </c>
      <c r="C103" s="42"/>
      <c r="D103" s="41"/>
      <c r="E103" s="41"/>
      <c r="F103" s="41"/>
      <c r="G103" s="41"/>
      <c r="H103" s="41"/>
      <c r="I103" s="41"/>
      <c r="J103" s="41"/>
    </row>
    <row r="104" spans="1:12" x14ac:dyDescent="0.2">
      <c r="A104" s="39">
        <f>A101+1</f>
        <v>23</v>
      </c>
      <c r="B104" s="39" t="s">
        <v>153</v>
      </c>
      <c r="D104" s="41">
        <v>124513427</v>
      </c>
      <c r="E104" s="41">
        <v>0</v>
      </c>
      <c r="F104" s="41">
        <v>84320</v>
      </c>
      <c r="G104" s="41">
        <v>0</v>
      </c>
      <c r="H104" s="41">
        <v>0</v>
      </c>
      <c r="I104" s="41">
        <v>0</v>
      </c>
      <c r="J104" s="41">
        <f>SUM(D104:I104)</f>
        <v>124597747</v>
      </c>
    </row>
    <row r="105" spans="1:12" x14ac:dyDescent="0.2">
      <c r="A105" s="39">
        <f>A104+1</f>
        <v>24</v>
      </c>
      <c r="B105" s="39" t="s">
        <v>152</v>
      </c>
      <c r="D105" s="41">
        <v>76680995</v>
      </c>
      <c r="E105" s="41">
        <v>0</v>
      </c>
      <c r="F105" s="41">
        <v>-416716</v>
      </c>
      <c r="G105" s="41">
        <v>0</v>
      </c>
      <c r="H105" s="41">
        <v>0</v>
      </c>
      <c r="I105" s="41">
        <v>0</v>
      </c>
      <c r="J105" s="41">
        <f>SUM(D105:I105)</f>
        <v>76264279</v>
      </c>
      <c r="K105" s="41"/>
    </row>
    <row r="106" spans="1:12" x14ac:dyDescent="0.2">
      <c r="A106" s="39">
        <f>A105+1</f>
        <v>25</v>
      </c>
      <c r="B106" s="42" t="s">
        <v>174</v>
      </c>
      <c r="D106" s="41">
        <v>25396169</v>
      </c>
      <c r="E106" s="41">
        <v>0</v>
      </c>
      <c r="F106" s="41">
        <v>-175788</v>
      </c>
      <c r="G106" s="41">
        <v>0</v>
      </c>
      <c r="H106" s="41">
        <v>0</v>
      </c>
      <c r="I106" s="41">
        <v>0</v>
      </c>
      <c r="J106" s="41">
        <f>SUM(D106:I106)</f>
        <v>25220381</v>
      </c>
    </row>
    <row r="107" spans="1:12" x14ac:dyDescent="0.2">
      <c r="A107" s="39">
        <f>A106+1</f>
        <v>26</v>
      </c>
      <c r="B107" s="42" t="s">
        <v>168</v>
      </c>
      <c r="C107" s="42"/>
      <c r="D107" s="41">
        <v>18764129</v>
      </c>
      <c r="E107" s="41">
        <v>0</v>
      </c>
      <c r="F107" s="41">
        <v>0</v>
      </c>
      <c r="G107" s="41">
        <v>0</v>
      </c>
      <c r="H107" s="41">
        <v>0</v>
      </c>
      <c r="I107" s="41">
        <v>0</v>
      </c>
      <c r="J107" s="41">
        <f>SUM(D107:I107)</f>
        <v>18764129</v>
      </c>
      <c r="K107" s="148"/>
      <c r="L107" s="41"/>
    </row>
    <row r="108" spans="1:12" x14ac:dyDescent="0.2">
      <c r="A108" s="39">
        <f>A107+1</f>
        <v>27</v>
      </c>
      <c r="B108" s="39" t="s">
        <v>154</v>
      </c>
      <c r="D108" s="41">
        <v>727948194</v>
      </c>
      <c r="E108" s="41">
        <v>0</v>
      </c>
      <c r="F108" s="41">
        <v>10409709</v>
      </c>
      <c r="G108" s="41">
        <v>0</v>
      </c>
      <c r="H108" s="41">
        <v>0</v>
      </c>
      <c r="I108" s="41">
        <v>0</v>
      </c>
      <c r="J108" s="41">
        <f>SUM(D108:I108)</f>
        <v>738357903</v>
      </c>
      <c r="K108" s="41"/>
    </row>
    <row r="109" spans="1:12" x14ac:dyDescent="0.2">
      <c r="D109" s="41"/>
      <c r="E109" s="41"/>
      <c r="F109" s="41"/>
      <c r="G109" s="41"/>
      <c r="H109" s="41"/>
      <c r="I109" s="41"/>
      <c r="J109" s="41"/>
    </row>
    <row r="110" spans="1:12" x14ac:dyDescent="0.2">
      <c r="A110" s="39">
        <f>A108+1</f>
        <v>28</v>
      </c>
      <c r="B110" s="42" t="s">
        <v>159</v>
      </c>
      <c r="C110" s="42"/>
      <c r="D110" s="41">
        <f t="shared" ref="D110:J110" si="21">SUM(D104:D108)</f>
        <v>973302914</v>
      </c>
      <c r="E110" s="41">
        <f t="shared" si="21"/>
        <v>0</v>
      </c>
      <c r="F110" s="41">
        <f t="shared" si="21"/>
        <v>9901525</v>
      </c>
      <c r="G110" s="41">
        <f t="shared" si="21"/>
        <v>0</v>
      </c>
      <c r="H110" s="41">
        <f t="shared" si="21"/>
        <v>0</v>
      </c>
      <c r="I110" s="41">
        <f t="shared" si="21"/>
        <v>0</v>
      </c>
      <c r="J110" s="41">
        <f t="shared" si="21"/>
        <v>983204439</v>
      </c>
      <c r="K110" s="43"/>
    </row>
    <row r="111" spans="1:12" x14ac:dyDescent="0.2">
      <c r="B111" s="42"/>
      <c r="C111" s="42"/>
      <c r="D111" s="41"/>
      <c r="E111" s="41"/>
      <c r="F111" s="41"/>
      <c r="G111" s="41"/>
      <c r="H111" s="41"/>
      <c r="I111" s="41"/>
      <c r="J111" s="41"/>
    </row>
    <row r="112" spans="1:12" x14ac:dyDescent="0.2">
      <c r="B112" s="42" t="s">
        <v>157</v>
      </c>
      <c r="C112" s="42"/>
      <c r="D112" s="41"/>
      <c r="E112" s="41"/>
      <c r="F112" s="41"/>
      <c r="G112" s="41"/>
      <c r="H112" s="41"/>
      <c r="I112" s="41"/>
      <c r="J112" s="41"/>
    </row>
    <row r="113" spans="1:10" x14ac:dyDescent="0.2">
      <c r="A113" s="39">
        <f>A110+1</f>
        <v>29</v>
      </c>
      <c r="B113" s="39" t="s">
        <v>141</v>
      </c>
      <c r="D113" s="41">
        <f t="shared" ref="D113:I113" si="22">D78</f>
        <v>4628234963</v>
      </c>
      <c r="E113" s="41">
        <f t="shared" si="22"/>
        <v>0</v>
      </c>
      <c r="F113" s="41">
        <f t="shared" si="22"/>
        <v>16850838</v>
      </c>
      <c r="G113" s="41">
        <f t="shared" si="22"/>
        <v>219841223</v>
      </c>
      <c r="H113" s="41">
        <f t="shared" si="22"/>
        <v>0</v>
      </c>
      <c r="I113" s="41">
        <f t="shared" si="22"/>
        <v>0</v>
      </c>
      <c r="J113" s="41">
        <f>SUM(D113:I113)</f>
        <v>4864927024</v>
      </c>
    </row>
    <row r="114" spans="1:10" x14ac:dyDescent="0.2">
      <c r="A114" s="39">
        <f>A113+1</f>
        <v>30</v>
      </c>
      <c r="B114" s="42" t="s">
        <v>167</v>
      </c>
      <c r="C114" s="42"/>
      <c r="D114" s="41">
        <f t="shared" ref="D114:I115" si="23">D79</f>
        <v>10838964</v>
      </c>
      <c r="E114" s="41">
        <f t="shared" si="23"/>
        <v>0</v>
      </c>
      <c r="F114" s="41">
        <f t="shared" si="23"/>
        <v>39463</v>
      </c>
      <c r="G114" s="41">
        <f t="shared" si="23"/>
        <v>514855</v>
      </c>
      <c r="H114" s="41">
        <f t="shared" si="23"/>
        <v>0</v>
      </c>
      <c r="I114" s="41">
        <f t="shared" si="23"/>
        <v>0</v>
      </c>
      <c r="J114" s="41">
        <f>SUM(D114:I114)</f>
        <v>11393282</v>
      </c>
    </row>
    <row r="115" spans="1:10" x14ac:dyDescent="0.2">
      <c r="A115" s="39">
        <f>A114+1</f>
        <v>31</v>
      </c>
      <c r="B115" s="39" t="s">
        <v>142</v>
      </c>
      <c r="D115" s="41">
        <f t="shared" si="23"/>
        <v>53690640</v>
      </c>
      <c r="E115" s="41">
        <f t="shared" si="23"/>
        <v>0</v>
      </c>
      <c r="F115" s="41">
        <f t="shared" si="23"/>
        <v>13193644</v>
      </c>
      <c r="G115" s="41">
        <f t="shared" si="23"/>
        <v>2289549</v>
      </c>
      <c r="H115" s="41">
        <f t="shared" si="23"/>
        <v>52451</v>
      </c>
      <c r="I115" s="41">
        <f t="shared" si="23"/>
        <v>0</v>
      </c>
      <c r="J115" s="41">
        <f>SUM(D115:I115)</f>
        <v>69226284</v>
      </c>
    </row>
    <row r="116" spans="1:10" x14ac:dyDescent="0.2">
      <c r="B116" s="42" t="s">
        <v>171</v>
      </c>
      <c r="D116" s="41"/>
      <c r="E116" s="41"/>
      <c r="F116" s="41"/>
      <c r="G116" s="41"/>
      <c r="H116" s="41"/>
      <c r="I116" s="41"/>
      <c r="J116" s="41"/>
    </row>
    <row r="117" spans="1:10" x14ac:dyDescent="0.2">
      <c r="A117" s="39">
        <f>A115+1</f>
        <v>32</v>
      </c>
      <c r="C117" s="39" t="s">
        <v>143</v>
      </c>
      <c r="D117" s="41">
        <f t="shared" ref="D117:I123" si="24">D82</f>
        <v>365280334</v>
      </c>
      <c r="E117" s="41">
        <f t="shared" si="24"/>
        <v>0</v>
      </c>
      <c r="F117" s="41">
        <f t="shared" si="24"/>
        <v>0</v>
      </c>
      <c r="G117" s="41">
        <f t="shared" si="24"/>
        <v>43296953</v>
      </c>
      <c r="H117" s="41">
        <f t="shared" si="24"/>
        <v>0</v>
      </c>
      <c r="I117" s="41">
        <f t="shared" si="24"/>
        <v>5680420</v>
      </c>
      <c r="J117" s="41">
        <f t="shared" ref="J117:J129" si="25">SUM(D117:I117)</f>
        <v>414257707</v>
      </c>
    </row>
    <row r="118" spans="1:10" x14ac:dyDescent="0.2">
      <c r="A118" s="39">
        <f t="shared" ref="A118:A129" si="26">A117+1</f>
        <v>33</v>
      </c>
      <c r="C118" s="39" t="s">
        <v>144</v>
      </c>
      <c r="D118" s="41">
        <f t="shared" si="24"/>
        <v>27933723</v>
      </c>
      <c r="E118" s="41">
        <f t="shared" si="24"/>
        <v>0</v>
      </c>
      <c r="F118" s="41">
        <f t="shared" si="24"/>
        <v>-623348</v>
      </c>
      <c r="G118" s="41">
        <f t="shared" si="24"/>
        <v>4772191</v>
      </c>
      <c r="H118" s="41">
        <f t="shared" si="24"/>
        <v>-354763</v>
      </c>
      <c r="I118" s="41">
        <f t="shared" si="24"/>
        <v>0</v>
      </c>
      <c r="J118" s="41">
        <f t="shared" si="25"/>
        <v>31727803</v>
      </c>
    </row>
    <row r="119" spans="1:10" x14ac:dyDescent="0.2">
      <c r="A119" s="39">
        <f t="shared" si="26"/>
        <v>34</v>
      </c>
      <c r="B119" s="42"/>
      <c r="C119" s="42" t="s">
        <v>170</v>
      </c>
      <c r="D119" s="41">
        <f t="shared" si="24"/>
        <v>7056639</v>
      </c>
      <c r="E119" s="41">
        <f t="shared" si="24"/>
        <v>0</v>
      </c>
      <c r="F119" s="41">
        <f t="shared" si="24"/>
        <v>-157471</v>
      </c>
      <c r="G119" s="41">
        <f t="shared" si="24"/>
        <v>1588919</v>
      </c>
      <c r="H119" s="41">
        <f t="shared" si="24"/>
        <v>-89620</v>
      </c>
      <c r="I119" s="41">
        <f t="shared" si="24"/>
        <v>0</v>
      </c>
      <c r="J119" s="41">
        <f t="shared" si="25"/>
        <v>8398467</v>
      </c>
    </row>
    <row r="120" spans="1:10" x14ac:dyDescent="0.2">
      <c r="A120" s="39">
        <f t="shared" si="26"/>
        <v>35</v>
      </c>
      <c r="B120" s="39" t="s">
        <v>145</v>
      </c>
      <c r="D120" s="41">
        <f t="shared" si="24"/>
        <v>22386877</v>
      </c>
      <c r="E120" s="41">
        <f t="shared" si="24"/>
        <v>0</v>
      </c>
      <c r="F120" s="41">
        <f t="shared" si="24"/>
        <v>0</v>
      </c>
      <c r="G120" s="41">
        <f t="shared" si="24"/>
        <v>1063378</v>
      </c>
      <c r="H120" s="41">
        <f t="shared" si="24"/>
        <v>0</v>
      </c>
      <c r="I120" s="41">
        <f t="shared" si="24"/>
        <v>0</v>
      </c>
      <c r="J120" s="41">
        <f t="shared" si="25"/>
        <v>23450255</v>
      </c>
    </row>
    <row r="121" spans="1:10" x14ac:dyDescent="0.2">
      <c r="A121" s="39">
        <f t="shared" si="26"/>
        <v>36</v>
      </c>
      <c r="B121" s="39" t="s">
        <v>146</v>
      </c>
      <c r="D121" s="41">
        <f t="shared" si="24"/>
        <v>59259527</v>
      </c>
      <c r="E121" s="41">
        <f t="shared" si="24"/>
        <v>0</v>
      </c>
      <c r="F121" s="41">
        <f t="shared" si="24"/>
        <v>0</v>
      </c>
      <c r="G121" s="41">
        <f t="shared" si="24"/>
        <v>1051103</v>
      </c>
      <c r="H121" s="41">
        <f t="shared" si="24"/>
        <v>0</v>
      </c>
      <c r="I121" s="41">
        <f t="shared" si="24"/>
        <v>0</v>
      </c>
      <c r="J121" s="41">
        <f t="shared" si="25"/>
        <v>60310630</v>
      </c>
    </row>
    <row r="122" spans="1:10" x14ac:dyDescent="0.2">
      <c r="A122" s="39">
        <f t="shared" si="26"/>
        <v>37</v>
      </c>
      <c r="B122" s="39" t="s">
        <v>148</v>
      </c>
      <c r="D122" s="41">
        <f t="shared" si="24"/>
        <v>354291</v>
      </c>
      <c r="E122" s="41">
        <f t="shared" si="24"/>
        <v>0</v>
      </c>
      <c r="F122" s="41">
        <f t="shared" si="24"/>
        <v>1290</v>
      </c>
      <c r="G122" s="41">
        <f t="shared" si="24"/>
        <v>16828</v>
      </c>
      <c r="H122" s="41">
        <f t="shared" si="24"/>
        <v>0</v>
      </c>
      <c r="I122" s="41">
        <f t="shared" si="24"/>
        <v>0</v>
      </c>
      <c r="J122" s="41">
        <f t="shared" si="25"/>
        <v>372409</v>
      </c>
    </row>
    <row r="123" spans="1:10" x14ac:dyDescent="0.2">
      <c r="A123" s="39">
        <f t="shared" si="26"/>
        <v>38</v>
      </c>
      <c r="B123" s="39" t="s">
        <v>244</v>
      </c>
      <c r="D123" s="41">
        <f t="shared" si="24"/>
        <v>0</v>
      </c>
      <c r="E123" s="41">
        <f t="shared" si="24"/>
        <v>0</v>
      </c>
      <c r="F123" s="41">
        <f t="shared" si="24"/>
        <v>0</v>
      </c>
      <c r="G123" s="41">
        <f t="shared" si="24"/>
        <v>0</v>
      </c>
      <c r="H123" s="41">
        <f t="shared" si="24"/>
        <v>0</v>
      </c>
      <c r="I123" s="41">
        <f t="shared" si="24"/>
        <v>0</v>
      </c>
      <c r="J123" s="41">
        <f t="shared" si="25"/>
        <v>0</v>
      </c>
    </row>
    <row r="124" spans="1:10" x14ac:dyDescent="0.2">
      <c r="A124" s="39">
        <f t="shared" si="26"/>
        <v>39</v>
      </c>
      <c r="B124" s="39" t="s">
        <v>147</v>
      </c>
      <c r="D124" s="41">
        <f t="shared" ref="D124:I124" si="27">D89-D104</f>
        <v>60888506</v>
      </c>
      <c r="E124" s="41">
        <f t="shared" si="27"/>
        <v>0</v>
      </c>
      <c r="F124" s="41">
        <f t="shared" si="27"/>
        <v>590706</v>
      </c>
      <c r="G124" s="41">
        <f t="shared" si="27"/>
        <v>8806588</v>
      </c>
      <c r="H124" s="41">
        <f t="shared" si="27"/>
        <v>0</v>
      </c>
      <c r="I124" s="41">
        <f t="shared" si="27"/>
        <v>0</v>
      </c>
      <c r="J124" s="41">
        <f t="shared" si="25"/>
        <v>70285800</v>
      </c>
    </row>
    <row r="125" spans="1:10" x14ac:dyDescent="0.2">
      <c r="A125" s="39">
        <f t="shared" si="26"/>
        <v>40</v>
      </c>
      <c r="B125" s="39" t="s">
        <v>149</v>
      </c>
      <c r="D125" s="41">
        <f t="shared" ref="D125:I127" si="28">D90-D105</f>
        <v>11213476</v>
      </c>
      <c r="E125" s="41">
        <f t="shared" si="28"/>
        <v>0</v>
      </c>
      <c r="F125" s="41">
        <f t="shared" si="28"/>
        <v>736729</v>
      </c>
      <c r="G125" s="41">
        <f t="shared" si="28"/>
        <v>4174989</v>
      </c>
      <c r="H125" s="41">
        <f t="shared" si="28"/>
        <v>0</v>
      </c>
      <c r="I125" s="41">
        <f t="shared" si="28"/>
        <v>0</v>
      </c>
      <c r="J125" s="41">
        <f t="shared" si="25"/>
        <v>16125194</v>
      </c>
    </row>
    <row r="126" spans="1:10" x14ac:dyDescent="0.2">
      <c r="A126" s="39">
        <f t="shared" si="26"/>
        <v>41</v>
      </c>
      <c r="B126" s="42" t="s">
        <v>173</v>
      </c>
      <c r="D126" s="41">
        <f t="shared" si="28"/>
        <v>2182693</v>
      </c>
      <c r="E126" s="41">
        <f t="shared" si="28"/>
        <v>0</v>
      </c>
      <c r="F126" s="41">
        <f t="shared" si="28"/>
        <v>276199</v>
      </c>
      <c r="G126" s="41">
        <f t="shared" si="28"/>
        <v>1551653</v>
      </c>
      <c r="H126" s="41">
        <f t="shared" si="28"/>
        <v>0</v>
      </c>
      <c r="I126" s="41">
        <f t="shared" si="28"/>
        <v>0</v>
      </c>
      <c r="J126" s="41">
        <f t="shared" si="25"/>
        <v>4010545</v>
      </c>
    </row>
    <row r="127" spans="1:10" x14ac:dyDescent="0.2">
      <c r="A127" s="39">
        <f t="shared" si="26"/>
        <v>42</v>
      </c>
      <c r="B127" s="42" t="s">
        <v>168</v>
      </c>
      <c r="C127" s="42"/>
      <c r="D127" s="41">
        <f t="shared" si="28"/>
        <v>41444494</v>
      </c>
      <c r="E127" s="41">
        <f t="shared" si="28"/>
        <v>0</v>
      </c>
      <c r="F127" s="41">
        <f t="shared" si="28"/>
        <v>0</v>
      </c>
      <c r="G127" s="41">
        <f t="shared" si="28"/>
        <v>4660405</v>
      </c>
      <c r="H127" s="41">
        <f t="shared" si="28"/>
        <v>0</v>
      </c>
      <c r="I127" s="41">
        <f t="shared" si="28"/>
        <v>0</v>
      </c>
      <c r="J127" s="41">
        <f t="shared" si="25"/>
        <v>46104899</v>
      </c>
    </row>
    <row r="128" spans="1:10" x14ac:dyDescent="0.2">
      <c r="A128" s="39">
        <f t="shared" si="26"/>
        <v>43</v>
      </c>
      <c r="B128" s="42" t="s">
        <v>163</v>
      </c>
      <c r="C128" s="42"/>
      <c r="D128" s="41">
        <f t="shared" ref="D128:I128" si="29">D93-D108-D129</f>
        <v>53122599</v>
      </c>
      <c r="E128" s="41">
        <f t="shared" si="29"/>
        <v>0</v>
      </c>
      <c r="F128" s="41">
        <f t="shared" si="29"/>
        <v>5321149</v>
      </c>
      <c r="G128" s="41">
        <f t="shared" si="29"/>
        <v>0</v>
      </c>
      <c r="H128" s="41">
        <f t="shared" si="29"/>
        <v>0</v>
      </c>
      <c r="I128" s="41">
        <f t="shared" si="29"/>
        <v>0</v>
      </c>
      <c r="J128" s="41">
        <f t="shared" si="25"/>
        <v>58443748</v>
      </c>
    </row>
    <row r="129" spans="1:11" x14ac:dyDescent="0.2">
      <c r="A129" s="39">
        <f t="shared" si="26"/>
        <v>44</v>
      </c>
      <c r="B129" s="39" t="s">
        <v>151</v>
      </c>
      <c r="D129" s="41">
        <v>8593182</v>
      </c>
      <c r="E129" s="41">
        <v>0</v>
      </c>
      <c r="F129" s="41">
        <v>0</v>
      </c>
      <c r="G129" s="41">
        <v>0</v>
      </c>
      <c r="H129" s="41">
        <v>0</v>
      </c>
      <c r="I129" s="41">
        <v>0</v>
      </c>
      <c r="J129" s="41">
        <f t="shared" si="25"/>
        <v>8593182</v>
      </c>
    </row>
    <row r="130" spans="1:11" x14ac:dyDescent="0.2">
      <c r="B130" s="42" t="s">
        <v>172</v>
      </c>
      <c r="D130" s="41"/>
      <c r="E130" s="41"/>
      <c r="F130" s="41"/>
      <c r="G130" s="41"/>
      <c r="H130" s="41"/>
      <c r="I130" s="41"/>
      <c r="J130" s="41"/>
    </row>
    <row r="131" spans="1:11" x14ac:dyDescent="0.2">
      <c r="A131" s="39">
        <f>A129+1</f>
        <v>45</v>
      </c>
      <c r="B131" s="42"/>
      <c r="C131" s="42" t="s">
        <v>175</v>
      </c>
      <c r="D131" s="41">
        <f t="shared" ref="D131:I131" si="30">D95</f>
        <v>1017224</v>
      </c>
      <c r="E131" s="41">
        <f t="shared" si="30"/>
        <v>0</v>
      </c>
      <c r="F131" s="41">
        <f t="shared" si="30"/>
        <v>-1168285</v>
      </c>
      <c r="G131" s="41">
        <f t="shared" si="30"/>
        <v>903240</v>
      </c>
      <c r="H131" s="41">
        <f t="shared" si="30"/>
        <v>0</v>
      </c>
      <c r="I131" s="41">
        <f t="shared" si="30"/>
        <v>0</v>
      </c>
      <c r="J131" s="41">
        <f>SUM(D131:I131)</f>
        <v>752179</v>
      </c>
    </row>
    <row r="132" spans="1:11" x14ac:dyDescent="0.2">
      <c r="A132" s="39">
        <f>A131+1</f>
        <v>46</v>
      </c>
      <c r="B132" s="42"/>
      <c r="C132" s="42" t="s">
        <v>182</v>
      </c>
      <c r="D132" s="41">
        <f t="shared" ref="D132:I135" si="31">D96</f>
        <v>2220567</v>
      </c>
      <c r="E132" s="41">
        <f t="shared" si="31"/>
        <v>0</v>
      </c>
      <c r="F132" s="41">
        <f t="shared" si="31"/>
        <v>0</v>
      </c>
      <c r="G132" s="41">
        <f t="shared" si="31"/>
        <v>-2204832</v>
      </c>
      <c r="H132" s="41">
        <f t="shared" si="31"/>
        <v>0</v>
      </c>
      <c r="I132" s="41">
        <f t="shared" si="31"/>
        <v>0</v>
      </c>
      <c r="J132" s="41">
        <f>SUM(D132:I132)</f>
        <v>15735</v>
      </c>
    </row>
    <row r="133" spans="1:11" x14ac:dyDescent="0.2">
      <c r="A133" s="39">
        <f>A132+1</f>
        <v>47</v>
      </c>
      <c r="B133" s="42"/>
      <c r="C133" s="42" t="s">
        <v>201</v>
      </c>
      <c r="D133" s="41">
        <f t="shared" si="31"/>
        <v>870</v>
      </c>
      <c r="E133" s="41">
        <f t="shared" si="31"/>
        <v>0</v>
      </c>
      <c r="F133" s="41">
        <f t="shared" si="31"/>
        <v>0</v>
      </c>
      <c r="G133" s="41">
        <f t="shared" si="31"/>
        <v>-870</v>
      </c>
      <c r="H133" s="41">
        <f t="shared" si="31"/>
        <v>0</v>
      </c>
      <c r="I133" s="41">
        <f t="shared" si="31"/>
        <v>0</v>
      </c>
      <c r="J133" s="41">
        <f>SUM(D133:I133)</f>
        <v>0</v>
      </c>
    </row>
    <row r="134" spans="1:11" x14ac:dyDescent="0.2">
      <c r="A134" s="39">
        <f>A133+1</f>
        <v>48</v>
      </c>
      <c r="B134" s="42"/>
      <c r="C134" s="42" t="s">
        <v>183</v>
      </c>
      <c r="D134" s="41">
        <f t="shared" si="31"/>
        <v>557739</v>
      </c>
      <c r="E134" s="41">
        <f t="shared" si="31"/>
        <v>0</v>
      </c>
      <c r="F134" s="41">
        <f t="shared" si="31"/>
        <v>0</v>
      </c>
      <c r="G134" s="41">
        <f t="shared" si="31"/>
        <v>-558629</v>
      </c>
      <c r="H134" s="41">
        <f t="shared" si="31"/>
        <v>0</v>
      </c>
      <c r="I134" s="41">
        <f t="shared" si="31"/>
        <v>0</v>
      </c>
      <c r="J134" s="41">
        <f>SUM(D134:I134)</f>
        <v>-890</v>
      </c>
    </row>
    <row r="135" spans="1:11" x14ac:dyDescent="0.2">
      <c r="A135" s="39">
        <f>A134+1</f>
        <v>49</v>
      </c>
      <c r="B135" s="42"/>
      <c r="C135" s="42" t="s">
        <v>251</v>
      </c>
      <c r="D135" s="41">
        <f t="shared" si="31"/>
        <v>-196</v>
      </c>
      <c r="E135" s="41">
        <f t="shared" si="31"/>
        <v>0</v>
      </c>
      <c r="F135" s="41">
        <f t="shared" si="31"/>
        <v>0</v>
      </c>
      <c r="G135" s="41">
        <f t="shared" si="31"/>
        <v>0</v>
      </c>
      <c r="H135" s="41">
        <f t="shared" si="31"/>
        <v>0</v>
      </c>
      <c r="I135" s="41">
        <f t="shared" si="31"/>
        <v>0</v>
      </c>
      <c r="J135" s="41">
        <f>SUM(D135:I135)</f>
        <v>-196</v>
      </c>
    </row>
    <row r="136" spans="1:11" x14ac:dyDescent="0.2">
      <c r="D136" s="41"/>
      <c r="E136" s="41"/>
      <c r="F136" s="41"/>
      <c r="G136" s="41"/>
      <c r="H136" s="41"/>
      <c r="I136" s="41"/>
      <c r="J136" s="41"/>
    </row>
    <row r="137" spans="1:11" x14ac:dyDescent="0.2">
      <c r="A137" s="39">
        <f>A135+1</f>
        <v>50</v>
      </c>
      <c r="B137" s="42" t="s">
        <v>184</v>
      </c>
      <c r="C137" s="42"/>
      <c r="D137" s="41">
        <f t="shared" ref="D137:J137" si="32">SUM(D113:D135)</f>
        <v>5356277112</v>
      </c>
      <c r="E137" s="41">
        <f t="shared" si="32"/>
        <v>0</v>
      </c>
      <c r="F137" s="41">
        <f t="shared" si="32"/>
        <v>35060914</v>
      </c>
      <c r="G137" s="41">
        <f t="shared" si="32"/>
        <v>291767543</v>
      </c>
      <c r="H137" s="41">
        <f t="shared" si="32"/>
        <v>-391932</v>
      </c>
      <c r="I137" s="41">
        <f t="shared" si="32"/>
        <v>5680420</v>
      </c>
      <c r="J137" s="41">
        <f t="shared" si="32"/>
        <v>5688394057</v>
      </c>
      <c r="K137" s="43"/>
    </row>
    <row r="138" spans="1:11" x14ac:dyDescent="0.2">
      <c r="A138" s="39">
        <f>A137+1</f>
        <v>51</v>
      </c>
      <c r="B138" s="173" t="s">
        <v>397</v>
      </c>
      <c r="C138" s="42"/>
      <c r="D138" s="41">
        <f t="shared" ref="D138:J138" si="33">D137</f>
        <v>5356277112</v>
      </c>
      <c r="E138" s="41">
        <f t="shared" si="33"/>
        <v>0</v>
      </c>
      <c r="F138" s="41">
        <f t="shared" si="33"/>
        <v>35060914</v>
      </c>
      <c r="G138" s="41">
        <f t="shared" si="33"/>
        <v>291767543</v>
      </c>
      <c r="H138" s="41">
        <f t="shared" si="33"/>
        <v>-391932</v>
      </c>
      <c r="I138" s="41">
        <f t="shared" si="33"/>
        <v>5680420</v>
      </c>
      <c r="J138" s="41">
        <f t="shared" si="33"/>
        <v>5688394057</v>
      </c>
      <c r="K138" s="43"/>
    </row>
    <row r="139" spans="1:11" x14ac:dyDescent="0.2">
      <c r="A139" s="39">
        <f>A138+1</f>
        <v>52</v>
      </c>
      <c r="B139" s="42" t="s">
        <v>303</v>
      </c>
      <c r="C139" s="42"/>
      <c r="D139" s="127" t="s">
        <v>302</v>
      </c>
      <c r="E139" s="127" t="s">
        <v>302</v>
      </c>
      <c r="F139" s="127" t="s">
        <v>302</v>
      </c>
      <c r="G139" s="127" t="s">
        <v>302</v>
      </c>
      <c r="H139" s="127" t="s">
        <v>302</v>
      </c>
      <c r="I139" s="127" t="s">
        <v>302</v>
      </c>
      <c r="J139" s="127" t="s">
        <v>302</v>
      </c>
    </row>
    <row r="140" spans="1:11" x14ac:dyDescent="0.2">
      <c r="B140" s="42"/>
      <c r="C140" s="42"/>
      <c r="D140" s="41"/>
      <c r="E140" s="41"/>
      <c r="F140" s="41"/>
      <c r="G140" s="41"/>
      <c r="H140" s="41"/>
      <c r="I140" s="41"/>
      <c r="J140" s="41"/>
    </row>
    <row r="141" spans="1:11" x14ac:dyDescent="0.2">
      <c r="A141" s="39">
        <f>A139+1</f>
        <v>53</v>
      </c>
      <c r="B141" s="42" t="s">
        <v>166</v>
      </c>
      <c r="C141" s="42"/>
      <c r="D141" s="41">
        <v>-29548624</v>
      </c>
      <c r="E141" s="41">
        <v>0</v>
      </c>
      <c r="F141" s="41">
        <v>0</v>
      </c>
      <c r="G141" s="41">
        <v>-1398678</v>
      </c>
      <c r="H141" s="41">
        <v>0</v>
      </c>
      <c r="I141" s="41">
        <v>0</v>
      </c>
      <c r="J141" s="41">
        <f>SUM(D141:I141)</f>
        <v>-30947302</v>
      </c>
      <c r="K141" s="43"/>
    </row>
    <row r="143" spans="1:11" x14ac:dyDescent="0.2">
      <c r="A143" s="107" t="s">
        <v>162</v>
      </c>
      <c r="B143" s="107"/>
      <c r="C143" s="108"/>
      <c r="D143" s="109" t="s">
        <v>176</v>
      </c>
      <c r="E143" s="109" t="s">
        <v>181</v>
      </c>
      <c r="F143" s="109" t="s">
        <v>177</v>
      </c>
      <c r="G143" s="109" t="s">
        <v>178</v>
      </c>
      <c r="H143" s="109" t="s">
        <v>179</v>
      </c>
      <c r="I143" s="109" t="s">
        <v>370</v>
      </c>
      <c r="J143" s="109" t="s">
        <v>180</v>
      </c>
    </row>
    <row r="145" spans="1:10" x14ac:dyDescent="0.2">
      <c r="A145" s="39">
        <v>1</v>
      </c>
      <c r="B145" s="39" t="s">
        <v>140</v>
      </c>
      <c r="D145" s="43">
        <f t="shared" ref="D145:J145" si="34">D5-D75</f>
        <v>963</v>
      </c>
      <c r="E145" s="43">
        <f t="shared" si="34"/>
        <v>0</v>
      </c>
      <c r="F145" s="43">
        <f t="shared" si="34"/>
        <v>-1726</v>
      </c>
      <c r="G145" s="43">
        <f t="shared" si="34"/>
        <v>-579</v>
      </c>
      <c r="H145" s="43">
        <f>H5-H75</f>
        <v>0</v>
      </c>
      <c r="I145" s="43">
        <f t="shared" si="34"/>
        <v>0</v>
      </c>
      <c r="J145" s="43">
        <f t="shared" si="34"/>
        <v>-1342</v>
      </c>
    </row>
    <row r="146" spans="1:10" x14ac:dyDescent="0.2">
      <c r="E146" s="43"/>
      <c r="F146" s="43"/>
      <c r="G146" s="43"/>
      <c r="H146" s="43"/>
      <c r="I146" s="43"/>
      <c r="J146" s="43"/>
    </row>
    <row r="147" spans="1:10" x14ac:dyDescent="0.2">
      <c r="B147" s="42" t="s">
        <v>155</v>
      </c>
      <c r="D147" s="40"/>
      <c r="E147" s="40"/>
      <c r="F147" s="40"/>
      <c r="G147" s="40"/>
      <c r="H147" s="40"/>
      <c r="I147" s="40"/>
      <c r="J147" s="40"/>
    </row>
    <row r="148" spans="1:10" x14ac:dyDescent="0.2">
      <c r="A148" s="39">
        <f>A145+1</f>
        <v>2</v>
      </c>
      <c r="B148" s="39" t="s">
        <v>141</v>
      </c>
      <c r="D148" s="43">
        <f t="shared" ref="D148:J150" si="35">D8-D78</f>
        <v>4930978</v>
      </c>
      <c r="E148" s="43">
        <f t="shared" si="35"/>
        <v>0</v>
      </c>
      <c r="F148" s="43">
        <f t="shared" si="35"/>
        <v>-8840489</v>
      </c>
      <c r="G148" s="43">
        <f t="shared" si="35"/>
        <v>-2969456</v>
      </c>
      <c r="H148" s="43">
        <f>H8-H78</f>
        <v>0</v>
      </c>
      <c r="I148" s="43">
        <f t="shared" si="35"/>
        <v>0</v>
      </c>
      <c r="J148" s="43">
        <f t="shared" si="35"/>
        <v>-6878967</v>
      </c>
    </row>
    <row r="149" spans="1:10" x14ac:dyDescent="0.2">
      <c r="A149" s="39">
        <f>A148+1</f>
        <v>3</v>
      </c>
      <c r="B149" s="42" t="s">
        <v>167</v>
      </c>
      <c r="C149" s="42"/>
      <c r="D149" s="43">
        <f t="shared" si="35"/>
        <v>11542</v>
      </c>
      <c r="E149" s="43">
        <f t="shared" si="35"/>
        <v>0</v>
      </c>
      <c r="F149" s="43">
        <f t="shared" si="35"/>
        <v>-20703</v>
      </c>
      <c r="G149" s="43">
        <f t="shared" si="35"/>
        <v>-6958</v>
      </c>
      <c r="H149" s="43">
        <f>H9-H79</f>
        <v>0</v>
      </c>
      <c r="I149" s="43">
        <f t="shared" si="35"/>
        <v>0</v>
      </c>
      <c r="J149" s="43">
        <f t="shared" si="35"/>
        <v>-16119</v>
      </c>
    </row>
    <row r="150" spans="1:10" x14ac:dyDescent="0.2">
      <c r="A150" s="39">
        <f>A149+1</f>
        <v>4</v>
      </c>
      <c r="B150" s="39" t="s">
        <v>142</v>
      </c>
      <c r="D150" s="43">
        <f t="shared" si="35"/>
        <v>936993</v>
      </c>
      <c r="E150" s="43">
        <f t="shared" si="35"/>
        <v>0</v>
      </c>
      <c r="F150" s="43">
        <f t="shared" si="35"/>
        <v>-1129822</v>
      </c>
      <c r="G150" s="43">
        <f t="shared" si="35"/>
        <v>-232994</v>
      </c>
      <c r="H150" s="43">
        <f>H10-H80</f>
        <v>272564</v>
      </c>
      <c r="I150" s="43">
        <f t="shared" si="35"/>
        <v>0</v>
      </c>
      <c r="J150" s="43">
        <f t="shared" si="35"/>
        <v>-153259</v>
      </c>
    </row>
    <row r="151" spans="1:10" x14ac:dyDescent="0.2">
      <c r="B151" s="42" t="s">
        <v>171</v>
      </c>
      <c r="D151" s="43"/>
      <c r="E151" s="43"/>
      <c r="F151" s="43"/>
      <c r="G151" s="43"/>
      <c r="H151" s="43"/>
      <c r="I151" s="43"/>
      <c r="J151" s="43"/>
    </row>
    <row r="152" spans="1:10" x14ac:dyDescent="0.2">
      <c r="A152" s="39">
        <f>A150+1</f>
        <v>5</v>
      </c>
      <c r="C152" s="39" t="s">
        <v>143</v>
      </c>
      <c r="D152" s="43">
        <f t="shared" ref="D152:J163" si="36">D12-D82</f>
        <v>-69787</v>
      </c>
      <c r="E152" s="43">
        <f t="shared" si="36"/>
        <v>0</v>
      </c>
      <c r="F152" s="43">
        <f t="shared" si="36"/>
        <v>0</v>
      </c>
      <c r="G152" s="43">
        <f t="shared" si="36"/>
        <v>26747</v>
      </c>
      <c r="H152" s="43">
        <f t="shared" ref="H152:H163" si="37">H12-H82</f>
        <v>0</v>
      </c>
      <c r="I152" s="43">
        <f t="shared" si="36"/>
        <v>45771</v>
      </c>
      <c r="J152" s="43">
        <f t="shared" si="36"/>
        <v>2731</v>
      </c>
    </row>
    <row r="153" spans="1:10" x14ac:dyDescent="0.2">
      <c r="A153" s="39">
        <f t="shared" ref="A153:A163" si="38">A152+1</f>
        <v>6</v>
      </c>
      <c r="C153" s="39" t="s">
        <v>144</v>
      </c>
      <c r="D153" s="43">
        <f t="shared" si="36"/>
        <v>-6440</v>
      </c>
      <c r="E153" s="43">
        <f t="shared" si="36"/>
        <v>0</v>
      </c>
      <c r="F153" s="43">
        <f t="shared" si="36"/>
        <v>15366</v>
      </c>
      <c r="G153" s="43">
        <f t="shared" si="36"/>
        <v>989</v>
      </c>
      <c r="H153" s="43">
        <f t="shared" si="37"/>
        <v>-64598</v>
      </c>
      <c r="I153" s="43">
        <f t="shared" si="36"/>
        <v>0</v>
      </c>
      <c r="J153" s="43">
        <f t="shared" si="36"/>
        <v>-54683</v>
      </c>
    </row>
    <row r="154" spans="1:10" x14ac:dyDescent="0.2">
      <c r="A154" s="39">
        <f t="shared" si="38"/>
        <v>7</v>
      </c>
      <c r="B154" s="42"/>
      <c r="C154" s="42" t="s">
        <v>170</v>
      </c>
      <c r="D154" s="43">
        <f t="shared" si="36"/>
        <v>1398</v>
      </c>
      <c r="E154" s="43">
        <f t="shared" si="36"/>
        <v>0</v>
      </c>
      <c r="F154" s="43">
        <f t="shared" si="36"/>
        <v>3816</v>
      </c>
      <c r="G154" s="43">
        <f t="shared" si="36"/>
        <v>208</v>
      </c>
      <c r="H154" s="43">
        <f t="shared" si="37"/>
        <v>-16365</v>
      </c>
      <c r="I154" s="43">
        <f t="shared" si="36"/>
        <v>0</v>
      </c>
      <c r="J154" s="43">
        <f t="shared" si="36"/>
        <v>-10943</v>
      </c>
    </row>
    <row r="155" spans="1:10" x14ac:dyDescent="0.2">
      <c r="A155" s="39">
        <f t="shared" si="38"/>
        <v>8</v>
      </c>
      <c r="B155" s="39" t="s">
        <v>145</v>
      </c>
      <c r="D155" s="43">
        <f t="shared" si="36"/>
        <v>72976</v>
      </c>
      <c r="E155" s="43">
        <f t="shared" si="36"/>
        <v>0</v>
      </c>
      <c r="F155" s="43">
        <f t="shared" si="36"/>
        <v>0</v>
      </c>
      <c r="G155" s="43">
        <f t="shared" si="36"/>
        <v>-12070</v>
      </c>
      <c r="H155" s="43">
        <f t="shared" si="37"/>
        <v>0</v>
      </c>
      <c r="I155" s="43">
        <f t="shared" si="36"/>
        <v>0</v>
      </c>
      <c r="J155" s="43">
        <f t="shared" si="36"/>
        <v>60906</v>
      </c>
    </row>
    <row r="156" spans="1:10" x14ac:dyDescent="0.2">
      <c r="A156" s="39">
        <f t="shared" si="38"/>
        <v>9</v>
      </c>
      <c r="B156" s="39" t="s">
        <v>146</v>
      </c>
      <c r="D156" s="43">
        <f t="shared" si="36"/>
        <v>61789</v>
      </c>
      <c r="E156" s="43">
        <f t="shared" si="36"/>
        <v>0</v>
      </c>
      <c r="F156" s="43">
        <f t="shared" si="36"/>
        <v>0</v>
      </c>
      <c r="G156" s="43">
        <f t="shared" si="36"/>
        <v>-940</v>
      </c>
      <c r="H156" s="43">
        <f t="shared" si="37"/>
        <v>0</v>
      </c>
      <c r="I156" s="43">
        <f t="shared" si="36"/>
        <v>0</v>
      </c>
      <c r="J156" s="43">
        <f t="shared" si="36"/>
        <v>60849</v>
      </c>
    </row>
    <row r="157" spans="1:10" x14ac:dyDescent="0.2">
      <c r="A157" s="39">
        <f t="shared" si="38"/>
        <v>10</v>
      </c>
      <c r="B157" s="39" t="s">
        <v>148</v>
      </c>
      <c r="D157" s="43">
        <f t="shared" si="36"/>
        <v>1660</v>
      </c>
      <c r="E157" s="43">
        <f t="shared" si="36"/>
        <v>0</v>
      </c>
      <c r="F157" s="43">
        <f t="shared" si="36"/>
        <v>-675</v>
      </c>
      <c r="G157" s="43">
        <f t="shared" si="36"/>
        <v>-166</v>
      </c>
      <c r="H157" s="43">
        <f t="shared" si="37"/>
        <v>0</v>
      </c>
      <c r="I157" s="43">
        <f t="shared" si="36"/>
        <v>0</v>
      </c>
      <c r="J157" s="43">
        <f t="shared" si="36"/>
        <v>819</v>
      </c>
    </row>
    <row r="158" spans="1:10" x14ac:dyDescent="0.2">
      <c r="A158" s="39">
        <f t="shared" si="38"/>
        <v>11</v>
      </c>
      <c r="B158" s="39" t="s">
        <v>244</v>
      </c>
      <c r="D158" s="43">
        <f t="shared" si="36"/>
        <v>0</v>
      </c>
      <c r="E158" s="43">
        <f t="shared" si="36"/>
        <v>0</v>
      </c>
      <c r="F158" s="43">
        <f t="shared" si="36"/>
        <v>0</v>
      </c>
      <c r="G158" s="43">
        <f t="shared" si="36"/>
        <v>0</v>
      </c>
      <c r="H158" s="43">
        <f t="shared" si="37"/>
        <v>0</v>
      </c>
      <c r="I158" s="43">
        <f t="shared" si="36"/>
        <v>0</v>
      </c>
      <c r="J158" s="43">
        <f t="shared" si="36"/>
        <v>0</v>
      </c>
    </row>
    <row r="159" spans="1:10" x14ac:dyDescent="0.2">
      <c r="A159" s="39">
        <f t="shared" si="38"/>
        <v>12</v>
      </c>
      <c r="B159" s="39" t="s">
        <v>147</v>
      </c>
      <c r="D159" s="43">
        <f t="shared" si="36"/>
        <v>201545</v>
      </c>
      <c r="E159" s="43">
        <f t="shared" si="36"/>
        <v>0</v>
      </c>
      <c r="F159" s="43">
        <f t="shared" si="36"/>
        <v>-354133</v>
      </c>
      <c r="G159" s="43">
        <f t="shared" si="36"/>
        <v>-118749</v>
      </c>
      <c r="H159" s="43">
        <f t="shared" si="37"/>
        <v>0</v>
      </c>
      <c r="I159" s="43">
        <f t="shared" si="36"/>
        <v>0</v>
      </c>
      <c r="J159" s="43">
        <f t="shared" si="36"/>
        <v>-271337</v>
      </c>
    </row>
    <row r="160" spans="1:10" x14ac:dyDescent="0.2">
      <c r="A160" s="39">
        <f t="shared" si="38"/>
        <v>13</v>
      </c>
      <c r="B160" s="39" t="s">
        <v>149</v>
      </c>
      <c r="D160" s="43">
        <f t="shared" si="36"/>
        <v>165344</v>
      </c>
      <c r="E160" s="43">
        <f t="shared" si="36"/>
        <v>0</v>
      </c>
      <c r="F160" s="43">
        <f t="shared" si="36"/>
        <v>-167765</v>
      </c>
      <c r="G160" s="43">
        <f t="shared" si="36"/>
        <v>-53040</v>
      </c>
      <c r="H160" s="43">
        <f t="shared" si="37"/>
        <v>0</v>
      </c>
      <c r="I160" s="43">
        <f t="shared" si="36"/>
        <v>0</v>
      </c>
      <c r="J160" s="43">
        <f t="shared" si="36"/>
        <v>-55461</v>
      </c>
    </row>
    <row r="161" spans="1:10" x14ac:dyDescent="0.2">
      <c r="A161" s="39">
        <f t="shared" si="38"/>
        <v>14</v>
      </c>
      <c r="B161" s="42" t="s">
        <v>173</v>
      </c>
      <c r="D161" s="43">
        <f t="shared" si="36"/>
        <v>52720</v>
      </c>
      <c r="E161" s="43">
        <f t="shared" si="36"/>
        <v>0</v>
      </c>
      <c r="F161" s="43">
        <f t="shared" si="36"/>
        <v>-52638</v>
      </c>
      <c r="G161" s="43">
        <f t="shared" si="36"/>
        <v>-15565</v>
      </c>
      <c r="H161" s="43">
        <f t="shared" si="37"/>
        <v>0</v>
      </c>
      <c r="I161" s="43">
        <f t="shared" si="36"/>
        <v>0</v>
      </c>
      <c r="J161" s="43">
        <f t="shared" si="36"/>
        <v>-15483</v>
      </c>
    </row>
    <row r="162" spans="1:10" x14ac:dyDescent="0.2">
      <c r="A162" s="39">
        <f t="shared" si="38"/>
        <v>15</v>
      </c>
      <c r="B162" s="42" t="s">
        <v>168</v>
      </c>
      <c r="C162" s="42"/>
      <c r="D162" s="43">
        <f t="shared" si="36"/>
        <v>-1801358</v>
      </c>
      <c r="E162" s="43">
        <f t="shared" si="36"/>
        <v>0</v>
      </c>
      <c r="F162" s="43">
        <f t="shared" si="36"/>
        <v>0</v>
      </c>
      <c r="G162" s="43">
        <f t="shared" si="36"/>
        <v>-10738</v>
      </c>
      <c r="H162" s="43">
        <f t="shared" si="37"/>
        <v>0</v>
      </c>
      <c r="I162" s="43">
        <f t="shared" si="36"/>
        <v>0</v>
      </c>
      <c r="J162" s="43">
        <f t="shared" si="36"/>
        <v>-1812096</v>
      </c>
    </row>
    <row r="163" spans="1:10" x14ac:dyDescent="0.2">
      <c r="A163" s="39">
        <f t="shared" si="38"/>
        <v>16</v>
      </c>
      <c r="B163" s="39" t="s">
        <v>150</v>
      </c>
      <c r="D163" s="43">
        <f t="shared" si="36"/>
        <v>658441</v>
      </c>
      <c r="E163" s="43">
        <f t="shared" si="36"/>
        <v>0</v>
      </c>
      <c r="F163" s="43">
        <f t="shared" si="36"/>
        <v>-1221009</v>
      </c>
      <c r="G163" s="43">
        <f t="shared" si="36"/>
        <v>0</v>
      </c>
      <c r="H163" s="43">
        <f t="shared" si="37"/>
        <v>0</v>
      </c>
      <c r="I163" s="43">
        <f t="shared" si="36"/>
        <v>0</v>
      </c>
      <c r="J163" s="43">
        <f t="shared" si="36"/>
        <v>-562568</v>
      </c>
    </row>
    <row r="164" spans="1:10" x14ac:dyDescent="0.2">
      <c r="B164" s="42" t="s">
        <v>172</v>
      </c>
      <c r="D164" s="43"/>
      <c r="E164" s="43"/>
      <c r="F164" s="43"/>
      <c r="G164" s="43"/>
      <c r="H164" s="43"/>
      <c r="I164" s="43"/>
      <c r="J164" s="43"/>
    </row>
    <row r="165" spans="1:10" x14ac:dyDescent="0.2">
      <c r="A165" s="39">
        <f>A163+1</f>
        <v>17</v>
      </c>
      <c r="B165" s="42"/>
      <c r="C165" s="42" t="s">
        <v>175</v>
      </c>
      <c r="D165" s="43">
        <f t="shared" ref="D165:J169" si="39">D25-D95</f>
        <v>-72173</v>
      </c>
      <c r="E165" s="43">
        <f t="shared" si="39"/>
        <v>0</v>
      </c>
      <c r="F165" s="43">
        <f t="shared" si="39"/>
        <v>-44605</v>
      </c>
      <c r="G165" s="43">
        <f t="shared" si="39"/>
        <v>22195</v>
      </c>
      <c r="H165" s="43">
        <f>H25-H95</f>
        <v>0</v>
      </c>
      <c r="I165" s="43">
        <f t="shared" si="39"/>
        <v>0</v>
      </c>
      <c r="J165" s="43">
        <f t="shared" si="39"/>
        <v>-94583</v>
      </c>
    </row>
    <row r="166" spans="1:10" x14ac:dyDescent="0.2">
      <c r="A166" s="39">
        <f>A165+1</f>
        <v>18</v>
      </c>
      <c r="B166" s="42"/>
      <c r="C166" s="42" t="s">
        <v>182</v>
      </c>
      <c r="D166" s="43">
        <f t="shared" si="39"/>
        <v>-110819</v>
      </c>
      <c r="E166" s="43">
        <f t="shared" si="39"/>
        <v>0</v>
      </c>
      <c r="F166" s="43">
        <f t="shared" si="39"/>
        <v>0</v>
      </c>
      <c r="G166" s="43">
        <f t="shared" si="39"/>
        <v>95116</v>
      </c>
      <c r="H166" s="43">
        <f>H26-H96</f>
        <v>0</v>
      </c>
      <c r="I166" s="43">
        <f t="shared" si="39"/>
        <v>0</v>
      </c>
      <c r="J166" s="43">
        <f t="shared" si="39"/>
        <v>-15703</v>
      </c>
    </row>
    <row r="167" spans="1:10" x14ac:dyDescent="0.2">
      <c r="A167" s="39">
        <f>A166+1</f>
        <v>19</v>
      </c>
      <c r="B167" s="42"/>
      <c r="C167" s="42" t="s">
        <v>201</v>
      </c>
      <c r="D167" s="43">
        <f t="shared" si="39"/>
        <v>777</v>
      </c>
      <c r="E167" s="43">
        <f t="shared" si="39"/>
        <v>0</v>
      </c>
      <c r="F167" s="43">
        <f t="shared" si="39"/>
        <v>0</v>
      </c>
      <c r="G167" s="43">
        <f t="shared" si="39"/>
        <v>0</v>
      </c>
      <c r="H167" s="43">
        <f>H27-H97</f>
        <v>0</v>
      </c>
      <c r="I167" s="43">
        <f t="shared" si="39"/>
        <v>0</v>
      </c>
      <c r="J167" s="43">
        <f t="shared" si="39"/>
        <v>777</v>
      </c>
    </row>
    <row r="168" spans="1:10" x14ac:dyDescent="0.2">
      <c r="A168" s="39">
        <f>A167+1</f>
        <v>20</v>
      </c>
      <c r="B168" s="42"/>
      <c r="C168" s="42" t="s">
        <v>183</v>
      </c>
      <c r="D168" s="43">
        <f t="shared" si="39"/>
        <v>-3052</v>
      </c>
      <c r="E168" s="43">
        <f t="shared" si="39"/>
        <v>0</v>
      </c>
      <c r="F168" s="43">
        <f t="shared" si="39"/>
        <v>0</v>
      </c>
      <c r="G168" s="43">
        <f t="shared" si="39"/>
        <v>4107</v>
      </c>
      <c r="H168" s="43">
        <f>H28-H98</f>
        <v>0</v>
      </c>
      <c r="I168" s="43">
        <f t="shared" si="39"/>
        <v>0</v>
      </c>
      <c r="J168" s="43">
        <f t="shared" si="39"/>
        <v>1055</v>
      </c>
    </row>
    <row r="169" spans="1:10" x14ac:dyDescent="0.2">
      <c r="A169" s="39">
        <f>A168+1</f>
        <v>21</v>
      </c>
      <c r="B169" s="42"/>
      <c r="C169" s="42" t="s">
        <v>251</v>
      </c>
      <c r="D169" s="43">
        <f t="shared" si="39"/>
        <v>1</v>
      </c>
      <c r="E169" s="43">
        <f t="shared" si="39"/>
        <v>0</v>
      </c>
      <c r="F169" s="43">
        <f t="shared" si="39"/>
        <v>0</v>
      </c>
      <c r="G169" s="43">
        <f t="shared" si="39"/>
        <v>0</v>
      </c>
      <c r="H169" s="43">
        <f>H29-H99</f>
        <v>0</v>
      </c>
      <c r="I169" s="43">
        <f t="shared" si="39"/>
        <v>0</v>
      </c>
      <c r="J169" s="43">
        <f t="shared" si="39"/>
        <v>1</v>
      </c>
    </row>
    <row r="170" spans="1:10" x14ac:dyDescent="0.2">
      <c r="D170" s="41"/>
      <c r="E170" s="41"/>
      <c r="F170" s="41"/>
      <c r="G170" s="41"/>
      <c r="H170" s="41"/>
      <c r="I170" s="41"/>
      <c r="J170" s="41"/>
    </row>
    <row r="171" spans="1:10" x14ac:dyDescent="0.2">
      <c r="A171" s="39">
        <f>A169+1</f>
        <v>22</v>
      </c>
      <c r="B171" s="42" t="s">
        <v>158</v>
      </c>
      <c r="D171" s="43">
        <f t="shared" ref="D171:J171" si="40">D31-D101</f>
        <v>5032535</v>
      </c>
      <c r="E171" s="43">
        <f t="shared" si="40"/>
        <v>0</v>
      </c>
      <c r="F171" s="43">
        <f t="shared" si="40"/>
        <v>-11812657</v>
      </c>
      <c r="G171" s="43">
        <f t="shared" si="40"/>
        <v>-3271314</v>
      </c>
      <c r="H171" s="43">
        <f>H31-H101</f>
        <v>191601</v>
      </c>
      <c r="I171" s="43">
        <f t="shared" si="40"/>
        <v>45771</v>
      </c>
      <c r="J171" s="43">
        <f t="shared" si="40"/>
        <v>-9814064</v>
      </c>
    </row>
    <row r="172" spans="1:10" x14ac:dyDescent="0.2">
      <c r="D172" s="41"/>
      <c r="E172" s="41"/>
      <c r="F172" s="41"/>
      <c r="G172" s="41"/>
      <c r="H172" s="41"/>
      <c r="I172" s="41"/>
      <c r="J172" s="41"/>
    </row>
    <row r="173" spans="1:10" x14ac:dyDescent="0.2">
      <c r="B173" s="42" t="s">
        <v>156</v>
      </c>
      <c r="C173" s="42"/>
      <c r="D173" s="41"/>
      <c r="E173" s="41"/>
      <c r="F173" s="41"/>
      <c r="G173" s="41"/>
      <c r="H173" s="41"/>
      <c r="I173" s="41"/>
      <c r="J173" s="41"/>
    </row>
    <row r="174" spans="1:10" x14ac:dyDescent="0.2">
      <c r="A174" s="39">
        <f>A171+1</f>
        <v>23</v>
      </c>
      <c r="B174" s="39" t="s">
        <v>153</v>
      </c>
      <c r="D174" s="43">
        <f t="shared" ref="D174:J178" si="41">D34-D104</f>
        <v>66256</v>
      </c>
      <c r="E174" s="43">
        <f t="shared" si="41"/>
        <v>0</v>
      </c>
      <c r="F174" s="43">
        <f t="shared" si="41"/>
        <v>-40144</v>
      </c>
      <c r="G174" s="43">
        <f t="shared" si="41"/>
        <v>0</v>
      </c>
      <c r="H174" s="43">
        <f>H34-H104</f>
        <v>0</v>
      </c>
      <c r="I174" s="43">
        <f t="shared" si="41"/>
        <v>0</v>
      </c>
      <c r="J174" s="43">
        <f t="shared" si="41"/>
        <v>26112</v>
      </c>
    </row>
    <row r="175" spans="1:10" x14ac:dyDescent="0.2">
      <c r="A175" s="39">
        <f>A174+1</f>
        <v>24</v>
      </c>
      <c r="B175" s="39" t="s">
        <v>152</v>
      </c>
      <c r="D175" s="43">
        <f t="shared" si="41"/>
        <v>128162</v>
      </c>
      <c r="E175" s="43">
        <f t="shared" si="41"/>
        <v>0</v>
      </c>
      <c r="F175" s="43">
        <f t="shared" si="41"/>
        <v>-87081</v>
      </c>
      <c r="G175" s="43">
        <f t="shared" si="41"/>
        <v>0</v>
      </c>
      <c r="H175" s="43">
        <f>H35-H105</f>
        <v>0</v>
      </c>
      <c r="I175" s="43">
        <f t="shared" si="41"/>
        <v>0</v>
      </c>
      <c r="J175" s="43">
        <f t="shared" si="41"/>
        <v>41081</v>
      </c>
    </row>
    <row r="176" spans="1:10" x14ac:dyDescent="0.2">
      <c r="A176" s="39">
        <f>A175+1</f>
        <v>25</v>
      </c>
      <c r="B176" s="42" t="s">
        <v>174</v>
      </c>
      <c r="D176" s="43">
        <f t="shared" si="41"/>
        <v>51718</v>
      </c>
      <c r="E176" s="43">
        <f t="shared" si="41"/>
        <v>0</v>
      </c>
      <c r="F176" s="43">
        <f t="shared" si="41"/>
        <v>-27568</v>
      </c>
      <c r="G176" s="43">
        <f t="shared" si="41"/>
        <v>0</v>
      </c>
      <c r="H176" s="43">
        <f>H36-H106</f>
        <v>0</v>
      </c>
      <c r="I176" s="43">
        <f t="shared" si="41"/>
        <v>0</v>
      </c>
      <c r="J176" s="43">
        <f t="shared" si="41"/>
        <v>24150</v>
      </c>
    </row>
    <row r="177" spans="1:10" x14ac:dyDescent="0.2">
      <c r="A177" s="39">
        <f>A176+1</f>
        <v>26</v>
      </c>
      <c r="B177" s="42" t="s">
        <v>168</v>
      </c>
      <c r="C177" s="42"/>
      <c r="D177" s="43">
        <f t="shared" si="41"/>
        <v>-606125</v>
      </c>
      <c r="E177" s="43">
        <f t="shared" si="41"/>
        <v>0</v>
      </c>
      <c r="F177" s="43">
        <f t="shared" si="41"/>
        <v>0</v>
      </c>
      <c r="G177" s="43">
        <f t="shared" si="41"/>
        <v>0</v>
      </c>
      <c r="H177" s="43">
        <f>H37-H107</f>
        <v>0</v>
      </c>
      <c r="I177" s="43">
        <f t="shared" si="41"/>
        <v>0</v>
      </c>
      <c r="J177" s="43">
        <f t="shared" si="41"/>
        <v>-606125</v>
      </c>
    </row>
    <row r="178" spans="1:10" x14ac:dyDescent="0.2">
      <c r="A178" s="39">
        <f>A177+1</f>
        <v>27</v>
      </c>
      <c r="B178" s="39" t="s">
        <v>154</v>
      </c>
      <c r="D178" s="43">
        <f t="shared" si="41"/>
        <v>94774</v>
      </c>
      <c r="E178" s="43">
        <f t="shared" si="41"/>
        <v>0</v>
      </c>
      <c r="F178" s="43">
        <f t="shared" si="41"/>
        <v>-823281</v>
      </c>
      <c r="G178" s="43">
        <f t="shared" si="41"/>
        <v>0</v>
      </c>
      <c r="H178" s="43">
        <f>H38-H108</f>
        <v>0</v>
      </c>
      <c r="I178" s="43">
        <f t="shared" si="41"/>
        <v>0</v>
      </c>
      <c r="J178" s="43">
        <f t="shared" si="41"/>
        <v>-728507</v>
      </c>
    </row>
    <row r="179" spans="1:10" x14ac:dyDescent="0.2">
      <c r="D179" s="41"/>
      <c r="E179" s="41"/>
      <c r="F179" s="41"/>
      <c r="G179" s="41"/>
      <c r="H179" s="41"/>
      <c r="I179" s="41"/>
      <c r="J179" s="41"/>
    </row>
    <row r="180" spans="1:10" x14ac:dyDescent="0.2">
      <c r="A180" s="39">
        <f>A178+1</f>
        <v>28</v>
      </c>
      <c r="B180" s="42" t="s">
        <v>159</v>
      </c>
      <c r="C180" s="42"/>
      <c r="D180" s="43">
        <f t="shared" ref="D180:J180" si="42">D40-D110</f>
        <v>-265215</v>
      </c>
      <c r="E180" s="43">
        <f t="shared" si="42"/>
        <v>0</v>
      </c>
      <c r="F180" s="43">
        <f t="shared" si="42"/>
        <v>-978074</v>
      </c>
      <c r="G180" s="43">
        <f t="shared" si="42"/>
        <v>0</v>
      </c>
      <c r="H180" s="43">
        <f>H40-H110</f>
        <v>0</v>
      </c>
      <c r="I180" s="43">
        <f t="shared" si="42"/>
        <v>0</v>
      </c>
      <c r="J180" s="43">
        <f t="shared" si="42"/>
        <v>-1243289</v>
      </c>
    </row>
    <row r="181" spans="1:10" x14ac:dyDescent="0.2">
      <c r="B181" s="42"/>
      <c r="C181" s="42"/>
      <c r="D181" s="41"/>
      <c r="E181" s="41"/>
      <c r="F181" s="41"/>
      <c r="G181" s="41"/>
      <c r="H181" s="41"/>
      <c r="I181" s="41"/>
      <c r="J181" s="41"/>
    </row>
    <row r="182" spans="1:10" x14ac:dyDescent="0.2">
      <c r="B182" s="42" t="s">
        <v>157</v>
      </c>
      <c r="C182" s="42"/>
      <c r="D182" s="41"/>
      <c r="E182" s="41"/>
      <c r="F182" s="41"/>
      <c r="G182" s="41"/>
      <c r="H182" s="41"/>
      <c r="I182" s="41"/>
      <c r="J182" s="41"/>
    </row>
    <row r="183" spans="1:10" x14ac:dyDescent="0.2">
      <c r="A183" s="39">
        <f>A180+1</f>
        <v>29</v>
      </c>
      <c r="B183" s="39" t="s">
        <v>141</v>
      </c>
      <c r="D183" s="43">
        <f t="shared" ref="D183:J185" si="43">D43-D113</f>
        <v>4930978</v>
      </c>
      <c r="E183" s="43">
        <f t="shared" si="43"/>
        <v>0</v>
      </c>
      <c r="F183" s="43">
        <f t="shared" si="43"/>
        <v>-8840489</v>
      </c>
      <c r="G183" s="43">
        <f t="shared" si="43"/>
        <v>-2969456</v>
      </c>
      <c r="H183" s="43">
        <f>H43-H113</f>
        <v>0</v>
      </c>
      <c r="I183" s="43">
        <f t="shared" si="43"/>
        <v>0</v>
      </c>
      <c r="J183" s="43">
        <f t="shared" si="43"/>
        <v>-6878967</v>
      </c>
    </row>
    <row r="184" spans="1:10" x14ac:dyDescent="0.2">
      <c r="A184" s="39">
        <f>A183+1</f>
        <v>30</v>
      </c>
      <c r="B184" s="42" t="s">
        <v>167</v>
      </c>
      <c r="C184" s="42"/>
      <c r="D184" s="43">
        <f t="shared" si="43"/>
        <v>11542</v>
      </c>
      <c r="E184" s="43">
        <f t="shared" si="43"/>
        <v>0</v>
      </c>
      <c r="F184" s="43">
        <f t="shared" si="43"/>
        <v>-20703</v>
      </c>
      <c r="G184" s="43">
        <f t="shared" si="43"/>
        <v>-6958</v>
      </c>
      <c r="H184" s="43">
        <f>H44-H114</f>
        <v>0</v>
      </c>
      <c r="I184" s="43">
        <f t="shared" si="43"/>
        <v>0</v>
      </c>
      <c r="J184" s="43">
        <f t="shared" si="43"/>
        <v>-16119</v>
      </c>
    </row>
    <row r="185" spans="1:10" x14ac:dyDescent="0.2">
      <c r="A185" s="39">
        <f>A184+1</f>
        <v>31</v>
      </c>
      <c r="B185" s="39" t="s">
        <v>142</v>
      </c>
      <c r="D185" s="43">
        <f t="shared" si="43"/>
        <v>936993</v>
      </c>
      <c r="E185" s="43">
        <f t="shared" si="43"/>
        <v>0</v>
      </c>
      <c r="F185" s="43">
        <f t="shared" si="43"/>
        <v>-1129822</v>
      </c>
      <c r="G185" s="43">
        <f t="shared" si="43"/>
        <v>-232994</v>
      </c>
      <c r="H185" s="43">
        <f>H45-H115</f>
        <v>272564</v>
      </c>
      <c r="I185" s="43">
        <f t="shared" si="43"/>
        <v>0</v>
      </c>
      <c r="J185" s="43">
        <f t="shared" si="43"/>
        <v>-153259</v>
      </c>
    </row>
    <row r="186" spans="1:10" x14ac:dyDescent="0.2">
      <c r="B186" s="42" t="s">
        <v>171</v>
      </c>
      <c r="D186" s="43"/>
      <c r="E186" s="43"/>
      <c r="F186" s="43"/>
      <c r="G186" s="43"/>
      <c r="H186" s="43"/>
      <c r="I186" s="43"/>
      <c r="J186" s="43"/>
    </row>
    <row r="187" spans="1:10" x14ac:dyDescent="0.2">
      <c r="A187" s="39">
        <f>A185+1</f>
        <v>32</v>
      </c>
      <c r="C187" s="39" t="s">
        <v>143</v>
      </c>
      <c r="D187" s="43">
        <f t="shared" ref="D187:J199" si="44">D47-D117</f>
        <v>-69787</v>
      </c>
      <c r="E187" s="43">
        <f t="shared" si="44"/>
        <v>0</v>
      </c>
      <c r="F187" s="43">
        <f t="shared" si="44"/>
        <v>0</v>
      </c>
      <c r="G187" s="43">
        <f t="shared" si="44"/>
        <v>26747</v>
      </c>
      <c r="H187" s="43">
        <f t="shared" ref="H187:H199" si="45">H47-H117</f>
        <v>0</v>
      </c>
      <c r="I187" s="43">
        <f t="shared" si="44"/>
        <v>45771</v>
      </c>
      <c r="J187" s="43">
        <f t="shared" si="44"/>
        <v>2731</v>
      </c>
    </row>
    <row r="188" spans="1:10" x14ac:dyDescent="0.2">
      <c r="A188" s="39">
        <f t="shared" ref="A188:A199" si="46">A187+1</f>
        <v>33</v>
      </c>
      <c r="C188" s="39" t="s">
        <v>144</v>
      </c>
      <c r="D188" s="43">
        <f t="shared" si="44"/>
        <v>-6440</v>
      </c>
      <c r="E188" s="43">
        <f t="shared" si="44"/>
        <v>0</v>
      </c>
      <c r="F188" s="43">
        <f t="shared" si="44"/>
        <v>15366</v>
      </c>
      <c r="G188" s="43">
        <f t="shared" si="44"/>
        <v>989</v>
      </c>
      <c r="H188" s="43">
        <f t="shared" si="45"/>
        <v>-64598</v>
      </c>
      <c r="I188" s="43">
        <f t="shared" si="44"/>
        <v>0</v>
      </c>
      <c r="J188" s="43">
        <f t="shared" si="44"/>
        <v>-54683</v>
      </c>
    </row>
    <row r="189" spans="1:10" x14ac:dyDescent="0.2">
      <c r="A189" s="39">
        <f t="shared" si="46"/>
        <v>34</v>
      </c>
      <c r="B189" s="42"/>
      <c r="C189" s="42" t="s">
        <v>170</v>
      </c>
      <c r="D189" s="43">
        <f t="shared" si="44"/>
        <v>1398</v>
      </c>
      <c r="E189" s="43">
        <f t="shared" si="44"/>
        <v>0</v>
      </c>
      <c r="F189" s="43">
        <f t="shared" si="44"/>
        <v>3816</v>
      </c>
      <c r="G189" s="43">
        <f t="shared" si="44"/>
        <v>208</v>
      </c>
      <c r="H189" s="43">
        <f t="shared" si="45"/>
        <v>-16365</v>
      </c>
      <c r="I189" s="43">
        <f t="shared" si="44"/>
        <v>0</v>
      </c>
      <c r="J189" s="43">
        <f t="shared" si="44"/>
        <v>-10943</v>
      </c>
    </row>
    <row r="190" spans="1:10" x14ac:dyDescent="0.2">
      <c r="A190" s="39">
        <f t="shared" si="46"/>
        <v>35</v>
      </c>
      <c r="B190" s="39" t="s">
        <v>145</v>
      </c>
      <c r="D190" s="43">
        <f t="shared" si="44"/>
        <v>72976</v>
      </c>
      <c r="E190" s="43">
        <f t="shared" si="44"/>
        <v>0</v>
      </c>
      <c r="F190" s="43">
        <f t="shared" si="44"/>
        <v>0</v>
      </c>
      <c r="G190" s="43">
        <f t="shared" si="44"/>
        <v>-12070</v>
      </c>
      <c r="H190" s="43">
        <f t="shared" si="45"/>
        <v>0</v>
      </c>
      <c r="I190" s="43">
        <f t="shared" si="44"/>
        <v>0</v>
      </c>
      <c r="J190" s="43">
        <f t="shared" si="44"/>
        <v>60906</v>
      </c>
    </row>
    <row r="191" spans="1:10" x14ac:dyDescent="0.2">
      <c r="A191" s="39">
        <f t="shared" si="46"/>
        <v>36</v>
      </c>
      <c r="B191" s="39" t="s">
        <v>146</v>
      </c>
      <c r="D191" s="43">
        <f t="shared" si="44"/>
        <v>61789</v>
      </c>
      <c r="E191" s="43">
        <f t="shared" si="44"/>
        <v>0</v>
      </c>
      <c r="F191" s="43">
        <f t="shared" si="44"/>
        <v>0</v>
      </c>
      <c r="G191" s="43">
        <f t="shared" si="44"/>
        <v>-940</v>
      </c>
      <c r="H191" s="43">
        <f t="shared" si="45"/>
        <v>0</v>
      </c>
      <c r="I191" s="43">
        <f t="shared" si="44"/>
        <v>0</v>
      </c>
      <c r="J191" s="43">
        <f t="shared" si="44"/>
        <v>60849</v>
      </c>
    </row>
    <row r="192" spans="1:10" x14ac:dyDescent="0.2">
      <c r="A192" s="39">
        <f t="shared" si="46"/>
        <v>37</v>
      </c>
      <c r="B192" s="39" t="s">
        <v>148</v>
      </c>
      <c r="D192" s="43">
        <f t="shared" si="44"/>
        <v>1660</v>
      </c>
      <c r="E192" s="43">
        <f t="shared" si="44"/>
        <v>0</v>
      </c>
      <c r="F192" s="43">
        <f t="shared" si="44"/>
        <v>-675</v>
      </c>
      <c r="G192" s="43">
        <f t="shared" si="44"/>
        <v>-166</v>
      </c>
      <c r="H192" s="43">
        <f t="shared" si="45"/>
        <v>0</v>
      </c>
      <c r="I192" s="43">
        <f t="shared" si="44"/>
        <v>0</v>
      </c>
      <c r="J192" s="43">
        <f t="shared" si="44"/>
        <v>819</v>
      </c>
    </row>
    <row r="193" spans="1:10" x14ac:dyDescent="0.2">
      <c r="A193" s="39">
        <f t="shared" si="46"/>
        <v>38</v>
      </c>
      <c r="B193" s="39" t="s">
        <v>244</v>
      </c>
      <c r="D193" s="43">
        <f t="shared" si="44"/>
        <v>0</v>
      </c>
      <c r="E193" s="43">
        <f t="shared" si="44"/>
        <v>0</v>
      </c>
      <c r="F193" s="43">
        <f t="shared" si="44"/>
        <v>0</v>
      </c>
      <c r="G193" s="43">
        <f t="shared" si="44"/>
        <v>0</v>
      </c>
      <c r="H193" s="43">
        <f t="shared" si="45"/>
        <v>0</v>
      </c>
      <c r="I193" s="43">
        <f t="shared" si="44"/>
        <v>0</v>
      </c>
      <c r="J193" s="43">
        <f t="shared" si="44"/>
        <v>0</v>
      </c>
    </row>
    <row r="194" spans="1:10" x14ac:dyDescent="0.2">
      <c r="A194" s="39">
        <f t="shared" si="46"/>
        <v>39</v>
      </c>
      <c r="B194" s="39" t="s">
        <v>147</v>
      </c>
      <c r="D194" s="43">
        <f t="shared" si="44"/>
        <v>135289</v>
      </c>
      <c r="E194" s="43">
        <f t="shared" si="44"/>
        <v>0</v>
      </c>
      <c r="F194" s="43">
        <f t="shared" si="44"/>
        <v>-313989</v>
      </c>
      <c r="G194" s="43">
        <f t="shared" si="44"/>
        <v>-118749</v>
      </c>
      <c r="H194" s="43">
        <f t="shared" si="45"/>
        <v>0</v>
      </c>
      <c r="I194" s="43">
        <f t="shared" si="44"/>
        <v>0</v>
      </c>
      <c r="J194" s="43">
        <f t="shared" si="44"/>
        <v>-297449</v>
      </c>
    </row>
    <row r="195" spans="1:10" x14ac:dyDescent="0.2">
      <c r="A195" s="39">
        <f t="shared" si="46"/>
        <v>40</v>
      </c>
      <c r="B195" s="39" t="s">
        <v>149</v>
      </c>
      <c r="D195" s="43">
        <f t="shared" si="44"/>
        <v>37182</v>
      </c>
      <c r="E195" s="43">
        <f t="shared" si="44"/>
        <v>0</v>
      </c>
      <c r="F195" s="43">
        <f t="shared" si="44"/>
        <v>-80684</v>
      </c>
      <c r="G195" s="43">
        <f t="shared" si="44"/>
        <v>-53040</v>
      </c>
      <c r="H195" s="43">
        <f t="shared" si="45"/>
        <v>0</v>
      </c>
      <c r="I195" s="43">
        <f t="shared" si="44"/>
        <v>0</v>
      </c>
      <c r="J195" s="43">
        <f t="shared" si="44"/>
        <v>-96542</v>
      </c>
    </row>
    <row r="196" spans="1:10" x14ac:dyDescent="0.2">
      <c r="A196" s="39">
        <f t="shared" si="46"/>
        <v>41</v>
      </c>
      <c r="B196" s="42" t="s">
        <v>173</v>
      </c>
      <c r="D196" s="43">
        <f t="shared" si="44"/>
        <v>1002</v>
      </c>
      <c r="E196" s="43">
        <f t="shared" si="44"/>
        <v>0</v>
      </c>
      <c r="F196" s="43">
        <f t="shared" si="44"/>
        <v>-25070</v>
      </c>
      <c r="G196" s="43">
        <f t="shared" si="44"/>
        <v>-15565</v>
      </c>
      <c r="H196" s="43">
        <f t="shared" si="45"/>
        <v>0</v>
      </c>
      <c r="I196" s="43">
        <f t="shared" si="44"/>
        <v>0</v>
      </c>
      <c r="J196" s="43">
        <f t="shared" si="44"/>
        <v>-39633</v>
      </c>
    </row>
    <row r="197" spans="1:10" x14ac:dyDescent="0.2">
      <c r="A197" s="39">
        <f t="shared" si="46"/>
        <v>42</v>
      </c>
      <c r="B197" s="42" t="s">
        <v>168</v>
      </c>
      <c r="C197" s="42"/>
      <c r="D197" s="43">
        <f t="shared" si="44"/>
        <v>-1195233</v>
      </c>
      <c r="E197" s="43">
        <f t="shared" si="44"/>
        <v>0</v>
      </c>
      <c r="F197" s="43">
        <f t="shared" si="44"/>
        <v>0</v>
      </c>
      <c r="G197" s="43">
        <f t="shared" si="44"/>
        <v>-10738</v>
      </c>
      <c r="H197" s="43">
        <f t="shared" si="45"/>
        <v>0</v>
      </c>
      <c r="I197" s="43">
        <f t="shared" si="44"/>
        <v>0</v>
      </c>
      <c r="J197" s="43">
        <f t="shared" si="44"/>
        <v>-1205971</v>
      </c>
    </row>
    <row r="198" spans="1:10" x14ac:dyDescent="0.2">
      <c r="A198" s="39">
        <f t="shared" si="46"/>
        <v>43</v>
      </c>
      <c r="B198" s="42" t="s">
        <v>163</v>
      </c>
      <c r="C198" s="42"/>
      <c r="D198" s="43">
        <f t="shared" si="44"/>
        <v>563667</v>
      </c>
      <c r="E198" s="43">
        <f t="shared" si="44"/>
        <v>0</v>
      </c>
      <c r="F198" s="43">
        <f t="shared" si="44"/>
        <v>-397728</v>
      </c>
      <c r="G198" s="43">
        <f t="shared" si="44"/>
        <v>0</v>
      </c>
      <c r="H198" s="43">
        <f t="shared" si="45"/>
        <v>0</v>
      </c>
      <c r="I198" s="43">
        <f t="shared" si="44"/>
        <v>0</v>
      </c>
      <c r="J198" s="43">
        <f t="shared" si="44"/>
        <v>165939</v>
      </c>
    </row>
    <row r="199" spans="1:10" x14ac:dyDescent="0.2">
      <c r="A199" s="39">
        <f t="shared" si="46"/>
        <v>44</v>
      </c>
      <c r="B199" s="39" t="s">
        <v>151</v>
      </c>
      <c r="D199" s="43">
        <f t="shared" si="44"/>
        <v>0</v>
      </c>
      <c r="E199" s="43">
        <f t="shared" si="44"/>
        <v>0</v>
      </c>
      <c r="F199" s="43">
        <f t="shared" si="44"/>
        <v>0</v>
      </c>
      <c r="G199" s="43">
        <f t="shared" si="44"/>
        <v>0</v>
      </c>
      <c r="H199" s="43">
        <f t="shared" si="45"/>
        <v>0</v>
      </c>
      <c r="I199" s="43">
        <f t="shared" si="44"/>
        <v>0</v>
      </c>
      <c r="J199" s="43">
        <f t="shared" si="44"/>
        <v>0</v>
      </c>
    </row>
    <row r="200" spans="1:10" x14ac:dyDescent="0.2">
      <c r="B200" s="42" t="s">
        <v>172</v>
      </c>
      <c r="D200" s="43"/>
      <c r="E200" s="43"/>
      <c r="F200" s="43"/>
      <c r="G200" s="43"/>
      <c r="H200" s="43"/>
      <c r="I200" s="43"/>
      <c r="J200" s="43"/>
    </row>
    <row r="201" spans="1:10" x14ac:dyDescent="0.2">
      <c r="A201" s="39">
        <f>A199+1</f>
        <v>45</v>
      </c>
      <c r="B201" s="42"/>
      <c r="C201" s="42" t="s">
        <v>175</v>
      </c>
      <c r="D201" s="43">
        <f t="shared" ref="D201:J204" si="47">D61-D131</f>
        <v>-72173</v>
      </c>
      <c r="E201" s="43">
        <f t="shared" si="47"/>
        <v>0</v>
      </c>
      <c r="F201" s="43">
        <f t="shared" si="47"/>
        <v>-44605</v>
      </c>
      <c r="G201" s="43">
        <f t="shared" si="47"/>
        <v>22195</v>
      </c>
      <c r="H201" s="43">
        <f>H61-H131</f>
        <v>0</v>
      </c>
      <c r="I201" s="43">
        <f t="shared" si="47"/>
        <v>0</v>
      </c>
      <c r="J201" s="43">
        <f t="shared" si="47"/>
        <v>-94583</v>
      </c>
    </row>
    <row r="202" spans="1:10" x14ac:dyDescent="0.2">
      <c r="A202" s="39">
        <f>A201+1</f>
        <v>46</v>
      </c>
      <c r="B202" s="42"/>
      <c r="C202" s="42" t="s">
        <v>182</v>
      </c>
      <c r="D202" s="43">
        <f t="shared" si="47"/>
        <v>-110819</v>
      </c>
      <c r="E202" s="43">
        <f t="shared" si="47"/>
        <v>0</v>
      </c>
      <c r="F202" s="43">
        <f t="shared" si="47"/>
        <v>0</v>
      </c>
      <c r="G202" s="43">
        <f t="shared" si="47"/>
        <v>95116</v>
      </c>
      <c r="H202" s="43">
        <f>H62-H132</f>
        <v>0</v>
      </c>
      <c r="I202" s="43">
        <f t="shared" si="47"/>
        <v>0</v>
      </c>
      <c r="J202" s="43">
        <f t="shared" si="47"/>
        <v>-15703</v>
      </c>
    </row>
    <row r="203" spans="1:10" x14ac:dyDescent="0.2">
      <c r="A203" s="39">
        <f>A202+1</f>
        <v>47</v>
      </c>
      <c r="B203" s="42"/>
      <c r="C203" s="42" t="s">
        <v>201</v>
      </c>
      <c r="D203" s="43">
        <f t="shared" si="47"/>
        <v>777</v>
      </c>
      <c r="E203" s="43">
        <f t="shared" si="47"/>
        <v>0</v>
      </c>
      <c r="F203" s="43">
        <f t="shared" si="47"/>
        <v>0</v>
      </c>
      <c r="G203" s="43">
        <f t="shared" si="47"/>
        <v>0</v>
      </c>
      <c r="H203" s="43">
        <f>H63-H133</f>
        <v>0</v>
      </c>
      <c r="I203" s="43">
        <f t="shared" si="47"/>
        <v>0</v>
      </c>
      <c r="J203" s="43">
        <f t="shared" si="47"/>
        <v>777</v>
      </c>
    </row>
    <row r="204" spans="1:10" x14ac:dyDescent="0.2">
      <c r="A204" s="39">
        <f>A203+1</f>
        <v>48</v>
      </c>
      <c r="B204" s="42"/>
      <c r="C204" s="42" t="s">
        <v>183</v>
      </c>
      <c r="D204" s="43">
        <f t="shared" si="47"/>
        <v>-3052</v>
      </c>
      <c r="E204" s="43">
        <f t="shared" si="47"/>
        <v>0</v>
      </c>
      <c r="F204" s="43">
        <f t="shared" si="47"/>
        <v>0</v>
      </c>
      <c r="G204" s="43">
        <f t="shared" si="47"/>
        <v>4107</v>
      </c>
      <c r="H204" s="43">
        <f>H64-H134</f>
        <v>0</v>
      </c>
      <c r="I204" s="43">
        <f t="shared" si="47"/>
        <v>0</v>
      </c>
      <c r="J204" s="43">
        <f t="shared" si="47"/>
        <v>1055</v>
      </c>
    </row>
    <row r="205" spans="1:10" x14ac:dyDescent="0.2">
      <c r="A205" s="39">
        <f>A204+1</f>
        <v>49</v>
      </c>
      <c r="B205" s="42"/>
      <c r="C205" s="42" t="s">
        <v>251</v>
      </c>
      <c r="D205" s="43">
        <f t="shared" ref="D205:J205" si="48">D65-D135</f>
        <v>1</v>
      </c>
      <c r="E205" s="43">
        <f t="shared" si="48"/>
        <v>0</v>
      </c>
      <c r="F205" s="43">
        <f t="shared" si="48"/>
        <v>0</v>
      </c>
      <c r="G205" s="43">
        <f t="shared" si="48"/>
        <v>0</v>
      </c>
      <c r="H205" s="43">
        <f>H65-H135</f>
        <v>0</v>
      </c>
      <c r="I205" s="43">
        <f t="shared" si="48"/>
        <v>0</v>
      </c>
      <c r="J205" s="43">
        <f t="shared" si="48"/>
        <v>1</v>
      </c>
    </row>
    <row r="206" spans="1:10" x14ac:dyDescent="0.2">
      <c r="D206" s="41"/>
      <c r="E206" s="41"/>
      <c r="F206" s="41"/>
      <c r="G206" s="41"/>
      <c r="H206" s="41"/>
      <c r="I206" s="41"/>
      <c r="J206" s="41"/>
    </row>
    <row r="207" spans="1:10" x14ac:dyDescent="0.2">
      <c r="A207" s="39">
        <f>A205+1</f>
        <v>50</v>
      </c>
      <c r="B207" s="42" t="s">
        <v>184</v>
      </c>
      <c r="C207" s="42"/>
      <c r="D207" s="43">
        <f t="shared" ref="D207:J208" si="49">D67-D137</f>
        <v>5297750</v>
      </c>
      <c r="E207" s="43">
        <f t="shared" si="49"/>
        <v>0</v>
      </c>
      <c r="F207" s="43">
        <f t="shared" si="49"/>
        <v>-10834583</v>
      </c>
      <c r="G207" s="43">
        <f t="shared" si="49"/>
        <v>-3271314</v>
      </c>
      <c r="H207" s="43">
        <f>H67-H137</f>
        <v>191601</v>
      </c>
      <c r="I207" s="43">
        <f t="shared" si="49"/>
        <v>45771</v>
      </c>
      <c r="J207" s="43">
        <f t="shared" si="49"/>
        <v>-8570775</v>
      </c>
    </row>
    <row r="208" spans="1:10" x14ac:dyDescent="0.2">
      <c r="A208" s="39">
        <f>A207+1</f>
        <v>51</v>
      </c>
      <c r="B208" s="173" t="s">
        <v>397</v>
      </c>
      <c r="C208" s="42"/>
      <c r="D208" s="43">
        <f t="shared" si="49"/>
        <v>5297750</v>
      </c>
      <c r="E208" s="43">
        <f t="shared" si="49"/>
        <v>0</v>
      </c>
      <c r="F208" s="43">
        <f t="shared" si="49"/>
        <v>-10834583</v>
      </c>
      <c r="G208" s="43">
        <f t="shared" si="49"/>
        <v>-3271314</v>
      </c>
      <c r="H208" s="43">
        <f>H68-H138</f>
        <v>191601</v>
      </c>
      <c r="I208" s="43">
        <f t="shared" si="49"/>
        <v>45771</v>
      </c>
      <c r="J208" s="43">
        <f t="shared" si="49"/>
        <v>-8570775</v>
      </c>
    </row>
    <row r="209" spans="1:10" x14ac:dyDescent="0.2">
      <c r="A209" s="39">
        <f>A208+1</f>
        <v>52</v>
      </c>
      <c r="B209" s="42" t="s">
        <v>303</v>
      </c>
      <c r="C209" s="42"/>
      <c r="D209" s="127" t="s">
        <v>302</v>
      </c>
      <c r="E209" s="127" t="s">
        <v>302</v>
      </c>
      <c r="F209" s="127" t="s">
        <v>302</v>
      </c>
      <c r="G209" s="127" t="s">
        <v>302</v>
      </c>
      <c r="H209" s="127" t="s">
        <v>302</v>
      </c>
      <c r="I209" s="127" t="s">
        <v>302</v>
      </c>
      <c r="J209" s="127" t="s">
        <v>302</v>
      </c>
    </row>
    <row r="210" spans="1:10" x14ac:dyDescent="0.2">
      <c r="B210" s="42"/>
      <c r="C210" s="42"/>
      <c r="D210" s="43"/>
      <c r="E210" s="43"/>
      <c r="F210" s="43"/>
      <c r="G210" s="43"/>
      <c r="H210" s="43"/>
      <c r="I210" s="43"/>
      <c r="J210" s="43"/>
    </row>
    <row r="211" spans="1:10" x14ac:dyDescent="0.2">
      <c r="A211" s="39">
        <f>A209+1</f>
        <v>53</v>
      </c>
      <c r="B211" s="42" t="s">
        <v>166</v>
      </c>
      <c r="C211" s="42"/>
      <c r="D211" s="43">
        <f t="shared" ref="D211:J211" si="50">D71-D141</f>
        <v>0</v>
      </c>
      <c r="E211" s="43">
        <f t="shared" si="50"/>
        <v>0</v>
      </c>
      <c r="F211" s="43">
        <f t="shared" si="50"/>
        <v>0</v>
      </c>
      <c r="G211" s="43">
        <f t="shared" si="50"/>
        <v>18046</v>
      </c>
      <c r="H211" s="43">
        <f>H71-H141</f>
        <v>0</v>
      </c>
      <c r="I211" s="43">
        <f t="shared" si="50"/>
        <v>0</v>
      </c>
      <c r="J211" s="43">
        <f t="shared" si="50"/>
        <v>18046</v>
      </c>
    </row>
  </sheetData>
  <phoneticPr fontId="1" type="noConversion"/>
  <printOptions horizontalCentered="1" gridLines="1"/>
  <pageMargins left="0.5" right="0.25" top="1" bottom="0.5" header="0.5" footer="0.25"/>
  <pageSetup scale="73" fitToHeight="3" orientation="portrait" horizontalDpi="300" verticalDpi="300" r:id="rId1"/>
  <headerFooter alignWithMargins="0">
    <oddHeader>&amp;L&amp;"Arial,Bold"DEPT of EDUCATION
Program Finance Div.&amp;C&amp;"Arial,Bold"&amp;A GENERAL EDUCATION
*** FEB 2011 VS. NOV 2010 ***&amp;R&amp;"Arial,Bold"&amp;D
&amp;T</oddHeader>
    <oddFooter>&amp;L&amp;"Arial,Regular"&amp;F&amp;R&amp;"Arial,Regular"&amp;A</oddFooter>
  </headerFooter>
  <rowBreaks count="2" manualBreakCount="2">
    <brk id="72" max="9" man="1"/>
    <brk id="142" max="9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211"/>
  <sheetViews>
    <sheetView zoomScaleNormal="100" zoomScaleSheetLayoutView="85" workbookViewId="0">
      <pane xSplit="3" ySplit="4" topLeftCell="D44" activePane="bottomRight" state="frozen"/>
      <selection activeCell="C16" sqref="C16"/>
      <selection pane="topRight" activeCell="C16" sqref="C16"/>
      <selection pane="bottomLeft" activeCell="C16" sqref="C16"/>
      <selection pane="bottomRight" activeCell="J71" sqref="J71"/>
    </sheetView>
  </sheetViews>
  <sheetFormatPr defaultColWidth="8" defaultRowHeight="12.75" x14ac:dyDescent="0.2"/>
  <cols>
    <col min="1" max="1" width="4.125" style="39" customWidth="1"/>
    <col min="2" max="2" width="2.25" style="39" customWidth="1"/>
    <col min="3" max="3" width="28.625" style="39" customWidth="1"/>
    <col min="4" max="10" width="13.625" style="39" customWidth="1"/>
    <col min="11" max="11" width="14.5" style="39" customWidth="1"/>
    <col min="12" max="12" width="11.625" style="39" customWidth="1"/>
    <col min="13" max="16384" width="8" style="39"/>
  </cols>
  <sheetData>
    <row r="1" spans="1:10" x14ac:dyDescent="0.2">
      <c r="A1" s="173" t="s">
        <v>445</v>
      </c>
      <c r="D1" s="41"/>
      <c r="E1" s="41"/>
      <c r="G1" s="41"/>
      <c r="H1" s="41"/>
      <c r="I1" s="41"/>
    </row>
    <row r="3" spans="1:10" ht="13.5" customHeight="1" x14ac:dyDescent="0.2">
      <c r="A3" s="118" t="s">
        <v>438</v>
      </c>
      <c r="B3" s="118"/>
      <c r="C3" s="119"/>
      <c r="D3" s="120" t="s">
        <v>176</v>
      </c>
      <c r="E3" s="120" t="s">
        <v>181</v>
      </c>
      <c r="F3" s="120" t="s">
        <v>177</v>
      </c>
      <c r="G3" s="120" t="s">
        <v>178</v>
      </c>
      <c r="H3" s="120" t="s">
        <v>179</v>
      </c>
      <c r="I3" s="120" t="s">
        <v>370</v>
      </c>
      <c r="J3" s="120" t="s">
        <v>180</v>
      </c>
    </row>
    <row r="5" spans="1:10" x14ac:dyDescent="0.2">
      <c r="A5" s="39">
        <v>1</v>
      </c>
      <c r="B5" s="39" t="s">
        <v>140</v>
      </c>
      <c r="D5" s="41">
        <f>'Pupil Data'!C45</f>
        <v>898958</v>
      </c>
      <c r="E5" s="41">
        <v>0</v>
      </c>
      <c r="F5" s="41">
        <f>'Pupil Data'!D45</f>
        <v>5534</v>
      </c>
      <c r="G5" s="41">
        <f>'Pupil Data'!E45</f>
        <v>45353</v>
      </c>
      <c r="H5" s="41">
        <f>'Pupil Data'!F45</f>
        <v>1825</v>
      </c>
      <c r="I5" s="41">
        <v>0</v>
      </c>
      <c r="J5" s="41">
        <f>SUM(D5:I5)</f>
        <v>951670</v>
      </c>
    </row>
    <row r="6" spans="1:10" x14ac:dyDescent="0.2">
      <c r="D6" s="41">
        <f>6333423832-D31</f>
        <v>-3404999</v>
      </c>
    </row>
    <row r="7" spans="1:10" x14ac:dyDescent="0.2">
      <c r="B7" s="42" t="s">
        <v>155</v>
      </c>
      <c r="D7" s="40"/>
      <c r="E7" s="40"/>
      <c r="F7" s="40"/>
      <c r="G7" s="40"/>
      <c r="H7" s="40"/>
      <c r="I7" s="40"/>
      <c r="J7" s="40"/>
    </row>
    <row r="8" spans="1:10" x14ac:dyDescent="0.2">
      <c r="A8" s="39">
        <f>A5+1</f>
        <v>2</v>
      </c>
      <c r="B8" s="39" t="s">
        <v>141</v>
      </c>
      <c r="D8" s="41">
        <v>4606260431</v>
      </c>
      <c r="E8" s="41">
        <v>0</v>
      </c>
      <c r="F8" s="41">
        <v>28355652</v>
      </c>
      <c r="G8" s="41">
        <v>232389234</v>
      </c>
      <c r="H8" s="41">
        <v>9351915</v>
      </c>
      <c r="I8" s="41">
        <v>0</v>
      </c>
      <c r="J8" s="41">
        <f>SUM(D8:I8)</f>
        <v>4876357232</v>
      </c>
    </row>
    <row r="9" spans="1:10" x14ac:dyDescent="0.2">
      <c r="A9" s="39">
        <f>A8+1</f>
        <v>3</v>
      </c>
      <c r="B9" s="42" t="s">
        <v>167</v>
      </c>
      <c r="C9" s="42"/>
      <c r="D9" s="41">
        <v>10787499</v>
      </c>
      <c r="E9" s="41">
        <v>0</v>
      </c>
      <c r="F9" s="41">
        <v>66407</v>
      </c>
      <c r="G9" s="41">
        <v>544233</v>
      </c>
      <c r="H9" s="41">
        <v>21901</v>
      </c>
      <c r="I9" s="41">
        <v>0</v>
      </c>
      <c r="J9" s="41">
        <f>SUM(D9:I9)</f>
        <v>11420040</v>
      </c>
    </row>
    <row r="10" spans="1:10" x14ac:dyDescent="0.2">
      <c r="A10" s="39">
        <f>A9+1</f>
        <v>4</v>
      </c>
      <c r="B10" s="39" t="s">
        <v>142</v>
      </c>
      <c r="D10" s="41">
        <v>52666546</v>
      </c>
      <c r="E10" s="41">
        <v>0</v>
      </c>
      <c r="F10" s="41">
        <v>16510412</v>
      </c>
      <c r="G10" s="41">
        <v>1787442</v>
      </c>
      <c r="H10" s="41">
        <v>813549</v>
      </c>
      <c r="I10" s="41">
        <v>0</v>
      </c>
      <c r="J10" s="41">
        <f>SUM(D10:I10)</f>
        <v>71777949</v>
      </c>
    </row>
    <row r="11" spans="1:10" x14ac:dyDescent="0.2">
      <c r="B11" s="42" t="s">
        <v>171</v>
      </c>
      <c r="D11" s="41"/>
      <c r="E11" s="41"/>
      <c r="F11" s="41"/>
      <c r="G11" s="41"/>
      <c r="H11" s="41"/>
      <c r="I11" s="41"/>
      <c r="J11" s="41"/>
    </row>
    <row r="12" spans="1:10" x14ac:dyDescent="0.2">
      <c r="A12" s="39">
        <f>A10+1</f>
        <v>5</v>
      </c>
      <c r="C12" s="39" t="s">
        <v>143</v>
      </c>
      <c r="D12" s="41">
        <v>378762247</v>
      </c>
      <c r="E12" s="41">
        <v>0</v>
      </c>
      <c r="F12" s="41">
        <v>1000000</v>
      </c>
      <c r="G12" s="41">
        <v>46229481</v>
      </c>
      <c r="H12" s="41">
        <v>1350555</v>
      </c>
      <c r="I12" s="41">
        <v>5618167</v>
      </c>
      <c r="J12" s="41">
        <f t="shared" ref="J12:J23" si="0">SUM(D12:I12)</f>
        <v>432960450</v>
      </c>
    </row>
    <row r="13" spans="1:10" x14ac:dyDescent="0.2">
      <c r="A13" s="39">
        <f t="shared" ref="A13:A23" si="1">A12+1</f>
        <v>6</v>
      </c>
      <c r="C13" s="39" t="s">
        <v>144</v>
      </c>
      <c r="D13" s="41">
        <v>27412056</v>
      </c>
      <c r="E13" s="41">
        <v>0</v>
      </c>
      <c r="F13" s="41">
        <v>-527751</v>
      </c>
      <c r="G13" s="41">
        <v>4828796</v>
      </c>
      <c r="H13" s="41">
        <v>-3181</v>
      </c>
      <c r="I13" s="41">
        <v>0</v>
      </c>
      <c r="J13" s="41">
        <f t="shared" si="0"/>
        <v>31709920</v>
      </c>
    </row>
    <row r="14" spans="1:10" x14ac:dyDescent="0.2">
      <c r="A14" s="39">
        <f t="shared" si="1"/>
        <v>7</v>
      </c>
      <c r="B14" s="42"/>
      <c r="C14" s="42" t="s">
        <v>170</v>
      </c>
      <c r="D14" s="41">
        <v>6935198</v>
      </c>
      <c r="E14" s="41">
        <v>0</v>
      </c>
      <c r="F14" s="41">
        <v>-133520</v>
      </c>
      <c r="G14" s="41">
        <v>1605934</v>
      </c>
      <c r="H14" s="41">
        <v>-805</v>
      </c>
      <c r="I14" s="41">
        <v>0</v>
      </c>
      <c r="J14" s="41">
        <f t="shared" si="0"/>
        <v>8406807</v>
      </c>
    </row>
    <row r="15" spans="1:10" x14ac:dyDescent="0.2">
      <c r="A15" s="39">
        <f t="shared" si="1"/>
        <v>8</v>
      </c>
      <c r="B15" s="39" t="s">
        <v>145</v>
      </c>
      <c r="D15" s="41">
        <v>22925522</v>
      </c>
      <c r="E15" s="41">
        <v>0</v>
      </c>
      <c r="F15" s="41">
        <v>0</v>
      </c>
      <c r="G15" s="41">
        <v>1156611</v>
      </c>
      <c r="H15" s="41">
        <v>46545</v>
      </c>
      <c r="I15" s="41">
        <v>0</v>
      </c>
      <c r="J15" s="41">
        <f t="shared" si="0"/>
        <v>24128678</v>
      </c>
    </row>
    <row r="16" spans="1:10" x14ac:dyDescent="0.2">
      <c r="A16" s="39">
        <f t="shared" si="1"/>
        <v>9</v>
      </c>
      <c r="B16" s="39" t="s">
        <v>146</v>
      </c>
      <c r="D16" s="41">
        <v>59087954</v>
      </c>
      <c r="E16" s="41">
        <v>0</v>
      </c>
      <c r="F16" s="41">
        <v>0</v>
      </c>
      <c r="G16" s="41">
        <v>1116265</v>
      </c>
      <c r="H16" s="41">
        <v>45364</v>
      </c>
      <c r="I16" s="41">
        <v>0</v>
      </c>
      <c r="J16" s="41">
        <f t="shared" si="0"/>
        <v>60249583</v>
      </c>
    </row>
    <row r="17" spans="1:12" x14ac:dyDescent="0.2">
      <c r="A17" s="39">
        <f t="shared" si="1"/>
        <v>10</v>
      </c>
      <c r="B17" s="39" t="s">
        <v>148</v>
      </c>
      <c r="D17" s="41">
        <v>210801</v>
      </c>
      <c r="E17" s="41">
        <v>0</v>
      </c>
      <c r="F17" s="41">
        <v>1298</v>
      </c>
      <c r="G17" s="41">
        <v>10636</v>
      </c>
      <c r="H17" s="41">
        <v>428</v>
      </c>
      <c r="I17" s="41">
        <v>0</v>
      </c>
      <c r="J17" s="41">
        <f t="shared" si="0"/>
        <v>223163</v>
      </c>
    </row>
    <row r="18" spans="1:12" x14ac:dyDescent="0.2">
      <c r="A18" s="39">
        <f t="shared" si="1"/>
        <v>11</v>
      </c>
      <c r="B18" s="39" t="s">
        <v>244</v>
      </c>
      <c r="D18" s="41">
        <v>0</v>
      </c>
      <c r="E18" s="41">
        <v>-700000</v>
      </c>
      <c r="F18" s="41">
        <v>0</v>
      </c>
      <c r="G18" s="41">
        <v>0</v>
      </c>
      <c r="H18" s="41">
        <v>0</v>
      </c>
      <c r="I18" s="41">
        <v>0</v>
      </c>
      <c r="J18" s="41">
        <f t="shared" si="0"/>
        <v>-700000</v>
      </c>
    </row>
    <row r="19" spans="1:12" x14ac:dyDescent="0.2">
      <c r="A19" s="39">
        <f t="shared" si="1"/>
        <v>12</v>
      </c>
      <c r="B19" s="39" t="s">
        <v>147</v>
      </c>
      <c r="D19" s="41">
        <v>184485479</v>
      </c>
      <c r="E19" s="41">
        <v>0</v>
      </c>
      <c r="F19" s="41">
        <v>1135673</v>
      </c>
      <c r="G19" s="41">
        <v>9307427</v>
      </c>
      <c r="H19" s="41">
        <v>374554</v>
      </c>
      <c r="I19" s="41">
        <v>0</v>
      </c>
      <c r="J19" s="41">
        <f t="shared" si="0"/>
        <v>195303133</v>
      </c>
    </row>
    <row r="20" spans="1:12" x14ac:dyDescent="0.2">
      <c r="A20" s="39">
        <f t="shared" si="1"/>
        <v>13</v>
      </c>
      <c r="B20" s="39" t="s">
        <v>149</v>
      </c>
      <c r="D20" s="41">
        <v>88195669</v>
      </c>
      <c r="E20" s="41">
        <v>0</v>
      </c>
      <c r="F20" s="41">
        <v>542923</v>
      </c>
      <c r="G20" s="41">
        <v>4449528</v>
      </c>
      <c r="H20" s="41">
        <v>179060</v>
      </c>
      <c r="I20" s="41">
        <v>0</v>
      </c>
      <c r="J20" s="41">
        <f t="shared" si="0"/>
        <v>93367180</v>
      </c>
      <c r="K20" s="41"/>
    </row>
    <row r="21" spans="1:12" x14ac:dyDescent="0.2">
      <c r="A21" s="39">
        <f t="shared" si="1"/>
        <v>14</v>
      </c>
      <c r="B21" s="42" t="s">
        <v>173</v>
      </c>
      <c r="D21" s="41">
        <v>27345720</v>
      </c>
      <c r="E21" s="41">
        <v>0</v>
      </c>
      <c r="F21" s="41">
        <v>168337</v>
      </c>
      <c r="G21" s="41">
        <v>1587908</v>
      </c>
      <c r="H21" s="41">
        <v>0</v>
      </c>
      <c r="I21" s="41">
        <v>0</v>
      </c>
      <c r="J21" s="41">
        <f t="shared" si="0"/>
        <v>29101965</v>
      </c>
    </row>
    <row r="22" spans="1:12" x14ac:dyDescent="0.2">
      <c r="A22" s="39">
        <f t="shared" si="1"/>
        <v>15</v>
      </c>
      <c r="B22" s="42" t="s">
        <v>168</v>
      </c>
      <c r="C22" s="42"/>
      <c r="D22" s="41">
        <v>70841741</v>
      </c>
      <c r="E22" s="41">
        <f>K22-D22-G22</f>
        <v>3038686</v>
      </c>
      <c r="F22" s="41">
        <v>0</v>
      </c>
      <c r="G22" s="41">
        <v>5150734</v>
      </c>
      <c r="H22" s="41">
        <v>0</v>
      </c>
      <c r="I22" s="41">
        <v>0</v>
      </c>
      <c r="J22" s="41">
        <f t="shared" si="0"/>
        <v>79031161</v>
      </c>
      <c r="K22" s="148">
        <v>79031161</v>
      </c>
      <c r="L22" s="41">
        <f>D22+G22</f>
        <v>75992475</v>
      </c>
    </row>
    <row r="23" spans="1:12" x14ac:dyDescent="0.2">
      <c r="A23" s="39">
        <f t="shared" si="1"/>
        <v>16</v>
      </c>
      <c r="B23" s="39" t="s">
        <v>150</v>
      </c>
      <c r="D23" s="41">
        <v>796925976</v>
      </c>
      <c r="E23" s="41">
        <v>0</v>
      </c>
      <c r="F23" s="41">
        <v>25571473</v>
      </c>
      <c r="G23" s="41">
        <v>0</v>
      </c>
      <c r="H23" s="41">
        <v>0</v>
      </c>
      <c r="I23" s="41">
        <v>0</v>
      </c>
      <c r="J23" s="41">
        <f t="shared" si="0"/>
        <v>822497449</v>
      </c>
      <c r="K23" s="41"/>
    </row>
    <row r="24" spans="1:12" x14ac:dyDescent="0.2">
      <c r="B24" s="42" t="s">
        <v>172</v>
      </c>
      <c r="D24" s="41"/>
      <c r="E24" s="41"/>
      <c r="F24" s="41"/>
      <c r="G24" s="41"/>
      <c r="H24" s="41"/>
      <c r="I24" s="41"/>
      <c r="J24" s="41"/>
    </row>
    <row r="25" spans="1:12" x14ac:dyDescent="0.2">
      <c r="A25" s="39">
        <f>A23+1</f>
        <v>17</v>
      </c>
      <c r="B25" s="42"/>
      <c r="C25" s="42" t="s">
        <v>175</v>
      </c>
      <c r="D25" s="41">
        <v>1042450</v>
      </c>
      <c r="E25" s="41">
        <v>0</v>
      </c>
      <c r="F25" s="41">
        <v>-1819005</v>
      </c>
      <c r="G25" s="41">
        <v>1042446</v>
      </c>
      <c r="H25" s="41">
        <v>43803</v>
      </c>
      <c r="I25" s="41">
        <v>0</v>
      </c>
      <c r="J25" s="41">
        <f>SUM(D25:I25)</f>
        <v>309694</v>
      </c>
    </row>
    <row r="26" spans="1:12" x14ac:dyDescent="0.2">
      <c r="A26" s="39">
        <f>A25+1</f>
        <v>18</v>
      </c>
      <c r="B26" s="42"/>
      <c r="C26" s="42" t="s">
        <v>182</v>
      </c>
      <c r="D26" s="41">
        <v>2327053</v>
      </c>
      <c r="E26" s="41">
        <v>0</v>
      </c>
      <c r="F26" s="41">
        <v>0</v>
      </c>
      <c r="G26" s="41">
        <v>-2327833</v>
      </c>
      <c r="H26" s="41">
        <v>0</v>
      </c>
      <c r="I26" s="41">
        <v>0</v>
      </c>
      <c r="J26" s="41">
        <f>SUM(D26:I26)</f>
        <v>-780</v>
      </c>
    </row>
    <row r="27" spans="1:12" x14ac:dyDescent="0.2">
      <c r="A27" s="39">
        <f>A26+1</f>
        <v>19</v>
      </c>
      <c r="B27" s="42"/>
      <c r="C27" s="42" t="s">
        <v>201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f>SUM(D27:I27)</f>
        <v>0</v>
      </c>
    </row>
    <row r="28" spans="1:12" x14ac:dyDescent="0.2">
      <c r="A28" s="39">
        <f>A27+1</f>
        <v>20</v>
      </c>
      <c r="B28" s="42"/>
      <c r="C28" s="42" t="s">
        <v>183</v>
      </c>
      <c r="D28" s="41">
        <v>616684</v>
      </c>
      <c r="E28" s="41">
        <v>0</v>
      </c>
      <c r="F28" s="41">
        <v>0</v>
      </c>
      <c r="G28" s="41">
        <v>-586892</v>
      </c>
      <c r="H28" s="41">
        <v>0</v>
      </c>
      <c r="I28" s="41">
        <v>0</v>
      </c>
      <c r="J28" s="41">
        <f>SUM(D28:I28)</f>
        <v>29792</v>
      </c>
    </row>
    <row r="29" spans="1:12" x14ac:dyDescent="0.2">
      <c r="A29" s="39">
        <f>A28+1</f>
        <v>21</v>
      </c>
      <c r="B29" s="42"/>
      <c r="C29" s="42" t="s">
        <v>251</v>
      </c>
      <c r="D29" s="41">
        <v>-195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f>SUM(D29:I29)</f>
        <v>-195</v>
      </c>
    </row>
    <row r="30" spans="1:12" x14ac:dyDescent="0.2">
      <c r="D30" s="41"/>
      <c r="E30" s="41"/>
      <c r="F30" s="41"/>
      <c r="G30" s="41"/>
      <c r="H30" s="41"/>
      <c r="I30" s="41"/>
      <c r="J30" s="41"/>
    </row>
    <row r="31" spans="1:12" x14ac:dyDescent="0.2">
      <c r="A31" s="39">
        <f>A29+1</f>
        <v>22</v>
      </c>
      <c r="B31" s="42" t="s">
        <v>158</v>
      </c>
      <c r="D31" s="41">
        <f>SUM(D8:D29)</f>
        <v>6336828831</v>
      </c>
      <c r="E31" s="41">
        <f t="shared" ref="E31:J31" si="2">SUM(E8:E29)</f>
        <v>2338686</v>
      </c>
      <c r="F31" s="41">
        <f t="shared" si="2"/>
        <v>70871899</v>
      </c>
      <c r="G31" s="41">
        <f t="shared" si="2"/>
        <v>308291950</v>
      </c>
      <c r="H31" s="41">
        <f>SUM(H8:H29)</f>
        <v>12223688</v>
      </c>
      <c r="I31" s="41">
        <f>SUM(I8:I29)</f>
        <v>5618167</v>
      </c>
      <c r="J31" s="41">
        <f t="shared" si="2"/>
        <v>6736173221</v>
      </c>
      <c r="K31" s="43"/>
    </row>
    <row r="32" spans="1:12" x14ac:dyDescent="0.2">
      <c r="C32" s="42"/>
      <c r="D32" s="41"/>
      <c r="E32" s="41"/>
      <c r="F32" s="41"/>
      <c r="G32" s="41"/>
      <c r="H32" s="41"/>
      <c r="I32" s="41"/>
      <c r="J32" s="41"/>
      <c r="K32" s="43"/>
    </row>
    <row r="33" spans="1:12" x14ac:dyDescent="0.2">
      <c r="B33" s="42" t="s">
        <v>156</v>
      </c>
      <c r="C33" s="42"/>
      <c r="D33" s="41"/>
      <c r="E33" s="41"/>
      <c r="F33" s="41"/>
      <c r="G33" s="41"/>
      <c r="H33" s="41"/>
      <c r="I33" s="41"/>
      <c r="J33" s="41"/>
    </row>
    <row r="34" spans="1:12" x14ac:dyDescent="0.2">
      <c r="A34" s="39">
        <f>A31+1</f>
        <v>23</v>
      </c>
      <c r="B34" s="39" t="s">
        <v>153</v>
      </c>
      <c r="D34" s="41">
        <v>119901950</v>
      </c>
      <c r="E34" s="41">
        <v>0</v>
      </c>
      <c r="F34" s="41">
        <v>131869</v>
      </c>
      <c r="G34" s="41">
        <v>0</v>
      </c>
      <c r="H34" s="41">
        <v>0</v>
      </c>
      <c r="I34" s="41">
        <v>0</v>
      </c>
      <c r="J34" s="41">
        <f>SUM(D34:I34)</f>
        <v>120033819</v>
      </c>
      <c r="L34" s="40">
        <f>ROUND((D34+F34)/1000,1)</f>
        <v>120033.8</v>
      </c>
    </row>
    <row r="35" spans="1:12" x14ac:dyDescent="0.2">
      <c r="A35" s="39">
        <f>A34+1</f>
        <v>24</v>
      </c>
      <c r="B35" s="39" t="s">
        <v>152</v>
      </c>
      <c r="D35" s="41">
        <v>76195217</v>
      </c>
      <c r="E35" s="41">
        <v>0</v>
      </c>
      <c r="F35" s="41">
        <v>-821289</v>
      </c>
      <c r="G35" s="41">
        <v>0</v>
      </c>
      <c r="H35" s="41">
        <v>0</v>
      </c>
      <c r="I35" s="41">
        <v>0</v>
      </c>
      <c r="J35" s="41">
        <f>SUM(D35:I35)</f>
        <v>75373928</v>
      </c>
      <c r="K35" s="41"/>
      <c r="L35" s="40">
        <f>ROUND((D35+F35)/1000,1)</f>
        <v>75373.899999999994</v>
      </c>
    </row>
    <row r="36" spans="1:12" x14ac:dyDescent="0.2">
      <c r="A36" s="39">
        <f>A35+1</f>
        <v>25</v>
      </c>
      <c r="B36" s="42" t="s">
        <v>174</v>
      </c>
      <c r="D36" s="41">
        <v>24844680</v>
      </c>
      <c r="E36" s="41">
        <v>0</v>
      </c>
      <c r="F36" s="41">
        <v>-274596</v>
      </c>
      <c r="G36" s="41">
        <v>0</v>
      </c>
      <c r="H36" s="41">
        <v>0</v>
      </c>
      <c r="I36" s="41">
        <v>0</v>
      </c>
      <c r="J36" s="41">
        <f>SUM(D36:I36)</f>
        <v>24570084</v>
      </c>
      <c r="L36" s="40">
        <f>ROUND((D36+F36)/1000,1)</f>
        <v>24570.1</v>
      </c>
    </row>
    <row r="37" spans="1:12" x14ac:dyDescent="0.2">
      <c r="A37" s="39">
        <f>A36+1</f>
        <v>26</v>
      </c>
      <c r="B37" s="42" t="s">
        <v>168</v>
      </c>
      <c r="C37" s="42"/>
      <c r="D37" s="41">
        <v>21362568</v>
      </c>
      <c r="E37" s="41">
        <f>K37-D37</f>
        <v>683702</v>
      </c>
      <c r="F37" s="41">
        <v>0</v>
      </c>
      <c r="G37" s="41">
        <v>0</v>
      </c>
      <c r="H37" s="41">
        <v>0</v>
      </c>
      <c r="I37" s="41">
        <v>0</v>
      </c>
      <c r="J37" s="41">
        <f>SUM(D37:I37)</f>
        <v>22046270</v>
      </c>
      <c r="K37" s="148">
        <v>22046270</v>
      </c>
      <c r="L37" s="40">
        <f>ROUND((D37+F37)/1000,1)</f>
        <v>21362.6</v>
      </c>
    </row>
    <row r="38" spans="1:12" x14ac:dyDescent="0.2">
      <c r="A38" s="39">
        <f>A37+1</f>
        <v>27</v>
      </c>
      <c r="B38" s="39" t="s">
        <v>154</v>
      </c>
      <c r="D38" s="41">
        <v>729946895</v>
      </c>
      <c r="E38" s="41">
        <v>0</v>
      </c>
      <c r="F38" s="41">
        <v>15703854</v>
      </c>
      <c r="G38" s="41">
        <v>0</v>
      </c>
      <c r="H38" s="41">
        <v>0</v>
      </c>
      <c r="I38" s="41">
        <v>0</v>
      </c>
      <c r="J38" s="41">
        <f>SUM(D38:I38)</f>
        <v>745650749</v>
      </c>
      <c r="K38" s="41"/>
      <c r="L38" s="40">
        <f>ROUND((D38+F38)/1000,1)</f>
        <v>745650.7</v>
      </c>
    </row>
    <row r="39" spans="1:12" x14ac:dyDescent="0.2">
      <c r="D39" s="41"/>
      <c r="E39" s="41"/>
      <c r="F39" s="41"/>
      <c r="G39" s="41"/>
      <c r="H39" s="41"/>
      <c r="I39" s="41"/>
      <c r="J39" s="41"/>
    </row>
    <row r="40" spans="1:12" x14ac:dyDescent="0.2">
      <c r="A40" s="39">
        <f>A38+1</f>
        <v>28</v>
      </c>
      <c r="B40" s="42" t="s">
        <v>159</v>
      </c>
      <c r="C40" s="42"/>
      <c r="D40" s="41">
        <f t="shared" ref="D40:J40" si="3">SUM(D34:D38)</f>
        <v>972251310</v>
      </c>
      <c r="E40" s="41">
        <f t="shared" si="3"/>
        <v>683702</v>
      </c>
      <c r="F40" s="41">
        <f t="shared" si="3"/>
        <v>14739838</v>
      </c>
      <c r="G40" s="41">
        <f t="shared" si="3"/>
        <v>0</v>
      </c>
      <c r="H40" s="41">
        <f>SUM(H34:H38)</f>
        <v>0</v>
      </c>
      <c r="I40" s="41">
        <f>SUM(I34:I38)</f>
        <v>0</v>
      </c>
      <c r="J40" s="41">
        <f t="shared" si="3"/>
        <v>987674850</v>
      </c>
      <c r="K40" s="43"/>
    </row>
    <row r="41" spans="1:12" x14ac:dyDescent="0.2">
      <c r="B41" s="42"/>
      <c r="C41" s="42"/>
      <c r="D41" s="41"/>
      <c r="E41" s="41"/>
      <c r="F41" s="41"/>
      <c r="G41" s="41"/>
      <c r="H41" s="41"/>
      <c r="I41" s="41"/>
      <c r="J41" s="41"/>
    </row>
    <row r="42" spans="1:12" x14ac:dyDescent="0.2">
      <c r="B42" s="42" t="s">
        <v>157</v>
      </c>
      <c r="C42" s="42"/>
      <c r="D42" s="41"/>
      <c r="E42" s="41"/>
      <c r="F42" s="41"/>
      <c r="G42" s="41"/>
      <c r="H42" s="41"/>
      <c r="I42" s="41"/>
      <c r="J42" s="41"/>
    </row>
    <row r="43" spans="1:12" x14ac:dyDescent="0.2">
      <c r="A43" s="39">
        <f>A40+1</f>
        <v>29</v>
      </c>
      <c r="B43" s="39" t="s">
        <v>141</v>
      </c>
      <c r="D43" s="41">
        <f t="shared" ref="D43:G45" si="4">D8</f>
        <v>4606260431</v>
      </c>
      <c r="E43" s="41">
        <f t="shared" si="4"/>
        <v>0</v>
      </c>
      <c r="F43" s="41">
        <f t="shared" si="4"/>
        <v>28355652</v>
      </c>
      <c r="G43" s="41">
        <f t="shared" si="4"/>
        <v>232389234</v>
      </c>
      <c r="H43" s="41">
        <f t="shared" ref="H43:I45" si="5">H8</f>
        <v>9351915</v>
      </c>
      <c r="I43" s="41">
        <f t="shared" si="5"/>
        <v>0</v>
      </c>
      <c r="J43" s="41">
        <f>SUM(D43:I43)</f>
        <v>4876357232</v>
      </c>
    </row>
    <row r="44" spans="1:12" x14ac:dyDescent="0.2">
      <c r="A44" s="39">
        <f>A43+1</f>
        <v>30</v>
      </c>
      <c r="B44" s="42" t="s">
        <v>167</v>
      </c>
      <c r="C44" s="42"/>
      <c r="D44" s="41">
        <f t="shared" si="4"/>
        <v>10787499</v>
      </c>
      <c r="E44" s="41">
        <f t="shared" si="4"/>
        <v>0</v>
      </c>
      <c r="F44" s="41">
        <f t="shared" si="4"/>
        <v>66407</v>
      </c>
      <c r="G44" s="41">
        <f t="shared" si="4"/>
        <v>544233</v>
      </c>
      <c r="H44" s="41">
        <f>H9</f>
        <v>21901</v>
      </c>
      <c r="I44" s="41">
        <f t="shared" si="5"/>
        <v>0</v>
      </c>
      <c r="J44" s="41">
        <f>SUM(D44:I44)</f>
        <v>11420040</v>
      </c>
    </row>
    <row r="45" spans="1:12" x14ac:dyDescent="0.2">
      <c r="A45" s="39">
        <f>A44+1</f>
        <v>31</v>
      </c>
      <c r="B45" s="39" t="s">
        <v>142</v>
      </c>
      <c r="D45" s="41">
        <f t="shared" si="4"/>
        <v>52666546</v>
      </c>
      <c r="E45" s="41">
        <f t="shared" si="4"/>
        <v>0</v>
      </c>
      <c r="F45" s="41">
        <f t="shared" si="4"/>
        <v>16510412</v>
      </c>
      <c r="G45" s="41">
        <f t="shared" si="4"/>
        <v>1787442</v>
      </c>
      <c r="H45" s="41">
        <f>H10</f>
        <v>813549</v>
      </c>
      <c r="I45" s="41">
        <f t="shared" si="5"/>
        <v>0</v>
      </c>
      <c r="J45" s="41">
        <f>SUM(D45:I45)</f>
        <v>71777949</v>
      </c>
    </row>
    <row r="46" spans="1:12" x14ac:dyDescent="0.2">
      <c r="B46" s="42" t="s">
        <v>171</v>
      </c>
      <c r="D46" s="41"/>
      <c r="E46" s="41"/>
      <c r="F46" s="41"/>
      <c r="G46" s="41"/>
      <c r="H46" s="41"/>
      <c r="I46" s="41"/>
      <c r="J46" s="41"/>
    </row>
    <row r="47" spans="1:12" x14ac:dyDescent="0.2">
      <c r="A47" s="39">
        <f>A45+1</f>
        <v>32</v>
      </c>
      <c r="C47" s="39" t="s">
        <v>143</v>
      </c>
      <c r="D47" s="41">
        <f t="shared" ref="D47:G53" si="6">D12</f>
        <v>378762247</v>
      </c>
      <c r="E47" s="41">
        <f t="shared" si="6"/>
        <v>0</v>
      </c>
      <c r="F47" s="41">
        <f t="shared" si="6"/>
        <v>1000000</v>
      </c>
      <c r="G47" s="41">
        <f t="shared" si="6"/>
        <v>46229481</v>
      </c>
      <c r="H47" s="41">
        <f t="shared" ref="H47:I53" si="7">H12</f>
        <v>1350555</v>
      </c>
      <c r="I47" s="41">
        <f t="shared" si="7"/>
        <v>5618167</v>
      </c>
      <c r="J47" s="41">
        <f t="shared" ref="J47:J59" si="8">SUM(D47:I47)</f>
        <v>432960450</v>
      </c>
    </row>
    <row r="48" spans="1:12" x14ac:dyDescent="0.2">
      <c r="A48" s="39">
        <f t="shared" ref="A48:A59" si="9">A47+1</f>
        <v>33</v>
      </c>
      <c r="C48" s="39" t="s">
        <v>144</v>
      </c>
      <c r="D48" s="41">
        <f t="shared" si="6"/>
        <v>27412056</v>
      </c>
      <c r="E48" s="41">
        <f t="shared" si="6"/>
        <v>0</v>
      </c>
      <c r="F48" s="41">
        <f t="shared" si="6"/>
        <v>-527751</v>
      </c>
      <c r="G48" s="41">
        <f t="shared" si="6"/>
        <v>4828796</v>
      </c>
      <c r="H48" s="41">
        <f t="shared" ref="H48:H53" si="10">H13</f>
        <v>-3181</v>
      </c>
      <c r="I48" s="41">
        <f t="shared" si="7"/>
        <v>0</v>
      </c>
      <c r="J48" s="41">
        <f t="shared" si="8"/>
        <v>31709920</v>
      </c>
    </row>
    <row r="49" spans="1:10" x14ac:dyDescent="0.2">
      <c r="A49" s="39">
        <f t="shared" si="9"/>
        <v>34</v>
      </c>
      <c r="B49" s="42"/>
      <c r="C49" s="42" t="s">
        <v>170</v>
      </c>
      <c r="D49" s="41">
        <f t="shared" si="6"/>
        <v>6935198</v>
      </c>
      <c r="E49" s="41">
        <f t="shared" si="6"/>
        <v>0</v>
      </c>
      <c r="F49" s="41">
        <f t="shared" si="6"/>
        <v>-133520</v>
      </c>
      <c r="G49" s="41">
        <f t="shared" si="6"/>
        <v>1605934</v>
      </c>
      <c r="H49" s="41">
        <f t="shared" si="10"/>
        <v>-805</v>
      </c>
      <c r="I49" s="41">
        <f t="shared" si="7"/>
        <v>0</v>
      </c>
      <c r="J49" s="41">
        <f t="shared" si="8"/>
        <v>8406807</v>
      </c>
    </row>
    <row r="50" spans="1:10" x14ac:dyDescent="0.2">
      <c r="A50" s="39">
        <f t="shared" si="9"/>
        <v>35</v>
      </c>
      <c r="B50" s="39" t="s">
        <v>145</v>
      </c>
      <c r="D50" s="41">
        <f t="shared" si="6"/>
        <v>22925522</v>
      </c>
      <c r="E50" s="41">
        <f t="shared" si="6"/>
        <v>0</v>
      </c>
      <c r="F50" s="41">
        <f t="shared" si="6"/>
        <v>0</v>
      </c>
      <c r="G50" s="41">
        <f t="shared" si="6"/>
        <v>1156611</v>
      </c>
      <c r="H50" s="41">
        <f t="shared" si="10"/>
        <v>46545</v>
      </c>
      <c r="I50" s="41">
        <f t="shared" si="7"/>
        <v>0</v>
      </c>
      <c r="J50" s="41">
        <f t="shared" si="8"/>
        <v>24128678</v>
      </c>
    </row>
    <row r="51" spans="1:10" x14ac:dyDescent="0.2">
      <c r="A51" s="39">
        <f t="shared" si="9"/>
        <v>36</v>
      </c>
      <c r="B51" s="39" t="s">
        <v>146</v>
      </c>
      <c r="D51" s="41">
        <f t="shared" si="6"/>
        <v>59087954</v>
      </c>
      <c r="E51" s="41">
        <f t="shared" si="6"/>
        <v>0</v>
      </c>
      <c r="F51" s="41">
        <f t="shared" si="6"/>
        <v>0</v>
      </c>
      <c r="G51" s="41">
        <f t="shared" si="6"/>
        <v>1116265</v>
      </c>
      <c r="H51" s="41">
        <f t="shared" si="10"/>
        <v>45364</v>
      </c>
      <c r="I51" s="41">
        <f t="shared" si="7"/>
        <v>0</v>
      </c>
      <c r="J51" s="41">
        <f t="shared" si="8"/>
        <v>60249583</v>
      </c>
    </row>
    <row r="52" spans="1:10" x14ac:dyDescent="0.2">
      <c r="A52" s="39">
        <f t="shared" si="9"/>
        <v>37</v>
      </c>
      <c r="B52" s="39" t="s">
        <v>148</v>
      </c>
      <c r="D52" s="41">
        <f t="shared" si="6"/>
        <v>210801</v>
      </c>
      <c r="E52" s="41">
        <f t="shared" si="6"/>
        <v>0</v>
      </c>
      <c r="F52" s="41">
        <f t="shared" si="6"/>
        <v>1298</v>
      </c>
      <c r="G52" s="41">
        <f t="shared" si="6"/>
        <v>10636</v>
      </c>
      <c r="H52" s="41">
        <f t="shared" si="10"/>
        <v>428</v>
      </c>
      <c r="I52" s="41">
        <f t="shared" si="7"/>
        <v>0</v>
      </c>
      <c r="J52" s="41">
        <f t="shared" si="8"/>
        <v>223163</v>
      </c>
    </row>
    <row r="53" spans="1:10" x14ac:dyDescent="0.2">
      <c r="A53" s="39">
        <f t="shared" si="9"/>
        <v>38</v>
      </c>
      <c r="B53" s="39" t="s">
        <v>244</v>
      </c>
      <c r="D53" s="41">
        <f t="shared" si="6"/>
        <v>0</v>
      </c>
      <c r="E53" s="41">
        <f t="shared" si="6"/>
        <v>-700000</v>
      </c>
      <c r="F53" s="41">
        <f t="shared" si="6"/>
        <v>0</v>
      </c>
      <c r="G53" s="41">
        <f t="shared" si="6"/>
        <v>0</v>
      </c>
      <c r="H53" s="41">
        <f t="shared" si="10"/>
        <v>0</v>
      </c>
      <c r="I53" s="41">
        <f t="shared" si="7"/>
        <v>0</v>
      </c>
      <c r="J53" s="41">
        <f t="shared" si="8"/>
        <v>-700000</v>
      </c>
    </row>
    <row r="54" spans="1:10" x14ac:dyDescent="0.2">
      <c r="A54" s="39">
        <f t="shared" si="9"/>
        <v>39</v>
      </c>
      <c r="B54" s="39" t="s">
        <v>147</v>
      </c>
      <c r="D54" s="41">
        <f t="shared" ref="D54:G57" si="11">D19-D34</f>
        <v>64583529</v>
      </c>
      <c r="E54" s="41">
        <f t="shared" si="11"/>
        <v>0</v>
      </c>
      <c r="F54" s="41">
        <f t="shared" si="11"/>
        <v>1003804</v>
      </c>
      <c r="G54" s="41">
        <f t="shared" si="11"/>
        <v>9307427</v>
      </c>
      <c r="H54" s="41">
        <f t="shared" ref="H54:I57" si="12">H19-H34</f>
        <v>374554</v>
      </c>
      <c r="I54" s="41">
        <f t="shared" si="12"/>
        <v>0</v>
      </c>
      <c r="J54" s="41">
        <f t="shared" si="8"/>
        <v>75269314</v>
      </c>
    </row>
    <row r="55" spans="1:10" x14ac:dyDescent="0.2">
      <c r="A55" s="39">
        <f t="shared" si="9"/>
        <v>40</v>
      </c>
      <c r="B55" s="39" t="s">
        <v>149</v>
      </c>
      <c r="D55" s="41">
        <f t="shared" si="11"/>
        <v>12000452</v>
      </c>
      <c r="E55" s="41">
        <f t="shared" si="11"/>
        <v>0</v>
      </c>
      <c r="F55" s="41">
        <f t="shared" si="11"/>
        <v>1364212</v>
      </c>
      <c r="G55" s="41">
        <f t="shared" si="11"/>
        <v>4449528</v>
      </c>
      <c r="H55" s="41">
        <f>H20-H35</f>
        <v>179060</v>
      </c>
      <c r="I55" s="41">
        <f t="shared" si="12"/>
        <v>0</v>
      </c>
      <c r="J55" s="41">
        <f t="shared" si="8"/>
        <v>17993252</v>
      </c>
    </row>
    <row r="56" spans="1:10" x14ac:dyDescent="0.2">
      <c r="A56" s="39">
        <f t="shared" si="9"/>
        <v>41</v>
      </c>
      <c r="B56" s="42" t="s">
        <v>173</v>
      </c>
      <c r="D56" s="41">
        <f t="shared" si="11"/>
        <v>2501040</v>
      </c>
      <c r="E56" s="41">
        <f t="shared" si="11"/>
        <v>0</v>
      </c>
      <c r="F56" s="41">
        <f t="shared" si="11"/>
        <v>442933</v>
      </c>
      <c r="G56" s="41">
        <f t="shared" si="11"/>
        <v>1587908</v>
      </c>
      <c r="H56" s="41">
        <f>H21-H36</f>
        <v>0</v>
      </c>
      <c r="I56" s="41">
        <f t="shared" si="12"/>
        <v>0</v>
      </c>
      <c r="J56" s="41">
        <f t="shared" si="8"/>
        <v>4531881</v>
      </c>
    </row>
    <row r="57" spans="1:10" x14ac:dyDescent="0.2">
      <c r="A57" s="39">
        <f t="shared" si="9"/>
        <v>42</v>
      </c>
      <c r="B57" s="42" t="s">
        <v>168</v>
      </c>
      <c r="C57" s="42"/>
      <c r="D57" s="41">
        <f t="shared" si="11"/>
        <v>49479173</v>
      </c>
      <c r="E57" s="41">
        <f t="shared" si="11"/>
        <v>2354984</v>
      </c>
      <c r="F57" s="41">
        <f t="shared" si="11"/>
        <v>0</v>
      </c>
      <c r="G57" s="41">
        <f t="shared" si="11"/>
        <v>5150734</v>
      </c>
      <c r="H57" s="41">
        <f>H22-H37</f>
        <v>0</v>
      </c>
      <c r="I57" s="41">
        <f t="shared" si="12"/>
        <v>0</v>
      </c>
      <c r="J57" s="41">
        <f t="shared" si="8"/>
        <v>56984891</v>
      </c>
    </row>
    <row r="58" spans="1:10" x14ac:dyDescent="0.2">
      <c r="A58" s="39">
        <f t="shared" si="9"/>
        <v>43</v>
      </c>
      <c r="B58" s="42" t="s">
        <v>163</v>
      </c>
      <c r="C58" s="42"/>
      <c r="D58" s="41">
        <f t="shared" ref="D58:I58" si="13">D23-D38-D59</f>
        <v>58477128</v>
      </c>
      <c r="E58" s="41">
        <f t="shared" si="13"/>
        <v>0</v>
      </c>
      <c r="F58" s="41">
        <f t="shared" si="13"/>
        <v>9867619</v>
      </c>
      <c r="G58" s="41">
        <f t="shared" si="13"/>
        <v>0</v>
      </c>
      <c r="H58" s="41">
        <f t="shared" si="13"/>
        <v>0</v>
      </c>
      <c r="I58" s="41">
        <f t="shared" si="13"/>
        <v>0</v>
      </c>
      <c r="J58" s="41">
        <f t="shared" si="8"/>
        <v>68344747</v>
      </c>
    </row>
    <row r="59" spans="1:10" x14ac:dyDescent="0.2">
      <c r="A59" s="39">
        <f t="shared" si="9"/>
        <v>44</v>
      </c>
      <c r="B59" s="39" t="s">
        <v>151</v>
      </c>
      <c r="D59" s="41">
        <v>8501953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f t="shared" si="8"/>
        <v>8501953</v>
      </c>
    </row>
    <row r="60" spans="1:10" x14ac:dyDescent="0.2">
      <c r="B60" s="42" t="s">
        <v>172</v>
      </c>
      <c r="D60" s="41"/>
      <c r="E60" s="41"/>
      <c r="F60" s="41"/>
      <c r="G60" s="41"/>
      <c r="H60" s="41"/>
      <c r="I60" s="41"/>
      <c r="J60" s="41"/>
    </row>
    <row r="61" spans="1:10" x14ac:dyDescent="0.2">
      <c r="A61" s="39">
        <f>A59+1</f>
        <v>45</v>
      </c>
      <c r="B61" s="42"/>
      <c r="C61" s="42" t="s">
        <v>175</v>
      </c>
      <c r="D61" s="41">
        <f t="shared" ref="D61:G65" si="14">D25</f>
        <v>1042450</v>
      </c>
      <c r="E61" s="41">
        <f t="shared" si="14"/>
        <v>0</v>
      </c>
      <c r="F61" s="41">
        <f t="shared" si="14"/>
        <v>-1819005</v>
      </c>
      <c r="G61" s="41">
        <f t="shared" si="14"/>
        <v>1042446</v>
      </c>
      <c r="H61" s="41">
        <f t="shared" ref="H61:I65" si="15">H25</f>
        <v>43803</v>
      </c>
      <c r="I61" s="41">
        <f t="shared" si="15"/>
        <v>0</v>
      </c>
      <c r="J61" s="41">
        <f>SUM(D61:I61)</f>
        <v>309694</v>
      </c>
    </row>
    <row r="62" spans="1:10" x14ac:dyDescent="0.2">
      <c r="A62" s="39">
        <f>A61+1</f>
        <v>46</v>
      </c>
      <c r="B62" s="42"/>
      <c r="C62" s="42" t="s">
        <v>182</v>
      </c>
      <c r="D62" s="41">
        <f t="shared" si="14"/>
        <v>2327053</v>
      </c>
      <c r="E62" s="41">
        <f t="shared" si="14"/>
        <v>0</v>
      </c>
      <c r="F62" s="41">
        <f t="shared" si="14"/>
        <v>0</v>
      </c>
      <c r="G62" s="41">
        <f t="shared" si="14"/>
        <v>-2327833</v>
      </c>
      <c r="H62" s="41">
        <f>H26</f>
        <v>0</v>
      </c>
      <c r="I62" s="41">
        <f t="shared" si="15"/>
        <v>0</v>
      </c>
      <c r="J62" s="41">
        <f>SUM(D62:I62)</f>
        <v>-780</v>
      </c>
    </row>
    <row r="63" spans="1:10" x14ac:dyDescent="0.2">
      <c r="A63" s="39">
        <f>A62+1</f>
        <v>47</v>
      </c>
      <c r="B63" s="42"/>
      <c r="C63" s="42" t="s">
        <v>201</v>
      </c>
      <c r="D63" s="41">
        <f t="shared" si="14"/>
        <v>0</v>
      </c>
      <c r="E63" s="41">
        <f t="shared" si="14"/>
        <v>0</v>
      </c>
      <c r="F63" s="41">
        <f t="shared" si="14"/>
        <v>0</v>
      </c>
      <c r="G63" s="41">
        <f t="shared" si="14"/>
        <v>0</v>
      </c>
      <c r="H63" s="41">
        <f>H27</f>
        <v>0</v>
      </c>
      <c r="I63" s="41">
        <f t="shared" si="15"/>
        <v>0</v>
      </c>
      <c r="J63" s="41">
        <f>SUM(D63:I63)</f>
        <v>0</v>
      </c>
    </row>
    <row r="64" spans="1:10" x14ac:dyDescent="0.2">
      <c r="A64" s="39">
        <f>A63+1</f>
        <v>48</v>
      </c>
      <c r="B64" s="42"/>
      <c r="C64" s="42" t="s">
        <v>183</v>
      </c>
      <c r="D64" s="41">
        <f t="shared" si="14"/>
        <v>616684</v>
      </c>
      <c r="E64" s="41">
        <f t="shared" si="14"/>
        <v>0</v>
      </c>
      <c r="F64" s="41">
        <f t="shared" si="14"/>
        <v>0</v>
      </c>
      <c r="G64" s="41">
        <f t="shared" si="14"/>
        <v>-586892</v>
      </c>
      <c r="H64" s="41">
        <f>H28</f>
        <v>0</v>
      </c>
      <c r="I64" s="41">
        <f t="shared" si="15"/>
        <v>0</v>
      </c>
      <c r="J64" s="41">
        <f>SUM(D64:I64)</f>
        <v>29792</v>
      </c>
    </row>
    <row r="65" spans="1:11" x14ac:dyDescent="0.2">
      <c r="A65" s="39">
        <f>A64+1</f>
        <v>49</v>
      </c>
      <c r="B65" s="42"/>
      <c r="C65" s="42" t="s">
        <v>251</v>
      </c>
      <c r="D65" s="41">
        <f t="shared" si="14"/>
        <v>-195</v>
      </c>
      <c r="E65" s="41">
        <f t="shared" si="14"/>
        <v>0</v>
      </c>
      <c r="F65" s="41">
        <f t="shared" si="14"/>
        <v>0</v>
      </c>
      <c r="G65" s="41">
        <f t="shared" si="14"/>
        <v>0</v>
      </c>
      <c r="H65" s="41">
        <f>H29</f>
        <v>0</v>
      </c>
      <c r="I65" s="41">
        <f t="shared" si="15"/>
        <v>0</v>
      </c>
      <c r="J65" s="41">
        <f>SUM(D65:I65)</f>
        <v>-195</v>
      </c>
    </row>
    <row r="66" spans="1:11" x14ac:dyDescent="0.2">
      <c r="D66" s="41"/>
      <c r="E66" s="41"/>
      <c r="F66" s="41"/>
      <c r="G66" s="41"/>
      <c r="H66" s="41"/>
      <c r="I66" s="41"/>
      <c r="J66" s="41"/>
    </row>
    <row r="67" spans="1:11" x14ac:dyDescent="0.2">
      <c r="A67" s="39">
        <f>A65+1</f>
        <v>50</v>
      </c>
      <c r="B67" s="42" t="s">
        <v>184</v>
      </c>
      <c r="C67" s="42"/>
      <c r="D67" s="41">
        <f>SUM(D43:D65)</f>
        <v>5364577521</v>
      </c>
      <c r="E67" s="41">
        <f t="shared" ref="E67:J67" si="16">SUM(E43:E65)</f>
        <v>1654984</v>
      </c>
      <c r="F67" s="41">
        <f t="shared" si="16"/>
        <v>56132061</v>
      </c>
      <c r="G67" s="41">
        <f t="shared" si="16"/>
        <v>308291950</v>
      </c>
      <c r="H67" s="41">
        <f>SUM(H43:H65)</f>
        <v>12223688</v>
      </c>
      <c r="I67" s="41">
        <f>SUM(I43:I65)</f>
        <v>5618167</v>
      </c>
      <c r="J67" s="41">
        <f t="shared" si="16"/>
        <v>5748498371</v>
      </c>
      <c r="K67" s="43">
        <v>5748498371.6942196</v>
      </c>
    </row>
    <row r="68" spans="1:11" x14ac:dyDescent="0.2">
      <c r="A68" s="39">
        <f>A67+1</f>
        <v>51</v>
      </c>
      <c r="B68" s="173" t="s">
        <v>397</v>
      </c>
      <c r="C68" s="42"/>
      <c r="D68" s="41">
        <f t="shared" ref="D68:J68" si="17">D67</f>
        <v>5364577521</v>
      </c>
      <c r="E68" s="41">
        <f t="shared" si="17"/>
        <v>1654984</v>
      </c>
      <c r="F68" s="41">
        <f t="shared" si="17"/>
        <v>56132061</v>
      </c>
      <c r="G68" s="41">
        <f t="shared" si="17"/>
        <v>308291950</v>
      </c>
      <c r="H68" s="41">
        <f t="shared" si="17"/>
        <v>12223688</v>
      </c>
      <c r="I68" s="41">
        <f t="shared" si="17"/>
        <v>5618167</v>
      </c>
      <c r="J68" s="41">
        <f t="shared" si="17"/>
        <v>5748498371</v>
      </c>
      <c r="K68" s="43"/>
    </row>
    <row r="69" spans="1:11" x14ac:dyDescent="0.2">
      <c r="A69" s="39">
        <f>A68+1</f>
        <v>52</v>
      </c>
      <c r="B69" s="42" t="s">
        <v>303</v>
      </c>
      <c r="C69" s="42"/>
      <c r="D69" s="127" t="s">
        <v>302</v>
      </c>
      <c r="E69" s="127" t="s">
        <v>302</v>
      </c>
      <c r="F69" s="127" t="s">
        <v>302</v>
      </c>
      <c r="G69" s="127" t="s">
        <v>302</v>
      </c>
      <c r="H69" s="127" t="s">
        <v>302</v>
      </c>
      <c r="I69" s="127" t="s">
        <v>302</v>
      </c>
      <c r="J69" s="127" t="s">
        <v>302</v>
      </c>
    </row>
    <row r="70" spans="1:11" x14ac:dyDescent="0.2">
      <c r="B70" s="42"/>
      <c r="C70" s="42"/>
      <c r="D70" s="41"/>
      <c r="E70" s="41"/>
      <c r="F70" s="41"/>
      <c r="G70" s="41"/>
      <c r="H70" s="41"/>
      <c r="I70" s="41"/>
      <c r="J70" s="41"/>
    </row>
    <row r="71" spans="1:11" x14ac:dyDescent="0.2">
      <c r="A71" s="39">
        <f>A69+1</f>
        <v>53</v>
      </c>
      <c r="B71" s="42" t="s">
        <v>166</v>
      </c>
      <c r="C71" s="42"/>
      <c r="D71" s="41">
        <v>-29548624</v>
      </c>
      <c r="E71" s="41">
        <v>0</v>
      </c>
      <c r="F71" s="41">
        <v>0</v>
      </c>
      <c r="G71" s="41">
        <v>-1481685</v>
      </c>
      <c r="H71" s="41">
        <v>-59627</v>
      </c>
      <c r="I71" s="41">
        <v>0</v>
      </c>
      <c r="J71" s="41">
        <f>SUM(D71:I71)</f>
        <v>-31089936</v>
      </c>
      <c r="K71" s="43"/>
    </row>
    <row r="72" spans="1:11" x14ac:dyDescent="0.2">
      <c r="D72" s="40"/>
      <c r="E72" s="40"/>
      <c r="F72" s="40"/>
      <c r="G72" s="40"/>
      <c r="H72" s="40"/>
      <c r="I72" s="40"/>
      <c r="J72" s="40"/>
    </row>
    <row r="73" spans="1:11" x14ac:dyDescent="0.2">
      <c r="A73" s="190" t="s">
        <v>391</v>
      </c>
      <c r="B73" s="190"/>
      <c r="C73" s="191"/>
      <c r="D73" s="192" t="s">
        <v>176</v>
      </c>
      <c r="E73" s="192" t="s">
        <v>181</v>
      </c>
      <c r="F73" s="192" t="s">
        <v>177</v>
      </c>
      <c r="G73" s="192" t="s">
        <v>178</v>
      </c>
      <c r="H73" s="192" t="s">
        <v>179</v>
      </c>
      <c r="I73" s="192" t="s">
        <v>370</v>
      </c>
      <c r="J73" s="192" t="s">
        <v>180</v>
      </c>
    </row>
    <row r="75" spans="1:11" x14ac:dyDescent="0.2">
      <c r="A75" s="39">
        <v>1</v>
      </c>
      <c r="B75" s="39" t="s">
        <v>140</v>
      </c>
      <c r="D75" s="41">
        <f>'Pupil Data'!C206</f>
        <v>897432</v>
      </c>
      <c r="E75" s="41">
        <v>0</v>
      </c>
      <c r="F75" s="41">
        <f>'Pupil Data'!D206</f>
        <v>7951</v>
      </c>
      <c r="G75" s="41">
        <f>'Pupil Data'!E206</f>
        <v>45359</v>
      </c>
      <c r="H75" s="41">
        <f>'Pupil Data'!F206</f>
        <v>2450</v>
      </c>
      <c r="I75" s="41">
        <v>0</v>
      </c>
      <c r="J75" s="41">
        <f>SUM(D75:I75)</f>
        <v>953192</v>
      </c>
    </row>
    <row r="77" spans="1:11" x14ac:dyDescent="0.2">
      <c r="B77" s="42" t="s">
        <v>155</v>
      </c>
      <c r="D77" s="40"/>
      <c r="E77" s="40"/>
      <c r="F77" s="40"/>
      <c r="G77" s="40"/>
      <c r="H77" s="40"/>
      <c r="I77" s="40"/>
      <c r="J77" s="40"/>
    </row>
    <row r="78" spans="1:11" x14ac:dyDescent="0.2">
      <c r="A78" s="39">
        <f>A75+1</f>
        <v>2</v>
      </c>
      <c r="B78" s="39" t="s">
        <v>141</v>
      </c>
      <c r="D78" s="41">
        <v>4598443414</v>
      </c>
      <c r="E78" s="41">
        <v>0</v>
      </c>
      <c r="F78" s="41">
        <v>40740155</v>
      </c>
      <c r="G78" s="41">
        <v>232418797</v>
      </c>
      <c r="H78" s="41">
        <v>12551289</v>
      </c>
      <c r="I78" s="41">
        <v>0</v>
      </c>
      <c r="J78" s="41">
        <f>SUM(D78:I78)</f>
        <v>4884153655</v>
      </c>
    </row>
    <row r="79" spans="1:11" x14ac:dyDescent="0.2">
      <c r="A79" s="39">
        <f>A78+1</f>
        <v>3</v>
      </c>
      <c r="B79" s="42" t="s">
        <v>167</v>
      </c>
      <c r="C79" s="42"/>
      <c r="D79" s="41">
        <v>10769190</v>
      </c>
      <c r="E79" s="41">
        <v>0</v>
      </c>
      <c r="F79" s="41">
        <v>95410</v>
      </c>
      <c r="G79" s="41">
        <v>544310</v>
      </c>
      <c r="H79" s="41">
        <v>29394</v>
      </c>
      <c r="I79" s="41">
        <v>0</v>
      </c>
      <c r="J79" s="41">
        <f>SUM(D79:I79)</f>
        <v>11438304</v>
      </c>
    </row>
    <row r="80" spans="1:11" x14ac:dyDescent="0.2">
      <c r="A80" s="39">
        <f>A79+1</f>
        <v>4</v>
      </c>
      <c r="B80" s="39" t="s">
        <v>142</v>
      </c>
      <c r="D80" s="41">
        <v>51558117</v>
      </c>
      <c r="E80" s="41">
        <v>0</v>
      </c>
      <c r="F80" s="41">
        <v>17791745</v>
      </c>
      <c r="G80" s="41">
        <v>1811367</v>
      </c>
      <c r="H80" s="41">
        <v>749917</v>
      </c>
      <c r="I80" s="41">
        <v>0</v>
      </c>
      <c r="J80" s="41">
        <f>SUM(D80:I80)</f>
        <v>71911146</v>
      </c>
    </row>
    <row r="81" spans="1:12" x14ac:dyDescent="0.2">
      <c r="B81" s="42" t="s">
        <v>171</v>
      </c>
      <c r="D81" s="41"/>
      <c r="E81" s="41"/>
      <c r="F81" s="41"/>
      <c r="G81" s="41"/>
      <c r="H81" s="41"/>
      <c r="I81" s="41"/>
      <c r="J81" s="41"/>
    </row>
    <row r="82" spans="1:12" x14ac:dyDescent="0.2">
      <c r="A82" s="39">
        <f>A80+1</f>
        <v>5</v>
      </c>
      <c r="C82" s="39" t="s">
        <v>143</v>
      </c>
      <c r="D82" s="41">
        <v>365548112</v>
      </c>
      <c r="E82" s="41">
        <v>0</v>
      </c>
      <c r="F82" s="41">
        <v>17662406</v>
      </c>
      <c r="G82" s="41">
        <v>42711058</v>
      </c>
      <c r="H82" s="41">
        <v>6108627</v>
      </c>
      <c r="I82" s="41">
        <v>5680420</v>
      </c>
      <c r="J82" s="41">
        <f t="shared" ref="J82:J93" si="18">SUM(D82:I82)</f>
        <v>437710623</v>
      </c>
    </row>
    <row r="83" spans="1:12" x14ac:dyDescent="0.2">
      <c r="A83" s="39">
        <f t="shared" ref="A83:A93" si="19">A82+1</f>
        <v>6</v>
      </c>
      <c r="C83" s="39" t="s">
        <v>144</v>
      </c>
      <c r="D83" s="41">
        <v>27412056</v>
      </c>
      <c r="E83" s="41">
        <v>0</v>
      </c>
      <c r="F83" s="41">
        <v>-498218</v>
      </c>
      <c r="G83" s="41">
        <v>4828796</v>
      </c>
      <c r="H83" s="41">
        <v>21012</v>
      </c>
      <c r="I83" s="41">
        <v>0</v>
      </c>
      <c r="J83" s="41">
        <f t="shared" si="18"/>
        <v>31763646</v>
      </c>
    </row>
    <row r="84" spans="1:12" x14ac:dyDescent="0.2">
      <c r="A84" s="39">
        <f t="shared" si="19"/>
        <v>7</v>
      </c>
      <c r="B84" s="42"/>
      <c r="C84" s="42" t="s">
        <v>170</v>
      </c>
      <c r="D84" s="41">
        <v>6935813</v>
      </c>
      <c r="E84" s="41">
        <v>0</v>
      </c>
      <c r="F84" s="41">
        <v>-126059</v>
      </c>
      <c r="G84" s="41">
        <v>1605916</v>
      </c>
      <c r="H84" s="41">
        <v>5316</v>
      </c>
      <c r="I84" s="41">
        <v>0</v>
      </c>
      <c r="J84" s="41">
        <f t="shared" si="18"/>
        <v>8420986</v>
      </c>
    </row>
    <row r="85" spans="1:12" x14ac:dyDescent="0.2">
      <c r="A85" s="39">
        <f t="shared" si="19"/>
        <v>8</v>
      </c>
      <c r="B85" s="39" t="s">
        <v>145</v>
      </c>
      <c r="D85" s="41">
        <v>22900210</v>
      </c>
      <c r="E85" s="41">
        <v>0</v>
      </c>
      <c r="F85" s="41">
        <v>0</v>
      </c>
      <c r="G85" s="41">
        <v>1157438</v>
      </c>
      <c r="H85" s="41">
        <v>62505</v>
      </c>
      <c r="I85" s="41">
        <v>0</v>
      </c>
      <c r="J85" s="41">
        <f t="shared" si="18"/>
        <v>24120153</v>
      </c>
    </row>
    <row r="86" spans="1:12" x14ac:dyDescent="0.2">
      <c r="A86" s="39">
        <f t="shared" si="19"/>
        <v>9</v>
      </c>
      <c r="B86" s="39" t="s">
        <v>146</v>
      </c>
      <c r="D86" s="41">
        <v>58957210</v>
      </c>
      <c r="E86" s="41">
        <v>0</v>
      </c>
      <c r="F86" s="41">
        <v>0</v>
      </c>
      <c r="G86" s="41">
        <v>1102362</v>
      </c>
      <c r="H86" s="41">
        <v>60355</v>
      </c>
      <c r="I86" s="41">
        <v>0</v>
      </c>
      <c r="J86" s="41">
        <f t="shared" si="18"/>
        <v>60119927</v>
      </c>
    </row>
    <row r="87" spans="1:12" x14ac:dyDescent="0.2">
      <c r="A87" s="39">
        <f t="shared" si="19"/>
        <v>10</v>
      </c>
      <c r="B87" s="39" t="s">
        <v>148</v>
      </c>
      <c r="D87" s="41">
        <v>208713</v>
      </c>
      <c r="E87" s="41">
        <v>0</v>
      </c>
      <c r="F87" s="41">
        <v>1849</v>
      </c>
      <c r="G87" s="41">
        <v>10551</v>
      </c>
      <c r="H87" s="41">
        <v>570</v>
      </c>
      <c r="I87" s="41">
        <v>0</v>
      </c>
      <c r="J87" s="41">
        <f t="shared" si="18"/>
        <v>221683</v>
      </c>
    </row>
    <row r="88" spans="1:12" x14ac:dyDescent="0.2">
      <c r="A88" s="39">
        <f t="shared" si="19"/>
        <v>11</v>
      </c>
      <c r="B88" s="39" t="s">
        <v>244</v>
      </c>
      <c r="D88" s="41">
        <v>0</v>
      </c>
      <c r="E88" s="41">
        <v>-700000</v>
      </c>
      <c r="F88" s="41">
        <v>0</v>
      </c>
      <c r="G88" s="41">
        <v>0</v>
      </c>
      <c r="H88" s="41">
        <v>0</v>
      </c>
      <c r="I88" s="41">
        <v>0</v>
      </c>
      <c r="J88" s="41">
        <f t="shared" si="18"/>
        <v>-700000</v>
      </c>
    </row>
    <row r="89" spans="1:12" x14ac:dyDescent="0.2">
      <c r="A89" s="39">
        <f t="shared" si="19"/>
        <v>12</v>
      </c>
      <c r="B89" s="39" t="s">
        <v>147</v>
      </c>
      <c r="D89" s="41">
        <v>184171706</v>
      </c>
      <c r="E89" s="41">
        <v>0</v>
      </c>
      <c r="F89" s="41">
        <v>1631679</v>
      </c>
      <c r="G89" s="41">
        <v>9308576</v>
      </c>
      <c r="H89" s="41">
        <v>502690</v>
      </c>
      <c r="I89" s="41">
        <v>0</v>
      </c>
      <c r="J89" s="41">
        <f t="shared" si="18"/>
        <v>195614651</v>
      </c>
    </row>
    <row r="90" spans="1:12" x14ac:dyDescent="0.2">
      <c r="A90" s="39">
        <f t="shared" si="19"/>
        <v>13</v>
      </c>
      <c r="B90" s="39" t="s">
        <v>149</v>
      </c>
      <c r="D90" s="41">
        <v>88505032</v>
      </c>
      <c r="E90" s="41">
        <v>0</v>
      </c>
      <c r="F90" s="41">
        <v>784115</v>
      </c>
      <c r="G90" s="41">
        <v>4473308</v>
      </c>
      <c r="H90" s="41">
        <v>241571</v>
      </c>
      <c r="I90" s="41">
        <v>0</v>
      </c>
      <c r="J90" s="41">
        <f t="shared" si="18"/>
        <v>94004026</v>
      </c>
      <c r="K90" s="41"/>
    </row>
    <row r="91" spans="1:12" x14ac:dyDescent="0.2">
      <c r="A91" s="39">
        <f t="shared" si="19"/>
        <v>14</v>
      </c>
      <c r="B91" s="42" t="s">
        <v>173</v>
      </c>
      <c r="D91" s="41">
        <v>27284938</v>
      </c>
      <c r="E91" s="41">
        <v>0</v>
      </c>
      <c r="F91" s="41">
        <v>241732</v>
      </c>
      <c r="G91" s="41">
        <v>1595276</v>
      </c>
      <c r="H91" s="41">
        <v>883</v>
      </c>
      <c r="I91" s="41">
        <v>0</v>
      </c>
      <c r="J91" s="41">
        <f t="shared" si="18"/>
        <v>29122829</v>
      </c>
    </row>
    <row r="92" spans="1:12" x14ac:dyDescent="0.2">
      <c r="A92" s="39">
        <f t="shared" si="19"/>
        <v>15</v>
      </c>
      <c r="B92" s="42" t="s">
        <v>168</v>
      </c>
      <c r="C92" s="42"/>
      <c r="D92" s="41">
        <v>61930979</v>
      </c>
      <c r="E92" s="41">
        <f>K92-D92-G92</f>
        <v>12693713</v>
      </c>
      <c r="F92" s="41">
        <v>0</v>
      </c>
      <c r="G92" s="41">
        <v>5240465</v>
      </c>
      <c r="H92" s="41">
        <v>0</v>
      </c>
      <c r="I92" s="41">
        <v>0</v>
      </c>
      <c r="J92" s="41">
        <f t="shared" si="18"/>
        <v>79865157</v>
      </c>
      <c r="K92" s="148">
        <v>79865157</v>
      </c>
      <c r="L92" s="41"/>
    </row>
    <row r="93" spans="1:12" x14ac:dyDescent="0.2">
      <c r="A93" s="39">
        <f t="shared" si="19"/>
        <v>16</v>
      </c>
      <c r="B93" s="39" t="s">
        <v>150</v>
      </c>
      <c r="D93" s="41">
        <v>796062121</v>
      </c>
      <c r="E93" s="41">
        <v>0</v>
      </c>
      <c r="F93" s="41">
        <v>26508275</v>
      </c>
      <c r="G93" s="41">
        <v>0</v>
      </c>
      <c r="H93" s="41">
        <v>0</v>
      </c>
      <c r="I93" s="41">
        <v>0</v>
      </c>
      <c r="J93" s="41">
        <f t="shared" si="18"/>
        <v>822570396</v>
      </c>
      <c r="K93" s="41"/>
    </row>
    <row r="94" spans="1:12" x14ac:dyDescent="0.2">
      <c r="B94" s="42" t="s">
        <v>172</v>
      </c>
      <c r="D94" s="41"/>
      <c r="E94" s="41"/>
      <c r="F94" s="41"/>
      <c r="G94" s="41"/>
      <c r="H94" s="41"/>
      <c r="I94" s="41"/>
      <c r="J94" s="41"/>
    </row>
    <row r="95" spans="1:12" x14ac:dyDescent="0.2">
      <c r="A95" s="39">
        <f>A93+1</f>
        <v>17</v>
      </c>
      <c r="B95" s="42"/>
      <c r="C95" s="42" t="s">
        <v>175</v>
      </c>
      <c r="D95" s="41">
        <v>1150314</v>
      </c>
      <c r="E95" s="41">
        <v>0</v>
      </c>
      <c r="F95" s="41">
        <v>-1697560</v>
      </c>
      <c r="G95" s="41">
        <v>1014179</v>
      </c>
      <c r="H95" s="41">
        <v>56339</v>
      </c>
      <c r="I95" s="41">
        <v>0</v>
      </c>
      <c r="J95" s="41">
        <f>SUM(D95:I95)</f>
        <v>523272</v>
      </c>
    </row>
    <row r="96" spans="1:12" x14ac:dyDescent="0.2">
      <c r="A96" s="39">
        <f>A95+1</f>
        <v>18</v>
      </c>
      <c r="B96" s="42"/>
      <c r="C96" s="42" t="s">
        <v>182</v>
      </c>
      <c r="D96" s="41">
        <v>2409310</v>
      </c>
      <c r="E96" s="41">
        <v>0</v>
      </c>
      <c r="F96" s="41">
        <v>0</v>
      </c>
      <c r="G96" s="41">
        <v>-2410013</v>
      </c>
      <c r="H96" s="41">
        <v>0</v>
      </c>
      <c r="I96" s="41">
        <v>0</v>
      </c>
      <c r="J96" s="41">
        <f>SUM(D96:I96)</f>
        <v>-703</v>
      </c>
    </row>
    <row r="97" spans="1:12" x14ac:dyDescent="0.2">
      <c r="A97" s="39">
        <f>A96+1</f>
        <v>19</v>
      </c>
      <c r="B97" s="42"/>
      <c r="C97" s="42" t="s">
        <v>201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f>SUM(D97:I97)</f>
        <v>0</v>
      </c>
    </row>
    <row r="98" spans="1:12" x14ac:dyDescent="0.2">
      <c r="A98" s="39">
        <f>A97+1</f>
        <v>20</v>
      </c>
      <c r="B98" s="42"/>
      <c r="C98" s="42" t="s">
        <v>183</v>
      </c>
      <c r="D98" s="41">
        <v>609397</v>
      </c>
      <c r="E98" s="41">
        <v>0</v>
      </c>
      <c r="F98" s="41">
        <v>0</v>
      </c>
      <c r="G98" s="41">
        <v>-588778</v>
      </c>
      <c r="H98" s="41">
        <v>0</v>
      </c>
      <c r="I98" s="41">
        <v>0</v>
      </c>
      <c r="J98" s="41">
        <f>SUM(D98:I98)</f>
        <v>20619</v>
      </c>
    </row>
    <row r="99" spans="1:12" x14ac:dyDescent="0.2">
      <c r="A99" s="39">
        <f>A98+1</f>
        <v>21</v>
      </c>
      <c r="B99" s="42"/>
      <c r="C99" s="42" t="s">
        <v>251</v>
      </c>
      <c r="D99" s="41">
        <v>-196</v>
      </c>
      <c r="E99" s="41">
        <v>0</v>
      </c>
      <c r="F99" s="41">
        <v>0</v>
      </c>
      <c r="G99" s="41">
        <v>0</v>
      </c>
      <c r="H99" s="41">
        <v>0</v>
      </c>
      <c r="I99" s="41">
        <v>0</v>
      </c>
      <c r="J99" s="41">
        <f>SUM(D99:I99)</f>
        <v>-196</v>
      </c>
    </row>
    <row r="100" spans="1:12" x14ac:dyDescent="0.2">
      <c r="D100" s="41"/>
      <c r="E100" s="41"/>
      <c r="F100" s="41"/>
      <c r="G100" s="41"/>
      <c r="H100" s="41"/>
      <c r="I100" s="41"/>
      <c r="J100" s="41"/>
    </row>
    <row r="101" spans="1:12" x14ac:dyDescent="0.2">
      <c r="A101" s="39">
        <f>A99+1</f>
        <v>22</v>
      </c>
      <c r="B101" s="42" t="s">
        <v>158</v>
      </c>
      <c r="D101" s="41">
        <f t="shared" ref="D101:J101" si="20">SUM(D78:D99)</f>
        <v>6304856436</v>
      </c>
      <c r="E101" s="41">
        <f t="shared" si="20"/>
        <v>11993713</v>
      </c>
      <c r="F101" s="41">
        <f t="shared" si="20"/>
        <v>103135529</v>
      </c>
      <c r="G101" s="41">
        <f t="shared" si="20"/>
        <v>304823608</v>
      </c>
      <c r="H101" s="41">
        <f t="shared" si="20"/>
        <v>20390468</v>
      </c>
      <c r="I101" s="41">
        <f t="shared" si="20"/>
        <v>5680420</v>
      </c>
      <c r="J101" s="41">
        <f t="shared" si="20"/>
        <v>6750880174</v>
      </c>
      <c r="K101" s="43"/>
    </row>
    <row r="102" spans="1:12" x14ac:dyDescent="0.2">
      <c r="C102" s="42"/>
      <c r="D102" s="41"/>
      <c r="E102" s="41"/>
      <c r="F102" s="41"/>
      <c r="G102" s="41"/>
      <c r="H102" s="41"/>
      <c r="I102" s="41"/>
      <c r="J102" s="41"/>
      <c r="K102" s="43"/>
    </row>
    <row r="103" spans="1:12" x14ac:dyDescent="0.2">
      <c r="B103" s="42" t="s">
        <v>156</v>
      </c>
      <c r="C103" s="42"/>
      <c r="D103" s="41"/>
      <c r="E103" s="41"/>
      <c r="F103" s="41"/>
      <c r="G103" s="41"/>
      <c r="H103" s="41"/>
      <c r="I103" s="41"/>
      <c r="J103" s="41"/>
    </row>
    <row r="104" spans="1:12" x14ac:dyDescent="0.2">
      <c r="A104" s="39">
        <f>A101+1</f>
        <v>23</v>
      </c>
      <c r="B104" s="39" t="s">
        <v>153</v>
      </c>
      <c r="D104" s="41">
        <v>119807979</v>
      </c>
      <c r="E104" s="41">
        <v>0</v>
      </c>
      <c r="F104" s="41">
        <v>188014</v>
      </c>
      <c r="G104" s="41">
        <v>0</v>
      </c>
      <c r="H104" s="41">
        <v>0</v>
      </c>
      <c r="I104" s="41">
        <v>0</v>
      </c>
      <c r="J104" s="41">
        <f>SUM(D104:I104)</f>
        <v>119995993</v>
      </c>
    </row>
    <row r="105" spans="1:12" x14ac:dyDescent="0.2">
      <c r="A105" s="39">
        <f>A104+1</f>
        <v>24</v>
      </c>
      <c r="B105" s="39" t="s">
        <v>152</v>
      </c>
      <c r="D105" s="41">
        <v>76478126</v>
      </c>
      <c r="E105" s="41">
        <v>0</v>
      </c>
      <c r="F105" s="41">
        <v>-677899</v>
      </c>
      <c r="G105" s="41">
        <v>0</v>
      </c>
      <c r="H105" s="41">
        <v>0</v>
      </c>
      <c r="I105" s="41">
        <v>0</v>
      </c>
      <c r="J105" s="41">
        <f>SUM(D105:I105)</f>
        <v>75800227</v>
      </c>
      <c r="K105" s="41"/>
    </row>
    <row r="106" spans="1:12" x14ac:dyDescent="0.2">
      <c r="A106" s="39">
        <f>A105+1</f>
        <v>25</v>
      </c>
      <c r="B106" s="42" t="s">
        <v>174</v>
      </c>
      <c r="D106" s="41">
        <v>24769329</v>
      </c>
      <c r="E106" s="41">
        <v>0</v>
      </c>
      <c r="F106" s="41">
        <v>-224950</v>
      </c>
      <c r="G106" s="41">
        <v>0</v>
      </c>
      <c r="H106" s="41">
        <v>0</v>
      </c>
      <c r="I106" s="41">
        <v>0</v>
      </c>
      <c r="J106" s="41">
        <f>SUM(D106:I106)</f>
        <v>24544379</v>
      </c>
    </row>
    <row r="107" spans="1:12" x14ac:dyDescent="0.2">
      <c r="A107" s="39">
        <f>A106+1</f>
        <v>26</v>
      </c>
      <c r="B107" s="42" t="s">
        <v>168</v>
      </c>
      <c r="C107" s="42"/>
      <c r="D107" s="41">
        <v>19381601</v>
      </c>
      <c r="E107" s="41">
        <f>K107-D107</f>
        <v>3673315</v>
      </c>
      <c r="F107" s="41">
        <v>0</v>
      </c>
      <c r="G107" s="41">
        <v>0</v>
      </c>
      <c r="H107" s="41">
        <v>0</v>
      </c>
      <c r="I107" s="41">
        <v>0</v>
      </c>
      <c r="J107" s="41">
        <f>SUM(D107:I107)</f>
        <v>23054916</v>
      </c>
      <c r="K107" s="148">
        <v>23054916</v>
      </c>
      <c r="L107" s="41"/>
    </row>
    <row r="108" spans="1:12" x14ac:dyDescent="0.2">
      <c r="A108" s="39">
        <f>A107+1</f>
        <v>27</v>
      </c>
      <c r="B108" s="39" t="s">
        <v>154</v>
      </c>
      <c r="D108" s="41">
        <v>729487167</v>
      </c>
      <c r="E108" s="41">
        <v>0</v>
      </c>
      <c r="F108" s="41">
        <v>16271893</v>
      </c>
      <c r="G108" s="41">
        <v>0</v>
      </c>
      <c r="H108" s="41">
        <v>0</v>
      </c>
      <c r="I108" s="41">
        <v>0</v>
      </c>
      <c r="J108" s="41">
        <f>SUM(D108:I108)</f>
        <v>745759060</v>
      </c>
      <c r="K108" s="41"/>
    </row>
    <row r="109" spans="1:12" x14ac:dyDescent="0.2">
      <c r="D109" s="41"/>
      <c r="E109" s="41"/>
      <c r="F109" s="41"/>
      <c r="G109" s="41"/>
      <c r="H109" s="41"/>
      <c r="I109" s="41"/>
      <c r="J109" s="41"/>
    </row>
    <row r="110" spans="1:12" x14ac:dyDescent="0.2">
      <c r="A110" s="39">
        <f>A108+1</f>
        <v>28</v>
      </c>
      <c r="B110" s="42" t="s">
        <v>159</v>
      </c>
      <c r="C110" s="42"/>
      <c r="D110" s="41">
        <f t="shared" ref="D110:J110" si="21">SUM(D104:D108)</f>
        <v>969924202</v>
      </c>
      <c r="E110" s="41">
        <f t="shared" si="21"/>
        <v>3673315</v>
      </c>
      <c r="F110" s="41">
        <f t="shared" si="21"/>
        <v>15557058</v>
      </c>
      <c r="G110" s="41">
        <f t="shared" si="21"/>
        <v>0</v>
      </c>
      <c r="H110" s="41">
        <f t="shared" si="21"/>
        <v>0</v>
      </c>
      <c r="I110" s="41">
        <f t="shared" si="21"/>
        <v>0</v>
      </c>
      <c r="J110" s="41">
        <f t="shared" si="21"/>
        <v>989154575</v>
      </c>
      <c r="K110" s="43"/>
    </row>
    <row r="111" spans="1:12" x14ac:dyDescent="0.2">
      <c r="B111" s="42"/>
      <c r="C111" s="42"/>
      <c r="D111" s="41"/>
      <c r="E111" s="41"/>
      <c r="F111" s="41"/>
      <c r="G111" s="41"/>
      <c r="H111" s="41"/>
      <c r="I111" s="41"/>
      <c r="J111" s="41"/>
    </row>
    <row r="112" spans="1:12" x14ac:dyDescent="0.2">
      <c r="B112" s="42" t="s">
        <v>157</v>
      </c>
      <c r="C112" s="42"/>
      <c r="D112" s="41"/>
      <c r="E112" s="41"/>
      <c r="F112" s="41"/>
      <c r="G112" s="41"/>
      <c r="H112" s="41"/>
      <c r="I112" s="41"/>
      <c r="J112" s="41"/>
    </row>
    <row r="113" spans="1:10" x14ac:dyDescent="0.2">
      <c r="A113" s="39">
        <f>A110+1</f>
        <v>29</v>
      </c>
      <c r="B113" s="39" t="s">
        <v>141</v>
      </c>
      <c r="D113" s="41">
        <f t="shared" ref="D113:I113" si="22">D78</f>
        <v>4598443414</v>
      </c>
      <c r="E113" s="41">
        <f t="shared" si="22"/>
        <v>0</v>
      </c>
      <c r="F113" s="41">
        <f t="shared" si="22"/>
        <v>40740155</v>
      </c>
      <c r="G113" s="41">
        <f t="shared" si="22"/>
        <v>232418797</v>
      </c>
      <c r="H113" s="41">
        <f t="shared" si="22"/>
        <v>12551289</v>
      </c>
      <c r="I113" s="41">
        <f t="shared" si="22"/>
        <v>0</v>
      </c>
      <c r="J113" s="41">
        <f>SUM(D113:I113)</f>
        <v>4884153655</v>
      </c>
    </row>
    <row r="114" spans="1:10" x14ac:dyDescent="0.2">
      <c r="A114" s="39">
        <f>A113+1</f>
        <v>30</v>
      </c>
      <c r="B114" s="42" t="s">
        <v>167</v>
      </c>
      <c r="C114" s="42"/>
      <c r="D114" s="41">
        <f t="shared" ref="D114:I115" si="23">D79</f>
        <v>10769190</v>
      </c>
      <c r="E114" s="41">
        <f t="shared" si="23"/>
        <v>0</v>
      </c>
      <c r="F114" s="41">
        <f t="shared" si="23"/>
        <v>95410</v>
      </c>
      <c r="G114" s="41">
        <f t="shared" si="23"/>
        <v>544310</v>
      </c>
      <c r="H114" s="41">
        <f t="shared" si="23"/>
        <v>29394</v>
      </c>
      <c r="I114" s="41">
        <f t="shared" si="23"/>
        <v>0</v>
      </c>
      <c r="J114" s="41">
        <f>SUM(D114:I114)</f>
        <v>11438304</v>
      </c>
    </row>
    <row r="115" spans="1:10" x14ac:dyDescent="0.2">
      <c r="A115" s="39">
        <f>A114+1</f>
        <v>31</v>
      </c>
      <c r="B115" s="39" t="s">
        <v>142</v>
      </c>
      <c r="D115" s="41">
        <f t="shared" si="23"/>
        <v>51558117</v>
      </c>
      <c r="E115" s="41">
        <f t="shared" si="23"/>
        <v>0</v>
      </c>
      <c r="F115" s="41">
        <f t="shared" si="23"/>
        <v>17791745</v>
      </c>
      <c r="G115" s="41">
        <f t="shared" si="23"/>
        <v>1811367</v>
      </c>
      <c r="H115" s="41">
        <f t="shared" si="23"/>
        <v>749917</v>
      </c>
      <c r="I115" s="41">
        <f t="shared" si="23"/>
        <v>0</v>
      </c>
      <c r="J115" s="41">
        <f>SUM(D115:I115)</f>
        <v>71911146</v>
      </c>
    </row>
    <row r="116" spans="1:10" x14ac:dyDescent="0.2">
      <c r="B116" s="42" t="s">
        <v>171</v>
      </c>
      <c r="D116" s="41"/>
      <c r="E116" s="41"/>
      <c r="F116" s="41"/>
      <c r="G116" s="41"/>
      <c r="H116" s="41"/>
      <c r="I116" s="41"/>
      <c r="J116" s="41"/>
    </row>
    <row r="117" spans="1:10" x14ac:dyDescent="0.2">
      <c r="A117" s="39">
        <f>A115+1</f>
        <v>32</v>
      </c>
      <c r="C117" s="39" t="s">
        <v>143</v>
      </c>
      <c r="D117" s="41">
        <f t="shared" ref="D117:I123" si="24">D82</f>
        <v>365548112</v>
      </c>
      <c r="E117" s="41">
        <f t="shared" si="24"/>
        <v>0</v>
      </c>
      <c r="F117" s="41">
        <f t="shared" si="24"/>
        <v>17662406</v>
      </c>
      <c r="G117" s="41">
        <f t="shared" si="24"/>
        <v>42711058</v>
      </c>
      <c r="H117" s="41">
        <f t="shared" si="24"/>
        <v>6108627</v>
      </c>
      <c r="I117" s="41">
        <f t="shared" si="24"/>
        <v>5680420</v>
      </c>
      <c r="J117" s="41">
        <f t="shared" ref="J117:J129" si="25">SUM(D117:I117)</f>
        <v>437710623</v>
      </c>
    </row>
    <row r="118" spans="1:10" x14ac:dyDescent="0.2">
      <c r="A118" s="39">
        <f t="shared" ref="A118:A129" si="26">A117+1</f>
        <v>33</v>
      </c>
      <c r="C118" s="39" t="s">
        <v>144</v>
      </c>
      <c r="D118" s="41">
        <f t="shared" si="24"/>
        <v>27412056</v>
      </c>
      <c r="E118" s="41">
        <f t="shared" si="24"/>
        <v>0</v>
      </c>
      <c r="F118" s="41">
        <f t="shared" si="24"/>
        <v>-498218</v>
      </c>
      <c r="G118" s="41">
        <f t="shared" si="24"/>
        <v>4828796</v>
      </c>
      <c r="H118" s="41">
        <f t="shared" si="24"/>
        <v>21012</v>
      </c>
      <c r="I118" s="41">
        <f t="shared" si="24"/>
        <v>0</v>
      </c>
      <c r="J118" s="41">
        <f t="shared" si="25"/>
        <v>31763646</v>
      </c>
    </row>
    <row r="119" spans="1:10" x14ac:dyDescent="0.2">
      <c r="A119" s="39">
        <f t="shared" si="26"/>
        <v>34</v>
      </c>
      <c r="B119" s="42"/>
      <c r="C119" s="42" t="s">
        <v>170</v>
      </c>
      <c r="D119" s="41">
        <f t="shared" si="24"/>
        <v>6935813</v>
      </c>
      <c r="E119" s="41">
        <f t="shared" si="24"/>
        <v>0</v>
      </c>
      <c r="F119" s="41">
        <f t="shared" si="24"/>
        <v>-126059</v>
      </c>
      <c r="G119" s="41">
        <f t="shared" si="24"/>
        <v>1605916</v>
      </c>
      <c r="H119" s="41">
        <f t="shared" si="24"/>
        <v>5316</v>
      </c>
      <c r="I119" s="41">
        <f t="shared" si="24"/>
        <v>0</v>
      </c>
      <c r="J119" s="41">
        <f t="shared" si="25"/>
        <v>8420986</v>
      </c>
    </row>
    <row r="120" spans="1:10" x14ac:dyDescent="0.2">
      <c r="A120" s="39">
        <f t="shared" si="26"/>
        <v>35</v>
      </c>
      <c r="B120" s="39" t="s">
        <v>145</v>
      </c>
      <c r="D120" s="41">
        <f t="shared" si="24"/>
        <v>22900210</v>
      </c>
      <c r="E120" s="41">
        <f t="shared" si="24"/>
        <v>0</v>
      </c>
      <c r="F120" s="41">
        <f t="shared" si="24"/>
        <v>0</v>
      </c>
      <c r="G120" s="41">
        <f t="shared" si="24"/>
        <v>1157438</v>
      </c>
      <c r="H120" s="41">
        <f t="shared" si="24"/>
        <v>62505</v>
      </c>
      <c r="I120" s="41">
        <f t="shared" si="24"/>
        <v>0</v>
      </c>
      <c r="J120" s="41">
        <f t="shared" si="25"/>
        <v>24120153</v>
      </c>
    </row>
    <row r="121" spans="1:10" x14ac:dyDescent="0.2">
      <c r="A121" s="39">
        <f t="shared" si="26"/>
        <v>36</v>
      </c>
      <c r="B121" s="39" t="s">
        <v>146</v>
      </c>
      <c r="D121" s="41">
        <f t="shared" si="24"/>
        <v>58957210</v>
      </c>
      <c r="E121" s="41">
        <f t="shared" si="24"/>
        <v>0</v>
      </c>
      <c r="F121" s="41">
        <f t="shared" si="24"/>
        <v>0</v>
      </c>
      <c r="G121" s="41">
        <f t="shared" si="24"/>
        <v>1102362</v>
      </c>
      <c r="H121" s="41">
        <f t="shared" si="24"/>
        <v>60355</v>
      </c>
      <c r="I121" s="41">
        <f t="shared" si="24"/>
        <v>0</v>
      </c>
      <c r="J121" s="41">
        <f t="shared" si="25"/>
        <v>60119927</v>
      </c>
    </row>
    <row r="122" spans="1:10" x14ac:dyDescent="0.2">
      <c r="A122" s="39">
        <f t="shared" si="26"/>
        <v>37</v>
      </c>
      <c r="B122" s="39" t="s">
        <v>148</v>
      </c>
      <c r="D122" s="41">
        <f t="shared" si="24"/>
        <v>208713</v>
      </c>
      <c r="E122" s="41">
        <f t="shared" si="24"/>
        <v>0</v>
      </c>
      <c r="F122" s="41">
        <f t="shared" si="24"/>
        <v>1849</v>
      </c>
      <c r="G122" s="41">
        <f t="shared" si="24"/>
        <v>10551</v>
      </c>
      <c r="H122" s="41">
        <f t="shared" si="24"/>
        <v>570</v>
      </c>
      <c r="I122" s="41">
        <f t="shared" si="24"/>
        <v>0</v>
      </c>
      <c r="J122" s="41">
        <f t="shared" si="25"/>
        <v>221683</v>
      </c>
    </row>
    <row r="123" spans="1:10" x14ac:dyDescent="0.2">
      <c r="A123" s="39">
        <f t="shared" si="26"/>
        <v>38</v>
      </c>
      <c r="B123" s="39" t="s">
        <v>244</v>
      </c>
      <c r="D123" s="41">
        <f t="shared" si="24"/>
        <v>0</v>
      </c>
      <c r="E123" s="41">
        <f t="shared" si="24"/>
        <v>-700000</v>
      </c>
      <c r="F123" s="41">
        <f t="shared" si="24"/>
        <v>0</v>
      </c>
      <c r="G123" s="41">
        <f t="shared" si="24"/>
        <v>0</v>
      </c>
      <c r="H123" s="41">
        <f t="shared" si="24"/>
        <v>0</v>
      </c>
      <c r="I123" s="41">
        <f t="shared" si="24"/>
        <v>0</v>
      </c>
      <c r="J123" s="41">
        <f t="shared" si="25"/>
        <v>-700000</v>
      </c>
    </row>
    <row r="124" spans="1:10" x14ac:dyDescent="0.2">
      <c r="A124" s="39">
        <f t="shared" si="26"/>
        <v>39</v>
      </c>
      <c r="B124" s="39" t="s">
        <v>147</v>
      </c>
      <c r="D124" s="41">
        <f t="shared" ref="D124:I124" si="27">D89-D104</f>
        <v>64363727</v>
      </c>
      <c r="E124" s="41">
        <f t="shared" si="27"/>
        <v>0</v>
      </c>
      <c r="F124" s="41">
        <f t="shared" si="27"/>
        <v>1443665</v>
      </c>
      <c r="G124" s="41">
        <f t="shared" si="27"/>
        <v>9308576</v>
      </c>
      <c r="H124" s="41">
        <f t="shared" si="27"/>
        <v>502690</v>
      </c>
      <c r="I124" s="41">
        <f t="shared" si="27"/>
        <v>0</v>
      </c>
      <c r="J124" s="41">
        <f t="shared" si="25"/>
        <v>75618658</v>
      </c>
    </row>
    <row r="125" spans="1:10" x14ac:dyDescent="0.2">
      <c r="A125" s="39">
        <f t="shared" si="26"/>
        <v>40</v>
      </c>
      <c r="B125" s="39" t="s">
        <v>149</v>
      </c>
      <c r="D125" s="41">
        <f t="shared" ref="D125:I127" si="28">D90-D105</f>
        <v>12026906</v>
      </c>
      <c r="E125" s="41">
        <f t="shared" si="28"/>
        <v>0</v>
      </c>
      <c r="F125" s="41">
        <f t="shared" si="28"/>
        <v>1462014</v>
      </c>
      <c r="G125" s="41">
        <f t="shared" si="28"/>
        <v>4473308</v>
      </c>
      <c r="H125" s="41">
        <f t="shared" si="28"/>
        <v>241571</v>
      </c>
      <c r="I125" s="41">
        <f t="shared" si="28"/>
        <v>0</v>
      </c>
      <c r="J125" s="41">
        <f t="shared" si="25"/>
        <v>18203799</v>
      </c>
    </row>
    <row r="126" spans="1:10" x14ac:dyDescent="0.2">
      <c r="A126" s="39">
        <f t="shared" si="26"/>
        <v>41</v>
      </c>
      <c r="B126" s="42" t="s">
        <v>173</v>
      </c>
      <c r="D126" s="41">
        <f t="shared" si="28"/>
        <v>2515609</v>
      </c>
      <c r="E126" s="41">
        <f t="shared" si="28"/>
        <v>0</v>
      </c>
      <c r="F126" s="41">
        <f t="shared" si="28"/>
        <v>466682</v>
      </c>
      <c r="G126" s="41">
        <f t="shared" si="28"/>
        <v>1595276</v>
      </c>
      <c r="H126" s="41">
        <f t="shared" si="28"/>
        <v>883</v>
      </c>
      <c r="I126" s="41">
        <f t="shared" si="28"/>
        <v>0</v>
      </c>
      <c r="J126" s="41">
        <f t="shared" si="25"/>
        <v>4578450</v>
      </c>
    </row>
    <row r="127" spans="1:10" x14ac:dyDescent="0.2">
      <c r="A127" s="39">
        <f t="shared" si="26"/>
        <v>42</v>
      </c>
      <c r="B127" s="42" t="s">
        <v>168</v>
      </c>
      <c r="C127" s="42"/>
      <c r="D127" s="41">
        <f t="shared" si="28"/>
        <v>42549378</v>
      </c>
      <c r="E127" s="41">
        <f t="shared" si="28"/>
        <v>9020398</v>
      </c>
      <c r="F127" s="41">
        <f t="shared" si="28"/>
        <v>0</v>
      </c>
      <c r="G127" s="41">
        <f t="shared" si="28"/>
        <v>5240465</v>
      </c>
      <c r="H127" s="41">
        <f t="shared" si="28"/>
        <v>0</v>
      </c>
      <c r="I127" s="41">
        <f t="shared" si="28"/>
        <v>0</v>
      </c>
      <c r="J127" s="41">
        <f t="shared" si="25"/>
        <v>56810241</v>
      </c>
    </row>
    <row r="128" spans="1:10" x14ac:dyDescent="0.2">
      <c r="A128" s="39">
        <f t="shared" si="26"/>
        <v>43</v>
      </c>
      <c r="B128" s="42" t="s">
        <v>163</v>
      </c>
      <c r="C128" s="42"/>
      <c r="D128" s="41">
        <f t="shared" ref="D128:I128" si="29">D93-D108-D129</f>
        <v>58073001</v>
      </c>
      <c r="E128" s="41">
        <f t="shared" si="29"/>
        <v>0</v>
      </c>
      <c r="F128" s="41">
        <f t="shared" si="29"/>
        <v>10236382</v>
      </c>
      <c r="G128" s="41">
        <f t="shared" si="29"/>
        <v>0</v>
      </c>
      <c r="H128" s="41">
        <f t="shared" si="29"/>
        <v>0</v>
      </c>
      <c r="I128" s="41">
        <f t="shared" si="29"/>
        <v>0</v>
      </c>
      <c r="J128" s="41">
        <f t="shared" si="25"/>
        <v>68309383</v>
      </c>
    </row>
    <row r="129" spans="1:11" x14ac:dyDescent="0.2">
      <c r="A129" s="39">
        <f t="shared" si="26"/>
        <v>44</v>
      </c>
      <c r="B129" s="39" t="s">
        <v>151</v>
      </c>
      <c r="D129" s="41">
        <v>8501953</v>
      </c>
      <c r="E129" s="41">
        <v>0</v>
      </c>
      <c r="F129" s="41">
        <v>0</v>
      </c>
      <c r="G129" s="41">
        <v>0</v>
      </c>
      <c r="H129" s="41">
        <v>0</v>
      </c>
      <c r="I129" s="41">
        <v>0</v>
      </c>
      <c r="J129" s="41">
        <f t="shared" si="25"/>
        <v>8501953</v>
      </c>
    </row>
    <row r="130" spans="1:11" x14ac:dyDescent="0.2">
      <c r="B130" s="42" t="s">
        <v>172</v>
      </c>
      <c r="D130" s="41"/>
      <c r="E130" s="41"/>
      <c r="F130" s="41"/>
      <c r="G130" s="41"/>
      <c r="H130" s="41"/>
      <c r="I130" s="41"/>
      <c r="J130" s="41"/>
    </row>
    <row r="131" spans="1:11" x14ac:dyDescent="0.2">
      <c r="A131" s="39">
        <f>A129+1</f>
        <v>45</v>
      </c>
      <c r="B131" s="42"/>
      <c r="C131" s="42" t="s">
        <v>175</v>
      </c>
      <c r="D131" s="41">
        <f t="shared" ref="D131:I131" si="30">D95</f>
        <v>1150314</v>
      </c>
      <c r="E131" s="41">
        <f t="shared" si="30"/>
        <v>0</v>
      </c>
      <c r="F131" s="41">
        <f t="shared" si="30"/>
        <v>-1697560</v>
      </c>
      <c r="G131" s="41">
        <f t="shared" si="30"/>
        <v>1014179</v>
      </c>
      <c r="H131" s="41">
        <f t="shared" si="30"/>
        <v>56339</v>
      </c>
      <c r="I131" s="41">
        <f t="shared" si="30"/>
        <v>0</v>
      </c>
      <c r="J131" s="41">
        <f>SUM(D131:I131)</f>
        <v>523272</v>
      </c>
    </row>
    <row r="132" spans="1:11" x14ac:dyDescent="0.2">
      <c r="A132" s="39">
        <f>A131+1</f>
        <v>46</v>
      </c>
      <c r="B132" s="42"/>
      <c r="C132" s="42" t="s">
        <v>182</v>
      </c>
      <c r="D132" s="41">
        <f t="shared" ref="D132:I135" si="31">D96</f>
        <v>2409310</v>
      </c>
      <c r="E132" s="41">
        <f t="shared" si="31"/>
        <v>0</v>
      </c>
      <c r="F132" s="41">
        <f t="shared" si="31"/>
        <v>0</v>
      </c>
      <c r="G132" s="41">
        <f t="shared" si="31"/>
        <v>-2410013</v>
      </c>
      <c r="H132" s="41">
        <f t="shared" si="31"/>
        <v>0</v>
      </c>
      <c r="I132" s="41">
        <f t="shared" si="31"/>
        <v>0</v>
      </c>
      <c r="J132" s="41">
        <f>SUM(D132:I132)</f>
        <v>-703</v>
      </c>
    </row>
    <row r="133" spans="1:11" x14ac:dyDescent="0.2">
      <c r="A133" s="39">
        <f>A132+1</f>
        <v>47</v>
      </c>
      <c r="B133" s="42"/>
      <c r="C133" s="42" t="s">
        <v>201</v>
      </c>
      <c r="D133" s="41">
        <f t="shared" si="31"/>
        <v>0</v>
      </c>
      <c r="E133" s="41">
        <f t="shared" si="31"/>
        <v>0</v>
      </c>
      <c r="F133" s="41">
        <f t="shared" si="31"/>
        <v>0</v>
      </c>
      <c r="G133" s="41">
        <f t="shared" si="31"/>
        <v>0</v>
      </c>
      <c r="H133" s="41">
        <f t="shared" si="31"/>
        <v>0</v>
      </c>
      <c r="I133" s="41">
        <f t="shared" si="31"/>
        <v>0</v>
      </c>
      <c r="J133" s="41">
        <f>SUM(D133:I133)</f>
        <v>0</v>
      </c>
    </row>
    <row r="134" spans="1:11" x14ac:dyDescent="0.2">
      <c r="A134" s="39">
        <f>A133+1</f>
        <v>48</v>
      </c>
      <c r="B134" s="42"/>
      <c r="C134" s="42" t="s">
        <v>183</v>
      </c>
      <c r="D134" s="41">
        <f t="shared" si="31"/>
        <v>609397</v>
      </c>
      <c r="E134" s="41">
        <f t="shared" si="31"/>
        <v>0</v>
      </c>
      <c r="F134" s="41">
        <f t="shared" si="31"/>
        <v>0</v>
      </c>
      <c r="G134" s="41">
        <f t="shared" si="31"/>
        <v>-588778</v>
      </c>
      <c r="H134" s="41">
        <f t="shared" si="31"/>
        <v>0</v>
      </c>
      <c r="I134" s="41">
        <f t="shared" si="31"/>
        <v>0</v>
      </c>
      <c r="J134" s="41">
        <f>SUM(D134:I134)</f>
        <v>20619</v>
      </c>
    </row>
    <row r="135" spans="1:11" x14ac:dyDescent="0.2">
      <c r="A135" s="39">
        <f>A134+1</f>
        <v>49</v>
      </c>
      <c r="B135" s="42"/>
      <c r="C135" s="42" t="s">
        <v>251</v>
      </c>
      <c r="D135" s="41">
        <f t="shared" si="31"/>
        <v>-196</v>
      </c>
      <c r="E135" s="41">
        <f t="shared" si="31"/>
        <v>0</v>
      </c>
      <c r="F135" s="41">
        <f t="shared" si="31"/>
        <v>0</v>
      </c>
      <c r="G135" s="41">
        <f t="shared" si="31"/>
        <v>0</v>
      </c>
      <c r="H135" s="41">
        <f t="shared" si="31"/>
        <v>0</v>
      </c>
      <c r="I135" s="41">
        <f t="shared" si="31"/>
        <v>0</v>
      </c>
      <c r="J135" s="41">
        <f>SUM(D135:I135)</f>
        <v>-196</v>
      </c>
    </row>
    <row r="136" spans="1:11" x14ac:dyDescent="0.2">
      <c r="D136" s="41"/>
      <c r="E136" s="41"/>
      <c r="F136" s="41"/>
      <c r="G136" s="41"/>
      <c r="H136" s="41"/>
      <c r="I136" s="41"/>
      <c r="J136" s="41"/>
    </row>
    <row r="137" spans="1:11" x14ac:dyDescent="0.2">
      <c r="A137" s="39">
        <f>A135+1</f>
        <v>50</v>
      </c>
      <c r="B137" s="42" t="s">
        <v>184</v>
      </c>
      <c r="C137" s="42"/>
      <c r="D137" s="41">
        <f t="shared" ref="D137:J137" si="32">SUM(D113:D135)</f>
        <v>5334932234</v>
      </c>
      <c r="E137" s="41">
        <f t="shared" si="32"/>
        <v>8320398</v>
      </c>
      <c r="F137" s="41">
        <f t="shared" si="32"/>
        <v>87578471</v>
      </c>
      <c r="G137" s="41">
        <f t="shared" si="32"/>
        <v>304823608</v>
      </c>
      <c r="H137" s="41">
        <f t="shared" si="32"/>
        <v>20390468</v>
      </c>
      <c r="I137" s="41">
        <f t="shared" si="32"/>
        <v>5680420</v>
      </c>
      <c r="J137" s="41">
        <f t="shared" si="32"/>
        <v>5761725599</v>
      </c>
      <c r="K137" s="43"/>
    </row>
    <row r="138" spans="1:11" x14ac:dyDescent="0.2">
      <c r="A138" s="39">
        <f>A137+1</f>
        <v>51</v>
      </c>
      <c r="B138" s="173" t="s">
        <v>397</v>
      </c>
      <c r="C138" s="42"/>
      <c r="D138" s="41">
        <f t="shared" ref="D138:J138" si="33">D137</f>
        <v>5334932234</v>
      </c>
      <c r="E138" s="41">
        <f t="shared" si="33"/>
        <v>8320398</v>
      </c>
      <c r="F138" s="41">
        <f t="shared" si="33"/>
        <v>87578471</v>
      </c>
      <c r="G138" s="41">
        <f t="shared" si="33"/>
        <v>304823608</v>
      </c>
      <c r="H138" s="41">
        <f t="shared" si="33"/>
        <v>20390468</v>
      </c>
      <c r="I138" s="41">
        <f t="shared" si="33"/>
        <v>5680420</v>
      </c>
      <c r="J138" s="41">
        <f t="shared" si="33"/>
        <v>5761725599</v>
      </c>
      <c r="K138" s="43"/>
    </row>
    <row r="139" spans="1:11" x14ac:dyDescent="0.2">
      <c r="A139" s="39">
        <f>A138+1</f>
        <v>52</v>
      </c>
      <c r="B139" s="42" t="s">
        <v>303</v>
      </c>
      <c r="C139" s="42"/>
      <c r="D139" s="127" t="s">
        <v>302</v>
      </c>
      <c r="E139" s="127" t="s">
        <v>302</v>
      </c>
      <c r="F139" s="127" t="s">
        <v>302</v>
      </c>
      <c r="G139" s="127" t="s">
        <v>302</v>
      </c>
      <c r="H139" s="127" t="s">
        <v>302</v>
      </c>
      <c r="I139" s="127" t="s">
        <v>302</v>
      </c>
      <c r="J139" s="127" t="s">
        <v>302</v>
      </c>
    </row>
    <row r="140" spans="1:11" x14ac:dyDescent="0.2">
      <c r="B140" s="42"/>
      <c r="C140" s="42"/>
      <c r="D140" s="41"/>
      <c r="E140" s="41"/>
      <c r="F140" s="41"/>
      <c r="G140" s="41"/>
      <c r="H140" s="41"/>
      <c r="I140" s="41"/>
      <c r="J140" s="41"/>
    </row>
    <row r="141" spans="1:11" x14ac:dyDescent="0.2">
      <c r="A141" s="39">
        <f>A139+1</f>
        <v>53</v>
      </c>
      <c r="B141" s="42" t="s">
        <v>166</v>
      </c>
      <c r="C141" s="42"/>
      <c r="D141" s="41">
        <v>-29548624</v>
      </c>
      <c r="E141" s="41">
        <v>0</v>
      </c>
      <c r="F141" s="41">
        <v>0</v>
      </c>
      <c r="G141" s="41">
        <v>-1480513</v>
      </c>
      <c r="H141" s="41">
        <v>-79952</v>
      </c>
      <c r="I141" s="41">
        <v>0</v>
      </c>
      <c r="J141" s="41">
        <f>SUM(D141:I141)</f>
        <v>-31109089</v>
      </c>
      <c r="K141" s="43"/>
    </row>
    <row r="143" spans="1:11" x14ac:dyDescent="0.2">
      <c r="A143" s="107" t="s">
        <v>162</v>
      </c>
      <c r="B143" s="107"/>
      <c r="C143" s="108"/>
      <c r="D143" s="109" t="s">
        <v>176</v>
      </c>
      <c r="E143" s="109" t="s">
        <v>181</v>
      </c>
      <c r="F143" s="109" t="s">
        <v>177</v>
      </c>
      <c r="G143" s="109" t="s">
        <v>178</v>
      </c>
      <c r="H143" s="109" t="s">
        <v>179</v>
      </c>
      <c r="I143" s="109" t="s">
        <v>370</v>
      </c>
      <c r="J143" s="109" t="s">
        <v>180</v>
      </c>
    </row>
    <row r="145" spans="1:10" x14ac:dyDescent="0.2">
      <c r="A145" s="39">
        <v>1</v>
      </c>
      <c r="B145" s="39" t="s">
        <v>140</v>
      </c>
      <c r="D145" s="43">
        <f t="shared" ref="D145:J145" si="34">D5-D75</f>
        <v>1526</v>
      </c>
      <c r="E145" s="43">
        <f t="shared" si="34"/>
        <v>0</v>
      </c>
      <c r="F145" s="43">
        <f t="shared" si="34"/>
        <v>-2417</v>
      </c>
      <c r="G145" s="43">
        <f t="shared" si="34"/>
        <v>-6</v>
      </c>
      <c r="H145" s="43">
        <f>H5-H75</f>
        <v>-625</v>
      </c>
      <c r="I145" s="43">
        <f t="shared" si="34"/>
        <v>0</v>
      </c>
      <c r="J145" s="43">
        <f t="shared" si="34"/>
        <v>-1522</v>
      </c>
    </row>
    <row r="146" spans="1:10" x14ac:dyDescent="0.2">
      <c r="E146" s="43"/>
      <c r="F146" s="43"/>
      <c r="G146" s="43"/>
      <c r="H146" s="43"/>
      <c r="I146" s="43"/>
      <c r="J146" s="43"/>
    </row>
    <row r="147" spans="1:10" x14ac:dyDescent="0.2">
      <c r="B147" s="42" t="s">
        <v>155</v>
      </c>
      <c r="D147" s="40"/>
      <c r="E147" s="40"/>
      <c r="F147" s="40"/>
      <c r="G147" s="40"/>
      <c r="H147" s="40"/>
      <c r="I147" s="40"/>
      <c r="J147" s="40"/>
    </row>
    <row r="148" spans="1:10" x14ac:dyDescent="0.2">
      <c r="A148" s="39">
        <f>A145+1</f>
        <v>2</v>
      </c>
      <c r="B148" s="39" t="s">
        <v>141</v>
      </c>
      <c r="D148" s="43">
        <f t="shared" ref="D148:J150" si="35">D8-D78</f>
        <v>7817017</v>
      </c>
      <c r="E148" s="43">
        <f t="shared" si="35"/>
        <v>0</v>
      </c>
      <c r="F148" s="43">
        <f t="shared" si="35"/>
        <v>-12384503</v>
      </c>
      <c r="G148" s="43">
        <f t="shared" si="35"/>
        <v>-29563</v>
      </c>
      <c r="H148" s="43">
        <f>H8-H78</f>
        <v>-3199374</v>
      </c>
      <c r="I148" s="43">
        <f t="shared" si="35"/>
        <v>0</v>
      </c>
      <c r="J148" s="43">
        <f t="shared" si="35"/>
        <v>-7796423</v>
      </c>
    </row>
    <row r="149" spans="1:10" x14ac:dyDescent="0.2">
      <c r="A149" s="39">
        <f>A148+1</f>
        <v>3</v>
      </c>
      <c r="B149" s="42" t="s">
        <v>167</v>
      </c>
      <c r="C149" s="42"/>
      <c r="D149" s="43">
        <f t="shared" si="35"/>
        <v>18309</v>
      </c>
      <c r="E149" s="43">
        <f t="shared" si="35"/>
        <v>0</v>
      </c>
      <c r="F149" s="43">
        <f t="shared" si="35"/>
        <v>-29003</v>
      </c>
      <c r="G149" s="43">
        <f t="shared" si="35"/>
        <v>-77</v>
      </c>
      <c r="H149" s="43">
        <f>H9-H79</f>
        <v>-7493</v>
      </c>
      <c r="I149" s="43">
        <f t="shared" si="35"/>
        <v>0</v>
      </c>
      <c r="J149" s="43">
        <f t="shared" si="35"/>
        <v>-18264</v>
      </c>
    </row>
    <row r="150" spans="1:10" x14ac:dyDescent="0.2">
      <c r="A150" s="39">
        <f>A149+1</f>
        <v>4</v>
      </c>
      <c r="B150" s="39" t="s">
        <v>142</v>
      </c>
      <c r="D150" s="43">
        <f t="shared" si="35"/>
        <v>1108429</v>
      </c>
      <c r="E150" s="43">
        <f t="shared" si="35"/>
        <v>0</v>
      </c>
      <c r="F150" s="43">
        <f t="shared" si="35"/>
        <v>-1281333</v>
      </c>
      <c r="G150" s="43">
        <f t="shared" si="35"/>
        <v>-23925</v>
      </c>
      <c r="H150" s="43">
        <f>H10-H80</f>
        <v>63632</v>
      </c>
      <c r="I150" s="43">
        <f t="shared" si="35"/>
        <v>0</v>
      </c>
      <c r="J150" s="43">
        <f t="shared" si="35"/>
        <v>-133197</v>
      </c>
    </row>
    <row r="151" spans="1:10" x14ac:dyDescent="0.2">
      <c r="B151" s="42" t="s">
        <v>171</v>
      </c>
      <c r="D151" s="43"/>
      <c r="E151" s="43"/>
      <c r="F151" s="43"/>
      <c r="G151" s="43"/>
      <c r="H151" s="43"/>
      <c r="I151" s="43"/>
      <c r="J151" s="43"/>
    </row>
    <row r="152" spans="1:10" x14ac:dyDescent="0.2">
      <c r="A152" s="39">
        <f>A150+1</f>
        <v>5</v>
      </c>
      <c r="C152" s="39" t="s">
        <v>143</v>
      </c>
      <c r="D152" s="43">
        <f t="shared" ref="D152:J163" si="36">D12-D82</f>
        <v>13214135</v>
      </c>
      <c r="E152" s="43">
        <f t="shared" si="36"/>
        <v>0</v>
      </c>
      <c r="F152" s="43">
        <f t="shared" si="36"/>
        <v>-16662406</v>
      </c>
      <c r="G152" s="43">
        <f t="shared" si="36"/>
        <v>3518423</v>
      </c>
      <c r="H152" s="43">
        <f t="shared" ref="H152:H163" si="37">H12-H82</f>
        <v>-4758072</v>
      </c>
      <c r="I152" s="43">
        <f t="shared" si="36"/>
        <v>-62253</v>
      </c>
      <c r="J152" s="43">
        <f t="shared" si="36"/>
        <v>-4750173</v>
      </c>
    </row>
    <row r="153" spans="1:10" x14ac:dyDescent="0.2">
      <c r="A153" s="39">
        <f t="shared" ref="A153:A163" si="38">A152+1</f>
        <v>6</v>
      </c>
      <c r="C153" s="39" t="s">
        <v>144</v>
      </c>
      <c r="D153" s="43">
        <f t="shared" si="36"/>
        <v>0</v>
      </c>
      <c r="E153" s="43">
        <f t="shared" si="36"/>
        <v>0</v>
      </c>
      <c r="F153" s="43">
        <f t="shared" si="36"/>
        <v>-29533</v>
      </c>
      <c r="G153" s="43">
        <f t="shared" si="36"/>
        <v>0</v>
      </c>
      <c r="H153" s="43">
        <f t="shared" si="37"/>
        <v>-24193</v>
      </c>
      <c r="I153" s="43">
        <f t="shared" si="36"/>
        <v>0</v>
      </c>
      <c r="J153" s="43">
        <f t="shared" si="36"/>
        <v>-53726</v>
      </c>
    </row>
    <row r="154" spans="1:10" x14ac:dyDescent="0.2">
      <c r="A154" s="39">
        <f t="shared" si="38"/>
        <v>7</v>
      </c>
      <c r="B154" s="42"/>
      <c r="C154" s="42" t="s">
        <v>170</v>
      </c>
      <c r="D154" s="43">
        <f t="shared" si="36"/>
        <v>-615</v>
      </c>
      <c r="E154" s="43">
        <f t="shared" si="36"/>
        <v>0</v>
      </c>
      <c r="F154" s="43">
        <f t="shared" si="36"/>
        <v>-7461</v>
      </c>
      <c r="G154" s="43">
        <f t="shared" si="36"/>
        <v>18</v>
      </c>
      <c r="H154" s="43">
        <f t="shared" si="37"/>
        <v>-6121</v>
      </c>
      <c r="I154" s="43">
        <f t="shared" si="36"/>
        <v>0</v>
      </c>
      <c r="J154" s="43">
        <f t="shared" si="36"/>
        <v>-14179</v>
      </c>
    </row>
    <row r="155" spans="1:10" x14ac:dyDescent="0.2">
      <c r="A155" s="39">
        <f t="shared" si="38"/>
        <v>8</v>
      </c>
      <c r="B155" s="39" t="s">
        <v>145</v>
      </c>
      <c r="D155" s="43">
        <f t="shared" si="36"/>
        <v>25312</v>
      </c>
      <c r="E155" s="43">
        <f t="shared" si="36"/>
        <v>0</v>
      </c>
      <c r="F155" s="43">
        <f t="shared" si="36"/>
        <v>0</v>
      </c>
      <c r="G155" s="43">
        <f t="shared" si="36"/>
        <v>-827</v>
      </c>
      <c r="H155" s="43">
        <f t="shared" si="37"/>
        <v>-15960</v>
      </c>
      <c r="I155" s="43">
        <f t="shared" si="36"/>
        <v>0</v>
      </c>
      <c r="J155" s="43">
        <f t="shared" si="36"/>
        <v>8525</v>
      </c>
    </row>
    <row r="156" spans="1:10" x14ac:dyDescent="0.2">
      <c r="A156" s="39">
        <f t="shared" si="38"/>
        <v>9</v>
      </c>
      <c r="B156" s="39" t="s">
        <v>146</v>
      </c>
      <c r="D156" s="43">
        <f t="shared" si="36"/>
        <v>130744</v>
      </c>
      <c r="E156" s="43">
        <f t="shared" si="36"/>
        <v>0</v>
      </c>
      <c r="F156" s="43">
        <f t="shared" si="36"/>
        <v>0</v>
      </c>
      <c r="G156" s="43">
        <f t="shared" si="36"/>
        <v>13903</v>
      </c>
      <c r="H156" s="43">
        <f t="shared" si="37"/>
        <v>-14991</v>
      </c>
      <c r="I156" s="43">
        <f t="shared" si="36"/>
        <v>0</v>
      </c>
      <c r="J156" s="43">
        <f t="shared" si="36"/>
        <v>129656</v>
      </c>
    </row>
    <row r="157" spans="1:10" x14ac:dyDescent="0.2">
      <c r="A157" s="39">
        <f t="shared" si="38"/>
        <v>10</v>
      </c>
      <c r="B157" s="39" t="s">
        <v>148</v>
      </c>
      <c r="D157" s="43">
        <f t="shared" si="36"/>
        <v>2088</v>
      </c>
      <c r="E157" s="43">
        <f t="shared" si="36"/>
        <v>0</v>
      </c>
      <c r="F157" s="43">
        <f t="shared" si="36"/>
        <v>-551</v>
      </c>
      <c r="G157" s="43">
        <f t="shared" si="36"/>
        <v>85</v>
      </c>
      <c r="H157" s="43">
        <f t="shared" si="37"/>
        <v>-142</v>
      </c>
      <c r="I157" s="43">
        <f t="shared" si="36"/>
        <v>0</v>
      </c>
      <c r="J157" s="43">
        <f t="shared" si="36"/>
        <v>1480</v>
      </c>
    </row>
    <row r="158" spans="1:10" x14ac:dyDescent="0.2">
      <c r="A158" s="39">
        <f t="shared" si="38"/>
        <v>11</v>
      </c>
      <c r="B158" s="39" t="s">
        <v>244</v>
      </c>
      <c r="D158" s="43">
        <f t="shared" si="36"/>
        <v>0</v>
      </c>
      <c r="E158" s="43">
        <f t="shared" si="36"/>
        <v>0</v>
      </c>
      <c r="F158" s="43">
        <f t="shared" si="36"/>
        <v>0</v>
      </c>
      <c r="G158" s="43">
        <f t="shared" si="36"/>
        <v>0</v>
      </c>
      <c r="H158" s="43">
        <f t="shared" si="37"/>
        <v>0</v>
      </c>
      <c r="I158" s="43">
        <f t="shared" si="36"/>
        <v>0</v>
      </c>
      <c r="J158" s="43">
        <f t="shared" si="36"/>
        <v>0</v>
      </c>
    </row>
    <row r="159" spans="1:10" x14ac:dyDescent="0.2">
      <c r="A159" s="39">
        <f t="shared" si="38"/>
        <v>12</v>
      </c>
      <c r="B159" s="39" t="s">
        <v>147</v>
      </c>
      <c r="D159" s="43">
        <f t="shared" si="36"/>
        <v>313773</v>
      </c>
      <c r="E159" s="43">
        <f t="shared" si="36"/>
        <v>0</v>
      </c>
      <c r="F159" s="43">
        <f t="shared" si="36"/>
        <v>-496006</v>
      </c>
      <c r="G159" s="43">
        <f t="shared" si="36"/>
        <v>-1149</v>
      </c>
      <c r="H159" s="43">
        <f t="shared" si="37"/>
        <v>-128136</v>
      </c>
      <c r="I159" s="43">
        <f t="shared" si="36"/>
        <v>0</v>
      </c>
      <c r="J159" s="43">
        <f t="shared" si="36"/>
        <v>-311518</v>
      </c>
    </row>
    <row r="160" spans="1:10" x14ac:dyDescent="0.2">
      <c r="A160" s="39">
        <f t="shared" si="38"/>
        <v>13</v>
      </c>
      <c r="B160" s="39" t="s">
        <v>149</v>
      </c>
      <c r="D160" s="43">
        <f t="shared" si="36"/>
        <v>-309363</v>
      </c>
      <c r="E160" s="43">
        <f t="shared" si="36"/>
        <v>0</v>
      </c>
      <c r="F160" s="43">
        <f t="shared" si="36"/>
        <v>-241192</v>
      </c>
      <c r="G160" s="43">
        <f t="shared" si="36"/>
        <v>-23780</v>
      </c>
      <c r="H160" s="43">
        <f t="shared" si="37"/>
        <v>-62511</v>
      </c>
      <c r="I160" s="43">
        <f t="shared" si="36"/>
        <v>0</v>
      </c>
      <c r="J160" s="43">
        <f t="shared" si="36"/>
        <v>-636846</v>
      </c>
    </row>
    <row r="161" spans="1:10" x14ac:dyDescent="0.2">
      <c r="A161" s="39">
        <f t="shared" si="38"/>
        <v>14</v>
      </c>
      <c r="B161" s="42" t="s">
        <v>173</v>
      </c>
      <c r="D161" s="43">
        <f t="shared" si="36"/>
        <v>60782</v>
      </c>
      <c r="E161" s="43">
        <f t="shared" si="36"/>
        <v>0</v>
      </c>
      <c r="F161" s="43">
        <f t="shared" si="36"/>
        <v>-73395</v>
      </c>
      <c r="G161" s="43">
        <f t="shared" si="36"/>
        <v>-7368</v>
      </c>
      <c r="H161" s="43">
        <f t="shared" si="37"/>
        <v>-883</v>
      </c>
      <c r="I161" s="43">
        <f t="shared" si="36"/>
        <v>0</v>
      </c>
      <c r="J161" s="43">
        <f t="shared" si="36"/>
        <v>-20864</v>
      </c>
    </row>
    <row r="162" spans="1:10" x14ac:dyDescent="0.2">
      <c r="A162" s="39">
        <f t="shared" si="38"/>
        <v>15</v>
      </c>
      <c r="B162" s="42" t="s">
        <v>168</v>
      </c>
      <c r="C162" s="42"/>
      <c r="D162" s="43">
        <f t="shared" si="36"/>
        <v>8910762</v>
      </c>
      <c r="E162" s="43">
        <f t="shared" si="36"/>
        <v>-9655027</v>
      </c>
      <c r="F162" s="43">
        <f t="shared" si="36"/>
        <v>0</v>
      </c>
      <c r="G162" s="43">
        <f t="shared" si="36"/>
        <v>-89731</v>
      </c>
      <c r="H162" s="43">
        <f t="shared" si="37"/>
        <v>0</v>
      </c>
      <c r="I162" s="43">
        <f t="shared" si="36"/>
        <v>0</v>
      </c>
      <c r="J162" s="43">
        <f t="shared" si="36"/>
        <v>-833996</v>
      </c>
    </row>
    <row r="163" spans="1:10" x14ac:dyDescent="0.2">
      <c r="A163" s="39">
        <f t="shared" si="38"/>
        <v>16</v>
      </c>
      <c r="B163" s="39" t="s">
        <v>150</v>
      </c>
      <c r="D163" s="43">
        <f t="shared" si="36"/>
        <v>863855</v>
      </c>
      <c r="E163" s="43">
        <f t="shared" si="36"/>
        <v>0</v>
      </c>
      <c r="F163" s="43">
        <f t="shared" si="36"/>
        <v>-936802</v>
      </c>
      <c r="G163" s="43">
        <f t="shared" si="36"/>
        <v>0</v>
      </c>
      <c r="H163" s="43">
        <f t="shared" si="37"/>
        <v>0</v>
      </c>
      <c r="I163" s="43">
        <f t="shared" si="36"/>
        <v>0</v>
      </c>
      <c r="J163" s="43">
        <f t="shared" si="36"/>
        <v>-72947</v>
      </c>
    </row>
    <row r="164" spans="1:10" x14ac:dyDescent="0.2">
      <c r="B164" s="42" t="s">
        <v>172</v>
      </c>
      <c r="D164" s="43"/>
      <c r="E164" s="43"/>
      <c r="F164" s="43"/>
      <c r="G164" s="43"/>
      <c r="H164" s="43"/>
      <c r="I164" s="43"/>
      <c r="J164" s="43"/>
    </row>
    <row r="165" spans="1:10" x14ac:dyDescent="0.2">
      <c r="A165" s="39">
        <f>A163+1</f>
        <v>17</v>
      </c>
      <c r="B165" s="42"/>
      <c r="C165" s="42" t="s">
        <v>175</v>
      </c>
      <c r="D165" s="43">
        <f t="shared" ref="D165:J169" si="39">D25-D95</f>
        <v>-107864</v>
      </c>
      <c r="E165" s="43">
        <f t="shared" si="39"/>
        <v>0</v>
      </c>
      <c r="F165" s="43">
        <f t="shared" si="39"/>
        <v>-121445</v>
      </c>
      <c r="G165" s="43">
        <f t="shared" si="39"/>
        <v>28267</v>
      </c>
      <c r="H165" s="43">
        <f>H25-H95</f>
        <v>-12536</v>
      </c>
      <c r="I165" s="43">
        <f t="shared" si="39"/>
        <v>0</v>
      </c>
      <c r="J165" s="43">
        <f t="shared" si="39"/>
        <v>-213578</v>
      </c>
    </row>
    <row r="166" spans="1:10" x14ac:dyDescent="0.2">
      <c r="A166" s="39">
        <f>A165+1</f>
        <v>18</v>
      </c>
      <c r="B166" s="42"/>
      <c r="C166" s="42" t="s">
        <v>182</v>
      </c>
      <c r="D166" s="43">
        <f t="shared" si="39"/>
        <v>-82257</v>
      </c>
      <c r="E166" s="43">
        <f t="shared" si="39"/>
        <v>0</v>
      </c>
      <c r="F166" s="43">
        <f t="shared" si="39"/>
        <v>0</v>
      </c>
      <c r="G166" s="43">
        <f t="shared" si="39"/>
        <v>82180</v>
      </c>
      <c r="H166" s="43">
        <f>H26-H96</f>
        <v>0</v>
      </c>
      <c r="I166" s="43">
        <f t="shared" si="39"/>
        <v>0</v>
      </c>
      <c r="J166" s="43">
        <f t="shared" si="39"/>
        <v>-77</v>
      </c>
    </row>
    <row r="167" spans="1:10" x14ac:dyDescent="0.2">
      <c r="A167" s="39">
        <f>A166+1</f>
        <v>19</v>
      </c>
      <c r="B167" s="42"/>
      <c r="C167" s="42" t="s">
        <v>201</v>
      </c>
      <c r="D167" s="43">
        <f t="shared" si="39"/>
        <v>0</v>
      </c>
      <c r="E167" s="43">
        <f t="shared" si="39"/>
        <v>0</v>
      </c>
      <c r="F167" s="43">
        <f t="shared" si="39"/>
        <v>0</v>
      </c>
      <c r="G167" s="43">
        <f t="shared" si="39"/>
        <v>0</v>
      </c>
      <c r="H167" s="43">
        <f>H27-H97</f>
        <v>0</v>
      </c>
      <c r="I167" s="43">
        <f t="shared" si="39"/>
        <v>0</v>
      </c>
      <c r="J167" s="43">
        <f t="shared" si="39"/>
        <v>0</v>
      </c>
    </row>
    <row r="168" spans="1:10" x14ac:dyDescent="0.2">
      <c r="A168" s="39">
        <f>A167+1</f>
        <v>20</v>
      </c>
      <c r="B168" s="42"/>
      <c r="C168" s="42" t="s">
        <v>183</v>
      </c>
      <c r="D168" s="43">
        <f t="shared" si="39"/>
        <v>7287</v>
      </c>
      <c r="E168" s="43">
        <f t="shared" si="39"/>
        <v>0</v>
      </c>
      <c r="F168" s="43">
        <f t="shared" si="39"/>
        <v>0</v>
      </c>
      <c r="G168" s="43">
        <f t="shared" si="39"/>
        <v>1886</v>
      </c>
      <c r="H168" s="43">
        <f>H28-H98</f>
        <v>0</v>
      </c>
      <c r="I168" s="43">
        <f t="shared" si="39"/>
        <v>0</v>
      </c>
      <c r="J168" s="43">
        <f t="shared" si="39"/>
        <v>9173</v>
      </c>
    </row>
    <row r="169" spans="1:10" x14ac:dyDescent="0.2">
      <c r="A169" s="39">
        <f>A168+1</f>
        <v>21</v>
      </c>
      <c r="B169" s="42"/>
      <c r="C169" s="42" t="s">
        <v>251</v>
      </c>
      <c r="D169" s="43">
        <f t="shared" si="39"/>
        <v>1</v>
      </c>
      <c r="E169" s="43">
        <f t="shared" si="39"/>
        <v>0</v>
      </c>
      <c r="F169" s="43">
        <f t="shared" si="39"/>
        <v>0</v>
      </c>
      <c r="G169" s="43">
        <f t="shared" si="39"/>
        <v>0</v>
      </c>
      <c r="H169" s="43">
        <f>H29-H99</f>
        <v>0</v>
      </c>
      <c r="I169" s="43">
        <f t="shared" si="39"/>
        <v>0</v>
      </c>
      <c r="J169" s="43">
        <f t="shared" si="39"/>
        <v>1</v>
      </c>
    </row>
    <row r="170" spans="1:10" x14ac:dyDescent="0.2">
      <c r="D170" s="41"/>
      <c r="E170" s="41"/>
      <c r="F170" s="41"/>
      <c r="G170" s="41"/>
      <c r="H170" s="41"/>
      <c r="I170" s="41"/>
      <c r="J170" s="41"/>
    </row>
    <row r="171" spans="1:10" x14ac:dyDescent="0.2">
      <c r="A171" s="39">
        <f>A169+1</f>
        <v>22</v>
      </c>
      <c r="B171" s="42" t="s">
        <v>158</v>
      </c>
      <c r="D171" s="43">
        <f t="shared" ref="D171:J171" si="40">D31-D101</f>
        <v>31972395</v>
      </c>
      <c r="E171" s="43">
        <f t="shared" si="40"/>
        <v>-9655027</v>
      </c>
      <c r="F171" s="43">
        <f t="shared" si="40"/>
        <v>-32263630</v>
      </c>
      <c r="G171" s="43">
        <f t="shared" si="40"/>
        <v>3468342</v>
      </c>
      <c r="H171" s="43">
        <f>H31-H101</f>
        <v>-8166780</v>
      </c>
      <c r="I171" s="43">
        <f t="shared" si="40"/>
        <v>-62253</v>
      </c>
      <c r="J171" s="43">
        <f t="shared" si="40"/>
        <v>-14706953</v>
      </c>
    </row>
    <row r="172" spans="1:10" x14ac:dyDescent="0.2">
      <c r="D172" s="41"/>
      <c r="E172" s="41"/>
      <c r="F172" s="41"/>
      <c r="G172" s="41"/>
      <c r="H172" s="41"/>
      <c r="I172" s="41"/>
      <c r="J172" s="41"/>
    </row>
    <row r="173" spans="1:10" x14ac:dyDescent="0.2">
      <c r="B173" s="42" t="s">
        <v>156</v>
      </c>
      <c r="C173" s="42"/>
      <c r="D173" s="41"/>
      <c r="E173" s="41"/>
      <c r="F173" s="41"/>
      <c r="G173" s="41"/>
      <c r="H173" s="41"/>
      <c r="I173" s="41"/>
      <c r="J173" s="41"/>
    </row>
    <row r="174" spans="1:10" x14ac:dyDescent="0.2">
      <c r="A174" s="39">
        <f>A171+1</f>
        <v>23</v>
      </c>
      <c r="B174" s="39" t="s">
        <v>153</v>
      </c>
      <c r="D174" s="43">
        <f t="shared" ref="D174:J178" si="41">D34-D104</f>
        <v>93971</v>
      </c>
      <c r="E174" s="43">
        <f t="shared" si="41"/>
        <v>0</v>
      </c>
      <c r="F174" s="43">
        <f t="shared" si="41"/>
        <v>-56145</v>
      </c>
      <c r="G174" s="43">
        <f t="shared" si="41"/>
        <v>0</v>
      </c>
      <c r="H174" s="43">
        <f>H34-H104</f>
        <v>0</v>
      </c>
      <c r="I174" s="43">
        <f t="shared" si="41"/>
        <v>0</v>
      </c>
      <c r="J174" s="43">
        <f t="shared" si="41"/>
        <v>37826</v>
      </c>
    </row>
    <row r="175" spans="1:10" x14ac:dyDescent="0.2">
      <c r="A175" s="39">
        <f>A174+1</f>
        <v>24</v>
      </c>
      <c r="B175" s="39" t="s">
        <v>152</v>
      </c>
      <c r="D175" s="43">
        <f t="shared" si="41"/>
        <v>-282909</v>
      </c>
      <c r="E175" s="43">
        <f t="shared" si="41"/>
        <v>0</v>
      </c>
      <c r="F175" s="43">
        <f t="shared" si="41"/>
        <v>-143390</v>
      </c>
      <c r="G175" s="43">
        <f t="shared" si="41"/>
        <v>0</v>
      </c>
      <c r="H175" s="43">
        <f>H35-H105</f>
        <v>0</v>
      </c>
      <c r="I175" s="43">
        <f t="shared" si="41"/>
        <v>0</v>
      </c>
      <c r="J175" s="43">
        <f t="shared" si="41"/>
        <v>-426299</v>
      </c>
    </row>
    <row r="176" spans="1:10" x14ac:dyDescent="0.2">
      <c r="A176" s="39">
        <f>A175+1</f>
        <v>25</v>
      </c>
      <c r="B176" s="42" t="s">
        <v>174</v>
      </c>
      <c r="D176" s="43">
        <f t="shared" si="41"/>
        <v>75351</v>
      </c>
      <c r="E176" s="43">
        <f t="shared" si="41"/>
        <v>0</v>
      </c>
      <c r="F176" s="43">
        <f t="shared" si="41"/>
        <v>-49646</v>
      </c>
      <c r="G176" s="43">
        <f t="shared" si="41"/>
        <v>0</v>
      </c>
      <c r="H176" s="43">
        <f>H36-H106</f>
        <v>0</v>
      </c>
      <c r="I176" s="43">
        <f t="shared" si="41"/>
        <v>0</v>
      </c>
      <c r="J176" s="43">
        <f t="shared" si="41"/>
        <v>25705</v>
      </c>
    </row>
    <row r="177" spans="1:10" x14ac:dyDescent="0.2">
      <c r="A177" s="39">
        <f>A176+1</f>
        <v>26</v>
      </c>
      <c r="B177" s="42" t="s">
        <v>168</v>
      </c>
      <c r="C177" s="42"/>
      <c r="D177" s="43">
        <f t="shared" si="41"/>
        <v>1980967</v>
      </c>
      <c r="E177" s="43">
        <f t="shared" si="41"/>
        <v>-2989613</v>
      </c>
      <c r="F177" s="43">
        <f t="shared" si="41"/>
        <v>0</v>
      </c>
      <c r="G177" s="43">
        <f t="shared" si="41"/>
        <v>0</v>
      </c>
      <c r="H177" s="43">
        <f>H37-H107</f>
        <v>0</v>
      </c>
      <c r="I177" s="43">
        <f t="shared" si="41"/>
        <v>0</v>
      </c>
      <c r="J177" s="43">
        <f t="shared" si="41"/>
        <v>-1008646</v>
      </c>
    </row>
    <row r="178" spans="1:10" x14ac:dyDescent="0.2">
      <c r="A178" s="39">
        <f>A177+1</f>
        <v>27</v>
      </c>
      <c r="B178" s="39" t="s">
        <v>154</v>
      </c>
      <c r="D178" s="43">
        <f t="shared" si="41"/>
        <v>459728</v>
      </c>
      <c r="E178" s="43">
        <f t="shared" si="41"/>
        <v>0</v>
      </c>
      <c r="F178" s="43">
        <f t="shared" si="41"/>
        <v>-568039</v>
      </c>
      <c r="G178" s="43">
        <f t="shared" si="41"/>
        <v>0</v>
      </c>
      <c r="H178" s="43">
        <f>H38-H108</f>
        <v>0</v>
      </c>
      <c r="I178" s="43">
        <f t="shared" si="41"/>
        <v>0</v>
      </c>
      <c r="J178" s="43">
        <f t="shared" si="41"/>
        <v>-108311</v>
      </c>
    </row>
    <row r="179" spans="1:10" x14ac:dyDescent="0.2">
      <c r="D179" s="41"/>
      <c r="E179" s="41"/>
      <c r="F179" s="41"/>
      <c r="G179" s="41"/>
      <c r="H179" s="41"/>
      <c r="I179" s="41"/>
      <c r="J179" s="41"/>
    </row>
    <row r="180" spans="1:10" x14ac:dyDescent="0.2">
      <c r="A180" s="39">
        <f>A178+1</f>
        <v>28</v>
      </c>
      <c r="B180" s="42" t="s">
        <v>159</v>
      </c>
      <c r="C180" s="42"/>
      <c r="D180" s="43">
        <f t="shared" ref="D180:J180" si="42">D40-D110</f>
        <v>2327108</v>
      </c>
      <c r="E180" s="43">
        <f t="shared" si="42"/>
        <v>-2989613</v>
      </c>
      <c r="F180" s="43">
        <f t="shared" si="42"/>
        <v>-817220</v>
      </c>
      <c r="G180" s="43">
        <f t="shared" si="42"/>
        <v>0</v>
      </c>
      <c r="H180" s="43">
        <f>H40-H110</f>
        <v>0</v>
      </c>
      <c r="I180" s="43">
        <f t="shared" si="42"/>
        <v>0</v>
      </c>
      <c r="J180" s="43">
        <f t="shared" si="42"/>
        <v>-1479725</v>
      </c>
    </row>
    <row r="181" spans="1:10" x14ac:dyDescent="0.2">
      <c r="B181" s="42"/>
      <c r="C181" s="42"/>
      <c r="D181" s="41"/>
      <c r="E181" s="41"/>
      <c r="F181" s="41"/>
      <c r="G181" s="41"/>
      <c r="H181" s="41"/>
      <c r="I181" s="41"/>
      <c r="J181" s="41"/>
    </row>
    <row r="182" spans="1:10" x14ac:dyDescent="0.2">
      <c r="B182" s="42" t="s">
        <v>157</v>
      </c>
      <c r="C182" s="42"/>
      <c r="D182" s="41"/>
      <c r="E182" s="41"/>
      <c r="F182" s="41"/>
      <c r="G182" s="41"/>
      <c r="H182" s="41"/>
      <c r="I182" s="41"/>
      <c r="J182" s="41"/>
    </row>
    <row r="183" spans="1:10" x14ac:dyDescent="0.2">
      <c r="A183" s="39">
        <f>A180+1</f>
        <v>29</v>
      </c>
      <c r="B183" s="39" t="s">
        <v>141</v>
      </c>
      <c r="D183" s="43">
        <f t="shared" ref="D183:J185" si="43">D43-D113</f>
        <v>7817017</v>
      </c>
      <c r="E183" s="43">
        <f t="shared" si="43"/>
        <v>0</v>
      </c>
      <c r="F183" s="43">
        <f t="shared" si="43"/>
        <v>-12384503</v>
      </c>
      <c r="G183" s="43">
        <f t="shared" si="43"/>
        <v>-29563</v>
      </c>
      <c r="H183" s="43">
        <f>H43-H113</f>
        <v>-3199374</v>
      </c>
      <c r="I183" s="43">
        <f t="shared" si="43"/>
        <v>0</v>
      </c>
      <c r="J183" s="43">
        <f t="shared" si="43"/>
        <v>-7796423</v>
      </c>
    </row>
    <row r="184" spans="1:10" x14ac:dyDescent="0.2">
      <c r="A184" s="39">
        <f>A183+1</f>
        <v>30</v>
      </c>
      <c r="B184" s="42" t="s">
        <v>167</v>
      </c>
      <c r="C184" s="42"/>
      <c r="D184" s="43">
        <f t="shared" si="43"/>
        <v>18309</v>
      </c>
      <c r="E184" s="43">
        <f t="shared" si="43"/>
        <v>0</v>
      </c>
      <c r="F184" s="43">
        <f t="shared" si="43"/>
        <v>-29003</v>
      </c>
      <c r="G184" s="43">
        <f t="shared" si="43"/>
        <v>-77</v>
      </c>
      <c r="H184" s="43">
        <f>H44-H114</f>
        <v>-7493</v>
      </c>
      <c r="I184" s="43">
        <f t="shared" si="43"/>
        <v>0</v>
      </c>
      <c r="J184" s="43">
        <f t="shared" si="43"/>
        <v>-18264</v>
      </c>
    </row>
    <row r="185" spans="1:10" x14ac:dyDescent="0.2">
      <c r="A185" s="39">
        <f>A184+1</f>
        <v>31</v>
      </c>
      <c r="B185" s="39" t="s">
        <v>142</v>
      </c>
      <c r="D185" s="43">
        <f t="shared" si="43"/>
        <v>1108429</v>
      </c>
      <c r="E185" s="43">
        <f t="shared" si="43"/>
        <v>0</v>
      </c>
      <c r="F185" s="43">
        <f t="shared" si="43"/>
        <v>-1281333</v>
      </c>
      <c r="G185" s="43">
        <f t="shared" si="43"/>
        <v>-23925</v>
      </c>
      <c r="H185" s="43">
        <f>H45-H115</f>
        <v>63632</v>
      </c>
      <c r="I185" s="43">
        <f t="shared" si="43"/>
        <v>0</v>
      </c>
      <c r="J185" s="43">
        <f t="shared" si="43"/>
        <v>-133197</v>
      </c>
    </row>
    <row r="186" spans="1:10" x14ac:dyDescent="0.2">
      <c r="B186" s="42" t="s">
        <v>171</v>
      </c>
      <c r="D186" s="43"/>
      <c r="E186" s="43"/>
      <c r="F186" s="43"/>
      <c r="G186" s="43"/>
      <c r="H186" s="43"/>
      <c r="I186" s="43"/>
      <c r="J186" s="43"/>
    </row>
    <row r="187" spans="1:10" x14ac:dyDescent="0.2">
      <c r="A187" s="39">
        <f>A185+1</f>
        <v>32</v>
      </c>
      <c r="C187" s="39" t="s">
        <v>143</v>
      </c>
      <c r="D187" s="43">
        <f t="shared" ref="D187:J199" si="44">D47-D117</f>
        <v>13214135</v>
      </c>
      <c r="E187" s="43">
        <f t="shared" si="44"/>
        <v>0</v>
      </c>
      <c r="F187" s="43">
        <f t="shared" si="44"/>
        <v>-16662406</v>
      </c>
      <c r="G187" s="43">
        <f t="shared" si="44"/>
        <v>3518423</v>
      </c>
      <c r="H187" s="43">
        <f t="shared" ref="H187:H199" si="45">H47-H117</f>
        <v>-4758072</v>
      </c>
      <c r="I187" s="43">
        <f t="shared" si="44"/>
        <v>-62253</v>
      </c>
      <c r="J187" s="43">
        <f t="shared" si="44"/>
        <v>-4750173</v>
      </c>
    </row>
    <row r="188" spans="1:10" x14ac:dyDescent="0.2">
      <c r="A188" s="39">
        <f t="shared" ref="A188:A199" si="46">A187+1</f>
        <v>33</v>
      </c>
      <c r="C188" s="39" t="s">
        <v>144</v>
      </c>
      <c r="D188" s="43">
        <f t="shared" si="44"/>
        <v>0</v>
      </c>
      <c r="E188" s="43">
        <f t="shared" si="44"/>
        <v>0</v>
      </c>
      <c r="F188" s="43">
        <f t="shared" si="44"/>
        <v>-29533</v>
      </c>
      <c r="G188" s="43">
        <f t="shared" si="44"/>
        <v>0</v>
      </c>
      <c r="H188" s="43">
        <f t="shared" si="45"/>
        <v>-24193</v>
      </c>
      <c r="I188" s="43">
        <f t="shared" si="44"/>
        <v>0</v>
      </c>
      <c r="J188" s="43">
        <f t="shared" si="44"/>
        <v>-53726</v>
      </c>
    </row>
    <row r="189" spans="1:10" x14ac:dyDescent="0.2">
      <c r="A189" s="39">
        <f t="shared" si="46"/>
        <v>34</v>
      </c>
      <c r="B189" s="42"/>
      <c r="C189" s="42" t="s">
        <v>170</v>
      </c>
      <c r="D189" s="43">
        <f t="shared" si="44"/>
        <v>-615</v>
      </c>
      <c r="E189" s="43">
        <f t="shared" si="44"/>
        <v>0</v>
      </c>
      <c r="F189" s="43">
        <f t="shared" si="44"/>
        <v>-7461</v>
      </c>
      <c r="G189" s="43">
        <f t="shared" si="44"/>
        <v>18</v>
      </c>
      <c r="H189" s="43">
        <f t="shared" si="45"/>
        <v>-6121</v>
      </c>
      <c r="I189" s="43">
        <f t="shared" si="44"/>
        <v>0</v>
      </c>
      <c r="J189" s="43">
        <f t="shared" si="44"/>
        <v>-14179</v>
      </c>
    </row>
    <row r="190" spans="1:10" x14ac:dyDescent="0.2">
      <c r="A190" s="39">
        <f t="shared" si="46"/>
        <v>35</v>
      </c>
      <c r="B190" s="39" t="s">
        <v>145</v>
      </c>
      <c r="D190" s="43">
        <f t="shared" si="44"/>
        <v>25312</v>
      </c>
      <c r="E190" s="43">
        <f t="shared" si="44"/>
        <v>0</v>
      </c>
      <c r="F190" s="43">
        <f t="shared" si="44"/>
        <v>0</v>
      </c>
      <c r="G190" s="43">
        <f t="shared" si="44"/>
        <v>-827</v>
      </c>
      <c r="H190" s="43">
        <f t="shared" si="45"/>
        <v>-15960</v>
      </c>
      <c r="I190" s="43">
        <f t="shared" si="44"/>
        <v>0</v>
      </c>
      <c r="J190" s="43">
        <f t="shared" si="44"/>
        <v>8525</v>
      </c>
    </row>
    <row r="191" spans="1:10" x14ac:dyDescent="0.2">
      <c r="A191" s="39">
        <f t="shared" si="46"/>
        <v>36</v>
      </c>
      <c r="B191" s="39" t="s">
        <v>146</v>
      </c>
      <c r="D191" s="43">
        <f t="shared" si="44"/>
        <v>130744</v>
      </c>
      <c r="E191" s="43">
        <f t="shared" si="44"/>
        <v>0</v>
      </c>
      <c r="F191" s="43">
        <f t="shared" si="44"/>
        <v>0</v>
      </c>
      <c r="G191" s="43">
        <f t="shared" si="44"/>
        <v>13903</v>
      </c>
      <c r="H191" s="43">
        <f t="shared" si="45"/>
        <v>-14991</v>
      </c>
      <c r="I191" s="43">
        <f t="shared" si="44"/>
        <v>0</v>
      </c>
      <c r="J191" s="43">
        <f t="shared" si="44"/>
        <v>129656</v>
      </c>
    </row>
    <row r="192" spans="1:10" x14ac:dyDescent="0.2">
      <c r="A192" s="39">
        <f t="shared" si="46"/>
        <v>37</v>
      </c>
      <c r="B192" s="39" t="s">
        <v>148</v>
      </c>
      <c r="D192" s="43">
        <f t="shared" si="44"/>
        <v>2088</v>
      </c>
      <c r="E192" s="43">
        <f t="shared" si="44"/>
        <v>0</v>
      </c>
      <c r="F192" s="43">
        <f t="shared" si="44"/>
        <v>-551</v>
      </c>
      <c r="G192" s="43">
        <f t="shared" si="44"/>
        <v>85</v>
      </c>
      <c r="H192" s="43">
        <f t="shared" si="45"/>
        <v>-142</v>
      </c>
      <c r="I192" s="43">
        <f t="shared" si="44"/>
        <v>0</v>
      </c>
      <c r="J192" s="43">
        <f t="shared" si="44"/>
        <v>1480</v>
      </c>
    </row>
    <row r="193" spans="1:10" x14ac:dyDescent="0.2">
      <c r="A193" s="39">
        <f t="shared" si="46"/>
        <v>38</v>
      </c>
      <c r="B193" s="39" t="s">
        <v>244</v>
      </c>
      <c r="D193" s="43">
        <f t="shared" si="44"/>
        <v>0</v>
      </c>
      <c r="E193" s="43">
        <f t="shared" si="44"/>
        <v>0</v>
      </c>
      <c r="F193" s="43">
        <f t="shared" si="44"/>
        <v>0</v>
      </c>
      <c r="G193" s="43">
        <f t="shared" si="44"/>
        <v>0</v>
      </c>
      <c r="H193" s="43">
        <f t="shared" si="45"/>
        <v>0</v>
      </c>
      <c r="I193" s="43">
        <f t="shared" si="44"/>
        <v>0</v>
      </c>
      <c r="J193" s="43">
        <f t="shared" si="44"/>
        <v>0</v>
      </c>
    </row>
    <row r="194" spans="1:10" x14ac:dyDescent="0.2">
      <c r="A194" s="39">
        <f t="shared" si="46"/>
        <v>39</v>
      </c>
      <c r="B194" s="39" t="s">
        <v>147</v>
      </c>
      <c r="D194" s="43">
        <f t="shared" si="44"/>
        <v>219802</v>
      </c>
      <c r="E194" s="43">
        <f t="shared" si="44"/>
        <v>0</v>
      </c>
      <c r="F194" s="43">
        <f t="shared" si="44"/>
        <v>-439861</v>
      </c>
      <c r="G194" s="43">
        <f t="shared" si="44"/>
        <v>-1149</v>
      </c>
      <c r="H194" s="43">
        <f t="shared" si="45"/>
        <v>-128136</v>
      </c>
      <c r="I194" s="43">
        <f t="shared" si="44"/>
        <v>0</v>
      </c>
      <c r="J194" s="43">
        <f t="shared" si="44"/>
        <v>-349344</v>
      </c>
    </row>
    <row r="195" spans="1:10" x14ac:dyDescent="0.2">
      <c r="A195" s="39">
        <f t="shared" si="46"/>
        <v>40</v>
      </c>
      <c r="B195" s="39" t="s">
        <v>149</v>
      </c>
      <c r="D195" s="43">
        <f t="shared" si="44"/>
        <v>-26454</v>
      </c>
      <c r="E195" s="43">
        <f t="shared" si="44"/>
        <v>0</v>
      </c>
      <c r="F195" s="43">
        <f t="shared" si="44"/>
        <v>-97802</v>
      </c>
      <c r="G195" s="43">
        <f t="shared" si="44"/>
        <v>-23780</v>
      </c>
      <c r="H195" s="43">
        <f t="shared" si="45"/>
        <v>-62511</v>
      </c>
      <c r="I195" s="43">
        <f t="shared" si="44"/>
        <v>0</v>
      </c>
      <c r="J195" s="43">
        <f t="shared" si="44"/>
        <v>-210547</v>
      </c>
    </row>
    <row r="196" spans="1:10" x14ac:dyDescent="0.2">
      <c r="A196" s="39">
        <f t="shared" si="46"/>
        <v>41</v>
      </c>
      <c r="B196" s="42" t="s">
        <v>173</v>
      </c>
      <c r="D196" s="43">
        <f t="shared" si="44"/>
        <v>-14569</v>
      </c>
      <c r="E196" s="43">
        <f t="shared" si="44"/>
        <v>0</v>
      </c>
      <c r="F196" s="43">
        <f t="shared" si="44"/>
        <v>-23749</v>
      </c>
      <c r="G196" s="43">
        <f t="shared" si="44"/>
        <v>-7368</v>
      </c>
      <c r="H196" s="43">
        <f t="shared" si="45"/>
        <v>-883</v>
      </c>
      <c r="I196" s="43">
        <f t="shared" si="44"/>
        <v>0</v>
      </c>
      <c r="J196" s="43">
        <f t="shared" si="44"/>
        <v>-46569</v>
      </c>
    </row>
    <row r="197" spans="1:10" x14ac:dyDescent="0.2">
      <c r="A197" s="39">
        <f t="shared" si="46"/>
        <v>42</v>
      </c>
      <c r="B197" s="42" t="s">
        <v>168</v>
      </c>
      <c r="C197" s="42"/>
      <c r="D197" s="43">
        <f t="shared" si="44"/>
        <v>6929795</v>
      </c>
      <c r="E197" s="43">
        <f t="shared" si="44"/>
        <v>-6665414</v>
      </c>
      <c r="F197" s="43">
        <f t="shared" si="44"/>
        <v>0</v>
      </c>
      <c r="G197" s="43">
        <f t="shared" si="44"/>
        <v>-89731</v>
      </c>
      <c r="H197" s="43">
        <f t="shared" si="45"/>
        <v>0</v>
      </c>
      <c r="I197" s="43">
        <f t="shared" si="44"/>
        <v>0</v>
      </c>
      <c r="J197" s="43">
        <f t="shared" si="44"/>
        <v>174650</v>
      </c>
    </row>
    <row r="198" spans="1:10" x14ac:dyDescent="0.2">
      <c r="A198" s="39">
        <f t="shared" si="46"/>
        <v>43</v>
      </c>
      <c r="B198" s="42" t="s">
        <v>163</v>
      </c>
      <c r="C198" s="42"/>
      <c r="D198" s="43">
        <f t="shared" si="44"/>
        <v>404127</v>
      </c>
      <c r="E198" s="43">
        <f t="shared" si="44"/>
        <v>0</v>
      </c>
      <c r="F198" s="43">
        <f t="shared" si="44"/>
        <v>-368763</v>
      </c>
      <c r="G198" s="43">
        <f t="shared" si="44"/>
        <v>0</v>
      </c>
      <c r="H198" s="43">
        <f t="shared" si="45"/>
        <v>0</v>
      </c>
      <c r="I198" s="43">
        <f t="shared" si="44"/>
        <v>0</v>
      </c>
      <c r="J198" s="43">
        <f t="shared" si="44"/>
        <v>35364</v>
      </c>
    </row>
    <row r="199" spans="1:10" x14ac:dyDescent="0.2">
      <c r="A199" s="39">
        <f t="shared" si="46"/>
        <v>44</v>
      </c>
      <c r="B199" s="39" t="s">
        <v>151</v>
      </c>
      <c r="D199" s="43">
        <f t="shared" si="44"/>
        <v>0</v>
      </c>
      <c r="E199" s="43">
        <f t="shared" si="44"/>
        <v>0</v>
      </c>
      <c r="F199" s="43">
        <f t="shared" si="44"/>
        <v>0</v>
      </c>
      <c r="G199" s="43">
        <f t="shared" si="44"/>
        <v>0</v>
      </c>
      <c r="H199" s="43">
        <f t="shared" si="45"/>
        <v>0</v>
      </c>
      <c r="I199" s="43">
        <f t="shared" si="44"/>
        <v>0</v>
      </c>
      <c r="J199" s="43">
        <f t="shared" si="44"/>
        <v>0</v>
      </c>
    </row>
    <row r="200" spans="1:10" x14ac:dyDescent="0.2">
      <c r="B200" s="42" t="s">
        <v>172</v>
      </c>
      <c r="D200" s="43"/>
      <c r="E200" s="43"/>
      <c r="F200" s="43"/>
      <c r="G200" s="43"/>
      <c r="H200" s="43"/>
      <c r="I200" s="43"/>
      <c r="J200" s="43"/>
    </row>
    <row r="201" spans="1:10" x14ac:dyDescent="0.2">
      <c r="A201" s="39">
        <f>A199+1</f>
        <v>45</v>
      </c>
      <c r="B201" s="42"/>
      <c r="C201" s="42" t="s">
        <v>175</v>
      </c>
      <c r="D201" s="43">
        <f t="shared" ref="D201:J205" si="47">D61-D131</f>
        <v>-107864</v>
      </c>
      <c r="E201" s="43">
        <f t="shared" si="47"/>
        <v>0</v>
      </c>
      <c r="F201" s="43">
        <f t="shared" si="47"/>
        <v>-121445</v>
      </c>
      <c r="G201" s="43">
        <f t="shared" si="47"/>
        <v>28267</v>
      </c>
      <c r="H201" s="43">
        <f>H61-H131</f>
        <v>-12536</v>
      </c>
      <c r="I201" s="43">
        <f t="shared" si="47"/>
        <v>0</v>
      </c>
      <c r="J201" s="43">
        <f t="shared" si="47"/>
        <v>-213578</v>
      </c>
    </row>
    <row r="202" spans="1:10" x14ac:dyDescent="0.2">
      <c r="A202" s="39">
        <f>A201+1</f>
        <v>46</v>
      </c>
      <c r="B202" s="42"/>
      <c r="C202" s="42" t="s">
        <v>182</v>
      </c>
      <c r="D202" s="43">
        <f t="shared" si="47"/>
        <v>-82257</v>
      </c>
      <c r="E202" s="43">
        <f t="shared" si="47"/>
        <v>0</v>
      </c>
      <c r="F202" s="43">
        <f t="shared" si="47"/>
        <v>0</v>
      </c>
      <c r="G202" s="43">
        <f t="shared" si="47"/>
        <v>82180</v>
      </c>
      <c r="H202" s="43">
        <f>H62-H132</f>
        <v>0</v>
      </c>
      <c r="I202" s="43">
        <f t="shared" si="47"/>
        <v>0</v>
      </c>
      <c r="J202" s="43">
        <f t="shared" si="47"/>
        <v>-77</v>
      </c>
    </row>
    <row r="203" spans="1:10" x14ac:dyDescent="0.2">
      <c r="A203" s="39">
        <f>A202+1</f>
        <v>47</v>
      </c>
      <c r="B203" s="42"/>
      <c r="C203" s="42" t="s">
        <v>201</v>
      </c>
      <c r="D203" s="43">
        <f t="shared" si="47"/>
        <v>0</v>
      </c>
      <c r="E203" s="43">
        <f t="shared" si="47"/>
        <v>0</v>
      </c>
      <c r="F203" s="43">
        <f t="shared" si="47"/>
        <v>0</v>
      </c>
      <c r="G203" s="43">
        <f t="shared" si="47"/>
        <v>0</v>
      </c>
      <c r="H203" s="43">
        <f>H63-H133</f>
        <v>0</v>
      </c>
      <c r="I203" s="43">
        <f t="shared" si="47"/>
        <v>0</v>
      </c>
      <c r="J203" s="43">
        <f t="shared" si="47"/>
        <v>0</v>
      </c>
    </row>
    <row r="204" spans="1:10" x14ac:dyDescent="0.2">
      <c r="A204" s="39">
        <f>A203+1</f>
        <v>48</v>
      </c>
      <c r="B204" s="42"/>
      <c r="C204" s="42" t="s">
        <v>183</v>
      </c>
      <c r="D204" s="43">
        <f t="shared" si="47"/>
        <v>7287</v>
      </c>
      <c r="E204" s="43">
        <f t="shared" si="47"/>
        <v>0</v>
      </c>
      <c r="F204" s="43">
        <f t="shared" si="47"/>
        <v>0</v>
      </c>
      <c r="G204" s="43">
        <f t="shared" si="47"/>
        <v>1886</v>
      </c>
      <c r="H204" s="43">
        <f>H64-H134</f>
        <v>0</v>
      </c>
      <c r="I204" s="43">
        <f t="shared" si="47"/>
        <v>0</v>
      </c>
      <c r="J204" s="43">
        <f t="shared" si="47"/>
        <v>9173</v>
      </c>
    </row>
    <row r="205" spans="1:10" x14ac:dyDescent="0.2">
      <c r="A205" s="39">
        <f>A204+1</f>
        <v>49</v>
      </c>
      <c r="B205" s="42"/>
      <c r="C205" s="42" t="s">
        <v>251</v>
      </c>
      <c r="D205" s="43">
        <f t="shared" si="47"/>
        <v>1</v>
      </c>
      <c r="E205" s="43">
        <f t="shared" si="47"/>
        <v>0</v>
      </c>
      <c r="F205" s="43">
        <f t="shared" si="47"/>
        <v>0</v>
      </c>
      <c r="G205" s="43">
        <f t="shared" si="47"/>
        <v>0</v>
      </c>
      <c r="H205" s="43">
        <f>H65-H135</f>
        <v>0</v>
      </c>
      <c r="I205" s="43">
        <f t="shared" si="47"/>
        <v>0</v>
      </c>
      <c r="J205" s="43">
        <f t="shared" si="47"/>
        <v>1</v>
      </c>
    </row>
    <row r="206" spans="1:10" x14ac:dyDescent="0.2">
      <c r="D206" s="41"/>
      <c r="E206" s="41"/>
      <c r="F206" s="41"/>
      <c r="G206" s="41"/>
      <c r="H206" s="41"/>
      <c r="I206" s="41"/>
      <c r="J206" s="41"/>
    </row>
    <row r="207" spans="1:10" x14ac:dyDescent="0.2">
      <c r="A207" s="39">
        <f>A205+1</f>
        <v>50</v>
      </c>
      <c r="B207" s="42" t="s">
        <v>184</v>
      </c>
      <c r="C207" s="42"/>
      <c r="D207" s="43">
        <f t="shared" ref="D207:J208" si="48">D67-D137</f>
        <v>29645287</v>
      </c>
      <c r="E207" s="43">
        <f t="shared" si="48"/>
        <v>-6665414</v>
      </c>
      <c r="F207" s="43">
        <f t="shared" si="48"/>
        <v>-31446410</v>
      </c>
      <c r="G207" s="43">
        <f t="shared" si="48"/>
        <v>3468342</v>
      </c>
      <c r="H207" s="43">
        <f>H67-H137</f>
        <v>-8166780</v>
      </c>
      <c r="I207" s="43">
        <f t="shared" si="48"/>
        <v>-62253</v>
      </c>
      <c r="J207" s="43">
        <f t="shared" si="48"/>
        <v>-13227228</v>
      </c>
    </row>
    <row r="208" spans="1:10" x14ac:dyDescent="0.2">
      <c r="A208" s="39">
        <f>A207+1</f>
        <v>51</v>
      </c>
      <c r="B208" s="173" t="s">
        <v>397</v>
      </c>
      <c r="C208" s="42"/>
      <c r="D208" s="43">
        <f t="shared" si="48"/>
        <v>29645287</v>
      </c>
      <c r="E208" s="43">
        <f t="shared" si="48"/>
        <v>-6665414</v>
      </c>
      <c r="F208" s="43">
        <f t="shared" si="48"/>
        <v>-31446410</v>
      </c>
      <c r="G208" s="43">
        <f t="shared" si="48"/>
        <v>3468342</v>
      </c>
      <c r="H208" s="43">
        <f>H68-H138</f>
        <v>-8166780</v>
      </c>
      <c r="I208" s="43">
        <f t="shared" si="48"/>
        <v>-62253</v>
      </c>
      <c r="J208" s="43">
        <f t="shared" si="48"/>
        <v>-13227228</v>
      </c>
    </row>
    <row r="209" spans="1:10" x14ac:dyDescent="0.2">
      <c r="A209" s="39">
        <f>A208+1</f>
        <v>52</v>
      </c>
      <c r="B209" s="42" t="s">
        <v>303</v>
      </c>
      <c r="C209" s="42"/>
      <c r="D209" s="127" t="s">
        <v>302</v>
      </c>
      <c r="E209" s="127" t="s">
        <v>302</v>
      </c>
      <c r="F209" s="127" t="s">
        <v>302</v>
      </c>
      <c r="G209" s="127" t="s">
        <v>302</v>
      </c>
      <c r="H209" s="127" t="s">
        <v>302</v>
      </c>
      <c r="I209" s="127" t="s">
        <v>302</v>
      </c>
      <c r="J209" s="127" t="s">
        <v>302</v>
      </c>
    </row>
    <row r="210" spans="1:10" x14ac:dyDescent="0.2">
      <c r="B210" s="42"/>
      <c r="C210" s="42"/>
      <c r="D210" s="43"/>
      <c r="E210" s="43"/>
      <c r="F210" s="43"/>
      <c r="G210" s="43"/>
      <c r="H210" s="43"/>
      <c r="I210" s="43"/>
      <c r="J210" s="43"/>
    </row>
    <row r="211" spans="1:10" x14ac:dyDescent="0.2">
      <c r="A211" s="39">
        <f>A209+1</f>
        <v>53</v>
      </c>
      <c r="B211" s="42" t="s">
        <v>166</v>
      </c>
      <c r="C211" s="42"/>
      <c r="D211" s="43">
        <f t="shared" ref="D211:J211" si="49">D71-D141</f>
        <v>0</v>
      </c>
      <c r="E211" s="43">
        <f t="shared" si="49"/>
        <v>0</v>
      </c>
      <c r="F211" s="43">
        <f t="shared" si="49"/>
        <v>0</v>
      </c>
      <c r="G211" s="43">
        <f t="shared" si="49"/>
        <v>-1172</v>
      </c>
      <c r="H211" s="43">
        <f>H71-H141</f>
        <v>20325</v>
      </c>
      <c r="I211" s="43">
        <f t="shared" si="49"/>
        <v>0</v>
      </c>
      <c r="J211" s="43">
        <f t="shared" si="49"/>
        <v>19153</v>
      </c>
    </row>
  </sheetData>
  <phoneticPr fontId="1" type="noConversion"/>
  <printOptions horizontalCentered="1" gridLines="1"/>
  <pageMargins left="0.5" right="0.25" top="1" bottom="0.5" header="0.5" footer="0.25"/>
  <pageSetup scale="73" fitToHeight="3" orientation="portrait" horizontalDpi="300" verticalDpi="300" r:id="rId1"/>
  <headerFooter alignWithMargins="0">
    <oddHeader>&amp;L&amp;"Arial,Bold"DEPT of EDUCATION
Program Finance Div.&amp;C&amp;"Arial,Bold"&amp;A GENERAL EDUCATION
*** FEB 2011 VS. NOV 2010 ***&amp;R&amp;"Arial,Bold"&amp;D
&amp;T</oddHeader>
    <oddFooter>&amp;L&amp;"Arial,Regular"&amp;F&amp;R&amp;"Arial,Regular"&amp;A</oddFooter>
  </headerFooter>
  <rowBreaks count="2" manualBreakCount="2">
    <brk id="72" max="9" man="1"/>
    <brk id="142" max="9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211"/>
  <sheetViews>
    <sheetView zoomScaleNormal="100" zoomScaleSheetLayoutView="85" workbookViewId="0">
      <pane xSplit="3" ySplit="4" topLeftCell="D44" activePane="bottomRight" state="frozen"/>
      <selection activeCell="C16" sqref="C16"/>
      <selection pane="topRight" activeCell="C16" sqref="C16"/>
      <selection pane="bottomLeft" activeCell="C16" sqref="C16"/>
      <selection pane="bottomRight" activeCell="K71" sqref="K71"/>
    </sheetView>
  </sheetViews>
  <sheetFormatPr defaultColWidth="8" defaultRowHeight="12.75" x14ac:dyDescent="0.2"/>
  <cols>
    <col min="1" max="1" width="4.125" style="39" customWidth="1"/>
    <col min="2" max="2" width="2.25" style="39" customWidth="1"/>
    <col min="3" max="3" width="28.625" style="39" customWidth="1"/>
    <col min="4" max="10" width="13.625" style="39" customWidth="1"/>
    <col min="11" max="11" width="14.5" style="39" bestFit="1" customWidth="1"/>
    <col min="12" max="12" width="11.625" style="39" customWidth="1"/>
    <col min="13" max="16384" width="8" style="39"/>
  </cols>
  <sheetData>
    <row r="1" spans="1:10" x14ac:dyDescent="0.2">
      <c r="A1" s="173" t="s">
        <v>446</v>
      </c>
      <c r="D1" s="41"/>
      <c r="E1" s="41"/>
      <c r="G1" s="41"/>
      <c r="H1" s="41"/>
      <c r="I1" s="41"/>
    </row>
    <row r="3" spans="1:10" x14ac:dyDescent="0.2">
      <c r="A3" s="118" t="s">
        <v>438</v>
      </c>
      <c r="B3" s="118"/>
      <c r="C3" s="119"/>
      <c r="D3" s="120" t="s">
        <v>176</v>
      </c>
      <c r="E3" s="120" t="s">
        <v>181</v>
      </c>
      <c r="F3" s="120" t="s">
        <v>177</v>
      </c>
      <c r="G3" s="120" t="s">
        <v>178</v>
      </c>
      <c r="H3" s="120" t="s">
        <v>179</v>
      </c>
      <c r="I3" s="120" t="s">
        <v>370</v>
      </c>
      <c r="J3" s="120" t="s">
        <v>180</v>
      </c>
    </row>
    <row r="5" spans="1:10" x14ac:dyDescent="0.2">
      <c r="A5" s="39">
        <v>1</v>
      </c>
      <c r="B5" s="39" t="s">
        <v>140</v>
      </c>
      <c r="D5" s="41">
        <f>'Pupil Data'!C46</f>
        <v>893802</v>
      </c>
      <c r="E5" s="41">
        <v>0</v>
      </c>
      <c r="F5" s="41">
        <f>'Pupil Data'!D46</f>
        <v>13604</v>
      </c>
      <c r="G5" s="41">
        <f>'Pupil Data'!E46</f>
        <v>46614</v>
      </c>
      <c r="H5" s="41">
        <f>'Pupil Data'!F46</f>
        <v>5434</v>
      </c>
      <c r="I5" s="41">
        <v>0</v>
      </c>
      <c r="J5" s="41">
        <f>SUM(D5:I5)</f>
        <v>959454</v>
      </c>
    </row>
    <row r="7" spans="1:10" x14ac:dyDescent="0.2">
      <c r="B7" s="42" t="s">
        <v>155</v>
      </c>
      <c r="D7" s="40"/>
      <c r="E7" s="40"/>
      <c r="F7" s="40"/>
      <c r="G7" s="40"/>
      <c r="H7" s="40"/>
      <c r="I7" s="40"/>
      <c r="J7" s="40"/>
    </row>
    <row r="8" spans="1:10" x14ac:dyDescent="0.2">
      <c r="A8" s="39">
        <f>A5+1</f>
        <v>2</v>
      </c>
      <c r="B8" s="39" t="s">
        <v>141</v>
      </c>
      <c r="D8" s="41">
        <v>4579840779</v>
      </c>
      <c r="E8" s="41">
        <v>0</v>
      </c>
      <c r="F8" s="41">
        <v>69707357</v>
      </c>
      <c r="G8" s="41">
        <v>238847985</v>
      </c>
      <c r="H8" s="41">
        <v>27844072</v>
      </c>
      <c r="I8" s="41">
        <v>0</v>
      </c>
      <c r="J8" s="41">
        <f>SUM(D8:I8)</f>
        <v>4916240193</v>
      </c>
    </row>
    <row r="9" spans="1:10" x14ac:dyDescent="0.2">
      <c r="A9" s="39">
        <f>A8+1</f>
        <v>3</v>
      </c>
      <c r="B9" s="42" t="s">
        <v>167</v>
      </c>
      <c r="C9" s="42"/>
      <c r="D9" s="41">
        <v>10725624</v>
      </c>
      <c r="E9" s="41">
        <v>0</v>
      </c>
      <c r="F9" s="41">
        <v>163249</v>
      </c>
      <c r="G9" s="41">
        <v>559364</v>
      </c>
      <c r="H9" s="41">
        <v>65209</v>
      </c>
      <c r="I9" s="41">
        <v>0</v>
      </c>
      <c r="J9" s="41">
        <f>SUM(D9:I9)</f>
        <v>11513446</v>
      </c>
    </row>
    <row r="10" spans="1:10" x14ac:dyDescent="0.2">
      <c r="A10" s="39">
        <f>A9+1</f>
        <v>4</v>
      </c>
      <c r="B10" s="39" t="s">
        <v>142</v>
      </c>
      <c r="D10" s="41">
        <v>52315898</v>
      </c>
      <c r="E10" s="41">
        <v>0</v>
      </c>
      <c r="F10" s="41">
        <v>20930547</v>
      </c>
      <c r="G10" s="41">
        <v>1724731</v>
      </c>
      <c r="H10" s="41">
        <v>1095590</v>
      </c>
      <c r="I10" s="41">
        <v>0</v>
      </c>
      <c r="J10" s="41">
        <f>SUM(D10:I10)</f>
        <v>76066766</v>
      </c>
    </row>
    <row r="11" spans="1:10" x14ac:dyDescent="0.2">
      <c r="B11" s="42" t="s">
        <v>171</v>
      </c>
      <c r="D11" s="41"/>
      <c r="E11" s="41"/>
      <c r="F11" s="41"/>
      <c r="G11" s="41"/>
      <c r="H11" s="41"/>
      <c r="I11" s="41"/>
      <c r="J11" s="41"/>
    </row>
    <row r="12" spans="1:10" x14ac:dyDescent="0.2">
      <c r="A12" s="39">
        <f>A10+1</f>
        <v>5</v>
      </c>
      <c r="C12" s="39" t="s">
        <v>143</v>
      </c>
      <c r="D12" s="41">
        <v>376269922</v>
      </c>
      <c r="E12" s="41">
        <v>0</v>
      </c>
      <c r="F12" s="41">
        <v>17807393</v>
      </c>
      <c r="G12" s="41">
        <v>49318419</v>
      </c>
      <c r="H12" s="41">
        <v>3546013</v>
      </c>
      <c r="I12" s="41">
        <v>5618167</v>
      </c>
      <c r="J12" s="41">
        <f t="shared" ref="J12:J23" si="0">SUM(D12:I12)</f>
        <v>452559914</v>
      </c>
    </row>
    <row r="13" spans="1:10" x14ac:dyDescent="0.2">
      <c r="A13" s="39">
        <f t="shared" ref="A13:A23" si="1">A12+1</f>
        <v>6</v>
      </c>
      <c r="C13" s="39" t="s">
        <v>144</v>
      </c>
      <c r="D13" s="41">
        <v>27410971</v>
      </c>
      <c r="E13" s="41">
        <v>0</v>
      </c>
      <c r="F13" s="41">
        <v>-816555</v>
      </c>
      <c r="G13" s="41">
        <v>4800383</v>
      </c>
      <c r="H13" s="41">
        <v>472195</v>
      </c>
      <c r="I13" s="41">
        <v>0</v>
      </c>
      <c r="J13" s="41">
        <f t="shared" si="0"/>
        <v>31866994</v>
      </c>
    </row>
    <row r="14" spans="1:10" x14ac:dyDescent="0.2">
      <c r="A14" s="39">
        <f t="shared" si="1"/>
        <v>7</v>
      </c>
      <c r="B14" s="42"/>
      <c r="C14" s="42" t="s">
        <v>170</v>
      </c>
      <c r="D14" s="41">
        <v>6980164</v>
      </c>
      <c r="E14" s="41">
        <v>0</v>
      </c>
      <c r="F14" s="41">
        <v>-207935</v>
      </c>
      <c r="G14" s="41">
        <v>1607739</v>
      </c>
      <c r="H14" s="41">
        <v>120244</v>
      </c>
      <c r="I14" s="41">
        <v>0</v>
      </c>
      <c r="J14" s="41">
        <f t="shared" si="0"/>
        <v>8500212</v>
      </c>
    </row>
    <row r="15" spans="1:10" x14ac:dyDescent="0.2">
      <c r="A15" s="39">
        <f t="shared" si="1"/>
        <v>8</v>
      </c>
      <c r="B15" s="39" t="s">
        <v>145</v>
      </c>
      <c r="D15" s="41">
        <v>23025914</v>
      </c>
      <c r="E15" s="41">
        <v>0</v>
      </c>
      <c r="F15" s="41">
        <v>0</v>
      </c>
      <c r="G15" s="41">
        <v>1200851</v>
      </c>
      <c r="H15" s="41">
        <v>139991</v>
      </c>
      <c r="I15" s="41">
        <v>0</v>
      </c>
      <c r="J15" s="41">
        <f t="shared" si="0"/>
        <v>24366756</v>
      </c>
    </row>
    <row r="16" spans="1:10" x14ac:dyDescent="0.2">
      <c r="A16" s="39">
        <f t="shared" si="1"/>
        <v>9</v>
      </c>
      <c r="B16" s="39" t="s">
        <v>146</v>
      </c>
      <c r="D16" s="41">
        <v>58735951</v>
      </c>
      <c r="E16" s="41">
        <v>0</v>
      </c>
      <c r="F16" s="41">
        <v>0</v>
      </c>
      <c r="G16" s="41">
        <v>1138228</v>
      </c>
      <c r="H16" s="41">
        <v>135034</v>
      </c>
      <c r="I16" s="41">
        <v>0</v>
      </c>
      <c r="J16" s="41">
        <f t="shared" si="0"/>
        <v>60009213</v>
      </c>
    </row>
    <row r="17" spans="1:12" x14ac:dyDescent="0.2">
      <c r="A17" s="39">
        <f t="shared" si="1"/>
        <v>10</v>
      </c>
      <c r="B17" s="39" t="s">
        <v>148</v>
      </c>
      <c r="D17" s="41">
        <v>148048</v>
      </c>
      <c r="E17" s="41">
        <v>0</v>
      </c>
      <c r="F17" s="41">
        <v>2253</v>
      </c>
      <c r="G17" s="41">
        <v>7719</v>
      </c>
      <c r="H17" s="41">
        <v>900</v>
      </c>
      <c r="I17" s="41">
        <v>0</v>
      </c>
      <c r="J17" s="41">
        <f t="shared" si="0"/>
        <v>158920</v>
      </c>
    </row>
    <row r="18" spans="1:12" x14ac:dyDescent="0.2">
      <c r="A18" s="39">
        <f t="shared" si="1"/>
        <v>11</v>
      </c>
      <c r="B18" s="39" t="s">
        <v>244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f t="shared" si="0"/>
        <v>0</v>
      </c>
    </row>
    <row r="19" spans="1:12" x14ac:dyDescent="0.2">
      <c r="A19" s="39">
        <f t="shared" si="1"/>
        <v>12</v>
      </c>
      <c r="B19" s="39" t="s">
        <v>147</v>
      </c>
      <c r="D19" s="41">
        <v>183395070</v>
      </c>
      <c r="E19" s="41">
        <v>0</v>
      </c>
      <c r="F19" s="41">
        <v>2791360</v>
      </c>
      <c r="G19" s="41">
        <v>9564427</v>
      </c>
      <c r="H19" s="41">
        <v>1114988</v>
      </c>
      <c r="I19" s="41">
        <v>0</v>
      </c>
      <c r="J19" s="41">
        <f t="shared" si="0"/>
        <v>196865845</v>
      </c>
      <c r="K19" s="41">
        <v>183395069.99999899</v>
      </c>
    </row>
    <row r="20" spans="1:12" x14ac:dyDescent="0.2">
      <c r="A20" s="39">
        <f t="shared" si="1"/>
        <v>13</v>
      </c>
      <c r="B20" s="39" t="s">
        <v>149</v>
      </c>
      <c r="D20" s="41">
        <v>88016679</v>
      </c>
      <c r="E20" s="41">
        <v>0</v>
      </c>
      <c r="F20" s="41">
        <v>1339656</v>
      </c>
      <c r="G20" s="41">
        <v>4590252</v>
      </c>
      <c r="H20" s="41">
        <v>535115</v>
      </c>
      <c r="I20" s="41">
        <v>0</v>
      </c>
      <c r="J20" s="41">
        <f>SUM(D20:I20)</f>
        <v>94481702</v>
      </c>
      <c r="K20" s="41"/>
    </row>
    <row r="21" spans="1:12" x14ac:dyDescent="0.2">
      <c r="A21" s="39">
        <f t="shared" si="1"/>
        <v>14</v>
      </c>
      <c r="B21" s="42" t="s">
        <v>173</v>
      </c>
      <c r="D21" s="41">
        <v>27251634</v>
      </c>
      <c r="E21" s="41">
        <v>0</v>
      </c>
      <c r="F21" s="41">
        <v>414783</v>
      </c>
      <c r="G21" s="41">
        <v>1627920</v>
      </c>
      <c r="H21" s="41">
        <v>0</v>
      </c>
      <c r="I21" s="41">
        <v>0</v>
      </c>
      <c r="J21" s="41">
        <f t="shared" si="0"/>
        <v>29294337</v>
      </c>
    </row>
    <row r="22" spans="1:12" x14ac:dyDescent="0.2">
      <c r="A22" s="39">
        <f t="shared" si="1"/>
        <v>15</v>
      </c>
      <c r="B22" s="42" t="s">
        <v>168</v>
      </c>
      <c r="C22" s="42"/>
      <c r="D22" s="41">
        <v>70534251</v>
      </c>
      <c r="E22" s="41">
        <f>K22-D22-G22</f>
        <v>5986179</v>
      </c>
      <c r="F22" s="41">
        <v>0</v>
      </c>
      <c r="G22" s="41">
        <v>5388115</v>
      </c>
      <c r="H22" s="41">
        <v>0</v>
      </c>
      <c r="I22" s="41">
        <v>0</v>
      </c>
      <c r="J22" s="41">
        <f t="shared" si="0"/>
        <v>81908545</v>
      </c>
      <c r="K22" s="148">
        <v>81908545</v>
      </c>
      <c r="L22" s="41">
        <f>D22+G22</f>
        <v>75922366</v>
      </c>
    </row>
    <row r="23" spans="1:12" x14ac:dyDescent="0.2">
      <c r="A23" s="39">
        <f t="shared" si="1"/>
        <v>16</v>
      </c>
      <c r="B23" s="39" t="s">
        <v>150</v>
      </c>
      <c r="D23" s="41">
        <v>800605781</v>
      </c>
      <c r="E23" s="41">
        <v>58616000</v>
      </c>
      <c r="F23" s="41">
        <v>35991185</v>
      </c>
      <c r="G23" s="41">
        <v>0</v>
      </c>
      <c r="H23" s="41">
        <v>0</v>
      </c>
      <c r="I23" s="41">
        <v>0</v>
      </c>
      <c r="J23" s="41">
        <f t="shared" si="0"/>
        <v>895212966</v>
      </c>
      <c r="K23" s="41"/>
    </row>
    <row r="24" spans="1:12" x14ac:dyDescent="0.2">
      <c r="B24" s="42" t="s">
        <v>172</v>
      </c>
      <c r="D24" s="41"/>
      <c r="E24" s="41"/>
      <c r="F24" s="41"/>
      <c r="G24" s="41"/>
      <c r="H24" s="41"/>
      <c r="I24" s="41"/>
      <c r="J24" s="41"/>
    </row>
    <row r="25" spans="1:12" x14ac:dyDescent="0.2">
      <c r="A25" s="39">
        <f>A23+1</f>
        <v>17</v>
      </c>
      <c r="B25" s="42"/>
      <c r="C25" s="42" t="s">
        <v>175</v>
      </c>
      <c r="D25" s="41">
        <v>768700</v>
      </c>
      <c r="E25" s="41">
        <v>0</v>
      </c>
      <c r="F25" s="41">
        <v>-2343556</v>
      </c>
      <c r="G25" s="41">
        <v>1231231</v>
      </c>
      <c r="H25" s="41">
        <v>152153</v>
      </c>
      <c r="I25" s="41">
        <v>0</v>
      </c>
      <c r="J25" s="41">
        <f>SUM(D25:I25)</f>
        <v>-191472</v>
      </c>
    </row>
    <row r="26" spans="1:12" x14ac:dyDescent="0.2">
      <c r="A26" s="39">
        <f>A25+1</f>
        <v>18</v>
      </c>
      <c r="B26" s="42"/>
      <c r="C26" s="42" t="s">
        <v>182</v>
      </c>
      <c r="D26" s="41">
        <v>2407223</v>
      </c>
      <c r="E26" s="41">
        <v>0</v>
      </c>
      <c r="F26" s="41">
        <v>0</v>
      </c>
      <c r="G26" s="41">
        <v>-2406478</v>
      </c>
      <c r="H26" s="41">
        <v>0</v>
      </c>
      <c r="I26" s="41">
        <v>0</v>
      </c>
      <c r="J26" s="41">
        <f>SUM(D26:I26)</f>
        <v>745</v>
      </c>
    </row>
    <row r="27" spans="1:12" x14ac:dyDescent="0.2">
      <c r="A27" s="39">
        <f>A26+1</f>
        <v>19</v>
      </c>
      <c r="B27" s="42"/>
      <c r="C27" s="42" t="s">
        <v>201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f>SUM(D27:I27)</f>
        <v>0</v>
      </c>
    </row>
    <row r="28" spans="1:12" x14ac:dyDescent="0.2">
      <c r="A28" s="39">
        <f>A27+1</f>
        <v>20</v>
      </c>
      <c r="B28" s="42"/>
      <c r="C28" s="42" t="s">
        <v>183</v>
      </c>
      <c r="D28" s="41">
        <v>639800</v>
      </c>
      <c r="E28" s="41">
        <v>0</v>
      </c>
      <c r="F28" s="41">
        <v>0</v>
      </c>
      <c r="G28" s="41">
        <v>-593918</v>
      </c>
      <c r="H28" s="41">
        <v>0</v>
      </c>
      <c r="I28" s="41">
        <v>0</v>
      </c>
      <c r="J28" s="41">
        <f>SUM(D28:I28)</f>
        <v>45882</v>
      </c>
    </row>
    <row r="29" spans="1:12" x14ac:dyDescent="0.2">
      <c r="A29" s="39">
        <f>A28+1</f>
        <v>21</v>
      </c>
      <c r="B29" s="42"/>
      <c r="C29" s="42" t="s">
        <v>251</v>
      </c>
      <c r="D29" s="41">
        <v>-195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f>SUM(D29:I29)</f>
        <v>-195</v>
      </c>
    </row>
    <row r="30" spans="1:12" x14ac:dyDescent="0.2">
      <c r="D30" s="41"/>
      <c r="E30" s="41"/>
      <c r="F30" s="41"/>
      <c r="G30" s="41"/>
      <c r="H30" s="41"/>
      <c r="I30" s="41"/>
      <c r="J30" s="41"/>
    </row>
    <row r="31" spans="1:12" ht="12" customHeight="1" x14ac:dyDescent="0.2">
      <c r="A31" s="39">
        <f>A29+1</f>
        <v>22</v>
      </c>
      <c r="B31" s="42" t="s">
        <v>158</v>
      </c>
      <c r="D31" s="41">
        <f t="shared" ref="D31:J31" si="2">SUM(D8:D29)</f>
        <v>6309072214</v>
      </c>
      <c r="E31" s="41">
        <f t="shared" si="2"/>
        <v>64602179</v>
      </c>
      <c r="F31" s="41">
        <f t="shared" si="2"/>
        <v>145779737</v>
      </c>
      <c r="G31" s="41">
        <f t="shared" si="2"/>
        <v>318606968</v>
      </c>
      <c r="H31" s="41">
        <f>SUM(H8:H29)</f>
        <v>35221504</v>
      </c>
      <c r="I31" s="41">
        <f t="shared" si="2"/>
        <v>5618167</v>
      </c>
      <c r="J31" s="41">
        <f t="shared" si="2"/>
        <v>6878900769</v>
      </c>
      <c r="K31" s="43"/>
    </row>
    <row r="32" spans="1:12" x14ac:dyDescent="0.2">
      <c r="C32" s="42"/>
      <c r="D32" s="41"/>
      <c r="E32" s="41"/>
      <c r="F32" s="41"/>
      <c r="G32" s="41"/>
      <c r="H32" s="41"/>
      <c r="I32" s="41"/>
      <c r="J32" s="41"/>
      <c r="K32" s="43"/>
    </row>
    <row r="33" spans="1:12" x14ac:dyDescent="0.2">
      <c r="B33" s="42" t="s">
        <v>156</v>
      </c>
      <c r="C33" s="42"/>
      <c r="D33" s="41"/>
      <c r="E33" s="41"/>
      <c r="F33" s="41"/>
      <c r="G33" s="41"/>
      <c r="H33" s="41"/>
      <c r="I33" s="41"/>
      <c r="J33" s="41"/>
    </row>
    <row r="34" spans="1:12" x14ac:dyDescent="0.2">
      <c r="A34" s="39">
        <f>A31+1</f>
        <v>23</v>
      </c>
      <c r="B34" s="39" t="s">
        <v>153</v>
      </c>
      <c r="D34" s="41">
        <v>113275067</v>
      </c>
      <c r="E34" s="41">
        <v>0</v>
      </c>
      <c r="F34" s="41">
        <v>279178</v>
      </c>
      <c r="G34" s="41">
        <v>0</v>
      </c>
      <c r="H34" s="41">
        <v>0</v>
      </c>
      <c r="I34" s="41">
        <v>0</v>
      </c>
      <c r="J34" s="41">
        <f>SUM(D34:I34)</f>
        <v>113554245</v>
      </c>
      <c r="L34" s="40">
        <f>ROUND((D34+F34)/1000,1)</f>
        <v>113554.2</v>
      </c>
    </row>
    <row r="35" spans="1:12" x14ac:dyDescent="0.2">
      <c r="A35" s="39">
        <f>A34+1</f>
        <v>24</v>
      </c>
      <c r="B35" s="39" t="s">
        <v>152</v>
      </c>
      <c r="D35" s="41">
        <v>74181307</v>
      </c>
      <c r="E35" s="41">
        <v>0</v>
      </c>
      <c r="F35" s="41">
        <v>-684102</v>
      </c>
      <c r="G35" s="41">
        <v>0</v>
      </c>
      <c r="H35" s="41">
        <v>0</v>
      </c>
      <c r="I35" s="41">
        <v>0</v>
      </c>
      <c r="J35" s="41">
        <f>SUM(D35:I35)</f>
        <v>73497205</v>
      </c>
      <c r="K35" s="41"/>
      <c r="L35" s="40">
        <f>ROUND((D35+F35)/1000,1)</f>
        <v>73497.2</v>
      </c>
    </row>
    <row r="36" spans="1:12" x14ac:dyDescent="0.2">
      <c r="A36" s="39">
        <f>A35+1</f>
        <v>25</v>
      </c>
      <c r="B36" s="42" t="s">
        <v>174</v>
      </c>
      <c r="D36" s="41">
        <v>23962382</v>
      </c>
      <c r="E36" s="41">
        <v>0</v>
      </c>
      <c r="F36" s="41">
        <v>-208173</v>
      </c>
      <c r="G36" s="41">
        <v>0</v>
      </c>
      <c r="H36" s="41">
        <v>0</v>
      </c>
      <c r="I36" s="41">
        <v>0</v>
      </c>
      <c r="J36" s="41">
        <f>SUM(D36:I36)</f>
        <v>23754209</v>
      </c>
      <c r="L36" s="40">
        <f>ROUND((D36+F36)/1000,1)</f>
        <v>23754.2</v>
      </c>
    </row>
    <row r="37" spans="1:12" x14ac:dyDescent="0.2">
      <c r="A37" s="39">
        <f>A36+1</f>
        <v>26</v>
      </c>
      <c r="B37" s="42" t="s">
        <v>168</v>
      </c>
      <c r="C37" s="42"/>
      <c r="D37" s="41">
        <v>20557650</v>
      </c>
      <c r="E37" s="41">
        <f>K37-D37</f>
        <v>1255871</v>
      </c>
      <c r="F37" s="41">
        <v>0</v>
      </c>
      <c r="G37" s="41">
        <v>0</v>
      </c>
      <c r="H37" s="41">
        <v>0</v>
      </c>
      <c r="I37" s="41">
        <v>0</v>
      </c>
      <c r="J37" s="41">
        <f>SUM(D37:I37)</f>
        <v>21813521</v>
      </c>
      <c r="K37" s="148">
        <v>21813521</v>
      </c>
      <c r="L37" s="40">
        <f>ROUND((D37+F37)/1000,1)</f>
        <v>20557.7</v>
      </c>
    </row>
    <row r="38" spans="1:12" x14ac:dyDescent="0.2">
      <c r="A38" s="39">
        <f>A37+1</f>
        <v>27</v>
      </c>
      <c r="B38" s="39" t="s">
        <v>154</v>
      </c>
      <c r="D38" s="41">
        <v>723412712</v>
      </c>
      <c r="E38" s="41">
        <v>56773000</v>
      </c>
      <c r="F38" s="41">
        <v>21520463</v>
      </c>
      <c r="G38" s="41">
        <v>0</v>
      </c>
      <c r="H38" s="41">
        <v>0</v>
      </c>
      <c r="I38" s="41">
        <v>0</v>
      </c>
      <c r="J38" s="41">
        <f>SUM(D38:I38)</f>
        <v>801706175</v>
      </c>
      <c r="K38" s="41"/>
      <c r="L38" s="40">
        <f>ROUND((D38+E38+F38)/1000,1)</f>
        <v>801706.2</v>
      </c>
    </row>
    <row r="39" spans="1:12" x14ac:dyDescent="0.2">
      <c r="D39" s="41"/>
      <c r="E39" s="41"/>
      <c r="F39" s="41"/>
      <c r="G39" s="41"/>
      <c r="H39" s="41"/>
      <c r="I39" s="41"/>
      <c r="J39" s="41"/>
    </row>
    <row r="40" spans="1:12" x14ac:dyDescent="0.2">
      <c r="A40" s="39">
        <f>A38+1</f>
        <v>28</v>
      </c>
      <c r="B40" s="42" t="s">
        <v>159</v>
      </c>
      <c r="C40" s="42"/>
      <c r="D40" s="41">
        <f t="shared" ref="D40:J40" si="3">SUM(D34:D38)</f>
        <v>955389118</v>
      </c>
      <c r="E40" s="41">
        <f t="shared" si="3"/>
        <v>58028871</v>
      </c>
      <c r="F40" s="41">
        <f t="shared" si="3"/>
        <v>20907366</v>
      </c>
      <c r="G40" s="41">
        <f t="shared" si="3"/>
        <v>0</v>
      </c>
      <c r="H40" s="41">
        <f>SUM(H34:H38)</f>
        <v>0</v>
      </c>
      <c r="I40" s="41">
        <f t="shared" si="3"/>
        <v>0</v>
      </c>
      <c r="J40" s="41">
        <f t="shared" si="3"/>
        <v>1034325355</v>
      </c>
      <c r="K40" s="43"/>
    </row>
    <row r="41" spans="1:12" x14ac:dyDescent="0.2">
      <c r="B41" s="42"/>
      <c r="C41" s="42"/>
      <c r="D41" s="41"/>
      <c r="E41" s="41"/>
      <c r="F41" s="41"/>
      <c r="G41" s="41"/>
      <c r="H41" s="41"/>
      <c r="I41" s="41"/>
      <c r="J41" s="41"/>
    </row>
    <row r="42" spans="1:12" x14ac:dyDescent="0.2">
      <c r="B42" s="42" t="s">
        <v>157</v>
      </c>
      <c r="C42" s="42"/>
      <c r="D42" s="41"/>
      <c r="E42" s="41"/>
      <c r="F42" s="41"/>
      <c r="G42" s="41"/>
      <c r="H42" s="41"/>
      <c r="I42" s="41"/>
      <c r="J42" s="41"/>
    </row>
    <row r="43" spans="1:12" x14ac:dyDescent="0.2">
      <c r="A43" s="39">
        <f>A40+1</f>
        <v>29</v>
      </c>
      <c r="B43" s="39" t="s">
        <v>141</v>
      </c>
      <c r="D43" s="41">
        <f t="shared" ref="D43:I45" si="4">D8</f>
        <v>4579840779</v>
      </c>
      <c r="E43" s="41">
        <f t="shared" si="4"/>
        <v>0</v>
      </c>
      <c r="F43" s="41">
        <f t="shared" si="4"/>
        <v>69707357</v>
      </c>
      <c r="G43" s="41">
        <f t="shared" si="4"/>
        <v>238847985</v>
      </c>
      <c r="H43" s="41">
        <f>H8</f>
        <v>27844072</v>
      </c>
      <c r="I43" s="41">
        <f t="shared" si="4"/>
        <v>0</v>
      </c>
      <c r="J43" s="41">
        <f>SUM(D43:I43)</f>
        <v>4916240193</v>
      </c>
    </row>
    <row r="44" spans="1:12" x14ac:dyDescent="0.2">
      <c r="A44" s="39">
        <f>A43+1</f>
        <v>30</v>
      </c>
      <c r="B44" s="42" t="s">
        <v>167</v>
      </c>
      <c r="C44" s="42"/>
      <c r="D44" s="41">
        <f t="shared" si="4"/>
        <v>10725624</v>
      </c>
      <c r="E44" s="41">
        <f t="shared" si="4"/>
        <v>0</v>
      </c>
      <c r="F44" s="41">
        <f t="shared" si="4"/>
        <v>163249</v>
      </c>
      <c r="G44" s="41">
        <f t="shared" si="4"/>
        <v>559364</v>
      </c>
      <c r="H44" s="41">
        <f>H9</f>
        <v>65209</v>
      </c>
      <c r="I44" s="41">
        <f t="shared" si="4"/>
        <v>0</v>
      </c>
      <c r="J44" s="41">
        <f>SUM(D44:I44)</f>
        <v>11513446</v>
      </c>
    </row>
    <row r="45" spans="1:12" x14ac:dyDescent="0.2">
      <c r="A45" s="39">
        <f>A44+1</f>
        <v>31</v>
      </c>
      <c r="B45" s="39" t="s">
        <v>142</v>
      </c>
      <c r="D45" s="41">
        <f t="shared" si="4"/>
        <v>52315898</v>
      </c>
      <c r="E45" s="41">
        <f t="shared" si="4"/>
        <v>0</v>
      </c>
      <c r="F45" s="41">
        <f t="shared" si="4"/>
        <v>20930547</v>
      </c>
      <c r="G45" s="41">
        <f t="shared" si="4"/>
        <v>1724731</v>
      </c>
      <c r="H45" s="41">
        <f>H10</f>
        <v>1095590</v>
      </c>
      <c r="I45" s="41">
        <f t="shared" si="4"/>
        <v>0</v>
      </c>
      <c r="J45" s="41">
        <f>SUM(D45:I45)</f>
        <v>76066766</v>
      </c>
    </row>
    <row r="46" spans="1:12" x14ac:dyDescent="0.2">
      <c r="B46" s="42" t="s">
        <v>171</v>
      </c>
      <c r="D46" s="41"/>
      <c r="E46" s="41"/>
      <c r="F46" s="41"/>
      <c r="G46" s="41"/>
      <c r="H46" s="41"/>
      <c r="I46" s="41"/>
      <c r="J46" s="41"/>
    </row>
    <row r="47" spans="1:12" x14ac:dyDescent="0.2">
      <c r="A47" s="39">
        <f>A45+1</f>
        <v>32</v>
      </c>
      <c r="C47" s="39" t="s">
        <v>143</v>
      </c>
      <c r="D47" s="41">
        <f t="shared" ref="D47:I53" si="5">D12</f>
        <v>376269922</v>
      </c>
      <c r="E47" s="41">
        <f t="shared" si="5"/>
        <v>0</v>
      </c>
      <c r="F47" s="41">
        <f t="shared" si="5"/>
        <v>17807393</v>
      </c>
      <c r="G47" s="41">
        <f t="shared" si="5"/>
        <v>49318419</v>
      </c>
      <c r="H47" s="41">
        <f t="shared" ref="H47:H53" si="6">H12</f>
        <v>3546013</v>
      </c>
      <c r="I47" s="41">
        <f t="shared" si="5"/>
        <v>5618167</v>
      </c>
      <c r="J47" s="41">
        <f t="shared" ref="J47:J59" si="7">SUM(D47:I47)</f>
        <v>452559914</v>
      </c>
    </row>
    <row r="48" spans="1:12" x14ac:dyDescent="0.2">
      <c r="A48" s="39">
        <f t="shared" ref="A48:A59" si="8">A47+1</f>
        <v>33</v>
      </c>
      <c r="C48" s="39" t="s">
        <v>144</v>
      </c>
      <c r="D48" s="41">
        <f t="shared" si="5"/>
        <v>27410971</v>
      </c>
      <c r="E48" s="41">
        <f t="shared" si="5"/>
        <v>0</v>
      </c>
      <c r="F48" s="41">
        <f t="shared" si="5"/>
        <v>-816555</v>
      </c>
      <c r="G48" s="41">
        <f t="shared" si="5"/>
        <v>4800383</v>
      </c>
      <c r="H48" s="41">
        <f t="shared" si="6"/>
        <v>472195</v>
      </c>
      <c r="I48" s="41">
        <f t="shared" si="5"/>
        <v>0</v>
      </c>
      <c r="J48" s="41">
        <f t="shared" si="7"/>
        <v>31866994</v>
      </c>
    </row>
    <row r="49" spans="1:10" x14ac:dyDescent="0.2">
      <c r="A49" s="39">
        <f t="shared" si="8"/>
        <v>34</v>
      </c>
      <c r="B49" s="42"/>
      <c r="C49" s="42" t="s">
        <v>170</v>
      </c>
      <c r="D49" s="41">
        <f t="shared" si="5"/>
        <v>6980164</v>
      </c>
      <c r="E49" s="41">
        <f t="shared" si="5"/>
        <v>0</v>
      </c>
      <c r="F49" s="41">
        <f t="shared" si="5"/>
        <v>-207935</v>
      </c>
      <c r="G49" s="41">
        <f t="shared" si="5"/>
        <v>1607739</v>
      </c>
      <c r="H49" s="41">
        <f t="shared" si="6"/>
        <v>120244</v>
      </c>
      <c r="I49" s="41">
        <f t="shared" si="5"/>
        <v>0</v>
      </c>
      <c r="J49" s="41">
        <f t="shared" si="7"/>
        <v>8500212</v>
      </c>
    </row>
    <row r="50" spans="1:10" x14ac:dyDescent="0.2">
      <c r="A50" s="39">
        <f t="shared" si="8"/>
        <v>35</v>
      </c>
      <c r="B50" s="39" t="s">
        <v>145</v>
      </c>
      <c r="D50" s="41">
        <f t="shared" si="5"/>
        <v>23025914</v>
      </c>
      <c r="E50" s="41">
        <f t="shared" si="5"/>
        <v>0</v>
      </c>
      <c r="F50" s="41">
        <f t="shared" si="5"/>
        <v>0</v>
      </c>
      <c r="G50" s="41">
        <f t="shared" si="5"/>
        <v>1200851</v>
      </c>
      <c r="H50" s="41">
        <f t="shared" si="6"/>
        <v>139991</v>
      </c>
      <c r="I50" s="41">
        <f t="shared" si="5"/>
        <v>0</v>
      </c>
      <c r="J50" s="41">
        <f t="shared" si="7"/>
        <v>24366756</v>
      </c>
    </row>
    <row r="51" spans="1:10" x14ac:dyDescent="0.2">
      <c r="A51" s="39">
        <f t="shared" si="8"/>
        <v>36</v>
      </c>
      <c r="B51" s="39" t="s">
        <v>146</v>
      </c>
      <c r="D51" s="41">
        <f t="shared" si="5"/>
        <v>58735951</v>
      </c>
      <c r="E51" s="41">
        <f t="shared" si="5"/>
        <v>0</v>
      </c>
      <c r="F51" s="41">
        <f t="shared" si="5"/>
        <v>0</v>
      </c>
      <c r="G51" s="41">
        <f t="shared" si="5"/>
        <v>1138228</v>
      </c>
      <c r="H51" s="41">
        <f t="shared" si="6"/>
        <v>135034</v>
      </c>
      <c r="I51" s="41">
        <f t="shared" si="5"/>
        <v>0</v>
      </c>
      <c r="J51" s="41">
        <f t="shared" si="7"/>
        <v>60009213</v>
      </c>
    </row>
    <row r="52" spans="1:10" x14ac:dyDescent="0.2">
      <c r="A52" s="39">
        <f t="shared" si="8"/>
        <v>37</v>
      </c>
      <c r="B52" s="39" t="s">
        <v>148</v>
      </c>
      <c r="D52" s="41">
        <f t="shared" si="5"/>
        <v>148048</v>
      </c>
      <c r="E52" s="41">
        <f t="shared" si="5"/>
        <v>0</v>
      </c>
      <c r="F52" s="41">
        <f t="shared" si="5"/>
        <v>2253</v>
      </c>
      <c r="G52" s="41">
        <f t="shared" si="5"/>
        <v>7719</v>
      </c>
      <c r="H52" s="41">
        <f t="shared" si="6"/>
        <v>900</v>
      </c>
      <c r="I52" s="41">
        <f t="shared" si="5"/>
        <v>0</v>
      </c>
      <c r="J52" s="41">
        <f t="shared" si="7"/>
        <v>158920</v>
      </c>
    </row>
    <row r="53" spans="1:10" x14ac:dyDescent="0.2">
      <c r="A53" s="39">
        <f t="shared" si="8"/>
        <v>38</v>
      </c>
      <c r="B53" s="39" t="s">
        <v>244</v>
      </c>
      <c r="D53" s="41">
        <f t="shared" si="5"/>
        <v>0</v>
      </c>
      <c r="E53" s="41">
        <f t="shared" si="5"/>
        <v>0</v>
      </c>
      <c r="F53" s="41">
        <f t="shared" si="5"/>
        <v>0</v>
      </c>
      <c r="G53" s="41">
        <f t="shared" si="5"/>
        <v>0</v>
      </c>
      <c r="H53" s="41">
        <f t="shared" si="6"/>
        <v>0</v>
      </c>
      <c r="I53" s="41">
        <f t="shared" si="5"/>
        <v>0</v>
      </c>
      <c r="J53" s="41">
        <f t="shared" si="7"/>
        <v>0</v>
      </c>
    </row>
    <row r="54" spans="1:10" x14ac:dyDescent="0.2">
      <c r="A54" s="39">
        <f t="shared" si="8"/>
        <v>39</v>
      </c>
      <c r="B54" s="39" t="s">
        <v>147</v>
      </c>
      <c r="D54" s="41">
        <f t="shared" ref="D54:I57" si="9">D19-D34</f>
        <v>70120003</v>
      </c>
      <c r="E54" s="41">
        <f t="shared" si="9"/>
        <v>0</v>
      </c>
      <c r="F54" s="41">
        <f t="shared" si="9"/>
        <v>2512182</v>
      </c>
      <c r="G54" s="41">
        <f t="shared" si="9"/>
        <v>9564427</v>
      </c>
      <c r="H54" s="41">
        <f>H19-H34</f>
        <v>1114988</v>
      </c>
      <c r="I54" s="41">
        <f t="shared" si="9"/>
        <v>0</v>
      </c>
      <c r="J54" s="41">
        <f t="shared" si="7"/>
        <v>83311600</v>
      </c>
    </row>
    <row r="55" spans="1:10" x14ac:dyDescent="0.2">
      <c r="A55" s="39">
        <f t="shared" si="8"/>
        <v>40</v>
      </c>
      <c r="B55" s="39" t="s">
        <v>149</v>
      </c>
      <c r="D55" s="41">
        <f t="shared" si="9"/>
        <v>13835372</v>
      </c>
      <c r="E55" s="41">
        <f t="shared" si="9"/>
        <v>0</v>
      </c>
      <c r="F55" s="41">
        <f t="shared" si="9"/>
        <v>2023758</v>
      </c>
      <c r="G55" s="41">
        <f t="shared" si="9"/>
        <v>4590252</v>
      </c>
      <c r="H55" s="41">
        <f>H20-H35</f>
        <v>535115</v>
      </c>
      <c r="I55" s="41">
        <f t="shared" si="9"/>
        <v>0</v>
      </c>
      <c r="J55" s="41">
        <f t="shared" si="7"/>
        <v>20984497</v>
      </c>
    </row>
    <row r="56" spans="1:10" x14ac:dyDescent="0.2">
      <c r="A56" s="39">
        <f t="shared" si="8"/>
        <v>41</v>
      </c>
      <c r="B56" s="42" t="s">
        <v>173</v>
      </c>
      <c r="D56" s="41">
        <f t="shared" si="9"/>
        <v>3289252</v>
      </c>
      <c r="E56" s="41">
        <f t="shared" si="9"/>
        <v>0</v>
      </c>
      <c r="F56" s="41">
        <f t="shared" si="9"/>
        <v>622956</v>
      </c>
      <c r="G56" s="41">
        <f t="shared" si="9"/>
        <v>1627920</v>
      </c>
      <c r="H56" s="41">
        <f>H21-H36</f>
        <v>0</v>
      </c>
      <c r="I56" s="41">
        <f t="shared" si="9"/>
        <v>0</v>
      </c>
      <c r="J56" s="41">
        <f t="shared" si="7"/>
        <v>5540128</v>
      </c>
    </row>
    <row r="57" spans="1:10" x14ac:dyDescent="0.2">
      <c r="A57" s="39">
        <f t="shared" si="8"/>
        <v>42</v>
      </c>
      <c r="B57" s="42" t="s">
        <v>168</v>
      </c>
      <c r="C57" s="42"/>
      <c r="D57" s="41">
        <f t="shared" si="9"/>
        <v>49976601</v>
      </c>
      <c r="E57" s="41">
        <f t="shared" si="9"/>
        <v>4730308</v>
      </c>
      <c r="F57" s="41">
        <f t="shared" si="9"/>
        <v>0</v>
      </c>
      <c r="G57" s="41">
        <f t="shared" si="9"/>
        <v>5388115</v>
      </c>
      <c r="H57" s="41">
        <f>H22-H37</f>
        <v>0</v>
      </c>
      <c r="I57" s="41">
        <f t="shared" si="9"/>
        <v>0</v>
      </c>
      <c r="J57" s="41">
        <f t="shared" si="7"/>
        <v>60095024</v>
      </c>
    </row>
    <row r="58" spans="1:10" x14ac:dyDescent="0.2">
      <c r="A58" s="39">
        <f t="shared" si="8"/>
        <v>43</v>
      </c>
      <c r="B58" s="42" t="s">
        <v>163</v>
      </c>
      <c r="C58" s="42"/>
      <c r="D58" s="41">
        <f t="shared" ref="D58:I58" si="10">D23-D38-D59</f>
        <v>68670428</v>
      </c>
      <c r="E58" s="41">
        <f t="shared" si="10"/>
        <v>1843000</v>
      </c>
      <c r="F58" s="41">
        <f t="shared" si="10"/>
        <v>14470722</v>
      </c>
      <c r="G58" s="41">
        <f t="shared" si="10"/>
        <v>0</v>
      </c>
      <c r="H58" s="41">
        <f t="shared" si="10"/>
        <v>0</v>
      </c>
      <c r="I58" s="41">
        <f t="shared" si="10"/>
        <v>0</v>
      </c>
      <c r="J58" s="41">
        <f t="shared" si="7"/>
        <v>84984150</v>
      </c>
    </row>
    <row r="59" spans="1:10" x14ac:dyDescent="0.2">
      <c r="A59" s="39">
        <f t="shared" si="8"/>
        <v>44</v>
      </c>
      <c r="B59" s="39" t="s">
        <v>151</v>
      </c>
      <c r="D59" s="41">
        <v>8522641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f t="shared" si="7"/>
        <v>8522641</v>
      </c>
    </row>
    <row r="60" spans="1:10" x14ac:dyDescent="0.2">
      <c r="B60" s="42" t="s">
        <v>172</v>
      </c>
      <c r="D60" s="41"/>
      <c r="E60" s="41"/>
      <c r="F60" s="41"/>
      <c r="G60" s="41"/>
      <c r="H60" s="41"/>
      <c r="I60" s="41"/>
      <c r="J60" s="41"/>
    </row>
    <row r="61" spans="1:10" x14ac:dyDescent="0.2">
      <c r="A61" s="39">
        <f>A59+1</f>
        <v>45</v>
      </c>
      <c r="B61" s="42"/>
      <c r="C61" s="42" t="s">
        <v>175</v>
      </c>
      <c r="D61" s="41">
        <f t="shared" ref="D61:I65" si="11">D25</f>
        <v>768700</v>
      </c>
      <c r="E61" s="41">
        <f t="shared" si="11"/>
        <v>0</v>
      </c>
      <c r="F61" s="41">
        <f t="shared" si="11"/>
        <v>-2343556</v>
      </c>
      <c r="G61" s="41">
        <f t="shared" si="11"/>
        <v>1231231</v>
      </c>
      <c r="H61" s="41">
        <f>H25</f>
        <v>152153</v>
      </c>
      <c r="I61" s="41">
        <f t="shared" si="11"/>
        <v>0</v>
      </c>
      <c r="J61" s="41">
        <f>SUM(D61:I61)</f>
        <v>-191472</v>
      </c>
    </row>
    <row r="62" spans="1:10" x14ac:dyDescent="0.2">
      <c r="A62" s="39">
        <f>A61+1</f>
        <v>46</v>
      </c>
      <c r="B62" s="42"/>
      <c r="C62" s="42" t="s">
        <v>182</v>
      </c>
      <c r="D62" s="41">
        <f t="shared" si="11"/>
        <v>2407223</v>
      </c>
      <c r="E62" s="41">
        <f t="shared" si="11"/>
        <v>0</v>
      </c>
      <c r="F62" s="41">
        <f t="shared" si="11"/>
        <v>0</v>
      </c>
      <c r="G62" s="41">
        <f t="shared" si="11"/>
        <v>-2406478</v>
      </c>
      <c r="H62" s="41">
        <f>H26</f>
        <v>0</v>
      </c>
      <c r="I62" s="41">
        <f t="shared" si="11"/>
        <v>0</v>
      </c>
      <c r="J62" s="41">
        <f>SUM(D62:I62)</f>
        <v>745</v>
      </c>
    </row>
    <row r="63" spans="1:10" x14ac:dyDescent="0.2">
      <c r="A63" s="39">
        <f>A62+1</f>
        <v>47</v>
      </c>
      <c r="B63" s="42"/>
      <c r="C63" s="42" t="s">
        <v>201</v>
      </c>
      <c r="D63" s="41">
        <f t="shared" si="11"/>
        <v>0</v>
      </c>
      <c r="E63" s="41">
        <f t="shared" si="11"/>
        <v>0</v>
      </c>
      <c r="F63" s="41">
        <f t="shared" si="11"/>
        <v>0</v>
      </c>
      <c r="G63" s="41">
        <f t="shared" si="11"/>
        <v>0</v>
      </c>
      <c r="H63" s="41">
        <f>H27</f>
        <v>0</v>
      </c>
      <c r="I63" s="41">
        <f t="shared" si="11"/>
        <v>0</v>
      </c>
      <c r="J63" s="41">
        <f>SUM(D63:I63)</f>
        <v>0</v>
      </c>
    </row>
    <row r="64" spans="1:10" x14ac:dyDescent="0.2">
      <c r="A64" s="39">
        <f>A63+1</f>
        <v>48</v>
      </c>
      <c r="B64" s="42"/>
      <c r="C64" s="42" t="s">
        <v>183</v>
      </c>
      <c r="D64" s="41">
        <f t="shared" si="11"/>
        <v>639800</v>
      </c>
      <c r="E64" s="41">
        <f t="shared" si="11"/>
        <v>0</v>
      </c>
      <c r="F64" s="41">
        <f t="shared" si="11"/>
        <v>0</v>
      </c>
      <c r="G64" s="41">
        <f t="shared" si="11"/>
        <v>-593918</v>
      </c>
      <c r="H64" s="41">
        <f>H28</f>
        <v>0</v>
      </c>
      <c r="I64" s="41">
        <f t="shared" si="11"/>
        <v>0</v>
      </c>
      <c r="J64" s="41">
        <f>SUM(D64:I64)</f>
        <v>45882</v>
      </c>
    </row>
    <row r="65" spans="1:11" x14ac:dyDescent="0.2">
      <c r="A65" s="39">
        <f>A64+1</f>
        <v>49</v>
      </c>
      <c r="B65" s="42"/>
      <c r="C65" s="42" t="s">
        <v>251</v>
      </c>
      <c r="D65" s="41">
        <f t="shared" si="11"/>
        <v>-195</v>
      </c>
      <c r="E65" s="41">
        <f t="shared" si="11"/>
        <v>0</v>
      </c>
      <c r="F65" s="41">
        <f t="shared" si="11"/>
        <v>0</v>
      </c>
      <c r="G65" s="41">
        <f t="shared" si="11"/>
        <v>0</v>
      </c>
      <c r="H65" s="41">
        <f>H29</f>
        <v>0</v>
      </c>
      <c r="I65" s="41">
        <f t="shared" si="11"/>
        <v>0</v>
      </c>
      <c r="J65" s="41">
        <f>SUM(D65:I65)</f>
        <v>-195</v>
      </c>
    </row>
    <row r="66" spans="1:11" x14ac:dyDescent="0.2">
      <c r="D66" s="41"/>
      <c r="E66" s="41"/>
      <c r="F66" s="41"/>
      <c r="G66" s="41"/>
      <c r="H66" s="41"/>
      <c r="I66" s="41"/>
      <c r="J66" s="41"/>
    </row>
    <row r="67" spans="1:11" x14ac:dyDescent="0.2">
      <c r="A67" s="39">
        <f>A65+1</f>
        <v>50</v>
      </c>
      <c r="B67" s="42" t="s">
        <v>184</v>
      </c>
      <c r="C67" s="42"/>
      <c r="D67" s="41">
        <f t="shared" ref="D67:J67" si="12">SUM(D43:D65)</f>
        <v>5353683096</v>
      </c>
      <c r="E67" s="41">
        <f t="shared" si="12"/>
        <v>6573308</v>
      </c>
      <c r="F67" s="41">
        <f t="shared" si="12"/>
        <v>124872371</v>
      </c>
      <c r="G67" s="41">
        <f t="shared" si="12"/>
        <v>318606968</v>
      </c>
      <c r="H67" s="41">
        <f>SUM(H43:H65)</f>
        <v>35221504</v>
      </c>
      <c r="I67" s="41">
        <f t="shared" si="12"/>
        <v>5618167</v>
      </c>
      <c r="J67" s="41">
        <f t="shared" si="12"/>
        <v>5844575414</v>
      </c>
      <c r="K67" s="43">
        <v>5844575415.2008896</v>
      </c>
    </row>
    <row r="68" spans="1:11" x14ac:dyDescent="0.2">
      <c r="A68" s="39">
        <f>A67+1</f>
        <v>51</v>
      </c>
      <c r="B68" s="173" t="s">
        <v>397</v>
      </c>
      <c r="C68" s="42"/>
      <c r="D68" s="41">
        <f t="shared" ref="D68:J68" si="13">D67</f>
        <v>5353683096</v>
      </c>
      <c r="E68" s="41">
        <f t="shared" si="13"/>
        <v>6573308</v>
      </c>
      <c r="F68" s="41">
        <f t="shared" si="13"/>
        <v>124872371</v>
      </c>
      <c r="G68" s="41">
        <f t="shared" si="13"/>
        <v>318606968</v>
      </c>
      <c r="H68" s="41">
        <f t="shared" si="13"/>
        <v>35221504</v>
      </c>
      <c r="I68" s="41">
        <f t="shared" si="13"/>
        <v>5618167</v>
      </c>
      <c r="J68" s="41">
        <f t="shared" si="13"/>
        <v>5844575414</v>
      </c>
      <c r="K68" s="43"/>
    </row>
    <row r="69" spans="1:11" x14ac:dyDescent="0.2">
      <c r="A69" s="39">
        <f>A68+1</f>
        <v>52</v>
      </c>
      <c r="B69" s="42" t="s">
        <v>303</v>
      </c>
      <c r="C69" s="42"/>
      <c r="D69" s="127" t="s">
        <v>302</v>
      </c>
      <c r="E69" s="127" t="s">
        <v>302</v>
      </c>
      <c r="F69" s="127" t="s">
        <v>302</v>
      </c>
      <c r="G69" s="127" t="s">
        <v>302</v>
      </c>
      <c r="H69" s="127" t="s">
        <v>302</v>
      </c>
      <c r="I69" s="127" t="s">
        <v>302</v>
      </c>
      <c r="J69" s="127" t="s">
        <v>302</v>
      </c>
    </row>
    <row r="70" spans="1:11" x14ac:dyDescent="0.2">
      <c r="B70" s="42"/>
      <c r="C70" s="42"/>
      <c r="D70" s="41"/>
      <c r="E70" s="41"/>
      <c r="F70" s="41"/>
      <c r="G70" s="41"/>
      <c r="H70" s="41"/>
      <c r="I70" s="41"/>
      <c r="J70" s="41"/>
    </row>
    <row r="71" spans="1:11" x14ac:dyDescent="0.2">
      <c r="A71" s="39">
        <f>A69+1</f>
        <v>53</v>
      </c>
      <c r="B71" s="42" t="s">
        <v>166</v>
      </c>
      <c r="C71" s="42"/>
      <c r="D71" s="41">
        <v>-29548624</v>
      </c>
      <c r="E71" s="41">
        <v>0</v>
      </c>
      <c r="F71" s="41">
        <v>0</v>
      </c>
      <c r="G71" s="41">
        <v>-1517738</v>
      </c>
      <c r="H71" s="41">
        <v>-176933</v>
      </c>
      <c r="I71" s="41">
        <v>0</v>
      </c>
      <c r="J71" s="41">
        <f>SUM(D71:I71)</f>
        <v>-31243295</v>
      </c>
      <c r="K71" s="43"/>
    </row>
    <row r="72" spans="1:11" x14ac:dyDescent="0.2">
      <c r="D72" s="40"/>
      <c r="E72" s="40"/>
      <c r="F72" s="40"/>
      <c r="G72" s="40"/>
      <c r="H72" s="40"/>
      <c r="I72" s="40"/>
      <c r="J72" s="40"/>
    </row>
    <row r="73" spans="1:11" x14ac:dyDescent="0.2">
      <c r="A73" s="190" t="s">
        <v>391</v>
      </c>
      <c r="B73" s="190"/>
      <c r="C73" s="191"/>
      <c r="D73" s="192" t="s">
        <v>176</v>
      </c>
      <c r="E73" s="192" t="s">
        <v>181</v>
      </c>
      <c r="F73" s="192" t="s">
        <v>177</v>
      </c>
      <c r="G73" s="192" t="s">
        <v>178</v>
      </c>
      <c r="H73" s="192" t="s">
        <v>179</v>
      </c>
      <c r="I73" s="192" t="s">
        <v>370</v>
      </c>
      <c r="J73" s="192" t="s">
        <v>180</v>
      </c>
    </row>
    <row r="75" spans="1:11" x14ac:dyDescent="0.2">
      <c r="A75" s="39">
        <v>1</v>
      </c>
      <c r="B75" s="39" t="s">
        <v>140</v>
      </c>
      <c r="D75" s="41">
        <f>'Pupil Data'!C207</f>
        <v>891324</v>
      </c>
      <c r="E75" s="41">
        <v>0</v>
      </c>
      <c r="F75" s="41">
        <f>'Pupil Data'!D207</f>
        <v>17141</v>
      </c>
      <c r="G75" s="41">
        <f>'Pupil Data'!E207</f>
        <v>45680</v>
      </c>
      <c r="H75" s="41">
        <f>'Pupil Data'!F207</f>
        <v>7048</v>
      </c>
      <c r="I75" s="41">
        <v>0</v>
      </c>
      <c r="J75" s="41">
        <f>SUM(D75:I75)</f>
        <v>961193</v>
      </c>
    </row>
    <row r="77" spans="1:11" x14ac:dyDescent="0.2">
      <c r="B77" s="42" t="s">
        <v>155</v>
      </c>
      <c r="D77" s="40"/>
      <c r="E77" s="40"/>
      <c r="F77" s="40"/>
      <c r="G77" s="40"/>
      <c r="H77" s="40"/>
      <c r="I77" s="40"/>
      <c r="J77" s="40"/>
    </row>
    <row r="78" spans="1:11" x14ac:dyDescent="0.2">
      <c r="A78" s="39">
        <f>A75+1</f>
        <v>2</v>
      </c>
      <c r="B78" s="39" t="s">
        <v>141</v>
      </c>
      <c r="D78" s="41">
        <v>4567146273</v>
      </c>
      <c r="E78" s="41">
        <v>0</v>
      </c>
      <c r="F78" s="41">
        <v>87832226</v>
      </c>
      <c r="G78" s="41">
        <v>234063292</v>
      </c>
      <c r="H78" s="41">
        <v>36112210</v>
      </c>
      <c r="I78" s="41">
        <v>0</v>
      </c>
      <c r="J78" s="41">
        <f>SUM(D78:I78)</f>
        <v>4925154001</v>
      </c>
    </row>
    <row r="79" spans="1:11" x14ac:dyDescent="0.2">
      <c r="A79" s="39">
        <f>A78+1</f>
        <v>3</v>
      </c>
      <c r="B79" s="42" t="s">
        <v>167</v>
      </c>
      <c r="C79" s="42"/>
      <c r="D79" s="41">
        <v>10695892</v>
      </c>
      <c r="E79" s="41">
        <v>0</v>
      </c>
      <c r="F79" s="41">
        <v>205696</v>
      </c>
      <c r="G79" s="41">
        <v>548162</v>
      </c>
      <c r="H79" s="41">
        <v>84572</v>
      </c>
      <c r="I79" s="41">
        <v>0</v>
      </c>
      <c r="J79" s="41">
        <f>SUM(D79:I79)</f>
        <v>11534322</v>
      </c>
    </row>
    <row r="80" spans="1:11" x14ac:dyDescent="0.2">
      <c r="A80" s="39">
        <f>A79+1</f>
        <v>4</v>
      </c>
      <c r="B80" s="39" t="s">
        <v>142</v>
      </c>
      <c r="D80" s="41">
        <v>50871507</v>
      </c>
      <c r="E80" s="41">
        <v>0</v>
      </c>
      <c r="F80" s="41">
        <v>22548857</v>
      </c>
      <c r="G80" s="41">
        <v>1632435</v>
      </c>
      <c r="H80" s="41">
        <v>1148180</v>
      </c>
      <c r="I80" s="41">
        <v>0</v>
      </c>
      <c r="J80" s="41">
        <f>SUM(D80:I80)</f>
        <v>76200979</v>
      </c>
    </row>
    <row r="81" spans="1:12" x14ac:dyDescent="0.2">
      <c r="B81" s="42" t="s">
        <v>171</v>
      </c>
      <c r="D81" s="41"/>
      <c r="E81" s="41"/>
      <c r="F81" s="41"/>
      <c r="G81" s="41"/>
      <c r="H81" s="41"/>
      <c r="I81" s="41"/>
      <c r="J81" s="41"/>
    </row>
    <row r="82" spans="1:12" x14ac:dyDescent="0.2">
      <c r="A82" s="39">
        <f>A80+1</f>
        <v>5</v>
      </c>
      <c r="C82" s="39" t="s">
        <v>143</v>
      </c>
      <c r="D82" s="41">
        <v>361590554</v>
      </c>
      <c r="E82" s="41">
        <v>0</v>
      </c>
      <c r="F82" s="41">
        <v>35498056</v>
      </c>
      <c r="G82" s="41">
        <v>46654257</v>
      </c>
      <c r="H82" s="41">
        <v>7591532</v>
      </c>
      <c r="I82" s="41">
        <v>5680420</v>
      </c>
      <c r="J82" s="41">
        <f t="shared" ref="J82:J89" si="14">SUM(D82:I82)</f>
        <v>457014819</v>
      </c>
    </row>
    <row r="83" spans="1:12" x14ac:dyDescent="0.2">
      <c r="A83" s="39">
        <f t="shared" ref="A83:A93" si="15">A82+1</f>
        <v>6</v>
      </c>
      <c r="C83" s="39" t="s">
        <v>144</v>
      </c>
      <c r="D83" s="41">
        <v>27410971</v>
      </c>
      <c r="E83" s="41">
        <v>0</v>
      </c>
      <c r="F83" s="41">
        <v>-788283</v>
      </c>
      <c r="G83" s="41">
        <v>4800383</v>
      </c>
      <c r="H83" s="41">
        <v>499471</v>
      </c>
      <c r="I83" s="41">
        <v>0</v>
      </c>
      <c r="J83" s="41">
        <f t="shared" si="14"/>
        <v>31922542</v>
      </c>
    </row>
    <row r="84" spans="1:12" x14ac:dyDescent="0.2">
      <c r="A84" s="39">
        <f t="shared" si="15"/>
        <v>7</v>
      </c>
      <c r="B84" s="42"/>
      <c r="C84" s="42" t="s">
        <v>170</v>
      </c>
      <c r="D84" s="41">
        <v>6985957</v>
      </c>
      <c r="E84" s="41">
        <v>0</v>
      </c>
      <c r="F84" s="41">
        <v>-200902</v>
      </c>
      <c r="G84" s="41">
        <v>1607720</v>
      </c>
      <c r="H84" s="41">
        <v>127295</v>
      </c>
      <c r="I84" s="41">
        <v>0</v>
      </c>
      <c r="J84" s="41">
        <f t="shared" si="14"/>
        <v>8520070</v>
      </c>
    </row>
    <row r="85" spans="1:12" x14ac:dyDescent="0.2">
      <c r="A85" s="39">
        <f t="shared" si="15"/>
        <v>8</v>
      </c>
      <c r="B85" s="39" t="s">
        <v>145</v>
      </c>
      <c r="D85" s="41">
        <v>23004187</v>
      </c>
      <c r="E85" s="41">
        <v>0</v>
      </c>
      <c r="F85" s="41">
        <v>0</v>
      </c>
      <c r="G85" s="41">
        <v>1178946</v>
      </c>
      <c r="H85" s="41">
        <v>181893</v>
      </c>
      <c r="I85" s="41">
        <v>0</v>
      </c>
      <c r="J85" s="41">
        <f t="shared" si="14"/>
        <v>24365026</v>
      </c>
    </row>
    <row r="86" spans="1:12" x14ac:dyDescent="0.2">
      <c r="A86" s="39">
        <f t="shared" si="15"/>
        <v>9</v>
      </c>
      <c r="B86" s="39" t="s">
        <v>146</v>
      </c>
      <c r="D86" s="41">
        <v>58589876</v>
      </c>
      <c r="E86" s="41">
        <v>0</v>
      </c>
      <c r="F86" s="41">
        <v>0</v>
      </c>
      <c r="G86" s="41">
        <v>1116262</v>
      </c>
      <c r="H86" s="41">
        <v>173752</v>
      </c>
      <c r="I86" s="41">
        <v>0</v>
      </c>
      <c r="J86" s="41">
        <f t="shared" si="14"/>
        <v>59879890</v>
      </c>
    </row>
    <row r="87" spans="1:12" x14ac:dyDescent="0.2">
      <c r="A87" s="39">
        <f t="shared" si="15"/>
        <v>10</v>
      </c>
      <c r="B87" s="39" t="s">
        <v>148</v>
      </c>
      <c r="D87" s="41">
        <v>145941</v>
      </c>
      <c r="E87" s="41">
        <v>0</v>
      </c>
      <c r="F87" s="41">
        <v>2807</v>
      </c>
      <c r="G87" s="41">
        <v>7474</v>
      </c>
      <c r="H87" s="41">
        <v>1154</v>
      </c>
      <c r="I87" s="41">
        <v>0</v>
      </c>
      <c r="J87" s="41">
        <f t="shared" si="14"/>
        <v>157376</v>
      </c>
    </row>
    <row r="88" spans="1:12" x14ac:dyDescent="0.2">
      <c r="A88" s="39">
        <f t="shared" si="15"/>
        <v>11</v>
      </c>
      <c r="B88" s="39" t="s">
        <v>244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f t="shared" si="14"/>
        <v>0</v>
      </c>
    </row>
    <row r="89" spans="1:12" x14ac:dyDescent="0.2">
      <c r="A89" s="39">
        <f t="shared" si="15"/>
        <v>12</v>
      </c>
      <c r="B89" s="39" t="s">
        <v>147</v>
      </c>
      <c r="D89" s="41">
        <v>182890207</v>
      </c>
      <c r="E89" s="41">
        <v>0</v>
      </c>
      <c r="F89" s="41">
        <v>3517219</v>
      </c>
      <c r="G89" s="41">
        <v>9373008</v>
      </c>
      <c r="H89" s="41">
        <v>1446104</v>
      </c>
      <c r="I89" s="41">
        <v>0</v>
      </c>
      <c r="J89" s="41">
        <f t="shared" si="14"/>
        <v>197226538</v>
      </c>
    </row>
    <row r="90" spans="1:12" x14ac:dyDescent="0.2">
      <c r="A90" s="39">
        <f t="shared" si="15"/>
        <v>13</v>
      </c>
      <c r="B90" s="39" t="s">
        <v>149</v>
      </c>
      <c r="D90" s="41">
        <v>88004154.089315593</v>
      </c>
      <c r="E90" s="41">
        <f>K90-D90-F90-G90-H90</f>
        <v>-116803.08931559324</v>
      </c>
      <c r="F90" s="41">
        <v>1692436</v>
      </c>
      <c r="G90" s="41">
        <v>4510162</v>
      </c>
      <c r="H90" s="41">
        <v>695845</v>
      </c>
      <c r="I90" s="41">
        <v>0</v>
      </c>
      <c r="J90" s="41">
        <f>SUM(D90:I90)</f>
        <v>94785794</v>
      </c>
      <c r="K90" s="41">
        <v>94785794</v>
      </c>
    </row>
    <row r="91" spans="1:12" x14ac:dyDescent="0.2">
      <c r="A91" s="39">
        <f t="shared" si="15"/>
        <v>14</v>
      </c>
      <c r="B91" s="42" t="s">
        <v>173</v>
      </c>
      <c r="D91" s="41">
        <v>27299953</v>
      </c>
      <c r="E91" s="41">
        <v>0</v>
      </c>
      <c r="F91" s="41">
        <v>525014</v>
      </c>
      <c r="G91" s="41">
        <v>1589857</v>
      </c>
      <c r="H91" s="41">
        <v>2540</v>
      </c>
      <c r="I91" s="41">
        <v>0</v>
      </c>
      <c r="J91" s="41">
        <f>SUM(D91:I91)</f>
        <v>29417364</v>
      </c>
    </row>
    <row r="92" spans="1:12" x14ac:dyDescent="0.2">
      <c r="A92" s="39">
        <f t="shared" si="15"/>
        <v>15</v>
      </c>
      <c r="B92" s="42" t="s">
        <v>168</v>
      </c>
      <c r="C92" s="42"/>
      <c r="D92" s="41">
        <v>61763218</v>
      </c>
      <c r="E92" s="41">
        <f>K92-D92-G92</f>
        <v>15500079</v>
      </c>
      <c r="F92" s="41">
        <v>0</v>
      </c>
      <c r="G92" s="41">
        <v>5384741</v>
      </c>
      <c r="H92" s="41">
        <v>0</v>
      </c>
      <c r="I92" s="41">
        <v>0</v>
      </c>
      <c r="J92" s="41">
        <f>SUM(D92:I92)</f>
        <v>82648038</v>
      </c>
      <c r="K92" s="148">
        <v>82648038</v>
      </c>
      <c r="L92" s="41"/>
    </row>
    <row r="93" spans="1:12" x14ac:dyDescent="0.2">
      <c r="A93" s="39">
        <f t="shared" si="15"/>
        <v>16</v>
      </c>
      <c r="B93" s="39" t="s">
        <v>150</v>
      </c>
      <c r="D93" s="41">
        <v>798562264</v>
      </c>
      <c r="E93" s="41">
        <v>58616000</v>
      </c>
      <c r="F93" s="41">
        <v>38021444</v>
      </c>
      <c r="G93" s="41">
        <v>0</v>
      </c>
      <c r="H93" s="41">
        <v>0</v>
      </c>
      <c r="I93" s="41">
        <v>0</v>
      </c>
      <c r="J93" s="41">
        <f>SUM(D93:I93)</f>
        <v>895199708</v>
      </c>
      <c r="K93" s="41"/>
    </row>
    <row r="94" spans="1:12" x14ac:dyDescent="0.2">
      <c r="B94" s="42" t="s">
        <v>172</v>
      </c>
      <c r="D94" s="41"/>
      <c r="E94" s="41"/>
      <c r="F94" s="41"/>
      <c r="G94" s="41"/>
      <c r="H94" s="41"/>
      <c r="I94" s="41"/>
      <c r="J94" s="41"/>
    </row>
    <row r="95" spans="1:12" x14ac:dyDescent="0.2">
      <c r="A95" s="39">
        <f>A93+1</f>
        <v>17</v>
      </c>
      <c r="B95" s="42"/>
      <c r="C95" s="42" t="s">
        <v>175</v>
      </c>
      <c r="D95" s="41">
        <v>855895</v>
      </c>
      <c r="E95" s="41">
        <v>0</v>
      </c>
      <c r="F95" s="41">
        <v>-2167575</v>
      </c>
      <c r="G95" s="41">
        <v>1128947</v>
      </c>
      <c r="H95" s="41">
        <v>190287</v>
      </c>
      <c r="I95" s="41">
        <v>0</v>
      </c>
      <c r="J95" s="41">
        <f>SUM(D95:I95)</f>
        <v>7554</v>
      </c>
    </row>
    <row r="96" spans="1:12" x14ac:dyDescent="0.2">
      <c r="A96" s="39">
        <f>A95+1</f>
        <v>18</v>
      </c>
      <c r="B96" s="42"/>
      <c r="C96" s="42" t="s">
        <v>182</v>
      </c>
      <c r="D96" s="41">
        <v>2482592</v>
      </c>
      <c r="E96" s="41">
        <v>0</v>
      </c>
      <c r="F96" s="41">
        <v>0</v>
      </c>
      <c r="G96" s="41">
        <v>-2483058</v>
      </c>
      <c r="H96" s="41">
        <v>0</v>
      </c>
      <c r="I96" s="41">
        <v>0</v>
      </c>
      <c r="J96" s="41">
        <f>SUM(D96:I96)</f>
        <v>-466</v>
      </c>
    </row>
    <row r="97" spans="1:12" x14ac:dyDescent="0.2">
      <c r="A97" s="39">
        <f>A96+1</f>
        <v>19</v>
      </c>
      <c r="B97" s="42"/>
      <c r="C97" s="42" t="s">
        <v>201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f>SUM(D97:I97)</f>
        <v>0</v>
      </c>
    </row>
    <row r="98" spans="1:12" x14ac:dyDescent="0.2">
      <c r="A98" s="39">
        <f>A97+1</f>
        <v>20</v>
      </c>
      <c r="B98" s="42"/>
      <c r="C98" s="42" t="s">
        <v>183</v>
      </c>
      <c r="D98" s="41">
        <v>630810</v>
      </c>
      <c r="E98" s="41">
        <v>0</v>
      </c>
      <c r="F98" s="41">
        <v>0</v>
      </c>
      <c r="G98" s="41">
        <v>-595304</v>
      </c>
      <c r="H98" s="41">
        <v>0</v>
      </c>
      <c r="I98" s="41">
        <v>0</v>
      </c>
      <c r="J98" s="41">
        <f>SUM(D98:I98)</f>
        <v>35506</v>
      </c>
    </row>
    <row r="99" spans="1:12" x14ac:dyDescent="0.2">
      <c r="A99" s="39">
        <f>A98+1</f>
        <v>21</v>
      </c>
      <c r="B99" s="42"/>
      <c r="C99" s="42" t="s">
        <v>251</v>
      </c>
      <c r="D99" s="41">
        <v>-196</v>
      </c>
      <c r="E99" s="41">
        <v>0</v>
      </c>
      <c r="F99" s="41">
        <v>0</v>
      </c>
      <c r="G99" s="41">
        <v>0</v>
      </c>
      <c r="H99" s="41">
        <v>0</v>
      </c>
      <c r="I99" s="41">
        <v>0</v>
      </c>
      <c r="J99" s="41">
        <f>SUM(D99:I99)</f>
        <v>-196</v>
      </c>
    </row>
    <row r="100" spans="1:12" x14ac:dyDescent="0.2">
      <c r="D100" s="41"/>
      <c r="E100" s="41"/>
      <c r="F100" s="41"/>
      <c r="G100" s="41"/>
      <c r="H100" s="41"/>
      <c r="I100" s="41"/>
      <c r="J100" s="41"/>
    </row>
    <row r="101" spans="1:12" x14ac:dyDescent="0.2">
      <c r="A101" s="39">
        <f>A99+1</f>
        <v>22</v>
      </c>
      <c r="B101" s="42" t="s">
        <v>158</v>
      </c>
      <c r="D101" s="41">
        <f t="shared" ref="D101:J101" si="16">SUM(D78:D99)</f>
        <v>6268930055.0893154</v>
      </c>
      <c r="E101" s="41">
        <f t="shared" si="16"/>
        <v>73999275.910684407</v>
      </c>
      <c r="F101" s="41">
        <f t="shared" si="16"/>
        <v>186686995</v>
      </c>
      <c r="G101" s="41">
        <f t="shared" si="16"/>
        <v>310517284</v>
      </c>
      <c r="H101" s="41">
        <f t="shared" si="16"/>
        <v>48254835</v>
      </c>
      <c r="I101" s="41">
        <f t="shared" si="16"/>
        <v>5680420</v>
      </c>
      <c r="J101" s="41">
        <f t="shared" si="16"/>
        <v>6894068865</v>
      </c>
      <c r="K101" s="43"/>
    </row>
    <row r="102" spans="1:12" x14ac:dyDescent="0.2">
      <c r="C102" s="42"/>
      <c r="D102" s="41"/>
      <c r="E102" s="41"/>
      <c r="F102" s="41"/>
      <c r="G102" s="41"/>
      <c r="H102" s="41"/>
      <c r="I102" s="41"/>
      <c r="J102" s="41"/>
      <c r="K102" s="43"/>
    </row>
    <row r="103" spans="1:12" x14ac:dyDescent="0.2">
      <c r="B103" s="42" t="s">
        <v>156</v>
      </c>
      <c r="C103" s="42"/>
      <c r="D103" s="41"/>
      <c r="E103" s="41"/>
      <c r="F103" s="41"/>
      <c r="G103" s="41"/>
      <c r="H103" s="41"/>
      <c r="I103" s="41"/>
      <c r="J103" s="41"/>
    </row>
    <row r="104" spans="1:12" x14ac:dyDescent="0.2">
      <c r="A104" s="39">
        <f>A101+1</f>
        <v>23</v>
      </c>
      <c r="B104" s="39" t="s">
        <v>153</v>
      </c>
      <c r="D104" s="41">
        <v>116696351</v>
      </c>
      <c r="E104" s="41">
        <v>0</v>
      </c>
      <c r="F104" s="41">
        <v>439670</v>
      </c>
      <c r="G104" s="41">
        <v>0</v>
      </c>
      <c r="H104" s="41">
        <v>0</v>
      </c>
      <c r="I104" s="41">
        <v>0</v>
      </c>
      <c r="J104" s="41">
        <f>SUM(D104:I104)</f>
        <v>117136021</v>
      </c>
      <c r="L104" s="40">
        <f>ROUND((D104+F104)/1000,1)</f>
        <v>117136</v>
      </c>
    </row>
    <row r="105" spans="1:12" x14ac:dyDescent="0.2">
      <c r="A105" s="39">
        <f>A104+1</f>
        <v>24</v>
      </c>
      <c r="B105" s="39" t="s">
        <v>152</v>
      </c>
      <c r="D105" s="41">
        <v>74345107.997674897</v>
      </c>
      <c r="E105" s="41">
        <f>K105-D105-F105-G105-H105</f>
        <v>-72532.055439517309</v>
      </c>
      <c r="F105" s="41">
        <v>-491313.94223538</v>
      </c>
      <c r="G105" s="41">
        <v>0</v>
      </c>
      <c r="H105" s="41">
        <v>0</v>
      </c>
      <c r="I105" s="41">
        <v>0</v>
      </c>
      <c r="J105" s="41">
        <f>SUM(D105:I105)</f>
        <v>73781262</v>
      </c>
      <c r="K105" s="41">
        <v>73781262</v>
      </c>
      <c r="L105" s="40">
        <f>ROUND((D105+F105)/1000,1)</f>
        <v>73853.8</v>
      </c>
    </row>
    <row r="106" spans="1:12" x14ac:dyDescent="0.2">
      <c r="A106" s="39">
        <f>A105+1</f>
        <v>25</v>
      </c>
      <c r="B106" s="42" t="s">
        <v>174</v>
      </c>
      <c r="D106" s="41">
        <v>24044709</v>
      </c>
      <c r="E106" s="41">
        <v>0</v>
      </c>
      <c r="F106" s="41">
        <v>-139871</v>
      </c>
      <c r="G106" s="41">
        <v>0</v>
      </c>
      <c r="H106" s="41">
        <v>0</v>
      </c>
      <c r="I106" s="41">
        <v>0</v>
      </c>
      <c r="J106" s="41">
        <f>SUM(D106:I106)</f>
        <v>23904838</v>
      </c>
      <c r="L106" s="40">
        <f>ROUND((D106+F106)/1000,1)</f>
        <v>23904.799999999999</v>
      </c>
    </row>
    <row r="107" spans="1:12" x14ac:dyDescent="0.2">
      <c r="A107" s="39">
        <f>A106+1</f>
        <v>26</v>
      </c>
      <c r="B107" s="42" t="s">
        <v>168</v>
      </c>
      <c r="C107" s="42"/>
      <c r="D107" s="41">
        <v>18882375</v>
      </c>
      <c r="E107" s="41">
        <f>K107-D107</f>
        <v>4179114</v>
      </c>
      <c r="F107" s="41">
        <v>0</v>
      </c>
      <c r="G107" s="41">
        <v>0</v>
      </c>
      <c r="H107" s="41">
        <v>0</v>
      </c>
      <c r="I107" s="41">
        <v>0</v>
      </c>
      <c r="J107" s="41">
        <f>SUM(D107:I107)</f>
        <v>23061489</v>
      </c>
      <c r="K107" s="148">
        <v>23061489</v>
      </c>
      <c r="L107" s="40">
        <f>ROUND((D107+F107)/1000,1)</f>
        <v>18882.400000000001</v>
      </c>
    </row>
    <row r="108" spans="1:12" x14ac:dyDescent="0.2">
      <c r="A108" s="39">
        <f>A107+1</f>
        <v>27</v>
      </c>
      <c r="B108" s="39" t="s">
        <v>154</v>
      </c>
      <c r="D108" s="41">
        <v>722840038</v>
      </c>
      <c r="E108" s="41">
        <v>56773000</v>
      </c>
      <c r="F108" s="41">
        <v>23004252</v>
      </c>
      <c r="G108" s="41">
        <v>0</v>
      </c>
      <c r="H108" s="41">
        <v>0</v>
      </c>
      <c r="I108" s="41">
        <v>0</v>
      </c>
      <c r="J108" s="41">
        <f>SUM(D108:I108)</f>
        <v>802617290</v>
      </c>
      <c r="K108" s="41"/>
      <c r="L108" s="40">
        <f>ROUND((D108+E108+F108)/1000,1)</f>
        <v>802617.3</v>
      </c>
    </row>
    <row r="109" spans="1:12" x14ac:dyDescent="0.2">
      <c r="D109" s="41"/>
      <c r="E109" s="41"/>
      <c r="F109" s="41"/>
      <c r="G109" s="41"/>
      <c r="H109" s="41"/>
      <c r="I109" s="41"/>
      <c r="J109" s="41"/>
    </row>
    <row r="110" spans="1:12" x14ac:dyDescent="0.2">
      <c r="A110" s="39">
        <f>A108+1</f>
        <v>28</v>
      </c>
      <c r="B110" s="42" t="s">
        <v>159</v>
      </c>
      <c r="C110" s="42"/>
      <c r="D110" s="41">
        <f t="shared" ref="D110:J110" si="17">SUM(D104:D108)</f>
        <v>956808580.99767494</v>
      </c>
      <c r="E110" s="41">
        <f t="shared" si="17"/>
        <v>60879581.944560483</v>
      </c>
      <c r="F110" s="41">
        <f t="shared" si="17"/>
        <v>22812737.05776462</v>
      </c>
      <c r="G110" s="41">
        <f t="shared" si="17"/>
        <v>0</v>
      </c>
      <c r="H110" s="41">
        <f t="shared" si="17"/>
        <v>0</v>
      </c>
      <c r="I110" s="41">
        <f t="shared" si="17"/>
        <v>0</v>
      </c>
      <c r="J110" s="41">
        <f t="shared" si="17"/>
        <v>1040500900</v>
      </c>
      <c r="K110" s="43"/>
    </row>
    <row r="111" spans="1:12" x14ac:dyDescent="0.2">
      <c r="B111" s="42"/>
      <c r="C111" s="42"/>
      <c r="D111" s="41"/>
      <c r="E111" s="41"/>
      <c r="F111" s="41"/>
      <c r="G111" s="41"/>
      <c r="H111" s="41"/>
      <c r="I111" s="41"/>
      <c r="J111" s="41"/>
    </row>
    <row r="112" spans="1:12" x14ac:dyDescent="0.2">
      <c r="B112" s="42" t="s">
        <v>157</v>
      </c>
      <c r="C112" s="42"/>
      <c r="D112" s="41"/>
      <c r="E112" s="41"/>
      <c r="F112" s="41"/>
      <c r="G112" s="41"/>
      <c r="H112" s="41"/>
      <c r="I112" s="41"/>
      <c r="J112" s="41"/>
    </row>
    <row r="113" spans="1:10" x14ac:dyDescent="0.2">
      <c r="A113" s="39">
        <f>A110+1</f>
        <v>29</v>
      </c>
      <c r="B113" s="39" t="s">
        <v>141</v>
      </c>
      <c r="D113" s="41">
        <f t="shared" ref="D113:G115" si="18">D78</f>
        <v>4567146273</v>
      </c>
      <c r="E113" s="41">
        <f t="shared" si="18"/>
        <v>0</v>
      </c>
      <c r="F113" s="41">
        <f t="shared" si="18"/>
        <v>87832226</v>
      </c>
      <c r="G113" s="41">
        <f t="shared" si="18"/>
        <v>234063292</v>
      </c>
      <c r="H113" s="41">
        <f t="shared" ref="H113:I115" si="19">H78</f>
        <v>36112210</v>
      </c>
      <c r="I113" s="41">
        <f t="shared" si="19"/>
        <v>0</v>
      </c>
      <c r="J113" s="41">
        <f>SUM(D113:I113)</f>
        <v>4925154001</v>
      </c>
    </row>
    <row r="114" spans="1:10" x14ac:dyDescent="0.2">
      <c r="A114" s="39">
        <f>A113+1</f>
        <v>30</v>
      </c>
      <c r="B114" s="42" t="s">
        <v>167</v>
      </c>
      <c r="C114" s="42"/>
      <c r="D114" s="41">
        <f t="shared" si="18"/>
        <v>10695892</v>
      </c>
      <c r="E114" s="41">
        <f t="shared" si="18"/>
        <v>0</v>
      </c>
      <c r="F114" s="41">
        <f t="shared" si="18"/>
        <v>205696</v>
      </c>
      <c r="G114" s="41">
        <f t="shared" si="18"/>
        <v>548162</v>
      </c>
      <c r="H114" s="41">
        <f t="shared" si="19"/>
        <v>84572</v>
      </c>
      <c r="I114" s="41">
        <f t="shared" si="19"/>
        <v>0</v>
      </c>
      <c r="J114" s="41">
        <f>SUM(D114:I114)</f>
        <v>11534322</v>
      </c>
    </row>
    <row r="115" spans="1:10" x14ac:dyDescent="0.2">
      <c r="A115" s="39">
        <f>A114+1</f>
        <v>31</v>
      </c>
      <c r="B115" s="39" t="s">
        <v>142</v>
      </c>
      <c r="D115" s="41">
        <f t="shared" si="18"/>
        <v>50871507</v>
      </c>
      <c r="E115" s="41">
        <f t="shared" si="18"/>
        <v>0</v>
      </c>
      <c r="F115" s="41">
        <f t="shared" si="18"/>
        <v>22548857</v>
      </c>
      <c r="G115" s="41">
        <f t="shared" si="18"/>
        <v>1632435</v>
      </c>
      <c r="H115" s="41">
        <f t="shared" si="19"/>
        <v>1148180</v>
      </c>
      <c r="I115" s="41">
        <f t="shared" si="19"/>
        <v>0</v>
      </c>
      <c r="J115" s="41">
        <f>SUM(D115:I115)</f>
        <v>76200979</v>
      </c>
    </row>
    <row r="116" spans="1:10" x14ac:dyDescent="0.2">
      <c r="B116" s="42" t="s">
        <v>171</v>
      </c>
      <c r="D116" s="41"/>
      <c r="E116" s="41"/>
      <c r="F116" s="41"/>
      <c r="G116" s="41"/>
      <c r="H116" s="41"/>
      <c r="I116" s="41"/>
      <c r="J116" s="41"/>
    </row>
    <row r="117" spans="1:10" x14ac:dyDescent="0.2">
      <c r="A117" s="39">
        <f>A115+1</f>
        <v>32</v>
      </c>
      <c r="C117" s="39" t="s">
        <v>143</v>
      </c>
      <c r="D117" s="41">
        <f t="shared" ref="D117:I117" si="20">D82</f>
        <v>361590554</v>
      </c>
      <c r="E117" s="41">
        <f t="shared" si="20"/>
        <v>0</v>
      </c>
      <c r="F117" s="41">
        <f t="shared" si="20"/>
        <v>35498056</v>
      </c>
      <c r="G117" s="41">
        <f t="shared" si="20"/>
        <v>46654257</v>
      </c>
      <c r="H117" s="41">
        <f t="shared" si="20"/>
        <v>7591532</v>
      </c>
      <c r="I117" s="41">
        <f t="shared" si="20"/>
        <v>5680420</v>
      </c>
      <c r="J117" s="41">
        <f t="shared" ref="J117:J129" si="21">SUM(D117:I117)</f>
        <v>457014819</v>
      </c>
    </row>
    <row r="118" spans="1:10" x14ac:dyDescent="0.2">
      <c r="A118" s="39">
        <f t="shared" ref="A118:A129" si="22">A117+1</f>
        <v>33</v>
      </c>
      <c r="C118" s="39" t="s">
        <v>144</v>
      </c>
      <c r="D118" s="41">
        <f t="shared" ref="D118:G123" si="23">D83</f>
        <v>27410971</v>
      </c>
      <c r="E118" s="41">
        <f t="shared" si="23"/>
        <v>0</v>
      </c>
      <c r="F118" s="41">
        <f t="shared" si="23"/>
        <v>-788283</v>
      </c>
      <c r="G118" s="41">
        <f t="shared" si="23"/>
        <v>4800383</v>
      </c>
      <c r="H118" s="41">
        <f t="shared" ref="H118:I123" si="24">H83</f>
        <v>499471</v>
      </c>
      <c r="I118" s="41">
        <f t="shared" si="24"/>
        <v>0</v>
      </c>
      <c r="J118" s="41">
        <f t="shared" si="21"/>
        <v>31922542</v>
      </c>
    </row>
    <row r="119" spans="1:10" x14ac:dyDescent="0.2">
      <c r="A119" s="39">
        <f t="shared" si="22"/>
        <v>34</v>
      </c>
      <c r="B119" s="42"/>
      <c r="C119" s="42" t="s">
        <v>170</v>
      </c>
      <c r="D119" s="41">
        <f t="shared" si="23"/>
        <v>6985957</v>
      </c>
      <c r="E119" s="41">
        <f t="shared" si="23"/>
        <v>0</v>
      </c>
      <c r="F119" s="41">
        <f t="shared" si="23"/>
        <v>-200902</v>
      </c>
      <c r="G119" s="41">
        <f t="shared" si="23"/>
        <v>1607720</v>
      </c>
      <c r="H119" s="41">
        <f t="shared" si="24"/>
        <v>127295</v>
      </c>
      <c r="I119" s="41">
        <f t="shared" si="24"/>
        <v>0</v>
      </c>
      <c r="J119" s="41">
        <f t="shared" si="21"/>
        <v>8520070</v>
      </c>
    </row>
    <row r="120" spans="1:10" x14ac:dyDescent="0.2">
      <c r="A120" s="39">
        <f t="shared" si="22"/>
        <v>35</v>
      </c>
      <c r="B120" s="39" t="s">
        <v>145</v>
      </c>
      <c r="D120" s="41">
        <f t="shared" si="23"/>
        <v>23004187</v>
      </c>
      <c r="E120" s="41">
        <f t="shared" si="23"/>
        <v>0</v>
      </c>
      <c r="F120" s="41">
        <f t="shared" si="23"/>
        <v>0</v>
      </c>
      <c r="G120" s="41">
        <f t="shared" si="23"/>
        <v>1178946</v>
      </c>
      <c r="H120" s="41">
        <f t="shared" si="24"/>
        <v>181893</v>
      </c>
      <c r="I120" s="41">
        <f t="shared" si="24"/>
        <v>0</v>
      </c>
      <c r="J120" s="41">
        <f t="shared" si="21"/>
        <v>24365026</v>
      </c>
    </row>
    <row r="121" spans="1:10" x14ac:dyDescent="0.2">
      <c r="A121" s="39">
        <f t="shared" si="22"/>
        <v>36</v>
      </c>
      <c r="B121" s="39" t="s">
        <v>146</v>
      </c>
      <c r="D121" s="41">
        <f t="shared" si="23"/>
        <v>58589876</v>
      </c>
      <c r="E121" s="41">
        <f t="shared" si="23"/>
        <v>0</v>
      </c>
      <c r="F121" s="41">
        <f t="shared" si="23"/>
        <v>0</v>
      </c>
      <c r="G121" s="41">
        <f t="shared" si="23"/>
        <v>1116262</v>
      </c>
      <c r="H121" s="41">
        <f t="shared" si="24"/>
        <v>173752</v>
      </c>
      <c r="I121" s="41">
        <f t="shared" si="24"/>
        <v>0</v>
      </c>
      <c r="J121" s="41">
        <f t="shared" si="21"/>
        <v>59879890</v>
      </c>
    </row>
    <row r="122" spans="1:10" x14ac:dyDescent="0.2">
      <c r="A122" s="39">
        <f t="shared" si="22"/>
        <v>37</v>
      </c>
      <c r="B122" s="39" t="s">
        <v>148</v>
      </c>
      <c r="D122" s="41">
        <f t="shared" si="23"/>
        <v>145941</v>
      </c>
      <c r="E122" s="41">
        <f t="shared" si="23"/>
        <v>0</v>
      </c>
      <c r="F122" s="41">
        <f t="shared" si="23"/>
        <v>2807</v>
      </c>
      <c r="G122" s="41">
        <f t="shared" si="23"/>
        <v>7474</v>
      </c>
      <c r="H122" s="41">
        <f t="shared" si="24"/>
        <v>1154</v>
      </c>
      <c r="I122" s="41">
        <f t="shared" si="24"/>
        <v>0</v>
      </c>
      <c r="J122" s="41">
        <f t="shared" si="21"/>
        <v>157376</v>
      </c>
    </row>
    <row r="123" spans="1:10" x14ac:dyDescent="0.2">
      <c r="A123" s="39">
        <f t="shared" si="22"/>
        <v>38</v>
      </c>
      <c r="B123" s="39" t="s">
        <v>244</v>
      </c>
      <c r="D123" s="41">
        <f t="shared" si="23"/>
        <v>0</v>
      </c>
      <c r="E123" s="41">
        <f t="shared" si="23"/>
        <v>0</v>
      </c>
      <c r="F123" s="41">
        <f t="shared" si="23"/>
        <v>0</v>
      </c>
      <c r="G123" s="41">
        <f t="shared" si="23"/>
        <v>0</v>
      </c>
      <c r="H123" s="41">
        <f t="shared" si="24"/>
        <v>0</v>
      </c>
      <c r="I123" s="41">
        <f t="shared" si="24"/>
        <v>0</v>
      </c>
      <c r="J123" s="41">
        <f t="shared" si="21"/>
        <v>0</v>
      </c>
    </row>
    <row r="124" spans="1:10" x14ac:dyDescent="0.2">
      <c r="A124" s="39">
        <f t="shared" si="22"/>
        <v>39</v>
      </c>
      <c r="B124" s="39" t="s">
        <v>147</v>
      </c>
      <c r="D124" s="41">
        <f t="shared" ref="D124:G127" si="25">D89-D104</f>
        <v>66193856</v>
      </c>
      <c r="E124" s="41">
        <f t="shared" si="25"/>
        <v>0</v>
      </c>
      <c r="F124" s="41">
        <f t="shared" si="25"/>
        <v>3077549</v>
      </c>
      <c r="G124" s="41">
        <f t="shared" si="25"/>
        <v>9373008</v>
      </c>
      <c r="H124" s="41">
        <f t="shared" ref="H124:I127" si="26">H89-H104</f>
        <v>1446104</v>
      </c>
      <c r="I124" s="41">
        <f t="shared" si="26"/>
        <v>0</v>
      </c>
      <c r="J124" s="41">
        <f t="shared" si="21"/>
        <v>80090517</v>
      </c>
    </row>
    <row r="125" spans="1:10" x14ac:dyDescent="0.2">
      <c r="A125" s="39">
        <f t="shared" si="22"/>
        <v>40</v>
      </c>
      <c r="B125" s="39" t="s">
        <v>149</v>
      </c>
      <c r="D125" s="41">
        <f t="shared" si="25"/>
        <v>13659046.091640696</v>
      </c>
      <c r="E125" s="41">
        <f t="shared" si="25"/>
        <v>-44271.033876075933</v>
      </c>
      <c r="F125" s="41">
        <f t="shared" si="25"/>
        <v>2183749.9422353799</v>
      </c>
      <c r="G125" s="41">
        <f t="shared" si="25"/>
        <v>4510162</v>
      </c>
      <c r="H125" s="41">
        <f t="shared" si="26"/>
        <v>695845</v>
      </c>
      <c r="I125" s="41">
        <f t="shared" si="26"/>
        <v>0</v>
      </c>
      <c r="J125" s="41">
        <f t="shared" si="21"/>
        <v>21004532</v>
      </c>
    </row>
    <row r="126" spans="1:10" x14ac:dyDescent="0.2">
      <c r="A126" s="39">
        <f t="shared" si="22"/>
        <v>41</v>
      </c>
      <c r="B126" s="42" t="s">
        <v>173</v>
      </c>
      <c r="D126" s="41">
        <f t="shared" si="25"/>
        <v>3255244</v>
      </c>
      <c r="E126" s="41">
        <f t="shared" si="25"/>
        <v>0</v>
      </c>
      <c r="F126" s="41">
        <f t="shared" si="25"/>
        <v>664885</v>
      </c>
      <c r="G126" s="41">
        <f t="shared" si="25"/>
        <v>1589857</v>
      </c>
      <c r="H126" s="41">
        <f t="shared" si="26"/>
        <v>2540</v>
      </c>
      <c r="I126" s="41">
        <f t="shared" si="26"/>
        <v>0</v>
      </c>
      <c r="J126" s="41">
        <f t="shared" si="21"/>
        <v>5512526</v>
      </c>
    </row>
    <row r="127" spans="1:10" x14ac:dyDescent="0.2">
      <c r="A127" s="39">
        <f t="shared" si="22"/>
        <v>42</v>
      </c>
      <c r="B127" s="42" t="s">
        <v>168</v>
      </c>
      <c r="C127" s="42"/>
      <c r="D127" s="41">
        <f t="shared" si="25"/>
        <v>42880843</v>
      </c>
      <c r="E127" s="41">
        <f t="shared" si="25"/>
        <v>11320965</v>
      </c>
      <c r="F127" s="41">
        <f t="shared" si="25"/>
        <v>0</v>
      </c>
      <c r="G127" s="41">
        <f t="shared" si="25"/>
        <v>5384741</v>
      </c>
      <c r="H127" s="41">
        <f t="shared" si="26"/>
        <v>0</v>
      </c>
      <c r="I127" s="41">
        <f t="shared" si="26"/>
        <v>0</v>
      </c>
      <c r="J127" s="41">
        <f t="shared" si="21"/>
        <v>59586549</v>
      </c>
    </row>
    <row r="128" spans="1:10" x14ac:dyDescent="0.2">
      <c r="A128" s="39">
        <f t="shared" si="22"/>
        <v>43</v>
      </c>
      <c r="B128" s="42" t="s">
        <v>163</v>
      </c>
      <c r="C128" s="42"/>
      <c r="D128" s="41">
        <f t="shared" ref="D128:I128" si="27">D93-D108-D129</f>
        <v>67220273</v>
      </c>
      <c r="E128" s="41">
        <f t="shared" si="27"/>
        <v>1843000</v>
      </c>
      <c r="F128" s="41">
        <f t="shared" si="27"/>
        <v>15017192</v>
      </c>
      <c r="G128" s="41">
        <f t="shared" si="27"/>
        <v>0</v>
      </c>
      <c r="H128" s="41">
        <f t="shared" si="27"/>
        <v>0</v>
      </c>
      <c r="I128" s="41">
        <f t="shared" si="27"/>
        <v>0</v>
      </c>
      <c r="J128" s="41">
        <f t="shared" si="21"/>
        <v>84080465</v>
      </c>
    </row>
    <row r="129" spans="1:11" x14ac:dyDescent="0.2">
      <c r="A129" s="39">
        <f t="shared" si="22"/>
        <v>44</v>
      </c>
      <c r="B129" s="39" t="s">
        <v>151</v>
      </c>
      <c r="D129" s="41">
        <v>8501953</v>
      </c>
      <c r="E129" s="41">
        <v>0</v>
      </c>
      <c r="F129" s="41">
        <v>0</v>
      </c>
      <c r="G129" s="41">
        <v>0</v>
      </c>
      <c r="H129" s="41">
        <v>0</v>
      </c>
      <c r="I129" s="41">
        <v>0</v>
      </c>
      <c r="J129" s="41">
        <f t="shared" si="21"/>
        <v>8501953</v>
      </c>
    </row>
    <row r="130" spans="1:11" x14ac:dyDescent="0.2">
      <c r="B130" s="42" t="s">
        <v>172</v>
      </c>
      <c r="D130" s="41"/>
      <c r="E130" s="41"/>
      <c r="F130" s="41"/>
      <c r="G130" s="41"/>
      <c r="H130" s="41"/>
      <c r="I130" s="41"/>
      <c r="J130" s="41"/>
    </row>
    <row r="131" spans="1:11" x14ac:dyDescent="0.2">
      <c r="A131" s="39">
        <f>A129+1</f>
        <v>45</v>
      </c>
      <c r="B131" s="42"/>
      <c r="C131" s="42" t="s">
        <v>175</v>
      </c>
      <c r="D131" s="41">
        <f t="shared" ref="D131:G135" si="28">D95</f>
        <v>855895</v>
      </c>
      <c r="E131" s="41">
        <f t="shared" si="28"/>
        <v>0</v>
      </c>
      <c r="F131" s="41">
        <f t="shared" si="28"/>
        <v>-2167575</v>
      </c>
      <c r="G131" s="41">
        <f t="shared" si="28"/>
        <v>1128947</v>
      </c>
      <c r="H131" s="41">
        <f t="shared" ref="H131:I135" si="29">H95</f>
        <v>190287</v>
      </c>
      <c r="I131" s="41">
        <f t="shared" si="29"/>
        <v>0</v>
      </c>
      <c r="J131" s="41">
        <f>SUM(D131:I131)</f>
        <v>7554</v>
      </c>
    </row>
    <row r="132" spans="1:11" x14ac:dyDescent="0.2">
      <c r="A132" s="39">
        <f>A131+1</f>
        <v>46</v>
      </c>
      <c r="B132" s="42"/>
      <c r="C132" s="42" t="s">
        <v>182</v>
      </c>
      <c r="D132" s="41">
        <f t="shared" si="28"/>
        <v>2482592</v>
      </c>
      <c r="E132" s="41">
        <f t="shared" si="28"/>
        <v>0</v>
      </c>
      <c r="F132" s="41">
        <f t="shared" si="28"/>
        <v>0</v>
      </c>
      <c r="G132" s="41">
        <f t="shared" si="28"/>
        <v>-2483058</v>
      </c>
      <c r="H132" s="41">
        <f t="shared" si="29"/>
        <v>0</v>
      </c>
      <c r="I132" s="41">
        <f t="shared" si="29"/>
        <v>0</v>
      </c>
      <c r="J132" s="41">
        <f>SUM(D132:I132)</f>
        <v>-466</v>
      </c>
    </row>
    <row r="133" spans="1:11" x14ac:dyDescent="0.2">
      <c r="A133" s="39">
        <f>A132+1</f>
        <v>47</v>
      </c>
      <c r="B133" s="42"/>
      <c r="C133" s="42" t="s">
        <v>201</v>
      </c>
      <c r="D133" s="41">
        <f t="shared" si="28"/>
        <v>0</v>
      </c>
      <c r="E133" s="41">
        <f t="shared" si="28"/>
        <v>0</v>
      </c>
      <c r="F133" s="41">
        <f t="shared" si="28"/>
        <v>0</v>
      </c>
      <c r="G133" s="41">
        <f t="shared" si="28"/>
        <v>0</v>
      </c>
      <c r="H133" s="41">
        <f t="shared" si="29"/>
        <v>0</v>
      </c>
      <c r="I133" s="41">
        <f t="shared" si="29"/>
        <v>0</v>
      </c>
      <c r="J133" s="41">
        <f>SUM(D133:I133)</f>
        <v>0</v>
      </c>
    </row>
    <row r="134" spans="1:11" x14ac:dyDescent="0.2">
      <c r="A134" s="39">
        <f>A133+1</f>
        <v>48</v>
      </c>
      <c r="B134" s="42"/>
      <c r="C134" s="42" t="s">
        <v>183</v>
      </c>
      <c r="D134" s="41">
        <f t="shared" si="28"/>
        <v>630810</v>
      </c>
      <c r="E134" s="41">
        <f t="shared" si="28"/>
        <v>0</v>
      </c>
      <c r="F134" s="41">
        <f t="shared" si="28"/>
        <v>0</v>
      </c>
      <c r="G134" s="41">
        <f t="shared" si="28"/>
        <v>-595304</v>
      </c>
      <c r="H134" s="41">
        <f t="shared" si="29"/>
        <v>0</v>
      </c>
      <c r="I134" s="41">
        <f t="shared" si="29"/>
        <v>0</v>
      </c>
      <c r="J134" s="41">
        <f>SUM(D134:I134)</f>
        <v>35506</v>
      </c>
    </row>
    <row r="135" spans="1:11" x14ac:dyDescent="0.2">
      <c r="A135" s="39">
        <f>A134+1</f>
        <v>49</v>
      </c>
      <c r="B135" s="42"/>
      <c r="C135" s="42" t="s">
        <v>251</v>
      </c>
      <c r="D135" s="41">
        <f t="shared" si="28"/>
        <v>-196</v>
      </c>
      <c r="E135" s="41">
        <f t="shared" si="28"/>
        <v>0</v>
      </c>
      <c r="F135" s="41">
        <f t="shared" si="28"/>
        <v>0</v>
      </c>
      <c r="G135" s="41">
        <f t="shared" si="28"/>
        <v>0</v>
      </c>
      <c r="H135" s="41">
        <f t="shared" si="29"/>
        <v>0</v>
      </c>
      <c r="I135" s="41">
        <f t="shared" si="29"/>
        <v>0</v>
      </c>
      <c r="J135" s="41">
        <f>SUM(D135:I135)</f>
        <v>-196</v>
      </c>
    </row>
    <row r="136" spans="1:11" x14ac:dyDescent="0.2">
      <c r="D136" s="41"/>
      <c r="E136" s="41"/>
      <c r="F136" s="41"/>
      <c r="G136" s="41"/>
      <c r="H136" s="41"/>
      <c r="I136" s="41"/>
      <c r="J136" s="41"/>
    </row>
    <row r="137" spans="1:11" x14ac:dyDescent="0.2">
      <c r="A137" s="39">
        <f>A135+1</f>
        <v>50</v>
      </c>
      <c r="B137" s="42" t="s">
        <v>184</v>
      </c>
      <c r="C137" s="42"/>
      <c r="D137" s="41">
        <f t="shared" ref="D137:J137" si="30">SUM(D113:D135)</f>
        <v>5312121474.0916405</v>
      </c>
      <c r="E137" s="41">
        <f t="shared" si="30"/>
        <v>13119693.966123924</v>
      </c>
      <c r="F137" s="41">
        <f t="shared" si="30"/>
        <v>163874257.94223538</v>
      </c>
      <c r="G137" s="41">
        <f t="shared" si="30"/>
        <v>310517284</v>
      </c>
      <c r="H137" s="41">
        <f t="shared" si="30"/>
        <v>48254835</v>
      </c>
      <c r="I137" s="41">
        <f t="shared" si="30"/>
        <v>5680420</v>
      </c>
      <c r="J137" s="41">
        <f t="shared" si="30"/>
        <v>5853567965</v>
      </c>
      <c r="K137" s="43"/>
    </row>
    <row r="138" spans="1:11" x14ac:dyDescent="0.2">
      <c r="A138" s="39">
        <f>A137+1</f>
        <v>51</v>
      </c>
      <c r="B138" s="173" t="s">
        <v>397</v>
      </c>
      <c r="C138" s="42"/>
      <c r="D138" s="41">
        <f t="shared" ref="D138:J138" si="31">D137</f>
        <v>5312121474.0916405</v>
      </c>
      <c r="E138" s="41">
        <f t="shared" si="31"/>
        <v>13119693.966123924</v>
      </c>
      <c r="F138" s="41">
        <f t="shared" si="31"/>
        <v>163874257.94223538</v>
      </c>
      <c r="G138" s="41">
        <f t="shared" si="31"/>
        <v>310517284</v>
      </c>
      <c r="H138" s="41">
        <f t="shared" si="31"/>
        <v>48254835</v>
      </c>
      <c r="I138" s="41">
        <f t="shared" si="31"/>
        <v>5680420</v>
      </c>
      <c r="J138" s="41">
        <f t="shared" si="31"/>
        <v>5853567965</v>
      </c>
      <c r="K138" s="43"/>
    </row>
    <row r="139" spans="1:11" x14ac:dyDescent="0.2">
      <c r="A139" s="39">
        <f>A138+1</f>
        <v>52</v>
      </c>
      <c r="B139" s="42" t="s">
        <v>303</v>
      </c>
      <c r="C139" s="42"/>
      <c r="D139" s="127" t="s">
        <v>302</v>
      </c>
      <c r="E139" s="127" t="s">
        <v>302</v>
      </c>
      <c r="F139" s="127" t="s">
        <v>302</v>
      </c>
      <c r="G139" s="127" t="s">
        <v>302</v>
      </c>
      <c r="H139" s="127" t="s">
        <v>302</v>
      </c>
      <c r="I139" s="127" t="s">
        <v>302</v>
      </c>
      <c r="J139" s="127" t="s">
        <v>302</v>
      </c>
    </row>
    <row r="140" spans="1:11" x14ac:dyDescent="0.2">
      <c r="B140" s="42"/>
      <c r="C140" s="42"/>
      <c r="D140" s="41"/>
      <c r="E140" s="41"/>
      <c r="F140" s="41"/>
      <c r="G140" s="41"/>
      <c r="H140" s="41"/>
      <c r="I140" s="41"/>
      <c r="J140" s="41"/>
    </row>
    <row r="141" spans="1:11" x14ac:dyDescent="0.2">
      <c r="A141" s="39">
        <f>A139+1</f>
        <v>53</v>
      </c>
      <c r="B141" s="42" t="s">
        <v>166</v>
      </c>
      <c r="C141" s="42"/>
      <c r="D141" s="41">
        <v>-29548624</v>
      </c>
      <c r="E141" s="41">
        <v>0</v>
      </c>
      <c r="F141" s="41">
        <v>0</v>
      </c>
      <c r="G141" s="41">
        <v>-1485964</v>
      </c>
      <c r="H141" s="41">
        <v>-229260</v>
      </c>
      <c r="I141" s="41">
        <v>0</v>
      </c>
      <c r="J141" s="41">
        <f>SUM(D141:I141)</f>
        <v>-31263848</v>
      </c>
      <c r="K141" s="43"/>
    </row>
    <row r="143" spans="1:11" x14ac:dyDescent="0.2">
      <c r="A143" s="107" t="s">
        <v>162</v>
      </c>
      <c r="B143" s="107"/>
      <c r="C143" s="108"/>
      <c r="D143" s="109" t="s">
        <v>176</v>
      </c>
      <c r="E143" s="109" t="s">
        <v>181</v>
      </c>
      <c r="F143" s="109" t="s">
        <v>177</v>
      </c>
      <c r="G143" s="109" t="s">
        <v>178</v>
      </c>
      <c r="H143" s="109" t="s">
        <v>179</v>
      </c>
      <c r="I143" s="109" t="s">
        <v>370</v>
      </c>
      <c r="J143" s="109" t="s">
        <v>180</v>
      </c>
    </row>
    <row r="145" spans="1:10" x14ac:dyDescent="0.2">
      <c r="A145" s="39">
        <v>1</v>
      </c>
      <c r="B145" s="39" t="s">
        <v>140</v>
      </c>
      <c r="D145" s="43">
        <f t="shared" ref="D145:J145" si="32">D5-D75</f>
        <v>2478</v>
      </c>
      <c r="E145" s="43">
        <f t="shared" si="32"/>
        <v>0</v>
      </c>
      <c r="F145" s="43">
        <f t="shared" si="32"/>
        <v>-3537</v>
      </c>
      <c r="G145" s="43">
        <f t="shared" si="32"/>
        <v>934</v>
      </c>
      <c r="H145" s="43">
        <f>H5-H75</f>
        <v>-1614</v>
      </c>
      <c r="I145" s="43">
        <f t="shared" si="32"/>
        <v>0</v>
      </c>
      <c r="J145" s="43">
        <f t="shared" si="32"/>
        <v>-1739</v>
      </c>
    </row>
    <row r="146" spans="1:10" x14ac:dyDescent="0.2">
      <c r="E146" s="43"/>
      <c r="F146" s="43"/>
      <c r="G146" s="43"/>
      <c r="H146" s="43"/>
      <c r="I146" s="43"/>
      <c r="J146" s="43"/>
    </row>
    <row r="147" spans="1:10" x14ac:dyDescent="0.2">
      <c r="B147" s="42" t="s">
        <v>155</v>
      </c>
      <c r="D147" s="40"/>
      <c r="E147" s="40"/>
      <c r="F147" s="40"/>
      <c r="G147" s="40"/>
      <c r="H147" s="40"/>
      <c r="I147" s="40"/>
      <c r="J147" s="40"/>
    </row>
    <row r="148" spans="1:10" x14ac:dyDescent="0.2">
      <c r="A148" s="39">
        <f>A145+1</f>
        <v>2</v>
      </c>
      <c r="B148" s="39" t="s">
        <v>141</v>
      </c>
      <c r="D148" s="43">
        <f t="shared" ref="D148:J150" si="33">D8-D78</f>
        <v>12694506</v>
      </c>
      <c r="E148" s="43">
        <f t="shared" si="33"/>
        <v>0</v>
      </c>
      <c r="F148" s="43">
        <f t="shared" si="33"/>
        <v>-18124869</v>
      </c>
      <c r="G148" s="43">
        <f t="shared" si="33"/>
        <v>4784693</v>
      </c>
      <c r="H148" s="43">
        <f>H8-H78</f>
        <v>-8268138</v>
      </c>
      <c r="I148" s="43">
        <f t="shared" si="33"/>
        <v>0</v>
      </c>
      <c r="J148" s="43">
        <f t="shared" si="33"/>
        <v>-8913808</v>
      </c>
    </row>
    <row r="149" spans="1:10" x14ac:dyDescent="0.2">
      <c r="A149" s="39">
        <f>A148+1</f>
        <v>3</v>
      </c>
      <c r="B149" s="42" t="s">
        <v>167</v>
      </c>
      <c r="C149" s="42"/>
      <c r="D149" s="43">
        <f t="shared" si="33"/>
        <v>29732</v>
      </c>
      <c r="E149" s="43">
        <f t="shared" si="33"/>
        <v>0</v>
      </c>
      <c r="F149" s="43">
        <f t="shared" si="33"/>
        <v>-42447</v>
      </c>
      <c r="G149" s="43">
        <f t="shared" si="33"/>
        <v>11202</v>
      </c>
      <c r="H149" s="43">
        <f>H9-H79</f>
        <v>-19363</v>
      </c>
      <c r="I149" s="43">
        <f t="shared" si="33"/>
        <v>0</v>
      </c>
      <c r="J149" s="43">
        <f t="shared" si="33"/>
        <v>-20876</v>
      </c>
    </row>
    <row r="150" spans="1:10" x14ac:dyDescent="0.2">
      <c r="A150" s="39">
        <f>A149+1</f>
        <v>4</v>
      </c>
      <c r="B150" s="39" t="s">
        <v>142</v>
      </c>
      <c r="D150" s="43">
        <f t="shared" si="33"/>
        <v>1444391</v>
      </c>
      <c r="E150" s="43">
        <f t="shared" si="33"/>
        <v>0</v>
      </c>
      <c r="F150" s="43">
        <f t="shared" si="33"/>
        <v>-1618310</v>
      </c>
      <c r="G150" s="43">
        <f t="shared" si="33"/>
        <v>92296</v>
      </c>
      <c r="H150" s="43">
        <f>H10-H80</f>
        <v>-52590</v>
      </c>
      <c r="I150" s="43">
        <f t="shared" si="33"/>
        <v>0</v>
      </c>
      <c r="J150" s="43">
        <f t="shared" si="33"/>
        <v>-134213</v>
      </c>
    </row>
    <row r="151" spans="1:10" x14ac:dyDescent="0.2">
      <c r="B151" s="42" t="s">
        <v>171</v>
      </c>
      <c r="D151" s="43"/>
      <c r="E151" s="43"/>
      <c r="F151" s="43"/>
      <c r="G151" s="43"/>
      <c r="H151" s="43"/>
      <c r="I151" s="43"/>
      <c r="J151" s="43"/>
    </row>
    <row r="152" spans="1:10" x14ac:dyDescent="0.2">
      <c r="A152" s="39">
        <f>A150+1</f>
        <v>5</v>
      </c>
      <c r="C152" s="39" t="s">
        <v>143</v>
      </c>
      <c r="D152" s="43">
        <f t="shared" ref="D152:J163" si="34">D12-D82</f>
        <v>14679368</v>
      </c>
      <c r="E152" s="43">
        <f t="shared" si="34"/>
        <v>0</v>
      </c>
      <c r="F152" s="43">
        <f t="shared" si="34"/>
        <v>-17690663</v>
      </c>
      <c r="G152" s="43">
        <f t="shared" si="34"/>
        <v>2664162</v>
      </c>
      <c r="H152" s="43">
        <f t="shared" ref="H152:H163" si="35">H12-H82</f>
        <v>-4045519</v>
      </c>
      <c r="I152" s="43">
        <f t="shared" si="34"/>
        <v>-62253</v>
      </c>
      <c r="J152" s="43">
        <f t="shared" si="34"/>
        <v>-4454905</v>
      </c>
    </row>
    <row r="153" spans="1:10" x14ac:dyDescent="0.2">
      <c r="A153" s="39">
        <f t="shared" ref="A153:A163" si="36">A152+1</f>
        <v>6</v>
      </c>
      <c r="C153" s="39" t="s">
        <v>144</v>
      </c>
      <c r="D153" s="43">
        <f t="shared" si="34"/>
        <v>0</v>
      </c>
      <c r="E153" s="43">
        <f t="shared" si="34"/>
        <v>0</v>
      </c>
      <c r="F153" s="43">
        <f t="shared" si="34"/>
        <v>-28272</v>
      </c>
      <c r="G153" s="43">
        <f t="shared" si="34"/>
        <v>0</v>
      </c>
      <c r="H153" s="43">
        <f t="shared" si="35"/>
        <v>-27276</v>
      </c>
      <c r="I153" s="43">
        <f t="shared" si="34"/>
        <v>0</v>
      </c>
      <c r="J153" s="43">
        <f t="shared" si="34"/>
        <v>-55548</v>
      </c>
    </row>
    <row r="154" spans="1:10" x14ac:dyDescent="0.2">
      <c r="A154" s="39">
        <f t="shared" si="36"/>
        <v>7</v>
      </c>
      <c r="B154" s="42"/>
      <c r="C154" s="42" t="s">
        <v>170</v>
      </c>
      <c r="D154" s="43">
        <f t="shared" si="34"/>
        <v>-5793</v>
      </c>
      <c r="E154" s="43">
        <f t="shared" si="34"/>
        <v>0</v>
      </c>
      <c r="F154" s="43">
        <f t="shared" si="34"/>
        <v>-7033</v>
      </c>
      <c r="G154" s="43">
        <f t="shared" si="34"/>
        <v>19</v>
      </c>
      <c r="H154" s="43">
        <f t="shared" si="35"/>
        <v>-7051</v>
      </c>
      <c r="I154" s="43">
        <f t="shared" si="34"/>
        <v>0</v>
      </c>
      <c r="J154" s="43">
        <f t="shared" si="34"/>
        <v>-19858</v>
      </c>
    </row>
    <row r="155" spans="1:10" x14ac:dyDescent="0.2">
      <c r="A155" s="39">
        <f t="shared" si="36"/>
        <v>8</v>
      </c>
      <c r="B155" s="39" t="s">
        <v>145</v>
      </c>
      <c r="D155" s="43">
        <f t="shared" si="34"/>
        <v>21727</v>
      </c>
      <c r="E155" s="43">
        <f t="shared" si="34"/>
        <v>0</v>
      </c>
      <c r="F155" s="43">
        <f t="shared" si="34"/>
        <v>0</v>
      </c>
      <c r="G155" s="43">
        <f t="shared" si="34"/>
        <v>21905</v>
      </c>
      <c r="H155" s="43">
        <f t="shared" si="35"/>
        <v>-41902</v>
      </c>
      <c r="I155" s="43">
        <f t="shared" si="34"/>
        <v>0</v>
      </c>
      <c r="J155" s="43">
        <f t="shared" si="34"/>
        <v>1730</v>
      </c>
    </row>
    <row r="156" spans="1:10" x14ac:dyDescent="0.2">
      <c r="A156" s="39">
        <f t="shared" si="36"/>
        <v>9</v>
      </c>
      <c r="B156" s="39" t="s">
        <v>146</v>
      </c>
      <c r="D156" s="43">
        <f t="shared" si="34"/>
        <v>146075</v>
      </c>
      <c r="E156" s="43">
        <f t="shared" si="34"/>
        <v>0</v>
      </c>
      <c r="F156" s="43">
        <f t="shared" si="34"/>
        <v>0</v>
      </c>
      <c r="G156" s="43">
        <f t="shared" si="34"/>
        <v>21966</v>
      </c>
      <c r="H156" s="43">
        <f t="shared" si="35"/>
        <v>-38718</v>
      </c>
      <c r="I156" s="43">
        <f t="shared" si="34"/>
        <v>0</v>
      </c>
      <c r="J156" s="43">
        <f t="shared" si="34"/>
        <v>129323</v>
      </c>
    </row>
    <row r="157" spans="1:10" x14ac:dyDescent="0.2">
      <c r="A157" s="39">
        <f t="shared" si="36"/>
        <v>10</v>
      </c>
      <c r="B157" s="39" t="s">
        <v>148</v>
      </c>
      <c r="D157" s="43">
        <f t="shared" si="34"/>
        <v>2107</v>
      </c>
      <c r="E157" s="43">
        <f t="shared" si="34"/>
        <v>0</v>
      </c>
      <c r="F157" s="43">
        <f t="shared" si="34"/>
        <v>-554</v>
      </c>
      <c r="G157" s="43">
        <f t="shared" si="34"/>
        <v>245</v>
      </c>
      <c r="H157" s="43">
        <f t="shared" si="35"/>
        <v>-254</v>
      </c>
      <c r="I157" s="43">
        <f t="shared" si="34"/>
        <v>0</v>
      </c>
      <c r="J157" s="43">
        <f t="shared" si="34"/>
        <v>1544</v>
      </c>
    </row>
    <row r="158" spans="1:10" x14ac:dyDescent="0.2">
      <c r="A158" s="39">
        <f t="shared" si="36"/>
        <v>11</v>
      </c>
      <c r="B158" s="39" t="s">
        <v>244</v>
      </c>
      <c r="D158" s="43">
        <f t="shared" si="34"/>
        <v>0</v>
      </c>
      <c r="E158" s="43">
        <f t="shared" si="34"/>
        <v>0</v>
      </c>
      <c r="F158" s="43">
        <f t="shared" si="34"/>
        <v>0</v>
      </c>
      <c r="G158" s="43">
        <f t="shared" si="34"/>
        <v>0</v>
      </c>
      <c r="H158" s="43">
        <f t="shared" si="35"/>
        <v>0</v>
      </c>
      <c r="I158" s="43">
        <f t="shared" si="34"/>
        <v>0</v>
      </c>
      <c r="J158" s="43">
        <f t="shared" si="34"/>
        <v>0</v>
      </c>
    </row>
    <row r="159" spans="1:10" x14ac:dyDescent="0.2">
      <c r="A159" s="39">
        <f t="shared" si="36"/>
        <v>12</v>
      </c>
      <c r="B159" s="39" t="s">
        <v>147</v>
      </c>
      <c r="D159" s="43">
        <f t="shared" si="34"/>
        <v>504863</v>
      </c>
      <c r="E159" s="43">
        <f t="shared" si="34"/>
        <v>0</v>
      </c>
      <c r="F159" s="43">
        <f t="shared" si="34"/>
        <v>-725859</v>
      </c>
      <c r="G159" s="43">
        <f t="shared" si="34"/>
        <v>191419</v>
      </c>
      <c r="H159" s="43">
        <f t="shared" si="35"/>
        <v>-331116</v>
      </c>
      <c r="I159" s="43">
        <f t="shared" si="34"/>
        <v>0</v>
      </c>
      <c r="J159" s="43">
        <f t="shared" si="34"/>
        <v>-360693</v>
      </c>
    </row>
    <row r="160" spans="1:10" x14ac:dyDescent="0.2">
      <c r="A160" s="39">
        <f t="shared" si="36"/>
        <v>13</v>
      </c>
      <c r="B160" s="39" t="s">
        <v>149</v>
      </c>
      <c r="D160" s="43">
        <f t="shared" si="34"/>
        <v>12524.910684406757</v>
      </c>
      <c r="E160" s="43">
        <f t="shared" si="34"/>
        <v>116803.08931559324</v>
      </c>
      <c r="F160" s="43">
        <f t="shared" si="34"/>
        <v>-352780</v>
      </c>
      <c r="G160" s="43">
        <f t="shared" si="34"/>
        <v>80090</v>
      </c>
      <c r="H160" s="43">
        <f t="shared" si="35"/>
        <v>-160730</v>
      </c>
      <c r="I160" s="43">
        <f t="shared" si="34"/>
        <v>0</v>
      </c>
      <c r="J160" s="43">
        <f t="shared" si="34"/>
        <v>-304092</v>
      </c>
    </row>
    <row r="161" spans="1:10" x14ac:dyDescent="0.2">
      <c r="A161" s="39">
        <f t="shared" si="36"/>
        <v>14</v>
      </c>
      <c r="B161" s="42" t="s">
        <v>173</v>
      </c>
      <c r="D161" s="43">
        <f t="shared" si="34"/>
        <v>-48319</v>
      </c>
      <c r="E161" s="43">
        <f t="shared" si="34"/>
        <v>0</v>
      </c>
      <c r="F161" s="43">
        <f t="shared" si="34"/>
        <v>-110231</v>
      </c>
      <c r="G161" s="43">
        <f t="shared" si="34"/>
        <v>38063</v>
      </c>
      <c r="H161" s="43">
        <f t="shared" si="35"/>
        <v>-2540</v>
      </c>
      <c r="I161" s="43">
        <f t="shared" si="34"/>
        <v>0</v>
      </c>
      <c r="J161" s="43">
        <f t="shared" si="34"/>
        <v>-123027</v>
      </c>
    </row>
    <row r="162" spans="1:10" x14ac:dyDescent="0.2">
      <c r="A162" s="39">
        <f t="shared" si="36"/>
        <v>15</v>
      </c>
      <c r="B162" s="42" t="s">
        <v>168</v>
      </c>
      <c r="C162" s="42"/>
      <c r="D162" s="43">
        <f t="shared" si="34"/>
        <v>8771033</v>
      </c>
      <c r="E162" s="43">
        <f t="shared" si="34"/>
        <v>-9513900</v>
      </c>
      <c r="F162" s="43">
        <f t="shared" si="34"/>
        <v>0</v>
      </c>
      <c r="G162" s="43">
        <f t="shared" si="34"/>
        <v>3374</v>
      </c>
      <c r="H162" s="43">
        <f t="shared" si="35"/>
        <v>0</v>
      </c>
      <c r="I162" s="43">
        <f t="shared" si="34"/>
        <v>0</v>
      </c>
      <c r="J162" s="43">
        <f t="shared" si="34"/>
        <v>-739493</v>
      </c>
    </row>
    <row r="163" spans="1:10" x14ac:dyDescent="0.2">
      <c r="A163" s="39">
        <f t="shared" si="36"/>
        <v>16</v>
      </c>
      <c r="B163" s="39" t="s">
        <v>150</v>
      </c>
      <c r="D163" s="43">
        <f t="shared" si="34"/>
        <v>2043517</v>
      </c>
      <c r="E163" s="43">
        <f t="shared" si="34"/>
        <v>0</v>
      </c>
      <c r="F163" s="43">
        <f t="shared" si="34"/>
        <v>-2030259</v>
      </c>
      <c r="G163" s="43">
        <f t="shared" si="34"/>
        <v>0</v>
      </c>
      <c r="H163" s="43">
        <f t="shared" si="35"/>
        <v>0</v>
      </c>
      <c r="I163" s="43">
        <f t="shared" si="34"/>
        <v>0</v>
      </c>
      <c r="J163" s="43">
        <f t="shared" si="34"/>
        <v>13258</v>
      </c>
    </row>
    <row r="164" spans="1:10" x14ac:dyDescent="0.2">
      <c r="B164" s="42" t="s">
        <v>172</v>
      </c>
      <c r="D164" s="43"/>
      <c r="E164" s="43"/>
      <c r="F164" s="43"/>
      <c r="G164" s="43"/>
      <c r="H164" s="43"/>
      <c r="I164" s="43"/>
      <c r="J164" s="43"/>
    </row>
    <row r="165" spans="1:10" x14ac:dyDescent="0.2">
      <c r="A165" s="39">
        <f>A163+1</f>
        <v>17</v>
      </c>
      <c r="B165" s="42"/>
      <c r="C165" s="42" t="s">
        <v>175</v>
      </c>
      <c r="D165" s="43">
        <f t="shared" ref="D165:J169" si="37">D25-D95</f>
        <v>-87195</v>
      </c>
      <c r="E165" s="43">
        <f t="shared" si="37"/>
        <v>0</v>
      </c>
      <c r="F165" s="43">
        <f t="shared" si="37"/>
        <v>-175981</v>
      </c>
      <c r="G165" s="43">
        <f t="shared" si="37"/>
        <v>102284</v>
      </c>
      <c r="H165" s="43">
        <f>H25-H95</f>
        <v>-38134</v>
      </c>
      <c r="I165" s="43">
        <f t="shared" si="37"/>
        <v>0</v>
      </c>
      <c r="J165" s="43">
        <f t="shared" si="37"/>
        <v>-199026</v>
      </c>
    </row>
    <row r="166" spans="1:10" x14ac:dyDescent="0.2">
      <c r="A166" s="39">
        <f>A165+1</f>
        <v>18</v>
      </c>
      <c r="B166" s="42"/>
      <c r="C166" s="42" t="s">
        <v>182</v>
      </c>
      <c r="D166" s="43">
        <f t="shared" si="37"/>
        <v>-75369</v>
      </c>
      <c r="E166" s="43">
        <f t="shared" si="37"/>
        <v>0</v>
      </c>
      <c r="F166" s="43">
        <f t="shared" si="37"/>
        <v>0</v>
      </c>
      <c r="G166" s="43">
        <f t="shared" si="37"/>
        <v>76580</v>
      </c>
      <c r="H166" s="43">
        <f>H26-H96</f>
        <v>0</v>
      </c>
      <c r="I166" s="43">
        <f t="shared" si="37"/>
        <v>0</v>
      </c>
      <c r="J166" s="43">
        <f t="shared" si="37"/>
        <v>1211</v>
      </c>
    </row>
    <row r="167" spans="1:10" x14ac:dyDescent="0.2">
      <c r="A167" s="39">
        <f>A166+1</f>
        <v>19</v>
      </c>
      <c r="B167" s="42"/>
      <c r="C167" s="42" t="s">
        <v>201</v>
      </c>
      <c r="D167" s="43">
        <f t="shared" si="37"/>
        <v>0</v>
      </c>
      <c r="E167" s="43">
        <f t="shared" si="37"/>
        <v>0</v>
      </c>
      <c r="F167" s="43">
        <f t="shared" si="37"/>
        <v>0</v>
      </c>
      <c r="G167" s="43">
        <f t="shared" si="37"/>
        <v>0</v>
      </c>
      <c r="H167" s="43">
        <f>H27-H97</f>
        <v>0</v>
      </c>
      <c r="I167" s="43">
        <f t="shared" si="37"/>
        <v>0</v>
      </c>
      <c r="J167" s="43">
        <f t="shared" si="37"/>
        <v>0</v>
      </c>
    </row>
    <row r="168" spans="1:10" x14ac:dyDescent="0.2">
      <c r="A168" s="39">
        <f>A167+1</f>
        <v>20</v>
      </c>
      <c r="B168" s="42"/>
      <c r="C168" s="42" t="s">
        <v>183</v>
      </c>
      <c r="D168" s="43">
        <f t="shared" si="37"/>
        <v>8990</v>
      </c>
      <c r="E168" s="43">
        <f t="shared" si="37"/>
        <v>0</v>
      </c>
      <c r="F168" s="43">
        <f t="shared" si="37"/>
        <v>0</v>
      </c>
      <c r="G168" s="43">
        <f t="shared" si="37"/>
        <v>1386</v>
      </c>
      <c r="H168" s="43">
        <f>H28-H98</f>
        <v>0</v>
      </c>
      <c r="I168" s="43">
        <f t="shared" si="37"/>
        <v>0</v>
      </c>
      <c r="J168" s="43">
        <f t="shared" si="37"/>
        <v>10376</v>
      </c>
    </row>
    <row r="169" spans="1:10" x14ac:dyDescent="0.2">
      <c r="A169" s="39">
        <f>A168+1</f>
        <v>21</v>
      </c>
      <c r="B169" s="42"/>
      <c r="C169" s="42" t="s">
        <v>251</v>
      </c>
      <c r="D169" s="43">
        <f t="shared" si="37"/>
        <v>1</v>
      </c>
      <c r="E169" s="43">
        <f t="shared" si="37"/>
        <v>0</v>
      </c>
      <c r="F169" s="43">
        <f t="shared" si="37"/>
        <v>0</v>
      </c>
      <c r="G169" s="43">
        <f t="shared" si="37"/>
        <v>0</v>
      </c>
      <c r="H169" s="43">
        <f>H29-H99</f>
        <v>0</v>
      </c>
      <c r="I169" s="43">
        <f t="shared" si="37"/>
        <v>0</v>
      </c>
      <c r="J169" s="43">
        <f t="shared" si="37"/>
        <v>1</v>
      </c>
    </row>
    <row r="170" spans="1:10" x14ac:dyDescent="0.2">
      <c r="D170" s="41"/>
      <c r="E170" s="41"/>
      <c r="F170" s="41"/>
      <c r="G170" s="41"/>
      <c r="H170" s="41"/>
      <c r="I170" s="41"/>
      <c r="J170" s="41"/>
    </row>
    <row r="171" spans="1:10" x14ac:dyDescent="0.2">
      <c r="A171" s="39">
        <f>A169+1</f>
        <v>22</v>
      </c>
      <c r="B171" s="42" t="s">
        <v>158</v>
      </c>
      <c r="D171" s="43">
        <f t="shared" ref="D171:J171" si="38">D31-D101</f>
        <v>40142158.910684586</v>
      </c>
      <c r="E171" s="43">
        <f t="shared" si="38"/>
        <v>-9397096.9106844068</v>
      </c>
      <c r="F171" s="43">
        <f t="shared" si="38"/>
        <v>-40907258</v>
      </c>
      <c r="G171" s="43">
        <f t="shared" si="38"/>
        <v>8089684</v>
      </c>
      <c r="H171" s="43">
        <f>H31-H101</f>
        <v>-13033331</v>
      </c>
      <c r="I171" s="43">
        <f t="shared" si="38"/>
        <v>-62253</v>
      </c>
      <c r="J171" s="43">
        <f t="shared" si="38"/>
        <v>-15168096</v>
      </c>
    </row>
    <row r="172" spans="1:10" x14ac:dyDescent="0.2">
      <c r="D172" s="41"/>
      <c r="E172" s="41"/>
      <c r="F172" s="41"/>
      <c r="G172" s="41"/>
      <c r="H172" s="41"/>
      <c r="I172" s="41"/>
      <c r="J172" s="41"/>
    </row>
    <row r="173" spans="1:10" x14ac:dyDescent="0.2">
      <c r="B173" s="42" t="s">
        <v>156</v>
      </c>
      <c r="C173" s="42"/>
      <c r="D173" s="41"/>
      <c r="E173" s="41"/>
      <c r="F173" s="41"/>
      <c r="G173" s="41"/>
      <c r="H173" s="41"/>
      <c r="I173" s="41"/>
      <c r="J173" s="41"/>
    </row>
    <row r="174" spans="1:10" x14ac:dyDescent="0.2">
      <c r="A174" s="39">
        <f>A171+1</f>
        <v>23</v>
      </c>
      <c r="B174" s="39" t="s">
        <v>153</v>
      </c>
      <c r="D174" s="43">
        <f t="shared" ref="D174:J178" si="39">D34-D104</f>
        <v>-3421284</v>
      </c>
      <c r="E174" s="43">
        <f t="shared" si="39"/>
        <v>0</v>
      </c>
      <c r="F174" s="43">
        <f t="shared" si="39"/>
        <v>-160492</v>
      </c>
      <c r="G174" s="43">
        <f t="shared" si="39"/>
        <v>0</v>
      </c>
      <c r="H174" s="43">
        <f>H34-H104</f>
        <v>0</v>
      </c>
      <c r="I174" s="43">
        <f t="shared" si="39"/>
        <v>0</v>
      </c>
      <c r="J174" s="43">
        <f t="shared" si="39"/>
        <v>-3581776</v>
      </c>
    </row>
    <row r="175" spans="1:10" x14ac:dyDescent="0.2">
      <c r="A175" s="39">
        <f>A174+1</f>
        <v>24</v>
      </c>
      <c r="B175" s="39" t="s">
        <v>152</v>
      </c>
      <c r="D175" s="43">
        <f t="shared" si="39"/>
        <v>-163800.99767489731</v>
      </c>
      <c r="E175" s="43">
        <f t="shared" si="39"/>
        <v>72532.055439517309</v>
      </c>
      <c r="F175" s="43">
        <f t="shared" si="39"/>
        <v>-192788.05776462</v>
      </c>
      <c r="G175" s="43">
        <f t="shared" si="39"/>
        <v>0</v>
      </c>
      <c r="H175" s="43">
        <f>H35-H105</f>
        <v>0</v>
      </c>
      <c r="I175" s="43">
        <f t="shared" si="39"/>
        <v>0</v>
      </c>
      <c r="J175" s="43">
        <f t="shared" si="39"/>
        <v>-284057</v>
      </c>
    </row>
    <row r="176" spans="1:10" x14ac:dyDescent="0.2">
      <c r="A176" s="39">
        <f>A175+1</f>
        <v>25</v>
      </c>
      <c r="B176" s="42" t="s">
        <v>174</v>
      </c>
      <c r="D176" s="43">
        <f t="shared" si="39"/>
        <v>-82327</v>
      </c>
      <c r="E176" s="43">
        <f t="shared" si="39"/>
        <v>0</v>
      </c>
      <c r="F176" s="43">
        <f t="shared" si="39"/>
        <v>-68302</v>
      </c>
      <c r="G176" s="43">
        <f t="shared" si="39"/>
        <v>0</v>
      </c>
      <c r="H176" s="43">
        <f>H36-H106</f>
        <v>0</v>
      </c>
      <c r="I176" s="43">
        <f t="shared" si="39"/>
        <v>0</v>
      </c>
      <c r="J176" s="43">
        <f t="shared" si="39"/>
        <v>-150629</v>
      </c>
    </row>
    <row r="177" spans="1:10" x14ac:dyDescent="0.2">
      <c r="A177" s="39">
        <f>A176+1</f>
        <v>26</v>
      </c>
      <c r="B177" s="42" t="s">
        <v>168</v>
      </c>
      <c r="C177" s="42"/>
      <c r="D177" s="43">
        <f t="shared" si="39"/>
        <v>1675275</v>
      </c>
      <c r="E177" s="43">
        <f t="shared" si="39"/>
        <v>-2923243</v>
      </c>
      <c r="F177" s="43">
        <f t="shared" si="39"/>
        <v>0</v>
      </c>
      <c r="G177" s="43">
        <f t="shared" si="39"/>
        <v>0</v>
      </c>
      <c r="H177" s="43">
        <f>H37-H107</f>
        <v>0</v>
      </c>
      <c r="I177" s="43">
        <f t="shared" si="39"/>
        <v>0</v>
      </c>
      <c r="J177" s="43">
        <f t="shared" si="39"/>
        <v>-1247968</v>
      </c>
    </row>
    <row r="178" spans="1:10" x14ac:dyDescent="0.2">
      <c r="A178" s="39">
        <f>A177+1</f>
        <v>27</v>
      </c>
      <c r="B178" s="39" t="s">
        <v>154</v>
      </c>
      <c r="D178" s="43">
        <f t="shared" si="39"/>
        <v>572674</v>
      </c>
      <c r="E178" s="43">
        <f t="shared" si="39"/>
        <v>0</v>
      </c>
      <c r="F178" s="43">
        <f t="shared" si="39"/>
        <v>-1483789</v>
      </c>
      <c r="G178" s="43">
        <f t="shared" si="39"/>
        <v>0</v>
      </c>
      <c r="H178" s="43">
        <f>H38-H108</f>
        <v>0</v>
      </c>
      <c r="I178" s="43">
        <f t="shared" si="39"/>
        <v>0</v>
      </c>
      <c r="J178" s="43">
        <f t="shared" si="39"/>
        <v>-911115</v>
      </c>
    </row>
    <row r="179" spans="1:10" x14ac:dyDescent="0.2">
      <c r="D179" s="41"/>
      <c r="E179" s="41"/>
      <c r="F179" s="41"/>
      <c r="G179" s="41"/>
      <c r="H179" s="41"/>
      <c r="I179" s="41"/>
      <c r="J179" s="41"/>
    </row>
    <row r="180" spans="1:10" x14ac:dyDescent="0.2">
      <c r="A180" s="39">
        <f>A178+1</f>
        <v>28</v>
      </c>
      <c r="B180" s="42" t="s">
        <v>159</v>
      </c>
      <c r="C180" s="42"/>
      <c r="D180" s="43">
        <f t="shared" ref="D180:J180" si="40">D40-D110</f>
        <v>-1419462.997674942</v>
      </c>
      <c r="E180" s="43">
        <f t="shared" si="40"/>
        <v>-2850710.9445604831</v>
      </c>
      <c r="F180" s="43">
        <f t="shared" si="40"/>
        <v>-1905371.0577646196</v>
      </c>
      <c r="G180" s="43">
        <f t="shared" si="40"/>
        <v>0</v>
      </c>
      <c r="H180" s="43">
        <f>H40-H110</f>
        <v>0</v>
      </c>
      <c r="I180" s="43">
        <f t="shared" si="40"/>
        <v>0</v>
      </c>
      <c r="J180" s="43">
        <f t="shared" si="40"/>
        <v>-6175545</v>
      </c>
    </row>
    <row r="181" spans="1:10" x14ac:dyDescent="0.2">
      <c r="B181" s="42"/>
      <c r="C181" s="42"/>
      <c r="D181" s="41"/>
      <c r="E181" s="41"/>
      <c r="F181" s="41"/>
      <c r="G181" s="41"/>
      <c r="H181" s="41"/>
      <c r="I181" s="41"/>
      <c r="J181" s="41"/>
    </row>
    <row r="182" spans="1:10" x14ac:dyDescent="0.2">
      <c r="B182" s="42" t="s">
        <v>157</v>
      </c>
      <c r="C182" s="42"/>
      <c r="D182" s="41"/>
      <c r="E182" s="41"/>
      <c r="F182" s="41"/>
      <c r="G182" s="41"/>
      <c r="H182" s="41"/>
      <c r="I182" s="41"/>
      <c r="J182" s="41"/>
    </row>
    <row r="183" spans="1:10" x14ac:dyDescent="0.2">
      <c r="A183" s="39">
        <f>A180+1</f>
        <v>29</v>
      </c>
      <c r="B183" s="39" t="s">
        <v>141</v>
      </c>
      <c r="D183" s="43">
        <f t="shared" ref="D183:J185" si="41">D43-D113</f>
        <v>12694506</v>
      </c>
      <c r="E183" s="43">
        <f t="shared" si="41"/>
        <v>0</v>
      </c>
      <c r="F183" s="43">
        <f t="shared" si="41"/>
        <v>-18124869</v>
      </c>
      <c r="G183" s="43">
        <f t="shared" si="41"/>
        <v>4784693</v>
      </c>
      <c r="H183" s="43">
        <f>H43-H113</f>
        <v>-8268138</v>
      </c>
      <c r="I183" s="43">
        <f t="shared" si="41"/>
        <v>0</v>
      </c>
      <c r="J183" s="43">
        <f t="shared" si="41"/>
        <v>-8913808</v>
      </c>
    </row>
    <row r="184" spans="1:10" x14ac:dyDescent="0.2">
      <c r="A184" s="39">
        <f>A183+1</f>
        <v>30</v>
      </c>
      <c r="B184" s="42" t="s">
        <v>167</v>
      </c>
      <c r="C184" s="42"/>
      <c r="D184" s="43">
        <f t="shared" si="41"/>
        <v>29732</v>
      </c>
      <c r="E184" s="43">
        <f t="shared" si="41"/>
        <v>0</v>
      </c>
      <c r="F184" s="43">
        <f t="shared" si="41"/>
        <v>-42447</v>
      </c>
      <c r="G184" s="43">
        <f t="shared" si="41"/>
        <v>11202</v>
      </c>
      <c r="H184" s="43">
        <f>H44-H114</f>
        <v>-19363</v>
      </c>
      <c r="I184" s="43">
        <f t="shared" si="41"/>
        <v>0</v>
      </c>
      <c r="J184" s="43">
        <f t="shared" si="41"/>
        <v>-20876</v>
      </c>
    </row>
    <row r="185" spans="1:10" x14ac:dyDescent="0.2">
      <c r="A185" s="39">
        <f>A184+1</f>
        <v>31</v>
      </c>
      <c r="B185" s="39" t="s">
        <v>142</v>
      </c>
      <c r="D185" s="43">
        <f t="shared" si="41"/>
        <v>1444391</v>
      </c>
      <c r="E185" s="43">
        <f t="shared" si="41"/>
        <v>0</v>
      </c>
      <c r="F185" s="43">
        <f t="shared" si="41"/>
        <v>-1618310</v>
      </c>
      <c r="G185" s="43">
        <f t="shared" si="41"/>
        <v>92296</v>
      </c>
      <c r="H185" s="43">
        <f>H45-H115</f>
        <v>-52590</v>
      </c>
      <c r="I185" s="43">
        <f t="shared" si="41"/>
        <v>0</v>
      </c>
      <c r="J185" s="43">
        <f t="shared" si="41"/>
        <v>-134213</v>
      </c>
    </row>
    <row r="186" spans="1:10" x14ac:dyDescent="0.2">
      <c r="B186" s="42" t="s">
        <v>171</v>
      </c>
      <c r="D186" s="43"/>
      <c r="E186" s="43"/>
      <c r="F186" s="43"/>
      <c r="G186" s="43"/>
      <c r="H186" s="43"/>
      <c r="I186" s="43"/>
      <c r="J186" s="43"/>
    </row>
    <row r="187" spans="1:10" x14ac:dyDescent="0.2">
      <c r="A187" s="39">
        <f>A185+1</f>
        <v>32</v>
      </c>
      <c r="C187" s="39" t="s">
        <v>143</v>
      </c>
      <c r="D187" s="43">
        <f t="shared" ref="D187:J199" si="42">D47-D117</f>
        <v>14679368</v>
      </c>
      <c r="E187" s="43">
        <f t="shared" si="42"/>
        <v>0</v>
      </c>
      <c r="F187" s="43">
        <f t="shared" si="42"/>
        <v>-17690663</v>
      </c>
      <c r="G187" s="43">
        <f t="shared" si="42"/>
        <v>2664162</v>
      </c>
      <c r="H187" s="43">
        <f t="shared" ref="H187:H199" si="43">H47-H117</f>
        <v>-4045519</v>
      </c>
      <c r="I187" s="43">
        <f t="shared" si="42"/>
        <v>-62253</v>
      </c>
      <c r="J187" s="43">
        <f t="shared" si="42"/>
        <v>-4454905</v>
      </c>
    </row>
    <row r="188" spans="1:10" x14ac:dyDescent="0.2">
      <c r="A188" s="39">
        <f t="shared" ref="A188:A199" si="44">A187+1</f>
        <v>33</v>
      </c>
      <c r="C188" s="39" t="s">
        <v>144</v>
      </c>
      <c r="D188" s="43">
        <f t="shared" si="42"/>
        <v>0</v>
      </c>
      <c r="E188" s="43">
        <f t="shared" si="42"/>
        <v>0</v>
      </c>
      <c r="F188" s="43">
        <f t="shared" si="42"/>
        <v>-28272</v>
      </c>
      <c r="G188" s="43">
        <f t="shared" si="42"/>
        <v>0</v>
      </c>
      <c r="H188" s="43">
        <f t="shared" si="43"/>
        <v>-27276</v>
      </c>
      <c r="I188" s="43">
        <f t="shared" si="42"/>
        <v>0</v>
      </c>
      <c r="J188" s="43">
        <f t="shared" si="42"/>
        <v>-55548</v>
      </c>
    </row>
    <row r="189" spans="1:10" x14ac:dyDescent="0.2">
      <c r="A189" s="39">
        <f t="shared" si="44"/>
        <v>34</v>
      </c>
      <c r="B189" s="42"/>
      <c r="C189" s="42" t="s">
        <v>170</v>
      </c>
      <c r="D189" s="43">
        <f t="shared" si="42"/>
        <v>-5793</v>
      </c>
      <c r="E189" s="43">
        <f t="shared" si="42"/>
        <v>0</v>
      </c>
      <c r="F189" s="43">
        <f t="shared" si="42"/>
        <v>-7033</v>
      </c>
      <c r="G189" s="43">
        <f t="shared" si="42"/>
        <v>19</v>
      </c>
      <c r="H189" s="43">
        <f t="shared" si="43"/>
        <v>-7051</v>
      </c>
      <c r="I189" s="43">
        <f t="shared" si="42"/>
        <v>0</v>
      </c>
      <c r="J189" s="43">
        <f t="shared" si="42"/>
        <v>-19858</v>
      </c>
    </row>
    <row r="190" spans="1:10" x14ac:dyDescent="0.2">
      <c r="A190" s="39">
        <f t="shared" si="44"/>
        <v>35</v>
      </c>
      <c r="B190" s="39" t="s">
        <v>145</v>
      </c>
      <c r="D190" s="43">
        <f t="shared" si="42"/>
        <v>21727</v>
      </c>
      <c r="E190" s="43">
        <f t="shared" si="42"/>
        <v>0</v>
      </c>
      <c r="F190" s="43">
        <f t="shared" si="42"/>
        <v>0</v>
      </c>
      <c r="G190" s="43">
        <f t="shared" si="42"/>
        <v>21905</v>
      </c>
      <c r="H190" s="43">
        <f t="shared" si="43"/>
        <v>-41902</v>
      </c>
      <c r="I190" s="43">
        <f t="shared" si="42"/>
        <v>0</v>
      </c>
      <c r="J190" s="43">
        <f t="shared" si="42"/>
        <v>1730</v>
      </c>
    </row>
    <row r="191" spans="1:10" x14ac:dyDescent="0.2">
      <c r="A191" s="39">
        <f t="shared" si="44"/>
        <v>36</v>
      </c>
      <c r="B191" s="39" t="s">
        <v>146</v>
      </c>
      <c r="D191" s="43">
        <f t="shared" si="42"/>
        <v>146075</v>
      </c>
      <c r="E191" s="43">
        <f t="shared" si="42"/>
        <v>0</v>
      </c>
      <c r="F191" s="43">
        <f t="shared" si="42"/>
        <v>0</v>
      </c>
      <c r="G191" s="43">
        <f t="shared" si="42"/>
        <v>21966</v>
      </c>
      <c r="H191" s="43">
        <f t="shared" si="43"/>
        <v>-38718</v>
      </c>
      <c r="I191" s="43">
        <f t="shared" si="42"/>
        <v>0</v>
      </c>
      <c r="J191" s="43">
        <f t="shared" si="42"/>
        <v>129323</v>
      </c>
    </row>
    <row r="192" spans="1:10" x14ac:dyDescent="0.2">
      <c r="A192" s="39">
        <f t="shared" si="44"/>
        <v>37</v>
      </c>
      <c r="B192" s="39" t="s">
        <v>148</v>
      </c>
      <c r="D192" s="43">
        <f t="shared" si="42"/>
        <v>2107</v>
      </c>
      <c r="E192" s="43">
        <f t="shared" si="42"/>
        <v>0</v>
      </c>
      <c r="F192" s="43">
        <f t="shared" si="42"/>
        <v>-554</v>
      </c>
      <c r="G192" s="43">
        <f t="shared" si="42"/>
        <v>245</v>
      </c>
      <c r="H192" s="43">
        <f t="shared" si="43"/>
        <v>-254</v>
      </c>
      <c r="I192" s="43">
        <f t="shared" si="42"/>
        <v>0</v>
      </c>
      <c r="J192" s="43">
        <f t="shared" si="42"/>
        <v>1544</v>
      </c>
    </row>
    <row r="193" spans="1:10" x14ac:dyDescent="0.2">
      <c r="A193" s="39">
        <f t="shared" si="44"/>
        <v>38</v>
      </c>
      <c r="B193" s="39" t="s">
        <v>244</v>
      </c>
      <c r="D193" s="43">
        <f t="shared" si="42"/>
        <v>0</v>
      </c>
      <c r="E193" s="43">
        <f t="shared" si="42"/>
        <v>0</v>
      </c>
      <c r="F193" s="43">
        <f t="shared" si="42"/>
        <v>0</v>
      </c>
      <c r="G193" s="43">
        <f t="shared" si="42"/>
        <v>0</v>
      </c>
      <c r="H193" s="43">
        <f t="shared" si="43"/>
        <v>0</v>
      </c>
      <c r="I193" s="43">
        <f t="shared" si="42"/>
        <v>0</v>
      </c>
      <c r="J193" s="43">
        <f t="shared" si="42"/>
        <v>0</v>
      </c>
    </row>
    <row r="194" spans="1:10" x14ac:dyDescent="0.2">
      <c r="A194" s="39">
        <f t="shared" si="44"/>
        <v>39</v>
      </c>
      <c r="B194" s="39" t="s">
        <v>147</v>
      </c>
      <c r="D194" s="43">
        <f t="shared" si="42"/>
        <v>3926147</v>
      </c>
      <c r="E194" s="43">
        <f t="shared" si="42"/>
        <v>0</v>
      </c>
      <c r="F194" s="43">
        <f t="shared" si="42"/>
        <v>-565367</v>
      </c>
      <c r="G194" s="43">
        <f t="shared" si="42"/>
        <v>191419</v>
      </c>
      <c r="H194" s="43">
        <f t="shared" si="43"/>
        <v>-331116</v>
      </c>
      <c r="I194" s="43">
        <f t="shared" si="42"/>
        <v>0</v>
      </c>
      <c r="J194" s="43">
        <f t="shared" si="42"/>
        <v>3221083</v>
      </c>
    </row>
    <row r="195" spans="1:10" x14ac:dyDescent="0.2">
      <c r="A195" s="39">
        <f t="shared" si="44"/>
        <v>40</v>
      </c>
      <c r="B195" s="39" t="s">
        <v>149</v>
      </c>
      <c r="D195" s="43">
        <f t="shared" si="42"/>
        <v>176325.90835930407</v>
      </c>
      <c r="E195" s="43">
        <f t="shared" si="42"/>
        <v>44271.033876075933</v>
      </c>
      <c r="F195" s="43">
        <f t="shared" si="42"/>
        <v>-159991.94223537995</v>
      </c>
      <c r="G195" s="43">
        <f t="shared" si="42"/>
        <v>80090</v>
      </c>
      <c r="H195" s="43">
        <f t="shared" si="43"/>
        <v>-160730</v>
      </c>
      <c r="I195" s="43">
        <f t="shared" si="42"/>
        <v>0</v>
      </c>
      <c r="J195" s="43">
        <f t="shared" si="42"/>
        <v>-20035</v>
      </c>
    </row>
    <row r="196" spans="1:10" x14ac:dyDescent="0.2">
      <c r="A196" s="39">
        <f t="shared" si="44"/>
        <v>41</v>
      </c>
      <c r="B196" s="42" t="s">
        <v>173</v>
      </c>
      <c r="D196" s="43">
        <f t="shared" si="42"/>
        <v>34008</v>
      </c>
      <c r="E196" s="43">
        <f t="shared" si="42"/>
        <v>0</v>
      </c>
      <c r="F196" s="43">
        <f t="shared" si="42"/>
        <v>-41929</v>
      </c>
      <c r="G196" s="43">
        <f t="shared" si="42"/>
        <v>38063</v>
      </c>
      <c r="H196" s="43">
        <f t="shared" si="43"/>
        <v>-2540</v>
      </c>
      <c r="I196" s="43">
        <f t="shared" si="42"/>
        <v>0</v>
      </c>
      <c r="J196" s="43">
        <f t="shared" si="42"/>
        <v>27602</v>
      </c>
    </row>
    <row r="197" spans="1:10" x14ac:dyDescent="0.2">
      <c r="A197" s="39">
        <f t="shared" si="44"/>
        <v>42</v>
      </c>
      <c r="B197" s="42" t="s">
        <v>168</v>
      </c>
      <c r="C197" s="42"/>
      <c r="D197" s="43">
        <f t="shared" si="42"/>
        <v>7095758</v>
      </c>
      <c r="E197" s="43">
        <f t="shared" si="42"/>
        <v>-6590657</v>
      </c>
      <c r="F197" s="43">
        <f t="shared" si="42"/>
        <v>0</v>
      </c>
      <c r="G197" s="43">
        <f t="shared" si="42"/>
        <v>3374</v>
      </c>
      <c r="H197" s="43">
        <f t="shared" si="43"/>
        <v>0</v>
      </c>
      <c r="I197" s="43">
        <f t="shared" si="42"/>
        <v>0</v>
      </c>
      <c r="J197" s="43">
        <f t="shared" si="42"/>
        <v>508475</v>
      </c>
    </row>
    <row r="198" spans="1:10" x14ac:dyDescent="0.2">
      <c r="A198" s="39">
        <f t="shared" si="44"/>
        <v>43</v>
      </c>
      <c r="B198" s="42" t="s">
        <v>163</v>
      </c>
      <c r="C198" s="42"/>
      <c r="D198" s="43">
        <f t="shared" si="42"/>
        <v>1450155</v>
      </c>
      <c r="E198" s="43">
        <f t="shared" si="42"/>
        <v>0</v>
      </c>
      <c r="F198" s="43">
        <f t="shared" si="42"/>
        <v>-546470</v>
      </c>
      <c r="G198" s="43">
        <f t="shared" si="42"/>
        <v>0</v>
      </c>
      <c r="H198" s="43">
        <f t="shared" si="43"/>
        <v>0</v>
      </c>
      <c r="I198" s="43">
        <f t="shared" si="42"/>
        <v>0</v>
      </c>
      <c r="J198" s="43">
        <f t="shared" si="42"/>
        <v>903685</v>
      </c>
    </row>
    <row r="199" spans="1:10" x14ac:dyDescent="0.2">
      <c r="A199" s="39">
        <f t="shared" si="44"/>
        <v>44</v>
      </c>
      <c r="B199" s="39" t="s">
        <v>151</v>
      </c>
      <c r="D199" s="43">
        <f t="shared" si="42"/>
        <v>20688</v>
      </c>
      <c r="E199" s="43">
        <f t="shared" si="42"/>
        <v>0</v>
      </c>
      <c r="F199" s="43">
        <f t="shared" si="42"/>
        <v>0</v>
      </c>
      <c r="G199" s="43">
        <f t="shared" si="42"/>
        <v>0</v>
      </c>
      <c r="H199" s="43">
        <f t="shared" si="43"/>
        <v>0</v>
      </c>
      <c r="I199" s="43">
        <f t="shared" si="42"/>
        <v>0</v>
      </c>
      <c r="J199" s="43">
        <f t="shared" si="42"/>
        <v>20688</v>
      </c>
    </row>
    <row r="200" spans="1:10" x14ac:dyDescent="0.2">
      <c r="B200" s="42" t="s">
        <v>172</v>
      </c>
      <c r="D200" s="43"/>
      <c r="E200" s="43"/>
      <c r="F200" s="43"/>
      <c r="G200" s="43"/>
      <c r="H200" s="43"/>
      <c r="I200" s="43"/>
      <c r="J200" s="43"/>
    </row>
    <row r="201" spans="1:10" x14ac:dyDescent="0.2">
      <c r="A201" s="39">
        <f>A199+1</f>
        <v>45</v>
      </c>
      <c r="B201" s="42"/>
      <c r="C201" s="42" t="s">
        <v>175</v>
      </c>
      <c r="D201" s="43">
        <f t="shared" ref="D201:J205" si="45">D61-D131</f>
        <v>-87195</v>
      </c>
      <c r="E201" s="43">
        <f t="shared" si="45"/>
        <v>0</v>
      </c>
      <c r="F201" s="43">
        <f t="shared" si="45"/>
        <v>-175981</v>
      </c>
      <c r="G201" s="43">
        <f t="shared" si="45"/>
        <v>102284</v>
      </c>
      <c r="H201" s="43">
        <f>H61-H131</f>
        <v>-38134</v>
      </c>
      <c r="I201" s="43">
        <f t="shared" si="45"/>
        <v>0</v>
      </c>
      <c r="J201" s="43">
        <f t="shared" si="45"/>
        <v>-199026</v>
      </c>
    </row>
    <row r="202" spans="1:10" x14ac:dyDescent="0.2">
      <c r="A202" s="39">
        <f>A201+1</f>
        <v>46</v>
      </c>
      <c r="B202" s="42"/>
      <c r="C202" s="42" t="s">
        <v>182</v>
      </c>
      <c r="D202" s="43">
        <f t="shared" si="45"/>
        <v>-75369</v>
      </c>
      <c r="E202" s="43">
        <f t="shared" si="45"/>
        <v>0</v>
      </c>
      <c r="F202" s="43">
        <f t="shared" si="45"/>
        <v>0</v>
      </c>
      <c r="G202" s="43">
        <f t="shared" si="45"/>
        <v>76580</v>
      </c>
      <c r="H202" s="43">
        <f>H62-H132</f>
        <v>0</v>
      </c>
      <c r="I202" s="43">
        <f t="shared" si="45"/>
        <v>0</v>
      </c>
      <c r="J202" s="43">
        <f t="shared" si="45"/>
        <v>1211</v>
      </c>
    </row>
    <row r="203" spans="1:10" x14ac:dyDescent="0.2">
      <c r="A203" s="39">
        <f>A202+1</f>
        <v>47</v>
      </c>
      <c r="B203" s="42"/>
      <c r="C203" s="42" t="s">
        <v>201</v>
      </c>
      <c r="D203" s="43">
        <f t="shared" si="45"/>
        <v>0</v>
      </c>
      <c r="E203" s="43">
        <f t="shared" si="45"/>
        <v>0</v>
      </c>
      <c r="F203" s="43">
        <f t="shared" si="45"/>
        <v>0</v>
      </c>
      <c r="G203" s="43">
        <f t="shared" si="45"/>
        <v>0</v>
      </c>
      <c r="H203" s="43">
        <f>H63-H133</f>
        <v>0</v>
      </c>
      <c r="I203" s="43">
        <f t="shared" si="45"/>
        <v>0</v>
      </c>
      <c r="J203" s="43">
        <f t="shared" si="45"/>
        <v>0</v>
      </c>
    </row>
    <row r="204" spans="1:10" x14ac:dyDescent="0.2">
      <c r="A204" s="39">
        <f>A203+1</f>
        <v>48</v>
      </c>
      <c r="B204" s="42"/>
      <c r="C204" s="42" t="s">
        <v>183</v>
      </c>
      <c r="D204" s="43">
        <f t="shared" si="45"/>
        <v>8990</v>
      </c>
      <c r="E204" s="43">
        <f t="shared" si="45"/>
        <v>0</v>
      </c>
      <c r="F204" s="43">
        <f t="shared" si="45"/>
        <v>0</v>
      </c>
      <c r="G204" s="43">
        <f t="shared" si="45"/>
        <v>1386</v>
      </c>
      <c r="H204" s="43">
        <f>H64-H134</f>
        <v>0</v>
      </c>
      <c r="I204" s="43">
        <f t="shared" si="45"/>
        <v>0</v>
      </c>
      <c r="J204" s="43">
        <f t="shared" si="45"/>
        <v>10376</v>
      </c>
    </row>
    <row r="205" spans="1:10" x14ac:dyDescent="0.2">
      <c r="A205" s="39">
        <f>A204+1</f>
        <v>49</v>
      </c>
      <c r="B205" s="42"/>
      <c r="C205" s="42" t="s">
        <v>251</v>
      </c>
      <c r="D205" s="43">
        <f t="shared" si="45"/>
        <v>1</v>
      </c>
      <c r="E205" s="43">
        <f t="shared" si="45"/>
        <v>0</v>
      </c>
      <c r="F205" s="43">
        <f t="shared" si="45"/>
        <v>0</v>
      </c>
      <c r="G205" s="43">
        <f t="shared" si="45"/>
        <v>0</v>
      </c>
      <c r="H205" s="43">
        <f>H65-H135</f>
        <v>0</v>
      </c>
      <c r="I205" s="43">
        <f t="shared" si="45"/>
        <v>0</v>
      </c>
      <c r="J205" s="43">
        <f t="shared" si="45"/>
        <v>1</v>
      </c>
    </row>
    <row r="206" spans="1:10" x14ac:dyDescent="0.2">
      <c r="D206" s="41"/>
      <c r="E206" s="41"/>
      <c r="F206" s="41"/>
      <c r="G206" s="41"/>
      <c r="H206" s="41"/>
      <c r="I206" s="41"/>
      <c r="J206" s="41"/>
    </row>
    <row r="207" spans="1:10" x14ac:dyDescent="0.2">
      <c r="A207" s="39">
        <f>A205+1</f>
        <v>50</v>
      </c>
      <c r="B207" s="42" t="s">
        <v>184</v>
      </c>
      <c r="C207" s="42"/>
      <c r="D207" s="43">
        <f t="shared" ref="D207:J208" si="46">D67-D137</f>
        <v>41561621.908359528</v>
      </c>
      <c r="E207" s="43">
        <f t="shared" si="46"/>
        <v>-6546385.9661239237</v>
      </c>
      <c r="F207" s="43">
        <f t="shared" si="46"/>
        <v>-39001886.94223538</v>
      </c>
      <c r="G207" s="43">
        <f t="shared" si="46"/>
        <v>8089684</v>
      </c>
      <c r="H207" s="43">
        <f>H67-H137</f>
        <v>-13033331</v>
      </c>
      <c r="I207" s="43">
        <f t="shared" si="46"/>
        <v>-62253</v>
      </c>
      <c r="J207" s="43">
        <f t="shared" si="46"/>
        <v>-8992551</v>
      </c>
    </row>
    <row r="208" spans="1:10" x14ac:dyDescent="0.2">
      <c r="A208" s="39">
        <f>A207+1</f>
        <v>51</v>
      </c>
      <c r="B208" s="173" t="s">
        <v>397</v>
      </c>
      <c r="C208" s="42"/>
      <c r="D208" s="43">
        <f t="shared" si="46"/>
        <v>41561621.908359528</v>
      </c>
      <c r="E208" s="43">
        <f t="shared" si="46"/>
        <v>-6546385.9661239237</v>
      </c>
      <c r="F208" s="43">
        <f t="shared" si="46"/>
        <v>-39001886.94223538</v>
      </c>
      <c r="G208" s="43">
        <f t="shared" si="46"/>
        <v>8089684</v>
      </c>
      <c r="H208" s="43">
        <f>H68-H138</f>
        <v>-13033331</v>
      </c>
      <c r="I208" s="43">
        <f t="shared" si="46"/>
        <v>-62253</v>
      </c>
      <c r="J208" s="43">
        <f t="shared" si="46"/>
        <v>-8992551</v>
      </c>
    </row>
    <row r="209" spans="1:10" x14ac:dyDescent="0.2">
      <c r="A209" s="39">
        <f>A208+1</f>
        <v>52</v>
      </c>
      <c r="B209" s="42" t="s">
        <v>303</v>
      </c>
      <c r="C209" s="42"/>
      <c r="D209" s="127" t="s">
        <v>302</v>
      </c>
      <c r="E209" s="127" t="s">
        <v>302</v>
      </c>
      <c r="F209" s="127" t="s">
        <v>302</v>
      </c>
      <c r="G209" s="127" t="s">
        <v>302</v>
      </c>
      <c r="H209" s="127" t="s">
        <v>302</v>
      </c>
      <c r="I209" s="127" t="s">
        <v>302</v>
      </c>
      <c r="J209" s="127" t="s">
        <v>302</v>
      </c>
    </row>
    <row r="210" spans="1:10" x14ac:dyDescent="0.2">
      <c r="B210" s="42"/>
      <c r="C210" s="42"/>
      <c r="D210" s="43"/>
      <c r="E210" s="43"/>
      <c r="F210" s="43"/>
      <c r="G210" s="43"/>
      <c r="H210" s="43"/>
      <c r="I210" s="43"/>
      <c r="J210" s="43"/>
    </row>
    <row r="211" spans="1:10" x14ac:dyDescent="0.2">
      <c r="A211" s="39">
        <f>A209+1</f>
        <v>53</v>
      </c>
      <c r="B211" s="42" t="s">
        <v>166</v>
      </c>
      <c r="C211" s="42"/>
      <c r="D211" s="43">
        <f t="shared" ref="D211:J211" si="47">D71-D141</f>
        <v>0</v>
      </c>
      <c r="E211" s="43">
        <f t="shared" si="47"/>
        <v>0</v>
      </c>
      <c r="F211" s="43">
        <f t="shared" si="47"/>
        <v>0</v>
      </c>
      <c r="G211" s="43">
        <f t="shared" si="47"/>
        <v>-31774</v>
      </c>
      <c r="H211" s="43">
        <f>H71-H141</f>
        <v>52327</v>
      </c>
      <c r="I211" s="43">
        <f t="shared" si="47"/>
        <v>0</v>
      </c>
      <c r="J211" s="43">
        <f t="shared" si="47"/>
        <v>20553</v>
      </c>
    </row>
  </sheetData>
  <phoneticPr fontId="1" type="noConversion"/>
  <printOptions horizontalCentered="1" gridLines="1"/>
  <pageMargins left="0.5" right="0.25" top="1" bottom="0.5" header="0.5" footer="0.25"/>
  <pageSetup scale="73" fitToHeight="3" orientation="portrait" horizontalDpi="300" verticalDpi="300" r:id="rId1"/>
  <headerFooter alignWithMargins="0">
    <oddHeader>&amp;L&amp;"Arial,Bold"DEPT of EDUCATION
Program Finance Div.&amp;C&amp;"Arial,Bold"&amp;A GENERAL EDUCATION
*** FEB 2011 VS. NOV 2010 ***&amp;R&amp;"Arial,Bold"&amp;D
&amp;T</oddHeader>
    <oddFooter>&amp;L&amp;"Arial,Regular"&amp;F&amp;R&amp;"Arial,Regular"&amp;A</oddFooter>
  </headerFooter>
  <rowBreaks count="2" manualBreakCount="2">
    <brk id="72" max="9" man="1"/>
    <brk id="142" max="9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1"/>
  <sheetViews>
    <sheetView zoomScaleNormal="100" zoomScaleSheetLayoutView="85" workbookViewId="0">
      <pane xSplit="3" ySplit="4" topLeftCell="D47" activePane="bottomRight" state="frozen"/>
      <selection activeCell="C16" sqref="C16"/>
      <selection pane="topRight" activeCell="C16" sqref="C16"/>
      <selection pane="bottomLeft" activeCell="C16" sqref="C16"/>
      <selection pane="bottomRight" activeCell="K71" sqref="K71"/>
    </sheetView>
  </sheetViews>
  <sheetFormatPr defaultColWidth="8" defaultRowHeight="12.75" x14ac:dyDescent="0.2"/>
  <cols>
    <col min="1" max="1" width="4.125" style="39" customWidth="1"/>
    <col min="2" max="2" width="2.25" style="39" customWidth="1"/>
    <col min="3" max="3" width="28.625" style="39" customWidth="1"/>
    <col min="4" max="10" width="13.625" style="39" customWidth="1"/>
    <col min="11" max="11" width="14.5" style="39" bestFit="1" customWidth="1"/>
    <col min="12" max="12" width="11.625" style="39" customWidth="1"/>
    <col min="13" max="16384" width="8" style="39"/>
  </cols>
  <sheetData>
    <row r="1" spans="1:10" x14ac:dyDescent="0.2">
      <c r="A1" s="173" t="s">
        <v>447</v>
      </c>
      <c r="D1" s="41"/>
      <c r="E1" s="41"/>
      <c r="G1" s="41"/>
      <c r="H1" s="41"/>
      <c r="I1" s="41"/>
    </row>
    <row r="3" spans="1:10" x14ac:dyDescent="0.2">
      <c r="A3" s="118" t="s">
        <v>438</v>
      </c>
      <c r="B3" s="118"/>
      <c r="C3" s="119"/>
      <c r="D3" s="120" t="s">
        <v>176</v>
      </c>
      <c r="E3" s="120" t="s">
        <v>181</v>
      </c>
      <c r="F3" s="120" t="s">
        <v>177</v>
      </c>
      <c r="G3" s="120" t="s">
        <v>178</v>
      </c>
      <c r="H3" s="120" t="s">
        <v>179</v>
      </c>
      <c r="I3" s="120" t="s">
        <v>370</v>
      </c>
      <c r="J3" s="120" t="s">
        <v>180</v>
      </c>
    </row>
    <row r="5" spans="1:10" x14ac:dyDescent="0.2">
      <c r="A5" s="39">
        <v>1</v>
      </c>
      <c r="B5" s="39" t="s">
        <v>140</v>
      </c>
      <c r="D5" s="41">
        <f>'Pupil Data'!C47</f>
        <v>890261</v>
      </c>
      <c r="E5" s="41">
        <v>0</v>
      </c>
      <c r="F5" s="41">
        <f>'Pupil Data'!D47</f>
        <v>21835</v>
      </c>
      <c r="G5" s="41">
        <f>'Pupil Data'!E47</f>
        <v>46516</v>
      </c>
      <c r="H5" s="41">
        <f>'Pupil Data'!F47</f>
        <v>10786</v>
      </c>
      <c r="I5" s="41">
        <v>0</v>
      </c>
      <c r="J5" s="41">
        <f>SUM(D5:I5)</f>
        <v>969398</v>
      </c>
    </row>
    <row r="7" spans="1:10" x14ac:dyDescent="0.2">
      <c r="B7" s="42" t="s">
        <v>155</v>
      </c>
      <c r="D7" s="40"/>
      <c r="E7" s="40"/>
      <c r="F7" s="40"/>
      <c r="G7" s="40"/>
      <c r="H7" s="40"/>
      <c r="I7" s="40"/>
      <c r="J7" s="40"/>
    </row>
    <row r="8" spans="1:10" x14ac:dyDescent="0.2">
      <c r="A8" s="39">
        <f>A5+1</f>
        <v>2</v>
      </c>
      <c r="B8" s="39" t="s">
        <v>141</v>
      </c>
      <c r="D8" s="41">
        <v>4561698698</v>
      </c>
      <c r="E8" s="41">
        <v>0</v>
      </c>
      <c r="F8" s="41">
        <v>111883821</v>
      </c>
      <c r="G8" s="41">
        <v>238349827</v>
      </c>
      <c r="H8" s="41">
        <v>55266798</v>
      </c>
      <c r="I8" s="41">
        <v>0</v>
      </c>
      <c r="J8" s="41">
        <f>SUM(D8:I8)</f>
        <v>4967199144</v>
      </c>
    </row>
    <row r="9" spans="1:10" x14ac:dyDescent="0.2">
      <c r="A9" s="39">
        <f>A8+1</f>
        <v>3</v>
      </c>
      <c r="B9" s="42" t="s">
        <v>167</v>
      </c>
      <c r="C9" s="42"/>
      <c r="D9" s="41">
        <v>10683130</v>
      </c>
      <c r="E9" s="41">
        <v>0</v>
      </c>
      <c r="F9" s="41">
        <v>262023</v>
      </c>
      <c r="G9" s="41">
        <v>558197</v>
      </c>
      <c r="H9" s="41">
        <v>129430</v>
      </c>
      <c r="I9" s="41">
        <v>0</v>
      </c>
      <c r="J9" s="41">
        <f>SUM(D9:I9)</f>
        <v>11632780</v>
      </c>
    </row>
    <row r="10" spans="1:10" x14ac:dyDescent="0.2">
      <c r="A10" s="39">
        <f>A9+1</f>
        <v>4</v>
      </c>
      <c r="B10" s="39" t="s">
        <v>142</v>
      </c>
      <c r="D10" s="41">
        <v>49749047</v>
      </c>
      <c r="E10" s="41">
        <v>0</v>
      </c>
      <c r="F10" s="41">
        <v>27652516</v>
      </c>
      <c r="G10" s="41">
        <v>1714654</v>
      </c>
      <c r="H10" s="41">
        <v>1325088</v>
      </c>
      <c r="I10" s="41">
        <v>0</v>
      </c>
      <c r="J10" s="41">
        <f>SUM(D10:I10)</f>
        <v>80441305</v>
      </c>
    </row>
    <row r="11" spans="1:10" x14ac:dyDescent="0.2">
      <c r="B11" s="42" t="s">
        <v>171</v>
      </c>
      <c r="D11" s="41"/>
      <c r="E11" s="41"/>
      <c r="F11" s="41"/>
      <c r="G11" s="41"/>
      <c r="H11" s="41"/>
      <c r="I11" s="41"/>
      <c r="J11" s="41"/>
    </row>
    <row r="12" spans="1:10" x14ac:dyDescent="0.2">
      <c r="A12" s="39">
        <f>A10+1</f>
        <v>5</v>
      </c>
      <c r="C12" s="39" t="s">
        <v>143</v>
      </c>
      <c r="D12" s="41">
        <v>374577448</v>
      </c>
      <c r="E12" s="41">
        <v>0</v>
      </c>
      <c r="F12" s="41">
        <v>35260634</v>
      </c>
      <c r="G12" s="41">
        <v>50948786</v>
      </c>
      <c r="H12" s="41">
        <v>7215997</v>
      </c>
      <c r="I12" s="41">
        <v>5618167</v>
      </c>
      <c r="J12" s="41">
        <f t="shared" ref="J12:J23" si="0">SUM(D12:I12)</f>
        <v>473621032</v>
      </c>
    </row>
    <row r="13" spans="1:10" x14ac:dyDescent="0.2">
      <c r="A13" s="39">
        <f t="shared" ref="A13:A23" si="1">A12+1</f>
        <v>6</v>
      </c>
      <c r="C13" s="39" t="s">
        <v>144</v>
      </c>
      <c r="D13" s="41">
        <v>27409200</v>
      </c>
      <c r="E13" s="41">
        <v>0</v>
      </c>
      <c r="F13" s="41">
        <v>-1025747</v>
      </c>
      <c r="G13" s="41">
        <v>4799900</v>
      </c>
      <c r="H13" s="41">
        <v>995997</v>
      </c>
      <c r="I13" s="41">
        <v>0</v>
      </c>
      <c r="J13" s="41">
        <f t="shared" si="0"/>
        <v>32179350</v>
      </c>
    </row>
    <row r="14" spans="1:10" x14ac:dyDescent="0.2">
      <c r="A14" s="39">
        <f t="shared" si="1"/>
        <v>7</v>
      </c>
      <c r="B14" s="42"/>
      <c r="C14" s="42" t="s">
        <v>170</v>
      </c>
      <c r="D14" s="41">
        <v>6979268</v>
      </c>
      <c r="E14" s="41">
        <v>0</v>
      </c>
      <c r="F14" s="41">
        <v>-261188</v>
      </c>
      <c r="G14" s="41">
        <v>1607739</v>
      </c>
      <c r="H14" s="41">
        <v>253613</v>
      </c>
      <c r="I14" s="41">
        <v>0</v>
      </c>
      <c r="J14" s="41">
        <f t="shared" si="0"/>
        <v>8579432</v>
      </c>
    </row>
    <row r="15" spans="1:10" x14ac:dyDescent="0.2">
      <c r="A15" s="39">
        <f t="shared" si="1"/>
        <v>8</v>
      </c>
      <c r="B15" s="39" t="s">
        <v>145</v>
      </c>
      <c r="D15" s="41">
        <v>23147189</v>
      </c>
      <c r="E15" s="41">
        <v>0</v>
      </c>
      <c r="F15" s="41">
        <v>0</v>
      </c>
      <c r="G15" s="41">
        <v>1209447</v>
      </c>
      <c r="H15" s="41">
        <v>280437</v>
      </c>
      <c r="I15" s="41">
        <v>0</v>
      </c>
      <c r="J15" s="41">
        <f t="shared" si="0"/>
        <v>24637073</v>
      </c>
    </row>
    <row r="16" spans="1:10" x14ac:dyDescent="0.2">
      <c r="A16" s="39">
        <f t="shared" si="1"/>
        <v>9</v>
      </c>
      <c r="B16" s="39" t="s">
        <v>146</v>
      </c>
      <c r="D16" s="41">
        <v>58410388</v>
      </c>
      <c r="E16" s="41">
        <v>0</v>
      </c>
      <c r="F16" s="41">
        <v>0</v>
      </c>
      <c r="G16" s="41">
        <v>1131892</v>
      </c>
      <c r="H16" s="41">
        <v>267599</v>
      </c>
      <c r="I16" s="41">
        <v>0</v>
      </c>
      <c r="J16" s="41">
        <f t="shared" si="0"/>
        <v>59809879</v>
      </c>
    </row>
    <row r="17" spans="1:12" x14ac:dyDescent="0.2">
      <c r="A17" s="39">
        <f t="shared" si="1"/>
        <v>10</v>
      </c>
      <c r="B17" s="39" t="s">
        <v>148</v>
      </c>
      <c r="D17" s="41">
        <v>118240</v>
      </c>
      <c r="E17" s="41">
        <v>0</v>
      </c>
      <c r="F17" s="41">
        <v>2900</v>
      </c>
      <c r="G17" s="41">
        <v>6180</v>
      </c>
      <c r="H17" s="41">
        <v>1433</v>
      </c>
      <c r="I17" s="41">
        <v>0</v>
      </c>
      <c r="J17" s="41">
        <f t="shared" si="0"/>
        <v>128753</v>
      </c>
    </row>
    <row r="18" spans="1:12" x14ac:dyDescent="0.2">
      <c r="A18" s="39">
        <f t="shared" si="1"/>
        <v>11</v>
      </c>
      <c r="B18" s="39" t="s">
        <v>244</v>
      </c>
      <c r="D18" s="41">
        <v>0</v>
      </c>
      <c r="E18" s="41">
        <v>-700000</v>
      </c>
      <c r="F18" s="41">
        <v>0</v>
      </c>
      <c r="G18" s="41">
        <v>0</v>
      </c>
      <c r="H18" s="41">
        <v>0</v>
      </c>
      <c r="I18" s="41">
        <v>0</v>
      </c>
      <c r="J18" s="41">
        <f t="shared" si="0"/>
        <v>-700000</v>
      </c>
    </row>
    <row r="19" spans="1:12" x14ac:dyDescent="0.2">
      <c r="A19" s="39">
        <f t="shared" si="1"/>
        <v>12</v>
      </c>
      <c r="B19" s="39" t="s">
        <v>147</v>
      </c>
      <c r="D19" s="41">
        <v>182649010</v>
      </c>
      <c r="E19" s="41">
        <v>0</v>
      </c>
      <c r="F19" s="41">
        <v>4479794</v>
      </c>
      <c r="G19" s="41">
        <v>9543451</v>
      </c>
      <c r="H19" s="41">
        <v>2212866</v>
      </c>
      <c r="I19" s="41">
        <v>0</v>
      </c>
      <c r="J19" s="41">
        <f t="shared" si="0"/>
        <v>198885121</v>
      </c>
      <c r="K19" s="41">
        <v>198885120.99999899</v>
      </c>
    </row>
    <row r="20" spans="1:12" x14ac:dyDescent="0.2">
      <c r="A20" s="39">
        <f t="shared" si="1"/>
        <v>13</v>
      </c>
      <c r="B20" s="39" t="s">
        <v>149</v>
      </c>
      <c r="D20" s="41">
        <v>88472534</v>
      </c>
      <c r="E20" s="41">
        <v>0</v>
      </c>
      <c r="F20" s="41">
        <v>2169947</v>
      </c>
      <c r="G20" s="41">
        <v>4622711</v>
      </c>
      <c r="H20" s="41">
        <v>1071880</v>
      </c>
      <c r="I20" s="41">
        <v>0</v>
      </c>
      <c r="J20" s="41">
        <f t="shared" si="0"/>
        <v>96337072</v>
      </c>
      <c r="K20" s="41"/>
    </row>
    <row r="21" spans="1:12" x14ac:dyDescent="0.2">
      <c r="A21" s="39">
        <f t="shared" si="1"/>
        <v>14</v>
      </c>
      <c r="B21" s="42" t="s">
        <v>173</v>
      </c>
      <c r="D21" s="41">
        <v>27317376</v>
      </c>
      <c r="E21" s="41">
        <v>0</v>
      </c>
      <c r="F21" s="41">
        <v>670008</v>
      </c>
      <c r="G21" s="41">
        <v>1626373</v>
      </c>
      <c r="H21" s="41">
        <v>0</v>
      </c>
      <c r="I21" s="41">
        <v>0</v>
      </c>
      <c r="J21" s="41">
        <f t="shared" si="0"/>
        <v>29613757</v>
      </c>
    </row>
    <row r="22" spans="1:12" x14ac:dyDescent="0.2">
      <c r="A22" s="39">
        <f t="shared" si="1"/>
        <v>15</v>
      </c>
      <c r="B22" s="42" t="s">
        <v>168</v>
      </c>
      <c r="C22" s="42"/>
      <c r="D22" s="41">
        <v>69972773</v>
      </c>
      <c r="E22" s="41">
        <f>K22-D22-G22</f>
        <v>8450741</v>
      </c>
      <c r="F22" s="41">
        <v>0</v>
      </c>
      <c r="G22" s="41">
        <v>5553234</v>
      </c>
      <c r="H22" s="41">
        <v>0</v>
      </c>
      <c r="I22" s="41">
        <v>0</v>
      </c>
      <c r="J22" s="41">
        <f t="shared" si="0"/>
        <v>83976748</v>
      </c>
      <c r="K22" s="148">
        <v>83976748</v>
      </c>
      <c r="L22" s="41">
        <f>D22+G22</f>
        <v>75526007</v>
      </c>
    </row>
    <row r="23" spans="1:12" x14ac:dyDescent="0.2">
      <c r="A23" s="39">
        <f t="shared" si="1"/>
        <v>16</v>
      </c>
      <c r="B23" s="39" t="s">
        <v>150</v>
      </c>
      <c r="D23" s="41">
        <v>806196329</v>
      </c>
      <c r="E23" s="41">
        <v>93117000</v>
      </c>
      <c r="F23" s="41">
        <v>46577747</v>
      </c>
      <c r="G23" s="41">
        <v>0</v>
      </c>
      <c r="H23" s="41">
        <v>0</v>
      </c>
      <c r="I23" s="41">
        <v>0</v>
      </c>
      <c r="J23" s="41">
        <f t="shared" si="0"/>
        <v>945891076</v>
      </c>
      <c r="K23" s="41"/>
    </row>
    <row r="24" spans="1:12" x14ac:dyDescent="0.2">
      <c r="B24" s="42" t="s">
        <v>172</v>
      </c>
      <c r="D24" s="41"/>
      <c r="E24" s="41"/>
      <c r="F24" s="41"/>
      <c r="G24" s="41"/>
      <c r="H24" s="41"/>
      <c r="I24" s="41"/>
      <c r="J24" s="41"/>
    </row>
    <row r="25" spans="1:12" x14ac:dyDescent="0.2">
      <c r="A25" s="39">
        <f>A23+1</f>
        <v>17</v>
      </c>
      <c r="B25" s="42"/>
      <c r="C25" s="42" t="s">
        <v>175</v>
      </c>
      <c r="D25" s="41">
        <v>825814</v>
      </c>
      <c r="E25" s="41">
        <v>0</v>
      </c>
      <c r="F25" s="41">
        <v>-2633806</v>
      </c>
      <c r="G25" s="41">
        <v>1221979</v>
      </c>
      <c r="H25" s="41">
        <v>302004</v>
      </c>
      <c r="I25" s="41">
        <v>0</v>
      </c>
      <c r="J25" s="41">
        <f>SUM(D25:I25)</f>
        <v>-284009</v>
      </c>
    </row>
    <row r="26" spans="1:12" x14ac:dyDescent="0.2">
      <c r="A26" s="39">
        <f>A25+1</f>
        <v>18</v>
      </c>
      <c r="B26" s="42"/>
      <c r="C26" s="42" t="s">
        <v>182</v>
      </c>
      <c r="D26" s="41">
        <v>2398783</v>
      </c>
      <c r="E26" s="41">
        <v>0</v>
      </c>
      <c r="F26" s="41">
        <v>0</v>
      </c>
      <c r="G26" s="41">
        <v>-2398684</v>
      </c>
      <c r="H26" s="41">
        <v>0</v>
      </c>
      <c r="I26" s="41">
        <v>0</v>
      </c>
      <c r="J26" s="41">
        <f>SUM(D26:I26)</f>
        <v>99</v>
      </c>
    </row>
    <row r="27" spans="1:12" x14ac:dyDescent="0.2">
      <c r="A27" s="39">
        <f>A26+1</f>
        <v>19</v>
      </c>
      <c r="B27" s="42"/>
      <c r="C27" s="42" t="s">
        <v>201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f>SUM(D27:I27)</f>
        <v>0</v>
      </c>
    </row>
    <row r="28" spans="1:12" x14ac:dyDescent="0.2">
      <c r="A28" s="39">
        <f>A27+1</f>
        <v>20</v>
      </c>
      <c r="B28" s="42"/>
      <c r="C28" s="42" t="s">
        <v>183</v>
      </c>
      <c r="D28" s="41">
        <v>640874</v>
      </c>
      <c r="E28" s="41">
        <v>0</v>
      </c>
      <c r="F28" s="41">
        <v>0</v>
      </c>
      <c r="G28" s="41">
        <v>-589662</v>
      </c>
      <c r="H28" s="41">
        <v>0</v>
      </c>
      <c r="I28" s="41">
        <v>0</v>
      </c>
      <c r="J28" s="41">
        <f>SUM(D28:I28)</f>
        <v>51212</v>
      </c>
    </row>
    <row r="29" spans="1:12" x14ac:dyDescent="0.2">
      <c r="A29" s="39">
        <f>A28+1</f>
        <v>21</v>
      </c>
      <c r="B29" s="42"/>
      <c r="C29" s="42" t="s">
        <v>251</v>
      </c>
      <c r="D29" s="41">
        <v>-195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f>SUM(D29:I29)</f>
        <v>-195</v>
      </c>
    </row>
    <row r="30" spans="1:12" x14ac:dyDescent="0.2">
      <c r="D30" s="41"/>
      <c r="E30" s="41"/>
      <c r="F30" s="41"/>
      <c r="G30" s="41"/>
      <c r="H30" s="41"/>
      <c r="I30" s="41"/>
      <c r="J30" s="41"/>
    </row>
    <row r="31" spans="1:12" ht="12" customHeight="1" x14ac:dyDescent="0.2">
      <c r="A31" s="39">
        <f>A29+1</f>
        <v>22</v>
      </c>
      <c r="B31" s="42" t="s">
        <v>158</v>
      </c>
      <c r="D31" s="41">
        <f t="shared" ref="D31:J31" si="2">SUM(D8:D29)</f>
        <v>6291245906</v>
      </c>
      <c r="E31" s="41">
        <f t="shared" si="2"/>
        <v>100867741</v>
      </c>
      <c r="F31" s="41">
        <f t="shared" si="2"/>
        <v>225038649</v>
      </c>
      <c r="G31" s="41">
        <f t="shared" si="2"/>
        <v>319906024</v>
      </c>
      <c r="H31" s="41">
        <f>SUM(H8:H29)</f>
        <v>69323142</v>
      </c>
      <c r="I31" s="41">
        <f t="shared" si="2"/>
        <v>5618167</v>
      </c>
      <c r="J31" s="41">
        <f t="shared" si="2"/>
        <v>7011999629</v>
      </c>
      <c r="K31" s="43"/>
    </row>
    <row r="32" spans="1:12" x14ac:dyDescent="0.2">
      <c r="C32" s="42"/>
      <c r="D32" s="41"/>
      <c r="E32" s="41"/>
      <c r="F32" s="41"/>
      <c r="G32" s="41"/>
      <c r="H32" s="41"/>
      <c r="I32" s="41"/>
      <c r="J32" s="41"/>
      <c r="K32" s="43"/>
    </row>
    <row r="33" spans="1:12" x14ac:dyDescent="0.2">
      <c r="B33" s="42" t="s">
        <v>156</v>
      </c>
      <c r="C33" s="42"/>
      <c r="D33" s="41"/>
      <c r="E33" s="41"/>
      <c r="F33" s="41"/>
      <c r="G33" s="41"/>
      <c r="H33" s="41"/>
      <c r="I33" s="41"/>
      <c r="J33" s="41"/>
    </row>
    <row r="34" spans="1:12" x14ac:dyDescent="0.2">
      <c r="A34" s="39">
        <f>A31+1</f>
        <v>23</v>
      </c>
      <c r="B34" s="39" t="s">
        <v>153</v>
      </c>
      <c r="D34" s="41">
        <v>113018183</v>
      </c>
      <c r="E34" s="41">
        <v>0</v>
      </c>
      <c r="F34" s="41">
        <v>385911</v>
      </c>
      <c r="G34" s="41">
        <v>0</v>
      </c>
      <c r="H34" s="41">
        <v>0</v>
      </c>
      <c r="I34" s="41">
        <v>0</v>
      </c>
      <c r="J34" s="41">
        <f>SUM(D34:I34)</f>
        <v>113404094</v>
      </c>
      <c r="L34" s="40">
        <f>ROUND((D34+F34)/1000,1)</f>
        <v>113404.1</v>
      </c>
    </row>
    <row r="35" spans="1:12" x14ac:dyDescent="0.2">
      <c r="A35" s="39">
        <f>A34+1</f>
        <v>24</v>
      </c>
      <c r="B35" s="39" t="s">
        <v>152</v>
      </c>
      <c r="D35" s="41">
        <v>74612272</v>
      </c>
      <c r="E35" s="41">
        <v>0</v>
      </c>
      <c r="F35" s="41">
        <v>-565231</v>
      </c>
      <c r="G35" s="41">
        <v>0</v>
      </c>
      <c r="H35" s="41">
        <v>0</v>
      </c>
      <c r="I35" s="41">
        <v>0</v>
      </c>
      <c r="J35" s="41">
        <f>SUM(D35:I35)</f>
        <v>74047041</v>
      </c>
      <c r="K35" s="41"/>
      <c r="L35" s="40">
        <f>ROUND((D35+F35)/1000,1)</f>
        <v>74047</v>
      </c>
    </row>
    <row r="36" spans="1:12" x14ac:dyDescent="0.2">
      <c r="A36" s="39">
        <f>A35+1</f>
        <v>25</v>
      </c>
      <c r="B36" s="42" t="s">
        <v>174</v>
      </c>
      <c r="D36" s="41">
        <v>23884060</v>
      </c>
      <c r="E36" s="41">
        <v>0</v>
      </c>
      <c r="F36" s="41">
        <v>-160952</v>
      </c>
      <c r="G36" s="41">
        <v>0</v>
      </c>
      <c r="H36" s="41">
        <v>0</v>
      </c>
      <c r="I36" s="41">
        <v>0</v>
      </c>
      <c r="J36" s="41">
        <f>SUM(D36:I36)</f>
        <v>23723108</v>
      </c>
      <c r="L36" s="40">
        <f>ROUND((D36+F36)/1000,1)</f>
        <v>23723.1</v>
      </c>
    </row>
    <row r="37" spans="1:12" x14ac:dyDescent="0.2">
      <c r="A37" s="39">
        <f>A36+1</f>
        <v>26</v>
      </c>
      <c r="B37" s="42" t="s">
        <v>168</v>
      </c>
      <c r="C37" s="42"/>
      <c r="D37" s="41">
        <v>20434556</v>
      </c>
      <c r="E37" s="41">
        <f>K37-D37</f>
        <v>1836111</v>
      </c>
      <c r="F37" s="41">
        <v>0</v>
      </c>
      <c r="G37" s="41">
        <v>0</v>
      </c>
      <c r="H37" s="41">
        <v>0</v>
      </c>
      <c r="I37" s="41">
        <v>0</v>
      </c>
      <c r="J37" s="41">
        <f>SUM(D37:I37)</f>
        <v>22270667</v>
      </c>
      <c r="K37" s="148">
        <v>22270667</v>
      </c>
      <c r="L37" s="40">
        <f>ROUND((D37+F37)/1000,1)</f>
        <v>20434.599999999999</v>
      </c>
    </row>
    <row r="38" spans="1:12" x14ac:dyDescent="0.2">
      <c r="A38" s="39">
        <f>A37+1</f>
        <v>27</v>
      </c>
      <c r="B38" s="39" t="s">
        <v>154</v>
      </c>
      <c r="D38" s="41">
        <v>729401399</v>
      </c>
      <c r="E38" s="41">
        <v>90231000</v>
      </c>
      <c r="F38" s="41">
        <v>27797333</v>
      </c>
      <c r="G38" s="41">
        <v>0</v>
      </c>
      <c r="H38" s="41">
        <v>0</v>
      </c>
      <c r="I38" s="41">
        <v>0</v>
      </c>
      <c r="J38" s="41">
        <f>SUM(D38:I38)</f>
        <v>847429732</v>
      </c>
      <c r="K38" s="41"/>
      <c r="L38" s="40">
        <f>ROUND((D38+E38+F38)/1000,1)</f>
        <v>847429.7</v>
      </c>
    </row>
    <row r="39" spans="1:12" x14ac:dyDescent="0.2">
      <c r="D39" s="41"/>
      <c r="E39" s="41"/>
      <c r="F39" s="41"/>
      <c r="G39" s="41"/>
      <c r="H39" s="41"/>
      <c r="I39" s="41"/>
      <c r="J39" s="41"/>
    </row>
    <row r="40" spans="1:12" x14ac:dyDescent="0.2">
      <c r="A40" s="39">
        <f>A38+1</f>
        <v>28</v>
      </c>
      <c r="B40" s="42" t="s">
        <v>159</v>
      </c>
      <c r="C40" s="42"/>
      <c r="D40" s="41">
        <f t="shared" ref="D40:J40" si="3">SUM(D34:D38)</f>
        <v>961350470</v>
      </c>
      <c r="E40" s="41">
        <f t="shared" si="3"/>
        <v>92067111</v>
      </c>
      <c r="F40" s="41">
        <f t="shared" si="3"/>
        <v>27457061</v>
      </c>
      <c r="G40" s="41">
        <f t="shared" si="3"/>
        <v>0</v>
      </c>
      <c r="H40" s="41">
        <f>SUM(H34:H38)</f>
        <v>0</v>
      </c>
      <c r="I40" s="41">
        <f t="shared" si="3"/>
        <v>0</v>
      </c>
      <c r="J40" s="41">
        <f t="shared" si="3"/>
        <v>1080874642</v>
      </c>
      <c r="K40" s="43"/>
    </row>
    <row r="41" spans="1:12" x14ac:dyDescent="0.2">
      <c r="B41" s="42"/>
      <c r="C41" s="42"/>
      <c r="D41" s="41"/>
      <c r="E41" s="41"/>
      <c r="F41" s="41"/>
      <c r="G41" s="41"/>
      <c r="H41" s="41"/>
      <c r="I41" s="41"/>
      <c r="J41" s="41"/>
    </row>
    <row r="42" spans="1:12" x14ac:dyDescent="0.2">
      <c r="B42" s="42" t="s">
        <v>157</v>
      </c>
      <c r="C42" s="42"/>
      <c r="D42" s="41"/>
      <c r="E42" s="41"/>
      <c r="F42" s="41"/>
      <c r="G42" s="41"/>
      <c r="H42" s="41"/>
      <c r="I42" s="41"/>
      <c r="J42" s="41"/>
    </row>
    <row r="43" spans="1:12" x14ac:dyDescent="0.2">
      <c r="A43" s="39">
        <f>A40+1</f>
        <v>29</v>
      </c>
      <c r="B43" s="39" t="s">
        <v>141</v>
      </c>
      <c r="D43" s="41">
        <f t="shared" ref="D43:I45" si="4">D8</f>
        <v>4561698698</v>
      </c>
      <c r="E43" s="41">
        <f t="shared" si="4"/>
        <v>0</v>
      </c>
      <c r="F43" s="41">
        <f t="shared" si="4"/>
        <v>111883821</v>
      </c>
      <c r="G43" s="41">
        <f t="shared" si="4"/>
        <v>238349827</v>
      </c>
      <c r="H43" s="41">
        <f>H8</f>
        <v>55266798</v>
      </c>
      <c r="I43" s="41">
        <f t="shared" si="4"/>
        <v>0</v>
      </c>
      <c r="J43" s="41">
        <f>SUM(D43:I43)</f>
        <v>4967199144</v>
      </c>
    </row>
    <row r="44" spans="1:12" x14ac:dyDescent="0.2">
      <c r="A44" s="39">
        <f>A43+1</f>
        <v>30</v>
      </c>
      <c r="B44" s="42" t="s">
        <v>167</v>
      </c>
      <c r="C44" s="42"/>
      <c r="D44" s="41">
        <f t="shared" si="4"/>
        <v>10683130</v>
      </c>
      <c r="E44" s="41">
        <f t="shared" si="4"/>
        <v>0</v>
      </c>
      <c r="F44" s="41">
        <f t="shared" si="4"/>
        <v>262023</v>
      </c>
      <c r="G44" s="41">
        <f t="shared" si="4"/>
        <v>558197</v>
      </c>
      <c r="H44" s="41">
        <f>H9</f>
        <v>129430</v>
      </c>
      <c r="I44" s="41">
        <f t="shared" si="4"/>
        <v>0</v>
      </c>
      <c r="J44" s="41">
        <f>SUM(D44:I44)</f>
        <v>11632780</v>
      </c>
    </row>
    <row r="45" spans="1:12" x14ac:dyDescent="0.2">
      <c r="A45" s="39">
        <f>A44+1</f>
        <v>31</v>
      </c>
      <c r="B45" s="39" t="s">
        <v>142</v>
      </c>
      <c r="D45" s="41">
        <f t="shared" si="4"/>
        <v>49749047</v>
      </c>
      <c r="E45" s="41">
        <f t="shared" si="4"/>
        <v>0</v>
      </c>
      <c r="F45" s="41">
        <f t="shared" si="4"/>
        <v>27652516</v>
      </c>
      <c r="G45" s="41">
        <f t="shared" si="4"/>
        <v>1714654</v>
      </c>
      <c r="H45" s="41">
        <f>H10</f>
        <v>1325088</v>
      </c>
      <c r="I45" s="41">
        <f t="shared" si="4"/>
        <v>0</v>
      </c>
      <c r="J45" s="41">
        <f>SUM(D45:I45)</f>
        <v>80441305</v>
      </c>
    </row>
    <row r="46" spans="1:12" x14ac:dyDescent="0.2">
      <c r="B46" s="42" t="s">
        <v>171</v>
      </c>
      <c r="D46" s="41"/>
      <c r="E46" s="41"/>
      <c r="F46" s="41"/>
      <c r="G46" s="41"/>
      <c r="H46" s="41"/>
      <c r="I46" s="41"/>
      <c r="J46" s="41"/>
    </row>
    <row r="47" spans="1:12" x14ac:dyDescent="0.2">
      <c r="A47" s="39">
        <f>A45+1</f>
        <v>32</v>
      </c>
      <c r="C47" s="39" t="s">
        <v>143</v>
      </c>
      <c r="D47" s="41">
        <f t="shared" ref="D47:I53" si="5">D12</f>
        <v>374577448</v>
      </c>
      <c r="E47" s="41">
        <f t="shared" si="5"/>
        <v>0</v>
      </c>
      <c r="F47" s="41">
        <f t="shared" si="5"/>
        <v>35260634</v>
      </c>
      <c r="G47" s="41">
        <f t="shared" si="5"/>
        <v>50948786</v>
      </c>
      <c r="H47" s="41">
        <f t="shared" si="5"/>
        <v>7215997</v>
      </c>
      <c r="I47" s="41">
        <f t="shared" si="5"/>
        <v>5618167</v>
      </c>
      <c r="J47" s="41">
        <f t="shared" ref="J47:J59" si="6">SUM(D47:I47)</f>
        <v>473621032</v>
      </c>
    </row>
    <row r="48" spans="1:12" x14ac:dyDescent="0.2">
      <c r="A48" s="39">
        <f t="shared" ref="A48:A59" si="7">A47+1</f>
        <v>33</v>
      </c>
      <c r="C48" s="39" t="s">
        <v>144</v>
      </c>
      <c r="D48" s="41">
        <f t="shared" si="5"/>
        <v>27409200</v>
      </c>
      <c r="E48" s="41">
        <f t="shared" si="5"/>
        <v>0</v>
      </c>
      <c r="F48" s="41">
        <f t="shared" si="5"/>
        <v>-1025747</v>
      </c>
      <c r="G48" s="41">
        <f t="shared" si="5"/>
        <v>4799900</v>
      </c>
      <c r="H48" s="41">
        <f t="shared" si="5"/>
        <v>995997</v>
      </c>
      <c r="I48" s="41">
        <f t="shared" si="5"/>
        <v>0</v>
      </c>
      <c r="J48" s="41">
        <f t="shared" si="6"/>
        <v>32179350</v>
      </c>
    </row>
    <row r="49" spans="1:10" x14ac:dyDescent="0.2">
      <c r="A49" s="39">
        <f t="shared" si="7"/>
        <v>34</v>
      </c>
      <c r="B49" s="42"/>
      <c r="C49" s="42" t="s">
        <v>170</v>
      </c>
      <c r="D49" s="41">
        <f t="shared" si="5"/>
        <v>6979268</v>
      </c>
      <c r="E49" s="41">
        <f t="shared" si="5"/>
        <v>0</v>
      </c>
      <c r="F49" s="41">
        <f t="shared" si="5"/>
        <v>-261188</v>
      </c>
      <c r="G49" s="41">
        <f t="shared" si="5"/>
        <v>1607739</v>
      </c>
      <c r="H49" s="41">
        <f t="shared" si="5"/>
        <v>253613</v>
      </c>
      <c r="I49" s="41">
        <f t="shared" si="5"/>
        <v>0</v>
      </c>
      <c r="J49" s="41">
        <f t="shared" si="6"/>
        <v>8579432</v>
      </c>
    </row>
    <row r="50" spans="1:10" x14ac:dyDescent="0.2">
      <c r="A50" s="39">
        <f t="shared" si="7"/>
        <v>35</v>
      </c>
      <c r="B50" s="39" t="s">
        <v>145</v>
      </c>
      <c r="D50" s="41">
        <f t="shared" si="5"/>
        <v>23147189</v>
      </c>
      <c r="E50" s="41">
        <f t="shared" si="5"/>
        <v>0</v>
      </c>
      <c r="F50" s="41">
        <f t="shared" si="5"/>
        <v>0</v>
      </c>
      <c r="G50" s="41">
        <f t="shared" si="5"/>
        <v>1209447</v>
      </c>
      <c r="H50" s="41">
        <f t="shared" si="5"/>
        <v>280437</v>
      </c>
      <c r="I50" s="41">
        <f t="shared" si="5"/>
        <v>0</v>
      </c>
      <c r="J50" s="41">
        <f t="shared" si="6"/>
        <v>24637073</v>
      </c>
    </row>
    <row r="51" spans="1:10" x14ac:dyDescent="0.2">
      <c r="A51" s="39">
        <f t="shared" si="7"/>
        <v>36</v>
      </c>
      <c r="B51" s="39" t="s">
        <v>146</v>
      </c>
      <c r="D51" s="41">
        <f t="shared" si="5"/>
        <v>58410388</v>
      </c>
      <c r="E51" s="41">
        <f t="shared" si="5"/>
        <v>0</v>
      </c>
      <c r="F51" s="41">
        <f t="shared" si="5"/>
        <v>0</v>
      </c>
      <c r="G51" s="41">
        <f t="shared" si="5"/>
        <v>1131892</v>
      </c>
      <c r="H51" s="41">
        <f t="shared" si="5"/>
        <v>267599</v>
      </c>
      <c r="I51" s="41">
        <f t="shared" si="5"/>
        <v>0</v>
      </c>
      <c r="J51" s="41">
        <f t="shared" si="6"/>
        <v>59809879</v>
      </c>
    </row>
    <row r="52" spans="1:10" x14ac:dyDescent="0.2">
      <c r="A52" s="39">
        <f t="shared" si="7"/>
        <v>37</v>
      </c>
      <c r="B52" s="39" t="s">
        <v>148</v>
      </c>
      <c r="D52" s="41">
        <f t="shared" si="5"/>
        <v>118240</v>
      </c>
      <c r="E52" s="41">
        <f t="shared" si="5"/>
        <v>0</v>
      </c>
      <c r="F52" s="41">
        <f t="shared" si="5"/>
        <v>2900</v>
      </c>
      <c r="G52" s="41">
        <f t="shared" si="5"/>
        <v>6180</v>
      </c>
      <c r="H52" s="41">
        <f t="shared" si="5"/>
        <v>1433</v>
      </c>
      <c r="I52" s="41">
        <f t="shared" si="5"/>
        <v>0</v>
      </c>
      <c r="J52" s="41">
        <f t="shared" si="6"/>
        <v>128753</v>
      </c>
    </row>
    <row r="53" spans="1:10" x14ac:dyDescent="0.2">
      <c r="A53" s="39">
        <f t="shared" si="7"/>
        <v>38</v>
      </c>
      <c r="B53" s="39" t="s">
        <v>244</v>
      </c>
      <c r="D53" s="41">
        <f t="shared" si="5"/>
        <v>0</v>
      </c>
      <c r="E53" s="41">
        <f t="shared" si="5"/>
        <v>-700000</v>
      </c>
      <c r="F53" s="41">
        <f t="shared" si="5"/>
        <v>0</v>
      </c>
      <c r="G53" s="41">
        <f t="shared" si="5"/>
        <v>0</v>
      </c>
      <c r="H53" s="41">
        <f t="shared" si="5"/>
        <v>0</v>
      </c>
      <c r="I53" s="41">
        <f t="shared" si="5"/>
        <v>0</v>
      </c>
      <c r="J53" s="41">
        <f t="shared" si="6"/>
        <v>-700000</v>
      </c>
    </row>
    <row r="54" spans="1:10" x14ac:dyDescent="0.2">
      <c r="A54" s="39">
        <f t="shared" si="7"/>
        <v>39</v>
      </c>
      <c r="B54" s="39" t="s">
        <v>147</v>
      </c>
      <c r="D54" s="41">
        <f t="shared" ref="D54:I57" si="8">D19-D34</f>
        <v>69630827</v>
      </c>
      <c r="E54" s="41">
        <f t="shared" si="8"/>
        <v>0</v>
      </c>
      <c r="F54" s="41">
        <f t="shared" si="8"/>
        <v>4093883</v>
      </c>
      <c r="G54" s="41">
        <f t="shared" si="8"/>
        <v>9543451</v>
      </c>
      <c r="H54" s="41">
        <f>H19-H34</f>
        <v>2212866</v>
      </c>
      <c r="I54" s="41">
        <f t="shared" si="8"/>
        <v>0</v>
      </c>
      <c r="J54" s="41">
        <f t="shared" si="6"/>
        <v>85481027</v>
      </c>
    </row>
    <row r="55" spans="1:10" x14ac:dyDescent="0.2">
      <c r="A55" s="39">
        <f t="shared" si="7"/>
        <v>40</v>
      </c>
      <c r="B55" s="39" t="s">
        <v>149</v>
      </c>
      <c r="D55" s="41">
        <f t="shared" si="8"/>
        <v>13860262</v>
      </c>
      <c r="E55" s="41">
        <f t="shared" si="8"/>
        <v>0</v>
      </c>
      <c r="F55" s="41">
        <f t="shared" si="8"/>
        <v>2735178</v>
      </c>
      <c r="G55" s="41">
        <f t="shared" si="8"/>
        <v>4622711</v>
      </c>
      <c r="H55" s="41">
        <f>H20-H35</f>
        <v>1071880</v>
      </c>
      <c r="I55" s="41">
        <f t="shared" si="8"/>
        <v>0</v>
      </c>
      <c r="J55" s="41">
        <f t="shared" si="6"/>
        <v>22290031</v>
      </c>
    </row>
    <row r="56" spans="1:10" x14ac:dyDescent="0.2">
      <c r="A56" s="39">
        <f t="shared" si="7"/>
        <v>41</v>
      </c>
      <c r="B56" s="42" t="s">
        <v>173</v>
      </c>
      <c r="D56" s="41">
        <f t="shared" si="8"/>
        <v>3433316</v>
      </c>
      <c r="E56" s="41">
        <f t="shared" si="8"/>
        <v>0</v>
      </c>
      <c r="F56" s="41">
        <f t="shared" si="8"/>
        <v>830960</v>
      </c>
      <c r="G56" s="41">
        <f t="shared" si="8"/>
        <v>1626373</v>
      </c>
      <c r="H56" s="41">
        <f>H21-H36</f>
        <v>0</v>
      </c>
      <c r="I56" s="41">
        <f t="shared" si="8"/>
        <v>0</v>
      </c>
      <c r="J56" s="41">
        <f t="shared" si="6"/>
        <v>5890649</v>
      </c>
    </row>
    <row r="57" spans="1:10" x14ac:dyDescent="0.2">
      <c r="A57" s="39">
        <f t="shared" si="7"/>
        <v>42</v>
      </c>
      <c r="B57" s="42" t="s">
        <v>168</v>
      </c>
      <c r="C57" s="42"/>
      <c r="D57" s="41">
        <f t="shared" si="8"/>
        <v>49538217</v>
      </c>
      <c r="E57" s="41">
        <f t="shared" si="8"/>
        <v>6614630</v>
      </c>
      <c r="F57" s="41">
        <f t="shared" si="8"/>
        <v>0</v>
      </c>
      <c r="G57" s="41">
        <f t="shared" si="8"/>
        <v>5553234</v>
      </c>
      <c r="H57" s="41">
        <f>H22-H37</f>
        <v>0</v>
      </c>
      <c r="I57" s="41">
        <f t="shared" si="8"/>
        <v>0</v>
      </c>
      <c r="J57" s="41">
        <f t="shared" si="6"/>
        <v>61706081</v>
      </c>
    </row>
    <row r="58" spans="1:10" x14ac:dyDescent="0.2">
      <c r="A58" s="39">
        <f t="shared" si="7"/>
        <v>43</v>
      </c>
      <c r="B58" s="42" t="s">
        <v>163</v>
      </c>
      <c r="C58" s="42"/>
      <c r="D58" s="41">
        <f t="shared" ref="D58:I58" si="9">D23-D38-D59</f>
        <v>68272289</v>
      </c>
      <c r="E58" s="41">
        <f t="shared" si="9"/>
        <v>2886000</v>
      </c>
      <c r="F58" s="41">
        <f t="shared" si="9"/>
        <v>18780414</v>
      </c>
      <c r="G58" s="41">
        <f t="shared" si="9"/>
        <v>0</v>
      </c>
      <c r="H58" s="41">
        <f t="shared" si="9"/>
        <v>0</v>
      </c>
      <c r="I58" s="41">
        <f t="shared" si="9"/>
        <v>0</v>
      </c>
      <c r="J58" s="41">
        <f t="shared" si="6"/>
        <v>89938703</v>
      </c>
    </row>
    <row r="59" spans="1:10" x14ac:dyDescent="0.2">
      <c r="A59" s="39">
        <f t="shared" si="7"/>
        <v>44</v>
      </c>
      <c r="B59" s="39" t="s">
        <v>151</v>
      </c>
      <c r="D59" s="41">
        <v>8522641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f t="shared" si="6"/>
        <v>8522641</v>
      </c>
    </row>
    <row r="60" spans="1:10" x14ac:dyDescent="0.2">
      <c r="B60" s="42" t="s">
        <v>172</v>
      </c>
      <c r="D60" s="41"/>
      <c r="E60" s="41"/>
      <c r="F60" s="41"/>
      <c r="G60" s="41"/>
      <c r="H60" s="41"/>
      <c r="I60" s="41"/>
      <c r="J60" s="41"/>
    </row>
    <row r="61" spans="1:10" x14ac:dyDescent="0.2">
      <c r="A61" s="39">
        <f>A59+1</f>
        <v>45</v>
      </c>
      <c r="B61" s="42"/>
      <c r="C61" s="42" t="s">
        <v>175</v>
      </c>
      <c r="D61" s="41">
        <f t="shared" ref="D61:I65" si="10">D25</f>
        <v>825814</v>
      </c>
      <c r="E61" s="41">
        <f t="shared" si="10"/>
        <v>0</v>
      </c>
      <c r="F61" s="41">
        <f t="shared" si="10"/>
        <v>-2633806</v>
      </c>
      <c r="G61" s="41">
        <f t="shared" si="10"/>
        <v>1221979</v>
      </c>
      <c r="H61" s="41">
        <f>H25</f>
        <v>302004</v>
      </c>
      <c r="I61" s="41">
        <f t="shared" si="10"/>
        <v>0</v>
      </c>
      <c r="J61" s="41">
        <f>SUM(D61:I61)</f>
        <v>-284009</v>
      </c>
    </row>
    <row r="62" spans="1:10" x14ac:dyDescent="0.2">
      <c r="A62" s="39">
        <f>A61+1</f>
        <v>46</v>
      </c>
      <c r="B62" s="42"/>
      <c r="C62" s="42" t="s">
        <v>182</v>
      </c>
      <c r="D62" s="41">
        <f t="shared" si="10"/>
        <v>2398783</v>
      </c>
      <c r="E62" s="41">
        <f t="shared" si="10"/>
        <v>0</v>
      </c>
      <c r="F62" s="41">
        <f t="shared" si="10"/>
        <v>0</v>
      </c>
      <c r="G62" s="41">
        <f t="shared" si="10"/>
        <v>-2398684</v>
      </c>
      <c r="H62" s="41">
        <f>H26</f>
        <v>0</v>
      </c>
      <c r="I62" s="41">
        <f t="shared" si="10"/>
        <v>0</v>
      </c>
      <c r="J62" s="41">
        <f>SUM(D62:I62)</f>
        <v>99</v>
      </c>
    </row>
    <row r="63" spans="1:10" x14ac:dyDescent="0.2">
      <c r="A63" s="39">
        <f>A62+1</f>
        <v>47</v>
      </c>
      <c r="B63" s="42"/>
      <c r="C63" s="42" t="s">
        <v>201</v>
      </c>
      <c r="D63" s="41">
        <f t="shared" si="10"/>
        <v>0</v>
      </c>
      <c r="E63" s="41">
        <f t="shared" si="10"/>
        <v>0</v>
      </c>
      <c r="F63" s="41">
        <f t="shared" si="10"/>
        <v>0</v>
      </c>
      <c r="G63" s="41">
        <f t="shared" si="10"/>
        <v>0</v>
      </c>
      <c r="H63" s="41">
        <f>H27</f>
        <v>0</v>
      </c>
      <c r="I63" s="41">
        <f t="shared" si="10"/>
        <v>0</v>
      </c>
      <c r="J63" s="41">
        <f>SUM(D63:I63)</f>
        <v>0</v>
      </c>
    </row>
    <row r="64" spans="1:10" x14ac:dyDescent="0.2">
      <c r="A64" s="39">
        <f>A63+1</f>
        <v>48</v>
      </c>
      <c r="B64" s="42"/>
      <c r="C64" s="42" t="s">
        <v>183</v>
      </c>
      <c r="D64" s="41">
        <f t="shared" si="10"/>
        <v>640874</v>
      </c>
      <c r="E64" s="41">
        <f t="shared" si="10"/>
        <v>0</v>
      </c>
      <c r="F64" s="41">
        <f t="shared" si="10"/>
        <v>0</v>
      </c>
      <c r="G64" s="41">
        <f t="shared" si="10"/>
        <v>-589662</v>
      </c>
      <c r="H64" s="41">
        <f>H28</f>
        <v>0</v>
      </c>
      <c r="I64" s="41">
        <f t="shared" si="10"/>
        <v>0</v>
      </c>
      <c r="J64" s="41">
        <f>SUM(D64:I64)</f>
        <v>51212</v>
      </c>
    </row>
    <row r="65" spans="1:11" x14ac:dyDescent="0.2">
      <c r="A65" s="39">
        <f>A64+1</f>
        <v>49</v>
      </c>
      <c r="B65" s="42"/>
      <c r="C65" s="42" t="s">
        <v>251</v>
      </c>
      <c r="D65" s="41">
        <f t="shared" si="10"/>
        <v>-195</v>
      </c>
      <c r="E65" s="41">
        <f t="shared" si="10"/>
        <v>0</v>
      </c>
      <c r="F65" s="41">
        <f t="shared" si="10"/>
        <v>0</v>
      </c>
      <c r="G65" s="41">
        <f t="shared" si="10"/>
        <v>0</v>
      </c>
      <c r="H65" s="41">
        <f>H29</f>
        <v>0</v>
      </c>
      <c r="I65" s="41">
        <f t="shared" si="10"/>
        <v>0</v>
      </c>
      <c r="J65" s="41">
        <f>SUM(D65:I65)</f>
        <v>-195</v>
      </c>
    </row>
    <row r="66" spans="1:11" x14ac:dyDescent="0.2">
      <c r="D66" s="41"/>
      <c r="E66" s="41"/>
      <c r="F66" s="41"/>
      <c r="G66" s="41"/>
      <c r="H66" s="41"/>
      <c r="I66" s="41"/>
      <c r="J66" s="41"/>
    </row>
    <row r="67" spans="1:11" x14ac:dyDescent="0.2">
      <c r="A67" s="39">
        <f>A65+1</f>
        <v>50</v>
      </c>
      <c r="B67" s="42" t="s">
        <v>184</v>
      </c>
      <c r="C67" s="42"/>
      <c r="D67" s="41">
        <f t="shared" ref="D67:J67" si="11">SUM(D43:D65)</f>
        <v>5329895436</v>
      </c>
      <c r="E67" s="41">
        <f t="shared" si="11"/>
        <v>8800630</v>
      </c>
      <c r="F67" s="41">
        <f t="shared" si="11"/>
        <v>197581588</v>
      </c>
      <c r="G67" s="41">
        <f t="shared" si="11"/>
        <v>319906024</v>
      </c>
      <c r="H67" s="41">
        <f>SUM(H43:H65)</f>
        <v>69323142</v>
      </c>
      <c r="I67" s="41">
        <f t="shared" si="11"/>
        <v>5618167</v>
      </c>
      <c r="J67" s="41">
        <f t="shared" si="11"/>
        <v>5931124987</v>
      </c>
      <c r="K67" s="43">
        <v>5931124986.97122</v>
      </c>
    </row>
    <row r="68" spans="1:11" x14ac:dyDescent="0.2">
      <c r="A68" s="39">
        <f>A67+1</f>
        <v>51</v>
      </c>
      <c r="B68" s="173" t="s">
        <v>397</v>
      </c>
      <c r="C68" s="42"/>
      <c r="D68" s="41">
        <f t="shared" ref="D68:J68" si="12">D67</f>
        <v>5329895436</v>
      </c>
      <c r="E68" s="41">
        <f t="shared" si="12"/>
        <v>8800630</v>
      </c>
      <c r="F68" s="41">
        <f t="shared" si="12"/>
        <v>197581588</v>
      </c>
      <c r="G68" s="41">
        <f t="shared" si="12"/>
        <v>319906024</v>
      </c>
      <c r="H68" s="41">
        <f t="shared" si="12"/>
        <v>69323142</v>
      </c>
      <c r="I68" s="41">
        <f t="shared" si="12"/>
        <v>5618167</v>
      </c>
      <c r="J68" s="41">
        <f t="shared" si="12"/>
        <v>5931124987</v>
      </c>
      <c r="K68" s="43">
        <f>K67-J67</f>
        <v>-2.8779983520507813E-2</v>
      </c>
    </row>
    <row r="69" spans="1:11" x14ac:dyDescent="0.2">
      <c r="A69" s="39">
        <f>A68+1</f>
        <v>52</v>
      </c>
      <c r="B69" s="42" t="s">
        <v>303</v>
      </c>
      <c r="C69" s="42"/>
      <c r="D69" s="127" t="s">
        <v>302</v>
      </c>
      <c r="E69" s="127" t="s">
        <v>302</v>
      </c>
      <c r="F69" s="127" t="s">
        <v>302</v>
      </c>
      <c r="G69" s="127" t="s">
        <v>302</v>
      </c>
      <c r="H69" s="127" t="s">
        <v>302</v>
      </c>
      <c r="I69" s="127" t="s">
        <v>302</v>
      </c>
      <c r="J69" s="127" t="s">
        <v>302</v>
      </c>
    </row>
    <row r="70" spans="1:11" x14ac:dyDescent="0.2">
      <c r="B70" s="42"/>
      <c r="C70" s="42"/>
      <c r="D70" s="41"/>
      <c r="E70" s="41"/>
      <c r="F70" s="41"/>
      <c r="G70" s="41"/>
      <c r="H70" s="41"/>
      <c r="I70" s="41"/>
      <c r="J70" s="41"/>
    </row>
    <row r="71" spans="1:11" x14ac:dyDescent="0.2">
      <c r="A71" s="39">
        <f>A69+1</f>
        <v>53</v>
      </c>
      <c r="B71" s="42" t="s">
        <v>166</v>
      </c>
      <c r="C71" s="42"/>
      <c r="D71" s="41">
        <v>-29548624</v>
      </c>
      <c r="E71" s="41">
        <v>0</v>
      </c>
      <c r="F71" s="41">
        <v>0</v>
      </c>
      <c r="G71" s="41">
        <v>-1507130</v>
      </c>
      <c r="H71" s="41">
        <v>-349462</v>
      </c>
      <c r="I71" s="41">
        <v>0</v>
      </c>
      <c r="J71" s="41">
        <f>SUM(D71:I71)</f>
        <v>-31405216</v>
      </c>
      <c r="K71" s="43"/>
    </row>
    <row r="72" spans="1:11" x14ac:dyDescent="0.2">
      <c r="D72" s="40"/>
      <c r="E72" s="40"/>
      <c r="F72" s="40"/>
      <c r="G72" s="40"/>
      <c r="H72" s="40"/>
      <c r="I72" s="40"/>
      <c r="J72" s="40"/>
    </row>
    <row r="73" spans="1:11" x14ac:dyDescent="0.2">
      <c r="A73" s="190" t="s">
        <v>391</v>
      </c>
      <c r="B73" s="190"/>
      <c r="C73" s="191"/>
      <c r="D73" s="192" t="s">
        <v>176</v>
      </c>
      <c r="E73" s="192" t="s">
        <v>181</v>
      </c>
      <c r="F73" s="192" t="s">
        <v>177</v>
      </c>
      <c r="G73" s="192" t="s">
        <v>178</v>
      </c>
      <c r="H73" s="192" t="s">
        <v>179</v>
      </c>
      <c r="I73" s="192" t="s">
        <v>370</v>
      </c>
      <c r="J73" s="192" t="s">
        <v>180</v>
      </c>
    </row>
    <row r="75" spans="1:11" x14ac:dyDescent="0.2">
      <c r="A75" s="39">
        <v>1</v>
      </c>
      <c r="B75" s="39" t="s">
        <v>140</v>
      </c>
      <c r="D75" s="41">
        <f>'Pupil Data'!C208</f>
        <v>887121</v>
      </c>
      <c r="E75" s="41">
        <v>0</v>
      </c>
      <c r="F75" s="41">
        <f>'Pupil Data'!D208</f>
        <v>26038</v>
      </c>
      <c r="G75" s="41">
        <f>'Pupil Data'!E208</f>
        <v>45363</v>
      </c>
      <c r="H75" s="41">
        <f>'Pupil Data'!F208</f>
        <v>12673</v>
      </c>
      <c r="I75" s="41">
        <v>0</v>
      </c>
      <c r="J75" s="41">
        <f>SUM(D75:I75)</f>
        <v>971195</v>
      </c>
    </row>
    <row r="77" spans="1:11" x14ac:dyDescent="0.2">
      <c r="B77" s="42" t="s">
        <v>155</v>
      </c>
      <c r="D77" s="40"/>
      <c r="E77" s="40"/>
      <c r="F77" s="40"/>
      <c r="G77" s="40"/>
      <c r="H77" s="40"/>
      <c r="I77" s="40"/>
      <c r="J77" s="40"/>
    </row>
    <row r="78" spans="1:11" x14ac:dyDescent="0.2">
      <c r="A78" s="39">
        <f>A75+1</f>
        <v>2</v>
      </c>
      <c r="B78" s="39" t="s">
        <v>141</v>
      </c>
      <c r="D78" s="41">
        <v>4545607952</v>
      </c>
      <c r="E78" s="41">
        <v>0</v>
      </c>
      <c r="F78" s="41">
        <v>133419327</v>
      </c>
      <c r="G78" s="41">
        <v>232440522</v>
      </c>
      <c r="H78" s="41">
        <v>64933992</v>
      </c>
      <c r="I78" s="41">
        <v>0</v>
      </c>
      <c r="J78" s="41">
        <f>SUM(D78:I78)</f>
        <v>4976401793</v>
      </c>
    </row>
    <row r="79" spans="1:11" x14ac:dyDescent="0.2">
      <c r="A79" s="39">
        <f>A78+1</f>
        <v>3</v>
      </c>
      <c r="B79" s="42" t="s">
        <v>167</v>
      </c>
      <c r="C79" s="42"/>
      <c r="D79" s="41">
        <v>10645451</v>
      </c>
      <c r="E79" s="41">
        <v>0</v>
      </c>
      <c r="F79" s="41">
        <v>312457</v>
      </c>
      <c r="G79" s="41">
        <v>544360</v>
      </c>
      <c r="H79" s="41">
        <v>152070</v>
      </c>
      <c r="I79" s="41">
        <v>0</v>
      </c>
      <c r="J79" s="41">
        <f>SUM(D79:I79)</f>
        <v>11654338</v>
      </c>
    </row>
    <row r="80" spans="1:11" x14ac:dyDescent="0.2">
      <c r="A80" s="39">
        <f>A79+1</f>
        <v>4</v>
      </c>
      <c r="B80" s="39" t="s">
        <v>142</v>
      </c>
      <c r="D80" s="41">
        <v>47958844</v>
      </c>
      <c r="E80" s="41">
        <v>0</v>
      </c>
      <c r="F80" s="41">
        <v>29615993</v>
      </c>
      <c r="G80" s="41">
        <v>1417659</v>
      </c>
      <c r="H80" s="41">
        <v>1582330</v>
      </c>
      <c r="I80" s="41">
        <v>0</v>
      </c>
      <c r="J80" s="41">
        <f>SUM(D80:I80)</f>
        <v>80574826</v>
      </c>
    </row>
    <row r="81" spans="1:12" x14ac:dyDescent="0.2">
      <c r="B81" s="42" t="s">
        <v>171</v>
      </c>
      <c r="D81" s="41"/>
      <c r="E81" s="41"/>
      <c r="F81" s="41"/>
      <c r="G81" s="41"/>
      <c r="H81" s="41"/>
      <c r="I81" s="41"/>
      <c r="J81" s="41"/>
    </row>
    <row r="82" spans="1:12" x14ac:dyDescent="0.2">
      <c r="A82" s="39">
        <f>A80+1</f>
        <v>5</v>
      </c>
      <c r="C82" s="39" t="s">
        <v>143</v>
      </c>
      <c r="D82" s="41">
        <v>358947949</v>
      </c>
      <c r="E82" s="41">
        <v>0</v>
      </c>
      <c r="F82" s="41">
        <v>54095800</v>
      </c>
      <c r="G82" s="41">
        <v>49067531</v>
      </c>
      <c r="H82" s="41">
        <v>10620732</v>
      </c>
      <c r="I82" s="41">
        <v>5680420</v>
      </c>
      <c r="J82" s="41">
        <f t="shared" ref="J82:J93" si="13">SUM(D82:I82)</f>
        <v>478412432</v>
      </c>
    </row>
    <row r="83" spans="1:12" x14ac:dyDescent="0.2">
      <c r="A83" s="39">
        <f t="shared" ref="A83:A93" si="14">A82+1</f>
        <v>6</v>
      </c>
      <c r="C83" s="39" t="s">
        <v>144</v>
      </c>
      <c r="D83" s="41">
        <v>27409200</v>
      </c>
      <c r="E83" s="41">
        <v>0</v>
      </c>
      <c r="F83" s="41">
        <v>-1005293</v>
      </c>
      <c r="G83" s="41">
        <v>4799900</v>
      </c>
      <c r="H83" s="41">
        <v>1032076</v>
      </c>
      <c r="I83" s="41">
        <v>0</v>
      </c>
      <c r="J83" s="41">
        <f t="shared" si="13"/>
        <v>32235883</v>
      </c>
    </row>
    <row r="84" spans="1:12" x14ac:dyDescent="0.2">
      <c r="A84" s="39">
        <f t="shared" si="14"/>
        <v>7</v>
      </c>
      <c r="B84" s="42"/>
      <c r="C84" s="42" t="s">
        <v>170</v>
      </c>
      <c r="D84" s="41">
        <v>6990812</v>
      </c>
      <c r="E84" s="41">
        <v>0</v>
      </c>
      <c r="F84" s="41">
        <v>-256403</v>
      </c>
      <c r="G84" s="41">
        <v>1607720</v>
      </c>
      <c r="H84" s="41">
        <v>263235</v>
      </c>
      <c r="I84" s="41">
        <v>0</v>
      </c>
      <c r="J84" s="41">
        <f t="shared" si="13"/>
        <v>8605364</v>
      </c>
    </row>
    <row r="85" spans="1:12" x14ac:dyDescent="0.2">
      <c r="A85" s="39">
        <f t="shared" si="14"/>
        <v>8</v>
      </c>
      <c r="B85" s="39" t="s">
        <v>145</v>
      </c>
      <c r="D85" s="41">
        <v>23200341</v>
      </c>
      <c r="E85" s="41">
        <v>0</v>
      </c>
      <c r="F85" s="41">
        <v>0</v>
      </c>
      <c r="G85" s="41">
        <v>1186359</v>
      </c>
      <c r="H85" s="41">
        <v>331417</v>
      </c>
      <c r="I85" s="41">
        <v>0</v>
      </c>
      <c r="J85" s="41">
        <f t="shared" si="13"/>
        <v>24718117</v>
      </c>
    </row>
    <row r="86" spans="1:12" x14ac:dyDescent="0.2">
      <c r="A86" s="39">
        <f t="shared" si="14"/>
        <v>9</v>
      </c>
      <c r="B86" s="39" t="s">
        <v>146</v>
      </c>
      <c r="D86" s="41">
        <v>53246077</v>
      </c>
      <c r="E86" s="41">
        <v>0</v>
      </c>
      <c r="F86" s="41">
        <v>0</v>
      </c>
      <c r="G86" s="41">
        <v>1013840</v>
      </c>
      <c r="H86" s="41">
        <v>285276</v>
      </c>
      <c r="I86" s="41">
        <v>0</v>
      </c>
      <c r="J86" s="41">
        <f t="shared" si="13"/>
        <v>54545193</v>
      </c>
    </row>
    <row r="87" spans="1:12" x14ac:dyDescent="0.2">
      <c r="A87" s="39">
        <f t="shared" si="14"/>
        <v>10</v>
      </c>
      <c r="B87" s="39" t="s">
        <v>148</v>
      </c>
      <c r="D87" s="41">
        <v>116214</v>
      </c>
      <c r="E87" s="41">
        <v>0</v>
      </c>
      <c r="F87" s="41">
        <v>3411</v>
      </c>
      <c r="G87" s="41">
        <v>5944</v>
      </c>
      <c r="H87" s="41">
        <v>1660</v>
      </c>
      <c r="I87" s="41">
        <v>0</v>
      </c>
      <c r="J87" s="41">
        <f t="shared" si="13"/>
        <v>127229</v>
      </c>
    </row>
    <row r="88" spans="1:12" x14ac:dyDescent="0.2">
      <c r="A88" s="39">
        <f t="shared" si="14"/>
        <v>11</v>
      </c>
      <c r="B88" s="39" t="s">
        <v>244</v>
      </c>
      <c r="D88" s="41">
        <v>0</v>
      </c>
      <c r="E88" s="41">
        <v>-700000</v>
      </c>
      <c r="F88" s="41">
        <v>0</v>
      </c>
      <c r="G88" s="41">
        <v>0</v>
      </c>
      <c r="H88" s="41">
        <v>0</v>
      </c>
      <c r="I88" s="41">
        <v>0</v>
      </c>
      <c r="J88" s="41">
        <f t="shared" si="13"/>
        <v>-700000</v>
      </c>
    </row>
    <row r="89" spans="1:12" x14ac:dyDescent="0.2">
      <c r="A89" s="39">
        <f t="shared" si="14"/>
        <v>12</v>
      </c>
      <c r="B89" s="39" t="s">
        <v>147</v>
      </c>
      <c r="D89" s="41">
        <v>182014840</v>
      </c>
      <c r="E89" s="41">
        <v>0</v>
      </c>
      <c r="F89" s="41">
        <v>5342365</v>
      </c>
      <c r="G89" s="41">
        <v>9307357</v>
      </c>
      <c r="H89" s="41">
        <v>2600081</v>
      </c>
      <c r="I89" s="41">
        <v>0</v>
      </c>
      <c r="J89" s="41">
        <f t="shared" si="13"/>
        <v>199264643</v>
      </c>
    </row>
    <row r="90" spans="1:12" x14ac:dyDescent="0.2">
      <c r="A90" s="39">
        <f t="shared" si="14"/>
        <v>13</v>
      </c>
      <c r="B90" s="39" t="s">
        <v>149</v>
      </c>
      <c r="D90" s="41">
        <v>87335058.795438096</v>
      </c>
      <c r="E90" s="41">
        <f>K90-D90-F90-G90-H90</f>
        <v>-187700.79543808568</v>
      </c>
      <c r="F90" s="41">
        <v>2563394</v>
      </c>
      <c r="G90" s="41">
        <v>4465887.9999999898</v>
      </c>
      <c r="H90" s="41">
        <v>1247581</v>
      </c>
      <c r="I90" s="41">
        <v>0</v>
      </c>
      <c r="J90" s="41">
        <f t="shared" si="13"/>
        <v>95424221</v>
      </c>
      <c r="K90" s="41">
        <v>95424221</v>
      </c>
    </row>
    <row r="91" spans="1:12" x14ac:dyDescent="0.2">
      <c r="A91" s="39">
        <f t="shared" si="14"/>
        <v>14</v>
      </c>
      <c r="B91" s="42" t="s">
        <v>173</v>
      </c>
      <c r="D91" s="41">
        <v>27579424</v>
      </c>
      <c r="E91" s="41">
        <v>0</v>
      </c>
      <c r="F91" s="41">
        <v>809491</v>
      </c>
      <c r="G91" s="41">
        <v>1578380</v>
      </c>
      <c r="H91" s="41">
        <v>4567</v>
      </c>
      <c r="I91" s="41">
        <v>0</v>
      </c>
      <c r="J91" s="41">
        <f t="shared" si="13"/>
        <v>29971862</v>
      </c>
    </row>
    <row r="92" spans="1:12" x14ac:dyDescent="0.2">
      <c r="A92" s="39">
        <f t="shared" si="14"/>
        <v>15</v>
      </c>
      <c r="B92" s="42" t="s">
        <v>168</v>
      </c>
      <c r="C92" s="42"/>
      <c r="D92" s="41">
        <v>61243535</v>
      </c>
      <c r="E92" s="41">
        <f>K92-D92-G92</f>
        <v>17766322</v>
      </c>
      <c r="F92" s="41">
        <v>0</v>
      </c>
      <c r="G92" s="41">
        <v>5417224</v>
      </c>
      <c r="H92" s="41">
        <v>0</v>
      </c>
      <c r="I92" s="41">
        <v>0</v>
      </c>
      <c r="J92" s="41">
        <f t="shared" si="13"/>
        <v>84427081</v>
      </c>
      <c r="K92" s="148">
        <v>84427081</v>
      </c>
      <c r="L92" s="41"/>
    </row>
    <row r="93" spans="1:12" x14ac:dyDescent="0.2">
      <c r="A93" s="39">
        <f t="shared" si="14"/>
        <v>16</v>
      </c>
      <c r="B93" s="39" t="s">
        <v>150</v>
      </c>
      <c r="D93" s="41">
        <v>802952513</v>
      </c>
      <c r="E93" s="41">
        <v>93117000</v>
      </c>
      <c r="F93" s="41">
        <v>49694469</v>
      </c>
      <c r="G93" s="41">
        <v>0</v>
      </c>
      <c r="H93" s="41">
        <v>0</v>
      </c>
      <c r="I93" s="41">
        <v>0</v>
      </c>
      <c r="J93" s="41">
        <f t="shared" si="13"/>
        <v>945763982</v>
      </c>
      <c r="K93" s="41"/>
    </row>
    <row r="94" spans="1:12" x14ac:dyDescent="0.2">
      <c r="B94" s="42" t="s">
        <v>172</v>
      </c>
      <c r="D94" s="41"/>
      <c r="E94" s="41"/>
      <c r="F94" s="41"/>
      <c r="G94" s="41"/>
      <c r="H94" s="41"/>
      <c r="I94" s="41"/>
      <c r="J94" s="41"/>
    </row>
    <row r="95" spans="1:12" x14ac:dyDescent="0.2">
      <c r="A95" s="39">
        <f>A93+1</f>
        <v>17</v>
      </c>
      <c r="B95" s="42"/>
      <c r="C95" s="42" t="s">
        <v>175</v>
      </c>
      <c r="D95" s="41">
        <v>841514</v>
      </c>
      <c r="E95" s="41">
        <v>0</v>
      </c>
      <c r="F95" s="41">
        <v>-2498325</v>
      </c>
      <c r="G95" s="41">
        <v>1102348</v>
      </c>
      <c r="H95" s="41">
        <v>342158</v>
      </c>
      <c r="I95" s="41">
        <v>0</v>
      </c>
      <c r="J95" s="41">
        <f>SUM(D95:I95)</f>
        <v>-212305</v>
      </c>
    </row>
    <row r="96" spans="1:12" x14ac:dyDescent="0.2">
      <c r="A96" s="39">
        <f>A95+1</f>
        <v>18</v>
      </c>
      <c r="B96" s="42"/>
      <c r="C96" s="42" t="s">
        <v>182</v>
      </c>
      <c r="D96" s="41">
        <v>2473714</v>
      </c>
      <c r="E96" s="41">
        <v>0</v>
      </c>
      <c r="F96" s="41">
        <v>0</v>
      </c>
      <c r="G96" s="41">
        <v>-2474089</v>
      </c>
      <c r="H96" s="41">
        <v>0</v>
      </c>
      <c r="I96" s="41">
        <v>0</v>
      </c>
      <c r="J96" s="41">
        <f>SUM(D96:I96)</f>
        <v>-375</v>
      </c>
    </row>
    <row r="97" spans="1:12" x14ac:dyDescent="0.2">
      <c r="A97" s="39">
        <f>A96+1</f>
        <v>19</v>
      </c>
      <c r="B97" s="42"/>
      <c r="C97" s="42" t="s">
        <v>201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f>SUM(D97:I97)</f>
        <v>0</v>
      </c>
    </row>
    <row r="98" spans="1:12" x14ac:dyDescent="0.2">
      <c r="A98" s="39">
        <f>A97+1</f>
        <v>20</v>
      </c>
      <c r="B98" s="42"/>
      <c r="C98" s="42" t="s">
        <v>183</v>
      </c>
      <c r="D98" s="41">
        <v>549935</v>
      </c>
      <c r="E98" s="41">
        <v>0</v>
      </c>
      <c r="F98" s="41">
        <v>0</v>
      </c>
      <c r="G98" s="41">
        <v>-540199</v>
      </c>
      <c r="H98" s="41">
        <v>0</v>
      </c>
      <c r="I98" s="41">
        <v>0</v>
      </c>
      <c r="J98" s="41">
        <f>SUM(D98:I98)</f>
        <v>9736</v>
      </c>
    </row>
    <row r="99" spans="1:12" x14ac:dyDescent="0.2">
      <c r="A99" s="39">
        <f>A98+1</f>
        <v>21</v>
      </c>
      <c r="B99" s="42"/>
      <c r="C99" s="42" t="s">
        <v>251</v>
      </c>
      <c r="D99" s="41">
        <v>-196</v>
      </c>
      <c r="E99" s="41">
        <v>0</v>
      </c>
      <c r="F99" s="41">
        <v>0</v>
      </c>
      <c r="G99" s="41">
        <v>0</v>
      </c>
      <c r="H99" s="41">
        <v>0</v>
      </c>
      <c r="I99" s="41">
        <v>0</v>
      </c>
      <c r="J99" s="41">
        <f>SUM(D99:I99)</f>
        <v>-196</v>
      </c>
    </row>
    <row r="100" spans="1:12" x14ac:dyDescent="0.2">
      <c r="D100" s="41"/>
      <c r="E100" s="41"/>
      <c r="F100" s="41"/>
      <c r="G100" s="41"/>
      <c r="H100" s="41"/>
      <c r="I100" s="41"/>
      <c r="J100" s="41"/>
    </row>
    <row r="101" spans="1:12" x14ac:dyDescent="0.2">
      <c r="A101" s="39">
        <f>A99+1</f>
        <v>22</v>
      </c>
      <c r="B101" s="42" t="s">
        <v>158</v>
      </c>
      <c r="D101" s="41">
        <f t="shared" ref="D101:J101" si="15">SUM(D78:D99)</f>
        <v>6239113177.7954378</v>
      </c>
      <c r="E101" s="41">
        <f t="shared" si="15"/>
        <v>109995621.20456192</v>
      </c>
      <c r="F101" s="41">
        <f t="shared" si="15"/>
        <v>272096686</v>
      </c>
      <c r="G101" s="41">
        <f t="shared" si="15"/>
        <v>310940744</v>
      </c>
      <c r="H101" s="41">
        <f t="shared" si="15"/>
        <v>83397175</v>
      </c>
      <c r="I101" s="41">
        <f t="shared" si="15"/>
        <v>5680420</v>
      </c>
      <c r="J101" s="41">
        <f t="shared" si="15"/>
        <v>7021223824</v>
      </c>
      <c r="K101" s="43"/>
    </row>
    <row r="102" spans="1:12" x14ac:dyDescent="0.2">
      <c r="C102" s="42"/>
      <c r="D102" s="41"/>
      <c r="E102" s="41"/>
      <c r="F102" s="41"/>
      <c r="G102" s="41"/>
      <c r="H102" s="41"/>
      <c r="I102" s="41"/>
      <c r="J102" s="41"/>
      <c r="K102" s="43"/>
    </row>
    <row r="103" spans="1:12" x14ac:dyDescent="0.2">
      <c r="B103" s="42" t="s">
        <v>156</v>
      </c>
      <c r="C103" s="42"/>
      <c r="D103" s="41"/>
      <c r="E103" s="41"/>
      <c r="F103" s="41"/>
      <c r="G103" s="41"/>
      <c r="H103" s="41"/>
      <c r="I103" s="41"/>
      <c r="J103" s="41"/>
    </row>
    <row r="104" spans="1:12" x14ac:dyDescent="0.2">
      <c r="A104" s="39">
        <f>A101+1</f>
        <v>23</v>
      </c>
      <c r="B104" s="39" t="s">
        <v>153</v>
      </c>
      <c r="D104" s="41">
        <v>116655514</v>
      </c>
      <c r="E104" s="41">
        <v>0</v>
      </c>
      <c r="F104" s="41">
        <v>670891</v>
      </c>
      <c r="G104" s="41">
        <v>0</v>
      </c>
      <c r="H104" s="41">
        <v>0</v>
      </c>
      <c r="I104" s="41">
        <v>0</v>
      </c>
      <c r="J104" s="41">
        <f>SUM(D104:I104)</f>
        <v>117326405</v>
      </c>
      <c r="L104" s="40">
        <f>ROUND((D104+F104)/1000,1)</f>
        <v>117326.39999999999</v>
      </c>
    </row>
    <row r="105" spans="1:12" x14ac:dyDescent="0.2">
      <c r="A105" s="39">
        <f>A104+1</f>
        <v>24</v>
      </c>
      <c r="B105" s="39" t="s">
        <v>152</v>
      </c>
      <c r="D105" s="41">
        <v>73778721.001401499</v>
      </c>
      <c r="E105" s="41">
        <f>K105-D105-F105-G105-H105</f>
        <v>-114649.34659153293</v>
      </c>
      <c r="F105" s="41">
        <v>-394313.65480996598</v>
      </c>
      <c r="G105" s="41">
        <v>0</v>
      </c>
      <c r="H105" s="41">
        <v>0</v>
      </c>
      <c r="I105" s="41">
        <v>0</v>
      </c>
      <c r="J105" s="41">
        <f>SUM(D105:I105)</f>
        <v>73269758</v>
      </c>
      <c r="K105" s="41">
        <v>73269758</v>
      </c>
      <c r="L105" s="40">
        <f>ROUND((D105+F105)/1000,1)</f>
        <v>73384.399999999994</v>
      </c>
    </row>
    <row r="106" spans="1:12" x14ac:dyDescent="0.2">
      <c r="A106" s="39">
        <f>A105+1</f>
        <v>25</v>
      </c>
      <c r="B106" s="42" t="s">
        <v>174</v>
      </c>
      <c r="D106" s="41">
        <v>24162585</v>
      </c>
      <c r="E106" s="41">
        <v>0</v>
      </c>
      <c r="F106" s="41">
        <v>-90606</v>
      </c>
      <c r="G106" s="41">
        <v>0</v>
      </c>
      <c r="H106" s="41">
        <v>0</v>
      </c>
      <c r="I106" s="41">
        <v>0</v>
      </c>
      <c r="J106" s="41">
        <f>SUM(D106:I106)</f>
        <v>24071979</v>
      </c>
      <c r="L106" s="40">
        <f>ROUND((D106+F106)/1000,1)</f>
        <v>24072</v>
      </c>
    </row>
    <row r="107" spans="1:12" x14ac:dyDescent="0.2">
      <c r="A107" s="39">
        <f>A106+1</f>
        <v>26</v>
      </c>
      <c r="B107" s="42" t="s">
        <v>168</v>
      </c>
      <c r="C107" s="42"/>
      <c r="D107" s="41">
        <v>18752871</v>
      </c>
      <c r="E107" s="41">
        <f>K107-D107</f>
        <v>4721329</v>
      </c>
      <c r="F107" s="41">
        <v>0</v>
      </c>
      <c r="G107" s="41">
        <v>0</v>
      </c>
      <c r="H107" s="41">
        <v>0</v>
      </c>
      <c r="I107" s="41">
        <v>0</v>
      </c>
      <c r="J107" s="41">
        <f>SUM(D107:I107)</f>
        <v>23474200</v>
      </c>
      <c r="K107" s="148">
        <v>23474200</v>
      </c>
      <c r="L107" s="40">
        <f>ROUND((D107+F107)/1000,1)</f>
        <v>18752.900000000001</v>
      </c>
    </row>
    <row r="108" spans="1:12" x14ac:dyDescent="0.2">
      <c r="A108" s="39">
        <f>A107+1</f>
        <v>27</v>
      </c>
      <c r="B108" s="39" t="s">
        <v>154</v>
      </c>
      <c r="D108" s="41">
        <v>727753262</v>
      </c>
      <c r="E108" s="41">
        <v>90231000</v>
      </c>
      <c r="F108" s="41">
        <v>29762385</v>
      </c>
      <c r="G108" s="41">
        <v>0</v>
      </c>
      <c r="H108" s="41">
        <v>0</v>
      </c>
      <c r="I108" s="41">
        <v>0</v>
      </c>
      <c r="J108" s="41">
        <f>SUM(D108:I108)</f>
        <v>847746647</v>
      </c>
      <c r="K108" s="41"/>
      <c r="L108" s="40">
        <f>ROUND((D108+E108+F108)/1000,1)</f>
        <v>847746.6</v>
      </c>
    </row>
    <row r="109" spans="1:12" x14ac:dyDescent="0.2">
      <c r="D109" s="41"/>
      <c r="E109" s="41"/>
      <c r="F109" s="41"/>
      <c r="G109" s="41"/>
      <c r="H109" s="41"/>
      <c r="I109" s="41"/>
      <c r="J109" s="41"/>
    </row>
    <row r="110" spans="1:12" x14ac:dyDescent="0.2">
      <c r="A110" s="39">
        <f>A108+1</f>
        <v>28</v>
      </c>
      <c r="B110" s="42" t="s">
        <v>159</v>
      </c>
      <c r="C110" s="42"/>
      <c r="D110" s="41">
        <f t="shared" ref="D110:J110" si="16">SUM(D104:D108)</f>
        <v>961102953.00140142</v>
      </c>
      <c r="E110" s="41">
        <f t="shared" si="16"/>
        <v>94837679.653408468</v>
      </c>
      <c r="F110" s="41">
        <f t="shared" si="16"/>
        <v>29948356.345190033</v>
      </c>
      <c r="G110" s="41">
        <f t="shared" si="16"/>
        <v>0</v>
      </c>
      <c r="H110" s="41">
        <f t="shared" si="16"/>
        <v>0</v>
      </c>
      <c r="I110" s="41">
        <f t="shared" si="16"/>
        <v>0</v>
      </c>
      <c r="J110" s="41">
        <f t="shared" si="16"/>
        <v>1085888989</v>
      </c>
      <c r="K110" s="43"/>
    </row>
    <row r="111" spans="1:12" x14ac:dyDescent="0.2">
      <c r="B111" s="42"/>
      <c r="C111" s="42"/>
      <c r="D111" s="41"/>
      <c r="E111" s="41"/>
      <c r="F111" s="41"/>
      <c r="G111" s="41"/>
      <c r="H111" s="41"/>
      <c r="I111" s="41"/>
      <c r="J111" s="41"/>
    </row>
    <row r="112" spans="1:12" x14ac:dyDescent="0.2">
      <c r="B112" s="42" t="s">
        <v>157</v>
      </c>
      <c r="C112" s="42"/>
      <c r="D112" s="41"/>
      <c r="E112" s="41"/>
      <c r="F112" s="41"/>
      <c r="G112" s="41"/>
      <c r="H112" s="41"/>
      <c r="I112" s="41"/>
      <c r="J112" s="41"/>
    </row>
    <row r="113" spans="1:10" x14ac:dyDescent="0.2">
      <c r="A113" s="39">
        <f>A110+1</f>
        <v>29</v>
      </c>
      <c r="B113" s="39" t="s">
        <v>141</v>
      </c>
      <c r="D113" s="41">
        <f t="shared" ref="D113:G115" si="17">D78</f>
        <v>4545607952</v>
      </c>
      <c r="E113" s="41">
        <f t="shared" si="17"/>
        <v>0</v>
      </c>
      <c r="F113" s="41">
        <f t="shared" si="17"/>
        <v>133419327</v>
      </c>
      <c r="G113" s="41">
        <f t="shared" si="17"/>
        <v>232440522</v>
      </c>
      <c r="H113" s="41">
        <f t="shared" ref="H113:I115" si="18">H78</f>
        <v>64933992</v>
      </c>
      <c r="I113" s="41">
        <f t="shared" si="18"/>
        <v>0</v>
      </c>
      <c r="J113" s="41">
        <f>SUM(D113:I113)</f>
        <v>4976401793</v>
      </c>
    </row>
    <row r="114" spans="1:10" x14ac:dyDescent="0.2">
      <c r="A114" s="39">
        <f>A113+1</f>
        <v>30</v>
      </c>
      <c r="B114" s="42" t="s">
        <v>167</v>
      </c>
      <c r="C114" s="42"/>
      <c r="D114" s="41">
        <f t="shared" si="17"/>
        <v>10645451</v>
      </c>
      <c r="E114" s="41">
        <f t="shared" si="17"/>
        <v>0</v>
      </c>
      <c r="F114" s="41">
        <f t="shared" si="17"/>
        <v>312457</v>
      </c>
      <c r="G114" s="41">
        <f t="shared" si="17"/>
        <v>544360</v>
      </c>
      <c r="H114" s="41">
        <f t="shared" si="18"/>
        <v>152070</v>
      </c>
      <c r="I114" s="41">
        <f t="shared" si="18"/>
        <v>0</v>
      </c>
      <c r="J114" s="41">
        <f>SUM(D114:I114)</f>
        <v>11654338</v>
      </c>
    </row>
    <row r="115" spans="1:10" x14ac:dyDescent="0.2">
      <c r="A115" s="39">
        <f>A114+1</f>
        <v>31</v>
      </c>
      <c r="B115" s="39" t="s">
        <v>142</v>
      </c>
      <c r="D115" s="41">
        <f t="shared" si="17"/>
        <v>47958844</v>
      </c>
      <c r="E115" s="41">
        <f t="shared" si="17"/>
        <v>0</v>
      </c>
      <c r="F115" s="41">
        <f t="shared" si="17"/>
        <v>29615993</v>
      </c>
      <c r="G115" s="41">
        <f t="shared" si="17"/>
        <v>1417659</v>
      </c>
      <c r="H115" s="41">
        <f t="shared" si="18"/>
        <v>1582330</v>
      </c>
      <c r="I115" s="41">
        <f t="shared" si="18"/>
        <v>0</v>
      </c>
      <c r="J115" s="41">
        <f>SUM(D115:I115)</f>
        <v>80574826</v>
      </c>
    </row>
    <row r="116" spans="1:10" x14ac:dyDescent="0.2">
      <c r="B116" s="42" t="s">
        <v>171</v>
      </c>
      <c r="D116" s="41"/>
      <c r="E116" s="41"/>
      <c r="F116" s="41"/>
      <c r="G116" s="41"/>
      <c r="H116" s="41"/>
      <c r="I116" s="41"/>
      <c r="J116" s="41"/>
    </row>
    <row r="117" spans="1:10" x14ac:dyDescent="0.2">
      <c r="A117" s="39">
        <f>A115+1</f>
        <v>32</v>
      </c>
      <c r="C117" s="39" t="s">
        <v>143</v>
      </c>
      <c r="D117" s="41">
        <f t="shared" ref="D117:I117" si="19">D82</f>
        <v>358947949</v>
      </c>
      <c r="E117" s="41">
        <f t="shared" si="19"/>
        <v>0</v>
      </c>
      <c r="F117" s="41">
        <f t="shared" si="19"/>
        <v>54095800</v>
      </c>
      <c r="G117" s="41">
        <f t="shared" si="19"/>
        <v>49067531</v>
      </c>
      <c r="H117" s="41">
        <f t="shared" si="19"/>
        <v>10620732</v>
      </c>
      <c r="I117" s="41">
        <f t="shared" si="19"/>
        <v>5680420</v>
      </c>
      <c r="J117" s="41">
        <f t="shared" ref="J117:J129" si="20">SUM(D117:I117)</f>
        <v>478412432</v>
      </c>
    </row>
    <row r="118" spans="1:10" x14ac:dyDescent="0.2">
      <c r="A118" s="39">
        <f t="shared" ref="A118:A129" si="21">A117+1</f>
        <v>33</v>
      </c>
      <c r="C118" s="39" t="s">
        <v>144</v>
      </c>
      <c r="D118" s="41">
        <f t="shared" ref="D118:I118" si="22">D83</f>
        <v>27409200</v>
      </c>
      <c r="E118" s="41">
        <f t="shared" si="22"/>
        <v>0</v>
      </c>
      <c r="F118" s="41">
        <f t="shared" si="22"/>
        <v>-1005293</v>
      </c>
      <c r="G118" s="41">
        <f t="shared" si="22"/>
        <v>4799900</v>
      </c>
      <c r="H118" s="41">
        <f t="shared" si="22"/>
        <v>1032076</v>
      </c>
      <c r="I118" s="41">
        <f t="shared" si="22"/>
        <v>0</v>
      </c>
      <c r="J118" s="41">
        <f t="shared" si="20"/>
        <v>32235883</v>
      </c>
    </row>
    <row r="119" spans="1:10" x14ac:dyDescent="0.2">
      <c r="A119" s="39">
        <f t="shared" si="21"/>
        <v>34</v>
      </c>
      <c r="B119" s="42"/>
      <c r="C119" s="42" t="s">
        <v>170</v>
      </c>
      <c r="D119" s="41">
        <f t="shared" ref="D119:I119" si="23">D84</f>
        <v>6990812</v>
      </c>
      <c r="E119" s="41">
        <f t="shared" si="23"/>
        <v>0</v>
      </c>
      <c r="F119" s="41">
        <f t="shared" si="23"/>
        <v>-256403</v>
      </c>
      <c r="G119" s="41">
        <f t="shared" si="23"/>
        <v>1607720</v>
      </c>
      <c r="H119" s="41">
        <f t="shared" si="23"/>
        <v>263235</v>
      </c>
      <c r="I119" s="41">
        <f t="shared" si="23"/>
        <v>0</v>
      </c>
      <c r="J119" s="41">
        <f t="shared" si="20"/>
        <v>8605364</v>
      </c>
    </row>
    <row r="120" spans="1:10" x14ac:dyDescent="0.2">
      <c r="A120" s="39">
        <f t="shared" si="21"/>
        <v>35</v>
      </c>
      <c r="B120" s="39" t="s">
        <v>145</v>
      </c>
      <c r="D120" s="41">
        <f t="shared" ref="D120:I120" si="24">D85</f>
        <v>23200341</v>
      </c>
      <c r="E120" s="41">
        <f t="shared" si="24"/>
        <v>0</v>
      </c>
      <c r="F120" s="41">
        <f t="shared" si="24"/>
        <v>0</v>
      </c>
      <c r="G120" s="41">
        <f t="shared" si="24"/>
        <v>1186359</v>
      </c>
      <c r="H120" s="41">
        <f t="shared" si="24"/>
        <v>331417</v>
      </c>
      <c r="I120" s="41">
        <f t="shared" si="24"/>
        <v>0</v>
      </c>
      <c r="J120" s="41">
        <f t="shared" si="20"/>
        <v>24718117</v>
      </c>
    </row>
    <row r="121" spans="1:10" x14ac:dyDescent="0.2">
      <c r="A121" s="39">
        <f t="shared" si="21"/>
        <v>36</v>
      </c>
      <c r="B121" s="39" t="s">
        <v>146</v>
      </c>
      <c r="D121" s="41">
        <f t="shared" ref="D121:I121" si="25">D86</f>
        <v>53246077</v>
      </c>
      <c r="E121" s="41">
        <f t="shared" si="25"/>
        <v>0</v>
      </c>
      <c r="F121" s="41">
        <f t="shared" si="25"/>
        <v>0</v>
      </c>
      <c r="G121" s="41">
        <f t="shared" si="25"/>
        <v>1013840</v>
      </c>
      <c r="H121" s="41">
        <f t="shared" si="25"/>
        <v>285276</v>
      </c>
      <c r="I121" s="41">
        <f t="shared" si="25"/>
        <v>0</v>
      </c>
      <c r="J121" s="41">
        <f t="shared" si="20"/>
        <v>54545193</v>
      </c>
    </row>
    <row r="122" spans="1:10" x14ac:dyDescent="0.2">
      <c r="A122" s="39">
        <f t="shared" si="21"/>
        <v>37</v>
      </c>
      <c r="B122" s="39" t="s">
        <v>148</v>
      </c>
      <c r="D122" s="41">
        <f t="shared" ref="D122:I122" si="26">D87</f>
        <v>116214</v>
      </c>
      <c r="E122" s="41">
        <f t="shared" si="26"/>
        <v>0</v>
      </c>
      <c r="F122" s="41">
        <f t="shared" si="26"/>
        <v>3411</v>
      </c>
      <c r="G122" s="41">
        <f t="shared" si="26"/>
        <v>5944</v>
      </c>
      <c r="H122" s="41">
        <f t="shared" si="26"/>
        <v>1660</v>
      </c>
      <c r="I122" s="41">
        <f t="shared" si="26"/>
        <v>0</v>
      </c>
      <c r="J122" s="41">
        <f t="shared" si="20"/>
        <v>127229</v>
      </c>
    </row>
    <row r="123" spans="1:10" x14ac:dyDescent="0.2">
      <c r="A123" s="39">
        <f t="shared" si="21"/>
        <v>38</v>
      </c>
      <c r="B123" s="39" t="s">
        <v>244</v>
      </c>
      <c r="D123" s="41">
        <f t="shared" ref="D123:I123" si="27">D88</f>
        <v>0</v>
      </c>
      <c r="E123" s="41">
        <f t="shared" si="27"/>
        <v>-700000</v>
      </c>
      <c r="F123" s="41">
        <f t="shared" si="27"/>
        <v>0</v>
      </c>
      <c r="G123" s="41">
        <f t="shared" si="27"/>
        <v>0</v>
      </c>
      <c r="H123" s="41">
        <f t="shared" si="27"/>
        <v>0</v>
      </c>
      <c r="I123" s="41">
        <f t="shared" si="27"/>
        <v>0</v>
      </c>
      <c r="J123" s="41">
        <f t="shared" si="20"/>
        <v>-700000</v>
      </c>
    </row>
    <row r="124" spans="1:10" x14ac:dyDescent="0.2">
      <c r="A124" s="39">
        <f t="shared" si="21"/>
        <v>39</v>
      </c>
      <c r="B124" s="39" t="s">
        <v>147</v>
      </c>
      <c r="D124" s="41">
        <f t="shared" ref="D124:G127" si="28">D89-D104</f>
        <v>65359326</v>
      </c>
      <c r="E124" s="41">
        <f t="shared" si="28"/>
        <v>0</v>
      </c>
      <c r="F124" s="41">
        <f t="shared" si="28"/>
        <v>4671474</v>
      </c>
      <c r="G124" s="41">
        <f t="shared" si="28"/>
        <v>9307357</v>
      </c>
      <c r="H124" s="41">
        <f t="shared" ref="H124:I127" si="29">H89-H104</f>
        <v>2600081</v>
      </c>
      <c r="I124" s="41">
        <f t="shared" si="29"/>
        <v>0</v>
      </c>
      <c r="J124" s="41">
        <f t="shared" si="20"/>
        <v>81938238</v>
      </c>
    </row>
    <row r="125" spans="1:10" x14ac:dyDescent="0.2">
      <c r="A125" s="39">
        <f t="shared" si="21"/>
        <v>40</v>
      </c>
      <c r="B125" s="39" t="s">
        <v>149</v>
      </c>
      <c r="D125" s="41">
        <f t="shared" si="28"/>
        <v>13556337.794036597</v>
      </c>
      <c r="E125" s="41">
        <f t="shared" si="28"/>
        <v>-73051.448846552754</v>
      </c>
      <c r="F125" s="41">
        <f t="shared" si="28"/>
        <v>2957707.6548099658</v>
      </c>
      <c r="G125" s="41">
        <f t="shared" si="28"/>
        <v>4465887.9999999898</v>
      </c>
      <c r="H125" s="41">
        <f t="shared" si="29"/>
        <v>1247581</v>
      </c>
      <c r="I125" s="41">
        <f t="shared" si="29"/>
        <v>0</v>
      </c>
      <c r="J125" s="41">
        <f t="shared" si="20"/>
        <v>22154463</v>
      </c>
    </row>
    <row r="126" spans="1:10" x14ac:dyDescent="0.2">
      <c r="A126" s="39">
        <f t="shared" si="21"/>
        <v>41</v>
      </c>
      <c r="B126" s="42" t="s">
        <v>173</v>
      </c>
      <c r="D126" s="41">
        <f t="shared" si="28"/>
        <v>3416839</v>
      </c>
      <c r="E126" s="41">
        <f t="shared" si="28"/>
        <v>0</v>
      </c>
      <c r="F126" s="41">
        <f t="shared" si="28"/>
        <v>900097</v>
      </c>
      <c r="G126" s="41">
        <f t="shared" si="28"/>
        <v>1578380</v>
      </c>
      <c r="H126" s="41">
        <f t="shared" si="29"/>
        <v>4567</v>
      </c>
      <c r="I126" s="41">
        <f t="shared" si="29"/>
        <v>0</v>
      </c>
      <c r="J126" s="41">
        <f t="shared" si="20"/>
        <v>5899883</v>
      </c>
    </row>
    <row r="127" spans="1:10" x14ac:dyDescent="0.2">
      <c r="A127" s="39">
        <f t="shared" si="21"/>
        <v>42</v>
      </c>
      <c r="B127" s="42" t="s">
        <v>168</v>
      </c>
      <c r="C127" s="42"/>
      <c r="D127" s="41">
        <f t="shared" si="28"/>
        <v>42490664</v>
      </c>
      <c r="E127" s="41">
        <f t="shared" si="28"/>
        <v>13044993</v>
      </c>
      <c r="F127" s="41">
        <f t="shared" si="28"/>
        <v>0</v>
      </c>
      <c r="G127" s="41">
        <f t="shared" si="28"/>
        <v>5417224</v>
      </c>
      <c r="H127" s="41">
        <f t="shared" si="29"/>
        <v>0</v>
      </c>
      <c r="I127" s="41">
        <f t="shared" si="29"/>
        <v>0</v>
      </c>
      <c r="J127" s="41">
        <f t="shared" si="20"/>
        <v>60952881</v>
      </c>
    </row>
    <row r="128" spans="1:10" x14ac:dyDescent="0.2">
      <c r="A128" s="39">
        <f t="shared" si="21"/>
        <v>43</v>
      </c>
      <c r="B128" s="42" t="s">
        <v>163</v>
      </c>
      <c r="C128" s="42"/>
      <c r="D128" s="41">
        <f t="shared" ref="D128:I128" si="30">D93-D108-D129</f>
        <v>66697298</v>
      </c>
      <c r="E128" s="41">
        <f t="shared" si="30"/>
        <v>2886000</v>
      </c>
      <c r="F128" s="41">
        <f t="shared" si="30"/>
        <v>19932084</v>
      </c>
      <c r="G128" s="41">
        <f t="shared" si="30"/>
        <v>0</v>
      </c>
      <c r="H128" s="41">
        <f t="shared" si="30"/>
        <v>0</v>
      </c>
      <c r="I128" s="41">
        <f t="shared" si="30"/>
        <v>0</v>
      </c>
      <c r="J128" s="41">
        <f t="shared" si="20"/>
        <v>89515382</v>
      </c>
    </row>
    <row r="129" spans="1:11" x14ac:dyDescent="0.2">
      <c r="A129" s="39">
        <f t="shared" si="21"/>
        <v>44</v>
      </c>
      <c r="B129" s="39" t="s">
        <v>151</v>
      </c>
      <c r="D129" s="41">
        <v>8501953</v>
      </c>
      <c r="E129" s="41">
        <v>0</v>
      </c>
      <c r="F129" s="41">
        <v>0</v>
      </c>
      <c r="G129" s="41">
        <v>0</v>
      </c>
      <c r="H129" s="41">
        <v>0</v>
      </c>
      <c r="I129" s="41">
        <v>0</v>
      </c>
      <c r="J129" s="41">
        <f t="shared" si="20"/>
        <v>8501953</v>
      </c>
    </row>
    <row r="130" spans="1:11" x14ac:dyDescent="0.2">
      <c r="B130" s="42" t="s">
        <v>172</v>
      </c>
      <c r="D130" s="41"/>
      <c r="E130" s="41"/>
      <c r="F130" s="41"/>
      <c r="G130" s="41"/>
      <c r="H130" s="41"/>
      <c r="I130" s="41"/>
      <c r="J130" s="41"/>
    </row>
    <row r="131" spans="1:11" x14ac:dyDescent="0.2">
      <c r="A131" s="39">
        <f>A129+1</f>
        <v>45</v>
      </c>
      <c r="B131" s="42"/>
      <c r="C131" s="42" t="s">
        <v>175</v>
      </c>
      <c r="D131" s="41">
        <f t="shared" ref="D131:G135" si="31">D95</f>
        <v>841514</v>
      </c>
      <c r="E131" s="41">
        <f t="shared" si="31"/>
        <v>0</v>
      </c>
      <c r="F131" s="41">
        <f t="shared" si="31"/>
        <v>-2498325</v>
      </c>
      <c r="G131" s="41">
        <f t="shared" si="31"/>
        <v>1102348</v>
      </c>
      <c r="H131" s="41">
        <f t="shared" ref="H131:I135" si="32">H95</f>
        <v>342158</v>
      </c>
      <c r="I131" s="41">
        <f t="shared" si="32"/>
        <v>0</v>
      </c>
      <c r="J131" s="41">
        <f>SUM(D131:I131)</f>
        <v>-212305</v>
      </c>
    </row>
    <row r="132" spans="1:11" x14ac:dyDescent="0.2">
      <c r="A132" s="39">
        <f>A131+1</f>
        <v>46</v>
      </c>
      <c r="B132" s="42"/>
      <c r="C132" s="42" t="s">
        <v>182</v>
      </c>
      <c r="D132" s="41">
        <f t="shared" si="31"/>
        <v>2473714</v>
      </c>
      <c r="E132" s="41">
        <f t="shared" si="31"/>
        <v>0</v>
      </c>
      <c r="F132" s="41">
        <f t="shared" si="31"/>
        <v>0</v>
      </c>
      <c r="G132" s="41">
        <f t="shared" si="31"/>
        <v>-2474089</v>
      </c>
      <c r="H132" s="41">
        <f t="shared" si="32"/>
        <v>0</v>
      </c>
      <c r="I132" s="41">
        <f t="shared" si="32"/>
        <v>0</v>
      </c>
      <c r="J132" s="41">
        <f>SUM(D132:I132)</f>
        <v>-375</v>
      </c>
    </row>
    <row r="133" spans="1:11" x14ac:dyDescent="0.2">
      <c r="A133" s="39">
        <f>A132+1</f>
        <v>47</v>
      </c>
      <c r="B133" s="42"/>
      <c r="C133" s="42" t="s">
        <v>201</v>
      </c>
      <c r="D133" s="41">
        <f t="shared" si="31"/>
        <v>0</v>
      </c>
      <c r="E133" s="41">
        <f t="shared" si="31"/>
        <v>0</v>
      </c>
      <c r="F133" s="41">
        <f t="shared" si="31"/>
        <v>0</v>
      </c>
      <c r="G133" s="41">
        <f t="shared" si="31"/>
        <v>0</v>
      </c>
      <c r="H133" s="41">
        <f t="shared" si="32"/>
        <v>0</v>
      </c>
      <c r="I133" s="41">
        <f t="shared" si="32"/>
        <v>0</v>
      </c>
      <c r="J133" s="41">
        <f>SUM(D133:I133)</f>
        <v>0</v>
      </c>
    </row>
    <row r="134" spans="1:11" x14ac:dyDescent="0.2">
      <c r="A134" s="39">
        <f>A133+1</f>
        <v>48</v>
      </c>
      <c r="B134" s="42"/>
      <c r="C134" s="42" t="s">
        <v>183</v>
      </c>
      <c r="D134" s="41">
        <f t="shared" si="31"/>
        <v>549935</v>
      </c>
      <c r="E134" s="41">
        <f t="shared" si="31"/>
        <v>0</v>
      </c>
      <c r="F134" s="41">
        <f t="shared" si="31"/>
        <v>0</v>
      </c>
      <c r="G134" s="41">
        <f t="shared" si="31"/>
        <v>-540199</v>
      </c>
      <c r="H134" s="41">
        <f t="shared" si="32"/>
        <v>0</v>
      </c>
      <c r="I134" s="41">
        <f t="shared" si="32"/>
        <v>0</v>
      </c>
      <c r="J134" s="41">
        <f>SUM(D134:I134)</f>
        <v>9736</v>
      </c>
    </row>
    <row r="135" spans="1:11" x14ac:dyDescent="0.2">
      <c r="A135" s="39">
        <f>A134+1</f>
        <v>49</v>
      </c>
      <c r="B135" s="42"/>
      <c r="C135" s="42" t="s">
        <v>251</v>
      </c>
      <c r="D135" s="41">
        <f t="shared" si="31"/>
        <v>-196</v>
      </c>
      <c r="E135" s="41">
        <f t="shared" si="31"/>
        <v>0</v>
      </c>
      <c r="F135" s="41">
        <f t="shared" si="31"/>
        <v>0</v>
      </c>
      <c r="G135" s="41">
        <f t="shared" si="31"/>
        <v>0</v>
      </c>
      <c r="H135" s="41">
        <f t="shared" si="32"/>
        <v>0</v>
      </c>
      <c r="I135" s="41">
        <f t="shared" si="32"/>
        <v>0</v>
      </c>
      <c r="J135" s="41">
        <f>SUM(D135:I135)</f>
        <v>-196</v>
      </c>
    </row>
    <row r="136" spans="1:11" x14ac:dyDescent="0.2">
      <c r="D136" s="41"/>
      <c r="E136" s="41"/>
      <c r="F136" s="41"/>
      <c r="G136" s="41"/>
      <c r="H136" s="41"/>
      <c r="I136" s="41"/>
      <c r="J136" s="41"/>
    </row>
    <row r="137" spans="1:11" x14ac:dyDescent="0.2">
      <c r="A137" s="39">
        <f>A135+1</f>
        <v>50</v>
      </c>
      <c r="B137" s="42" t="s">
        <v>184</v>
      </c>
      <c r="C137" s="42"/>
      <c r="D137" s="41">
        <f t="shared" ref="D137:J137" si="33">SUM(D113:D135)</f>
        <v>5278010224.7940369</v>
      </c>
      <c r="E137" s="41">
        <f t="shared" si="33"/>
        <v>15157941.551153447</v>
      </c>
      <c r="F137" s="41">
        <f t="shared" si="33"/>
        <v>242148329.65480995</v>
      </c>
      <c r="G137" s="41">
        <f t="shared" si="33"/>
        <v>310940744</v>
      </c>
      <c r="H137" s="41">
        <f t="shared" si="33"/>
        <v>83397175</v>
      </c>
      <c r="I137" s="41">
        <f t="shared" si="33"/>
        <v>5680420</v>
      </c>
      <c r="J137" s="41">
        <f t="shared" si="33"/>
        <v>5935334835</v>
      </c>
      <c r="K137" s="43"/>
    </row>
    <row r="138" spans="1:11" x14ac:dyDescent="0.2">
      <c r="A138" s="39">
        <f>A137+1</f>
        <v>51</v>
      </c>
      <c r="B138" s="173" t="s">
        <v>397</v>
      </c>
      <c r="C138" s="42"/>
      <c r="D138" s="41">
        <f t="shared" ref="D138:J138" si="34">D137</f>
        <v>5278010224.7940369</v>
      </c>
      <c r="E138" s="41">
        <f t="shared" si="34"/>
        <v>15157941.551153447</v>
      </c>
      <c r="F138" s="41">
        <f t="shared" si="34"/>
        <v>242148329.65480995</v>
      </c>
      <c r="G138" s="41">
        <f t="shared" si="34"/>
        <v>310940744</v>
      </c>
      <c r="H138" s="41">
        <f t="shared" si="34"/>
        <v>83397175</v>
      </c>
      <c r="I138" s="41">
        <f t="shared" si="34"/>
        <v>5680420</v>
      </c>
      <c r="J138" s="41">
        <f t="shared" si="34"/>
        <v>5935334835</v>
      </c>
      <c r="K138" s="43"/>
    </row>
    <row r="139" spans="1:11" x14ac:dyDescent="0.2">
      <c r="A139" s="39">
        <f>A138+1</f>
        <v>52</v>
      </c>
      <c r="B139" s="42" t="s">
        <v>303</v>
      </c>
      <c r="C139" s="42"/>
      <c r="D139" s="127" t="s">
        <v>302</v>
      </c>
      <c r="E139" s="127" t="s">
        <v>302</v>
      </c>
      <c r="F139" s="127" t="s">
        <v>302</v>
      </c>
      <c r="G139" s="127" t="s">
        <v>302</v>
      </c>
      <c r="H139" s="127" t="s">
        <v>302</v>
      </c>
      <c r="I139" s="127" t="s">
        <v>302</v>
      </c>
      <c r="J139" s="127" t="s">
        <v>302</v>
      </c>
    </row>
    <row r="140" spans="1:11" x14ac:dyDescent="0.2">
      <c r="B140" s="42"/>
      <c r="C140" s="42"/>
      <c r="D140" s="41"/>
      <c r="E140" s="41"/>
      <c r="F140" s="41"/>
      <c r="G140" s="41"/>
      <c r="H140" s="41"/>
      <c r="I140" s="41"/>
      <c r="J140" s="41"/>
    </row>
    <row r="141" spans="1:11" x14ac:dyDescent="0.2">
      <c r="A141" s="39">
        <f>A139+1</f>
        <v>53</v>
      </c>
      <c r="B141" s="42" t="s">
        <v>166</v>
      </c>
      <c r="C141" s="42"/>
      <c r="D141" s="41">
        <v>-29548624</v>
      </c>
      <c r="E141" s="41">
        <v>0</v>
      </c>
      <c r="F141" s="41">
        <v>0</v>
      </c>
      <c r="G141" s="41">
        <v>-1467950</v>
      </c>
      <c r="H141" s="41">
        <v>-410083</v>
      </c>
      <c r="I141" s="41">
        <v>0</v>
      </c>
      <c r="J141" s="41">
        <f>SUM(D141:I141)</f>
        <v>-31426657</v>
      </c>
      <c r="K141" s="43"/>
    </row>
    <row r="143" spans="1:11" x14ac:dyDescent="0.2">
      <c r="A143" s="107" t="s">
        <v>162</v>
      </c>
      <c r="B143" s="107"/>
      <c r="C143" s="108"/>
      <c r="D143" s="109" t="s">
        <v>176</v>
      </c>
      <c r="E143" s="109" t="s">
        <v>181</v>
      </c>
      <c r="F143" s="109" t="s">
        <v>177</v>
      </c>
      <c r="G143" s="109" t="s">
        <v>178</v>
      </c>
      <c r="H143" s="109" t="s">
        <v>179</v>
      </c>
      <c r="I143" s="109" t="s">
        <v>370</v>
      </c>
      <c r="J143" s="109" t="s">
        <v>180</v>
      </c>
    </row>
    <row r="145" spans="1:10" x14ac:dyDescent="0.2">
      <c r="A145" s="39">
        <v>1</v>
      </c>
      <c r="B145" s="39" t="s">
        <v>140</v>
      </c>
      <c r="D145" s="43">
        <f t="shared" ref="D145:J145" si="35">D5-D75</f>
        <v>3140</v>
      </c>
      <c r="E145" s="43">
        <f t="shared" si="35"/>
        <v>0</v>
      </c>
      <c r="F145" s="43">
        <f t="shared" si="35"/>
        <v>-4203</v>
      </c>
      <c r="G145" s="43">
        <f t="shared" si="35"/>
        <v>1153</v>
      </c>
      <c r="H145" s="43">
        <f>H5-H75</f>
        <v>-1887</v>
      </c>
      <c r="I145" s="43">
        <f t="shared" si="35"/>
        <v>0</v>
      </c>
      <c r="J145" s="43">
        <f t="shared" si="35"/>
        <v>-1797</v>
      </c>
    </row>
    <row r="146" spans="1:10" x14ac:dyDescent="0.2">
      <c r="E146" s="43"/>
      <c r="F146" s="43"/>
      <c r="G146" s="43"/>
      <c r="H146" s="43"/>
      <c r="I146" s="43"/>
      <c r="J146" s="43"/>
    </row>
    <row r="147" spans="1:10" x14ac:dyDescent="0.2">
      <c r="B147" s="42" t="s">
        <v>155</v>
      </c>
      <c r="D147" s="40"/>
      <c r="E147" s="40"/>
      <c r="F147" s="40"/>
      <c r="G147" s="40"/>
      <c r="H147" s="40"/>
      <c r="I147" s="40"/>
      <c r="J147" s="40"/>
    </row>
    <row r="148" spans="1:10" x14ac:dyDescent="0.2">
      <c r="A148" s="39">
        <f>A145+1</f>
        <v>2</v>
      </c>
      <c r="B148" s="39" t="s">
        <v>141</v>
      </c>
      <c r="D148" s="43">
        <f t="shared" ref="D148:J150" si="36">D8-D78</f>
        <v>16090746</v>
      </c>
      <c r="E148" s="43">
        <f t="shared" si="36"/>
        <v>0</v>
      </c>
      <c r="F148" s="43">
        <f t="shared" si="36"/>
        <v>-21535506</v>
      </c>
      <c r="G148" s="43">
        <f t="shared" si="36"/>
        <v>5909305</v>
      </c>
      <c r="H148" s="43">
        <f>H8-H78</f>
        <v>-9667194</v>
      </c>
      <c r="I148" s="43">
        <f t="shared" si="36"/>
        <v>0</v>
      </c>
      <c r="J148" s="43">
        <f t="shared" si="36"/>
        <v>-9202649</v>
      </c>
    </row>
    <row r="149" spans="1:10" x14ac:dyDescent="0.2">
      <c r="A149" s="39">
        <f>A148+1</f>
        <v>3</v>
      </c>
      <c r="B149" s="42" t="s">
        <v>167</v>
      </c>
      <c r="C149" s="42"/>
      <c r="D149" s="43">
        <f t="shared" si="36"/>
        <v>37679</v>
      </c>
      <c r="E149" s="43">
        <f t="shared" si="36"/>
        <v>0</v>
      </c>
      <c r="F149" s="43">
        <f t="shared" si="36"/>
        <v>-50434</v>
      </c>
      <c r="G149" s="43">
        <f t="shared" si="36"/>
        <v>13837</v>
      </c>
      <c r="H149" s="43">
        <f>H9-H79</f>
        <v>-22640</v>
      </c>
      <c r="I149" s="43">
        <f t="shared" si="36"/>
        <v>0</v>
      </c>
      <c r="J149" s="43">
        <f t="shared" si="36"/>
        <v>-21558</v>
      </c>
    </row>
    <row r="150" spans="1:10" x14ac:dyDescent="0.2">
      <c r="A150" s="39">
        <f>A149+1</f>
        <v>4</v>
      </c>
      <c r="B150" s="39" t="s">
        <v>142</v>
      </c>
      <c r="D150" s="43">
        <f t="shared" si="36"/>
        <v>1790203</v>
      </c>
      <c r="E150" s="43">
        <f t="shared" si="36"/>
        <v>0</v>
      </c>
      <c r="F150" s="43">
        <f t="shared" si="36"/>
        <v>-1963477</v>
      </c>
      <c r="G150" s="43">
        <f t="shared" si="36"/>
        <v>296995</v>
      </c>
      <c r="H150" s="43">
        <f>H10-H80</f>
        <v>-257242</v>
      </c>
      <c r="I150" s="43">
        <f t="shared" si="36"/>
        <v>0</v>
      </c>
      <c r="J150" s="43">
        <f t="shared" si="36"/>
        <v>-133521</v>
      </c>
    </row>
    <row r="151" spans="1:10" x14ac:dyDescent="0.2">
      <c r="B151" s="42" t="s">
        <v>171</v>
      </c>
      <c r="D151" s="43"/>
      <c r="E151" s="43"/>
      <c r="F151" s="43"/>
      <c r="G151" s="43"/>
      <c r="H151" s="43"/>
      <c r="I151" s="43"/>
      <c r="J151" s="43"/>
    </row>
    <row r="152" spans="1:10" x14ac:dyDescent="0.2">
      <c r="A152" s="39">
        <f>A150+1</f>
        <v>5</v>
      </c>
      <c r="C152" s="39" t="s">
        <v>143</v>
      </c>
      <c r="D152" s="43">
        <f t="shared" ref="D152:J163" si="37">D12-D82</f>
        <v>15629499</v>
      </c>
      <c r="E152" s="43">
        <f t="shared" si="37"/>
        <v>0</v>
      </c>
      <c r="F152" s="43">
        <f t="shared" si="37"/>
        <v>-18835166</v>
      </c>
      <c r="G152" s="43">
        <f t="shared" si="37"/>
        <v>1881255</v>
      </c>
      <c r="H152" s="43">
        <f t="shared" si="37"/>
        <v>-3404735</v>
      </c>
      <c r="I152" s="43">
        <f t="shared" si="37"/>
        <v>-62253</v>
      </c>
      <c r="J152" s="43">
        <f t="shared" si="37"/>
        <v>-4791400</v>
      </c>
    </row>
    <row r="153" spans="1:10" x14ac:dyDescent="0.2">
      <c r="A153" s="39">
        <f t="shared" ref="A153:A163" si="38">A152+1</f>
        <v>6</v>
      </c>
      <c r="C153" s="39" t="s">
        <v>144</v>
      </c>
      <c r="D153" s="43">
        <f t="shared" si="37"/>
        <v>0</v>
      </c>
      <c r="E153" s="43">
        <f t="shared" si="37"/>
        <v>0</v>
      </c>
      <c r="F153" s="43">
        <f t="shared" si="37"/>
        <v>-20454</v>
      </c>
      <c r="G153" s="43">
        <f t="shared" si="37"/>
        <v>0</v>
      </c>
      <c r="H153" s="43">
        <f t="shared" si="37"/>
        <v>-36079</v>
      </c>
      <c r="I153" s="43">
        <f t="shared" si="37"/>
        <v>0</v>
      </c>
      <c r="J153" s="43">
        <f t="shared" si="37"/>
        <v>-56533</v>
      </c>
    </row>
    <row r="154" spans="1:10" x14ac:dyDescent="0.2">
      <c r="A154" s="39">
        <f t="shared" si="38"/>
        <v>7</v>
      </c>
      <c r="B154" s="42"/>
      <c r="C154" s="42" t="s">
        <v>170</v>
      </c>
      <c r="D154" s="43">
        <f t="shared" si="37"/>
        <v>-11544</v>
      </c>
      <c r="E154" s="43">
        <f t="shared" si="37"/>
        <v>0</v>
      </c>
      <c r="F154" s="43">
        <f t="shared" si="37"/>
        <v>-4785</v>
      </c>
      <c r="G154" s="43">
        <f t="shared" si="37"/>
        <v>19</v>
      </c>
      <c r="H154" s="43">
        <f t="shared" si="37"/>
        <v>-9622</v>
      </c>
      <c r="I154" s="43">
        <f t="shared" si="37"/>
        <v>0</v>
      </c>
      <c r="J154" s="43">
        <f t="shared" si="37"/>
        <v>-25932</v>
      </c>
    </row>
    <row r="155" spans="1:10" x14ac:dyDescent="0.2">
      <c r="A155" s="39">
        <f t="shared" si="38"/>
        <v>8</v>
      </c>
      <c r="B155" s="39" t="s">
        <v>145</v>
      </c>
      <c r="D155" s="43">
        <f t="shared" si="37"/>
        <v>-53152</v>
      </c>
      <c r="E155" s="43">
        <f t="shared" si="37"/>
        <v>0</v>
      </c>
      <c r="F155" s="43">
        <f t="shared" si="37"/>
        <v>0</v>
      </c>
      <c r="G155" s="43">
        <f t="shared" si="37"/>
        <v>23088</v>
      </c>
      <c r="H155" s="43">
        <f t="shared" si="37"/>
        <v>-50980</v>
      </c>
      <c r="I155" s="43">
        <f t="shared" si="37"/>
        <v>0</v>
      </c>
      <c r="J155" s="43">
        <f t="shared" si="37"/>
        <v>-81044</v>
      </c>
    </row>
    <row r="156" spans="1:10" x14ac:dyDescent="0.2">
      <c r="A156" s="39">
        <f t="shared" si="38"/>
        <v>9</v>
      </c>
      <c r="B156" s="39" t="s">
        <v>146</v>
      </c>
      <c r="D156" s="43">
        <f t="shared" si="37"/>
        <v>5164311</v>
      </c>
      <c r="E156" s="43">
        <f t="shared" si="37"/>
        <v>0</v>
      </c>
      <c r="F156" s="43">
        <f t="shared" si="37"/>
        <v>0</v>
      </c>
      <c r="G156" s="43">
        <f t="shared" si="37"/>
        <v>118052</v>
      </c>
      <c r="H156" s="43">
        <f t="shared" si="37"/>
        <v>-17677</v>
      </c>
      <c r="I156" s="43">
        <f t="shared" si="37"/>
        <v>0</v>
      </c>
      <c r="J156" s="43">
        <f t="shared" si="37"/>
        <v>5264686</v>
      </c>
    </row>
    <row r="157" spans="1:10" x14ac:dyDescent="0.2">
      <c r="A157" s="39">
        <f t="shared" si="38"/>
        <v>10</v>
      </c>
      <c r="B157" s="39" t="s">
        <v>148</v>
      </c>
      <c r="D157" s="43">
        <f t="shared" si="37"/>
        <v>2026</v>
      </c>
      <c r="E157" s="43">
        <f t="shared" si="37"/>
        <v>0</v>
      </c>
      <c r="F157" s="43">
        <f t="shared" si="37"/>
        <v>-511</v>
      </c>
      <c r="G157" s="43">
        <f t="shared" si="37"/>
        <v>236</v>
      </c>
      <c r="H157" s="43">
        <f t="shared" si="37"/>
        <v>-227</v>
      </c>
      <c r="I157" s="43">
        <f t="shared" si="37"/>
        <v>0</v>
      </c>
      <c r="J157" s="43">
        <f t="shared" si="37"/>
        <v>1524</v>
      </c>
    </row>
    <row r="158" spans="1:10" x14ac:dyDescent="0.2">
      <c r="A158" s="39">
        <f t="shared" si="38"/>
        <v>11</v>
      </c>
      <c r="B158" s="39" t="s">
        <v>244</v>
      </c>
      <c r="D158" s="43">
        <f t="shared" si="37"/>
        <v>0</v>
      </c>
      <c r="E158" s="43">
        <f t="shared" si="37"/>
        <v>0</v>
      </c>
      <c r="F158" s="43">
        <f t="shared" si="37"/>
        <v>0</v>
      </c>
      <c r="G158" s="43">
        <f t="shared" si="37"/>
        <v>0</v>
      </c>
      <c r="H158" s="43">
        <f t="shared" si="37"/>
        <v>0</v>
      </c>
      <c r="I158" s="43">
        <f t="shared" si="37"/>
        <v>0</v>
      </c>
      <c r="J158" s="43">
        <f t="shared" si="37"/>
        <v>0</v>
      </c>
    </row>
    <row r="159" spans="1:10" x14ac:dyDescent="0.2">
      <c r="A159" s="39">
        <f t="shared" si="38"/>
        <v>12</v>
      </c>
      <c r="B159" s="39" t="s">
        <v>147</v>
      </c>
      <c r="D159" s="43">
        <f t="shared" si="37"/>
        <v>634170</v>
      </c>
      <c r="E159" s="43">
        <f t="shared" si="37"/>
        <v>0</v>
      </c>
      <c r="F159" s="43">
        <f t="shared" si="37"/>
        <v>-862571</v>
      </c>
      <c r="G159" s="43">
        <f t="shared" si="37"/>
        <v>236094</v>
      </c>
      <c r="H159" s="43">
        <f t="shared" si="37"/>
        <v>-387215</v>
      </c>
      <c r="I159" s="43">
        <f t="shared" si="37"/>
        <v>0</v>
      </c>
      <c r="J159" s="43">
        <f t="shared" si="37"/>
        <v>-379522</v>
      </c>
    </row>
    <row r="160" spans="1:10" x14ac:dyDescent="0.2">
      <c r="A160" s="39">
        <f t="shared" si="38"/>
        <v>13</v>
      </c>
      <c r="B160" s="39" t="s">
        <v>149</v>
      </c>
      <c r="D160" s="43">
        <f t="shared" si="37"/>
        <v>1137475.2045619041</v>
      </c>
      <c r="E160" s="43">
        <f t="shared" si="37"/>
        <v>187700.79543808568</v>
      </c>
      <c r="F160" s="43">
        <f t="shared" si="37"/>
        <v>-393447</v>
      </c>
      <c r="G160" s="43">
        <f t="shared" si="37"/>
        <v>156823.00000001024</v>
      </c>
      <c r="H160" s="43">
        <f t="shared" si="37"/>
        <v>-175701</v>
      </c>
      <c r="I160" s="43">
        <f t="shared" si="37"/>
        <v>0</v>
      </c>
      <c r="J160" s="43">
        <f t="shared" si="37"/>
        <v>912851</v>
      </c>
    </row>
    <row r="161" spans="1:10" x14ac:dyDescent="0.2">
      <c r="A161" s="39">
        <f t="shared" si="38"/>
        <v>14</v>
      </c>
      <c r="B161" s="42" t="s">
        <v>173</v>
      </c>
      <c r="D161" s="43">
        <f t="shared" si="37"/>
        <v>-262048</v>
      </c>
      <c r="E161" s="43">
        <f t="shared" si="37"/>
        <v>0</v>
      </c>
      <c r="F161" s="43">
        <f t="shared" si="37"/>
        <v>-139483</v>
      </c>
      <c r="G161" s="43">
        <f t="shared" si="37"/>
        <v>47993</v>
      </c>
      <c r="H161" s="43">
        <f t="shared" si="37"/>
        <v>-4567</v>
      </c>
      <c r="I161" s="43">
        <f t="shared" si="37"/>
        <v>0</v>
      </c>
      <c r="J161" s="43">
        <f t="shared" si="37"/>
        <v>-358105</v>
      </c>
    </row>
    <row r="162" spans="1:10" x14ac:dyDescent="0.2">
      <c r="A162" s="39">
        <f t="shared" si="38"/>
        <v>15</v>
      </c>
      <c r="B162" s="42" t="s">
        <v>168</v>
      </c>
      <c r="C162" s="42"/>
      <c r="D162" s="43">
        <f t="shared" si="37"/>
        <v>8729238</v>
      </c>
      <c r="E162" s="43">
        <f t="shared" si="37"/>
        <v>-9315581</v>
      </c>
      <c r="F162" s="43">
        <f t="shared" si="37"/>
        <v>0</v>
      </c>
      <c r="G162" s="43">
        <f t="shared" si="37"/>
        <v>136010</v>
      </c>
      <c r="H162" s="43">
        <f t="shared" si="37"/>
        <v>0</v>
      </c>
      <c r="I162" s="43">
        <f t="shared" si="37"/>
        <v>0</v>
      </c>
      <c r="J162" s="43">
        <f t="shared" si="37"/>
        <v>-450333</v>
      </c>
    </row>
    <row r="163" spans="1:10" x14ac:dyDescent="0.2">
      <c r="A163" s="39">
        <f t="shared" si="38"/>
        <v>16</v>
      </c>
      <c r="B163" s="39" t="s">
        <v>150</v>
      </c>
      <c r="D163" s="43">
        <f t="shared" si="37"/>
        <v>3243816</v>
      </c>
      <c r="E163" s="43">
        <f t="shared" si="37"/>
        <v>0</v>
      </c>
      <c r="F163" s="43">
        <f t="shared" si="37"/>
        <v>-3116722</v>
      </c>
      <c r="G163" s="43">
        <f t="shared" si="37"/>
        <v>0</v>
      </c>
      <c r="H163" s="43">
        <f t="shared" si="37"/>
        <v>0</v>
      </c>
      <c r="I163" s="43">
        <f t="shared" si="37"/>
        <v>0</v>
      </c>
      <c r="J163" s="43">
        <f t="shared" si="37"/>
        <v>127094</v>
      </c>
    </row>
    <row r="164" spans="1:10" x14ac:dyDescent="0.2">
      <c r="B164" s="42" t="s">
        <v>172</v>
      </c>
      <c r="D164" s="43"/>
      <c r="E164" s="43"/>
      <c r="F164" s="43"/>
      <c r="G164" s="43"/>
      <c r="H164" s="43"/>
      <c r="I164" s="43"/>
      <c r="J164" s="43"/>
    </row>
    <row r="165" spans="1:10" x14ac:dyDescent="0.2">
      <c r="A165" s="39">
        <f>A163+1</f>
        <v>17</v>
      </c>
      <c r="B165" s="42"/>
      <c r="C165" s="42" t="s">
        <v>175</v>
      </c>
      <c r="D165" s="43">
        <f t="shared" ref="D165:J169" si="39">D25-D95</f>
        <v>-15700</v>
      </c>
      <c r="E165" s="43">
        <f t="shared" si="39"/>
        <v>0</v>
      </c>
      <c r="F165" s="43">
        <f t="shared" si="39"/>
        <v>-135481</v>
      </c>
      <c r="G165" s="43">
        <f t="shared" si="39"/>
        <v>119631</v>
      </c>
      <c r="H165" s="43">
        <f>H25-H95</f>
        <v>-40154</v>
      </c>
      <c r="I165" s="43">
        <f t="shared" si="39"/>
        <v>0</v>
      </c>
      <c r="J165" s="43">
        <f t="shared" si="39"/>
        <v>-71704</v>
      </c>
    </row>
    <row r="166" spans="1:10" x14ac:dyDescent="0.2">
      <c r="A166" s="39">
        <f>A165+1</f>
        <v>18</v>
      </c>
      <c r="B166" s="42"/>
      <c r="C166" s="42" t="s">
        <v>182</v>
      </c>
      <c r="D166" s="43">
        <f t="shared" si="39"/>
        <v>-74931</v>
      </c>
      <c r="E166" s="43">
        <f t="shared" si="39"/>
        <v>0</v>
      </c>
      <c r="F166" s="43">
        <f t="shared" si="39"/>
        <v>0</v>
      </c>
      <c r="G166" s="43">
        <f t="shared" si="39"/>
        <v>75405</v>
      </c>
      <c r="H166" s="43">
        <f>H26-H96</f>
        <v>0</v>
      </c>
      <c r="I166" s="43">
        <f t="shared" si="39"/>
        <v>0</v>
      </c>
      <c r="J166" s="43">
        <f t="shared" si="39"/>
        <v>474</v>
      </c>
    </row>
    <row r="167" spans="1:10" x14ac:dyDescent="0.2">
      <c r="A167" s="39">
        <f>A166+1</f>
        <v>19</v>
      </c>
      <c r="B167" s="42"/>
      <c r="C167" s="42" t="s">
        <v>201</v>
      </c>
      <c r="D167" s="43">
        <f t="shared" si="39"/>
        <v>0</v>
      </c>
      <c r="E167" s="43">
        <f t="shared" si="39"/>
        <v>0</v>
      </c>
      <c r="F167" s="43">
        <f t="shared" si="39"/>
        <v>0</v>
      </c>
      <c r="G167" s="43">
        <f t="shared" si="39"/>
        <v>0</v>
      </c>
      <c r="H167" s="43">
        <f>H27-H97</f>
        <v>0</v>
      </c>
      <c r="I167" s="43">
        <f t="shared" si="39"/>
        <v>0</v>
      </c>
      <c r="J167" s="43">
        <f t="shared" si="39"/>
        <v>0</v>
      </c>
    </row>
    <row r="168" spans="1:10" x14ac:dyDescent="0.2">
      <c r="A168" s="39">
        <f>A167+1</f>
        <v>20</v>
      </c>
      <c r="B168" s="42"/>
      <c r="C168" s="42" t="s">
        <v>183</v>
      </c>
      <c r="D168" s="43">
        <f t="shared" si="39"/>
        <v>90939</v>
      </c>
      <c r="E168" s="43">
        <f t="shared" si="39"/>
        <v>0</v>
      </c>
      <c r="F168" s="43">
        <f t="shared" si="39"/>
        <v>0</v>
      </c>
      <c r="G168" s="43">
        <f t="shared" si="39"/>
        <v>-49463</v>
      </c>
      <c r="H168" s="43">
        <f>H28-H98</f>
        <v>0</v>
      </c>
      <c r="I168" s="43">
        <f t="shared" si="39"/>
        <v>0</v>
      </c>
      <c r="J168" s="43">
        <f t="shared" si="39"/>
        <v>41476</v>
      </c>
    </row>
    <row r="169" spans="1:10" x14ac:dyDescent="0.2">
      <c r="A169" s="39">
        <f>A168+1</f>
        <v>21</v>
      </c>
      <c r="B169" s="42"/>
      <c r="C169" s="42" t="s">
        <v>251</v>
      </c>
      <c r="D169" s="43">
        <f t="shared" si="39"/>
        <v>1</v>
      </c>
      <c r="E169" s="43">
        <f t="shared" si="39"/>
        <v>0</v>
      </c>
      <c r="F169" s="43">
        <f t="shared" si="39"/>
        <v>0</v>
      </c>
      <c r="G169" s="43">
        <f t="shared" si="39"/>
        <v>0</v>
      </c>
      <c r="H169" s="43">
        <f>H29-H99</f>
        <v>0</v>
      </c>
      <c r="I169" s="43">
        <f t="shared" si="39"/>
        <v>0</v>
      </c>
      <c r="J169" s="43">
        <f t="shared" si="39"/>
        <v>1</v>
      </c>
    </row>
    <row r="170" spans="1:10" x14ac:dyDescent="0.2">
      <c r="D170" s="41"/>
      <c r="E170" s="41"/>
      <c r="F170" s="41"/>
      <c r="G170" s="41"/>
      <c r="H170" s="41"/>
      <c r="I170" s="41"/>
      <c r="J170" s="41"/>
    </row>
    <row r="171" spans="1:10" x14ac:dyDescent="0.2">
      <c r="A171" s="39">
        <f>A169+1</f>
        <v>22</v>
      </c>
      <c r="B171" s="42" t="s">
        <v>158</v>
      </c>
      <c r="D171" s="43">
        <f t="shared" ref="D171:J171" si="40">D31-D101</f>
        <v>52132728.204562187</v>
      </c>
      <c r="E171" s="43">
        <f t="shared" si="40"/>
        <v>-9127880.204561919</v>
      </c>
      <c r="F171" s="43">
        <f t="shared" si="40"/>
        <v>-47058037</v>
      </c>
      <c r="G171" s="43">
        <f t="shared" si="40"/>
        <v>8965280</v>
      </c>
      <c r="H171" s="43">
        <f>H31-H101</f>
        <v>-14074033</v>
      </c>
      <c r="I171" s="43">
        <f t="shared" si="40"/>
        <v>-62253</v>
      </c>
      <c r="J171" s="43">
        <f t="shared" si="40"/>
        <v>-9224195</v>
      </c>
    </row>
    <row r="172" spans="1:10" x14ac:dyDescent="0.2">
      <c r="D172" s="41"/>
      <c r="E172" s="41"/>
      <c r="F172" s="41"/>
      <c r="G172" s="41"/>
      <c r="H172" s="41"/>
      <c r="I172" s="41"/>
      <c r="J172" s="41"/>
    </row>
    <row r="173" spans="1:10" x14ac:dyDescent="0.2">
      <c r="B173" s="42" t="s">
        <v>156</v>
      </c>
      <c r="C173" s="42"/>
      <c r="D173" s="41"/>
      <c r="E173" s="41"/>
      <c r="F173" s="41"/>
      <c r="G173" s="41"/>
      <c r="H173" s="41"/>
      <c r="I173" s="41"/>
      <c r="J173" s="41"/>
    </row>
    <row r="174" spans="1:10" x14ac:dyDescent="0.2">
      <c r="A174" s="39">
        <f>A171+1</f>
        <v>23</v>
      </c>
      <c r="B174" s="39" t="s">
        <v>153</v>
      </c>
      <c r="D174" s="43">
        <f t="shared" ref="D174:J178" si="41">D34-D104</f>
        <v>-3637331</v>
      </c>
      <c r="E174" s="43">
        <f t="shared" si="41"/>
        <v>0</v>
      </c>
      <c r="F174" s="43">
        <f t="shared" si="41"/>
        <v>-284980</v>
      </c>
      <c r="G174" s="43">
        <f t="shared" si="41"/>
        <v>0</v>
      </c>
      <c r="H174" s="43">
        <f>H34-H104</f>
        <v>0</v>
      </c>
      <c r="I174" s="43">
        <f t="shared" si="41"/>
        <v>0</v>
      </c>
      <c r="J174" s="43">
        <f t="shared" si="41"/>
        <v>-3922311</v>
      </c>
    </row>
    <row r="175" spans="1:10" x14ac:dyDescent="0.2">
      <c r="A175" s="39">
        <f>A174+1</f>
        <v>24</v>
      </c>
      <c r="B175" s="39" t="s">
        <v>152</v>
      </c>
      <c r="D175" s="43">
        <f t="shared" si="41"/>
        <v>833550.99859850109</v>
      </c>
      <c r="E175" s="43">
        <f t="shared" si="41"/>
        <v>114649.34659153293</v>
      </c>
      <c r="F175" s="43">
        <f t="shared" si="41"/>
        <v>-170917.34519003402</v>
      </c>
      <c r="G175" s="43">
        <f t="shared" si="41"/>
        <v>0</v>
      </c>
      <c r="H175" s="43">
        <f>H35-H105</f>
        <v>0</v>
      </c>
      <c r="I175" s="43">
        <f t="shared" si="41"/>
        <v>0</v>
      </c>
      <c r="J175" s="43">
        <f t="shared" si="41"/>
        <v>777283</v>
      </c>
    </row>
    <row r="176" spans="1:10" x14ac:dyDescent="0.2">
      <c r="A176" s="39">
        <f>A175+1</f>
        <v>25</v>
      </c>
      <c r="B176" s="42" t="s">
        <v>174</v>
      </c>
      <c r="D176" s="43">
        <f t="shared" si="41"/>
        <v>-278525</v>
      </c>
      <c r="E176" s="43">
        <f t="shared" si="41"/>
        <v>0</v>
      </c>
      <c r="F176" s="43">
        <f t="shared" si="41"/>
        <v>-70346</v>
      </c>
      <c r="G176" s="43">
        <f t="shared" si="41"/>
        <v>0</v>
      </c>
      <c r="H176" s="43">
        <f>H36-H106</f>
        <v>0</v>
      </c>
      <c r="I176" s="43">
        <f t="shared" si="41"/>
        <v>0</v>
      </c>
      <c r="J176" s="43">
        <f t="shared" si="41"/>
        <v>-348871</v>
      </c>
    </row>
    <row r="177" spans="1:10" x14ac:dyDescent="0.2">
      <c r="A177" s="39">
        <f>A176+1</f>
        <v>26</v>
      </c>
      <c r="B177" s="42" t="s">
        <v>168</v>
      </c>
      <c r="C177" s="42"/>
      <c r="D177" s="43">
        <f t="shared" si="41"/>
        <v>1681685</v>
      </c>
      <c r="E177" s="43">
        <f t="shared" si="41"/>
        <v>-2885218</v>
      </c>
      <c r="F177" s="43">
        <f t="shared" si="41"/>
        <v>0</v>
      </c>
      <c r="G177" s="43">
        <f t="shared" si="41"/>
        <v>0</v>
      </c>
      <c r="H177" s="43">
        <f>H37-H107</f>
        <v>0</v>
      </c>
      <c r="I177" s="43">
        <f t="shared" si="41"/>
        <v>0</v>
      </c>
      <c r="J177" s="43">
        <f t="shared" si="41"/>
        <v>-1203533</v>
      </c>
    </row>
    <row r="178" spans="1:10" x14ac:dyDescent="0.2">
      <c r="A178" s="39">
        <f>A177+1</f>
        <v>27</v>
      </c>
      <c r="B178" s="39" t="s">
        <v>154</v>
      </c>
      <c r="D178" s="43">
        <f t="shared" si="41"/>
        <v>1648137</v>
      </c>
      <c r="E178" s="43">
        <f t="shared" si="41"/>
        <v>0</v>
      </c>
      <c r="F178" s="43">
        <f t="shared" si="41"/>
        <v>-1965052</v>
      </c>
      <c r="G178" s="43">
        <f t="shared" si="41"/>
        <v>0</v>
      </c>
      <c r="H178" s="43">
        <f>H38-H108</f>
        <v>0</v>
      </c>
      <c r="I178" s="43">
        <f t="shared" si="41"/>
        <v>0</v>
      </c>
      <c r="J178" s="43">
        <f t="shared" si="41"/>
        <v>-316915</v>
      </c>
    </row>
    <row r="179" spans="1:10" x14ac:dyDescent="0.2">
      <c r="D179" s="41"/>
      <c r="E179" s="41"/>
      <c r="F179" s="41"/>
      <c r="G179" s="41"/>
      <c r="H179" s="41"/>
      <c r="I179" s="41"/>
      <c r="J179" s="41"/>
    </row>
    <row r="180" spans="1:10" x14ac:dyDescent="0.2">
      <c r="A180" s="39">
        <f>A178+1</f>
        <v>28</v>
      </c>
      <c r="B180" s="42" t="s">
        <v>159</v>
      </c>
      <c r="C180" s="42"/>
      <c r="D180" s="43">
        <f t="shared" ref="D180:J180" si="42">D40-D110</f>
        <v>247516.99859857559</v>
      </c>
      <c r="E180" s="43">
        <f t="shared" si="42"/>
        <v>-2770568.6534084678</v>
      </c>
      <c r="F180" s="43">
        <f t="shared" si="42"/>
        <v>-2491295.3451900333</v>
      </c>
      <c r="G180" s="43">
        <f t="shared" si="42"/>
        <v>0</v>
      </c>
      <c r="H180" s="43">
        <f>H40-H110</f>
        <v>0</v>
      </c>
      <c r="I180" s="43">
        <f t="shared" si="42"/>
        <v>0</v>
      </c>
      <c r="J180" s="43">
        <f t="shared" si="42"/>
        <v>-5014347</v>
      </c>
    </row>
    <row r="181" spans="1:10" x14ac:dyDescent="0.2">
      <c r="B181" s="42"/>
      <c r="C181" s="42"/>
      <c r="D181" s="41"/>
      <c r="E181" s="41"/>
      <c r="F181" s="41"/>
      <c r="G181" s="41"/>
      <c r="H181" s="41"/>
      <c r="I181" s="41"/>
      <c r="J181" s="41"/>
    </row>
    <row r="182" spans="1:10" x14ac:dyDescent="0.2">
      <c r="B182" s="42" t="s">
        <v>157</v>
      </c>
      <c r="C182" s="42"/>
      <c r="D182" s="41"/>
      <c r="E182" s="41"/>
      <c r="F182" s="41"/>
      <c r="G182" s="41"/>
      <c r="H182" s="41"/>
      <c r="I182" s="41"/>
      <c r="J182" s="41"/>
    </row>
    <row r="183" spans="1:10" x14ac:dyDescent="0.2">
      <c r="A183" s="39">
        <f>A180+1</f>
        <v>29</v>
      </c>
      <c r="B183" s="39" t="s">
        <v>141</v>
      </c>
      <c r="D183" s="43">
        <f t="shared" ref="D183:J185" si="43">D43-D113</f>
        <v>16090746</v>
      </c>
      <c r="E183" s="43">
        <f t="shared" si="43"/>
        <v>0</v>
      </c>
      <c r="F183" s="43">
        <f t="shared" si="43"/>
        <v>-21535506</v>
      </c>
      <c r="G183" s="43">
        <f t="shared" si="43"/>
        <v>5909305</v>
      </c>
      <c r="H183" s="43">
        <f>H43-H113</f>
        <v>-9667194</v>
      </c>
      <c r="I183" s="43">
        <f t="shared" si="43"/>
        <v>0</v>
      </c>
      <c r="J183" s="43">
        <f t="shared" si="43"/>
        <v>-9202649</v>
      </c>
    </row>
    <row r="184" spans="1:10" x14ac:dyDescent="0.2">
      <c r="A184" s="39">
        <f>A183+1</f>
        <v>30</v>
      </c>
      <c r="B184" s="42" t="s">
        <v>167</v>
      </c>
      <c r="C184" s="42"/>
      <c r="D184" s="43">
        <f t="shared" si="43"/>
        <v>37679</v>
      </c>
      <c r="E184" s="43">
        <f t="shared" si="43"/>
        <v>0</v>
      </c>
      <c r="F184" s="43">
        <f t="shared" si="43"/>
        <v>-50434</v>
      </c>
      <c r="G184" s="43">
        <f t="shared" si="43"/>
        <v>13837</v>
      </c>
      <c r="H184" s="43">
        <f>H44-H114</f>
        <v>-22640</v>
      </c>
      <c r="I184" s="43">
        <f t="shared" si="43"/>
        <v>0</v>
      </c>
      <c r="J184" s="43">
        <f t="shared" si="43"/>
        <v>-21558</v>
      </c>
    </row>
    <row r="185" spans="1:10" x14ac:dyDescent="0.2">
      <c r="A185" s="39">
        <f>A184+1</f>
        <v>31</v>
      </c>
      <c r="B185" s="39" t="s">
        <v>142</v>
      </c>
      <c r="D185" s="43">
        <f t="shared" si="43"/>
        <v>1790203</v>
      </c>
      <c r="E185" s="43">
        <f t="shared" si="43"/>
        <v>0</v>
      </c>
      <c r="F185" s="43">
        <f t="shared" si="43"/>
        <v>-1963477</v>
      </c>
      <c r="G185" s="43">
        <f t="shared" si="43"/>
        <v>296995</v>
      </c>
      <c r="H185" s="43">
        <f>H45-H115</f>
        <v>-257242</v>
      </c>
      <c r="I185" s="43">
        <f t="shared" si="43"/>
        <v>0</v>
      </c>
      <c r="J185" s="43">
        <f t="shared" si="43"/>
        <v>-133521</v>
      </c>
    </row>
    <row r="186" spans="1:10" x14ac:dyDescent="0.2">
      <c r="B186" s="42" t="s">
        <v>171</v>
      </c>
      <c r="D186" s="43"/>
      <c r="E186" s="43"/>
      <c r="F186" s="43"/>
      <c r="G186" s="43"/>
      <c r="H186" s="43"/>
      <c r="I186" s="43"/>
      <c r="J186" s="43"/>
    </row>
    <row r="187" spans="1:10" x14ac:dyDescent="0.2">
      <c r="A187" s="39">
        <f>A185+1</f>
        <v>32</v>
      </c>
      <c r="C187" s="39" t="s">
        <v>143</v>
      </c>
      <c r="D187" s="43">
        <f t="shared" ref="D187:J199" si="44">D47-D117</f>
        <v>15629499</v>
      </c>
      <c r="E187" s="43">
        <f t="shared" si="44"/>
        <v>0</v>
      </c>
      <c r="F187" s="43">
        <f t="shared" si="44"/>
        <v>-18835166</v>
      </c>
      <c r="G187" s="43">
        <f t="shared" si="44"/>
        <v>1881255</v>
      </c>
      <c r="H187" s="43">
        <f t="shared" si="44"/>
        <v>-3404735</v>
      </c>
      <c r="I187" s="43">
        <f t="shared" si="44"/>
        <v>-62253</v>
      </c>
      <c r="J187" s="43">
        <f t="shared" si="44"/>
        <v>-4791400</v>
      </c>
    </row>
    <row r="188" spans="1:10" x14ac:dyDescent="0.2">
      <c r="A188" s="39">
        <f t="shared" ref="A188:A199" si="45">A187+1</f>
        <v>33</v>
      </c>
      <c r="C188" s="39" t="s">
        <v>144</v>
      </c>
      <c r="D188" s="43">
        <f t="shared" si="44"/>
        <v>0</v>
      </c>
      <c r="E188" s="43">
        <f t="shared" si="44"/>
        <v>0</v>
      </c>
      <c r="F188" s="43">
        <f t="shared" si="44"/>
        <v>-20454</v>
      </c>
      <c r="G188" s="43">
        <f t="shared" si="44"/>
        <v>0</v>
      </c>
      <c r="H188" s="43">
        <f t="shared" si="44"/>
        <v>-36079</v>
      </c>
      <c r="I188" s="43">
        <f t="shared" si="44"/>
        <v>0</v>
      </c>
      <c r="J188" s="43">
        <f t="shared" si="44"/>
        <v>-56533</v>
      </c>
    </row>
    <row r="189" spans="1:10" x14ac:dyDescent="0.2">
      <c r="A189" s="39">
        <f t="shared" si="45"/>
        <v>34</v>
      </c>
      <c r="B189" s="42"/>
      <c r="C189" s="42" t="s">
        <v>170</v>
      </c>
      <c r="D189" s="43">
        <f t="shared" si="44"/>
        <v>-11544</v>
      </c>
      <c r="E189" s="43">
        <f t="shared" si="44"/>
        <v>0</v>
      </c>
      <c r="F189" s="43">
        <f t="shared" si="44"/>
        <v>-4785</v>
      </c>
      <c r="G189" s="43">
        <f t="shared" si="44"/>
        <v>19</v>
      </c>
      <c r="H189" s="43">
        <f t="shared" si="44"/>
        <v>-9622</v>
      </c>
      <c r="I189" s="43">
        <f t="shared" si="44"/>
        <v>0</v>
      </c>
      <c r="J189" s="43">
        <f t="shared" si="44"/>
        <v>-25932</v>
      </c>
    </row>
    <row r="190" spans="1:10" x14ac:dyDescent="0.2">
      <c r="A190" s="39">
        <f t="shared" si="45"/>
        <v>35</v>
      </c>
      <c r="B190" s="39" t="s">
        <v>145</v>
      </c>
      <c r="D190" s="43">
        <f t="shared" si="44"/>
        <v>-53152</v>
      </c>
      <c r="E190" s="43">
        <f t="shared" si="44"/>
        <v>0</v>
      </c>
      <c r="F190" s="43">
        <f t="shared" si="44"/>
        <v>0</v>
      </c>
      <c r="G190" s="43">
        <f t="shared" si="44"/>
        <v>23088</v>
      </c>
      <c r="H190" s="43">
        <f t="shared" si="44"/>
        <v>-50980</v>
      </c>
      <c r="I190" s="43">
        <f t="shared" si="44"/>
        <v>0</v>
      </c>
      <c r="J190" s="43">
        <f t="shared" si="44"/>
        <v>-81044</v>
      </c>
    </row>
    <row r="191" spans="1:10" x14ac:dyDescent="0.2">
      <c r="A191" s="39">
        <f t="shared" si="45"/>
        <v>36</v>
      </c>
      <c r="B191" s="39" t="s">
        <v>146</v>
      </c>
      <c r="D191" s="43">
        <f t="shared" si="44"/>
        <v>5164311</v>
      </c>
      <c r="E191" s="43">
        <f t="shared" si="44"/>
        <v>0</v>
      </c>
      <c r="F191" s="43">
        <f t="shared" si="44"/>
        <v>0</v>
      </c>
      <c r="G191" s="43">
        <f t="shared" si="44"/>
        <v>118052</v>
      </c>
      <c r="H191" s="43">
        <f t="shared" si="44"/>
        <v>-17677</v>
      </c>
      <c r="I191" s="43">
        <f t="shared" si="44"/>
        <v>0</v>
      </c>
      <c r="J191" s="43">
        <f t="shared" si="44"/>
        <v>5264686</v>
      </c>
    </row>
    <row r="192" spans="1:10" x14ac:dyDescent="0.2">
      <c r="A192" s="39">
        <f t="shared" si="45"/>
        <v>37</v>
      </c>
      <c r="B192" s="39" t="s">
        <v>148</v>
      </c>
      <c r="D192" s="43">
        <f t="shared" si="44"/>
        <v>2026</v>
      </c>
      <c r="E192" s="43">
        <f t="shared" si="44"/>
        <v>0</v>
      </c>
      <c r="F192" s="43">
        <f t="shared" si="44"/>
        <v>-511</v>
      </c>
      <c r="G192" s="43">
        <f t="shared" si="44"/>
        <v>236</v>
      </c>
      <c r="H192" s="43">
        <f t="shared" si="44"/>
        <v>-227</v>
      </c>
      <c r="I192" s="43">
        <f t="shared" si="44"/>
        <v>0</v>
      </c>
      <c r="J192" s="43">
        <f t="shared" si="44"/>
        <v>1524</v>
      </c>
    </row>
    <row r="193" spans="1:10" x14ac:dyDescent="0.2">
      <c r="A193" s="39">
        <f t="shared" si="45"/>
        <v>38</v>
      </c>
      <c r="B193" s="39" t="s">
        <v>244</v>
      </c>
      <c r="D193" s="43">
        <f t="shared" si="44"/>
        <v>0</v>
      </c>
      <c r="E193" s="43">
        <f t="shared" si="44"/>
        <v>0</v>
      </c>
      <c r="F193" s="43">
        <f t="shared" si="44"/>
        <v>0</v>
      </c>
      <c r="G193" s="43">
        <f t="shared" si="44"/>
        <v>0</v>
      </c>
      <c r="H193" s="43">
        <f t="shared" si="44"/>
        <v>0</v>
      </c>
      <c r="I193" s="43">
        <f t="shared" si="44"/>
        <v>0</v>
      </c>
      <c r="J193" s="43">
        <f t="shared" si="44"/>
        <v>0</v>
      </c>
    </row>
    <row r="194" spans="1:10" x14ac:dyDescent="0.2">
      <c r="A194" s="39">
        <f t="shared" si="45"/>
        <v>39</v>
      </c>
      <c r="B194" s="39" t="s">
        <v>147</v>
      </c>
      <c r="D194" s="43">
        <f t="shared" si="44"/>
        <v>4271501</v>
      </c>
      <c r="E194" s="43">
        <f t="shared" si="44"/>
        <v>0</v>
      </c>
      <c r="F194" s="43">
        <f t="shared" si="44"/>
        <v>-577591</v>
      </c>
      <c r="G194" s="43">
        <f t="shared" si="44"/>
        <v>236094</v>
      </c>
      <c r="H194" s="43">
        <f t="shared" si="44"/>
        <v>-387215</v>
      </c>
      <c r="I194" s="43">
        <f t="shared" si="44"/>
        <v>0</v>
      </c>
      <c r="J194" s="43">
        <f t="shared" si="44"/>
        <v>3542789</v>
      </c>
    </row>
    <row r="195" spans="1:10" x14ac:dyDescent="0.2">
      <c r="A195" s="39">
        <f t="shared" si="45"/>
        <v>40</v>
      </c>
      <c r="B195" s="39" t="s">
        <v>149</v>
      </c>
      <c r="D195" s="43">
        <f t="shared" si="44"/>
        <v>303924.20596340299</v>
      </c>
      <c r="E195" s="43">
        <f t="shared" si="44"/>
        <v>73051.448846552754</v>
      </c>
      <c r="F195" s="43">
        <f t="shared" si="44"/>
        <v>-222529.65480996575</v>
      </c>
      <c r="G195" s="43">
        <f t="shared" si="44"/>
        <v>156823.00000001024</v>
      </c>
      <c r="H195" s="43">
        <f t="shared" si="44"/>
        <v>-175701</v>
      </c>
      <c r="I195" s="43">
        <f t="shared" si="44"/>
        <v>0</v>
      </c>
      <c r="J195" s="43">
        <f t="shared" si="44"/>
        <v>135568</v>
      </c>
    </row>
    <row r="196" spans="1:10" x14ac:dyDescent="0.2">
      <c r="A196" s="39">
        <f t="shared" si="45"/>
        <v>41</v>
      </c>
      <c r="B196" s="42" t="s">
        <v>173</v>
      </c>
      <c r="D196" s="43">
        <f t="shared" si="44"/>
        <v>16477</v>
      </c>
      <c r="E196" s="43">
        <f t="shared" si="44"/>
        <v>0</v>
      </c>
      <c r="F196" s="43">
        <f t="shared" si="44"/>
        <v>-69137</v>
      </c>
      <c r="G196" s="43">
        <f t="shared" si="44"/>
        <v>47993</v>
      </c>
      <c r="H196" s="43">
        <f t="shared" si="44"/>
        <v>-4567</v>
      </c>
      <c r="I196" s="43">
        <f t="shared" si="44"/>
        <v>0</v>
      </c>
      <c r="J196" s="43">
        <f t="shared" si="44"/>
        <v>-9234</v>
      </c>
    </row>
    <row r="197" spans="1:10" x14ac:dyDescent="0.2">
      <c r="A197" s="39">
        <f t="shared" si="45"/>
        <v>42</v>
      </c>
      <c r="B197" s="42" t="s">
        <v>168</v>
      </c>
      <c r="C197" s="42"/>
      <c r="D197" s="43">
        <f t="shared" si="44"/>
        <v>7047553</v>
      </c>
      <c r="E197" s="43">
        <f t="shared" si="44"/>
        <v>-6430363</v>
      </c>
      <c r="F197" s="43">
        <f t="shared" si="44"/>
        <v>0</v>
      </c>
      <c r="G197" s="43">
        <f t="shared" si="44"/>
        <v>136010</v>
      </c>
      <c r="H197" s="43">
        <f t="shared" si="44"/>
        <v>0</v>
      </c>
      <c r="I197" s="43">
        <f t="shared" si="44"/>
        <v>0</v>
      </c>
      <c r="J197" s="43">
        <f t="shared" si="44"/>
        <v>753200</v>
      </c>
    </row>
    <row r="198" spans="1:10" x14ac:dyDescent="0.2">
      <c r="A198" s="39">
        <f t="shared" si="45"/>
        <v>43</v>
      </c>
      <c r="B198" s="42" t="s">
        <v>163</v>
      </c>
      <c r="C198" s="42"/>
      <c r="D198" s="43">
        <f t="shared" si="44"/>
        <v>1574991</v>
      </c>
      <c r="E198" s="43">
        <f t="shared" si="44"/>
        <v>0</v>
      </c>
      <c r="F198" s="43">
        <f t="shared" si="44"/>
        <v>-1151670</v>
      </c>
      <c r="G198" s="43">
        <f t="shared" si="44"/>
        <v>0</v>
      </c>
      <c r="H198" s="43">
        <f t="shared" si="44"/>
        <v>0</v>
      </c>
      <c r="I198" s="43">
        <f t="shared" si="44"/>
        <v>0</v>
      </c>
      <c r="J198" s="43">
        <f t="shared" si="44"/>
        <v>423321</v>
      </c>
    </row>
    <row r="199" spans="1:10" x14ac:dyDescent="0.2">
      <c r="A199" s="39">
        <f t="shared" si="45"/>
        <v>44</v>
      </c>
      <c r="B199" s="39" t="s">
        <v>151</v>
      </c>
      <c r="D199" s="43">
        <f t="shared" si="44"/>
        <v>20688</v>
      </c>
      <c r="E199" s="43">
        <f t="shared" si="44"/>
        <v>0</v>
      </c>
      <c r="F199" s="43">
        <f t="shared" si="44"/>
        <v>0</v>
      </c>
      <c r="G199" s="43">
        <f t="shared" si="44"/>
        <v>0</v>
      </c>
      <c r="H199" s="43">
        <f t="shared" si="44"/>
        <v>0</v>
      </c>
      <c r="I199" s="43">
        <f t="shared" si="44"/>
        <v>0</v>
      </c>
      <c r="J199" s="43">
        <f t="shared" si="44"/>
        <v>20688</v>
      </c>
    </row>
    <row r="200" spans="1:10" x14ac:dyDescent="0.2">
      <c r="B200" s="42" t="s">
        <v>172</v>
      </c>
      <c r="D200" s="43"/>
      <c r="E200" s="43"/>
      <c r="F200" s="43"/>
      <c r="G200" s="43"/>
      <c r="H200" s="43"/>
      <c r="I200" s="43"/>
      <c r="J200" s="43"/>
    </row>
    <row r="201" spans="1:10" x14ac:dyDescent="0.2">
      <c r="A201" s="39">
        <f>A199+1</f>
        <v>45</v>
      </c>
      <c r="B201" s="42"/>
      <c r="C201" s="42" t="s">
        <v>175</v>
      </c>
      <c r="D201" s="43">
        <f t="shared" ref="D201:J205" si="46">D61-D131</f>
        <v>-15700</v>
      </c>
      <c r="E201" s="43">
        <f t="shared" si="46"/>
        <v>0</v>
      </c>
      <c r="F201" s="43">
        <f t="shared" si="46"/>
        <v>-135481</v>
      </c>
      <c r="G201" s="43">
        <f t="shared" si="46"/>
        <v>119631</v>
      </c>
      <c r="H201" s="43">
        <f>H61-H131</f>
        <v>-40154</v>
      </c>
      <c r="I201" s="43">
        <f t="shared" si="46"/>
        <v>0</v>
      </c>
      <c r="J201" s="43">
        <f t="shared" si="46"/>
        <v>-71704</v>
      </c>
    </row>
    <row r="202" spans="1:10" x14ac:dyDescent="0.2">
      <c r="A202" s="39">
        <f>A201+1</f>
        <v>46</v>
      </c>
      <c r="B202" s="42"/>
      <c r="C202" s="42" t="s">
        <v>182</v>
      </c>
      <c r="D202" s="43">
        <f t="shared" si="46"/>
        <v>-74931</v>
      </c>
      <c r="E202" s="43">
        <f t="shared" si="46"/>
        <v>0</v>
      </c>
      <c r="F202" s="43">
        <f t="shared" si="46"/>
        <v>0</v>
      </c>
      <c r="G202" s="43">
        <f t="shared" si="46"/>
        <v>75405</v>
      </c>
      <c r="H202" s="43">
        <f>H62-H132</f>
        <v>0</v>
      </c>
      <c r="I202" s="43">
        <f t="shared" si="46"/>
        <v>0</v>
      </c>
      <c r="J202" s="43">
        <f t="shared" si="46"/>
        <v>474</v>
      </c>
    </row>
    <row r="203" spans="1:10" x14ac:dyDescent="0.2">
      <c r="A203" s="39">
        <f>A202+1</f>
        <v>47</v>
      </c>
      <c r="B203" s="42"/>
      <c r="C203" s="42" t="s">
        <v>201</v>
      </c>
      <c r="D203" s="43">
        <f t="shared" si="46"/>
        <v>0</v>
      </c>
      <c r="E203" s="43">
        <f t="shared" si="46"/>
        <v>0</v>
      </c>
      <c r="F203" s="43">
        <f t="shared" si="46"/>
        <v>0</v>
      </c>
      <c r="G203" s="43">
        <f t="shared" si="46"/>
        <v>0</v>
      </c>
      <c r="H203" s="43">
        <f>H63-H133</f>
        <v>0</v>
      </c>
      <c r="I203" s="43">
        <f t="shared" si="46"/>
        <v>0</v>
      </c>
      <c r="J203" s="43">
        <f t="shared" si="46"/>
        <v>0</v>
      </c>
    </row>
    <row r="204" spans="1:10" x14ac:dyDescent="0.2">
      <c r="A204" s="39">
        <f>A203+1</f>
        <v>48</v>
      </c>
      <c r="B204" s="42"/>
      <c r="C204" s="42" t="s">
        <v>183</v>
      </c>
      <c r="D204" s="43">
        <f t="shared" si="46"/>
        <v>90939</v>
      </c>
      <c r="E204" s="43">
        <f t="shared" si="46"/>
        <v>0</v>
      </c>
      <c r="F204" s="43">
        <f t="shared" si="46"/>
        <v>0</v>
      </c>
      <c r="G204" s="43">
        <f t="shared" si="46"/>
        <v>-49463</v>
      </c>
      <c r="H204" s="43">
        <f>H64-H134</f>
        <v>0</v>
      </c>
      <c r="I204" s="43">
        <f t="shared" si="46"/>
        <v>0</v>
      </c>
      <c r="J204" s="43">
        <f t="shared" si="46"/>
        <v>41476</v>
      </c>
    </row>
    <row r="205" spans="1:10" x14ac:dyDescent="0.2">
      <c r="A205" s="39">
        <f>A204+1</f>
        <v>49</v>
      </c>
      <c r="B205" s="42"/>
      <c r="C205" s="42" t="s">
        <v>251</v>
      </c>
      <c r="D205" s="43">
        <f t="shared" si="46"/>
        <v>1</v>
      </c>
      <c r="E205" s="43">
        <f t="shared" si="46"/>
        <v>0</v>
      </c>
      <c r="F205" s="43">
        <f t="shared" si="46"/>
        <v>0</v>
      </c>
      <c r="G205" s="43">
        <f t="shared" si="46"/>
        <v>0</v>
      </c>
      <c r="H205" s="43">
        <f>H65-H135</f>
        <v>0</v>
      </c>
      <c r="I205" s="43">
        <f t="shared" si="46"/>
        <v>0</v>
      </c>
      <c r="J205" s="43">
        <f t="shared" si="46"/>
        <v>1</v>
      </c>
    </row>
    <row r="206" spans="1:10" x14ac:dyDescent="0.2">
      <c r="D206" s="41"/>
      <c r="E206" s="41"/>
      <c r="F206" s="41"/>
      <c r="G206" s="41"/>
      <c r="H206" s="41"/>
      <c r="I206" s="41"/>
      <c r="J206" s="41"/>
    </row>
    <row r="207" spans="1:10" x14ac:dyDescent="0.2">
      <c r="A207" s="39">
        <f>A205+1</f>
        <v>50</v>
      </c>
      <c r="B207" s="42" t="s">
        <v>184</v>
      </c>
      <c r="C207" s="42"/>
      <c r="D207" s="43">
        <f t="shared" ref="D207:J208" si="47">D67-D137</f>
        <v>51885211.205963135</v>
      </c>
      <c r="E207" s="43">
        <f t="shared" si="47"/>
        <v>-6357311.5511534475</v>
      </c>
      <c r="F207" s="43">
        <f t="shared" si="47"/>
        <v>-44566741.654809952</v>
      </c>
      <c r="G207" s="43">
        <f t="shared" si="47"/>
        <v>8965280</v>
      </c>
      <c r="H207" s="43">
        <f>H67-H137</f>
        <v>-14074033</v>
      </c>
      <c r="I207" s="43">
        <f t="shared" si="47"/>
        <v>-62253</v>
      </c>
      <c r="J207" s="43">
        <f t="shared" si="47"/>
        <v>-4209848</v>
      </c>
    </row>
    <row r="208" spans="1:10" x14ac:dyDescent="0.2">
      <c r="A208" s="39">
        <f>A207+1</f>
        <v>51</v>
      </c>
      <c r="B208" s="173" t="s">
        <v>397</v>
      </c>
      <c r="C208" s="42"/>
      <c r="D208" s="43">
        <f t="shared" si="47"/>
        <v>51885211.205963135</v>
      </c>
      <c r="E208" s="43">
        <f t="shared" si="47"/>
        <v>-6357311.5511534475</v>
      </c>
      <c r="F208" s="43">
        <f t="shared" si="47"/>
        <v>-44566741.654809952</v>
      </c>
      <c r="G208" s="43">
        <f t="shared" si="47"/>
        <v>8965280</v>
      </c>
      <c r="H208" s="43">
        <f>H68-H138</f>
        <v>-14074033</v>
      </c>
      <c r="I208" s="43">
        <f t="shared" si="47"/>
        <v>-62253</v>
      </c>
      <c r="J208" s="43">
        <f t="shared" si="47"/>
        <v>-4209848</v>
      </c>
    </row>
    <row r="209" spans="1:10" x14ac:dyDescent="0.2">
      <c r="A209" s="39">
        <f>A208+1</f>
        <v>52</v>
      </c>
      <c r="B209" s="42" t="s">
        <v>303</v>
      </c>
      <c r="C209" s="42"/>
      <c r="D209" s="127" t="s">
        <v>302</v>
      </c>
      <c r="E209" s="127" t="s">
        <v>302</v>
      </c>
      <c r="F209" s="127" t="s">
        <v>302</v>
      </c>
      <c r="G209" s="127" t="s">
        <v>302</v>
      </c>
      <c r="H209" s="127" t="s">
        <v>302</v>
      </c>
      <c r="I209" s="127" t="s">
        <v>302</v>
      </c>
      <c r="J209" s="127" t="s">
        <v>302</v>
      </c>
    </row>
    <row r="210" spans="1:10" x14ac:dyDescent="0.2">
      <c r="B210" s="42"/>
      <c r="C210" s="42"/>
      <c r="D210" s="43"/>
      <c r="E210" s="43"/>
      <c r="F210" s="43"/>
      <c r="G210" s="43"/>
      <c r="H210" s="43"/>
      <c r="I210" s="43"/>
      <c r="J210" s="43"/>
    </row>
    <row r="211" spans="1:10" x14ac:dyDescent="0.2">
      <c r="A211" s="39">
        <f>A209+1</f>
        <v>53</v>
      </c>
      <c r="B211" s="42" t="s">
        <v>166</v>
      </c>
      <c r="C211" s="42"/>
      <c r="D211" s="43">
        <f t="shared" ref="D211:J211" si="48">D71-D141</f>
        <v>0</v>
      </c>
      <c r="E211" s="43">
        <f t="shared" si="48"/>
        <v>0</v>
      </c>
      <c r="F211" s="43">
        <f t="shared" si="48"/>
        <v>0</v>
      </c>
      <c r="G211" s="43">
        <f t="shared" si="48"/>
        <v>-39180</v>
      </c>
      <c r="H211" s="43">
        <f>H71-H141</f>
        <v>60621</v>
      </c>
      <c r="I211" s="43">
        <f t="shared" si="48"/>
        <v>0</v>
      </c>
      <c r="J211" s="43">
        <f t="shared" si="48"/>
        <v>21441</v>
      </c>
    </row>
  </sheetData>
  <phoneticPr fontId="0" type="noConversion"/>
  <printOptions horizontalCentered="1" gridLines="1"/>
  <pageMargins left="0.5" right="0.25" top="1" bottom="0.5" header="0.5" footer="0.25"/>
  <pageSetup scale="73" fitToHeight="3" orientation="portrait" horizontalDpi="300" verticalDpi="300" r:id="rId1"/>
  <headerFooter alignWithMargins="0">
    <oddHeader>&amp;L&amp;"Arial,Bold"DEPT of EDUCATION
Program Finance Div.&amp;C&amp;"Arial,Bold"&amp;A GENERAL EDUCATION
*** FEB 2011 VS. NOV 2010 ***&amp;R&amp;"Arial,Bold"&amp;D
&amp;T</oddHeader>
    <oddFooter>&amp;L&amp;"Arial,Regular"&amp;F&amp;R&amp;"Arial,Regular"&amp;A</oddFooter>
  </headerFooter>
  <rowBreaks count="2" manualBreakCount="2">
    <brk id="72" max="9" man="1"/>
    <brk id="142" max="9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1"/>
  <sheetViews>
    <sheetView zoomScaleNormal="100" zoomScaleSheetLayoutView="85" workbookViewId="0">
      <pane xSplit="3" ySplit="4" topLeftCell="D49" activePane="bottomRight" state="frozen"/>
      <selection activeCell="C16" sqref="C16"/>
      <selection pane="topRight" activeCell="C16" sqref="C16"/>
      <selection pane="bottomLeft" activeCell="C16" sqref="C16"/>
      <selection pane="bottomRight" activeCell="K71" sqref="K71"/>
    </sheetView>
  </sheetViews>
  <sheetFormatPr defaultColWidth="8" defaultRowHeight="12.75" x14ac:dyDescent="0.2"/>
  <cols>
    <col min="1" max="1" width="4.125" style="39" customWidth="1"/>
    <col min="2" max="2" width="2.25" style="39" customWidth="1"/>
    <col min="3" max="3" width="28.625" style="39" customWidth="1"/>
    <col min="4" max="10" width="13.625" style="39" customWidth="1"/>
    <col min="11" max="11" width="14.5" style="39" bestFit="1" customWidth="1"/>
    <col min="12" max="12" width="12.625" style="39" customWidth="1"/>
    <col min="13" max="16384" width="8" style="39"/>
  </cols>
  <sheetData>
    <row r="1" spans="1:10" x14ac:dyDescent="0.2">
      <c r="A1" s="173" t="s">
        <v>448</v>
      </c>
      <c r="D1" s="41"/>
      <c r="E1" s="41"/>
      <c r="G1" s="41"/>
      <c r="H1" s="41"/>
      <c r="I1" s="41"/>
    </row>
    <row r="3" spans="1:10" x14ac:dyDescent="0.2">
      <c r="A3" s="118" t="s">
        <v>438</v>
      </c>
      <c r="B3" s="118"/>
      <c r="C3" s="119"/>
      <c r="D3" s="120" t="s">
        <v>176</v>
      </c>
      <c r="E3" s="120" t="s">
        <v>181</v>
      </c>
      <c r="F3" s="120" t="s">
        <v>177</v>
      </c>
      <c r="G3" s="120" t="s">
        <v>178</v>
      </c>
      <c r="H3" s="120" t="s">
        <v>179</v>
      </c>
      <c r="I3" s="120" t="s">
        <v>370</v>
      </c>
      <c r="J3" s="120" t="s">
        <v>180</v>
      </c>
    </row>
    <row r="5" spans="1:10" x14ac:dyDescent="0.2">
      <c r="A5" s="39">
        <v>1</v>
      </c>
      <c r="B5" s="39" t="s">
        <v>140</v>
      </c>
      <c r="D5" s="41">
        <f>'Pupil Data'!C48</f>
        <v>887894</v>
      </c>
      <c r="E5" s="41">
        <v>0</v>
      </c>
      <c r="F5" s="41">
        <f>'Pupil Data'!D48</f>
        <v>28409</v>
      </c>
      <c r="G5" s="41">
        <f>'Pupil Data'!E48</f>
        <v>46516</v>
      </c>
      <c r="H5" s="41">
        <f>'Pupil Data'!F48</f>
        <v>16456</v>
      </c>
      <c r="I5" s="41">
        <v>0</v>
      </c>
      <c r="J5" s="41">
        <f>SUM(D5:I5)</f>
        <v>979275</v>
      </c>
    </row>
    <row r="7" spans="1:10" x14ac:dyDescent="0.2">
      <c r="B7" s="42" t="s">
        <v>155</v>
      </c>
      <c r="D7" s="40"/>
      <c r="E7" s="40"/>
      <c r="F7" s="40"/>
      <c r="G7" s="40"/>
      <c r="H7" s="40"/>
      <c r="I7" s="40"/>
      <c r="J7" s="40"/>
    </row>
    <row r="8" spans="1:10" x14ac:dyDescent="0.2">
      <c r="A8" s="39">
        <f>A5+1</f>
        <v>2</v>
      </c>
      <c r="B8" s="39" t="s">
        <v>141</v>
      </c>
      <c r="D8" s="41">
        <v>4549567317</v>
      </c>
      <c r="E8" s="41">
        <v>0</v>
      </c>
      <c r="F8" s="41">
        <v>145567152</v>
      </c>
      <c r="G8" s="41">
        <v>238349827</v>
      </c>
      <c r="H8" s="41">
        <v>84321056</v>
      </c>
      <c r="I8" s="41">
        <v>0</v>
      </c>
      <c r="J8" s="41">
        <f>SUM(D8:I8)</f>
        <v>5017805352</v>
      </c>
    </row>
    <row r="9" spans="1:10" x14ac:dyDescent="0.2">
      <c r="A9" s="39">
        <f>A8+1</f>
        <v>3</v>
      </c>
      <c r="B9" s="42" t="s">
        <v>167</v>
      </c>
      <c r="C9" s="42"/>
      <c r="D9" s="41">
        <v>10654725</v>
      </c>
      <c r="E9" s="41">
        <v>0</v>
      </c>
      <c r="F9" s="41">
        <v>340907</v>
      </c>
      <c r="G9" s="41">
        <v>558197</v>
      </c>
      <c r="H9" s="41">
        <v>197473</v>
      </c>
      <c r="I9" s="41">
        <v>0</v>
      </c>
      <c r="J9" s="41">
        <f>SUM(D9:I9)</f>
        <v>11751302</v>
      </c>
    </row>
    <row r="10" spans="1:10" x14ac:dyDescent="0.2">
      <c r="A10" s="39">
        <f>A9+1</f>
        <v>4</v>
      </c>
      <c r="B10" s="39" t="s">
        <v>142</v>
      </c>
      <c r="D10" s="41">
        <v>48506832</v>
      </c>
      <c r="E10" s="41">
        <v>0</v>
      </c>
      <c r="F10" s="41">
        <v>33137322</v>
      </c>
      <c r="G10" s="41">
        <v>1936790</v>
      </c>
      <c r="H10" s="41">
        <v>1322373</v>
      </c>
      <c r="I10" s="41">
        <v>0</v>
      </c>
      <c r="J10" s="41">
        <f>SUM(D10:I10)</f>
        <v>84903317</v>
      </c>
    </row>
    <row r="11" spans="1:10" x14ac:dyDescent="0.2">
      <c r="B11" s="42" t="s">
        <v>171</v>
      </c>
      <c r="D11" s="41"/>
      <c r="E11" s="41"/>
      <c r="F11" s="41"/>
      <c r="G11" s="41"/>
      <c r="H11" s="41"/>
      <c r="I11" s="41"/>
      <c r="J11" s="41"/>
    </row>
    <row r="12" spans="1:10" x14ac:dyDescent="0.2">
      <c r="A12" s="39">
        <f>A10+1</f>
        <v>5</v>
      </c>
      <c r="C12" s="39" t="s">
        <v>143</v>
      </c>
      <c r="D12" s="41">
        <v>374142703</v>
      </c>
      <c r="E12" s="41">
        <v>0</v>
      </c>
      <c r="F12" s="41">
        <v>51915813</v>
      </c>
      <c r="G12" s="41">
        <v>50948786</v>
      </c>
      <c r="H12" s="41">
        <v>12935591</v>
      </c>
      <c r="I12" s="41">
        <v>5618167</v>
      </c>
      <c r="J12" s="41">
        <f t="shared" ref="J12:J23" si="0">SUM(D12:I12)</f>
        <v>495561060</v>
      </c>
    </row>
    <row r="13" spans="1:10" x14ac:dyDescent="0.2">
      <c r="A13" s="39">
        <f t="shared" ref="A13:A23" si="1">A12+1</f>
        <v>6</v>
      </c>
      <c r="C13" s="39" t="s">
        <v>144</v>
      </c>
      <c r="D13" s="41">
        <v>27409200</v>
      </c>
      <c r="E13" s="41">
        <v>0</v>
      </c>
      <c r="F13" s="41">
        <v>-1290398</v>
      </c>
      <c r="G13" s="41">
        <v>4799900</v>
      </c>
      <c r="H13" s="41">
        <v>1561271</v>
      </c>
      <c r="I13" s="41">
        <v>0</v>
      </c>
      <c r="J13" s="41">
        <f t="shared" si="0"/>
        <v>32479973</v>
      </c>
    </row>
    <row r="14" spans="1:10" x14ac:dyDescent="0.2">
      <c r="A14" s="39">
        <f t="shared" si="1"/>
        <v>7</v>
      </c>
      <c r="B14" s="42"/>
      <c r="C14" s="42" t="s">
        <v>170</v>
      </c>
      <c r="D14" s="41">
        <v>6974988</v>
      </c>
      <c r="E14" s="41">
        <v>0</v>
      </c>
      <c r="F14" s="41">
        <v>-328376</v>
      </c>
      <c r="G14" s="41">
        <v>1607739</v>
      </c>
      <c r="H14" s="41">
        <v>397306</v>
      </c>
      <c r="I14" s="41">
        <v>0</v>
      </c>
      <c r="J14" s="41">
        <f t="shared" si="0"/>
        <v>8651657</v>
      </c>
    </row>
    <row r="15" spans="1:10" x14ac:dyDescent="0.2">
      <c r="A15" s="39">
        <f t="shared" si="1"/>
        <v>8</v>
      </c>
      <c r="B15" s="39" t="s">
        <v>145</v>
      </c>
      <c r="D15" s="41">
        <v>23355783</v>
      </c>
      <c r="E15" s="41">
        <v>0</v>
      </c>
      <c r="F15" s="41">
        <v>0</v>
      </c>
      <c r="G15" s="41">
        <v>1223596</v>
      </c>
      <c r="H15" s="41">
        <v>432873</v>
      </c>
      <c r="I15" s="41">
        <v>0</v>
      </c>
      <c r="J15" s="41">
        <f t="shared" si="0"/>
        <v>25012252</v>
      </c>
    </row>
    <row r="16" spans="1:10" x14ac:dyDescent="0.2">
      <c r="A16" s="39">
        <f t="shared" si="1"/>
        <v>9</v>
      </c>
      <c r="B16" s="39" t="s">
        <v>146</v>
      </c>
      <c r="D16" s="41">
        <v>58146536</v>
      </c>
      <c r="E16" s="41">
        <v>0</v>
      </c>
      <c r="F16" s="41">
        <v>0</v>
      </c>
      <c r="G16" s="41">
        <v>1129790</v>
      </c>
      <c r="H16" s="41">
        <v>407518</v>
      </c>
      <c r="I16" s="41">
        <v>0</v>
      </c>
      <c r="J16" s="41">
        <f t="shared" si="0"/>
        <v>59683844</v>
      </c>
    </row>
    <row r="17" spans="1:12" x14ac:dyDescent="0.2">
      <c r="A17" s="39">
        <f t="shared" si="1"/>
        <v>10</v>
      </c>
      <c r="B17" s="39" t="s">
        <v>148</v>
      </c>
      <c r="D17" s="41">
        <v>94465</v>
      </c>
      <c r="E17" s="41">
        <v>0</v>
      </c>
      <c r="F17" s="41">
        <v>3022</v>
      </c>
      <c r="G17" s="41">
        <v>4951</v>
      </c>
      <c r="H17" s="41">
        <v>1751</v>
      </c>
      <c r="I17" s="41">
        <v>0</v>
      </c>
      <c r="J17" s="41">
        <f t="shared" si="0"/>
        <v>104189</v>
      </c>
    </row>
    <row r="18" spans="1:12" x14ac:dyDescent="0.2">
      <c r="A18" s="39">
        <f t="shared" si="1"/>
        <v>11</v>
      </c>
      <c r="B18" s="39" t="s">
        <v>244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f t="shared" si="0"/>
        <v>0</v>
      </c>
    </row>
    <row r="19" spans="1:12" x14ac:dyDescent="0.2">
      <c r="A19" s="39">
        <f t="shared" si="1"/>
        <v>12</v>
      </c>
      <c r="B19" s="39" t="s">
        <v>147</v>
      </c>
      <c r="D19" s="41">
        <v>182147462</v>
      </c>
      <c r="E19" s="41">
        <v>0</v>
      </c>
      <c r="F19" s="41">
        <v>5827958</v>
      </c>
      <c r="G19" s="41">
        <v>9542622</v>
      </c>
      <c r="H19" s="41">
        <v>3375896</v>
      </c>
      <c r="I19" s="41">
        <v>0</v>
      </c>
      <c r="J19" s="41">
        <f t="shared" si="0"/>
        <v>200893938</v>
      </c>
    </row>
    <row r="20" spans="1:12" x14ac:dyDescent="0.2">
      <c r="A20" s="39">
        <f t="shared" si="1"/>
        <v>13</v>
      </c>
      <c r="B20" s="39" t="s">
        <v>149</v>
      </c>
      <c r="D20" s="41">
        <v>89383398</v>
      </c>
      <c r="E20" s="41">
        <v>0</v>
      </c>
      <c r="F20" s="41">
        <v>2859895</v>
      </c>
      <c r="G20" s="41">
        <v>4682758</v>
      </c>
      <c r="H20" s="41">
        <v>1656620</v>
      </c>
      <c r="I20" s="41">
        <v>0</v>
      </c>
      <c r="J20" s="41">
        <f t="shared" si="0"/>
        <v>98582671</v>
      </c>
      <c r="K20" s="41"/>
    </row>
    <row r="21" spans="1:12" x14ac:dyDescent="0.2">
      <c r="A21" s="39">
        <f t="shared" si="1"/>
        <v>14</v>
      </c>
      <c r="B21" s="42" t="s">
        <v>173</v>
      </c>
      <c r="D21" s="41">
        <v>27381892</v>
      </c>
      <c r="E21" s="41">
        <v>0</v>
      </c>
      <c r="F21" s="41">
        <v>876106</v>
      </c>
      <c r="G21" s="41">
        <v>1626373</v>
      </c>
      <c r="H21" s="41">
        <v>0</v>
      </c>
      <c r="I21" s="41">
        <v>0</v>
      </c>
      <c r="J21" s="41">
        <f t="shared" si="0"/>
        <v>29884371</v>
      </c>
    </row>
    <row r="22" spans="1:12" x14ac:dyDescent="0.2">
      <c r="A22" s="39">
        <f t="shared" si="1"/>
        <v>15</v>
      </c>
      <c r="B22" s="42" t="s">
        <v>168</v>
      </c>
      <c r="C22" s="42"/>
      <c r="D22" s="41">
        <v>69551124</v>
      </c>
      <c r="E22" s="41">
        <f>K22-D22-G22</f>
        <v>10911918</v>
      </c>
      <c r="F22" s="41">
        <v>0</v>
      </c>
      <c r="G22" s="41">
        <v>5553234</v>
      </c>
      <c r="H22" s="41">
        <v>0</v>
      </c>
      <c r="I22" s="41">
        <v>0</v>
      </c>
      <c r="J22" s="41">
        <f t="shared" si="0"/>
        <v>86016276</v>
      </c>
      <c r="K22" s="148">
        <v>86016276</v>
      </c>
      <c r="L22" s="41">
        <f>D22+G22</f>
        <v>75104358</v>
      </c>
    </row>
    <row r="23" spans="1:12" x14ac:dyDescent="0.2">
      <c r="A23" s="39">
        <f t="shared" si="1"/>
        <v>16</v>
      </c>
      <c r="B23" s="39" t="s">
        <v>150</v>
      </c>
      <c r="D23" s="41">
        <v>813989058</v>
      </c>
      <c r="E23" s="41">
        <v>146484000</v>
      </c>
      <c r="F23" s="41">
        <v>55820385</v>
      </c>
      <c r="G23" s="41">
        <v>0</v>
      </c>
      <c r="H23" s="41">
        <v>0</v>
      </c>
      <c r="I23" s="41">
        <v>0</v>
      </c>
      <c r="J23" s="41">
        <f t="shared" si="0"/>
        <v>1016293443</v>
      </c>
      <c r="K23" s="41"/>
    </row>
    <row r="24" spans="1:12" x14ac:dyDescent="0.2">
      <c r="B24" s="42" t="s">
        <v>172</v>
      </c>
      <c r="D24" s="41"/>
      <c r="E24" s="41"/>
      <c r="F24" s="41"/>
      <c r="G24" s="41"/>
      <c r="H24" s="41"/>
      <c r="I24" s="41"/>
      <c r="J24" s="41"/>
    </row>
    <row r="25" spans="1:12" x14ac:dyDescent="0.2">
      <c r="A25" s="39">
        <f>A23+1</f>
        <v>17</v>
      </c>
      <c r="B25" s="42"/>
      <c r="C25" s="42" t="s">
        <v>175</v>
      </c>
      <c r="D25" s="41">
        <v>850783</v>
      </c>
      <c r="E25" s="41">
        <v>0</v>
      </c>
      <c r="F25" s="41">
        <v>-2849903</v>
      </c>
      <c r="G25" s="41">
        <v>1185489</v>
      </c>
      <c r="H25" s="41">
        <v>444315</v>
      </c>
      <c r="I25" s="41">
        <v>0</v>
      </c>
      <c r="J25" s="41">
        <f>SUM(D25:I25)</f>
        <v>-369316</v>
      </c>
    </row>
    <row r="26" spans="1:12" x14ac:dyDescent="0.2">
      <c r="A26" s="39">
        <f>A25+1</f>
        <v>18</v>
      </c>
      <c r="B26" s="42"/>
      <c r="C26" s="42" t="s">
        <v>182</v>
      </c>
      <c r="D26" s="41">
        <v>2398783</v>
      </c>
      <c r="E26" s="41">
        <v>0</v>
      </c>
      <c r="F26" s="41">
        <v>0</v>
      </c>
      <c r="G26" s="41">
        <v>-2398684</v>
      </c>
      <c r="H26" s="41">
        <v>0</v>
      </c>
      <c r="I26" s="41">
        <v>0</v>
      </c>
      <c r="J26" s="41">
        <f>SUM(D26:I26)</f>
        <v>99</v>
      </c>
    </row>
    <row r="27" spans="1:12" x14ac:dyDescent="0.2">
      <c r="A27" s="39">
        <f>A26+1</f>
        <v>19</v>
      </c>
      <c r="B27" s="42"/>
      <c r="C27" s="42" t="s">
        <v>201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f>SUM(D27:I27)</f>
        <v>0</v>
      </c>
    </row>
    <row r="28" spans="1:12" x14ac:dyDescent="0.2">
      <c r="A28" s="39">
        <f>A27+1</f>
        <v>20</v>
      </c>
      <c r="B28" s="42"/>
      <c r="C28" s="42" t="s">
        <v>183</v>
      </c>
      <c r="D28" s="41">
        <v>643009</v>
      </c>
      <c r="E28" s="41">
        <v>0</v>
      </c>
      <c r="F28" s="41">
        <v>0</v>
      </c>
      <c r="G28" s="41">
        <v>-588562</v>
      </c>
      <c r="H28" s="41">
        <v>0</v>
      </c>
      <c r="I28" s="41">
        <v>0</v>
      </c>
      <c r="J28" s="41">
        <f>SUM(D28:I28)</f>
        <v>54447</v>
      </c>
    </row>
    <row r="29" spans="1:12" x14ac:dyDescent="0.2">
      <c r="A29" s="39">
        <f>A28+1</f>
        <v>21</v>
      </c>
      <c r="B29" s="42"/>
      <c r="C29" s="42" t="s">
        <v>251</v>
      </c>
      <c r="D29" s="41">
        <v>-195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f>SUM(D29:I29)</f>
        <v>-195</v>
      </c>
    </row>
    <row r="30" spans="1:12" x14ac:dyDescent="0.2">
      <c r="D30" s="41"/>
      <c r="E30" s="41"/>
      <c r="F30" s="41"/>
      <c r="G30" s="41"/>
      <c r="H30" s="41"/>
      <c r="I30" s="41"/>
      <c r="J30" s="41"/>
    </row>
    <row r="31" spans="1:12" ht="12" customHeight="1" x14ac:dyDescent="0.2">
      <c r="A31" s="39">
        <f>A29+1</f>
        <v>22</v>
      </c>
      <c r="B31" s="42" t="s">
        <v>158</v>
      </c>
      <c r="D31" s="41">
        <f t="shared" ref="D31:I31" si="2">SUM(D8:D29)</f>
        <v>6285197863</v>
      </c>
      <c r="E31" s="41">
        <f t="shared" si="2"/>
        <v>157395918</v>
      </c>
      <c r="F31" s="41">
        <f t="shared" si="2"/>
        <v>291879883</v>
      </c>
      <c r="G31" s="41">
        <f t="shared" si="2"/>
        <v>320162806</v>
      </c>
      <c r="H31" s="41">
        <f>SUM(H8:H29)</f>
        <v>107054043</v>
      </c>
      <c r="I31" s="41">
        <f t="shared" si="2"/>
        <v>5618167</v>
      </c>
      <c r="J31" s="41">
        <f>SUM(J8:J29)</f>
        <v>7167308680</v>
      </c>
      <c r="K31" s="237">
        <v>7182069299.77141</v>
      </c>
      <c r="L31" s="41">
        <f>K31-J31</f>
        <v>14760619.771409988</v>
      </c>
    </row>
    <row r="32" spans="1:12" x14ac:dyDescent="0.2">
      <c r="B32" s="165"/>
      <c r="C32" s="197"/>
      <c r="D32" s="41"/>
      <c r="E32" s="41"/>
      <c r="F32" s="41"/>
      <c r="G32" s="41"/>
      <c r="H32" s="41"/>
      <c r="I32" s="41"/>
      <c r="J32" s="41"/>
      <c r="K32" s="43"/>
    </row>
    <row r="33" spans="1:12" x14ac:dyDescent="0.2">
      <c r="B33" s="42" t="s">
        <v>156</v>
      </c>
      <c r="C33" s="42"/>
      <c r="D33" s="41"/>
      <c r="E33" s="41"/>
      <c r="F33" s="41"/>
      <c r="G33" s="41"/>
      <c r="H33" s="41"/>
      <c r="I33" s="41"/>
      <c r="J33" s="41"/>
    </row>
    <row r="34" spans="1:12" x14ac:dyDescent="0.2">
      <c r="A34" s="39">
        <f>A31+1</f>
        <v>23</v>
      </c>
      <c r="B34" s="39" t="s">
        <v>153</v>
      </c>
      <c r="D34" s="41">
        <v>113760843</v>
      </c>
      <c r="E34" s="41">
        <v>0</v>
      </c>
      <c r="F34" s="41">
        <v>554036</v>
      </c>
      <c r="G34" s="41">
        <v>0</v>
      </c>
      <c r="H34" s="41">
        <v>0</v>
      </c>
      <c r="I34" s="41">
        <v>0</v>
      </c>
      <c r="J34" s="41">
        <f>SUM(D34:I34)</f>
        <v>114314879</v>
      </c>
      <c r="L34" s="40">
        <f>ROUND((D34+F34)/1000,1)</f>
        <v>114314.9</v>
      </c>
    </row>
    <row r="35" spans="1:12" x14ac:dyDescent="0.2">
      <c r="A35" s="39">
        <f>A34+1</f>
        <v>24</v>
      </c>
      <c r="B35" s="39" t="s">
        <v>152</v>
      </c>
      <c r="D35" s="41">
        <v>75825496</v>
      </c>
      <c r="E35" s="41">
        <v>0</v>
      </c>
      <c r="F35" s="41">
        <v>-471668</v>
      </c>
      <c r="G35" s="41">
        <v>0</v>
      </c>
      <c r="H35" s="41">
        <v>0</v>
      </c>
      <c r="I35" s="41">
        <v>0</v>
      </c>
      <c r="J35" s="41">
        <f>SUM(D35:I35)</f>
        <v>75353828</v>
      </c>
      <c r="K35" s="41"/>
      <c r="L35" s="40">
        <f>ROUND((D35+F35)/1000,1)</f>
        <v>75353.8</v>
      </c>
    </row>
    <row r="36" spans="1:12" x14ac:dyDescent="0.2">
      <c r="A36" s="39">
        <f>A35+1</f>
        <v>25</v>
      </c>
      <c r="B36" s="42" t="s">
        <v>174</v>
      </c>
      <c r="D36" s="41">
        <v>23951794</v>
      </c>
      <c r="E36" s="41">
        <v>0</v>
      </c>
      <c r="F36" s="41">
        <v>-130208</v>
      </c>
      <c r="G36" s="41">
        <v>0</v>
      </c>
      <c r="H36" s="41">
        <v>0</v>
      </c>
      <c r="I36" s="41">
        <v>0</v>
      </c>
      <c r="J36" s="41">
        <f>SUM(D36:I36)</f>
        <v>23821586</v>
      </c>
      <c r="L36" s="40">
        <f>ROUND((D36+F36)/1000,1)</f>
        <v>23821.599999999999</v>
      </c>
    </row>
    <row r="37" spans="1:12" x14ac:dyDescent="0.2">
      <c r="A37" s="39">
        <f>A36+1</f>
        <v>26</v>
      </c>
      <c r="B37" s="42" t="s">
        <v>168</v>
      </c>
      <c r="C37" s="42"/>
      <c r="D37" s="41">
        <v>20432769</v>
      </c>
      <c r="E37" s="41">
        <f>K37-D37</f>
        <v>2414705</v>
      </c>
      <c r="F37" s="41">
        <v>0</v>
      </c>
      <c r="G37" s="41">
        <v>0</v>
      </c>
      <c r="H37" s="41">
        <v>0</v>
      </c>
      <c r="I37" s="41">
        <v>0</v>
      </c>
      <c r="J37" s="41">
        <f>SUM(D37:I37)</f>
        <v>22847474</v>
      </c>
      <c r="K37" s="148">
        <v>22847474</v>
      </c>
      <c r="L37" s="40">
        <f>ROUND((D37+F37)/1000,1)</f>
        <v>20432.8</v>
      </c>
    </row>
    <row r="38" spans="1:12" x14ac:dyDescent="0.2">
      <c r="A38" s="39">
        <f>A37+1</f>
        <v>27</v>
      </c>
      <c r="B38" s="39" t="s">
        <v>154</v>
      </c>
      <c r="D38" s="41">
        <v>739073472</v>
      </c>
      <c r="E38" s="41">
        <v>142087000</v>
      </c>
      <c r="F38" s="41">
        <v>33528349</v>
      </c>
      <c r="G38" s="41">
        <v>0</v>
      </c>
      <c r="H38" s="41">
        <v>0</v>
      </c>
      <c r="I38" s="41">
        <v>0</v>
      </c>
      <c r="J38" s="41">
        <f>SUM(D38:I38)</f>
        <v>914688821</v>
      </c>
      <c r="K38" s="41"/>
      <c r="L38" s="40">
        <f>ROUND((D38+E38+F38)/1000,1)</f>
        <v>914688.8</v>
      </c>
    </row>
    <row r="39" spans="1:12" x14ac:dyDescent="0.2">
      <c r="D39" s="41"/>
      <c r="E39" s="41"/>
      <c r="F39" s="41"/>
      <c r="G39" s="41"/>
      <c r="H39" s="41"/>
      <c r="I39" s="41"/>
      <c r="J39" s="41"/>
    </row>
    <row r="40" spans="1:12" x14ac:dyDescent="0.2">
      <c r="A40" s="39">
        <f>A38+1</f>
        <v>28</v>
      </c>
      <c r="B40" s="42" t="s">
        <v>159</v>
      </c>
      <c r="C40" s="42"/>
      <c r="D40" s="41">
        <f t="shared" ref="D40:J40" si="3">SUM(D34:D38)</f>
        <v>973044374</v>
      </c>
      <c r="E40" s="41">
        <f t="shared" si="3"/>
        <v>144501705</v>
      </c>
      <c r="F40" s="41">
        <f t="shared" si="3"/>
        <v>33480509</v>
      </c>
      <c r="G40" s="41">
        <f t="shared" si="3"/>
        <v>0</v>
      </c>
      <c r="H40" s="41">
        <f>SUM(H34:H38)</f>
        <v>0</v>
      </c>
      <c r="I40" s="41">
        <f t="shared" si="3"/>
        <v>0</v>
      </c>
      <c r="J40" s="41">
        <f t="shared" si="3"/>
        <v>1151026588</v>
      </c>
      <c r="K40" s="237">
        <v>1155680887.68647</v>
      </c>
      <c r="L40" s="41">
        <f>K40-J40</f>
        <v>4654299.6864700317</v>
      </c>
    </row>
    <row r="41" spans="1:12" x14ac:dyDescent="0.2">
      <c r="B41" s="42"/>
      <c r="C41" s="42"/>
      <c r="D41" s="41"/>
      <c r="E41" s="41"/>
      <c r="F41" s="41"/>
      <c r="G41" s="41"/>
      <c r="H41" s="41"/>
      <c r="I41" s="41"/>
      <c r="J41" s="41"/>
    </row>
    <row r="42" spans="1:12" x14ac:dyDescent="0.2">
      <c r="B42" s="42" t="s">
        <v>157</v>
      </c>
      <c r="C42" s="42"/>
      <c r="D42" s="41"/>
      <c r="E42" s="41"/>
      <c r="F42" s="41"/>
      <c r="G42" s="41"/>
      <c r="H42" s="41"/>
      <c r="I42" s="41"/>
      <c r="J42" s="41"/>
    </row>
    <row r="43" spans="1:12" x14ac:dyDescent="0.2">
      <c r="A43" s="39">
        <f>A40+1</f>
        <v>29</v>
      </c>
      <c r="B43" s="39" t="s">
        <v>141</v>
      </c>
      <c r="D43" s="41">
        <f t="shared" ref="D43:I45" si="4">D8</f>
        <v>4549567317</v>
      </c>
      <c r="E43" s="41">
        <f t="shared" si="4"/>
        <v>0</v>
      </c>
      <c r="F43" s="41">
        <f t="shared" si="4"/>
        <v>145567152</v>
      </c>
      <c r="G43" s="41">
        <f t="shared" si="4"/>
        <v>238349827</v>
      </c>
      <c r="H43" s="41">
        <f>H8</f>
        <v>84321056</v>
      </c>
      <c r="I43" s="41">
        <f t="shared" si="4"/>
        <v>0</v>
      </c>
      <c r="J43" s="41">
        <f>SUM(D43:I43)</f>
        <v>5017805352</v>
      </c>
    </row>
    <row r="44" spans="1:12" x14ac:dyDescent="0.2">
      <c r="A44" s="39">
        <f>A43+1</f>
        <v>30</v>
      </c>
      <c r="B44" s="42" t="s">
        <v>167</v>
      </c>
      <c r="C44" s="42"/>
      <c r="D44" s="41">
        <f t="shared" si="4"/>
        <v>10654725</v>
      </c>
      <c r="E44" s="41">
        <f t="shared" si="4"/>
        <v>0</v>
      </c>
      <c r="F44" s="41">
        <f t="shared" si="4"/>
        <v>340907</v>
      </c>
      <c r="G44" s="41">
        <f t="shared" si="4"/>
        <v>558197</v>
      </c>
      <c r="H44" s="41">
        <f>H9</f>
        <v>197473</v>
      </c>
      <c r="I44" s="41">
        <f t="shared" si="4"/>
        <v>0</v>
      </c>
      <c r="J44" s="41">
        <f>SUM(D44:I44)</f>
        <v>11751302</v>
      </c>
    </row>
    <row r="45" spans="1:12" x14ac:dyDescent="0.2">
      <c r="A45" s="39">
        <f>A44+1</f>
        <v>31</v>
      </c>
      <c r="B45" s="39" t="s">
        <v>142</v>
      </c>
      <c r="D45" s="41">
        <f t="shared" si="4"/>
        <v>48506832</v>
      </c>
      <c r="E45" s="41">
        <f t="shared" si="4"/>
        <v>0</v>
      </c>
      <c r="F45" s="41">
        <f t="shared" si="4"/>
        <v>33137322</v>
      </c>
      <c r="G45" s="41">
        <f t="shared" si="4"/>
        <v>1936790</v>
      </c>
      <c r="H45" s="41">
        <f>H10</f>
        <v>1322373</v>
      </c>
      <c r="I45" s="41">
        <f t="shared" si="4"/>
        <v>0</v>
      </c>
      <c r="J45" s="41">
        <f>SUM(D45:I45)</f>
        <v>84903317</v>
      </c>
    </row>
    <row r="46" spans="1:12" x14ac:dyDescent="0.2">
      <c r="B46" s="42" t="s">
        <v>171</v>
      </c>
      <c r="D46" s="41"/>
      <c r="E46" s="41"/>
      <c r="F46" s="41"/>
      <c r="G46" s="41"/>
      <c r="H46" s="41"/>
      <c r="I46" s="41"/>
      <c r="J46" s="41"/>
    </row>
    <row r="47" spans="1:12" x14ac:dyDescent="0.2">
      <c r="A47" s="39">
        <f>A45+1</f>
        <v>32</v>
      </c>
      <c r="C47" s="39" t="s">
        <v>143</v>
      </c>
      <c r="D47" s="41">
        <f t="shared" ref="D47:I53" si="5">D12</f>
        <v>374142703</v>
      </c>
      <c r="E47" s="41">
        <f t="shared" si="5"/>
        <v>0</v>
      </c>
      <c r="F47" s="41">
        <f t="shared" si="5"/>
        <v>51915813</v>
      </c>
      <c r="G47" s="41">
        <f t="shared" si="5"/>
        <v>50948786</v>
      </c>
      <c r="H47" s="41">
        <f t="shared" si="5"/>
        <v>12935591</v>
      </c>
      <c r="I47" s="41">
        <f t="shared" si="5"/>
        <v>5618167</v>
      </c>
      <c r="J47" s="41">
        <f t="shared" ref="J47:J59" si="6">SUM(D47:I47)</f>
        <v>495561060</v>
      </c>
    </row>
    <row r="48" spans="1:12" x14ac:dyDescent="0.2">
      <c r="A48" s="39">
        <f t="shared" ref="A48:A59" si="7">A47+1</f>
        <v>33</v>
      </c>
      <c r="C48" s="39" t="s">
        <v>144</v>
      </c>
      <c r="D48" s="41">
        <f t="shared" si="5"/>
        <v>27409200</v>
      </c>
      <c r="E48" s="41">
        <f t="shared" si="5"/>
        <v>0</v>
      </c>
      <c r="F48" s="41">
        <f t="shared" si="5"/>
        <v>-1290398</v>
      </c>
      <c r="G48" s="41">
        <f t="shared" si="5"/>
        <v>4799900</v>
      </c>
      <c r="H48" s="41">
        <f t="shared" si="5"/>
        <v>1561271</v>
      </c>
      <c r="I48" s="41">
        <f t="shared" si="5"/>
        <v>0</v>
      </c>
      <c r="J48" s="41">
        <f t="shared" si="6"/>
        <v>32479973</v>
      </c>
    </row>
    <row r="49" spans="1:10" x14ac:dyDescent="0.2">
      <c r="A49" s="39">
        <f t="shared" si="7"/>
        <v>34</v>
      </c>
      <c r="B49" s="42"/>
      <c r="C49" s="42" t="s">
        <v>170</v>
      </c>
      <c r="D49" s="41">
        <f t="shared" si="5"/>
        <v>6974988</v>
      </c>
      <c r="E49" s="41">
        <f t="shared" si="5"/>
        <v>0</v>
      </c>
      <c r="F49" s="41">
        <f t="shared" si="5"/>
        <v>-328376</v>
      </c>
      <c r="G49" s="41">
        <f t="shared" si="5"/>
        <v>1607739</v>
      </c>
      <c r="H49" s="41">
        <f t="shared" si="5"/>
        <v>397306</v>
      </c>
      <c r="I49" s="41">
        <f t="shared" si="5"/>
        <v>0</v>
      </c>
      <c r="J49" s="41">
        <f t="shared" si="6"/>
        <v>8651657</v>
      </c>
    </row>
    <row r="50" spans="1:10" x14ac:dyDescent="0.2">
      <c r="A50" s="39">
        <f t="shared" si="7"/>
        <v>35</v>
      </c>
      <c r="B50" s="39" t="s">
        <v>145</v>
      </c>
      <c r="D50" s="41">
        <f t="shared" si="5"/>
        <v>23355783</v>
      </c>
      <c r="E50" s="41">
        <f t="shared" si="5"/>
        <v>0</v>
      </c>
      <c r="F50" s="41">
        <f t="shared" si="5"/>
        <v>0</v>
      </c>
      <c r="G50" s="41">
        <f t="shared" si="5"/>
        <v>1223596</v>
      </c>
      <c r="H50" s="41">
        <f t="shared" si="5"/>
        <v>432873</v>
      </c>
      <c r="I50" s="41">
        <f t="shared" si="5"/>
        <v>0</v>
      </c>
      <c r="J50" s="41">
        <f t="shared" si="6"/>
        <v>25012252</v>
      </c>
    </row>
    <row r="51" spans="1:10" x14ac:dyDescent="0.2">
      <c r="A51" s="39">
        <f t="shared" si="7"/>
        <v>36</v>
      </c>
      <c r="B51" s="39" t="s">
        <v>146</v>
      </c>
      <c r="D51" s="41">
        <f t="shared" si="5"/>
        <v>58146536</v>
      </c>
      <c r="E51" s="41">
        <f t="shared" si="5"/>
        <v>0</v>
      </c>
      <c r="F51" s="41">
        <f t="shared" si="5"/>
        <v>0</v>
      </c>
      <c r="G51" s="41">
        <f t="shared" si="5"/>
        <v>1129790</v>
      </c>
      <c r="H51" s="41">
        <f t="shared" si="5"/>
        <v>407518</v>
      </c>
      <c r="I51" s="41">
        <f t="shared" si="5"/>
        <v>0</v>
      </c>
      <c r="J51" s="41">
        <f t="shared" si="6"/>
        <v>59683844</v>
      </c>
    </row>
    <row r="52" spans="1:10" x14ac:dyDescent="0.2">
      <c r="A52" s="39">
        <f t="shared" si="7"/>
        <v>37</v>
      </c>
      <c r="B52" s="39" t="s">
        <v>148</v>
      </c>
      <c r="D52" s="41">
        <f t="shared" si="5"/>
        <v>94465</v>
      </c>
      <c r="E52" s="41">
        <f t="shared" si="5"/>
        <v>0</v>
      </c>
      <c r="F52" s="41">
        <f t="shared" si="5"/>
        <v>3022</v>
      </c>
      <c r="G52" s="41">
        <f t="shared" si="5"/>
        <v>4951</v>
      </c>
      <c r="H52" s="41">
        <f t="shared" si="5"/>
        <v>1751</v>
      </c>
      <c r="I52" s="41">
        <f t="shared" si="5"/>
        <v>0</v>
      </c>
      <c r="J52" s="41">
        <f t="shared" si="6"/>
        <v>104189</v>
      </c>
    </row>
    <row r="53" spans="1:10" x14ac:dyDescent="0.2">
      <c r="A53" s="39">
        <f t="shared" si="7"/>
        <v>38</v>
      </c>
      <c r="B53" s="39" t="s">
        <v>244</v>
      </c>
      <c r="D53" s="41">
        <f t="shared" si="5"/>
        <v>0</v>
      </c>
      <c r="E53" s="41">
        <f t="shared" si="5"/>
        <v>0</v>
      </c>
      <c r="F53" s="41">
        <f t="shared" si="5"/>
        <v>0</v>
      </c>
      <c r="G53" s="41">
        <f t="shared" si="5"/>
        <v>0</v>
      </c>
      <c r="H53" s="41">
        <f t="shared" si="5"/>
        <v>0</v>
      </c>
      <c r="I53" s="41">
        <f t="shared" si="5"/>
        <v>0</v>
      </c>
      <c r="J53" s="41">
        <f t="shared" si="6"/>
        <v>0</v>
      </c>
    </row>
    <row r="54" spans="1:10" x14ac:dyDescent="0.2">
      <c r="A54" s="39">
        <f t="shared" si="7"/>
        <v>39</v>
      </c>
      <c r="B54" s="39" t="s">
        <v>147</v>
      </c>
      <c r="D54" s="41">
        <f t="shared" ref="D54:I57" si="8">D19-D34</f>
        <v>68386619</v>
      </c>
      <c r="E54" s="41">
        <f t="shared" si="8"/>
        <v>0</v>
      </c>
      <c r="F54" s="41">
        <f t="shared" si="8"/>
        <v>5273922</v>
      </c>
      <c r="G54" s="41">
        <f t="shared" si="8"/>
        <v>9542622</v>
      </c>
      <c r="H54" s="41">
        <f>H19-H34</f>
        <v>3375896</v>
      </c>
      <c r="I54" s="41">
        <f t="shared" si="8"/>
        <v>0</v>
      </c>
      <c r="J54" s="41">
        <f t="shared" si="6"/>
        <v>86579059</v>
      </c>
    </row>
    <row r="55" spans="1:10" x14ac:dyDescent="0.2">
      <c r="A55" s="39">
        <f t="shared" si="7"/>
        <v>40</v>
      </c>
      <c r="B55" s="39" t="s">
        <v>149</v>
      </c>
      <c r="D55" s="41">
        <f t="shared" si="8"/>
        <v>13557902</v>
      </c>
      <c r="E55" s="41">
        <f t="shared" si="8"/>
        <v>0</v>
      </c>
      <c r="F55" s="41">
        <f t="shared" si="8"/>
        <v>3331563</v>
      </c>
      <c r="G55" s="41">
        <f t="shared" si="8"/>
        <v>4682758</v>
      </c>
      <c r="H55" s="41">
        <f>H20-H35</f>
        <v>1656620</v>
      </c>
      <c r="I55" s="41">
        <f t="shared" si="8"/>
        <v>0</v>
      </c>
      <c r="J55" s="41">
        <f t="shared" si="6"/>
        <v>23228843</v>
      </c>
    </row>
    <row r="56" spans="1:10" x14ac:dyDescent="0.2">
      <c r="A56" s="39">
        <f t="shared" si="7"/>
        <v>41</v>
      </c>
      <c r="B56" s="42" t="s">
        <v>173</v>
      </c>
      <c r="D56" s="41">
        <f t="shared" si="8"/>
        <v>3430098</v>
      </c>
      <c r="E56" s="41">
        <f t="shared" si="8"/>
        <v>0</v>
      </c>
      <c r="F56" s="41">
        <f t="shared" si="8"/>
        <v>1006314</v>
      </c>
      <c r="G56" s="41">
        <f t="shared" si="8"/>
        <v>1626373</v>
      </c>
      <c r="H56" s="41">
        <f>H21-H36</f>
        <v>0</v>
      </c>
      <c r="I56" s="41">
        <f t="shared" si="8"/>
        <v>0</v>
      </c>
      <c r="J56" s="41">
        <f t="shared" si="6"/>
        <v>6062785</v>
      </c>
    </row>
    <row r="57" spans="1:10" x14ac:dyDescent="0.2">
      <c r="A57" s="39">
        <f t="shared" si="7"/>
        <v>42</v>
      </c>
      <c r="B57" s="42" t="s">
        <v>168</v>
      </c>
      <c r="C57" s="42"/>
      <c r="D57" s="41">
        <f t="shared" si="8"/>
        <v>49118355</v>
      </c>
      <c r="E57" s="41">
        <f t="shared" si="8"/>
        <v>8497213</v>
      </c>
      <c r="F57" s="41">
        <f t="shared" si="8"/>
        <v>0</v>
      </c>
      <c r="G57" s="41">
        <f t="shared" si="8"/>
        <v>5553234</v>
      </c>
      <c r="H57" s="41">
        <f>H22-H37</f>
        <v>0</v>
      </c>
      <c r="I57" s="41">
        <f t="shared" si="8"/>
        <v>0</v>
      </c>
      <c r="J57" s="41">
        <f t="shared" si="6"/>
        <v>63168802</v>
      </c>
    </row>
    <row r="58" spans="1:10" x14ac:dyDescent="0.2">
      <c r="A58" s="39">
        <f t="shared" si="7"/>
        <v>43</v>
      </c>
      <c r="B58" s="42" t="s">
        <v>163</v>
      </c>
      <c r="C58" s="42"/>
      <c r="D58" s="41">
        <f t="shared" ref="D58:I58" si="9">D23-D38-D59</f>
        <v>66392945</v>
      </c>
      <c r="E58" s="41">
        <f t="shared" si="9"/>
        <v>4397000</v>
      </c>
      <c r="F58" s="41">
        <f t="shared" si="9"/>
        <v>22292036</v>
      </c>
      <c r="G58" s="41">
        <f t="shared" si="9"/>
        <v>0</v>
      </c>
      <c r="H58" s="41">
        <f t="shared" si="9"/>
        <v>0</v>
      </c>
      <c r="I58" s="41">
        <f t="shared" si="9"/>
        <v>0</v>
      </c>
      <c r="J58" s="41">
        <f t="shared" si="6"/>
        <v>93081981</v>
      </c>
    </row>
    <row r="59" spans="1:10" x14ac:dyDescent="0.2">
      <c r="A59" s="39">
        <f t="shared" si="7"/>
        <v>44</v>
      </c>
      <c r="B59" s="39" t="s">
        <v>151</v>
      </c>
      <c r="D59" s="41">
        <v>8522641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f t="shared" si="6"/>
        <v>8522641</v>
      </c>
    </row>
    <row r="60" spans="1:10" x14ac:dyDescent="0.2">
      <c r="B60" s="42" t="s">
        <v>172</v>
      </c>
      <c r="D60" s="41"/>
      <c r="E60" s="41"/>
      <c r="F60" s="41"/>
      <c r="G60" s="41"/>
      <c r="H60" s="41"/>
      <c r="I60" s="41"/>
      <c r="J60" s="41"/>
    </row>
    <row r="61" spans="1:10" x14ac:dyDescent="0.2">
      <c r="A61" s="39">
        <f>A59+1</f>
        <v>45</v>
      </c>
      <c r="B61" s="42"/>
      <c r="C61" s="42" t="s">
        <v>175</v>
      </c>
      <c r="D61" s="41">
        <f t="shared" ref="D61:I65" si="10">D25</f>
        <v>850783</v>
      </c>
      <c r="E61" s="41">
        <f t="shared" si="10"/>
        <v>0</v>
      </c>
      <c r="F61" s="41">
        <f t="shared" si="10"/>
        <v>-2849903</v>
      </c>
      <c r="G61" s="41">
        <f t="shared" si="10"/>
        <v>1185489</v>
      </c>
      <c r="H61" s="41">
        <f>H25</f>
        <v>444315</v>
      </c>
      <c r="I61" s="41">
        <f t="shared" si="10"/>
        <v>0</v>
      </c>
      <c r="J61" s="41">
        <f>SUM(D61:I61)</f>
        <v>-369316</v>
      </c>
    </row>
    <row r="62" spans="1:10" x14ac:dyDescent="0.2">
      <c r="A62" s="39">
        <f>A61+1</f>
        <v>46</v>
      </c>
      <c r="B62" s="42"/>
      <c r="C62" s="42" t="s">
        <v>182</v>
      </c>
      <c r="D62" s="41">
        <f t="shared" si="10"/>
        <v>2398783</v>
      </c>
      <c r="E62" s="41">
        <f t="shared" si="10"/>
        <v>0</v>
      </c>
      <c r="F62" s="41">
        <f t="shared" si="10"/>
        <v>0</v>
      </c>
      <c r="G62" s="41">
        <f t="shared" si="10"/>
        <v>-2398684</v>
      </c>
      <c r="H62" s="41">
        <f>H26</f>
        <v>0</v>
      </c>
      <c r="I62" s="41">
        <f t="shared" si="10"/>
        <v>0</v>
      </c>
      <c r="J62" s="41">
        <f>SUM(D62:I62)</f>
        <v>99</v>
      </c>
    </row>
    <row r="63" spans="1:10" x14ac:dyDescent="0.2">
      <c r="A63" s="39">
        <f>A62+1</f>
        <v>47</v>
      </c>
      <c r="B63" s="42"/>
      <c r="C63" s="42" t="s">
        <v>201</v>
      </c>
      <c r="D63" s="41">
        <f t="shared" si="10"/>
        <v>0</v>
      </c>
      <c r="E63" s="41">
        <f t="shared" si="10"/>
        <v>0</v>
      </c>
      <c r="F63" s="41">
        <f t="shared" si="10"/>
        <v>0</v>
      </c>
      <c r="G63" s="41">
        <f t="shared" si="10"/>
        <v>0</v>
      </c>
      <c r="H63" s="41">
        <f>H27</f>
        <v>0</v>
      </c>
      <c r="I63" s="41">
        <f t="shared" si="10"/>
        <v>0</v>
      </c>
      <c r="J63" s="41">
        <f>SUM(D63:I63)</f>
        <v>0</v>
      </c>
    </row>
    <row r="64" spans="1:10" x14ac:dyDescent="0.2">
      <c r="A64" s="39">
        <f>A63+1</f>
        <v>48</v>
      </c>
      <c r="B64" s="42"/>
      <c r="C64" s="42" t="s">
        <v>183</v>
      </c>
      <c r="D64" s="41">
        <f t="shared" si="10"/>
        <v>643009</v>
      </c>
      <c r="E64" s="41">
        <f t="shared" si="10"/>
        <v>0</v>
      </c>
      <c r="F64" s="41">
        <f t="shared" si="10"/>
        <v>0</v>
      </c>
      <c r="G64" s="41">
        <f t="shared" si="10"/>
        <v>-588562</v>
      </c>
      <c r="H64" s="41">
        <f>H28</f>
        <v>0</v>
      </c>
      <c r="I64" s="41">
        <f t="shared" si="10"/>
        <v>0</v>
      </c>
      <c r="J64" s="41">
        <f>SUM(D64:I64)</f>
        <v>54447</v>
      </c>
    </row>
    <row r="65" spans="1:12" x14ac:dyDescent="0.2">
      <c r="A65" s="39">
        <f>A64+1</f>
        <v>49</v>
      </c>
      <c r="B65" s="42"/>
      <c r="C65" s="42" t="s">
        <v>251</v>
      </c>
      <c r="D65" s="41">
        <f t="shared" si="10"/>
        <v>-195</v>
      </c>
      <c r="E65" s="41">
        <f t="shared" si="10"/>
        <v>0</v>
      </c>
      <c r="F65" s="41">
        <f t="shared" si="10"/>
        <v>0</v>
      </c>
      <c r="G65" s="41">
        <f t="shared" si="10"/>
        <v>0</v>
      </c>
      <c r="H65" s="41">
        <f>H29</f>
        <v>0</v>
      </c>
      <c r="I65" s="41">
        <f t="shared" si="10"/>
        <v>0</v>
      </c>
      <c r="J65" s="41">
        <f>SUM(D65:I65)</f>
        <v>-195</v>
      </c>
    </row>
    <row r="66" spans="1:12" x14ac:dyDescent="0.2">
      <c r="D66" s="41"/>
      <c r="E66" s="41"/>
      <c r="F66" s="41"/>
      <c r="G66" s="41"/>
      <c r="H66" s="41"/>
      <c r="I66" s="41"/>
      <c r="J66" s="41"/>
    </row>
    <row r="67" spans="1:12" x14ac:dyDescent="0.2">
      <c r="A67" s="39">
        <f>A65+1</f>
        <v>50</v>
      </c>
      <c r="B67" s="42" t="s">
        <v>184</v>
      </c>
      <c r="C67" s="42"/>
      <c r="D67" s="41">
        <f t="shared" ref="D67:J67" si="11">SUM(D43:D65)</f>
        <v>5312153489</v>
      </c>
      <c r="E67" s="41">
        <f t="shared" si="11"/>
        <v>12894213</v>
      </c>
      <c r="F67" s="41">
        <f t="shared" si="11"/>
        <v>258399374</v>
      </c>
      <c r="G67" s="41">
        <f t="shared" si="11"/>
        <v>320162806</v>
      </c>
      <c r="H67" s="41">
        <f>SUM(H43:H65)</f>
        <v>107054043</v>
      </c>
      <c r="I67" s="41">
        <f t="shared" si="11"/>
        <v>5618167</v>
      </c>
      <c r="J67" s="41">
        <f t="shared" si="11"/>
        <v>6016282092</v>
      </c>
      <c r="K67" s="43"/>
    </row>
    <row r="68" spans="1:12" x14ac:dyDescent="0.2">
      <c r="A68" s="39">
        <f>A67+1</f>
        <v>51</v>
      </c>
      <c r="B68" s="173" t="s">
        <v>397</v>
      </c>
      <c r="C68" s="42"/>
      <c r="D68" s="41">
        <f t="shared" ref="D68:J68" si="12">D67</f>
        <v>5312153489</v>
      </c>
      <c r="E68" s="41">
        <f t="shared" si="12"/>
        <v>12894213</v>
      </c>
      <c r="F68" s="41">
        <f t="shared" si="12"/>
        <v>258399374</v>
      </c>
      <c r="G68" s="41">
        <f t="shared" si="12"/>
        <v>320162806</v>
      </c>
      <c r="H68" s="41">
        <f t="shared" si="12"/>
        <v>107054043</v>
      </c>
      <c r="I68" s="41">
        <f t="shared" si="12"/>
        <v>5618167</v>
      </c>
      <c r="J68" s="41">
        <f t="shared" si="12"/>
        <v>6016282092</v>
      </c>
      <c r="K68" s="237">
        <v>6016282090.8294201</v>
      </c>
      <c r="L68" s="41">
        <f>K68-J68</f>
        <v>-1.1705799102783203</v>
      </c>
    </row>
    <row r="69" spans="1:12" x14ac:dyDescent="0.2">
      <c r="A69" s="39">
        <f>A68+1</f>
        <v>52</v>
      </c>
      <c r="B69" s="42" t="s">
        <v>303</v>
      </c>
      <c r="C69" s="42"/>
      <c r="D69" s="127" t="s">
        <v>302</v>
      </c>
      <c r="E69" s="127" t="s">
        <v>302</v>
      </c>
      <c r="F69" s="127" t="s">
        <v>302</v>
      </c>
      <c r="G69" s="127" t="s">
        <v>302</v>
      </c>
      <c r="H69" s="127" t="s">
        <v>302</v>
      </c>
      <c r="I69" s="127" t="s">
        <v>302</v>
      </c>
      <c r="J69" s="127" t="s">
        <v>302</v>
      </c>
      <c r="K69" s="41">
        <f>K68-J68</f>
        <v>-1.1705799102783203</v>
      </c>
    </row>
    <row r="70" spans="1:12" x14ac:dyDescent="0.2">
      <c r="B70" s="42"/>
      <c r="C70" s="42"/>
      <c r="D70" s="41"/>
      <c r="E70" s="41"/>
      <c r="F70" s="41"/>
      <c r="G70" s="41"/>
      <c r="H70" s="41"/>
      <c r="I70" s="41"/>
      <c r="J70" s="41"/>
    </row>
    <row r="71" spans="1:12" x14ac:dyDescent="0.2">
      <c r="A71" s="39">
        <f>A69+1</f>
        <v>53</v>
      </c>
      <c r="B71" s="42" t="s">
        <v>166</v>
      </c>
      <c r="C71" s="42"/>
      <c r="D71" s="41">
        <v>-29548624</v>
      </c>
      <c r="E71" s="41">
        <v>0</v>
      </c>
      <c r="F71" s="41">
        <v>0</v>
      </c>
      <c r="G71" s="41">
        <v>-1500153</v>
      </c>
      <c r="H71" s="41">
        <v>-530709</v>
      </c>
      <c r="I71" s="41">
        <v>0</v>
      </c>
      <c r="J71" s="41">
        <f>SUM(D71:I71)</f>
        <v>-31579486</v>
      </c>
      <c r="K71" s="43"/>
    </row>
    <row r="72" spans="1:12" x14ac:dyDescent="0.2">
      <c r="D72" s="40"/>
      <c r="E72" s="40"/>
      <c r="F72" s="40"/>
      <c r="G72" s="40"/>
      <c r="H72" s="40"/>
      <c r="I72" s="40"/>
      <c r="J72" s="40"/>
    </row>
    <row r="73" spans="1:12" x14ac:dyDescent="0.2">
      <c r="A73" s="190" t="s">
        <v>391</v>
      </c>
      <c r="B73" s="190"/>
      <c r="C73" s="191"/>
      <c r="D73" s="192" t="s">
        <v>176</v>
      </c>
      <c r="E73" s="192" t="s">
        <v>181</v>
      </c>
      <c r="F73" s="192" t="s">
        <v>177</v>
      </c>
      <c r="G73" s="192" t="s">
        <v>178</v>
      </c>
      <c r="H73" s="192" t="s">
        <v>179</v>
      </c>
      <c r="I73" s="192" t="s">
        <v>370</v>
      </c>
      <c r="J73" s="192" t="s">
        <v>180</v>
      </c>
    </row>
    <row r="75" spans="1:12" x14ac:dyDescent="0.2">
      <c r="A75" s="39">
        <v>1</v>
      </c>
      <c r="B75" s="39" t="s">
        <v>140</v>
      </c>
      <c r="D75" s="41">
        <f>'Pupil Data'!C209</f>
        <v>883951</v>
      </c>
      <c r="E75" s="41">
        <v>0</v>
      </c>
      <c r="F75" s="41">
        <f>'Pupil Data'!D209</f>
        <v>34296</v>
      </c>
      <c r="G75" s="41">
        <f>'Pupil Data'!E209</f>
        <v>45363</v>
      </c>
      <c r="H75" s="41">
        <f>'Pupil Data'!F209</f>
        <v>18401</v>
      </c>
      <c r="I75" s="41">
        <v>0</v>
      </c>
      <c r="J75" s="41">
        <f>SUM(D75:I75)</f>
        <v>982011</v>
      </c>
    </row>
    <row r="77" spans="1:12" x14ac:dyDescent="0.2">
      <c r="B77" s="42" t="s">
        <v>155</v>
      </c>
      <c r="D77" s="40"/>
      <c r="E77" s="40"/>
      <c r="F77" s="40"/>
      <c r="G77" s="40"/>
      <c r="H77" s="40"/>
      <c r="I77" s="40"/>
      <c r="J77" s="40"/>
    </row>
    <row r="78" spans="1:12" x14ac:dyDescent="0.2">
      <c r="A78" s="39">
        <f>A75+1</f>
        <v>2</v>
      </c>
      <c r="B78" s="39" t="s">
        <v>141</v>
      </c>
      <c r="D78" s="41">
        <v>4529363537</v>
      </c>
      <c r="E78" s="41">
        <v>0</v>
      </c>
      <c r="F78" s="41">
        <v>175733678</v>
      </c>
      <c r="G78" s="41">
        <v>232440522</v>
      </c>
      <c r="H78" s="41">
        <v>94284623</v>
      </c>
      <c r="I78" s="41">
        <v>0</v>
      </c>
      <c r="J78" s="41">
        <f>SUM(D78:I78)</f>
        <v>5031822360</v>
      </c>
    </row>
    <row r="79" spans="1:12" x14ac:dyDescent="0.2">
      <c r="A79" s="39">
        <f>A78+1</f>
        <v>3</v>
      </c>
      <c r="B79" s="42" t="s">
        <v>167</v>
      </c>
      <c r="C79" s="42"/>
      <c r="D79" s="41">
        <v>10607404</v>
      </c>
      <c r="E79" s="41">
        <v>0</v>
      </c>
      <c r="F79" s="41">
        <v>411554</v>
      </c>
      <c r="G79" s="41">
        <v>544360</v>
      </c>
      <c r="H79" s="41">
        <v>220807</v>
      </c>
      <c r="I79" s="41">
        <v>0</v>
      </c>
      <c r="J79" s="41">
        <f>SUM(D79:I79)</f>
        <v>11784125</v>
      </c>
    </row>
    <row r="80" spans="1:12" x14ac:dyDescent="0.2">
      <c r="A80" s="39">
        <f>A79+1</f>
        <v>4</v>
      </c>
      <c r="B80" s="39" t="s">
        <v>142</v>
      </c>
      <c r="D80" s="41">
        <v>46582465</v>
      </c>
      <c r="E80" s="41">
        <v>0</v>
      </c>
      <c r="F80" s="41">
        <v>35319715</v>
      </c>
      <c r="G80" s="41">
        <v>1266287</v>
      </c>
      <c r="H80" s="41">
        <v>1953032</v>
      </c>
      <c r="I80" s="41">
        <v>0</v>
      </c>
      <c r="J80" s="41">
        <f>SUM(D80:I80)</f>
        <v>85121499</v>
      </c>
    </row>
    <row r="81" spans="1:12" x14ac:dyDescent="0.2">
      <c r="B81" s="42" t="s">
        <v>171</v>
      </c>
      <c r="D81" s="41"/>
      <c r="E81" s="41"/>
      <c r="F81" s="41"/>
      <c r="G81" s="41"/>
      <c r="H81" s="41"/>
      <c r="I81" s="41"/>
      <c r="J81" s="41"/>
    </row>
    <row r="82" spans="1:12" x14ac:dyDescent="0.2">
      <c r="A82" s="39">
        <f>A80+1</f>
        <v>5</v>
      </c>
      <c r="C82" s="39" t="s">
        <v>143</v>
      </c>
      <c r="D82" s="41">
        <v>357598099</v>
      </c>
      <c r="E82" s="41">
        <v>0</v>
      </c>
      <c r="F82" s="41">
        <v>71808640</v>
      </c>
      <c r="G82" s="41">
        <v>50012116</v>
      </c>
      <c r="H82" s="41">
        <v>15549115</v>
      </c>
      <c r="I82" s="41">
        <v>5680420</v>
      </c>
      <c r="J82" s="41">
        <f t="shared" ref="J82:J93" si="13">SUM(D82:I82)</f>
        <v>500648390</v>
      </c>
    </row>
    <row r="83" spans="1:12" x14ac:dyDescent="0.2">
      <c r="A83" s="39">
        <f t="shared" ref="A83:A93" si="14">A82+1</f>
        <v>6</v>
      </c>
      <c r="C83" s="39" t="s">
        <v>144</v>
      </c>
      <c r="D83" s="41">
        <v>27409200</v>
      </c>
      <c r="E83" s="41">
        <v>0</v>
      </c>
      <c r="F83" s="41">
        <v>-1225544</v>
      </c>
      <c r="G83" s="41">
        <v>4799900</v>
      </c>
      <c r="H83" s="41">
        <v>1611627</v>
      </c>
      <c r="I83" s="41">
        <v>0</v>
      </c>
      <c r="J83" s="41">
        <f t="shared" si="13"/>
        <v>32595183</v>
      </c>
    </row>
    <row r="84" spans="1:12" x14ac:dyDescent="0.2">
      <c r="A84" s="39">
        <f t="shared" si="14"/>
        <v>7</v>
      </c>
      <c r="B84" s="42"/>
      <c r="C84" s="42" t="s">
        <v>170</v>
      </c>
      <c r="D84" s="41">
        <v>6993258.0000000028</v>
      </c>
      <c r="E84" s="41">
        <v>0</v>
      </c>
      <c r="F84" s="41">
        <v>-312689</v>
      </c>
      <c r="G84" s="41">
        <v>1607720.0000000009</v>
      </c>
      <c r="H84" s="41">
        <v>411195</v>
      </c>
      <c r="I84" s="41">
        <v>0</v>
      </c>
      <c r="J84" s="41">
        <f t="shared" si="13"/>
        <v>8699484.0000000037</v>
      </c>
    </row>
    <row r="85" spans="1:12" x14ac:dyDescent="0.2">
      <c r="A85" s="39">
        <f t="shared" si="14"/>
        <v>8</v>
      </c>
      <c r="B85" s="39" t="s">
        <v>145</v>
      </c>
      <c r="D85" s="41">
        <v>23422640</v>
      </c>
      <c r="E85" s="41">
        <v>0</v>
      </c>
      <c r="F85" s="41">
        <v>0</v>
      </c>
      <c r="G85" s="41">
        <v>1202017</v>
      </c>
      <c r="H85" s="41">
        <v>487573</v>
      </c>
      <c r="I85" s="41">
        <v>0</v>
      </c>
      <c r="J85" s="41">
        <f t="shared" si="13"/>
        <v>25112230</v>
      </c>
    </row>
    <row r="86" spans="1:12" x14ac:dyDescent="0.2">
      <c r="A86" s="39">
        <f t="shared" si="14"/>
        <v>9</v>
      </c>
      <c r="B86" s="39" t="s">
        <v>146</v>
      </c>
      <c r="D86" s="41">
        <v>52956899</v>
      </c>
      <c r="E86" s="41">
        <v>0</v>
      </c>
      <c r="F86" s="41">
        <v>0</v>
      </c>
      <c r="G86" s="41">
        <v>1011946</v>
      </c>
      <c r="H86" s="41">
        <v>413451</v>
      </c>
      <c r="I86" s="41">
        <v>0</v>
      </c>
      <c r="J86" s="41">
        <f t="shared" si="13"/>
        <v>54382296</v>
      </c>
    </row>
    <row r="87" spans="1:12" x14ac:dyDescent="0.2">
      <c r="A87" s="39">
        <f t="shared" si="14"/>
        <v>10</v>
      </c>
      <c r="B87" s="39" t="s">
        <v>148</v>
      </c>
      <c r="D87" s="41">
        <v>92500</v>
      </c>
      <c r="E87" s="41">
        <v>0</v>
      </c>
      <c r="F87" s="41">
        <v>3589</v>
      </c>
      <c r="G87" s="41">
        <v>4751</v>
      </c>
      <c r="H87" s="41">
        <v>1926</v>
      </c>
      <c r="I87" s="41">
        <v>0</v>
      </c>
      <c r="J87" s="41">
        <f t="shared" si="13"/>
        <v>102766</v>
      </c>
    </row>
    <row r="88" spans="1:12" x14ac:dyDescent="0.2">
      <c r="A88" s="39">
        <f t="shared" si="14"/>
        <v>11</v>
      </c>
      <c r="B88" s="39" t="s">
        <v>244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f t="shared" si="13"/>
        <v>0</v>
      </c>
    </row>
    <row r="89" spans="1:12" x14ac:dyDescent="0.2">
      <c r="A89" s="39">
        <f t="shared" si="14"/>
        <v>12</v>
      </c>
      <c r="B89" s="39" t="s">
        <v>147</v>
      </c>
      <c r="D89" s="41">
        <v>181356444</v>
      </c>
      <c r="E89" s="41">
        <v>0</v>
      </c>
      <c r="F89" s="41">
        <v>7036405</v>
      </c>
      <c r="G89" s="41">
        <v>9306958</v>
      </c>
      <c r="H89" s="41">
        <v>3775171</v>
      </c>
      <c r="I89" s="41">
        <v>0</v>
      </c>
      <c r="J89" s="41">
        <f t="shared" si="13"/>
        <v>201474978</v>
      </c>
    </row>
    <row r="90" spans="1:12" x14ac:dyDescent="0.2">
      <c r="A90" s="39">
        <f t="shared" si="14"/>
        <v>13</v>
      </c>
      <c r="B90" s="39" t="s">
        <v>149</v>
      </c>
      <c r="D90" s="41">
        <v>87678696.751417294</v>
      </c>
      <c r="E90" s="41">
        <f>K90-D90-F90-G90-H90</f>
        <v>-284426.75141729414</v>
      </c>
      <c r="F90" s="41">
        <v>3401824</v>
      </c>
      <c r="G90" s="41">
        <v>4499552</v>
      </c>
      <c r="H90" s="41">
        <v>1825147</v>
      </c>
      <c r="I90" s="41">
        <v>0</v>
      </c>
      <c r="J90" s="41">
        <f t="shared" si="13"/>
        <v>97120793</v>
      </c>
      <c r="K90" s="41">
        <v>97120793</v>
      </c>
    </row>
    <row r="91" spans="1:12" x14ac:dyDescent="0.2">
      <c r="A91" s="39">
        <f t="shared" si="14"/>
        <v>14</v>
      </c>
      <c r="B91" s="42" t="s">
        <v>173</v>
      </c>
      <c r="D91" s="41">
        <v>27823859</v>
      </c>
      <c r="E91" s="41">
        <v>0</v>
      </c>
      <c r="F91" s="41">
        <v>1079531</v>
      </c>
      <c r="G91" s="41">
        <v>1578380</v>
      </c>
      <c r="H91" s="41">
        <v>6632</v>
      </c>
      <c r="I91" s="41">
        <v>0</v>
      </c>
      <c r="J91" s="41">
        <f t="shared" si="13"/>
        <v>30488402</v>
      </c>
    </row>
    <row r="92" spans="1:12" x14ac:dyDescent="0.2">
      <c r="A92" s="39">
        <f t="shared" si="14"/>
        <v>15</v>
      </c>
      <c r="B92" s="42" t="s">
        <v>168</v>
      </c>
      <c r="C92" s="42"/>
      <c r="D92" s="41">
        <v>60859455</v>
      </c>
      <c r="E92" s="41">
        <f>K92-D92-G92</f>
        <v>20049293</v>
      </c>
      <c r="F92" s="41">
        <v>0</v>
      </c>
      <c r="G92" s="41">
        <v>5417224</v>
      </c>
      <c r="H92" s="41">
        <v>0</v>
      </c>
      <c r="I92" s="41">
        <v>0</v>
      </c>
      <c r="J92" s="41">
        <f t="shared" si="13"/>
        <v>86325972</v>
      </c>
      <c r="K92" s="148">
        <v>86325972</v>
      </c>
      <c r="L92" s="41"/>
    </row>
    <row r="93" spans="1:12" x14ac:dyDescent="0.2">
      <c r="A93" s="39">
        <f t="shared" si="14"/>
        <v>16</v>
      </c>
      <c r="B93" s="39" t="s">
        <v>150</v>
      </c>
      <c r="D93" s="41">
        <v>809060654</v>
      </c>
      <c r="E93" s="41">
        <v>146484000</v>
      </c>
      <c r="F93" s="41">
        <v>60920848</v>
      </c>
      <c r="G93" s="41">
        <v>0</v>
      </c>
      <c r="H93" s="41">
        <v>0</v>
      </c>
      <c r="I93" s="41">
        <v>0</v>
      </c>
      <c r="J93" s="41">
        <f t="shared" si="13"/>
        <v>1016465502</v>
      </c>
      <c r="K93" s="41"/>
    </row>
    <row r="94" spans="1:12" x14ac:dyDescent="0.2">
      <c r="B94" s="42" t="s">
        <v>172</v>
      </c>
      <c r="D94" s="41"/>
      <c r="E94" s="41"/>
      <c r="F94" s="41"/>
      <c r="G94" s="41"/>
      <c r="H94" s="41"/>
      <c r="I94" s="41"/>
      <c r="J94" s="41"/>
    </row>
    <row r="95" spans="1:12" x14ac:dyDescent="0.2">
      <c r="A95" s="39">
        <f>A93+1</f>
        <v>17</v>
      </c>
      <c r="B95" s="42"/>
      <c r="C95" s="42" t="s">
        <v>175</v>
      </c>
      <c r="D95" s="41">
        <v>810254</v>
      </c>
      <c r="E95" s="41">
        <v>0</v>
      </c>
      <c r="F95" s="41">
        <v>-2726624</v>
      </c>
      <c r="G95" s="41">
        <v>1066180</v>
      </c>
      <c r="H95" s="41">
        <v>478415</v>
      </c>
      <c r="I95" s="41">
        <v>0</v>
      </c>
      <c r="J95" s="41">
        <f>SUM(D95:I95)</f>
        <v>-371775</v>
      </c>
    </row>
    <row r="96" spans="1:12" x14ac:dyDescent="0.2">
      <c r="A96" s="39">
        <f>A95+1</f>
        <v>18</v>
      </c>
      <c r="B96" s="42"/>
      <c r="C96" s="42" t="s">
        <v>182</v>
      </c>
      <c r="D96" s="41">
        <v>2473714</v>
      </c>
      <c r="E96" s="41">
        <v>0</v>
      </c>
      <c r="F96" s="41">
        <v>0</v>
      </c>
      <c r="G96" s="41">
        <v>-2474089</v>
      </c>
      <c r="H96" s="41">
        <v>0</v>
      </c>
      <c r="I96" s="41">
        <v>0</v>
      </c>
      <c r="J96" s="41">
        <f>SUM(D96:I96)</f>
        <v>-375</v>
      </c>
    </row>
    <row r="97" spans="1:12" x14ac:dyDescent="0.2">
      <c r="A97" s="39">
        <f>A96+1</f>
        <v>19</v>
      </c>
      <c r="B97" s="42"/>
      <c r="C97" s="42" t="s">
        <v>201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f>SUM(D97:I97)</f>
        <v>0</v>
      </c>
    </row>
    <row r="98" spans="1:12" x14ac:dyDescent="0.2">
      <c r="A98" s="39">
        <f>A97+1</f>
        <v>20</v>
      </c>
      <c r="B98" s="42"/>
      <c r="C98" s="42" t="s">
        <v>183</v>
      </c>
      <c r="D98" s="41">
        <v>552428</v>
      </c>
      <c r="E98" s="41">
        <v>0</v>
      </c>
      <c r="F98" s="41">
        <v>0</v>
      </c>
      <c r="G98" s="41">
        <v>-539189</v>
      </c>
      <c r="H98" s="41">
        <v>0</v>
      </c>
      <c r="I98" s="41">
        <v>0</v>
      </c>
      <c r="J98" s="41">
        <f>SUM(D98:I98)</f>
        <v>13239</v>
      </c>
    </row>
    <row r="99" spans="1:12" x14ac:dyDescent="0.2">
      <c r="A99" s="39">
        <f>A98+1</f>
        <v>21</v>
      </c>
      <c r="B99" s="42"/>
      <c r="C99" s="42" t="s">
        <v>251</v>
      </c>
      <c r="D99" s="41">
        <v>-196</v>
      </c>
      <c r="E99" s="41">
        <v>0</v>
      </c>
      <c r="F99" s="41">
        <v>0</v>
      </c>
      <c r="G99" s="41">
        <v>0</v>
      </c>
      <c r="H99" s="41">
        <v>0</v>
      </c>
      <c r="I99" s="41">
        <v>0</v>
      </c>
      <c r="J99" s="41">
        <f>SUM(D99:I99)</f>
        <v>-196</v>
      </c>
    </row>
    <row r="100" spans="1:12" x14ac:dyDescent="0.2">
      <c r="D100" s="41"/>
      <c r="E100" s="41"/>
      <c r="F100" s="41"/>
      <c r="G100" s="41"/>
      <c r="H100" s="41"/>
      <c r="I100" s="41"/>
      <c r="J100" s="41"/>
    </row>
    <row r="101" spans="1:12" x14ac:dyDescent="0.2">
      <c r="A101" s="39">
        <f>A99+1</f>
        <v>22</v>
      </c>
      <c r="B101" s="42" t="s">
        <v>158</v>
      </c>
      <c r="D101" s="41">
        <f t="shared" ref="D101:J101" si="15">SUM(D78:D99)</f>
        <v>6225641310.7514172</v>
      </c>
      <c r="E101" s="41">
        <f t="shared" si="15"/>
        <v>166248866.24858272</v>
      </c>
      <c r="F101" s="41">
        <f t="shared" si="15"/>
        <v>351450927</v>
      </c>
      <c r="G101" s="41">
        <f t="shared" si="15"/>
        <v>311744635</v>
      </c>
      <c r="H101" s="41">
        <f t="shared" si="15"/>
        <v>121018714</v>
      </c>
      <c r="I101" s="41">
        <f t="shared" si="15"/>
        <v>5680420</v>
      </c>
      <c r="J101" s="41">
        <f t="shared" si="15"/>
        <v>7181784873</v>
      </c>
      <c r="K101" s="237">
        <v>7182069299.77141</v>
      </c>
    </row>
    <row r="102" spans="1:12" x14ac:dyDescent="0.2">
      <c r="C102" s="42"/>
      <c r="D102" s="41"/>
      <c r="E102" s="41"/>
      <c r="F102" s="41"/>
      <c r="G102" s="41"/>
      <c r="H102" s="41"/>
      <c r="I102" s="41"/>
      <c r="J102" s="41"/>
      <c r="K102" s="43"/>
    </row>
    <row r="103" spans="1:12" x14ac:dyDescent="0.2">
      <c r="B103" s="42" t="s">
        <v>156</v>
      </c>
      <c r="C103" s="42"/>
      <c r="D103" s="41"/>
      <c r="E103" s="41"/>
      <c r="F103" s="41"/>
      <c r="G103" s="41"/>
      <c r="H103" s="41"/>
      <c r="I103" s="41"/>
      <c r="J103" s="41"/>
    </row>
    <row r="104" spans="1:12" x14ac:dyDescent="0.2">
      <c r="A104" s="39">
        <f>A101+1</f>
        <v>23</v>
      </c>
      <c r="B104" s="39" t="s">
        <v>153</v>
      </c>
      <c r="D104" s="41">
        <v>117556471</v>
      </c>
      <c r="E104" s="41">
        <v>0</v>
      </c>
      <c r="F104" s="41">
        <v>758243</v>
      </c>
      <c r="G104" s="41">
        <v>0</v>
      </c>
      <c r="H104" s="41">
        <v>0</v>
      </c>
      <c r="I104" s="41">
        <v>0</v>
      </c>
      <c r="J104" s="41">
        <f>SUM(D104:I104)</f>
        <v>118314714</v>
      </c>
    </row>
    <row r="105" spans="1:12" x14ac:dyDescent="0.2">
      <c r="A105" s="39">
        <f>A104+1</f>
        <v>24</v>
      </c>
      <c r="B105" s="39" t="s">
        <v>152</v>
      </c>
      <c r="D105" s="41">
        <v>74575561.196474001</v>
      </c>
      <c r="E105" s="41">
        <f>K105-D105-F105-G105-H105</f>
        <v>-174538.69647400081</v>
      </c>
      <c r="F105" s="41">
        <v>-276861.5</v>
      </c>
      <c r="G105" s="41">
        <v>0</v>
      </c>
      <c r="H105" s="41">
        <v>0</v>
      </c>
      <c r="I105" s="41">
        <v>0</v>
      </c>
      <c r="J105" s="41">
        <f>SUM(D105:I105)</f>
        <v>74124161</v>
      </c>
      <c r="K105" s="41">
        <v>74124161</v>
      </c>
    </row>
    <row r="106" spans="1:12" x14ac:dyDescent="0.2">
      <c r="A106" s="39">
        <f>A105+1</f>
        <v>25</v>
      </c>
      <c r="B106" s="42" t="s">
        <v>174</v>
      </c>
      <c r="D106" s="41">
        <v>24404751</v>
      </c>
      <c r="E106" s="41">
        <v>0</v>
      </c>
      <c r="F106" s="41">
        <v>-42769</v>
      </c>
      <c r="G106" s="41">
        <v>0</v>
      </c>
      <c r="H106" s="41">
        <v>0</v>
      </c>
      <c r="I106" s="41">
        <v>0</v>
      </c>
      <c r="J106" s="41">
        <f>SUM(D106:I106)</f>
        <v>24361982</v>
      </c>
    </row>
    <row r="107" spans="1:12" x14ac:dyDescent="0.2">
      <c r="A107" s="39">
        <f>A106+1</f>
        <v>26</v>
      </c>
      <c r="B107" s="42" t="s">
        <v>168</v>
      </c>
      <c r="C107" s="42"/>
      <c r="D107" s="41">
        <v>18725420</v>
      </c>
      <c r="E107" s="41">
        <f>K107-D107</f>
        <v>5268604</v>
      </c>
      <c r="F107" s="41">
        <v>0</v>
      </c>
      <c r="G107" s="41">
        <v>0</v>
      </c>
      <c r="H107" s="41">
        <v>0</v>
      </c>
      <c r="I107" s="41">
        <v>0</v>
      </c>
      <c r="J107" s="41">
        <f>SUM(D107:I107)</f>
        <v>23994024</v>
      </c>
      <c r="K107" s="148">
        <v>23994024</v>
      </c>
      <c r="L107" s="41"/>
    </row>
    <row r="108" spans="1:12" x14ac:dyDescent="0.2">
      <c r="A108" s="39">
        <f>A107+1</f>
        <v>27</v>
      </c>
      <c r="B108" s="39" t="s">
        <v>154</v>
      </c>
      <c r="D108" s="41">
        <v>736104691</v>
      </c>
      <c r="E108" s="41">
        <v>142087000</v>
      </c>
      <c r="F108" s="41">
        <v>36519777</v>
      </c>
      <c r="G108" s="41">
        <v>0</v>
      </c>
      <c r="H108" s="41">
        <v>0</v>
      </c>
      <c r="I108" s="41">
        <v>0</v>
      </c>
      <c r="J108" s="41">
        <f>SUM(D108:I108)</f>
        <v>914711468</v>
      </c>
      <c r="K108" s="41"/>
    </row>
    <row r="109" spans="1:12" x14ac:dyDescent="0.2">
      <c r="D109" s="41"/>
      <c r="E109" s="41"/>
      <c r="F109" s="41"/>
      <c r="G109" s="41"/>
      <c r="H109" s="41"/>
      <c r="I109" s="41"/>
      <c r="J109" s="41"/>
    </row>
    <row r="110" spans="1:12" x14ac:dyDescent="0.2">
      <c r="A110" s="39">
        <f>A108+1</f>
        <v>28</v>
      </c>
      <c r="B110" s="42" t="s">
        <v>159</v>
      </c>
      <c r="C110" s="42"/>
      <c r="D110" s="41">
        <f t="shared" ref="D110:J110" si="16">SUM(D104:D108)</f>
        <v>971366894.19647408</v>
      </c>
      <c r="E110" s="41">
        <f t="shared" si="16"/>
        <v>147181065.30352598</v>
      </c>
      <c r="F110" s="41">
        <f t="shared" si="16"/>
        <v>36958389.5</v>
      </c>
      <c r="G110" s="41">
        <f t="shared" si="16"/>
        <v>0</v>
      </c>
      <c r="H110" s="41">
        <f t="shared" si="16"/>
        <v>0</v>
      </c>
      <c r="I110" s="41">
        <f t="shared" si="16"/>
        <v>0</v>
      </c>
      <c r="J110" s="41">
        <f t="shared" si="16"/>
        <v>1155506349</v>
      </c>
      <c r="K110" s="237">
        <v>1155680887.68647</v>
      </c>
    </row>
    <row r="111" spans="1:12" x14ac:dyDescent="0.2">
      <c r="B111" s="42"/>
      <c r="C111" s="42"/>
      <c r="D111" s="41"/>
      <c r="E111" s="41"/>
      <c r="F111" s="41"/>
      <c r="G111" s="41"/>
      <c r="H111" s="41"/>
      <c r="I111" s="41"/>
      <c r="J111" s="41"/>
    </row>
    <row r="112" spans="1:12" x14ac:dyDescent="0.2">
      <c r="B112" s="42" t="s">
        <v>157</v>
      </c>
      <c r="C112" s="42"/>
      <c r="D112" s="41"/>
      <c r="E112" s="41"/>
      <c r="F112" s="41"/>
      <c r="G112" s="41"/>
      <c r="H112" s="41"/>
      <c r="I112" s="41"/>
      <c r="J112" s="41"/>
    </row>
    <row r="113" spans="1:10" x14ac:dyDescent="0.2">
      <c r="A113" s="39">
        <f>A110+1</f>
        <v>29</v>
      </c>
      <c r="B113" s="39" t="s">
        <v>141</v>
      </c>
      <c r="D113" s="41">
        <f t="shared" ref="D113:G115" si="17">D78</f>
        <v>4529363537</v>
      </c>
      <c r="E113" s="41">
        <f t="shared" si="17"/>
        <v>0</v>
      </c>
      <c r="F113" s="41">
        <f t="shared" si="17"/>
        <v>175733678</v>
      </c>
      <c r="G113" s="41">
        <f t="shared" si="17"/>
        <v>232440522</v>
      </c>
      <c r="H113" s="41">
        <f t="shared" ref="H113:I115" si="18">H78</f>
        <v>94284623</v>
      </c>
      <c r="I113" s="41">
        <f t="shared" si="18"/>
        <v>0</v>
      </c>
      <c r="J113" s="41">
        <f>SUM(D113:I113)</f>
        <v>5031822360</v>
      </c>
    </row>
    <row r="114" spans="1:10" x14ac:dyDescent="0.2">
      <c r="A114" s="39">
        <f>A113+1</f>
        <v>30</v>
      </c>
      <c r="B114" s="42" t="s">
        <v>167</v>
      </c>
      <c r="C114" s="42"/>
      <c r="D114" s="41">
        <f t="shared" si="17"/>
        <v>10607404</v>
      </c>
      <c r="E114" s="41">
        <f t="shared" si="17"/>
        <v>0</v>
      </c>
      <c r="F114" s="41">
        <f t="shared" si="17"/>
        <v>411554</v>
      </c>
      <c r="G114" s="41">
        <f t="shared" si="17"/>
        <v>544360</v>
      </c>
      <c r="H114" s="41">
        <f t="shared" si="18"/>
        <v>220807</v>
      </c>
      <c r="I114" s="41">
        <f t="shared" si="18"/>
        <v>0</v>
      </c>
      <c r="J114" s="41">
        <f>SUM(D114:I114)</f>
        <v>11784125</v>
      </c>
    </row>
    <row r="115" spans="1:10" x14ac:dyDescent="0.2">
      <c r="A115" s="39">
        <f>A114+1</f>
        <v>31</v>
      </c>
      <c r="B115" s="39" t="s">
        <v>142</v>
      </c>
      <c r="D115" s="41">
        <f t="shared" si="17"/>
        <v>46582465</v>
      </c>
      <c r="E115" s="41">
        <f t="shared" si="17"/>
        <v>0</v>
      </c>
      <c r="F115" s="41">
        <f t="shared" si="17"/>
        <v>35319715</v>
      </c>
      <c r="G115" s="41">
        <f t="shared" si="17"/>
        <v>1266287</v>
      </c>
      <c r="H115" s="41">
        <f t="shared" si="18"/>
        <v>1953032</v>
      </c>
      <c r="I115" s="41">
        <f t="shared" si="18"/>
        <v>0</v>
      </c>
      <c r="J115" s="41">
        <f>SUM(D115:I115)</f>
        <v>85121499</v>
      </c>
    </row>
    <row r="116" spans="1:10" x14ac:dyDescent="0.2">
      <c r="B116" s="42" t="s">
        <v>171</v>
      </c>
      <c r="D116" s="41"/>
      <c r="E116" s="41"/>
      <c r="F116" s="41"/>
      <c r="G116" s="41"/>
      <c r="H116" s="41"/>
      <c r="I116" s="41"/>
      <c r="J116" s="41"/>
    </row>
    <row r="117" spans="1:10" x14ac:dyDescent="0.2">
      <c r="A117" s="39">
        <f>A115+1</f>
        <v>32</v>
      </c>
      <c r="C117" s="39" t="s">
        <v>143</v>
      </c>
      <c r="D117" s="41">
        <f t="shared" ref="D117:I117" si="19">D82</f>
        <v>357598099</v>
      </c>
      <c r="E117" s="41">
        <f t="shared" si="19"/>
        <v>0</v>
      </c>
      <c r="F117" s="41">
        <f t="shared" si="19"/>
        <v>71808640</v>
      </c>
      <c r="G117" s="41">
        <f t="shared" si="19"/>
        <v>50012116</v>
      </c>
      <c r="H117" s="41">
        <f t="shared" si="19"/>
        <v>15549115</v>
      </c>
      <c r="I117" s="41">
        <f t="shared" si="19"/>
        <v>5680420</v>
      </c>
      <c r="J117" s="41">
        <f t="shared" ref="J117:J129" si="20">SUM(D117:I117)</f>
        <v>500648390</v>
      </c>
    </row>
    <row r="118" spans="1:10" x14ac:dyDescent="0.2">
      <c r="A118" s="39">
        <f t="shared" ref="A118:A129" si="21">A117+1</f>
        <v>33</v>
      </c>
      <c r="C118" s="39" t="s">
        <v>144</v>
      </c>
      <c r="D118" s="41">
        <f t="shared" ref="D118:I118" si="22">D83</f>
        <v>27409200</v>
      </c>
      <c r="E118" s="41">
        <f t="shared" si="22"/>
        <v>0</v>
      </c>
      <c r="F118" s="41">
        <f t="shared" si="22"/>
        <v>-1225544</v>
      </c>
      <c r="G118" s="41">
        <f t="shared" si="22"/>
        <v>4799900</v>
      </c>
      <c r="H118" s="41">
        <f t="shared" si="22"/>
        <v>1611627</v>
      </c>
      <c r="I118" s="41">
        <f t="shared" si="22"/>
        <v>0</v>
      </c>
      <c r="J118" s="41">
        <f t="shared" si="20"/>
        <v>32595183</v>
      </c>
    </row>
    <row r="119" spans="1:10" x14ac:dyDescent="0.2">
      <c r="A119" s="39">
        <f t="shared" si="21"/>
        <v>34</v>
      </c>
      <c r="B119" s="42"/>
      <c r="C119" s="42" t="s">
        <v>170</v>
      </c>
      <c r="D119" s="41">
        <f t="shared" ref="D119:I119" si="23">D84</f>
        <v>6993258.0000000028</v>
      </c>
      <c r="E119" s="41">
        <f t="shared" si="23"/>
        <v>0</v>
      </c>
      <c r="F119" s="41">
        <f t="shared" si="23"/>
        <v>-312689</v>
      </c>
      <c r="G119" s="41">
        <f t="shared" si="23"/>
        <v>1607720.0000000009</v>
      </c>
      <c r="H119" s="41">
        <f t="shared" si="23"/>
        <v>411195</v>
      </c>
      <c r="I119" s="41">
        <f t="shared" si="23"/>
        <v>0</v>
      </c>
      <c r="J119" s="41">
        <f t="shared" si="20"/>
        <v>8699484.0000000037</v>
      </c>
    </row>
    <row r="120" spans="1:10" x14ac:dyDescent="0.2">
      <c r="A120" s="39">
        <f t="shared" si="21"/>
        <v>35</v>
      </c>
      <c r="B120" s="39" t="s">
        <v>145</v>
      </c>
      <c r="D120" s="41">
        <f t="shared" ref="D120:I120" si="24">D85</f>
        <v>23422640</v>
      </c>
      <c r="E120" s="41">
        <f t="shared" si="24"/>
        <v>0</v>
      </c>
      <c r="F120" s="41">
        <f t="shared" si="24"/>
        <v>0</v>
      </c>
      <c r="G120" s="41">
        <f t="shared" si="24"/>
        <v>1202017</v>
      </c>
      <c r="H120" s="41">
        <f t="shared" si="24"/>
        <v>487573</v>
      </c>
      <c r="I120" s="41">
        <f t="shared" si="24"/>
        <v>0</v>
      </c>
      <c r="J120" s="41">
        <f t="shared" si="20"/>
        <v>25112230</v>
      </c>
    </row>
    <row r="121" spans="1:10" x14ac:dyDescent="0.2">
      <c r="A121" s="39">
        <f t="shared" si="21"/>
        <v>36</v>
      </c>
      <c r="B121" s="39" t="s">
        <v>146</v>
      </c>
      <c r="D121" s="41">
        <f t="shared" ref="D121:I121" si="25">D86</f>
        <v>52956899</v>
      </c>
      <c r="E121" s="41">
        <f t="shared" si="25"/>
        <v>0</v>
      </c>
      <c r="F121" s="41">
        <f t="shared" si="25"/>
        <v>0</v>
      </c>
      <c r="G121" s="41">
        <f t="shared" si="25"/>
        <v>1011946</v>
      </c>
      <c r="H121" s="41">
        <f t="shared" si="25"/>
        <v>413451</v>
      </c>
      <c r="I121" s="41">
        <f t="shared" si="25"/>
        <v>0</v>
      </c>
      <c r="J121" s="41">
        <f t="shared" si="20"/>
        <v>54382296</v>
      </c>
    </row>
    <row r="122" spans="1:10" x14ac:dyDescent="0.2">
      <c r="A122" s="39">
        <f t="shared" si="21"/>
        <v>37</v>
      </c>
      <c r="B122" s="39" t="s">
        <v>148</v>
      </c>
      <c r="D122" s="41">
        <f t="shared" ref="D122:I122" si="26">D87</f>
        <v>92500</v>
      </c>
      <c r="E122" s="41">
        <f t="shared" si="26"/>
        <v>0</v>
      </c>
      <c r="F122" s="41">
        <f t="shared" si="26"/>
        <v>3589</v>
      </c>
      <c r="G122" s="41">
        <f t="shared" si="26"/>
        <v>4751</v>
      </c>
      <c r="H122" s="41">
        <f t="shared" si="26"/>
        <v>1926</v>
      </c>
      <c r="I122" s="41">
        <f t="shared" si="26"/>
        <v>0</v>
      </c>
      <c r="J122" s="41">
        <f t="shared" si="20"/>
        <v>102766</v>
      </c>
    </row>
    <row r="123" spans="1:10" x14ac:dyDescent="0.2">
      <c r="A123" s="39">
        <f t="shared" si="21"/>
        <v>38</v>
      </c>
      <c r="B123" s="39" t="s">
        <v>244</v>
      </c>
      <c r="D123" s="41">
        <f t="shared" ref="D123:I123" si="27">D88</f>
        <v>0</v>
      </c>
      <c r="E123" s="41">
        <f t="shared" si="27"/>
        <v>0</v>
      </c>
      <c r="F123" s="41">
        <f t="shared" si="27"/>
        <v>0</v>
      </c>
      <c r="G123" s="41">
        <f t="shared" si="27"/>
        <v>0</v>
      </c>
      <c r="H123" s="41">
        <f t="shared" si="27"/>
        <v>0</v>
      </c>
      <c r="I123" s="41">
        <f t="shared" si="27"/>
        <v>0</v>
      </c>
      <c r="J123" s="41">
        <f t="shared" si="20"/>
        <v>0</v>
      </c>
    </row>
    <row r="124" spans="1:10" x14ac:dyDescent="0.2">
      <c r="A124" s="39">
        <f t="shared" si="21"/>
        <v>39</v>
      </c>
      <c r="B124" s="39" t="s">
        <v>147</v>
      </c>
      <c r="D124" s="41">
        <f t="shared" ref="D124:G127" si="28">D89-D104</f>
        <v>63799973</v>
      </c>
      <c r="E124" s="41">
        <f t="shared" si="28"/>
        <v>0</v>
      </c>
      <c r="F124" s="41">
        <f t="shared" si="28"/>
        <v>6278162</v>
      </c>
      <c r="G124" s="41">
        <f t="shared" si="28"/>
        <v>9306958</v>
      </c>
      <c r="H124" s="41">
        <f t="shared" ref="H124:I127" si="29">H89-H104</f>
        <v>3775171</v>
      </c>
      <c r="I124" s="41">
        <f t="shared" si="29"/>
        <v>0</v>
      </c>
      <c r="J124" s="41">
        <f t="shared" si="20"/>
        <v>83160264</v>
      </c>
    </row>
    <row r="125" spans="1:10" x14ac:dyDescent="0.2">
      <c r="A125" s="39">
        <f t="shared" si="21"/>
        <v>40</v>
      </c>
      <c r="B125" s="39" t="s">
        <v>149</v>
      </c>
      <c r="D125" s="41">
        <f t="shared" si="28"/>
        <v>13103135.554943293</v>
      </c>
      <c r="E125" s="41">
        <f t="shared" si="28"/>
        <v>-109888.05494329333</v>
      </c>
      <c r="F125" s="41">
        <f t="shared" si="28"/>
        <v>3678685.5</v>
      </c>
      <c r="G125" s="41">
        <f t="shared" si="28"/>
        <v>4499552</v>
      </c>
      <c r="H125" s="41">
        <f t="shared" si="29"/>
        <v>1825147</v>
      </c>
      <c r="I125" s="41">
        <f t="shared" si="29"/>
        <v>0</v>
      </c>
      <c r="J125" s="41">
        <f t="shared" si="20"/>
        <v>22996632</v>
      </c>
    </row>
    <row r="126" spans="1:10" x14ac:dyDescent="0.2">
      <c r="A126" s="39">
        <f t="shared" si="21"/>
        <v>41</v>
      </c>
      <c r="B126" s="42" t="s">
        <v>173</v>
      </c>
      <c r="D126" s="41">
        <f t="shared" si="28"/>
        <v>3419108</v>
      </c>
      <c r="E126" s="41">
        <f t="shared" si="28"/>
        <v>0</v>
      </c>
      <c r="F126" s="41">
        <f t="shared" si="28"/>
        <v>1122300</v>
      </c>
      <c r="G126" s="41">
        <f t="shared" si="28"/>
        <v>1578380</v>
      </c>
      <c r="H126" s="41">
        <f t="shared" si="29"/>
        <v>6632</v>
      </c>
      <c r="I126" s="41">
        <f t="shared" si="29"/>
        <v>0</v>
      </c>
      <c r="J126" s="41">
        <f t="shared" si="20"/>
        <v>6126420</v>
      </c>
    </row>
    <row r="127" spans="1:10" x14ac:dyDescent="0.2">
      <c r="A127" s="39">
        <f t="shared" si="21"/>
        <v>42</v>
      </c>
      <c r="B127" s="42" t="s">
        <v>168</v>
      </c>
      <c r="C127" s="42"/>
      <c r="D127" s="41">
        <f t="shared" si="28"/>
        <v>42134035</v>
      </c>
      <c r="E127" s="41">
        <f t="shared" si="28"/>
        <v>14780689</v>
      </c>
      <c r="F127" s="41">
        <f t="shared" si="28"/>
        <v>0</v>
      </c>
      <c r="G127" s="41">
        <f t="shared" si="28"/>
        <v>5417224</v>
      </c>
      <c r="H127" s="41">
        <f t="shared" si="29"/>
        <v>0</v>
      </c>
      <c r="I127" s="41">
        <f t="shared" si="29"/>
        <v>0</v>
      </c>
      <c r="J127" s="41">
        <f t="shared" si="20"/>
        <v>62331948</v>
      </c>
    </row>
    <row r="128" spans="1:10" x14ac:dyDescent="0.2">
      <c r="A128" s="39">
        <f t="shared" si="21"/>
        <v>43</v>
      </c>
      <c r="B128" s="42" t="s">
        <v>163</v>
      </c>
      <c r="C128" s="42"/>
      <c r="D128" s="41">
        <f t="shared" ref="D128:I128" si="30">D93-D108-D129</f>
        <v>64454010</v>
      </c>
      <c r="E128" s="41">
        <f t="shared" si="30"/>
        <v>4397000</v>
      </c>
      <c r="F128" s="41">
        <f t="shared" si="30"/>
        <v>24401071</v>
      </c>
      <c r="G128" s="41">
        <f t="shared" si="30"/>
        <v>0</v>
      </c>
      <c r="H128" s="41">
        <f t="shared" si="30"/>
        <v>0</v>
      </c>
      <c r="I128" s="41">
        <f t="shared" si="30"/>
        <v>0</v>
      </c>
      <c r="J128" s="41">
        <f t="shared" si="20"/>
        <v>93252081</v>
      </c>
    </row>
    <row r="129" spans="1:11" x14ac:dyDescent="0.2">
      <c r="A129" s="39">
        <f t="shared" si="21"/>
        <v>44</v>
      </c>
      <c r="B129" s="39" t="s">
        <v>151</v>
      </c>
      <c r="D129" s="41">
        <v>8501953</v>
      </c>
      <c r="E129" s="41">
        <v>0</v>
      </c>
      <c r="F129" s="41">
        <v>0</v>
      </c>
      <c r="G129" s="41">
        <v>0</v>
      </c>
      <c r="H129" s="41">
        <v>0</v>
      </c>
      <c r="I129" s="41">
        <v>0</v>
      </c>
      <c r="J129" s="41">
        <f t="shared" si="20"/>
        <v>8501953</v>
      </c>
    </row>
    <row r="130" spans="1:11" x14ac:dyDescent="0.2">
      <c r="B130" s="42" t="s">
        <v>172</v>
      </c>
      <c r="D130" s="41"/>
      <c r="E130" s="41"/>
      <c r="F130" s="41"/>
      <c r="G130" s="41"/>
      <c r="H130" s="41"/>
      <c r="I130" s="41"/>
      <c r="J130" s="41"/>
    </row>
    <row r="131" spans="1:11" x14ac:dyDescent="0.2">
      <c r="A131" s="39">
        <f>A129+1</f>
        <v>45</v>
      </c>
      <c r="B131" s="42"/>
      <c r="C131" s="42" t="s">
        <v>175</v>
      </c>
      <c r="D131" s="41">
        <f t="shared" ref="D131:G135" si="31">D95</f>
        <v>810254</v>
      </c>
      <c r="E131" s="41">
        <f t="shared" si="31"/>
        <v>0</v>
      </c>
      <c r="F131" s="41">
        <f t="shared" si="31"/>
        <v>-2726624</v>
      </c>
      <c r="G131" s="41">
        <f t="shared" si="31"/>
        <v>1066180</v>
      </c>
      <c r="H131" s="41">
        <f t="shared" ref="H131:I135" si="32">H95</f>
        <v>478415</v>
      </c>
      <c r="I131" s="41">
        <f t="shared" si="32"/>
        <v>0</v>
      </c>
      <c r="J131" s="41">
        <f>SUM(D131:I131)</f>
        <v>-371775</v>
      </c>
    </row>
    <row r="132" spans="1:11" x14ac:dyDescent="0.2">
      <c r="A132" s="39">
        <f>A131+1</f>
        <v>46</v>
      </c>
      <c r="B132" s="42"/>
      <c r="C132" s="42" t="s">
        <v>182</v>
      </c>
      <c r="D132" s="41">
        <f t="shared" si="31"/>
        <v>2473714</v>
      </c>
      <c r="E132" s="41">
        <f t="shared" si="31"/>
        <v>0</v>
      </c>
      <c r="F132" s="41">
        <f t="shared" si="31"/>
        <v>0</v>
      </c>
      <c r="G132" s="41">
        <f t="shared" si="31"/>
        <v>-2474089</v>
      </c>
      <c r="H132" s="41">
        <f t="shared" si="32"/>
        <v>0</v>
      </c>
      <c r="I132" s="41">
        <f t="shared" si="32"/>
        <v>0</v>
      </c>
      <c r="J132" s="41">
        <f>SUM(D132:I132)</f>
        <v>-375</v>
      </c>
    </row>
    <row r="133" spans="1:11" x14ac:dyDescent="0.2">
      <c r="A133" s="39">
        <f>A132+1</f>
        <v>47</v>
      </c>
      <c r="B133" s="42"/>
      <c r="C133" s="42" t="s">
        <v>201</v>
      </c>
      <c r="D133" s="41">
        <f t="shared" si="31"/>
        <v>0</v>
      </c>
      <c r="E133" s="41">
        <f t="shared" si="31"/>
        <v>0</v>
      </c>
      <c r="F133" s="41">
        <f t="shared" si="31"/>
        <v>0</v>
      </c>
      <c r="G133" s="41">
        <f t="shared" si="31"/>
        <v>0</v>
      </c>
      <c r="H133" s="41">
        <f t="shared" si="32"/>
        <v>0</v>
      </c>
      <c r="I133" s="41">
        <f t="shared" si="32"/>
        <v>0</v>
      </c>
      <c r="J133" s="41">
        <f>SUM(D133:I133)</f>
        <v>0</v>
      </c>
    </row>
    <row r="134" spans="1:11" x14ac:dyDescent="0.2">
      <c r="A134" s="39">
        <f>A133+1</f>
        <v>48</v>
      </c>
      <c r="B134" s="42"/>
      <c r="C134" s="42" t="s">
        <v>183</v>
      </c>
      <c r="D134" s="41">
        <f t="shared" si="31"/>
        <v>552428</v>
      </c>
      <c r="E134" s="41">
        <f t="shared" si="31"/>
        <v>0</v>
      </c>
      <c r="F134" s="41">
        <f t="shared" si="31"/>
        <v>0</v>
      </c>
      <c r="G134" s="41">
        <f t="shared" si="31"/>
        <v>-539189</v>
      </c>
      <c r="H134" s="41">
        <f t="shared" si="32"/>
        <v>0</v>
      </c>
      <c r="I134" s="41">
        <f t="shared" si="32"/>
        <v>0</v>
      </c>
      <c r="J134" s="41">
        <f>SUM(D134:I134)</f>
        <v>13239</v>
      </c>
    </row>
    <row r="135" spans="1:11" x14ac:dyDescent="0.2">
      <c r="A135" s="39">
        <f>A134+1</f>
        <v>49</v>
      </c>
      <c r="B135" s="42"/>
      <c r="C135" s="42" t="s">
        <v>251</v>
      </c>
      <c r="D135" s="41">
        <f t="shared" si="31"/>
        <v>-196</v>
      </c>
      <c r="E135" s="41">
        <f t="shared" si="31"/>
        <v>0</v>
      </c>
      <c r="F135" s="41">
        <f t="shared" si="31"/>
        <v>0</v>
      </c>
      <c r="G135" s="41">
        <f t="shared" si="31"/>
        <v>0</v>
      </c>
      <c r="H135" s="41">
        <f t="shared" si="32"/>
        <v>0</v>
      </c>
      <c r="I135" s="41">
        <f t="shared" si="32"/>
        <v>0</v>
      </c>
      <c r="J135" s="41">
        <f>SUM(D135:I135)</f>
        <v>-196</v>
      </c>
    </row>
    <row r="136" spans="1:11" x14ac:dyDescent="0.2">
      <c r="D136" s="41"/>
      <c r="E136" s="41"/>
      <c r="F136" s="41"/>
      <c r="G136" s="41"/>
      <c r="H136" s="41"/>
      <c r="I136" s="41"/>
      <c r="J136" s="41"/>
    </row>
    <row r="137" spans="1:11" x14ac:dyDescent="0.2">
      <c r="A137" s="39">
        <f>A135+1</f>
        <v>50</v>
      </c>
      <c r="B137" s="42" t="s">
        <v>184</v>
      </c>
      <c r="C137" s="42"/>
      <c r="D137" s="41">
        <f t="shared" ref="D137:J137" si="33">SUM(D113:D135)</f>
        <v>5254274416.5549431</v>
      </c>
      <c r="E137" s="41">
        <f t="shared" si="33"/>
        <v>19067800.945056707</v>
      </c>
      <c r="F137" s="41">
        <f t="shared" si="33"/>
        <v>314492537.5</v>
      </c>
      <c r="G137" s="41">
        <f t="shared" si="33"/>
        <v>311744635</v>
      </c>
      <c r="H137" s="41">
        <f t="shared" si="33"/>
        <v>121018714</v>
      </c>
      <c r="I137" s="41">
        <f t="shared" si="33"/>
        <v>5680420</v>
      </c>
      <c r="J137" s="41">
        <f t="shared" si="33"/>
        <v>6026278524</v>
      </c>
      <c r="K137" s="43"/>
    </row>
    <row r="138" spans="1:11" x14ac:dyDescent="0.2">
      <c r="A138" s="39">
        <f>A137+1</f>
        <v>51</v>
      </c>
      <c r="B138" s="173" t="s">
        <v>397</v>
      </c>
      <c r="C138" s="42"/>
      <c r="D138" s="41">
        <f t="shared" ref="D138:J138" si="34">D137</f>
        <v>5254274416.5549431</v>
      </c>
      <c r="E138" s="41">
        <f t="shared" si="34"/>
        <v>19067800.945056707</v>
      </c>
      <c r="F138" s="41">
        <f t="shared" si="34"/>
        <v>314492537.5</v>
      </c>
      <c r="G138" s="41">
        <f t="shared" si="34"/>
        <v>311744635</v>
      </c>
      <c r="H138" s="41">
        <f t="shared" si="34"/>
        <v>121018714</v>
      </c>
      <c r="I138" s="41">
        <f t="shared" si="34"/>
        <v>5680420</v>
      </c>
      <c r="J138" s="41">
        <f t="shared" si="34"/>
        <v>6026278524</v>
      </c>
      <c r="K138" s="237">
        <v>6026388412.08494</v>
      </c>
    </row>
    <row r="139" spans="1:11" x14ac:dyDescent="0.2">
      <c r="A139" s="39">
        <f>A138+1</f>
        <v>52</v>
      </c>
      <c r="B139" s="42" t="s">
        <v>303</v>
      </c>
      <c r="C139" s="42"/>
      <c r="D139" s="127" t="s">
        <v>302</v>
      </c>
      <c r="E139" s="127" t="s">
        <v>302</v>
      </c>
      <c r="F139" s="127" t="s">
        <v>302</v>
      </c>
      <c r="G139" s="127" t="s">
        <v>302</v>
      </c>
      <c r="H139" s="127" t="s">
        <v>302</v>
      </c>
      <c r="I139" s="127" t="s">
        <v>302</v>
      </c>
      <c r="J139" s="127" t="s">
        <v>302</v>
      </c>
    </row>
    <row r="140" spans="1:11" x14ac:dyDescent="0.2">
      <c r="B140" s="42"/>
      <c r="C140" s="42"/>
      <c r="D140" s="41"/>
      <c r="E140" s="41"/>
      <c r="F140" s="41"/>
      <c r="G140" s="41"/>
      <c r="H140" s="41"/>
      <c r="I140" s="41"/>
      <c r="J140" s="41"/>
    </row>
    <row r="141" spans="1:11" x14ac:dyDescent="0.2">
      <c r="A141" s="39">
        <f>A139+1</f>
        <v>53</v>
      </c>
      <c r="B141" s="42" t="s">
        <v>166</v>
      </c>
      <c r="C141" s="42"/>
      <c r="D141" s="41">
        <v>-29548624</v>
      </c>
      <c r="E141" s="41">
        <v>0</v>
      </c>
      <c r="F141" s="41">
        <v>0</v>
      </c>
      <c r="G141" s="41">
        <v>-1459785</v>
      </c>
      <c r="H141" s="41">
        <v>-592131</v>
      </c>
      <c r="I141" s="41">
        <v>0</v>
      </c>
      <c r="J141" s="41">
        <f>SUM(D141:I141)</f>
        <v>-31600540</v>
      </c>
      <c r="K141" s="43"/>
    </row>
    <row r="143" spans="1:11" x14ac:dyDescent="0.2">
      <c r="A143" s="107" t="s">
        <v>162</v>
      </c>
      <c r="B143" s="107"/>
      <c r="C143" s="108"/>
      <c r="D143" s="109" t="s">
        <v>176</v>
      </c>
      <c r="E143" s="109" t="s">
        <v>181</v>
      </c>
      <c r="F143" s="109" t="s">
        <v>177</v>
      </c>
      <c r="G143" s="109" t="s">
        <v>178</v>
      </c>
      <c r="H143" s="109" t="s">
        <v>179</v>
      </c>
      <c r="I143" s="109" t="s">
        <v>370</v>
      </c>
      <c r="J143" s="109" t="s">
        <v>180</v>
      </c>
    </row>
    <row r="145" spans="1:10" x14ac:dyDescent="0.2">
      <c r="A145" s="39">
        <v>1</v>
      </c>
      <c r="B145" s="39" t="s">
        <v>140</v>
      </c>
      <c r="D145" s="43">
        <f t="shared" ref="D145:J145" si="35">D5-D75</f>
        <v>3943</v>
      </c>
      <c r="E145" s="43">
        <f t="shared" si="35"/>
        <v>0</v>
      </c>
      <c r="F145" s="43">
        <f t="shared" si="35"/>
        <v>-5887</v>
      </c>
      <c r="G145" s="43">
        <f t="shared" si="35"/>
        <v>1153</v>
      </c>
      <c r="H145" s="43">
        <f>H5-H75</f>
        <v>-1945</v>
      </c>
      <c r="I145" s="43">
        <f t="shared" si="35"/>
        <v>0</v>
      </c>
      <c r="J145" s="43">
        <f t="shared" si="35"/>
        <v>-2736</v>
      </c>
    </row>
    <row r="146" spans="1:10" x14ac:dyDescent="0.2">
      <c r="E146" s="43"/>
      <c r="F146" s="43"/>
      <c r="G146" s="43"/>
      <c r="H146" s="43"/>
      <c r="I146" s="43"/>
      <c r="J146" s="43"/>
    </row>
    <row r="147" spans="1:10" x14ac:dyDescent="0.2">
      <c r="B147" s="42" t="s">
        <v>155</v>
      </c>
      <c r="D147" s="40"/>
      <c r="E147" s="40"/>
      <c r="F147" s="40"/>
      <c r="G147" s="40"/>
      <c r="H147" s="40"/>
      <c r="I147" s="40"/>
      <c r="J147" s="40"/>
    </row>
    <row r="148" spans="1:10" x14ac:dyDescent="0.2">
      <c r="A148" s="39">
        <f>A145+1</f>
        <v>2</v>
      </c>
      <c r="B148" s="39" t="s">
        <v>141</v>
      </c>
      <c r="D148" s="43">
        <f t="shared" ref="D148:J150" si="36">D8-D78</f>
        <v>20203780</v>
      </c>
      <c r="E148" s="43">
        <f t="shared" si="36"/>
        <v>0</v>
      </c>
      <c r="F148" s="43">
        <f t="shared" si="36"/>
        <v>-30166526</v>
      </c>
      <c r="G148" s="43">
        <f t="shared" si="36"/>
        <v>5909305</v>
      </c>
      <c r="H148" s="43">
        <f>H8-H78</f>
        <v>-9963567</v>
      </c>
      <c r="I148" s="43">
        <f t="shared" si="36"/>
        <v>0</v>
      </c>
      <c r="J148" s="43">
        <f t="shared" si="36"/>
        <v>-14017008</v>
      </c>
    </row>
    <row r="149" spans="1:10" x14ac:dyDescent="0.2">
      <c r="A149" s="39">
        <f>A148+1</f>
        <v>3</v>
      </c>
      <c r="B149" s="42" t="s">
        <v>167</v>
      </c>
      <c r="C149" s="42"/>
      <c r="D149" s="43">
        <f t="shared" si="36"/>
        <v>47321</v>
      </c>
      <c r="E149" s="43">
        <f t="shared" si="36"/>
        <v>0</v>
      </c>
      <c r="F149" s="43">
        <f t="shared" si="36"/>
        <v>-70647</v>
      </c>
      <c r="G149" s="43">
        <f t="shared" si="36"/>
        <v>13837</v>
      </c>
      <c r="H149" s="43">
        <f>H9-H79</f>
        <v>-23334</v>
      </c>
      <c r="I149" s="43">
        <f t="shared" si="36"/>
        <v>0</v>
      </c>
      <c r="J149" s="43">
        <f t="shared" si="36"/>
        <v>-32823</v>
      </c>
    </row>
    <row r="150" spans="1:10" x14ac:dyDescent="0.2">
      <c r="A150" s="39">
        <f>A149+1</f>
        <v>4</v>
      </c>
      <c r="B150" s="39" t="s">
        <v>142</v>
      </c>
      <c r="D150" s="43">
        <f t="shared" si="36"/>
        <v>1924367</v>
      </c>
      <c r="E150" s="43">
        <f t="shared" si="36"/>
        <v>0</v>
      </c>
      <c r="F150" s="43">
        <f t="shared" si="36"/>
        <v>-2182393</v>
      </c>
      <c r="G150" s="43">
        <f t="shared" si="36"/>
        <v>670503</v>
      </c>
      <c r="H150" s="43">
        <f>H10-H80</f>
        <v>-630659</v>
      </c>
      <c r="I150" s="43">
        <f t="shared" si="36"/>
        <v>0</v>
      </c>
      <c r="J150" s="43">
        <f t="shared" si="36"/>
        <v>-218182</v>
      </c>
    </row>
    <row r="151" spans="1:10" x14ac:dyDescent="0.2">
      <c r="B151" s="42" t="s">
        <v>171</v>
      </c>
      <c r="D151" s="43"/>
      <c r="E151" s="43"/>
      <c r="F151" s="43"/>
      <c r="G151" s="43"/>
      <c r="H151" s="43"/>
      <c r="I151" s="43"/>
      <c r="J151" s="43"/>
    </row>
    <row r="152" spans="1:10" x14ac:dyDescent="0.2">
      <c r="A152" s="39">
        <f>A150+1</f>
        <v>5</v>
      </c>
      <c r="C152" s="39" t="s">
        <v>143</v>
      </c>
      <c r="D152" s="43">
        <f t="shared" ref="D152:J163" si="37">D12-D82</f>
        <v>16544604</v>
      </c>
      <c r="E152" s="43">
        <f t="shared" si="37"/>
        <v>0</v>
      </c>
      <c r="F152" s="43">
        <f t="shared" si="37"/>
        <v>-19892827</v>
      </c>
      <c r="G152" s="43">
        <f t="shared" si="37"/>
        <v>936670</v>
      </c>
      <c r="H152" s="43">
        <f t="shared" si="37"/>
        <v>-2613524</v>
      </c>
      <c r="I152" s="43">
        <f t="shared" si="37"/>
        <v>-62253</v>
      </c>
      <c r="J152" s="43">
        <f t="shared" si="37"/>
        <v>-5087330</v>
      </c>
    </row>
    <row r="153" spans="1:10" x14ac:dyDescent="0.2">
      <c r="A153" s="39">
        <f t="shared" ref="A153:A163" si="38">A152+1</f>
        <v>6</v>
      </c>
      <c r="C153" s="39" t="s">
        <v>144</v>
      </c>
      <c r="D153" s="43">
        <f t="shared" si="37"/>
        <v>0</v>
      </c>
      <c r="E153" s="43">
        <f t="shared" si="37"/>
        <v>0</v>
      </c>
      <c r="F153" s="43">
        <f t="shared" si="37"/>
        <v>-64854</v>
      </c>
      <c r="G153" s="43">
        <f t="shared" si="37"/>
        <v>0</v>
      </c>
      <c r="H153" s="43">
        <f t="shared" si="37"/>
        <v>-50356</v>
      </c>
      <c r="I153" s="43">
        <f t="shared" si="37"/>
        <v>0</v>
      </c>
      <c r="J153" s="43">
        <f t="shared" si="37"/>
        <v>-115210</v>
      </c>
    </row>
    <row r="154" spans="1:10" x14ac:dyDescent="0.2">
      <c r="A154" s="39">
        <f t="shared" si="38"/>
        <v>7</v>
      </c>
      <c r="B154" s="42"/>
      <c r="C154" s="42" t="s">
        <v>170</v>
      </c>
      <c r="D154" s="43">
        <f t="shared" si="37"/>
        <v>-18270.000000002794</v>
      </c>
      <c r="E154" s="43">
        <f t="shared" si="37"/>
        <v>0</v>
      </c>
      <c r="F154" s="43">
        <f t="shared" si="37"/>
        <v>-15687</v>
      </c>
      <c r="G154" s="43">
        <f t="shared" si="37"/>
        <v>18.999999999068677</v>
      </c>
      <c r="H154" s="43">
        <f t="shared" si="37"/>
        <v>-13889</v>
      </c>
      <c r="I154" s="43">
        <f t="shared" si="37"/>
        <v>0</v>
      </c>
      <c r="J154" s="43">
        <f t="shared" si="37"/>
        <v>-47827.000000003725</v>
      </c>
    </row>
    <row r="155" spans="1:10" x14ac:dyDescent="0.2">
      <c r="A155" s="39">
        <f t="shared" si="38"/>
        <v>8</v>
      </c>
      <c r="B155" s="39" t="s">
        <v>145</v>
      </c>
      <c r="D155" s="43">
        <f t="shared" si="37"/>
        <v>-66857</v>
      </c>
      <c r="E155" s="43">
        <f t="shared" si="37"/>
        <v>0</v>
      </c>
      <c r="F155" s="43">
        <f t="shared" si="37"/>
        <v>0</v>
      </c>
      <c r="G155" s="43">
        <f t="shared" si="37"/>
        <v>21579</v>
      </c>
      <c r="H155" s="43">
        <f t="shared" si="37"/>
        <v>-54700</v>
      </c>
      <c r="I155" s="43">
        <f t="shared" si="37"/>
        <v>0</v>
      </c>
      <c r="J155" s="43">
        <f t="shared" si="37"/>
        <v>-99978</v>
      </c>
    </row>
    <row r="156" spans="1:10" x14ac:dyDescent="0.2">
      <c r="A156" s="39">
        <f t="shared" si="38"/>
        <v>9</v>
      </c>
      <c r="B156" s="39" t="s">
        <v>146</v>
      </c>
      <c r="D156" s="43">
        <f t="shared" si="37"/>
        <v>5189637</v>
      </c>
      <c r="E156" s="43">
        <f t="shared" si="37"/>
        <v>0</v>
      </c>
      <c r="F156" s="43">
        <f t="shared" si="37"/>
        <v>0</v>
      </c>
      <c r="G156" s="43">
        <f t="shared" si="37"/>
        <v>117844</v>
      </c>
      <c r="H156" s="43">
        <f t="shared" si="37"/>
        <v>-5933</v>
      </c>
      <c r="I156" s="43">
        <f t="shared" si="37"/>
        <v>0</v>
      </c>
      <c r="J156" s="43">
        <f t="shared" si="37"/>
        <v>5301548</v>
      </c>
    </row>
    <row r="157" spans="1:10" x14ac:dyDescent="0.2">
      <c r="A157" s="39">
        <f t="shared" si="38"/>
        <v>10</v>
      </c>
      <c r="B157" s="39" t="s">
        <v>148</v>
      </c>
      <c r="D157" s="43">
        <f t="shared" si="37"/>
        <v>1965</v>
      </c>
      <c r="E157" s="43">
        <f t="shared" si="37"/>
        <v>0</v>
      </c>
      <c r="F157" s="43">
        <f t="shared" si="37"/>
        <v>-567</v>
      </c>
      <c r="G157" s="43">
        <f t="shared" si="37"/>
        <v>200</v>
      </c>
      <c r="H157" s="43">
        <f t="shared" si="37"/>
        <v>-175</v>
      </c>
      <c r="I157" s="43">
        <f t="shared" si="37"/>
        <v>0</v>
      </c>
      <c r="J157" s="43">
        <f t="shared" si="37"/>
        <v>1423</v>
      </c>
    </row>
    <row r="158" spans="1:10" x14ac:dyDescent="0.2">
      <c r="A158" s="39">
        <f t="shared" si="38"/>
        <v>11</v>
      </c>
      <c r="B158" s="39" t="s">
        <v>244</v>
      </c>
      <c r="D158" s="43">
        <f t="shared" si="37"/>
        <v>0</v>
      </c>
      <c r="E158" s="43">
        <f t="shared" si="37"/>
        <v>0</v>
      </c>
      <c r="F158" s="43">
        <f t="shared" si="37"/>
        <v>0</v>
      </c>
      <c r="G158" s="43">
        <f t="shared" si="37"/>
        <v>0</v>
      </c>
      <c r="H158" s="43">
        <f t="shared" si="37"/>
        <v>0</v>
      </c>
      <c r="I158" s="43">
        <f t="shared" si="37"/>
        <v>0</v>
      </c>
      <c r="J158" s="43">
        <f t="shared" si="37"/>
        <v>0</v>
      </c>
    </row>
    <row r="159" spans="1:10" x14ac:dyDescent="0.2">
      <c r="A159" s="39">
        <f t="shared" si="38"/>
        <v>12</v>
      </c>
      <c r="B159" s="39" t="s">
        <v>147</v>
      </c>
      <c r="D159" s="43">
        <f t="shared" si="37"/>
        <v>791018</v>
      </c>
      <c r="E159" s="43">
        <f t="shared" si="37"/>
        <v>0</v>
      </c>
      <c r="F159" s="43">
        <f t="shared" si="37"/>
        <v>-1208447</v>
      </c>
      <c r="G159" s="43">
        <f t="shared" si="37"/>
        <v>235664</v>
      </c>
      <c r="H159" s="43">
        <f t="shared" si="37"/>
        <v>-399275</v>
      </c>
      <c r="I159" s="43">
        <f t="shared" si="37"/>
        <v>0</v>
      </c>
      <c r="J159" s="43">
        <f t="shared" si="37"/>
        <v>-581040</v>
      </c>
    </row>
    <row r="160" spans="1:10" x14ac:dyDescent="0.2">
      <c r="A160" s="39">
        <f t="shared" si="38"/>
        <v>13</v>
      </c>
      <c r="B160" s="39" t="s">
        <v>149</v>
      </c>
      <c r="D160" s="43">
        <f t="shared" si="37"/>
        <v>1704701.2485827059</v>
      </c>
      <c r="E160" s="43">
        <f t="shared" si="37"/>
        <v>284426.75141729414</v>
      </c>
      <c r="F160" s="43">
        <f t="shared" si="37"/>
        <v>-541929</v>
      </c>
      <c r="G160" s="43">
        <f t="shared" si="37"/>
        <v>183206</v>
      </c>
      <c r="H160" s="43">
        <f t="shared" si="37"/>
        <v>-168527</v>
      </c>
      <c r="I160" s="43">
        <f t="shared" si="37"/>
        <v>0</v>
      </c>
      <c r="J160" s="43">
        <f t="shared" si="37"/>
        <v>1461878</v>
      </c>
    </row>
    <row r="161" spans="1:10" x14ac:dyDescent="0.2">
      <c r="A161" s="39">
        <f t="shared" si="38"/>
        <v>14</v>
      </c>
      <c r="B161" s="42" t="s">
        <v>173</v>
      </c>
      <c r="D161" s="43">
        <f t="shared" si="37"/>
        <v>-441967</v>
      </c>
      <c r="E161" s="43">
        <f t="shared" si="37"/>
        <v>0</v>
      </c>
      <c r="F161" s="43">
        <f t="shared" si="37"/>
        <v>-203425</v>
      </c>
      <c r="G161" s="43">
        <f t="shared" si="37"/>
        <v>47993</v>
      </c>
      <c r="H161" s="43">
        <f t="shared" si="37"/>
        <v>-6632</v>
      </c>
      <c r="I161" s="43">
        <f t="shared" si="37"/>
        <v>0</v>
      </c>
      <c r="J161" s="43">
        <f t="shared" si="37"/>
        <v>-604031</v>
      </c>
    </row>
    <row r="162" spans="1:10" x14ac:dyDescent="0.2">
      <c r="A162" s="39">
        <f t="shared" si="38"/>
        <v>15</v>
      </c>
      <c r="B162" s="42" t="s">
        <v>168</v>
      </c>
      <c r="C162" s="42"/>
      <c r="D162" s="43">
        <f t="shared" si="37"/>
        <v>8691669</v>
      </c>
      <c r="E162" s="43">
        <f t="shared" si="37"/>
        <v>-9137375</v>
      </c>
      <c r="F162" s="43">
        <f t="shared" si="37"/>
        <v>0</v>
      </c>
      <c r="G162" s="43">
        <f t="shared" si="37"/>
        <v>136010</v>
      </c>
      <c r="H162" s="43">
        <f t="shared" si="37"/>
        <v>0</v>
      </c>
      <c r="I162" s="43">
        <f t="shared" si="37"/>
        <v>0</v>
      </c>
      <c r="J162" s="43">
        <f t="shared" si="37"/>
        <v>-309696</v>
      </c>
    </row>
    <row r="163" spans="1:10" x14ac:dyDescent="0.2">
      <c r="A163" s="39">
        <f t="shared" si="38"/>
        <v>16</v>
      </c>
      <c r="B163" s="39" t="s">
        <v>150</v>
      </c>
      <c r="D163" s="43">
        <f t="shared" si="37"/>
        <v>4928404</v>
      </c>
      <c r="E163" s="43">
        <f t="shared" si="37"/>
        <v>0</v>
      </c>
      <c r="F163" s="43">
        <f t="shared" si="37"/>
        <v>-5100463</v>
      </c>
      <c r="G163" s="43">
        <f t="shared" si="37"/>
        <v>0</v>
      </c>
      <c r="H163" s="43">
        <f t="shared" si="37"/>
        <v>0</v>
      </c>
      <c r="I163" s="43">
        <f t="shared" si="37"/>
        <v>0</v>
      </c>
      <c r="J163" s="43">
        <f t="shared" si="37"/>
        <v>-172059</v>
      </c>
    </row>
    <row r="164" spans="1:10" x14ac:dyDescent="0.2">
      <c r="B164" s="42" t="s">
        <v>172</v>
      </c>
      <c r="D164" s="43"/>
      <c r="E164" s="43"/>
      <c r="F164" s="43"/>
      <c r="G164" s="43"/>
      <c r="H164" s="43"/>
      <c r="I164" s="43"/>
      <c r="J164" s="43"/>
    </row>
    <row r="165" spans="1:10" x14ac:dyDescent="0.2">
      <c r="A165" s="39">
        <f>A163+1</f>
        <v>17</v>
      </c>
      <c r="B165" s="42"/>
      <c r="C165" s="42" t="s">
        <v>175</v>
      </c>
      <c r="D165" s="43">
        <f t="shared" ref="D165:J169" si="39">D25-D95</f>
        <v>40529</v>
      </c>
      <c r="E165" s="43">
        <f t="shared" si="39"/>
        <v>0</v>
      </c>
      <c r="F165" s="43">
        <f t="shared" si="39"/>
        <v>-123279</v>
      </c>
      <c r="G165" s="43">
        <f t="shared" si="39"/>
        <v>119309</v>
      </c>
      <c r="H165" s="43">
        <f>H25-H95</f>
        <v>-34100</v>
      </c>
      <c r="I165" s="43">
        <f t="shared" si="39"/>
        <v>0</v>
      </c>
      <c r="J165" s="43">
        <f t="shared" si="39"/>
        <v>2459</v>
      </c>
    </row>
    <row r="166" spans="1:10" x14ac:dyDescent="0.2">
      <c r="A166" s="39">
        <f>A165+1</f>
        <v>18</v>
      </c>
      <c r="B166" s="42"/>
      <c r="C166" s="42" t="s">
        <v>182</v>
      </c>
      <c r="D166" s="43">
        <f t="shared" si="39"/>
        <v>-74931</v>
      </c>
      <c r="E166" s="43">
        <f t="shared" si="39"/>
        <v>0</v>
      </c>
      <c r="F166" s="43">
        <f t="shared" si="39"/>
        <v>0</v>
      </c>
      <c r="G166" s="43">
        <f t="shared" si="39"/>
        <v>75405</v>
      </c>
      <c r="H166" s="43">
        <f>H26-H96</f>
        <v>0</v>
      </c>
      <c r="I166" s="43">
        <f t="shared" si="39"/>
        <v>0</v>
      </c>
      <c r="J166" s="43">
        <f t="shared" si="39"/>
        <v>474</v>
      </c>
    </row>
    <row r="167" spans="1:10" x14ac:dyDescent="0.2">
      <c r="A167" s="39">
        <f>A166+1</f>
        <v>19</v>
      </c>
      <c r="B167" s="42"/>
      <c r="C167" s="42" t="s">
        <v>201</v>
      </c>
      <c r="D167" s="43">
        <f t="shared" si="39"/>
        <v>0</v>
      </c>
      <c r="E167" s="43">
        <f t="shared" si="39"/>
        <v>0</v>
      </c>
      <c r="F167" s="43">
        <f t="shared" si="39"/>
        <v>0</v>
      </c>
      <c r="G167" s="43">
        <f t="shared" si="39"/>
        <v>0</v>
      </c>
      <c r="H167" s="43">
        <f>H27-H97</f>
        <v>0</v>
      </c>
      <c r="I167" s="43">
        <f t="shared" si="39"/>
        <v>0</v>
      </c>
      <c r="J167" s="43">
        <f t="shared" si="39"/>
        <v>0</v>
      </c>
    </row>
    <row r="168" spans="1:10" x14ac:dyDescent="0.2">
      <c r="A168" s="39">
        <f>A167+1</f>
        <v>20</v>
      </c>
      <c r="B168" s="42"/>
      <c r="C168" s="42" t="s">
        <v>183</v>
      </c>
      <c r="D168" s="43">
        <f t="shared" si="39"/>
        <v>90581</v>
      </c>
      <c r="E168" s="43">
        <f t="shared" si="39"/>
        <v>0</v>
      </c>
      <c r="F168" s="43">
        <f t="shared" si="39"/>
        <v>0</v>
      </c>
      <c r="G168" s="43">
        <f t="shared" si="39"/>
        <v>-49373</v>
      </c>
      <c r="H168" s="43">
        <f>H28-H98</f>
        <v>0</v>
      </c>
      <c r="I168" s="43">
        <f t="shared" si="39"/>
        <v>0</v>
      </c>
      <c r="J168" s="43">
        <f t="shared" si="39"/>
        <v>41208</v>
      </c>
    </row>
    <row r="169" spans="1:10" x14ac:dyDescent="0.2">
      <c r="A169" s="39">
        <f>A168+1</f>
        <v>21</v>
      </c>
      <c r="B169" s="42"/>
      <c r="C169" s="42" t="s">
        <v>251</v>
      </c>
      <c r="D169" s="43">
        <f t="shared" si="39"/>
        <v>1</v>
      </c>
      <c r="E169" s="43">
        <f t="shared" si="39"/>
        <v>0</v>
      </c>
      <c r="F169" s="43">
        <f t="shared" si="39"/>
        <v>0</v>
      </c>
      <c r="G169" s="43">
        <f t="shared" si="39"/>
        <v>0</v>
      </c>
      <c r="H169" s="43">
        <f>H29-H99</f>
        <v>0</v>
      </c>
      <c r="I169" s="43">
        <f t="shared" si="39"/>
        <v>0</v>
      </c>
      <c r="J169" s="43">
        <f t="shared" si="39"/>
        <v>1</v>
      </c>
    </row>
    <row r="170" spans="1:10" x14ac:dyDescent="0.2">
      <c r="D170" s="41"/>
      <c r="E170" s="41"/>
      <c r="F170" s="41"/>
      <c r="G170" s="41"/>
      <c r="H170" s="41"/>
      <c r="I170" s="41"/>
      <c r="J170" s="41"/>
    </row>
    <row r="171" spans="1:10" x14ac:dyDescent="0.2">
      <c r="A171" s="39">
        <f>A169+1</f>
        <v>22</v>
      </c>
      <c r="B171" s="42" t="s">
        <v>158</v>
      </c>
      <c r="D171" s="43">
        <f t="shared" ref="D171:J171" si="40">D31-D101</f>
        <v>59556552.24858284</v>
      </c>
      <c r="E171" s="43">
        <f t="shared" si="40"/>
        <v>-8852948.2485827208</v>
      </c>
      <c r="F171" s="43">
        <f t="shared" si="40"/>
        <v>-59571044</v>
      </c>
      <c r="G171" s="43">
        <f t="shared" si="40"/>
        <v>8418171</v>
      </c>
      <c r="H171" s="43">
        <f>H31-H101</f>
        <v>-13964671</v>
      </c>
      <c r="I171" s="43">
        <f t="shared" si="40"/>
        <v>-62253</v>
      </c>
      <c r="J171" s="43">
        <f t="shared" si="40"/>
        <v>-14476193</v>
      </c>
    </row>
    <row r="172" spans="1:10" x14ac:dyDescent="0.2">
      <c r="D172" s="41"/>
      <c r="E172" s="41"/>
      <c r="F172" s="41"/>
      <c r="G172" s="41"/>
      <c r="H172" s="41"/>
      <c r="I172" s="41"/>
      <c r="J172" s="41"/>
    </row>
    <row r="173" spans="1:10" x14ac:dyDescent="0.2">
      <c r="B173" s="42" t="s">
        <v>156</v>
      </c>
      <c r="C173" s="42"/>
      <c r="D173" s="41"/>
      <c r="E173" s="41"/>
      <c r="F173" s="41"/>
      <c r="G173" s="41"/>
      <c r="H173" s="41"/>
      <c r="I173" s="41"/>
      <c r="J173" s="41"/>
    </row>
    <row r="174" spans="1:10" x14ac:dyDescent="0.2">
      <c r="A174" s="39">
        <f>A171+1</f>
        <v>23</v>
      </c>
      <c r="B174" s="39" t="s">
        <v>153</v>
      </c>
      <c r="D174" s="43">
        <f t="shared" ref="D174:J178" si="41">D34-D104</f>
        <v>-3795628</v>
      </c>
      <c r="E174" s="43">
        <f t="shared" si="41"/>
        <v>0</v>
      </c>
      <c r="F174" s="43">
        <f t="shared" si="41"/>
        <v>-204207</v>
      </c>
      <c r="G174" s="43">
        <f t="shared" si="41"/>
        <v>0</v>
      </c>
      <c r="H174" s="43">
        <f>H34-H104</f>
        <v>0</v>
      </c>
      <c r="I174" s="43">
        <f t="shared" si="41"/>
        <v>0</v>
      </c>
      <c r="J174" s="43">
        <f t="shared" si="41"/>
        <v>-3999835</v>
      </c>
    </row>
    <row r="175" spans="1:10" x14ac:dyDescent="0.2">
      <c r="A175" s="39">
        <f>A174+1</f>
        <v>24</v>
      </c>
      <c r="B175" s="39" t="s">
        <v>152</v>
      </c>
      <c r="D175" s="43">
        <f t="shared" si="41"/>
        <v>1249934.8035259992</v>
      </c>
      <c r="E175" s="43">
        <f t="shared" si="41"/>
        <v>174538.69647400081</v>
      </c>
      <c r="F175" s="43">
        <f t="shared" si="41"/>
        <v>-194806.5</v>
      </c>
      <c r="G175" s="43">
        <f t="shared" si="41"/>
        <v>0</v>
      </c>
      <c r="H175" s="43">
        <f>H35-H105</f>
        <v>0</v>
      </c>
      <c r="I175" s="43">
        <f t="shared" si="41"/>
        <v>0</v>
      </c>
      <c r="J175" s="43">
        <f t="shared" si="41"/>
        <v>1229667</v>
      </c>
    </row>
    <row r="176" spans="1:10" x14ac:dyDescent="0.2">
      <c r="A176" s="39">
        <f>A175+1</f>
        <v>25</v>
      </c>
      <c r="B176" s="42" t="s">
        <v>174</v>
      </c>
      <c r="D176" s="43">
        <f t="shared" si="41"/>
        <v>-452957</v>
      </c>
      <c r="E176" s="43">
        <f t="shared" si="41"/>
        <v>0</v>
      </c>
      <c r="F176" s="43">
        <f t="shared" si="41"/>
        <v>-87439</v>
      </c>
      <c r="G176" s="43">
        <f t="shared" si="41"/>
        <v>0</v>
      </c>
      <c r="H176" s="43">
        <f>H36-H106</f>
        <v>0</v>
      </c>
      <c r="I176" s="43">
        <f t="shared" si="41"/>
        <v>0</v>
      </c>
      <c r="J176" s="43">
        <f t="shared" si="41"/>
        <v>-540396</v>
      </c>
    </row>
    <row r="177" spans="1:10" x14ac:dyDescent="0.2">
      <c r="A177" s="39">
        <f>A176+1</f>
        <v>26</v>
      </c>
      <c r="B177" s="42" t="s">
        <v>168</v>
      </c>
      <c r="C177" s="42"/>
      <c r="D177" s="43">
        <f t="shared" si="41"/>
        <v>1707349</v>
      </c>
      <c r="E177" s="43">
        <f t="shared" si="41"/>
        <v>-2853899</v>
      </c>
      <c r="F177" s="43">
        <f t="shared" si="41"/>
        <v>0</v>
      </c>
      <c r="G177" s="43">
        <f t="shared" si="41"/>
        <v>0</v>
      </c>
      <c r="H177" s="43">
        <f>H37-H107</f>
        <v>0</v>
      </c>
      <c r="I177" s="43">
        <f t="shared" si="41"/>
        <v>0</v>
      </c>
      <c r="J177" s="43">
        <f t="shared" si="41"/>
        <v>-1146550</v>
      </c>
    </row>
    <row r="178" spans="1:10" x14ac:dyDescent="0.2">
      <c r="A178" s="39">
        <f>A177+1</f>
        <v>27</v>
      </c>
      <c r="B178" s="39" t="s">
        <v>154</v>
      </c>
      <c r="D178" s="43">
        <f t="shared" si="41"/>
        <v>2968781</v>
      </c>
      <c r="E178" s="43">
        <f t="shared" si="41"/>
        <v>0</v>
      </c>
      <c r="F178" s="43">
        <f t="shared" si="41"/>
        <v>-2991428</v>
      </c>
      <c r="G178" s="43">
        <f t="shared" si="41"/>
        <v>0</v>
      </c>
      <c r="H178" s="43">
        <f>H38-H108</f>
        <v>0</v>
      </c>
      <c r="I178" s="43">
        <f t="shared" si="41"/>
        <v>0</v>
      </c>
      <c r="J178" s="43">
        <f t="shared" si="41"/>
        <v>-22647</v>
      </c>
    </row>
    <row r="179" spans="1:10" x14ac:dyDescent="0.2">
      <c r="D179" s="41"/>
      <c r="E179" s="41"/>
      <c r="F179" s="41"/>
      <c r="G179" s="41"/>
      <c r="H179" s="41"/>
      <c r="I179" s="41"/>
      <c r="J179" s="41"/>
    </row>
    <row r="180" spans="1:10" x14ac:dyDescent="0.2">
      <c r="A180" s="39">
        <f>A178+1</f>
        <v>28</v>
      </c>
      <c r="B180" s="42" t="s">
        <v>159</v>
      </c>
      <c r="C180" s="42"/>
      <c r="D180" s="43">
        <f t="shared" ref="D180:J180" si="42">D40-D110</f>
        <v>1677479.8035259247</v>
      </c>
      <c r="E180" s="43">
        <f t="shared" si="42"/>
        <v>-2679360.3035259843</v>
      </c>
      <c r="F180" s="43">
        <f t="shared" si="42"/>
        <v>-3477880.5</v>
      </c>
      <c r="G180" s="43">
        <f t="shared" si="42"/>
        <v>0</v>
      </c>
      <c r="H180" s="43">
        <f>H40-H110</f>
        <v>0</v>
      </c>
      <c r="I180" s="43">
        <f t="shared" si="42"/>
        <v>0</v>
      </c>
      <c r="J180" s="43">
        <f t="shared" si="42"/>
        <v>-4479761</v>
      </c>
    </row>
    <row r="181" spans="1:10" x14ac:dyDescent="0.2">
      <c r="B181" s="42"/>
      <c r="C181" s="42"/>
      <c r="D181" s="41"/>
      <c r="E181" s="41"/>
      <c r="F181" s="41"/>
      <c r="G181" s="41"/>
      <c r="H181" s="41"/>
      <c r="I181" s="41"/>
      <c r="J181" s="41"/>
    </row>
    <row r="182" spans="1:10" x14ac:dyDescent="0.2">
      <c r="B182" s="42" t="s">
        <v>157</v>
      </c>
      <c r="C182" s="42"/>
      <c r="D182" s="41"/>
      <c r="E182" s="41"/>
      <c r="F182" s="41"/>
      <c r="G182" s="41"/>
      <c r="H182" s="41"/>
      <c r="I182" s="41"/>
      <c r="J182" s="41"/>
    </row>
    <row r="183" spans="1:10" x14ac:dyDescent="0.2">
      <c r="A183" s="39">
        <f>A180+1</f>
        <v>29</v>
      </c>
      <c r="B183" s="39" t="s">
        <v>141</v>
      </c>
      <c r="D183" s="43">
        <f t="shared" ref="D183:J185" si="43">D43-D113</f>
        <v>20203780</v>
      </c>
      <c r="E183" s="43">
        <f t="shared" si="43"/>
        <v>0</v>
      </c>
      <c r="F183" s="43">
        <f t="shared" si="43"/>
        <v>-30166526</v>
      </c>
      <c r="G183" s="43">
        <f t="shared" si="43"/>
        <v>5909305</v>
      </c>
      <c r="H183" s="43">
        <f>H43-H113</f>
        <v>-9963567</v>
      </c>
      <c r="I183" s="43">
        <f t="shared" si="43"/>
        <v>0</v>
      </c>
      <c r="J183" s="43">
        <f t="shared" si="43"/>
        <v>-14017008</v>
      </c>
    </row>
    <row r="184" spans="1:10" x14ac:dyDescent="0.2">
      <c r="A184" s="39">
        <f>A183+1</f>
        <v>30</v>
      </c>
      <c r="B184" s="42" t="s">
        <v>167</v>
      </c>
      <c r="C184" s="42"/>
      <c r="D184" s="43">
        <f t="shared" si="43"/>
        <v>47321</v>
      </c>
      <c r="E184" s="43">
        <f t="shared" si="43"/>
        <v>0</v>
      </c>
      <c r="F184" s="43">
        <f t="shared" si="43"/>
        <v>-70647</v>
      </c>
      <c r="G184" s="43">
        <f t="shared" si="43"/>
        <v>13837</v>
      </c>
      <c r="H184" s="43">
        <f>H44-H114</f>
        <v>-23334</v>
      </c>
      <c r="I184" s="43">
        <f t="shared" si="43"/>
        <v>0</v>
      </c>
      <c r="J184" s="43">
        <f t="shared" si="43"/>
        <v>-32823</v>
      </c>
    </row>
    <row r="185" spans="1:10" x14ac:dyDescent="0.2">
      <c r="A185" s="39">
        <f>A184+1</f>
        <v>31</v>
      </c>
      <c r="B185" s="39" t="s">
        <v>142</v>
      </c>
      <c r="D185" s="43">
        <f t="shared" si="43"/>
        <v>1924367</v>
      </c>
      <c r="E185" s="43">
        <f t="shared" si="43"/>
        <v>0</v>
      </c>
      <c r="F185" s="43">
        <f t="shared" si="43"/>
        <v>-2182393</v>
      </c>
      <c r="G185" s="43">
        <f t="shared" si="43"/>
        <v>670503</v>
      </c>
      <c r="H185" s="43">
        <f>H45-H115</f>
        <v>-630659</v>
      </c>
      <c r="I185" s="43">
        <f t="shared" si="43"/>
        <v>0</v>
      </c>
      <c r="J185" s="43">
        <f t="shared" si="43"/>
        <v>-218182</v>
      </c>
    </row>
    <row r="186" spans="1:10" x14ac:dyDescent="0.2">
      <c r="B186" s="42" t="s">
        <v>171</v>
      </c>
      <c r="D186" s="43"/>
      <c r="E186" s="43"/>
      <c r="F186" s="43"/>
      <c r="G186" s="43"/>
      <c r="H186" s="43"/>
      <c r="I186" s="43"/>
      <c r="J186" s="43"/>
    </row>
    <row r="187" spans="1:10" x14ac:dyDescent="0.2">
      <c r="A187" s="39">
        <f>A185+1</f>
        <v>32</v>
      </c>
      <c r="C187" s="39" t="s">
        <v>143</v>
      </c>
      <c r="D187" s="43">
        <f t="shared" ref="D187:J199" si="44">D47-D117</f>
        <v>16544604</v>
      </c>
      <c r="E187" s="43">
        <f t="shared" si="44"/>
        <v>0</v>
      </c>
      <c r="F187" s="43">
        <f t="shared" si="44"/>
        <v>-19892827</v>
      </c>
      <c r="G187" s="43">
        <f t="shared" si="44"/>
        <v>936670</v>
      </c>
      <c r="H187" s="43">
        <f t="shared" si="44"/>
        <v>-2613524</v>
      </c>
      <c r="I187" s="43">
        <f t="shared" si="44"/>
        <v>-62253</v>
      </c>
      <c r="J187" s="43">
        <f t="shared" si="44"/>
        <v>-5087330</v>
      </c>
    </row>
    <row r="188" spans="1:10" x14ac:dyDescent="0.2">
      <c r="A188" s="39">
        <f t="shared" ref="A188:A199" si="45">A187+1</f>
        <v>33</v>
      </c>
      <c r="C188" s="39" t="s">
        <v>144</v>
      </c>
      <c r="D188" s="43">
        <f t="shared" si="44"/>
        <v>0</v>
      </c>
      <c r="E188" s="43">
        <f t="shared" si="44"/>
        <v>0</v>
      </c>
      <c r="F188" s="43">
        <f t="shared" si="44"/>
        <v>-64854</v>
      </c>
      <c r="G188" s="43">
        <f t="shared" si="44"/>
        <v>0</v>
      </c>
      <c r="H188" s="43">
        <f t="shared" si="44"/>
        <v>-50356</v>
      </c>
      <c r="I188" s="43">
        <f t="shared" si="44"/>
        <v>0</v>
      </c>
      <c r="J188" s="43">
        <f t="shared" si="44"/>
        <v>-115210</v>
      </c>
    </row>
    <row r="189" spans="1:10" x14ac:dyDescent="0.2">
      <c r="A189" s="39">
        <f t="shared" si="45"/>
        <v>34</v>
      </c>
      <c r="B189" s="42"/>
      <c r="C189" s="42" t="s">
        <v>170</v>
      </c>
      <c r="D189" s="43">
        <f t="shared" si="44"/>
        <v>-18270.000000002794</v>
      </c>
      <c r="E189" s="43">
        <f t="shared" si="44"/>
        <v>0</v>
      </c>
      <c r="F189" s="43">
        <f t="shared" si="44"/>
        <v>-15687</v>
      </c>
      <c r="G189" s="43">
        <f t="shared" si="44"/>
        <v>18.999999999068677</v>
      </c>
      <c r="H189" s="43">
        <f t="shared" si="44"/>
        <v>-13889</v>
      </c>
      <c r="I189" s="43">
        <f t="shared" si="44"/>
        <v>0</v>
      </c>
      <c r="J189" s="43">
        <f t="shared" si="44"/>
        <v>-47827.000000003725</v>
      </c>
    </row>
    <row r="190" spans="1:10" x14ac:dyDescent="0.2">
      <c r="A190" s="39">
        <f t="shared" si="45"/>
        <v>35</v>
      </c>
      <c r="B190" s="39" t="s">
        <v>145</v>
      </c>
      <c r="D190" s="43">
        <f t="shared" si="44"/>
        <v>-66857</v>
      </c>
      <c r="E190" s="43">
        <f t="shared" si="44"/>
        <v>0</v>
      </c>
      <c r="F190" s="43">
        <f t="shared" si="44"/>
        <v>0</v>
      </c>
      <c r="G190" s="43">
        <f t="shared" si="44"/>
        <v>21579</v>
      </c>
      <c r="H190" s="43">
        <f t="shared" si="44"/>
        <v>-54700</v>
      </c>
      <c r="I190" s="43">
        <f t="shared" si="44"/>
        <v>0</v>
      </c>
      <c r="J190" s="43">
        <f t="shared" si="44"/>
        <v>-99978</v>
      </c>
    </row>
    <row r="191" spans="1:10" x14ac:dyDescent="0.2">
      <c r="A191" s="39">
        <f t="shared" si="45"/>
        <v>36</v>
      </c>
      <c r="B191" s="39" t="s">
        <v>146</v>
      </c>
      <c r="D191" s="43">
        <f t="shared" si="44"/>
        <v>5189637</v>
      </c>
      <c r="E191" s="43">
        <f t="shared" si="44"/>
        <v>0</v>
      </c>
      <c r="F191" s="43">
        <f t="shared" si="44"/>
        <v>0</v>
      </c>
      <c r="G191" s="43">
        <f t="shared" si="44"/>
        <v>117844</v>
      </c>
      <c r="H191" s="43">
        <f t="shared" si="44"/>
        <v>-5933</v>
      </c>
      <c r="I191" s="43">
        <f t="shared" si="44"/>
        <v>0</v>
      </c>
      <c r="J191" s="43">
        <f t="shared" si="44"/>
        <v>5301548</v>
      </c>
    </row>
    <row r="192" spans="1:10" x14ac:dyDescent="0.2">
      <c r="A192" s="39">
        <f t="shared" si="45"/>
        <v>37</v>
      </c>
      <c r="B192" s="39" t="s">
        <v>148</v>
      </c>
      <c r="D192" s="43">
        <f t="shared" si="44"/>
        <v>1965</v>
      </c>
      <c r="E192" s="43">
        <f t="shared" si="44"/>
        <v>0</v>
      </c>
      <c r="F192" s="43">
        <f t="shared" si="44"/>
        <v>-567</v>
      </c>
      <c r="G192" s="43">
        <f t="shared" si="44"/>
        <v>200</v>
      </c>
      <c r="H192" s="43">
        <f t="shared" si="44"/>
        <v>-175</v>
      </c>
      <c r="I192" s="43">
        <f t="shared" si="44"/>
        <v>0</v>
      </c>
      <c r="J192" s="43">
        <f t="shared" si="44"/>
        <v>1423</v>
      </c>
    </row>
    <row r="193" spans="1:10" x14ac:dyDescent="0.2">
      <c r="A193" s="39">
        <f t="shared" si="45"/>
        <v>38</v>
      </c>
      <c r="B193" s="39" t="s">
        <v>244</v>
      </c>
      <c r="D193" s="43">
        <f t="shared" si="44"/>
        <v>0</v>
      </c>
      <c r="E193" s="43">
        <f t="shared" si="44"/>
        <v>0</v>
      </c>
      <c r="F193" s="43">
        <f t="shared" si="44"/>
        <v>0</v>
      </c>
      <c r="G193" s="43">
        <f t="shared" si="44"/>
        <v>0</v>
      </c>
      <c r="H193" s="43">
        <f t="shared" si="44"/>
        <v>0</v>
      </c>
      <c r="I193" s="43">
        <f t="shared" si="44"/>
        <v>0</v>
      </c>
      <c r="J193" s="43">
        <f t="shared" si="44"/>
        <v>0</v>
      </c>
    </row>
    <row r="194" spans="1:10" x14ac:dyDescent="0.2">
      <c r="A194" s="39">
        <f t="shared" si="45"/>
        <v>39</v>
      </c>
      <c r="B194" s="39" t="s">
        <v>147</v>
      </c>
      <c r="D194" s="43">
        <f t="shared" si="44"/>
        <v>4586646</v>
      </c>
      <c r="E194" s="43">
        <f t="shared" si="44"/>
        <v>0</v>
      </c>
      <c r="F194" s="43">
        <f t="shared" si="44"/>
        <v>-1004240</v>
      </c>
      <c r="G194" s="43">
        <f t="shared" si="44"/>
        <v>235664</v>
      </c>
      <c r="H194" s="43">
        <f t="shared" si="44"/>
        <v>-399275</v>
      </c>
      <c r="I194" s="43">
        <f t="shared" si="44"/>
        <v>0</v>
      </c>
      <c r="J194" s="43">
        <f t="shared" si="44"/>
        <v>3418795</v>
      </c>
    </row>
    <row r="195" spans="1:10" x14ac:dyDescent="0.2">
      <c r="A195" s="39">
        <f t="shared" si="45"/>
        <v>40</v>
      </c>
      <c r="B195" s="39" t="s">
        <v>149</v>
      </c>
      <c r="D195" s="43">
        <f t="shared" si="44"/>
        <v>454766.44505670667</v>
      </c>
      <c r="E195" s="43">
        <f t="shared" si="44"/>
        <v>109888.05494329333</v>
      </c>
      <c r="F195" s="43">
        <f t="shared" si="44"/>
        <v>-347122.5</v>
      </c>
      <c r="G195" s="43">
        <f t="shared" si="44"/>
        <v>183206</v>
      </c>
      <c r="H195" s="43">
        <f t="shared" si="44"/>
        <v>-168527</v>
      </c>
      <c r="I195" s="43">
        <f t="shared" si="44"/>
        <v>0</v>
      </c>
      <c r="J195" s="43">
        <f t="shared" si="44"/>
        <v>232211</v>
      </c>
    </row>
    <row r="196" spans="1:10" x14ac:dyDescent="0.2">
      <c r="A196" s="39">
        <f t="shared" si="45"/>
        <v>41</v>
      </c>
      <c r="B196" s="42" t="s">
        <v>173</v>
      </c>
      <c r="D196" s="43">
        <f t="shared" si="44"/>
        <v>10990</v>
      </c>
      <c r="E196" s="43">
        <f t="shared" si="44"/>
        <v>0</v>
      </c>
      <c r="F196" s="43">
        <f t="shared" si="44"/>
        <v>-115986</v>
      </c>
      <c r="G196" s="43">
        <f t="shared" si="44"/>
        <v>47993</v>
      </c>
      <c r="H196" s="43">
        <f t="shared" si="44"/>
        <v>-6632</v>
      </c>
      <c r="I196" s="43">
        <f t="shared" si="44"/>
        <v>0</v>
      </c>
      <c r="J196" s="43">
        <f t="shared" si="44"/>
        <v>-63635</v>
      </c>
    </row>
    <row r="197" spans="1:10" x14ac:dyDescent="0.2">
      <c r="A197" s="39">
        <f t="shared" si="45"/>
        <v>42</v>
      </c>
      <c r="B197" s="42" t="s">
        <v>168</v>
      </c>
      <c r="C197" s="42"/>
      <c r="D197" s="43">
        <f t="shared" si="44"/>
        <v>6984320</v>
      </c>
      <c r="E197" s="43">
        <f t="shared" si="44"/>
        <v>-6283476</v>
      </c>
      <c r="F197" s="43">
        <f t="shared" si="44"/>
        <v>0</v>
      </c>
      <c r="G197" s="43">
        <f t="shared" si="44"/>
        <v>136010</v>
      </c>
      <c r="H197" s="43">
        <f t="shared" si="44"/>
        <v>0</v>
      </c>
      <c r="I197" s="43">
        <f t="shared" si="44"/>
        <v>0</v>
      </c>
      <c r="J197" s="43">
        <f t="shared" si="44"/>
        <v>836854</v>
      </c>
    </row>
    <row r="198" spans="1:10" x14ac:dyDescent="0.2">
      <c r="A198" s="39">
        <f t="shared" si="45"/>
        <v>43</v>
      </c>
      <c r="B198" s="42" t="s">
        <v>163</v>
      </c>
      <c r="C198" s="42"/>
      <c r="D198" s="43">
        <f t="shared" si="44"/>
        <v>1938935</v>
      </c>
      <c r="E198" s="43">
        <f t="shared" si="44"/>
        <v>0</v>
      </c>
      <c r="F198" s="43">
        <f t="shared" si="44"/>
        <v>-2109035</v>
      </c>
      <c r="G198" s="43">
        <f t="shared" si="44"/>
        <v>0</v>
      </c>
      <c r="H198" s="43">
        <f t="shared" si="44"/>
        <v>0</v>
      </c>
      <c r="I198" s="43">
        <f t="shared" si="44"/>
        <v>0</v>
      </c>
      <c r="J198" s="43">
        <f t="shared" si="44"/>
        <v>-170100</v>
      </c>
    </row>
    <row r="199" spans="1:10" x14ac:dyDescent="0.2">
      <c r="A199" s="39">
        <f t="shared" si="45"/>
        <v>44</v>
      </c>
      <c r="B199" s="39" t="s">
        <v>151</v>
      </c>
      <c r="D199" s="43">
        <f t="shared" si="44"/>
        <v>20688</v>
      </c>
      <c r="E199" s="43">
        <f t="shared" si="44"/>
        <v>0</v>
      </c>
      <c r="F199" s="43">
        <f t="shared" si="44"/>
        <v>0</v>
      </c>
      <c r="G199" s="43">
        <f t="shared" si="44"/>
        <v>0</v>
      </c>
      <c r="H199" s="43">
        <f t="shared" si="44"/>
        <v>0</v>
      </c>
      <c r="I199" s="43">
        <f t="shared" si="44"/>
        <v>0</v>
      </c>
      <c r="J199" s="43">
        <f t="shared" si="44"/>
        <v>20688</v>
      </c>
    </row>
    <row r="200" spans="1:10" x14ac:dyDescent="0.2">
      <c r="B200" s="42" t="s">
        <v>172</v>
      </c>
      <c r="D200" s="43"/>
      <c r="E200" s="43"/>
      <c r="F200" s="43"/>
      <c r="G200" s="43"/>
      <c r="H200" s="43"/>
      <c r="I200" s="43"/>
      <c r="J200" s="43"/>
    </row>
    <row r="201" spans="1:10" x14ac:dyDescent="0.2">
      <c r="A201" s="39">
        <f>A199+1</f>
        <v>45</v>
      </c>
      <c r="B201" s="42"/>
      <c r="C201" s="42" t="s">
        <v>175</v>
      </c>
      <c r="D201" s="43">
        <f t="shared" ref="D201:J205" si="46">D61-D131</f>
        <v>40529</v>
      </c>
      <c r="E201" s="43">
        <f t="shared" si="46"/>
        <v>0</v>
      </c>
      <c r="F201" s="43">
        <f t="shared" si="46"/>
        <v>-123279</v>
      </c>
      <c r="G201" s="43">
        <f t="shared" si="46"/>
        <v>119309</v>
      </c>
      <c r="H201" s="43">
        <f>H61-H131</f>
        <v>-34100</v>
      </c>
      <c r="I201" s="43">
        <f t="shared" si="46"/>
        <v>0</v>
      </c>
      <c r="J201" s="43">
        <f t="shared" si="46"/>
        <v>2459</v>
      </c>
    </row>
    <row r="202" spans="1:10" x14ac:dyDescent="0.2">
      <c r="A202" s="39">
        <f>A201+1</f>
        <v>46</v>
      </c>
      <c r="B202" s="42"/>
      <c r="C202" s="42" t="s">
        <v>182</v>
      </c>
      <c r="D202" s="43">
        <f t="shared" si="46"/>
        <v>-74931</v>
      </c>
      <c r="E202" s="43">
        <f t="shared" si="46"/>
        <v>0</v>
      </c>
      <c r="F202" s="43">
        <f t="shared" si="46"/>
        <v>0</v>
      </c>
      <c r="G202" s="43">
        <f t="shared" si="46"/>
        <v>75405</v>
      </c>
      <c r="H202" s="43">
        <f>H62-H132</f>
        <v>0</v>
      </c>
      <c r="I202" s="43">
        <f t="shared" si="46"/>
        <v>0</v>
      </c>
      <c r="J202" s="43">
        <f t="shared" si="46"/>
        <v>474</v>
      </c>
    </row>
    <row r="203" spans="1:10" x14ac:dyDescent="0.2">
      <c r="A203" s="39">
        <f>A202+1</f>
        <v>47</v>
      </c>
      <c r="B203" s="42"/>
      <c r="C203" s="42" t="s">
        <v>201</v>
      </c>
      <c r="D203" s="43">
        <f t="shared" si="46"/>
        <v>0</v>
      </c>
      <c r="E203" s="43">
        <f t="shared" si="46"/>
        <v>0</v>
      </c>
      <c r="F203" s="43">
        <f t="shared" si="46"/>
        <v>0</v>
      </c>
      <c r="G203" s="43">
        <f t="shared" si="46"/>
        <v>0</v>
      </c>
      <c r="H203" s="43">
        <f>H63-H133</f>
        <v>0</v>
      </c>
      <c r="I203" s="43">
        <f t="shared" si="46"/>
        <v>0</v>
      </c>
      <c r="J203" s="43">
        <f t="shared" si="46"/>
        <v>0</v>
      </c>
    </row>
    <row r="204" spans="1:10" x14ac:dyDescent="0.2">
      <c r="A204" s="39">
        <f>A203+1</f>
        <v>48</v>
      </c>
      <c r="B204" s="42"/>
      <c r="C204" s="42" t="s">
        <v>183</v>
      </c>
      <c r="D204" s="43">
        <f t="shared" si="46"/>
        <v>90581</v>
      </c>
      <c r="E204" s="43">
        <f t="shared" si="46"/>
        <v>0</v>
      </c>
      <c r="F204" s="43">
        <f t="shared" si="46"/>
        <v>0</v>
      </c>
      <c r="G204" s="43">
        <f t="shared" si="46"/>
        <v>-49373</v>
      </c>
      <c r="H204" s="43">
        <f>H64-H134</f>
        <v>0</v>
      </c>
      <c r="I204" s="43">
        <f t="shared" si="46"/>
        <v>0</v>
      </c>
      <c r="J204" s="43">
        <f t="shared" si="46"/>
        <v>41208</v>
      </c>
    </row>
    <row r="205" spans="1:10" x14ac:dyDescent="0.2">
      <c r="A205" s="39">
        <f>A204+1</f>
        <v>49</v>
      </c>
      <c r="B205" s="42"/>
      <c r="C205" s="42" t="s">
        <v>251</v>
      </c>
      <c r="D205" s="43">
        <f t="shared" si="46"/>
        <v>1</v>
      </c>
      <c r="E205" s="43">
        <f t="shared" si="46"/>
        <v>0</v>
      </c>
      <c r="F205" s="43">
        <f t="shared" si="46"/>
        <v>0</v>
      </c>
      <c r="G205" s="43">
        <f t="shared" si="46"/>
        <v>0</v>
      </c>
      <c r="H205" s="43">
        <f>H65-H135</f>
        <v>0</v>
      </c>
      <c r="I205" s="43">
        <f t="shared" si="46"/>
        <v>0</v>
      </c>
      <c r="J205" s="43">
        <f t="shared" si="46"/>
        <v>1</v>
      </c>
    </row>
    <row r="206" spans="1:10" x14ac:dyDescent="0.2">
      <c r="D206" s="41"/>
      <c r="E206" s="41"/>
      <c r="F206" s="41"/>
      <c r="G206" s="41"/>
      <c r="H206" s="41"/>
      <c r="I206" s="41"/>
      <c r="J206" s="41"/>
    </row>
    <row r="207" spans="1:10" x14ac:dyDescent="0.2">
      <c r="A207" s="39">
        <f>A205+1</f>
        <v>50</v>
      </c>
      <c r="B207" s="42" t="s">
        <v>184</v>
      </c>
      <c r="C207" s="42"/>
      <c r="D207" s="43">
        <f t="shared" ref="D207:J208" si="47">D67-D137</f>
        <v>57879072.445056915</v>
      </c>
      <c r="E207" s="43">
        <f t="shared" si="47"/>
        <v>-6173587.9450567067</v>
      </c>
      <c r="F207" s="43">
        <f t="shared" si="47"/>
        <v>-56093163.5</v>
      </c>
      <c r="G207" s="43">
        <f t="shared" si="47"/>
        <v>8418171</v>
      </c>
      <c r="H207" s="43">
        <f>H67-H137</f>
        <v>-13964671</v>
      </c>
      <c r="I207" s="43">
        <f t="shared" si="47"/>
        <v>-62253</v>
      </c>
      <c r="J207" s="43">
        <f t="shared" si="47"/>
        <v>-9996432</v>
      </c>
    </row>
    <row r="208" spans="1:10" x14ac:dyDescent="0.2">
      <c r="A208" s="39">
        <f>A207+1</f>
        <v>51</v>
      </c>
      <c r="B208" s="173" t="s">
        <v>397</v>
      </c>
      <c r="C208" s="42"/>
      <c r="D208" s="43">
        <f t="shared" si="47"/>
        <v>57879072.445056915</v>
      </c>
      <c r="E208" s="43">
        <f t="shared" si="47"/>
        <v>-6173587.9450567067</v>
      </c>
      <c r="F208" s="43">
        <f t="shared" si="47"/>
        <v>-56093163.5</v>
      </c>
      <c r="G208" s="43">
        <f t="shared" si="47"/>
        <v>8418171</v>
      </c>
      <c r="H208" s="43">
        <f>H68-H138</f>
        <v>-13964671</v>
      </c>
      <c r="I208" s="43">
        <f t="shared" si="47"/>
        <v>-62253</v>
      </c>
      <c r="J208" s="43">
        <f t="shared" si="47"/>
        <v>-9996432</v>
      </c>
    </row>
    <row r="209" spans="1:10" x14ac:dyDescent="0.2">
      <c r="A209" s="39">
        <f>A208+1</f>
        <v>52</v>
      </c>
      <c r="B209" s="42" t="s">
        <v>303</v>
      </c>
      <c r="C209" s="42"/>
      <c r="D209" s="127" t="s">
        <v>302</v>
      </c>
      <c r="E209" s="127" t="s">
        <v>302</v>
      </c>
      <c r="F209" s="127" t="s">
        <v>302</v>
      </c>
      <c r="G209" s="127" t="s">
        <v>302</v>
      </c>
      <c r="H209" s="127" t="s">
        <v>302</v>
      </c>
      <c r="I209" s="127" t="s">
        <v>302</v>
      </c>
      <c r="J209" s="127" t="s">
        <v>302</v>
      </c>
    </row>
    <row r="210" spans="1:10" x14ac:dyDescent="0.2">
      <c r="B210" s="42"/>
      <c r="C210" s="42"/>
      <c r="D210" s="43"/>
      <c r="E210" s="43"/>
      <c r="F210" s="43"/>
      <c r="G210" s="43"/>
      <c r="H210" s="43"/>
      <c r="I210" s="43"/>
      <c r="J210" s="43"/>
    </row>
    <row r="211" spans="1:10" x14ac:dyDescent="0.2">
      <c r="A211" s="39">
        <f>A209+1</f>
        <v>53</v>
      </c>
      <c r="B211" s="42" t="s">
        <v>166</v>
      </c>
      <c r="C211" s="42"/>
      <c r="D211" s="43">
        <f t="shared" ref="D211:J211" si="48">D71-D141</f>
        <v>0</v>
      </c>
      <c r="E211" s="43">
        <f t="shared" si="48"/>
        <v>0</v>
      </c>
      <c r="F211" s="43">
        <f t="shared" si="48"/>
        <v>0</v>
      </c>
      <c r="G211" s="43">
        <f t="shared" si="48"/>
        <v>-40368</v>
      </c>
      <c r="H211" s="43">
        <f>H71-H141</f>
        <v>61422</v>
      </c>
      <c r="I211" s="43">
        <f t="shared" si="48"/>
        <v>0</v>
      </c>
      <c r="J211" s="43">
        <f t="shared" si="48"/>
        <v>21054</v>
      </c>
    </row>
  </sheetData>
  <phoneticPr fontId="0" type="noConversion"/>
  <printOptions horizontalCentered="1" gridLines="1"/>
  <pageMargins left="0.5" right="0.25" top="1" bottom="0.5" header="0.5" footer="0.25"/>
  <pageSetup scale="73" fitToHeight="3" orientation="portrait" horizontalDpi="300" verticalDpi="300" r:id="rId1"/>
  <headerFooter alignWithMargins="0">
    <oddHeader>&amp;L&amp;"Arial,Bold"DEPT of EDUCATION
Program Finance Div.&amp;C&amp;"Arial,Bold"&amp;A GENERAL EDUCATION
*** FEB 2011 VS. NOV 2010 ***&amp;R&amp;"Arial,Bold"&amp;D
&amp;T</oddHeader>
    <oddFooter>&amp;L&amp;"Arial,Regular"&amp;F&amp;R&amp;"Arial,Regular"&amp;A</oddFooter>
  </headerFooter>
  <rowBreaks count="2" manualBreakCount="2">
    <brk id="72" max="9" man="1"/>
    <brk id="142" max="9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G21"/>
  <sheetViews>
    <sheetView workbookViewId="0">
      <selection activeCell="A2" sqref="A2"/>
    </sheetView>
  </sheetViews>
  <sheetFormatPr defaultRowHeight="12" x14ac:dyDescent="0.15"/>
  <cols>
    <col min="2" max="5" width="14.625" customWidth="1"/>
    <col min="6" max="6" width="13.125" customWidth="1"/>
    <col min="7" max="7" width="13.375" customWidth="1"/>
  </cols>
  <sheetData>
    <row r="1" spans="1:7" x14ac:dyDescent="0.15">
      <c r="A1" t="s">
        <v>245</v>
      </c>
    </row>
    <row r="3" spans="1:7" x14ac:dyDescent="0.15">
      <c r="B3" s="100" t="s">
        <v>246</v>
      </c>
      <c r="C3" s="100" t="s">
        <v>247</v>
      </c>
      <c r="D3" s="100" t="s">
        <v>140</v>
      </c>
      <c r="E3" s="100" t="s">
        <v>169</v>
      </c>
      <c r="F3" s="100" t="s">
        <v>386</v>
      </c>
      <c r="G3" s="100" t="s">
        <v>387</v>
      </c>
    </row>
    <row r="5" spans="1:7" x14ac:dyDescent="0.15">
      <c r="A5" t="s">
        <v>138</v>
      </c>
      <c r="B5" s="110">
        <f>ROUND(('Pupil Data'!C25+'Pupil Data'!D25)/'Pupil Data'!C25,4)</f>
        <v>1</v>
      </c>
      <c r="C5" s="110">
        <f>ROUND('Pupil Data'!G68/'Pupil Data'!C68,4)</f>
        <v>1</v>
      </c>
      <c r="D5" s="110">
        <f>ROUND(('Pupil Data'!C39+'Pupil Data'!D39)/'Pupil Data'!C39,4)</f>
        <v>1</v>
      </c>
      <c r="E5" s="110">
        <f>ROUND('Pupil Data'!G82/'Pupil Data'!C82,4)</f>
        <v>1</v>
      </c>
    </row>
    <row r="6" spans="1:7" x14ac:dyDescent="0.15">
      <c r="A6" t="s">
        <v>139</v>
      </c>
      <c r="B6" s="110">
        <f>ROUND(('Pupil Data'!C26+'Pupil Data'!D26)/'Pupil Data'!C26,4)</f>
        <v>1</v>
      </c>
      <c r="C6" s="110">
        <f>ROUND('Pupil Data'!G69/'Pupil Data'!C69,4)</f>
        <v>1</v>
      </c>
      <c r="D6" s="110">
        <f>ROUND(('Pupil Data'!C40+'Pupil Data'!D40)/'Pupil Data'!C40,4)</f>
        <v>1</v>
      </c>
      <c r="E6" s="110">
        <f>ROUND('Pupil Data'!G83/'Pupil Data'!C83,4)</f>
        <v>1</v>
      </c>
    </row>
    <row r="7" spans="1:7" x14ac:dyDescent="0.15">
      <c r="A7" t="s">
        <v>164</v>
      </c>
      <c r="B7" s="110">
        <f>ROUND(('Pupil Data'!C27+'Pupil Data'!D27)/'Pupil Data'!C27,4)</f>
        <v>1.0004</v>
      </c>
      <c r="C7" s="110">
        <f>ROUND('Pupil Data'!G70/'Pupil Data'!C70,4)</f>
        <v>1.0005999999999999</v>
      </c>
      <c r="D7" s="110">
        <f>ROUND(('Pupil Data'!C41+'Pupil Data'!D41)/'Pupil Data'!C41,4)</f>
        <v>1.0004</v>
      </c>
      <c r="E7" s="110">
        <f>ROUND('Pupil Data'!G84/'Pupil Data'!C84,4)</f>
        <v>1.0005999999999999</v>
      </c>
    </row>
    <row r="8" spans="1:7" x14ac:dyDescent="0.15">
      <c r="A8" t="s">
        <v>165</v>
      </c>
      <c r="B8" s="110">
        <f>ROUND(('Pupil Data'!C28+'Pupil Data'!D28)/'Pupil Data'!C28,8)</f>
        <v>1.00030146</v>
      </c>
      <c r="C8" s="110">
        <f>ROUND('Pupil Data'!G71/'Pupil Data'!C71,8)</f>
        <v>1.0005907000000001</v>
      </c>
      <c r="D8" s="110">
        <f>ROUND(('Pupil Data'!C42+'Pupil Data'!D42)/'Pupil Data'!C42,8)</f>
        <v>1.00033003</v>
      </c>
      <c r="E8" s="110">
        <f>ROUND('Pupil Data'!G85/'Pupil Data'!C85,8)</f>
        <v>1.0005913900000001</v>
      </c>
    </row>
    <row r="9" spans="1:7" x14ac:dyDescent="0.15">
      <c r="A9" t="s">
        <v>249</v>
      </c>
      <c r="B9" s="110">
        <f>ROUND(('Pupil Data'!C29+'Pupil Data'!D29)/'Pupil Data'!C29,8)</f>
        <v>1</v>
      </c>
      <c r="C9" s="110">
        <f>ROUND('Pupil Data'!G72/'Pupil Data'!C72,8)</f>
        <v>0.99998518000000003</v>
      </c>
      <c r="D9" s="110">
        <f>ROUND(('Pupil Data'!C43+'Pupil Data'!D43)/'Pupil Data'!C43,8)</f>
        <v>1</v>
      </c>
      <c r="E9" s="110">
        <f>ROUND('Pupil Data'!G86/'Pupil Data'!C86,8)</f>
        <v>0.99998520999999996</v>
      </c>
    </row>
    <row r="10" spans="1:7" x14ac:dyDescent="0.15">
      <c r="A10" t="s">
        <v>250</v>
      </c>
      <c r="B10" s="110">
        <f>ROUND(('Pupil Data'!C30+'Pupil Data'!D30)/'Pupil Data'!C30,8)</f>
        <v>1.0020391200000001</v>
      </c>
      <c r="C10" s="110">
        <f>ROUND('Pupil Data'!G73/'Pupil Data'!C73,8)</f>
        <v>1.02111861</v>
      </c>
      <c r="D10" s="110">
        <f>ROUND(('Pupil Data'!C44+'Pupil Data'!D44)/'Pupil Data'!C44,8)</f>
        <v>1.00172858</v>
      </c>
      <c r="E10" s="110">
        <f>ROUND('Pupil Data'!G87/'Pupil Data'!C87,8)</f>
        <v>1.0183590899999999</v>
      </c>
    </row>
    <row r="11" spans="1:7" x14ac:dyDescent="0.15">
      <c r="A11" t="s">
        <v>300</v>
      </c>
      <c r="B11" s="110">
        <f>ROUND(('Pupil Data'!C31+'Pupil Data'!D31)/'Pupil Data'!C31,8)</f>
        <v>1.00681574</v>
      </c>
      <c r="C11" s="110">
        <f>ROUND('Pupil Data'!G74/'Pupil Data'!C74,8)</f>
        <v>1.0335602500000001</v>
      </c>
      <c r="D11" s="110">
        <f>ROUND(('Pupil Data'!C45+'Pupil Data'!D45)/'Pupil Data'!C45,8)</f>
        <v>1.0061560199999999</v>
      </c>
      <c r="E11" s="110">
        <f>ROUND('Pupil Data'!G88/'Pupil Data'!C88,8)</f>
        <v>1.0320875199999999</v>
      </c>
      <c r="F11" s="110">
        <f>ROUND(('Pupil Data'!C17+'Pupil Data'!D17)/'Pupil Data'!C17,8)</f>
        <v>1.0078848499999999</v>
      </c>
      <c r="G11" s="110">
        <f>ROUND('Pupil Data'!G60/'Pupil Data'!C60,8)</f>
        <v>1.03466758</v>
      </c>
    </row>
    <row r="12" spans="1:7" x14ac:dyDescent="0.15">
      <c r="A12" t="s">
        <v>301</v>
      </c>
      <c r="B12" s="110">
        <f>ROUND(('Pupil Data'!C32+'Pupil Data'!D32)/'Pupil Data'!C32,8)</f>
        <v>1.0162257299999999</v>
      </c>
      <c r="C12" s="110">
        <f>ROUND('Pupil Data'!G75/'Pupil Data'!C75,8)</f>
        <v>1.0461205899999999</v>
      </c>
      <c r="D12" s="110">
        <f>ROUND(('Pupil Data'!C46+'Pupil Data'!D46)/'Pupil Data'!C46,8)</f>
        <v>1.01522037</v>
      </c>
      <c r="E12" s="110">
        <f>ROUND('Pupil Data'!G89/'Pupil Data'!C89,8)</f>
        <v>1.04495523</v>
      </c>
      <c r="F12" s="110">
        <f>ROUND(('Pupil Data'!C18+'Pupil Data'!D18)/'Pupil Data'!C18,8)</f>
        <v>1.01769917</v>
      </c>
      <c r="G12" s="110">
        <f>ROUND('Pupil Data'!G61/'Pupil Data'!C61,8)</f>
        <v>1.0478104100000001</v>
      </c>
    </row>
    <row r="13" spans="1:7" x14ac:dyDescent="0.15">
      <c r="A13" t="s">
        <v>388</v>
      </c>
      <c r="B13" s="110">
        <f>ROUND(('Pupil Data'!C33+'Pupil Data'!D33)/'Pupil Data'!C33,8)</f>
        <v>1.0252863400000001</v>
      </c>
      <c r="C13" s="110">
        <f>ROUND('Pupil Data'!G76/'Pupil Data'!C76,8)</f>
        <v>1.0586769899999999</v>
      </c>
      <c r="D13" s="110">
        <f>ROUND(('Pupil Data'!C47+'Pupil Data'!D47)/'Pupil Data'!C47,8)</f>
        <v>1.02452652</v>
      </c>
      <c r="E13" s="110">
        <f>ROUND('Pupil Data'!G90/'Pupil Data'!C90,8)</f>
        <v>1.0577745000000001</v>
      </c>
      <c r="F13" s="110">
        <f>ROUND(('Pupil Data'!C19+'Pupil Data'!D19)/'Pupil Data'!C19,8)</f>
        <v>1.0260351999999999</v>
      </c>
      <c r="G13" s="110">
        <f>ROUND('Pupil Data'!G62/'Pupil Data'!C62,8)</f>
        <v>1.05984261</v>
      </c>
    </row>
    <row r="14" spans="1:7" x14ac:dyDescent="0.15">
      <c r="A14" t="s">
        <v>389</v>
      </c>
      <c r="B14" s="110">
        <f>ROUND(('Pupil Data'!C34+'Pupil Data'!D34)/'Pupil Data'!C34,8)</f>
        <v>1.03253127</v>
      </c>
      <c r="C14" s="110">
        <f>ROUND('Pupil Data'!G77/'Pupil Data'!C77,8)</f>
        <v>1.0692440999999999</v>
      </c>
      <c r="D14" s="110">
        <f>ROUND(('Pupil Data'!C48+'Pupil Data'!D48)/'Pupil Data'!C48,8)</f>
        <v>1.0319959400000001</v>
      </c>
      <c r="E14" s="110">
        <f>ROUND('Pupil Data'!G91/'Pupil Data'!C91,8)</f>
        <v>1.06857647</v>
      </c>
      <c r="F14" s="110">
        <f>ROUND(('Pupil Data'!C20+'Pupil Data'!D20)/'Pupil Data'!C20,8)</f>
        <v>1.0320662899999999</v>
      </c>
      <c r="G14" s="110">
        <f>ROUND('Pupil Data'!G63/'Pupil Data'!C63,8)</f>
        <v>1.0696305100000001</v>
      </c>
    </row>
    <row r="18" spans="3:3" x14ac:dyDescent="0.15">
      <c r="C18">
        <v>260</v>
      </c>
    </row>
    <row r="19" spans="3:3" x14ac:dyDescent="0.15">
      <c r="C19">
        <f>C18*0.65</f>
        <v>169</v>
      </c>
    </row>
    <row r="21" spans="3:3" x14ac:dyDescent="0.15">
      <c r="C21">
        <f>C18*0.731</f>
        <v>190.06</v>
      </c>
    </row>
  </sheetData>
  <phoneticPr fontId="9" type="noConversion"/>
  <pageMargins left="0.75" right="0.5" top="1" bottom="1" header="0.5" footer="0.5"/>
  <pageSetup orientation="portrait" r:id="rId1"/>
  <headerFooter alignWithMargins="0">
    <oddHeader>&amp;R&amp;D</oddHeader>
    <oddFooter>&amp;L&amp;F&amp;R&amp;A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J42"/>
  <sheetViews>
    <sheetView workbookViewId="0">
      <pane xSplit="2" ySplit="2" topLeftCell="C3" activePane="bottomRight" state="frozen"/>
      <selection activeCell="D46" sqref="D46"/>
      <selection pane="topRight" activeCell="D46" sqref="D46"/>
      <selection pane="bottomLeft" activeCell="D46" sqref="D46"/>
      <selection pane="bottomRight"/>
    </sheetView>
  </sheetViews>
  <sheetFormatPr defaultRowHeight="12" x14ac:dyDescent="0.15"/>
  <cols>
    <col min="1" max="1" width="3.25" customWidth="1"/>
    <col min="2" max="2" width="25.375" bestFit="1" customWidth="1"/>
    <col min="3" max="3" width="14" bestFit="1" customWidth="1"/>
    <col min="4" max="4" width="15" bestFit="1" customWidth="1"/>
    <col min="5" max="5" width="14" bestFit="1" customWidth="1"/>
    <col min="6" max="6" width="15" bestFit="1" customWidth="1"/>
    <col min="7" max="8" width="14" customWidth="1"/>
    <col min="9" max="9" width="14.125" customWidth="1"/>
    <col min="10" max="10" width="16" bestFit="1" customWidth="1"/>
  </cols>
  <sheetData>
    <row r="1" spans="1:10" x14ac:dyDescent="0.15">
      <c r="C1" s="93" t="s">
        <v>138</v>
      </c>
      <c r="D1" s="93" t="s">
        <v>139</v>
      </c>
      <c r="E1" s="93" t="s">
        <v>164</v>
      </c>
      <c r="F1" s="93" t="s">
        <v>165</v>
      </c>
      <c r="G1" s="93" t="s">
        <v>249</v>
      </c>
      <c r="H1" s="93" t="s">
        <v>250</v>
      </c>
      <c r="I1" s="93" t="s">
        <v>300</v>
      </c>
      <c r="J1" s="93" t="s">
        <v>301</v>
      </c>
    </row>
    <row r="3" spans="1:10" x14ac:dyDescent="0.15">
      <c r="A3" t="s">
        <v>150</v>
      </c>
      <c r="F3">
        <f>714250316-F4</f>
        <v>-6316865.4500000477</v>
      </c>
    </row>
    <row r="4" spans="1:10" x14ac:dyDescent="0.15">
      <c r="B4" t="s">
        <v>235</v>
      </c>
      <c r="C4" s="94">
        <f>'FY 2006'!D23</f>
        <v>534314512</v>
      </c>
      <c r="D4" s="94">
        <f>'FY 2007'!D23</f>
        <v>598966155</v>
      </c>
      <c r="E4" s="94">
        <f>'FY 2008'!D23</f>
        <v>644192179</v>
      </c>
      <c r="F4" s="94">
        <f>'FY 2009'!$D24</f>
        <v>720567181.45000005</v>
      </c>
      <c r="G4" s="94">
        <f>'FY 2010'!$D24</f>
        <v>781675140</v>
      </c>
      <c r="H4" s="94">
        <f>'FY 2011'!$D23</f>
        <v>790322416</v>
      </c>
      <c r="I4" s="94">
        <f>'FY 2012'!$D23</f>
        <v>796925976</v>
      </c>
      <c r="J4" s="94">
        <f>'FY 2013'!$D23</f>
        <v>800605781</v>
      </c>
    </row>
    <row r="5" spans="1:10" x14ac:dyDescent="0.15">
      <c r="B5" t="s">
        <v>236</v>
      </c>
      <c r="C5" s="94">
        <f>'FY 2006'!E23</f>
        <v>0</v>
      </c>
      <c r="D5" s="94">
        <f>'FY 2007'!E23</f>
        <v>0</v>
      </c>
      <c r="E5" s="94">
        <f>'FY 2008'!E23</f>
        <v>0</v>
      </c>
      <c r="F5" s="94">
        <f>'FY 2009'!$E24</f>
        <v>0</v>
      </c>
      <c r="G5" s="94">
        <f>'FY 2010'!$E24</f>
        <v>0</v>
      </c>
      <c r="H5" s="94">
        <f>'FY 2011'!$E23</f>
        <v>0</v>
      </c>
      <c r="I5" s="94">
        <f>'FY 2012'!$E23</f>
        <v>0</v>
      </c>
      <c r="J5" s="94">
        <f>'FY 2013'!$E23</f>
        <v>58616000</v>
      </c>
    </row>
    <row r="6" spans="1:10" x14ac:dyDescent="0.15">
      <c r="B6" t="s">
        <v>237</v>
      </c>
      <c r="C6" s="94">
        <f>'FY 2006'!F23</f>
        <v>0</v>
      </c>
      <c r="D6" s="94">
        <f>'FY 2007'!F23</f>
        <v>0</v>
      </c>
      <c r="E6" s="94">
        <f>'FY 2008'!F23</f>
        <v>0</v>
      </c>
      <c r="F6" s="94">
        <f>'FY 2009'!$F24</f>
        <v>0</v>
      </c>
      <c r="G6" s="94">
        <f>'FY 2010'!$F24</f>
        <v>0</v>
      </c>
      <c r="H6" s="94">
        <f>'FY 2011'!$F23</f>
        <v>14509849</v>
      </c>
      <c r="I6" s="94">
        <f>'FY 2012'!$F23</f>
        <v>25571473</v>
      </c>
      <c r="J6" s="94">
        <f>'FY 2013'!$F23</f>
        <v>35991185</v>
      </c>
    </row>
    <row r="7" spans="1:10" x14ac:dyDescent="0.15">
      <c r="B7" t="s">
        <v>260</v>
      </c>
      <c r="C7" s="94">
        <v>0</v>
      </c>
      <c r="D7" s="94">
        <v>0</v>
      </c>
      <c r="E7" s="94">
        <v>119137</v>
      </c>
      <c r="F7" s="111">
        <v>53967</v>
      </c>
      <c r="G7" s="94">
        <v>0</v>
      </c>
      <c r="H7" s="94">
        <v>0</v>
      </c>
      <c r="I7" s="94">
        <v>0</v>
      </c>
      <c r="J7" s="94">
        <v>0</v>
      </c>
    </row>
    <row r="8" spans="1:10" x14ac:dyDescent="0.15">
      <c r="B8" t="s">
        <v>261</v>
      </c>
      <c r="C8" s="94">
        <v>0</v>
      </c>
      <c r="D8" s="94">
        <v>0</v>
      </c>
      <c r="E8" s="94">
        <v>130643.55</v>
      </c>
      <c r="F8" s="111">
        <v>718858</v>
      </c>
      <c r="G8" s="94">
        <v>750462</v>
      </c>
      <c r="H8" s="94">
        <v>0</v>
      </c>
      <c r="I8" s="94">
        <v>0</v>
      </c>
      <c r="J8" s="94">
        <v>0</v>
      </c>
    </row>
    <row r="9" spans="1:10" x14ac:dyDescent="0.15">
      <c r="B9" t="s">
        <v>3</v>
      </c>
      <c r="C9" s="94">
        <f>SUM(C4:C8)</f>
        <v>534314512</v>
      </c>
      <c r="D9" s="94">
        <f>SUM(D4:D8)</f>
        <v>598966155</v>
      </c>
      <c r="E9" s="94">
        <f>SUM(E4:E8)</f>
        <v>644441959.54999995</v>
      </c>
      <c r="F9" s="94">
        <f>SUM(F4:F8)</f>
        <v>721340006.45000005</v>
      </c>
      <c r="G9" s="94">
        <f>SUM(G4:G6)</f>
        <v>781675140</v>
      </c>
      <c r="H9" s="94">
        <f>SUM(H4:H6)</f>
        <v>804832265</v>
      </c>
      <c r="I9" s="94">
        <f>SUM(I4:I6)</f>
        <v>822497449</v>
      </c>
      <c r="J9" s="94">
        <f>SUM(J4:J6)</f>
        <v>895212966</v>
      </c>
    </row>
    <row r="10" spans="1:10" x14ac:dyDescent="0.15">
      <c r="B10" t="s">
        <v>267</v>
      </c>
      <c r="C10" s="94"/>
      <c r="D10" s="94"/>
      <c r="E10" s="126" t="s">
        <v>304</v>
      </c>
      <c r="F10" s="94"/>
      <c r="G10" s="94"/>
      <c r="H10" s="94"/>
      <c r="I10" s="94"/>
      <c r="J10" s="94"/>
    </row>
    <row r="11" spans="1:10" x14ac:dyDescent="0.15">
      <c r="C11" s="94"/>
      <c r="D11" s="94"/>
      <c r="E11" s="126" t="s">
        <v>305</v>
      </c>
      <c r="F11" s="94"/>
      <c r="G11" s="94"/>
      <c r="H11" s="94"/>
      <c r="I11" s="94"/>
      <c r="J11" s="94"/>
    </row>
    <row r="12" spans="1:10" x14ac:dyDescent="0.15">
      <c r="A12" t="s">
        <v>169</v>
      </c>
      <c r="C12" s="94"/>
      <c r="D12" s="94"/>
      <c r="E12" s="94"/>
      <c r="F12" s="94">
        <f>F4+F7+F8</f>
        <v>721340006.45000005</v>
      </c>
      <c r="G12" s="94"/>
      <c r="H12" s="94"/>
      <c r="I12" s="94"/>
      <c r="J12" s="94"/>
    </row>
    <row r="13" spans="1:10" x14ac:dyDescent="0.15">
      <c r="B13" t="s">
        <v>235</v>
      </c>
      <c r="C13" s="94">
        <f>'Pupil Data'!C82</f>
        <v>952292</v>
      </c>
      <c r="D13" s="94">
        <f>'Pupil Data'!C83</f>
        <v>952429</v>
      </c>
      <c r="E13" s="94">
        <f>'Pupil Data'!C84</f>
        <v>951696</v>
      </c>
      <c r="F13" s="94">
        <f>'Pupil Data'!$C85</f>
        <v>946916</v>
      </c>
      <c r="G13" s="94">
        <f>'Pupil Data'!$C86</f>
        <v>946306</v>
      </c>
      <c r="H13" s="94">
        <f>'Pupil Data'!$C87</f>
        <v>931691</v>
      </c>
      <c r="I13" s="94">
        <f>'Pupil Data'!$C88</f>
        <v>921542</v>
      </c>
      <c r="J13" s="94">
        <f>'Pupil Data'!$C89</f>
        <v>917713</v>
      </c>
    </row>
    <row r="14" spans="1:10" x14ac:dyDescent="0.15">
      <c r="B14" t="s">
        <v>237</v>
      </c>
      <c r="C14" s="94">
        <f>'Pupil Data'!D82</f>
        <v>0</v>
      </c>
      <c r="D14" s="94">
        <f>'Pupil Data'!D83</f>
        <v>0</v>
      </c>
      <c r="E14" s="94">
        <f>'Pupil Data'!D84</f>
        <v>564</v>
      </c>
      <c r="F14" s="94">
        <f>'Pupil Data'!$D85</f>
        <v>560</v>
      </c>
      <c r="G14" s="94">
        <f>'Pupil Data'!$D86</f>
        <v>-14</v>
      </c>
      <c r="H14" s="94">
        <f>'Pupil Data'!$D87</f>
        <v>17105</v>
      </c>
      <c r="I14" s="94">
        <f>'Pupil Data'!$D88</f>
        <v>29570</v>
      </c>
      <c r="J14" s="94">
        <f>'Pupil Data'!$D89</f>
        <v>41256</v>
      </c>
    </row>
    <row r="15" spans="1:10" x14ac:dyDescent="0.15">
      <c r="B15" t="s">
        <v>3</v>
      </c>
      <c r="C15" s="94">
        <f t="shared" ref="C15:H15" si="0">SUM(C13:C14)</f>
        <v>952292</v>
      </c>
      <c r="D15" s="94">
        <f t="shared" si="0"/>
        <v>952429</v>
      </c>
      <c r="E15" s="94">
        <f t="shared" si="0"/>
        <v>952260</v>
      </c>
      <c r="F15" s="94">
        <f t="shared" si="0"/>
        <v>947476</v>
      </c>
      <c r="G15" s="94">
        <f t="shared" si="0"/>
        <v>946292</v>
      </c>
      <c r="H15" s="94">
        <f t="shared" si="0"/>
        <v>948796</v>
      </c>
      <c r="I15" s="94">
        <f>SUM(I13:I14)</f>
        <v>951112</v>
      </c>
      <c r="J15" s="94">
        <f>SUM(J13:J14)</f>
        <v>958969</v>
      </c>
    </row>
    <row r="16" spans="1:10" x14ac:dyDescent="0.15">
      <c r="C16" s="94"/>
      <c r="D16" s="94"/>
      <c r="E16" s="94"/>
      <c r="F16" s="94"/>
      <c r="G16" s="94"/>
      <c r="H16" s="94"/>
      <c r="I16" s="94"/>
      <c r="J16" s="94"/>
    </row>
    <row r="17" spans="1:10" x14ac:dyDescent="0.15">
      <c r="A17" t="s">
        <v>238</v>
      </c>
      <c r="C17" s="95">
        <f>ROUND(C9/C15,2)</f>
        <v>561.08000000000004</v>
      </c>
      <c r="D17" s="95">
        <f>ROUND(D9/D15,2)</f>
        <v>628.88</v>
      </c>
      <c r="E17" s="123">
        <f>ROUND(E9/E15,2)</f>
        <v>676.75</v>
      </c>
      <c r="F17" s="123">
        <f>ROUND((F4+F5+F7+F8)/F13,2)</f>
        <v>761.78</v>
      </c>
      <c r="G17" s="123">
        <f>ROUND((G4+G5+G7+G8)/G13,2)</f>
        <v>826.82</v>
      </c>
      <c r="H17" s="123">
        <f>ROUND((H4+H5+H7+H8)/H13,2)</f>
        <v>848.27</v>
      </c>
      <c r="I17" s="123">
        <f>ROUND((I4+I5+I7+I8)/I13,2)</f>
        <v>864.77</v>
      </c>
      <c r="J17" s="123">
        <f>ROUND((J4+J5+J7+J8)/J13,2)</f>
        <v>936.26</v>
      </c>
    </row>
    <row r="18" spans="1:10" x14ac:dyDescent="0.15">
      <c r="F18" s="123"/>
      <c r="G18" s="123"/>
      <c r="H18" s="123"/>
      <c r="I18" s="123"/>
      <c r="J18" s="123"/>
    </row>
    <row r="19" spans="1:10" x14ac:dyDescent="0.15">
      <c r="F19" s="123"/>
      <c r="G19" s="123"/>
      <c r="H19" s="123"/>
      <c r="I19" s="123"/>
      <c r="J19" s="123"/>
    </row>
    <row r="20" spans="1:10" x14ac:dyDescent="0.15">
      <c r="F20" s="123"/>
      <c r="G20" s="123"/>
      <c r="H20" s="123"/>
      <c r="I20" s="123"/>
      <c r="J20" s="123"/>
    </row>
    <row r="21" spans="1:10" x14ac:dyDescent="0.15">
      <c r="A21" t="s">
        <v>364</v>
      </c>
      <c r="F21" s="123"/>
      <c r="G21" s="123"/>
      <c r="H21" s="123"/>
      <c r="I21" s="123"/>
      <c r="J21" s="123"/>
    </row>
    <row r="22" spans="1:10" x14ac:dyDescent="0.15">
      <c r="B22" t="s">
        <v>385</v>
      </c>
      <c r="C22" s="179">
        <v>561.08000000000004</v>
      </c>
      <c r="D22" s="179">
        <v>628.88</v>
      </c>
      <c r="E22" s="179">
        <v>676.49</v>
      </c>
      <c r="F22" s="179">
        <v>760.51</v>
      </c>
      <c r="G22" s="180">
        <v>827.94</v>
      </c>
      <c r="H22" s="180">
        <v>848.94</v>
      </c>
      <c r="I22" s="180">
        <v>935.65</v>
      </c>
      <c r="J22" s="180">
        <v>1037.55</v>
      </c>
    </row>
    <row r="23" spans="1:10" x14ac:dyDescent="0.15">
      <c r="B23" t="s">
        <v>367</v>
      </c>
      <c r="C23">
        <v>561.08000000000004</v>
      </c>
      <c r="D23">
        <v>628.88</v>
      </c>
      <c r="E23">
        <v>676.75</v>
      </c>
      <c r="F23">
        <v>760.99</v>
      </c>
      <c r="G23">
        <v>822.5</v>
      </c>
      <c r="H23">
        <v>942.54</v>
      </c>
      <c r="I23">
        <v>1020.77</v>
      </c>
      <c r="J23">
        <v>1116.8499999999999</v>
      </c>
    </row>
    <row r="24" spans="1:10" x14ac:dyDescent="0.15">
      <c r="B24" t="s">
        <v>366</v>
      </c>
      <c r="C24">
        <v>561.08000000000004</v>
      </c>
      <c r="D24">
        <v>628.88</v>
      </c>
      <c r="E24">
        <v>676.84</v>
      </c>
      <c r="F24">
        <v>760.75</v>
      </c>
      <c r="G24">
        <v>849.65</v>
      </c>
      <c r="H24">
        <v>962.46</v>
      </c>
      <c r="I24">
        <v>962.46</v>
      </c>
      <c r="J24">
        <v>962.46</v>
      </c>
    </row>
    <row r="25" spans="1:10" x14ac:dyDescent="0.15">
      <c r="B25" t="s">
        <v>365</v>
      </c>
      <c r="C25">
        <v>561.08000000000004</v>
      </c>
      <c r="D25">
        <v>630.87</v>
      </c>
      <c r="E25">
        <v>675.21</v>
      </c>
      <c r="F25">
        <v>766.79</v>
      </c>
      <c r="G25">
        <v>827.03</v>
      </c>
      <c r="H25">
        <v>901.34</v>
      </c>
      <c r="I25">
        <v>901.34</v>
      </c>
      <c r="J25">
        <v>901.34</v>
      </c>
    </row>
    <row r="30" spans="1:10" x14ac:dyDescent="0.15">
      <c r="A30" t="s">
        <v>262</v>
      </c>
      <c r="F30" s="279" t="s">
        <v>372</v>
      </c>
      <c r="G30" s="279"/>
      <c r="H30" s="279"/>
      <c r="I30" s="279"/>
      <c r="J30" s="279"/>
    </row>
    <row r="32" spans="1:10" x14ac:dyDescent="0.15">
      <c r="A32" t="s">
        <v>263</v>
      </c>
    </row>
    <row r="33" spans="1:10" x14ac:dyDescent="0.15">
      <c r="B33" t="s">
        <v>266</v>
      </c>
      <c r="D33" s="111">
        <f>'FY 2007'!D22</f>
        <v>47666871</v>
      </c>
      <c r="E33" s="111">
        <f>'FY 2008'!D22</f>
        <v>59236538</v>
      </c>
      <c r="F33" s="111">
        <f>'FY 2009'!D23</f>
        <v>61021897.109999999</v>
      </c>
      <c r="G33" s="111">
        <f>'FY 2010'!D23</f>
        <v>55299464</v>
      </c>
      <c r="H33" s="111">
        <f>'FY 2011'!D22</f>
        <v>58407265</v>
      </c>
      <c r="I33" s="111">
        <f>'FY 2012'!D22</f>
        <v>70841741</v>
      </c>
      <c r="J33" s="111">
        <f>'FY 2013'!D22</f>
        <v>70534251</v>
      </c>
    </row>
    <row r="34" spans="1:10" x14ac:dyDescent="0.15">
      <c r="B34" t="s">
        <v>265</v>
      </c>
      <c r="D34" s="111">
        <v>3122304</v>
      </c>
      <c r="E34" s="111">
        <v>3123755</v>
      </c>
      <c r="F34" s="111">
        <v>3123755</v>
      </c>
      <c r="G34" s="111">
        <v>0</v>
      </c>
      <c r="H34" s="111">
        <v>0</v>
      </c>
      <c r="I34" s="111">
        <v>0</v>
      </c>
      <c r="J34" s="111">
        <v>0</v>
      </c>
    </row>
    <row r="35" spans="1:10" x14ac:dyDescent="0.15">
      <c r="B35" t="s">
        <v>180</v>
      </c>
      <c r="D35" s="111">
        <f t="shared" ref="D35:J35" si="1">D33-D34</f>
        <v>44544567</v>
      </c>
      <c r="E35" s="111">
        <f t="shared" si="1"/>
        <v>56112783</v>
      </c>
      <c r="F35" s="111">
        <f t="shared" si="1"/>
        <v>57898142.109999999</v>
      </c>
      <c r="G35" s="111">
        <f t="shared" si="1"/>
        <v>55299464</v>
      </c>
      <c r="H35" s="111">
        <f t="shared" si="1"/>
        <v>58407265</v>
      </c>
      <c r="I35" s="111">
        <f t="shared" si="1"/>
        <v>70841741</v>
      </c>
      <c r="J35" s="111">
        <f t="shared" si="1"/>
        <v>70534251</v>
      </c>
    </row>
    <row r="36" spans="1:10" x14ac:dyDescent="0.15">
      <c r="D36" s="111"/>
      <c r="E36" s="111"/>
    </row>
    <row r="37" spans="1:10" x14ac:dyDescent="0.15">
      <c r="A37" t="s">
        <v>270</v>
      </c>
    </row>
    <row r="38" spans="1:10" x14ac:dyDescent="0.15">
      <c r="B38" t="s">
        <v>235</v>
      </c>
      <c r="D38" s="111">
        <v>179923</v>
      </c>
      <c r="E38" s="111">
        <f>231069-6114</f>
        <v>224955</v>
      </c>
      <c r="F38" s="111">
        <v>245901</v>
      </c>
      <c r="G38" s="111">
        <v>245901</v>
      </c>
      <c r="H38" s="111">
        <v>245901</v>
      </c>
      <c r="I38" s="111">
        <v>245901</v>
      </c>
      <c r="J38" s="111">
        <v>245901</v>
      </c>
    </row>
    <row r="39" spans="1:10" x14ac:dyDescent="0.15">
      <c r="B39" t="s">
        <v>237</v>
      </c>
      <c r="D39" s="1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</row>
    <row r="40" spans="1:10" x14ac:dyDescent="0.15">
      <c r="B40" t="s">
        <v>3</v>
      </c>
      <c r="D40" s="111">
        <f t="shared" ref="D40:J40" si="2">SUM(D38:D39)</f>
        <v>179923</v>
      </c>
      <c r="E40" s="111">
        <f t="shared" si="2"/>
        <v>224955</v>
      </c>
      <c r="F40" s="111">
        <f t="shared" si="2"/>
        <v>245901</v>
      </c>
      <c r="G40" s="111">
        <f t="shared" si="2"/>
        <v>245901</v>
      </c>
      <c r="H40" s="111">
        <f t="shared" si="2"/>
        <v>245901</v>
      </c>
      <c r="I40" s="111">
        <f t="shared" si="2"/>
        <v>245901</v>
      </c>
      <c r="J40" s="111">
        <f t="shared" si="2"/>
        <v>245901</v>
      </c>
    </row>
    <row r="42" spans="1:10" x14ac:dyDescent="0.15">
      <c r="A42" t="s">
        <v>264</v>
      </c>
      <c r="D42">
        <f t="shared" ref="D42:J42" si="3">ROUND(D35/D40,2)</f>
        <v>247.58</v>
      </c>
      <c r="E42" s="122">
        <f t="shared" si="3"/>
        <v>249.44</v>
      </c>
      <c r="F42" s="122">
        <f t="shared" si="3"/>
        <v>235.45</v>
      </c>
      <c r="G42" s="122">
        <f t="shared" si="3"/>
        <v>224.89</v>
      </c>
      <c r="H42" s="122">
        <f t="shared" si="3"/>
        <v>237.52</v>
      </c>
      <c r="I42" s="122">
        <f t="shared" si="3"/>
        <v>288.08999999999997</v>
      </c>
      <c r="J42" s="122">
        <f t="shared" si="3"/>
        <v>286.83999999999997</v>
      </c>
    </row>
  </sheetData>
  <mergeCells count="1">
    <mergeCell ref="F30:J30"/>
  </mergeCells>
  <phoneticPr fontId="9" type="noConversion"/>
  <pageMargins left="0.75" right="0.75" top="1" bottom="1" header="0.5" footer="0.5"/>
  <pageSetup orientation="landscape" r:id="rId1"/>
  <headerFooter alignWithMargins="0">
    <oddHeader>&amp;CSTATEWIDE AVERAGE
REFERENDUM REVENUE PER RMCPU&amp;R&amp;D</oddHeader>
    <oddFooter>&amp;L&amp;F&amp;R&amp;A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H34"/>
  <sheetViews>
    <sheetView topLeftCell="A6" workbookViewId="0">
      <selection activeCell="F16" sqref="F16"/>
    </sheetView>
  </sheetViews>
  <sheetFormatPr defaultRowHeight="12" x14ac:dyDescent="0.15"/>
  <cols>
    <col min="1" max="1" width="9" style="141" customWidth="1"/>
    <col min="2" max="2" width="14.75" style="141" customWidth="1"/>
    <col min="3" max="3" width="15" style="141" customWidth="1"/>
    <col min="4" max="4" width="16.125" style="141" customWidth="1"/>
    <col min="5" max="6" width="13.125" style="141" customWidth="1"/>
    <col min="7" max="7" width="11.875" style="141" bestFit="1" customWidth="1"/>
    <col min="8" max="8" width="10.875" style="141" bestFit="1" customWidth="1"/>
    <col min="9" max="16384" width="9" style="141"/>
  </cols>
  <sheetData>
    <row r="1" spans="1:7" x14ac:dyDescent="0.15">
      <c r="A1" s="141" t="s">
        <v>351</v>
      </c>
    </row>
    <row r="2" spans="1:7" x14ac:dyDescent="0.15">
      <c r="A2" s="141" t="s">
        <v>352</v>
      </c>
    </row>
    <row r="3" spans="1:7" x14ac:dyDescent="0.15">
      <c r="A3" s="141" t="s">
        <v>449</v>
      </c>
    </row>
    <row r="7" spans="1:7" x14ac:dyDescent="0.15">
      <c r="B7" s="142" t="s">
        <v>323</v>
      </c>
      <c r="C7" s="142" t="s">
        <v>324</v>
      </c>
      <c r="D7" s="142" t="s">
        <v>325</v>
      </c>
      <c r="E7" s="142" t="s">
        <v>326</v>
      </c>
      <c r="F7" s="142" t="s">
        <v>327</v>
      </c>
    </row>
    <row r="8" spans="1:7" x14ac:dyDescent="0.15">
      <c r="A8" s="141" t="s">
        <v>328</v>
      </c>
      <c r="B8" s="142" t="s">
        <v>329</v>
      </c>
      <c r="C8" s="142" t="s">
        <v>140</v>
      </c>
      <c r="D8" s="142" t="s">
        <v>329</v>
      </c>
      <c r="E8" s="142" t="s">
        <v>330</v>
      </c>
      <c r="F8" s="142" t="s">
        <v>331</v>
      </c>
    </row>
    <row r="9" spans="1:7" x14ac:dyDescent="0.15">
      <c r="A9" s="141" t="s">
        <v>332</v>
      </c>
      <c r="B9" s="143">
        <v>12223</v>
      </c>
      <c r="C9" s="143">
        <v>19547</v>
      </c>
      <c r="D9" s="144">
        <f t="shared" ref="D9:D17" si="0">C9-B9</f>
        <v>7324</v>
      </c>
      <c r="E9" s="143">
        <v>8807.35</v>
      </c>
    </row>
    <row r="10" spans="1:7" x14ac:dyDescent="0.15">
      <c r="A10" s="141" t="s">
        <v>333</v>
      </c>
      <c r="B10" s="143">
        <v>16993.5</v>
      </c>
      <c r="C10" s="143">
        <v>23051.02</v>
      </c>
      <c r="D10" s="144">
        <f t="shared" si="0"/>
        <v>6057.52</v>
      </c>
      <c r="E10" s="143">
        <v>8391.0400000000009</v>
      </c>
      <c r="F10" s="145"/>
      <c r="G10" s="144"/>
    </row>
    <row r="11" spans="1:7" x14ac:dyDescent="0.15">
      <c r="A11" s="141" t="s">
        <v>334</v>
      </c>
      <c r="B11" s="143">
        <v>20410.72</v>
      </c>
      <c r="C11" s="143">
        <v>26755.74</v>
      </c>
      <c r="D11" s="144">
        <f t="shared" si="0"/>
        <v>6345.02</v>
      </c>
      <c r="E11" s="143">
        <v>9290.26</v>
      </c>
      <c r="F11" s="145">
        <f>ROUND(D11/$E$11,3)</f>
        <v>0.68300000000000005</v>
      </c>
      <c r="G11" s="144">
        <f>F11*$E$11</f>
        <v>6345.2475800000002</v>
      </c>
    </row>
    <row r="12" spans="1:7" x14ac:dyDescent="0.15">
      <c r="A12" s="141" t="s">
        <v>335</v>
      </c>
      <c r="B12" s="143">
        <v>24625.49</v>
      </c>
      <c r="C12" s="143">
        <v>31732.92</v>
      </c>
      <c r="D12" s="144">
        <f t="shared" si="0"/>
        <v>7107.4299999999967</v>
      </c>
      <c r="E12" s="143">
        <v>6937.48</v>
      </c>
      <c r="F12" s="145">
        <f>ROUND(D12/$E$12,3)</f>
        <v>1.024</v>
      </c>
      <c r="G12" s="144">
        <f>F12*$E$12</f>
        <v>7103.9795199999999</v>
      </c>
    </row>
    <row r="13" spans="1:7" x14ac:dyDescent="0.15">
      <c r="A13" s="141" t="s">
        <v>336</v>
      </c>
      <c r="B13" s="143">
        <v>28340.07</v>
      </c>
      <c r="C13" s="143">
        <v>36257.46</v>
      </c>
      <c r="D13" s="144">
        <f t="shared" si="0"/>
        <v>7917.3899999999994</v>
      </c>
      <c r="E13" s="143">
        <v>8459.6700000000019</v>
      </c>
      <c r="F13" s="145">
        <f>ROUND(D13/$E$13,3)</f>
        <v>0.93600000000000005</v>
      </c>
      <c r="G13" s="144">
        <f>F13*$E$12</f>
        <v>6493.48128</v>
      </c>
    </row>
    <row r="14" spans="1:7" x14ac:dyDescent="0.15">
      <c r="A14" s="141" t="s">
        <v>337</v>
      </c>
      <c r="B14" s="143">
        <v>30936.03</v>
      </c>
      <c r="C14" s="143">
        <v>39317.83</v>
      </c>
      <c r="D14" s="144">
        <f t="shared" si="0"/>
        <v>8381.8000000000029</v>
      </c>
      <c r="E14" s="143">
        <v>8573.69</v>
      </c>
      <c r="F14" s="145">
        <f>ROUND(D14/$E$14,3)</f>
        <v>0.97799999999999998</v>
      </c>
      <c r="G14" s="144">
        <f>F14*$E$12</f>
        <v>6784.8554399999994</v>
      </c>
    </row>
    <row r="15" spans="1:7" x14ac:dyDescent="0.15">
      <c r="A15" s="141" t="s">
        <v>338</v>
      </c>
      <c r="B15" s="143">
        <v>33835.39</v>
      </c>
      <c r="C15" s="143">
        <v>42324.7</v>
      </c>
      <c r="D15" s="144">
        <f t="shared" si="0"/>
        <v>8489.3099999999977</v>
      </c>
      <c r="E15" s="143">
        <v>8489.4499999999971</v>
      </c>
      <c r="F15" s="145">
        <f>ROUND(D15/$E$15,3)</f>
        <v>1</v>
      </c>
      <c r="G15" s="144">
        <f>F15*$E$12</f>
        <v>6937.48</v>
      </c>
    </row>
    <row r="16" spans="1:7" x14ac:dyDescent="0.15">
      <c r="A16" s="141" t="s">
        <v>339</v>
      </c>
      <c r="B16" s="143">
        <v>37811.21</v>
      </c>
      <c r="C16" s="143">
        <v>47178.21</v>
      </c>
      <c r="D16" s="144">
        <f t="shared" si="0"/>
        <v>9367</v>
      </c>
      <c r="F16" s="145">
        <f>ROUND(D16/$E$15,3)</f>
        <v>1.103</v>
      </c>
      <c r="G16" s="144"/>
    </row>
    <row r="17" spans="1:8" x14ac:dyDescent="0.15">
      <c r="A17" s="141" t="s">
        <v>340</v>
      </c>
      <c r="B17" s="143">
        <v>42364.160000000003</v>
      </c>
      <c r="C17" s="143">
        <v>52047.63</v>
      </c>
      <c r="D17" s="144">
        <f t="shared" si="0"/>
        <v>9683.4699999999939</v>
      </c>
      <c r="F17" s="145">
        <f>ROUND(D17/$E$15,3)</f>
        <v>1.141</v>
      </c>
      <c r="G17" s="144"/>
    </row>
    <row r="18" spans="1:8" x14ac:dyDescent="0.15">
      <c r="A18" s="141" t="s">
        <v>399</v>
      </c>
      <c r="B18" s="143">
        <v>47650.12</v>
      </c>
      <c r="C18" s="143">
        <v>57302.23</v>
      </c>
      <c r="D18" s="144">
        <f>C18-B18</f>
        <v>9652.11</v>
      </c>
      <c r="F18" s="145">
        <f>ROUND(D18/$E$15,3)</f>
        <v>1.137</v>
      </c>
      <c r="G18" s="144"/>
    </row>
    <row r="19" spans="1:8" x14ac:dyDescent="0.15">
      <c r="A19" s="141" t="s">
        <v>400</v>
      </c>
      <c r="B19" s="143">
        <v>53320.35</v>
      </c>
      <c r="C19" s="143">
        <v>62972.46</v>
      </c>
      <c r="D19" s="144">
        <f>C19-B19</f>
        <v>9652.11</v>
      </c>
      <c r="F19" s="145">
        <f>ROUND(D19/$E$15,3)</f>
        <v>1.137</v>
      </c>
      <c r="G19" s="144"/>
    </row>
    <row r="20" spans="1:8" x14ac:dyDescent="0.15">
      <c r="B20" s="143"/>
      <c r="C20" s="143"/>
      <c r="D20" s="144"/>
      <c r="G20" s="144"/>
    </row>
    <row r="21" spans="1:8" x14ac:dyDescent="0.15">
      <c r="B21" s="143"/>
      <c r="C21" s="143"/>
      <c r="D21" s="144"/>
      <c r="G21" s="144"/>
    </row>
    <row r="22" spans="1:8" x14ac:dyDescent="0.15">
      <c r="B22" s="143"/>
      <c r="C22" s="143"/>
      <c r="D22" s="144"/>
      <c r="G22" s="144"/>
    </row>
    <row r="23" spans="1:8" x14ac:dyDescent="0.15">
      <c r="A23" s="141" t="s">
        <v>341</v>
      </c>
      <c r="H23" s="143"/>
    </row>
    <row r="24" spans="1:8" x14ac:dyDescent="0.15">
      <c r="A24" s="141" t="s">
        <v>342</v>
      </c>
      <c r="B24" s="143">
        <v>51</v>
      </c>
      <c r="C24" s="143">
        <v>206</v>
      </c>
      <c r="D24" s="144">
        <f t="shared" ref="D24:D32" si="1">C24-B24</f>
        <v>155</v>
      </c>
      <c r="E24" s="146" t="s">
        <v>199</v>
      </c>
      <c r="H24" s="143"/>
    </row>
    <row r="25" spans="1:8" x14ac:dyDescent="0.15">
      <c r="A25" s="141" t="s">
        <v>343</v>
      </c>
      <c r="B25" s="143">
        <v>202.64</v>
      </c>
      <c r="C25" s="143">
        <v>207.75</v>
      </c>
      <c r="D25" s="144">
        <f t="shared" si="1"/>
        <v>5.1100000000000136</v>
      </c>
      <c r="E25" s="143">
        <v>148.34</v>
      </c>
      <c r="G25" s="144"/>
      <c r="H25" s="143"/>
    </row>
    <row r="26" spans="1:8" x14ac:dyDescent="0.15">
      <c r="A26" s="141" t="s">
        <v>344</v>
      </c>
      <c r="B26" s="143">
        <v>241.9</v>
      </c>
      <c r="C26" s="143">
        <v>261.25</v>
      </c>
      <c r="D26" s="144">
        <f t="shared" si="1"/>
        <v>19.349999999999994</v>
      </c>
      <c r="E26" s="143">
        <v>147.26</v>
      </c>
      <c r="F26" s="145">
        <f>ROUND(D26/$E$26,3)</f>
        <v>0.13100000000000001</v>
      </c>
      <c r="G26" s="144">
        <f>F26*$E$26</f>
        <v>19.291059999999998</v>
      </c>
      <c r="H26" s="143"/>
    </row>
    <row r="27" spans="1:8" x14ac:dyDescent="0.15">
      <c r="A27" s="141" t="s">
        <v>345</v>
      </c>
      <c r="B27" s="143">
        <v>332.01</v>
      </c>
      <c r="C27" s="143">
        <v>355.66</v>
      </c>
      <c r="D27" s="144">
        <f t="shared" si="1"/>
        <v>23.650000000000034</v>
      </c>
      <c r="E27" s="143">
        <v>23.64</v>
      </c>
      <c r="F27" s="141">
        <f>ROUND(D27/$E$27,3)</f>
        <v>1</v>
      </c>
      <c r="G27" s="144">
        <f>F27*$E$27</f>
        <v>23.64</v>
      </c>
    </row>
    <row r="28" spans="1:8" x14ac:dyDescent="0.15">
      <c r="A28" s="141" t="s">
        <v>346</v>
      </c>
      <c r="B28" s="143">
        <v>347.29</v>
      </c>
      <c r="C28" s="143">
        <v>370.86</v>
      </c>
      <c r="D28" s="144">
        <f t="shared" si="1"/>
        <v>23.569999999999993</v>
      </c>
      <c r="E28" s="143">
        <v>17.34</v>
      </c>
      <c r="F28" s="141">
        <f>ROUND(D28/$E$28,3)</f>
        <v>1.359</v>
      </c>
      <c r="G28" s="144">
        <f>F28*$E$27</f>
        <v>32.126759999999997</v>
      </c>
    </row>
    <row r="29" spans="1:8" x14ac:dyDescent="0.15">
      <c r="A29" s="141" t="s">
        <v>347</v>
      </c>
      <c r="B29" s="143">
        <v>441.45</v>
      </c>
      <c r="C29" s="143">
        <v>469.93</v>
      </c>
      <c r="D29" s="144">
        <f t="shared" si="1"/>
        <v>28.480000000000018</v>
      </c>
      <c r="E29" s="143">
        <v>5.13</v>
      </c>
      <c r="F29" s="141">
        <f>ROUND(D29/$E$29,3)</f>
        <v>5.5519999999999996</v>
      </c>
      <c r="G29" s="144">
        <f>F29*$E$27</f>
        <v>131.24928</v>
      </c>
    </row>
    <row r="30" spans="1:8" x14ac:dyDescent="0.15">
      <c r="A30" s="141" t="s">
        <v>348</v>
      </c>
      <c r="B30" s="143">
        <v>513.72</v>
      </c>
      <c r="C30" s="143">
        <v>517.62</v>
      </c>
      <c r="D30" s="144">
        <f t="shared" si="1"/>
        <v>3.8999999999999773</v>
      </c>
      <c r="E30" s="143">
        <v>7.38</v>
      </c>
      <c r="F30" s="141">
        <f>ROUND(D30/$E$30,3)</f>
        <v>0.52800000000000002</v>
      </c>
      <c r="G30" s="144">
        <f>F30*$E$27</f>
        <v>12.481920000000001</v>
      </c>
    </row>
    <row r="31" spans="1:8" x14ac:dyDescent="0.15">
      <c r="A31" s="141" t="s">
        <v>349</v>
      </c>
      <c r="B31" s="143">
        <v>565.30999999999995</v>
      </c>
      <c r="C31" s="143">
        <v>565.30999999999995</v>
      </c>
      <c r="D31" s="144">
        <f t="shared" si="1"/>
        <v>0</v>
      </c>
      <c r="F31" s="141">
        <f>ROUND(D31/$E$30,3)</f>
        <v>0</v>
      </c>
    </row>
    <row r="32" spans="1:8" x14ac:dyDescent="0.15">
      <c r="A32" s="141" t="s">
        <v>350</v>
      </c>
      <c r="B32" s="143">
        <v>612.98</v>
      </c>
      <c r="C32" s="143">
        <v>612.98</v>
      </c>
      <c r="D32" s="144">
        <f t="shared" si="1"/>
        <v>0</v>
      </c>
      <c r="F32" s="141">
        <f>ROUND(D32/$E$30,3)</f>
        <v>0</v>
      </c>
    </row>
    <row r="33" spans="1:6" x14ac:dyDescent="0.15">
      <c r="A33" s="141" t="s">
        <v>401</v>
      </c>
      <c r="B33" s="143">
        <v>660.67</v>
      </c>
      <c r="C33" s="143">
        <v>660.67</v>
      </c>
      <c r="D33" s="144">
        <f>C33-B33</f>
        <v>0</v>
      </c>
      <c r="F33" s="141">
        <f>ROUND(D33/$E$30,3)</f>
        <v>0</v>
      </c>
    </row>
    <row r="34" spans="1:6" x14ac:dyDescent="0.15">
      <c r="A34" s="141" t="s">
        <v>402</v>
      </c>
      <c r="B34" s="143">
        <v>708.36</v>
      </c>
      <c r="C34" s="143">
        <v>708.36</v>
      </c>
      <c r="D34" s="144">
        <f>C34-B34</f>
        <v>0</v>
      </c>
      <c r="F34" s="141">
        <f>ROUND(D34/$E$30,3)</f>
        <v>0</v>
      </c>
    </row>
  </sheetData>
  <phoneticPr fontId="9" type="noConversion"/>
  <printOptions gridLines="1"/>
  <pageMargins left="0.75" right="0.75" top="1" bottom="1" header="0.5" footer="0.5"/>
  <pageSetup orientation="landscape" r:id="rId1"/>
  <headerFooter alignWithMargins="0">
    <oddHeader>&amp;C&amp;F&amp;R&amp;D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Q117"/>
  <sheetViews>
    <sheetView zoomScaleNormal="100" workbookViewId="0">
      <pane xSplit="2" ySplit="5" topLeftCell="C105" activePane="bottomRight" state="frozen"/>
      <selection pane="topRight" activeCell="C1" sqref="C1"/>
      <selection pane="bottomLeft" activeCell="A6" sqref="A6"/>
      <selection pane="bottomRight" activeCell="D126" sqref="D126"/>
    </sheetView>
  </sheetViews>
  <sheetFormatPr defaultRowHeight="12" x14ac:dyDescent="0.15"/>
  <cols>
    <col min="1" max="1" width="2.375" style="47" customWidth="1"/>
    <col min="2" max="2" width="17.125" style="47" bestFit="1" customWidth="1"/>
    <col min="3" max="3" width="16" style="47" bestFit="1" customWidth="1"/>
    <col min="4" max="4" width="14" style="47" bestFit="1" customWidth="1"/>
    <col min="5" max="5" width="11.875" style="47" customWidth="1"/>
    <col min="6" max="6" width="16" style="47" bestFit="1" customWidth="1"/>
    <col min="7" max="7" width="7" style="47" bestFit="1" customWidth="1"/>
    <col min="8" max="8" width="14" style="47" bestFit="1" customWidth="1"/>
    <col min="9" max="9" width="13" style="47" bestFit="1" customWidth="1"/>
    <col min="10" max="10" width="11.875" style="47" customWidth="1"/>
    <col min="11" max="11" width="14" style="47" customWidth="1"/>
    <col min="12" max="12" width="7" style="47" bestFit="1" customWidth="1"/>
    <col min="13" max="14" width="14" style="47" bestFit="1" customWidth="1"/>
    <col min="15" max="15" width="11.875" style="47" customWidth="1"/>
    <col min="16" max="16" width="14" style="47" customWidth="1"/>
    <col min="17" max="17" width="7" style="47" bestFit="1" customWidth="1"/>
    <col min="18" max="16384" width="9" style="47"/>
  </cols>
  <sheetData>
    <row r="1" spans="1:17" x14ac:dyDescent="0.15">
      <c r="A1" s="62" t="s">
        <v>233</v>
      </c>
      <c r="I1" s="63"/>
    </row>
    <row r="2" spans="1:17" x14ac:dyDescent="0.15">
      <c r="A2" s="64" t="s">
        <v>313</v>
      </c>
    </row>
    <row r="3" spans="1:17" x14ac:dyDescent="0.15">
      <c r="A3" s="65"/>
      <c r="B3" s="66"/>
      <c r="C3" s="66"/>
      <c r="D3" s="66"/>
      <c r="E3" s="66"/>
      <c r="F3" s="66"/>
      <c r="G3" s="66"/>
      <c r="H3" s="65"/>
      <c r="I3" s="65"/>
      <c r="J3" s="65"/>
      <c r="K3" s="65"/>
      <c r="L3" s="65"/>
      <c r="M3" s="65"/>
      <c r="N3" s="65"/>
      <c r="O3" s="65"/>
      <c r="P3" s="65"/>
      <c r="Q3" s="65"/>
    </row>
    <row r="4" spans="1:17" x14ac:dyDescent="0.15">
      <c r="A4" s="67"/>
      <c r="B4" s="68"/>
      <c r="C4" s="280" t="s">
        <v>209</v>
      </c>
      <c r="D4" s="280"/>
      <c r="E4" s="280"/>
      <c r="F4" s="280"/>
      <c r="G4" s="281"/>
      <c r="H4" s="280" t="s">
        <v>210</v>
      </c>
      <c r="I4" s="280"/>
      <c r="J4" s="280"/>
      <c r="K4" s="280"/>
      <c r="L4" s="281"/>
      <c r="M4" s="282" t="s">
        <v>211</v>
      </c>
      <c r="N4" s="280"/>
      <c r="O4" s="280"/>
      <c r="P4" s="280"/>
      <c r="Q4" s="281"/>
    </row>
    <row r="5" spans="1:17" ht="12.75" thickBot="1" x14ac:dyDescent="0.2">
      <c r="A5" s="69"/>
      <c r="B5" s="70"/>
      <c r="C5" s="71" t="s">
        <v>212</v>
      </c>
      <c r="D5" s="71" t="s">
        <v>213</v>
      </c>
      <c r="E5" s="71" t="s">
        <v>214</v>
      </c>
      <c r="F5" s="71" t="s">
        <v>8</v>
      </c>
      <c r="G5" s="72" t="s">
        <v>215</v>
      </c>
      <c r="H5" s="71" t="s">
        <v>212</v>
      </c>
      <c r="I5" s="71" t="s">
        <v>213</v>
      </c>
      <c r="J5" s="71" t="s">
        <v>214</v>
      </c>
      <c r="K5" s="71" t="s">
        <v>8</v>
      </c>
      <c r="L5" s="72" t="s">
        <v>215</v>
      </c>
      <c r="M5" s="73" t="s">
        <v>212</v>
      </c>
      <c r="N5" s="71" t="s">
        <v>213</v>
      </c>
      <c r="O5" s="71" t="s">
        <v>214</v>
      </c>
      <c r="P5" s="71" t="s">
        <v>8</v>
      </c>
      <c r="Q5" s="72" t="s">
        <v>215</v>
      </c>
    </row>
    <row r="6" spans="1:17" x14ac:dyDescent="0.15">
      <c r="A6" s="74" t="s">
        <v>216</v>
      </c>
      <c r="B6" s="75"/>
      <c r="C6" s="67"/>
      <c r="D6" s="67"/>
      <c r="E6" s="67"/>
      <c r="F6" s="67"/>
      <c r="G6" s="76"/>
      <c r="H6" s="67"/>
      <c r="I6" s="67"/>
      <c r="J6" s="67"/>
      <c r="K6" s="67"/>
      <c r="L6" s="76"/>
      <c r="M6" s="77"/>
      <c r="N6" s="67"/>
      <c r="O6" s="67"/>
      <c r="P6" s="67"/>
      <c r="Q6" s="76"/>
    </row>
    <row r="7" spans="1:17" x14ac:dyDescent="0.15">
      <c r="A7" s="74" t="s">
        <v>217</v>
      </c>
      <c r="B7" s="78"/>
      <c r="C7" s="67"/>
      <c r="D7" s="67"/>
      <c r="E7" s="67"/>
      <c r="F7" s="67"/>
      <c r="G7" s="76"/>
      <c r="H7" s="67"/>
      <c r="I7" s="67"/>
      <c r="J7" s="67"/>
      <c r="K7" s="67"/>
      <c r="L7" s="76"/>
      <c r="M7" s="77"/>
      <c r="N7" s="67"/>
      <c r="O7" s="67"/>
      <c r="P7" s="67"/>
      <c r="Q7" s="76"/>
    </row>
    <row r="8" spans="1:17" hidden="1" x14ac:dyDescent="0.15">
      <c r="A8" s="74"/>
      <c r="B8" s="78" t="s">
        <v>135</v>
      </c>
      <c r="C8" s="79"/>
      <c r="D8" s="79"/>
      <c r="E8" s="79"/>
      <c r="F8" s="79">
        <f t="shared" ref="F8:F16" si="0">C8-D8-E8</f>
        <v>0</v>
      </c>
      <c r="G8" s="80"/>
      <c r="H8" s="79"/>
      <c r="I8" s="79"/>
      <c r="J8" s="79"/>
      <c r="K8" s="79">
        <f t="shared" ref="K8:K16" si="1">H8-I8-J8</f>
        <v>0</v>
      </c>
      <c r="L8" s="80"/>
      <c r="M8" s="81"/>
      <c r="N8" s="79"/>
      <c r="O8" s="79"/>
      <c r="P8" s="79">
        <f t="shared" ref="P8:P16" si="2">M8-N8-O8</f>
        <v>0</v>
      </c>
      <c r="Q8" s="80"/>
    </row>
    <row r="9" spans="1:17" hidden="1" x14ac:dyDescent="0.15">
      <c r="A9" s="74"/>
      <c r="B9" s="78" t="s">
        <v>136</v>
      </c>
      <c r="C9" s="79"/>
      <c r="D9" s="79"/>
      <c r="E9" s="79"/>
      <c r="F9" s="79">
        <f t="shared" si="0"/>
        <v>0</v>
      </c>
      <c r="G9" s="80"/>
      <c r="H9" s="79"/>
      <c r="I9" s="79"/>
      <c r="J9" s="79"/>
      <c r="K9" s="79">
        <f t="shared" si="1"/>
        <v>0</v>
      </c>
      <c r="L9" s="80"/>
      <c r="M9" s="81"/>
      <c r="N9" s="79"/>
      <c r="O9" s="79"/>
      <c r="P9" s="79">
        <f t="shared" si="2"/>
        <v>0</v>
      </c>
      <c r="Q9" s="80"/>
    </row>
    <row r="10" spans="1:17" x14ac:dyDescent="0.15">
      <c r="A10" s="74"/>
      <c r="B10" s="78" t="s">
        <v>137</v>
      </c>
      <c r="C10" s="79">
        <v>846201780</v>
      </c>
      <c r="D10" s="79">
        <v>202105465</v>
      </c>
      <c r="E10" s="79">
        <v>8602824</v>
      </c>
      <c r="F10" s="79">
        <f t="shared" si="0"/>
        <v>635493491</v>
      </c>
      <c r="G10" s="80">
        <f t="shared" ref="G10:G16" si="3">ROUND(D10/C10,3)</f>
        <v>0.23899999999999999</v>
      </c>
      <c r="H10" s="79">
        <v>463648594</v>
      </c>
      <c r="I10" s="79">
        <v>63246706</v>
      </c>
      <c r="J10" s="79">
        <v>796859</v>
      </c>
      <c r="K10" s="79">
        <f t="shared" si="1"/>
        <v>399605029</v>
      </c>
      <c r="L10" s="80">
        <f t="shared" ref="L10:L16" si="4">ROUND(I10/H10,3)</f>
        <v>0.13600000000000001</v>
      </c>
      <c r="M10" s="81">
        <v>382553186</v>
      </c>
      <c r="N10" s="79">
        <v>138858759</v>
      </c>
      <c r="O10" s="79">
        <v>7805965</v>
      </c>
      <c r="P10" s="79">
        <f t="shared" si="2"/>
        <v>235888462</v>
      </c>
      <c r="Q10" s="80">
        <f t="shared" ref="Q10:Q16" si="5">ROUND(N10/M10,3)</f>
        <v>0.36299999999999999</v>
      </c>
    </row>
    <row r="11" spans="1:17" x14ac:dyDescent="0.15">
      <c r="A11" s="82"/>
      <c r="B11" s="78" t="s">
        <v>138</v>
      </c>
      <c r="C11" s="79">
        <v>859411445</v>
      </c>
      <c r="D11" s="79">
        <v>180876519</v>
      </c>
      <c r="E11" s="79">
        <v>8614249</v>
      </c>
      <c r="F11" s="79">
        <f t="shared" si="0"/>
        <v>669920677</v>
      </c>
      <c r="G11" s="80">
        <f t="shared" si="3"/>
        <v>0.21</v>
      </c>
      <c r="H11" s="79">
        <v>469739266</v>
      </c>
      <c r="I11" s="79">
        <v>51558195</v>
      </c>
      <c r="J11" s="79">
        <v>846845</v>
      </c>
      <c r="K11" s="79">
        <f t="shared" si="1"/>
        <v>417334226</v>
      </c>
      <c r="L11" s="80">
        <f t="shared" si="4"/>
        <v>0.11</v>
      </c>
      <c r="M11" s="81">
        <v>389672179</v>
      </c>
      <c r="N11" s="79">
        <v>129318324</v>
      </c>
      <c r="O11" s="79">
        <v>7767404</v>
      </c>
      <c r="P11" s="79">
        <f t="shared" si="2"/>
        <v>252586451</v>
      </c>
      <c r="Q11" s="80">
        <f t="shared" si="5"/>
        <v>0.33200000000000002</v>
      </c>
    </row>
    <row r="12" spans="1:17" x14ac:dyDescent="0.15">
      <c r="A12" s="82"/>
      <c r="B12" s="78" t="s">
        <v>139</v>
      </c>
      <c r="C12" s="79">
        <f t="shared" ref="C12:E16" si="6">H12+M12</f>
        <v>1321938520</v>
      </c>
      <c r="D12" s="79">
        <f t="shared" si="6"/>
        <v>183715193</v>
      </c>
      <c r="E12" s="79">
        <f t="shared" si="6"/>
        <v>7968737</v>
      </c>
      <c r="F12" s="79">
        <f t="shared" si="0"/>
        <v>1130254590</v>
      </c>
      <c r="G12" s="80">
        <f t="shared" si="3"/>
        <v>0.13900000000000001</v>
      </c>
      <c r="H12" s="79">
        <v>715448777</v>
      </c>
      <c r="I12" s="79">
        <v>40871146</v>
      </c>
      <c r="J12" s="79">
        <v>810409</v>
      </c>
      <c r="K12" s="79">
        <f t="shared" si="1"/>
        <v>673767222</v>
      </c>
      <c r="L12" s="80">
        <f t="shared" si="4"/>
        <v>5.7000000000000002E-2</v>
      </c>
      <c r="M12" s="81">
        <v>606489743</v>
      </c>
      <c r="N12" s="79">
        <v>142844047</v>
      </c>
      <c r="O12" s="79">
        <v>7158328</v>
      </c>
      <c r="P12" s="79">
        <f t="shared" si="2"/>
        <v>456487368</v>
      </c>
      <c r="Q12" s="80">
        <f t="shared" si="5"/>
        <v>0.23599999999999999</v>
      </c>
    </row>
    <row r="13" spans="1:17" x14ac:dyDescent="0.15">
      <c r="A13" s="82"/>
      <c r="B13" s="78" t="s">
        <v>164</v>
      </c>
      <c r="C13" s="79">
        <f t="shared" si="6"/>
        <v>1367515373</v>
      </c>
      <c r="D13" s="79">
        <f t="shared" si="6"/>
        <v>158009092</v>
      </c>
      <c r="E13" s="79">
        <f t="shared" si="6"/>
        <v>8626276</v>
      </c>
      <c r="F13" s="79">
        <f t="shared" si="0"/>
        <v>1200880005</v>
      </c>
      <c r="G13" s="80">
        <f t="shared" si="3"/>
        <v>0.11600000000000001</v>
      </c>
      <c r="H13" s="79">
        <v>745827490</v>
      </c>
      <c r="I13" s="79">
        <v>33470489</v>
      </c>
      <c r="J13" s="79">
        <v>846839</v>
      </c>
      <c r="K13" s="79">
        <f t="shared" si="1"/>
        <v>711510162</v>
      </c>
      <c r="L13" s="80">
        <f t="shared" si="4"/>
        <v>4.4999999999999998E-2</v>
      </c>
      <c r="M13" s="81">
        <v>621687883</v>
      </c>
      <c r="N13" s="79">
        <v>124538603</v>
      </c>
      <c r="O13" s="79">
        <v>7779437</v>
      </c>
      <c r="P13" s="79">
        <f t="shared" si="2"/>
        <v>489369843</v>
      </c>
      <c r="Q13" s="80">
        <f t="shared" si="5"/>
        <v>0.2</v>
      </c>
    </row>
    <row r="14" spans="1:17" x14ac:dyDescent="0.15">
      <c r="A14" s="82"/>
      <c r="B14" s="78" t="s">
        <v>165</v>
      </c>
      <c r="C14" s="79">
        <f t="shared" si="6"/>
        <v>1390899309.9999995</v>
      </c>
      <c r="D14" s="79">
        <f t="shared" si="6"/>
        <v>114382645.68000008</v>
      </c>
      <c r="E14" s="79">
        <f t="shared" si="6"/>
        <v>8618666.3699999936</v>
      </c>
      <c r="F14" s="79">
        <f t="shared" si="0"/>
        <v>1267897997.9499996</v>
      </c>
      <c r="G14" s="80">
        <f t="shared" si="3"/>
        <v>8.2000000000000003E-2</v>
      </c>
      <c r="H14" s="79">
        <v>758829706</v>
      </c>
      <c r="I14" s="79">
        <v>15421465.650000004</v>
      </c>
      <c r="J14" s="79">
        <v>846839.2</v>
      </c>
      <c r="K14" s="79">
        <f t="shared" si="1"/>
        <v>742561401.14999998</v>
      </c>
      <c r="L14" s="80">
        <f t="shared" si="4"/>
        <v>0.02</v>
      </c>
      <c r="M14" s="81">
        <v>632069603.99999952</v>
      </c>
      <c r="N14" s="79">
        <v>98961180.030000076</v>
      </c>
      <c r="O14" s="79">
        <v>7771827.1699999943</v>
      </c>
      <c r="P14" s="79">
        <f t="shared" si="2"/>
        <v>525336596.79999942</v>
      </c>
      <c r="Q14" s="80">
        <f t="shared" si="5"/>
        <v>0.157</v>
      </c>
    </row>
    <row r="15" spans="1:17" x14ac:dyDescent="0.15">
      <c r="A15" s="82"/>
      <c r="B15" s="78" t="s">
        <v>249</v>
      </c>
      <c r="C15" s="79">
        <f t="shared" si="6"/>
        <v>1436099663</v>
      </c>
      <c r="D15" s="79">
        <f t="shared" si="6"/>
        <v>86139259</v>
      </c>
      <c r="E15" s="79">
        <f t="shared" si="6"/>
        <v>8618666.3699999936</v>
      </c>
      <c r="F15" s="79">
        <f t="shared" si="0"/>
        <v>1341341737.6300001</v>
      </c>
      <c r="G15" s="80">
        <f t="shared" si="3"/>
        <v>0.06</v>
      </c>
      <c r="H15" s="79">
        <v>784596529</v>
      </c>
      <c r="I15" s="79">
        <v>7265045</v>
      </c>
      <c r="J15" s="79">
        <v>846839.2</v>
      </c>
      <c r="K15" s="79">
        <f t="shared" si="1"/>
        <v>776484644.79999995</v>
      </c>
      <c r="L15" s="80">
        <f t="shared" si="4"/>
        <v>8.9999999999999993E-3</v>
      </c>
      <c r="M15" s="81">
        <v>651503134</v>
      </c>
      <c r="N15" s="79">
        <v>78874214</v>
      </c>
      <c r="O15" s="79">
        <v>7771827.1699999943</v>
      </c>
      <c r="P15" s="79">
        <f t="shared" si="2"/>
        <v>564857092.83000004</v>
      </c>
      <c r="Q15" s="80">
        <f t="shared" si="5"/>
        <v>0.121</v>
      </c>
    </row>
    <row r="16" spans="1:17" x14ac:dyDescent="0.15">
      <c r="A16" s="82"/>
      <c r="B16" s="78" t="s">
        <v>250</v>
      </c>
      <c r="C16" s="79">
        <f>H16+M16</f>
        <v>1454456806</v>
      </c>
      <c r="D16" s="79">
        <f t="shared" si="6"/>
        <v>72973326</v>
      </c>
      <c r="E16" s="79">
        <f t="shared" si="6"/>
        <v>8618666.3699999936</v>
      </c>
      <c r="F16" s="79">
        <f t="shared" si="0"/>
        <v>1372864813.6300001</v>
      </c>
      <c r="G16" s="80">
        <f t="shared" si="3"/>
        <v>0.05</v>
      </c>
      <c r="H16" s="79">
        <v>795766714</v>
      </c>
      <c r="I16" s="79">
        <v>5283671</v>
      </c>
      <c r="J16" s="79">
        <v>846839.2</v>
      </c>
      <c r="K16" s="79">
        <f t="shared" si="1"/>
        <v>789636203.79999995</v>
      </c>
      <c r="L16" s="80">
        <f t="shared" si="4"/>
        <v>7.0000000000000001E-3</v>
      </c>
      <c r="M16" s="81">
        <v>658690092</v>
      </c>
      <c r="N16" s="79">
        <v>67689655</v>
      </c>
      <c r="O16" s="79">
        <v>7771827.1699999943</v>
      </c>
      <c r="P16" s="79">
        <f t="shared" si="2"/>
        <v>583228609.83000004</v>
      </c>
      <c r="Q16" s="80">
        <f t="shared" si="5"/>
        <v>0.10299999999999999</v>
      </c>
    </row>
    <row r="17" spans="1:17" x14ac:dyDescent="0.15">
      <c r="A17" s="82"/>
      <c r="B17" s="78" t="s">
        <v>300</v>
      </c>
      <c r="C17" s="79">
        <f>H17+M17</f>
        <v>1484767260</v>
      </c>
      <c r="D17" s="79">
        <f>I17+N17</f>
        <v>66814173</v>
      </c>
      <c r="E17" s="79">
        <f>J17+O17</f>
        <v>8618666.3699999936</v>
      </c>
      <c r="F17" s="79">
        <f>C17-D17-E17</f>
        <v>1409334420.6300001</v>
      </c>
      <c r="G17" s="80">
        <f>ROUND(D17/C17,3)</f>
        <v>4.4999999999999998E-2</v>
      </c>
      <c r="H17" s="79">
        <v>812490705</v>
      </c>
      <c r="I17" s="79">
        <v>3382554</v>
      </c>
      <c r="J17" s="79">
        <v>846839.2</v>
      </c>
      <c r="K17" s="79">
        <f>H17-I17-J17</f>
        <v>808261311.79999995</v>
      </c>
      <c r="L17" s="80">
        <f>ROUND(I17/H17,3)</f>
        <v>4.0000000000000001E-3</v>
      </c>
      <c r="M17" s="81">
        <v>672276555</v>
      </c>
      <c r="N17" s="79">
        <v>63431619</v>
      </c>
      <c r="O17" s="79">
        <v>7771827.1699999943</v>
      </c>
      <c r="P17" s="79">
        <f>M17-N17-O17</f>
        <v>601073108.83000004</v>
      </c>
      <c r="Q17" s="80">
        <f>ROUND(N17/M17,3)</f>
        <v>9.4E-2</v>
      </c>
    </row>
    <row r="18" spans="1:17" x14ac:dyDescent="0.15">
      <c r="A18" s="82"/>
      <c r="B18" s="78" t="s">
        <v>301</v>
      </c>
      <c r="C18" s="79">
        <f>H18+M18</f>
        <v>1520496332</v>
      </c>
      <c r="D18" s="79">
        <f>I18+N18</f>
        <v>59590794</v>
      </c>
      <c r="E18" s="79">
        <f>J18+O18</f>
        <v>8618666.3699999936</v>
      </c>
      <c r="F18" s="79">
        <f>C18-D18-E18</f>
        <v>1452286871.6300001</v>
      </c>
      <c r="G18" s="80">
        <f>ROUND(D18/C18,3)</f>
        <v>3.9E-2</v>
      </c>
      <c r="H18" s="79">
        <v>831546890</v>
      </c>
      <c r="I18" s="79">
        <v>2138623</v>
      </c>
      <c r="J18" s="79">
        <v>846839.2</v>
      </c>
      <c r="K18" s="79">
        <f>H18-I18-J18</f>
        <v>828561427.79999995</v>
      </c>
      <c r="L18" s="80">
        <f>ROUND(I18/H18,3)</f>
        <v>3.0000000000000001E-3</v>
      </c>
      <c r="M18" s="81">
        <v>688949442</v>
      </c>
      <c r="N18" s="79">
        <v>57452171</v>
      </c>
      <c r="O18" s="79">
        <v>7771827.1699999943</v>
      </c>
      <c r="P18" s="79">
        <f>M18-N18-O18</f>
        <v>623725443.83000004</v>
      </c>
      <c r="Q18" s="80">
        <f>ROUND(N18/M18,3)</f>
        <v>8.3000000000000004E-2</v>
      </c>
    </row>
    <row r="19" spans="1:17" x14ac:dyDescent="0.15">
      <c r="A19" s="74" t="s">
        <v>218</v>
      </c>
      <c r="B19" s="78"/>
      <c r="C19" s="67"/>
      <c r="D19" s="67"/>
      <c r="E19" s="67"/>
      <c r="F19" s="67"/>
      <c r="G19" s="76"/>
      <c r="H19" s="67"/>
      <c r="I19" s="67"/>
      <c r="J19" s="67"/>
      <c r="K19" s="67"/>
      <c r="L19" s="76"/>
      <c r="M19" s="77"/>
      <c r="N19" s="67"/>
      <c r="O19" s="67"/>
      <c r="P19" s="67"/>
      <c r="Q19" s="76"/>
    </row>
    <row r="20" spans="1:17" hidden="1" x14ac:dyDescent="0.15">
      <c r="A20" s="74"/>
      <c r="B20" s="78" t="s">
        <v>135</v>
      </c>
      <c r="C20" s="83"/>
      <c r="D20" s="83"/>
      <c r="E20" s="83"/>
      <c r="F20" s="79">
        <f t="shared" ref="F20:F28" si="7">C20-D20-E20</f>
        <v>0</v>
      </c>
      <c r="G20" s="80"/>
      <c r="H20" s="83"/>
      <c r="I20" s="83"/>
      <c r="J20" s="83"/>
      <c r="K20" s="79">
        <f t="shared" ref="K20:K28" si="8">H20-I20-J20</f>
        <v>0</v>
      </c>
      <c r="L20" s="80"/>
      <c r="M20" s="77"/>
      <c r="N20" s="67"/>
      <c r="O20" s="67"/>
      <c r="P20" s="79">
        <f t="shared" ref="P20:P28" si="9">M20-N20-O20</f>
        <v>0</v>
      </c>
      <c r="Q20" s="80"/>
    </row>
    <row r="21" spans="1:17" hidden="1" x14ac:dyDescent="0.15">
      <c r="A21" s="74"/>
      <c r="B21" s="78" t="s">
        <v>136</v>
      </c>
      <c r="C21" s="83"/>
      <c r="D21" s="83"/>
      <c r="E21" s="83"/>
      <c r="F21" s="79">
        <f t="shared" si="7"/>
        <v>0</v>
      </c>
      <c r="G21" s="80"/>
      <c r="H21" s="83"/>
      <c r="I21" s="83"/>
      <c r="J21" s="83"/>
      <c r="K21" s="79">
        <f t="shared" si="8"/>
        <v>0</v>
      </c>
      <c r="L21" s="80"/>
      <c r="M21" s="77"/>
      <c r="N21" s="67"/>
      <c r="O21" s="67"/>
      <c r="P21" s="79">
        <f t="shared" si="9"/>
        <v>0</v>
      </c>
      <c r="Q21" s="80"/>
    </row>
    <row r="22" spans="1:17" x14ac:dyDescent="0.15">
      <c r="A22" s="74"/>
      <c r="B22" s="78" t="s">
        <v>224</v>
      </c>
      <c r="C22" s="83">
        <v>425049704</v>
      </c>
      <c r="D22" s="83">
        <v>92532894</v>
      </c>
      <c r="E22" s="83">
        <v>8601213</v>
      </c>
      <c r="F22" s="79">
        <f t="shared" si="7"/>
        <v>323915597</v>
      </c>
      <c r="G22" s="80">
        <f t="shared" ref="G22:G28" si="10">ROUND(D22/C22,3)</f>
        <v>0.218</v>
      </c>
      <c r="H22" s="83">
        <v>323037108</v>
      </c>
      <c r="I22" s="83">
        <v>47948255</v>
      </c>
      <c r="J22" s="83">
        <v>796859</v>
      </c>
      <c r="K22" s="79">
        <f t="shared" si="8"/>
        <v>274291994</v>
      </c>
      <c r="L22" s="80">
        <f t="shared" ref="L22:L28" si="11">ROUND(I22/H22,3)</f>
        <v>0.14799999999999999</v>
      </c>
      <c r="M22" s="84">
        <v>102012596</v>
      </c>
      <c r="N22" s="83">
        <v>44584639</v>
      </c>
      <c r="O22" s="83">
        <v>7804354</v>
      </c>
      <c r="P22" s="79">
        <f t="shared" si="9"/>
        <v>49623603</v>
      </c>
      <c r="Q22" s="80">
        <f t="shared" ref="Q22:Q28" si="12">ROUND(N22/M22,3)</f>
        <v>0.437</v>
      </c>
    </row>
    <row r="23" spans="1:17" x14ac:dyDescent="0.15">
      <c r="A23" s="82"/>
      <c r="B23" s="78" t="s">
        <v>232</v>
      </c>
      <c r="C23" s="79">
        <v>505376418</v>
      </c>
      <c r="D23" s="79">
        <v>101491860</v>
      </c>
      <c r="E23" s="79">
        <v>8613573</v>
      </c>
      <c r="F23" s="79">
        <f t="shared" si="7"/>
        <v>395270985</v>
      </c>
      <c r="G23" s="80">
        <f t="shared" si="10"/>
        <v>0.20100000000000001</v>
      </c>
      <c r="H23" s="79">
        <v>358077485</v>
      </c>
      <c r="I23" s="79">
        <v>42311366</v>
      </c>
      <c r="J23" s="79">
        <v>846845</v>
      </c>
      <c r="K23" s="79">
        <f t="shared" si="8"/>
        <v>314919274</v>
      </c>
      <c r="L23" s="80">
        <f t="shared" si="11"/>
        <v>0.11799999999999999</v>
      </c>
      <c r="M23" s="81">
        <v>147298933</v>
      </c>
      <c r="N23" s="79">
        <v>59180494</v>
      </c>
      <c r="O23" s="79">
        <v>7766728</v>
      </c>
      <c r="P23" s="79">
        <f t="shared" si="9"/>
        <v>80351711</v>
      </c>
      <c r="Q23" s="80">
        <f t="shared" si="12"/>
        <v>0.40200000000000002</v>
      </c>
    </row>
    <row r="24" spans="1:17" x14ac:dyDescent="0.15">
      <c r="A24" s="82"/>
      <c r="B24" s="78" t="s">
        <v>252</v>
      </c>
      <c r="C24" s="79">
        <f t="shared" ref="C24:E28" si="13">H24+M24</f>
        <v>520308990</v>
      </c>
      <c r="D24" s="79">
        <f t="shared" si="13"/>
        <v>89209719</v>
      </c>
      <c r="E24" s="79">
        <f t="shared" si="13"/>
        <v>7968737</v>
      </c>
      <c r="F24" s="79">
        <f t="shared" si="7"/>
        <v>423130534</v>
      </c>
      <c r="G24" s="80">
        <f t="shared" si="10"/>
        <v>0.17100000000000001</v>
      </c>
      <c r="H24" s="79">
        <v>359469429</v>
      </c>
      <c r="I24" s="79">
        <v>30777213</v>
      </c>
      <c r="J24" s="79">
        <v>810409</v>
      </c>
      <c r="K24" s="79">
        <f t="shared" si="8"/>
        <v>327881807</v>
      </c>
      <c r="L24" s="80">
        <f t="shared" si="11"/>
        <v>8.5999999999999993E-2</v>
      </c>
      <c r="M24" s="81">
        <v>160839561</v>
      </c>
      <c r="N24" s="79">
        <v>58432506</v>
      </c>
      <c r="O24" s="79">
        <v>7158328</v>
      </c>
      <c r="P24" s="79">
        <f t="shared" si="9"/>
        <v>95248727</v>
      </c>
      <c r="Q24" s="80">
        <f t="shared" si="12"/>
        <v>0.36299999999999999</v>
      </c>
    </row>
    <row r="25" spans="1:17" x14ac:dyDescent="0.15">
      <c r="A25" s="82"/>
      <c r="B25" s="78" t="s">
        <v>255</v>
      </c>
      <c r="C25" s="79">
        <f t="shared" si="13"/>
        <v>694936324</v>
      </c>
      <c r="D25" s="79">
        <f t="shared" si="13"/>
        <v>53027695</v>
      </c>
      <c r="E25" s="79">
        <f t="shared" si="13"/>
        <v>8475033</v>
      </c>
      <c r="F25" s="79">
        <f t="shared" si="7"/>
        <v>633433596</v>
      </c>
      <c r="G25" s="80">
        <f t="shared" si="10"/>
        <v>7.5999999999999998E-2</v>
      </c>
      <c r="H25" s="133">
        <f>H108</f>
        <v>491983678</v>
      </c>
      <c r="I25" s="133">
        <f t="shared" ref="I25:O25" si="14">I108</f>
        <v>5951171</v>
      </c>
      <c r="J25" s="133">
        <f t="shared" si="14"/>
        <v>821213</v>
      </c>
      <c r="K25" s="79">
        <f t="shared" si="8"/>
        <v>485211294</v>
      </c>
      <c r="L25" s="80">
        <f t="shared" si="11"/>
        <v>1.2E-2</v>
      </c>
      <c r="M25" s="133">
        <f t="shared" si="14"/>
        <v>202952646</v>
      </c>
      <c r="N25" s="133">
        <f t="shared" si="14"/>
        <v>47076524</v>
      </c>
      <c r="O25" s="133">
        <f t="shared" si="14"/>
        <v>7653820</v>
      </c>
      <c r="P25" s="79">
        <f t="shared" si="9"/>
        <v>148222302</v>
      </c>
      <c r="Q25" s="80">
        <f t="shared" si="12"/>
        <v>0.23200000000000001</v>
      </c>
    </row>
    <row r="26" spans="1:17" x14ac:dyDescent="0.15">
      <c r="A26" s="82"/>
      <c r="B26" s="78" t="s">
        <v>271</v>
      </c>
      <c r="C26" s="79">
        <f t="shared" si="13"/>
        <v>541970182</v>
      </c>
      <c r="D26" s="79">
        <f t="shared" si="13"/>
        <v>58007550.039999977</v>
      </c>
      <c r="E26" s="79">
        <f t="shared" si="13"/>
        <v>8290717.3000000035</v>
      </c>
      <c r="F26" s="79">
        <f t="shared" si="7"/>
        <v>475671914.66000003</v>
      </c>
      <c r="G26" s="80">
        <f t="shared" si="10"/>
        <v>0.107</v>
      </c>
      <c r="H26" s="79">
        <v>359167383</v>
      </c>
      <c r="I26" s="79">
        <v>7908277.5700000003</v>
      </c>
      <c r="J26" s="79">
        <v>720845.15</v>
      </c>
      <c r="K26" s="79">
        <f t="shared" si="8"/>
        <v>350538260.28000003</v>
      </c>
      <c r="L26" s="80">
        <f t="shared" si="11"/>
        <v>2.1999999999999999E-2</v>
      </c>
      <c r="M26" s="81">
        <v>182802799.00000006</v>
      </c>
      <c r="N26" s="79">
        <v>50099272.469999976</v>
      </c>
      <c r="O26" s="79">
        <v>7569872.1500000032</v>
      </c>
      <c r="P26" s="79">
        <f t="shared" si="9"/>
        <v>125133654.38000008</v>
      </c>
      <c r="Q26" s="80">
        <f t="shared" si="12"/>
        <v>0.27400000000000002</v>
      </c>
    </row>
    <row r="27" spans="1:17" x14ac:dyDescent="0.15">
      <c r="A27" s="82"/>
      <c r="B27" s="78" t="s">
        <v>249</v>
      </c>
      <c r="C27" s="79">
        <f t="shared" si="13"/>
        <v>694936324</v>
      </c>
      <c r="D27" s="79">
        <f t="shared" si="13"/>
        <v>53027695</v>
      </c>
      <c r="E27" s="79">
        <f t="shared" si="13"/>
        <v>8475033</v>
      </c>
      <c r="F27" s="79">
        <f t="shared" si="7"/>
        <v>633433596</v>
      </c>
      <c r="G27" s="80">
        <f t="shared" si="10"/>
        <v>7.5999999999999998E-2</v>
      </c>
      <c r="H27" s="79">
        <v>491983678</v>
      </c>
      <c r="I27" s="79">
        <v>5951171</v>
      </c>
      <c r="J27" s="79">
        <v>821213</v>
      </c>
      <c r="K27" s="79">
        <f t="shared" si="8"/>
        <v>485211294</v>
      </c>
      <c r="L27" s="80">
        <f t="shared" si="11"/>
        <v>1.2E-2</v>
      </c>
      <c r="M27" s="81">
        <v>202952646</v>
      </c>
      <c r="N27" s="79">
        <v>47076524</v>
      </c>
      <c r="O27" s="79">
        <v>7653820</v>
      </c>
      <c r="P27" s="79">
        <f t="shared" si="9"/>
        <v>148222302</v>
      </c>
      <c r="Q27" s="80">
        <f t="shared" si="12"/>
        <v>0.23200000000000001</v>
      </c>
    </row>
    <row r="28" spans="1:17" x14ac:dyDescent="0.15">
      <c r="A28" s="82"/>
      <c r="B28" s="78" t="s">
        <v>250</v>
      </c>
      <c r="C28" s="79">
        <f t="shared" si="13"/>
        <v>695104408</v>
      </c>
      <c r="D28" s="79">
        <f t="shared" si="13"/>
        <v>45121881</v>
      </c>
      <c r="E28" s="79">
        <f t="shared" si="13"/>
        <v>8475033</v>
      </c>
      <c r="F28" s="79">
        <f t="shared" si="7"/>
        <v>641507494</v>
      </c>
      <c r="G28" s="80">
        <f t="shared" si="10"/>
        <v>6.5000000000000002E-2</v>
      </c>
      <c r="H28" s="79">
        <v>493410211</v>
      </c>
      <c r="I28" s="79">
        <v>4247729</v>
      </c>
      <c r="J28" s="79">
        <v>821213</v>
      </c>
      <c r="K28" s="79">
        <f t="shared" si="8"/>
        <v>488341269</v>
      </c>
      <c r="L28" s="80">
        <f t="shared" si="11"/>
        <v>8.9999999999999993E-3</v>
      </c>
      <c r="M28" s="81">
        <v>201694197</v>
      </c>
      <c r="N28" s="79">
        <v>40874152</v>
      </c>
      <c r="O28" s="79">
        <v>7653820</v>
      </c>
      <c r="P28" s="79">
        <f t="shared" si="9"/>
        <v>153166225</v>
      </c>
      <c r="Q28" s="80">
        <f t="shared" si="12"/>
        <v>0.20300000000000001</v>
      </c>
    </row>
    <row r="29" spans="1:17" x14ac:dyDescent="0.15">
      <c r="A29" s="82"/>
      <c r="B29" s="78" t="s">
        <v>300</v>
      </c>
      <c r="C29" s="79">
        <f t="shared" ref="C29:E30" si="15">H29+M29</f>
        <v>699639271</v>
      </c>
      <c r="D29" s="79">
        <f t="shared" si="15"/>
        <v>41036418</v>
      </c>
      <c r="E29" s="79">
        <f t="shared" si="15"/>
        <v>8475033</v>
      </c>
      <c r="F29" s="79">
        <f>C29-D29-E29</f>
        <v>650127820</v>
      </c>
      <c r="G29" s="80">
        <f>ROUND(D29/C29,3)</f>
        <v>5.8999999999999997E-2</v>
      </c>
      <c r="H29" s="79">
        <v>497879744</v>
      </c>
      <c r="I29" s="79">
        <v>2573606</v>
      </c>
      <c r="J29" s="79">
        <v>821213</v>
      </c>
      <c r="K29" s="79">
        <f>H29-I29-J29</f>
        <v>494484925</v>
      </c>
      <c r="L29" s="80">
        <f>ROUND(I29/H29,3)</f>
        <v>5.0000000000000001E-3</v>
      </c>
      <c r="M29" s="81">
        <v>201759527</v>
      </c>
      <c r="N29" s="79">
        <v>38462812</v>
      </c>
      <c r="O29" s="79">
        <v>7653820</v>
      </c>
      <c r="P29" s="79">
        <f>M29-N29-O29</f>
        <v>155642895</v>
      </c>
      <c r="Q29" s="80">
        <f>ROUND(N29/M29,3)</f>
        <v>0.191</v>
      </c>
    </row>
    <row r="30" spans="1:17" x14ac:dyDescent="0.15">
      <c r="A30" s="82"/>
      <c r="B30" s="78" t="s">
        <v>301</v>
      </c>
      <c r="C30" s="79">
        <f t="shared" si="15"/>
        <v>705757904</v>
      </c>
      <c r="D30" s="79">
        <f t="shared" si="15"/>
        <v>36955089</v>
      </c>
      <c r="E30" s="79">
        <f t="shared" si="15"/>
        <v>8475033</v>
      </c>
      <c r="F30" s="79">
        <f>C30-D30-E30</f>
        <v>660327782</v>
      </c>
      <c r="G30" s="80">
        <f>ROUND(D30/C30,3)</f>
        <v>5.1999999999999998E-2</v>
      </c>
      <c r="H30" s="79">
        <v>502995453</v>
      </c>
      <c r="I30" s="79">
        <v>1634366</v>
      </c>
      <c r="J30" s="79">
        <v>821213</v>
      </c>
      <c r="K30" s="79">
        <f>H30-I30-J30</f>
        <v>500539874</v>
      </c>
      <c r="L30" s="80">
        <f>ROUND(I30/H30,3)</f>
        <v>3.0000000000000001E-3</v>
      </c>
      <c r="M30" s="81">
        <v>202762451</v>
      </c>
      <c r="N30" s="79">
        <v>35320723</v>
      </c>
      <c r="O30" s="79">
        <v>7653820</v>
      </c>
      <c r="P30" s="79">
        <f>M30-N30-O30</f>
        <v>159787908</v>
      </c>
      <c r="Q30" s="80">
        <f>ROUND(N30/M30,3)</f>
        <v>0.17399999999999999</v>
      </c>
    </row>
    <row r="31" spans="1:17" x14ac:dyDescent="0.15">
      <c r="A31" s="74" t="s">
        <v>241</v>
      </c>
      <c r="B31" s="78"/>
      <c r="C31" s="67"/>
      <c r="D31" s="67"/>
      <c r="E31" s="67"/>
      <c r="F31" s="67"/>
      <c r="G31" s="76"/>
      <c r="H31" s="67"/>
      <c r="I31" s="67"/>
      <c r="J31" s="67"/>
      <c r="K31" s="67"/>
      <c r="L31" s="76"/>
      <c r="M31" s="77"/>
      <c r="N31" s="67"/>
      <c r="O31" s="67"/>
      <c r="P31" s="67"/>
      <c r="Q31" s="76"/>
    </row>
    <row r="32" spans="1:17" x14ac:dyDescent="0.15">
      <c r="A32" s="74" t="s">
        <v>219</v>
      </c>
      <c r="B32" s="78"/>
      <c r="C32" s="67"/>
      <c r="D32" s="67"/>
      <c r="E32" s="67"/>
      <c r="F32" s="67"/>
      <c r="G32" s="76"/>
      <c r="H32" s="67"/>
      <c r="I32" s="67"/>
      <c r="J32" s="67"/>
      <c r="K32" s="67"/>
      <c r="L32" s="76"/>
      <c r="M32" s="77"/>
      <c r="N32" s="67"/>
      <c r="O32" s="67"/>
      <c r="P32" s="67"/>
      <c r="Q32" s="76"/>
    </row>
    <row r="33" spans="1:17" hidden="1" x14ac:dyDescent="0.15">
      <c r="A33" s="74"/>
      <c r="B33" s="78" t="s">
        <v>135</v>
      </c>
      <c r="C33" s="67"/>
      <c r="D33" s="67"/>
      <c r="E33" s="67"/>
      <c r="F33" s="67"/>
      <c r="G33" s="76"/>
      <c r="H33" s="67"/>
      <c r="I33" s="67"/>
      <c r="J33" s="67"/>
      <c r="K33" s="67"/>
      <c r="L33" s="76"/>
      <c r="M33" s="67"/>
      <c r="N33" s="67"/>
      <c r="O33" s="67"/>
      <c r="P33" s="67"/>
      <c r="Q33" s="76"/>
    </row>
    <row r="34" spans="1:17" hidden="1" x14ac:dyDescent="0.15">
      <c r="A34" s="74"/>
      <c r="B34" s="78" t="s">
        <v>136</v>
      </c>
      <c r="C34" s="67"/>
      <c r="D34" s="67"/>
      <c r="E34" s="67"/>
      <c r="F34" s="67"/>
      <c r="G34" s="76"/>
      <c r="H34" s="67"/>
      <c r="I34" s="67"/>
      <c r="J34" s="67"/>
      <c r="K34" s="67"/>
      <c r="L34" s="76"/>
      <c r="M34" s="67"/>
      <c r="N34" s="67"/>
      <c r="O34" s="67"/>
      <c r="P34" s="67"/>
      <c r="Q34" s="76"/>
    </row>
    <row r="35" spans="1:17" x14ac:dyDescent="0.15">
      <c r="A35" s="74"/>
      <c r="B35" s="78" t="s">
        <v>224</v>
      </c>
      <c r="C35" s="83">
        <f t="shared" ref="C35:F36" si="16">C10-C22</f>
        <v>421152076</v>
      </c>
      <c r="D35" s="83">
        <f t="shared" si="16"/>
        <v>109572571</v>
      </c>
      <c r="E35" s="83">
        <f t="shared" si="16"/>
        <v>1611</v>
      </c>
      <c r="F35" s="83">
        <f t="shared" si="16"/>
        <v>311577894</v>
      </c>
      <c r="G35" s="80">
        <f t="shared" ref="G35:G41" si="17">ROUND(D35/C35,3)</f>
        <v>0.26</v>
      </c>
      <c r="H35" s="83">
        <f t="shared" ref="H35:K39" si="18">H10-H22</f>
        <v>140611486</v>
      </c>
      <c r="I35" s="83">
        <f t="shared" si="18"/>
        <v>15298451</v>
      </c>
      <c r="J35" s="83">
        <f t="shared" si="18"/>
        <v>0</v>
      </c>
      <c r="K35" s="83">
        <f t="shared" si="18"/>
        <v>125313035</v>
      </c>
      <c r="L35" s="80">
        <f t="shared" ref="L35:L41" si="19">ROUND(I35/H35,3)</f>
        <v>0.109</v>
      </c>
      <c r="M35" s="83">
        <f t="shared" ref="M35:P39" si="20">M10-M22</f>
        <v>280540590</v>
      </c>
      <c r="N35" s="83">
        <f t="shared" si="20"/>
        <v>94274120</v>
      </c>
      <c r="O35" s="83">
        <f t="shared" si="20"/>
        <v>1611</v>
      </c>
      <c r="P35" s="83">
        <f t="shared" si="20"/>
        <v>186264859</v>
      </c>
      <c r="Q35" s="80">
        <f t="shared" ref="Q35:Q41" si="21">ROUND(N35/M35,3)</f>
        <v>0.33600000000000002</v>
      </c>
    </row>
    <row r="36" spans="1:17" x14ac:dyDescent="0.15">
      <c r="A36" s="82"/>
      <c r="B36" s="78" t="s">
        <v>232</v>
      </c>
      <c r="C36" s="83">
        <f t="shared" si="16"/>
        <v>354035027</v>
      </c>
      <c r="D36" s="83">
        <f t="shared" si="16"/>
        <v>79384659</v>
      </c>
      <c r="E36" s="83">
        <f t="shared" si="16"/>
        <v>676</v>
      </c>
      <c r="F36" s="83">
        <f t="shared" si="16"/>
        <v>274649692</v>
      </c>
      <c r="G36" s="80">
        <f t="shared" si="17"/>
        <v>0.224</v>
      </c>
      <c r="H36" s="83">
        <f t="shared" si="18"/>
        <v>111661781</v>
      </c>
      <c r="I36" s="83">
        <f t="shared" si="18"/>
        <v>9246829</v>
      </c>
      <c r="J36" s="83">
        <f t="shared" si="18"/>
        <v>0</v>
      </c>
      <c r="K36" s="83">
        <f t="shared" si="18"/>
        <v>102414952</v>
      </c>
      <c r="L36" s="80">
        <f t="shared" si="19"/>
        <v>8.3000000000000004E-2</v>
      </c>
      <c r="M36" s="83">
        <f t="shared" si="20"/>
        <v>242373246</v>
      </c>
      <c r="N36" s="83">
        <f t="shared" si="20"/>
        <v>70137830</v>
      </c>
      <c r="O36" s="83">
        <f t="shared" si="20"/>
        <v>676</v>
      </c>
      <c r="P36" s="83">
        <f t="shared" si="20"/>
        <v>172234740</v>
      </c>
      <c r="Q36" s="80">
        <f t="shared" si="21"/>
        <v>0.28899999999999998</v>
      </c>
    </row>
    <row r="37" spans="1:17" x14ac:dyDescent="0.15">
      <c r="A37" s="82"/>
      <c r="B37" s="78" t="s">
        <v>252</v>
      </c>
      <c r="C37" s="79">
        <f t="shared" ref="C37:E41" si="22">H37+M37</f>
        <v>801629530</v>
      </c>
      <c r="D37" s="79">
        <f t="shared" si="22"/>
        <v>94505474</v>
      </c>
      <c r="E37" s="79">
        <f t="shared" si="22"/>
        <v>0</v>
      </c>
      <c r="F37" s="83">
        <f t="shared" ref="F37:F43" si="23">F12-F24</f>
        <v>707124056</v>
      </c>
      <c r="G37" s="80">
        <f t="shared" si="17"/>
        <v>0.11799999999999999</v>
      </c>
      <c r="H37" s="83">
        <f t="shared" si="18"/>
        <v>355979348</v>
      </c>
      <c r="I37" s="83">
        <f t="shared" si="18"/>
        <v>10093933</v>
      </c>
      <c r="J37" s="83">
        <f t="shared" si="18"/>
        <v>0</v>
      </c>
      <c r="K37" s="83">
        <f t="shared" si="18"/>
        <v>345885415</v>
      </c>
      <c r="L37" s="80">
        <f t="shared" si="19"/>
        <v>2.8000000000000001E-2</v>
      </c>
      <c r="M37" s="84">
        <f t="shared" si="20"/>
        <v>445650182</v>
      </c>
      <c r="N37" s="83">
        <f t="shared" si="20"/>
        <v>84411541</v>
      </c>
      <c r="O37" s="83">
        <f t="shared" si="20"/>
        <v>0</v>
      </c>
      <c r="P37" s="83">
        <f t="shared" si="20"/>
        <v>361238641</v>
      </c>
      <c r="Q37" s="80">
        <f t="shared" si="21"/>
        <v>0.189</v>
      </c>
    </row>
    <row r="38" spans="1:17" x14ac:dyDescent="0.15">
      <c r="A38" s="82"/>
      <c r="B38" s="78" t="s">
        <v>255</v>
      </c>
      <c r="C38" s="79">
        <f t="shared" si="22"/>
        <v>672579049</v>
      </c>
      <c r="D38" s="79">
        <f t="shared" si="22"/>
        <v>104981397</v>
      </c>
      <c r="E38" s="79">
        <f t="shared" si="22"/>
        <v>151243</v>
      </c>
      <c r="F38" s="83">
        <f t="shared" si="23"/>
        <v>567446409</v>
      </c>
      <c r="G38" s="80">
        <f t="shared" si="17"/>
        <v>0.156</v>
      </c>
      <c r="H38" s="83">
        <f t="shared" si="18"/>
        <v>253843812</v>
      </c>
      <c r="I38" s="83">
        <f t="shared" si="18"/>
        <v>27519318</v>
      </c>
      <c r="J38" s="83">
        <f t="shared" si="18"/>
        <v>25626</v>
      </c>
      <c r="K38" s="83">
        <f t="shared" si="18"/>
        <v>226298868</v>
      </c>
      <c r="L38" s="80">
        <f t="shared" si="19"/>
        <v>0.108</v>
      </c>
      <c r="M38" s="84">
        <f t="shared" si="20"/>
        <v>418735237</v>
      </c>
      <c r="N38" s="83">
        <f t="shared" si="20"/>
        <v>77462079</v>
      </c>
      <c r="O38" s="83">
        <f t="shared" si="20"/>
        <v>125617</v>
      </c>
      <c r="P38" s="83">
        <f t="shared" si="20"/>
        <v>341147541</v>
      </c>
      <c r="Q38" s="80">
        <f t="shared" si="21"/>
        <v>0.185</v>
      </c>
    </row>
    <row r="39" spans="1:17" x14ac:dyDescent="0.15">
      <c r="A39" s="82"/>
      <c r="B39" s="78" t="s">
        <v>165</v>
      </c>
      <c r="C39" s="79">
        <f t="shared" si="22"/>
        <v>848929127.99999952</v>
      </c>
      <c r="D39" s="79">
        <f t="shared" si="22"/>
        <v>56375095.640000105</v>
      </c>
      <c r="E39" s="79">
        <f t="shared" si="22"/>
        <v>327949.0699999911</v>
      </c>
      <c r="F39" s="83">
        <f t="shared" si="23"/>
        <v>792226083.28999949</v>
      </c>
      <c r="G39" s="80">
        <f t="shared" si="17"/>
        <v>6.6000000000000003E-2</v>
      </c>
      <c r="H39" s="83">
        <f t="shared" si="18"/>
        <v>399662323</v>
      </c>
      <c r="I39" s="83">
        <f t="shared" si="18"/>
        <v>7513188.0800000038</v>
      </c>
      <c r="J39" s="83">
        <f t="shared" si="18"/>
        <v>125994.04999999993</v>
      </c>
      <c r="K39" s="83">
        <f t="shared" si="18"/>
        <v>392023140.86999995</v>
      </c>
      <c r="L39" s="80">
        <f t="shared" si="19"/>
        <v>1.9E-2</v>
      </c>
      <c r="M39" s="84">
        <f t="shared" si="20"/>
        <v>449266804.99999946</v>
      </c>
      <c r="N39" s="83">
        <f t="shared" si="20"/>
        <v>48861907.560000099</v>
      </c>
      <c r="O39" s="83">
        <f t="shared" si="20"/>
        <v>201955.01999999117</v>
      </c>
      <c r="P39" s="83">
        <f t="shared" si="20"/>
        <v>400202942.41999936</v>
      </c>
      <c r="Q39" s="80">
        <f t="shared" si="21"/>
        <v>0.109</v>
      </c>
    </row>
    <row r="40" spans="1:17" x14ac:dyDescent="0.15">
      <c r="A40" s="82"/>
      <c r="B40" s="78" t="s">
        <v>249</v>
      </c>
      <c r="C40" s="79">
        <f t="shared" si="22"/>
        <v>566552339</v>
      </c>
      <c r="D40" s="79">
        <f t="shared" si="22"/>
        <v>21559564</v>
      </c>
      <c r="E40" s="79">
        <f t="shared" si="22"/>
        <v>143633.36999999429</v>
      </c>
      <c r="F40" s="83">
        <f t="shared" si="23"/>
        <v>707908141.63000011</v>
      </c>
      <c r="G40" s="80">
        <f t="shared" si="17"/>
        <v>3.7999999999999999E-2</v>
      </c>
      <c r="H40" s="83">
        <f t="shared" ref="H40:J41" si="24">H15-H27-H94</f>
        <v>169005851</v>
      </c>
      <c r="I40" s="83">
        <f t="shared" si="24"/>
        <v>-1159126</v>
      </c>
      <c r="J40" s="83">
        <f t="shared" si="24"/>
        <v>25626.199999999953</v>
      </c>
      <c r="K40" s="83">
        <f>K15-K27-K88</f>
        <v>170139350.79999995</v>
      </c>
      <c r="L40" s="80">
        <f t="shared" si="19"/>
        <v>-7.0000000000000001E-3</v>
      </c>
      <c r="M40" s="84">
        <f t="shared" ref="M40:O41" si="25">M15-M27-M94</f>
        <v>397546488</v>
      </c>
      <c r="N40" s="83">
        <f t="shared" si="25"/>
        <v>22718690</v>
      </c>
      <c r="O40" s="83">
        <f t="shared" si="25"/>
        <v>118007.16999999434</v>
      </c>
      <c r="P40" s="83">
        <f>P15-P27-P88</f>
        <v>374709790.83000004</v>
      </c>
      <c r="Q40" s="80">
        <f t="shared" si="21"/>
        <v>5.7000000000000002E-2</v>
      </c>
    </row>
    <row r="41" spans="1:17" x14ac:dyDescent="0.15">
      <c r="A41" s="82"/>
      <c r="B41" s="78" t="s">
        <v>250</v>
      </c>
      <c r="C41" s="79">
        <f t="shared" si="22"/>
        <v>526505398</v>
      </c>
      <c r="D41" s="79">
        <f t="shared" si="22"/>
        <v>20361445</v>
      </c>
      <c r="E41" s="79">
        <f t="shared" si="22"/>
        <v>143633.36999999429</v>
      </c>
      <c r="F41" s="83">
        <f t="shared" si="23"/>
        <v>731357319.63000011</v>
      </c>
      <c r="G41" s="80">
        <f t="shared" si="17"/>
        <v>3.9E-2</v>
      </c>
      <c r="H41" s="83">
        <f t="shared" si="24"/>
        <v>145401503</v>
      </c>
      <c r="I41" s="83">
        <f t="shared" si="24"/>
        <v>-534058</v>
      </c>
      <c r="J41" s="83">
        <f t="shared" si="24"/>
        <v>25626.199999999953</v>
      </c>
      <c r="K41" s="83">
        <f>K16-K28-K95</f>
        <v>145909934.79999995</v>
      </c>
      <c r="L41" s="80">
        <f t="shared" si="19"/>
        <v>-4.0000000000000001E-3</v>
      </c>
      <c r="M41" s="84">
        <f t="shared" si="25"/>
        <v>381103895</v>
      </c>
      <c r="N41" s="83">
        <f t="shared" si="25"/>
        <v>20895503</v>
      </c>
      <c r="O41" s="83">
        <f t="shared" si="25"/>
        <v>118007.16999999434</v>
      </c>
      <c r="P41" s="83">
        <f>P16-P28-P95</f>
        <v>360090384.83000004</v>
      </c>
      <c r="Q41" s="80">
        <f t="shared" si="21"/>
        <v>5.5E-2</v>
      </c>
    </row>
    <row r="42" spans="1:17" x14ac:dyDescent="0.15">
      <c r="A42" s="82"/>
      <c r="B42" s="78" t="s">
        <v>300</v>
      </c>
      <c r="C42" s="79">
        <f t="shared" ref="C42:E43" si="26">H42+M42</f>
        <v>473219989</v>
      </c>
      <c r="D42" s="79">
        <f t="shared" si="26"/>
        <v>15268755</v>
      </c>
      <c r="E42" s="79">
        <f t="shared" si="26"/>
        <v>143633.36999999429</v>
      </c>
      <c r="F42" s="83">
        <f t="shared" si="23"/>
        <v>759206600.63000011</v>
      </c>
      <c r="G42" s="80">
        <f>ROUND(D42/C42,3)</f>
        <v>3.2000000000000001E-2</v>
      </c>
      <c r="H42" s="83">
        <f t="shared" ref="H42:J43" si="27">H17-H29-H96</f>
        <v>132209961</v>
      </c>
      <c r="I42" s="83">
        <f t="shared" si="27"/>
        <v>2085948</v>
      </c>
      <c r="J42" s="83">
        <f t="shared" si="27"/>
        <v>25626.199999999953</v>
      </c>
      <c r="K42" s="83">
        <f>K17-K29-K96</f>
        <v>130098386.79999995</v>
      </c>
      <c r="L42" s="80">
        <f>ROUND(I42/H42,3)</f>
        <v>1.6E-2</v>
      </c>
      <c r="M42" s="84">
        <f t="shared" ref="M42:O43" si="28">M17-M29-M96</f>
        <v>341010028</v>
      </c>
      <c r="N42" s="83">
        <f t="shared" si="28"/>
        <v>13182807</v>
      </c>
      <c r="O42" s="83">
        <f t="shared" si="28"/>
        <v>118007.16999999434</v>
      </c>
      <c r="P42" s="83">
        <f>P17-P29-P96</f>
        <v>327709213.83000004</v>
      </c>
      <c r="Q42" s="80">
        <f>ROUND(N42/M42,3)</f>
        <v>3.9E-2</v>
      </c>
    </row>
    <row r="43" spans="1:17" x14ac:dyDescent="0.15">
      <c r="A43" s="82"/>
      <c r="B43" s="78" t="s">
        <v>301</v>
      </c>
      <c r="C43" s="79">
        <f t="shared" si="26"/>
        <v>426077428</v>
      </c>
      <c r="D43" s="79">
        <f t="shared" si="26"/>
        <v>-607295</v>
      </c>
      <c r="E43" s="79">
        <f t="shared" si="26"/>
        <v>143633.36999999429</v>
      </c>
      <c r="F43" s="83">
        <f t="shared" si="23"/>
        <v>791959089.63000011</v>
      </c>
      <c r="G43" s="80">
        <f>ROUND(D43/C43,3)</f>
        <v>-1E-3</v>
      </c>
      <c r="H43" s="83">
        <f t="shared" si="27"/>
        <v>123012437</v>
      </c>
      <c r="I43" s="83">
        <f t="shared" si="27"/>
        <v>-6073743</v>
      </c>
      <c r="J43" s="83">
        <f t="shared" si="27"/>
        <v>25626.199999999953</v>
      </c>
      <c r="K43" s="83">
        <f>K18-K30-K97</f>
        <v>129060553.79999995</v>
      </c>
      <c r="L43" s="80">
        <f>ROUND(I43/H43,3)</f>
        <v>-4.9000000000000002E-2</v>
      </c>
      <c r="M43" s="84">
        <f t="shared" si="28"/>
        <v>303064991</v>
      </c>
      <c r="N43" s="83">
        <f t="shared" si="28"/>
        <v>5466448</v>
      </c>
      <c r="O43" s="83">
        <f t="shared" si="28"/>
        <v>118007.16999999434</v>
      </c>
      <c r="P43" s="83">
        <f>P18-P30-P97</f>
        <v>297480535.83000004</v>
      </c>
      <c r="Q43" s="80">
        <f>ROUND(N43/M43,3)</f>
        <v>1.7999999999999999E-2</v>
      </c>
    </row>
    <row r="44" spans="1:17" x14ac:dyDescent="0.15">
      <c r="A44" s="74" t="s">
        <v>220</v>
      </c>
      <c r="B44" s="78"/>
      <c r="C44" s="67"/>
      <c r="D44" s="67"/>
      <c r="E44" s="67"/>
      <c r="F44" s="67"/>
      <c r="G44" s="76"/>
      <c r="H44" s="67"/>
      <c r="I44" s="67"/>
      <c r="J44" s="67"/>
      <c r="K44" s="67"/>
      <c r="L44" s="76"/>
      <c r="M44" s="77"/>
      <c r="N44" s="67"/>
      <c r="O44" s="67"/>
      <c r="P44" s="67"/>
      <c r="Q44" s="76"/>
    </row>
    <row r="45" spans="1:17" x14ac:dyDescent="0.15">
      <c r="A45" s="74" t="s">
        <v>221</v>
      </c>
      <c r="B45" s="78"/>
      <c r="C45" s="67"/>
      <c r="D45" s="67"/>
      <c r="E45" s="67"/>
      <c r="F45" s="67"/>
      <c r="G45" s="76"/>
      <c r="H45" s="67"/>
      <c r="I45" s="67"/>
      <c r="J45" s="67"/>
      <c r="K45" s="67"/>
      <c r="L45" s="76"/>
      <c r="M45" s="77"/>
      <c r="N45" s="67"/>
      <c r="O45" s="67"/>
      <c r="P45" s="67"/>
      <c r="Q45" s="76"/>
    </row>
    <row r="46" spans="1:17" x14ac:dyDescent="0.15">
      <c r="A46" s="74"/>
      <c r="B46" s="78" t="s">
        <v>222</v>
      </c>
      <c r="C46" s="85">
        <v>0.35699999999999998</v>
      </c>
      <c r="D46" s="85"/>
      <c r="E46" s="67"/>
      <c r="F46" s="67"/>
      <c r="G46" s="76"/>
      <c r="H46" s="85"/>
      <c r="I46" s="85"/>
      <c r="J46" s="67"/>
      <c r="K46" s="67"/>
      <c r="L46" s="76"/>
      <c r="M46" s="86"/>
      <c r="N46" s="85"/>
      <c r="O46" s="67"/>
      <c r="P46" s="67"/>
      <c r="Q46" s="76"/>
    </row>
    <row r="47" spans="1:17" x14ac:dyDescent="0.15">
      <c r="A47" s="82"/>
      <c r="B47" s="78" t="s">
        <v>223</v>
      </c>
      <c r="C47" s="85">
        <v>0.26694882367573819</v>
      </c>
      <c r="D47" s="85"/>
      <c r="E47" s="67"/>
      <c r="F47" s="67"/>
      <c r="G47" s="76"/>
      <c r="H47" s="85"/>
      <c r="I47" s="85"/>
      <c r="J47" s="67"/>
      <c r="K47" s="67"/>
      <c r="L47" s="76"/>
      <c r="M47" s="86"/>
      <c r="N47" s="85"/>
      <c r="O47" s="67"/>
      <c r="P47" s="67"/>
      <c r="Q47" s="76"/>
    </row>
    <row r="48" spans="1:17" x14ac:dyDescent="0.15">
      <c r="A48" s="82"/>
      <c r="B48" s="78" t="s">
        <v>224</v>
      </c>
      <c r="C48" s="85">
        <v>0.253</v>
      </c>
      <c r="D48" s="85">
        <v>0.32118080449647918</v>
      </c>
      <c r="E48" s="67"/>
      <c r="F48" s="67"/>
      <c r="G48" s="76"/>
      <c r="H48" s="85">
        <f>H60/H35</f>
        <v>0.32675148600591564</v>
      </c>
      <c r="I48" s="85"/>
      <c r="J48" s="67"/>
      <c r="K48" s="67"/>
      <c r="L48" s="76"/>
      <c r="M48" s="86">
        <f>M60/M35</f>
        <v>0.21650640287025846</v>
      </c>
      <c r="N48" s="85"/>
      <c r="O48" s="67"/>
      <c r="P48" s="67"/>
      <c r="Q48" s="76"/>
    </row>
    <row r="49" spans="1:17" x14ac:dyDescent="0.15">
      <c r="A49" s="82"/>
      <c r="B49" s="78" t="s">
        <v>232</v>
      </c>
      <c r="C49" s="85">
        <f>C61/C36</f>
        <v>0.14640814904452942</v>
      </c>
      <c r="D49" s="85">
        <v>0.44962068804754834</v>
      </c>
      <c r="E49" s="67"/>
      <c r="F49" s="67"/>
      <c r="G49" s="76"/>
      <c r="H49" s="85">
        <f>H61/H36</f>
        <v>7.738465142339078E-2</v>
      </c>
      <c r="I49" s="85">
        <v>0.88513447366659426</v>
      </c>
      <c r="J49" s="67"/>
      <c r="K49" s="67"/>
      <c r="L49" s="76"/>
      <c r="M49" s="86">
        <f>M61/M36</f>
        <v>0.1782073958773486</v>
      </c>
      <c r="N49" s="85">
        <v>0.37529302831296601</v>
      </c>
      <c r="O49" s="67"/>
      <c r="P49" s="67"/>
      <c r="Q49" s="76"/>
    </row>
    <row r="50" spans="1:17" x14ac:dyDescent="0.15">
      <c r="A50" s="82"/>
      <c r="B50" s="78" t="s">
        <v>252</v>
      </c>
      <c r="C50" s="134">
        <f>C62/C37</f>
        <v>0.10055092905571979</v>
      </c>
      <c r="D50" s="85">
        <v>0.1874280742721845</v>
      </c>
      <c r="E50" s="67"/>
      <c r="F50" s="67"/>
      <c r="G50" s="76"/>
      <c r="H50" s="85">
        <f>H62/H37</f>
        <v>0.12103536410769537</v>
      </c>
      <c r="I50" s="85">
        <v>0.27378475763609683</v>
      </c>
      <c r="J50" s="67"/>
      <c r="K50" s="67"/>
      <c r="L50" s="76"/>
      <c r="M50" s="85">
        <f>M62/M37</f>
        <v>8.4188238926827141E-2</v>
      </c>
      <c r="N50" s="85">
        <v>0.1771015411269414</v>
      </c>
      <c r="O50" s="67"/>
      <c r="P50" s="67"/>
      <c r="Q50" s="76"/>
    </row>
    <row r="51" spans="1:17" x14ac:dyDescent="0.15">
      <c r="A51" s="82"/>
      <c r="B51" s="78" t="s">
        <v>255</v>
      </c>
      <c r="C51" s="85">
        <v>0.1660721367940316</v>
      </c>
      <c r="D51" s="134">
        <f>D63/D38</f>
        <v>0.20696553504617585</v>
      </c>
      <c r="E51" s="67"/>
      <c r="F51" s="67"/>
      <c r="G51" s="76"/>
      <c r="H51" s="85">
        <v>0.25142900688545528</v>
      </c>
      <c r="I51" s="134">
        <f>I63/I38</f>
        <v>0.35551131754064547</v>
      </c>
      <c r="J51" s="67"/>
      <c r="K51" s="67"/>
      <c r="L51" s="76"/>
      <c r="M51" s="85">
        <v>9.5216932600951765E-2</v>
      </c>
      <c r="N51" s="134">
        <f>N63/N38</f>
        <v>0.15419289224086019</v>
      </c>
      <c r="O51" s="67"/>
      <c r="P51" s="67"/>
      <c r="Q51" s="76"/>
    </row>
    <row r="52" spans="1:17" x14ac:dyDescent="0.15">
      <c r="A52" s="82"/>
      <c r="B52" s="78" t="s">
        <v>271</v>
      </c>
      <c r="C52" s="85">
        <f>C64/C39</f>
        <v>0.29383257891935599</v>
      </c>
      <c r="D52" s="85"/>
      <c r="E52" s="67"/>
      <c r="F52" s="67"/>
      <c r="G52" s="76"/>
      <c r="H52" s="115">
        <f>H64/H39</f>
        <v>0.44182564339446129</v>
      </c>
      <c r="I52" s="115">
        <f>I64/I39</f>
        <v>0.80160113335003813</v>
      </c>
      <c r="J52" s="67"/>
      <c r="K52" s="67"/>
      <c r="L52" s="76"/>
      <c r="M52" s="115">
        <f>M64/M39</f>
        <v>0.16217973638181443</v>
      </c>
      <c r="N52" s="115">
        <f>N64/N39</f>
        <v>0.26563159684386251</v>
      </c>
      <c r="O52" s="67"/>
      <c r="P52" s="67"/>
      <c r="Q52" s="76"/>
    </row>
    <row r="53" spans="1:17" x14ac:dyDescent="0.15">
      <c r="A53" s="82"/>
      <c r="B53" s="78" t="s">
        <v>253</v>
      </c>
      <c r="C53" s="85">
        <f>C65/C40</f>
        <v>0.20557626009553903</v>
      </c>
      <c r="D53" s="85"/>
      <c r="E53" s="67"/>
      <c r="F53" s="67"/>
      <c r="G53" s="76"/>
      <c r="H53" s="105">
        <f>H65/H40</f>
        <v>0.39463126634592077</v>
      </c>
      <c r="I53" s="106">
        <f>I65/I40</f>
        <v>-0.58516157863769769</v>
      </c>
      <c r="J53" s="67"/>
      <c r="K53" s="67"/>
      <c r="L53" s="76"/>
      <c r="M53" s="105">
        <f>M65/M40</f>
        <v>0.12520477353581852</v>
      </c>
      <c r="N53" s="106">
        <f>N65/N40</f>
        <v>0.16993114479752133</v>
      </c>
      <c r="O53" s="67"/>
      <c r="P53" s="67"/>
      <c r="Q53" s="76"/>
    </row>
    <row r="54" spans="1:17" x14ac:dyDescent="0.15">
      <c r="A54" s="82"/>
      <c r="B54" s="78" t="s">
        <v>254</v>
      </c>
      <c r="C54" s="85">
        <f>C66/C41</f>
        <v>0.21451530113277206</v>
      </c>
      <c r="D54" s="85"/>
      <c r="E54" s="67"/>
      <c r="F54" s="67"/>
      <c r="G54" s="76"/>
      <c r="H54" s="105">
        <v>0.25</v>
      </c>
      <c r="I54" s="106">
        <v>0.5</v>
      </c>
      <c r="J54" s="67"/>
      <c r="K54" s="67"/>
      <c r="L54" s="76"/>
      <c r="M54" s="105">
        <v>9.5000000000000001E-2</v>
      </c>
      <c r="N54" s="106">
        <v>0.18</v>
      </c>
      <c r="O54" s="67"/>
      <c r="P54" s="67"/>
      <c r="Q54" s="76"/>
    </row>
    <row r="55" spans="1:17" x14ac:dyDescent="0.15">
      <c r="A55" s="82"/>
      <c r="B55" s="78" t="s">
        <v>314</v>
      </c>
      <c r="C55" s="85">
        <f>C67/C42</f>
        <v>0.23170082952687782</v>
      </c>
      <c r="D55" s="85"/>
      <c r="E55" s="67"/>
      <c r="F55" s="67"/>
      <c r="G55" s="76"/>
      <c r="H55" s="105">
        <v>0.25</v>
      </c>
      <c r="I55" s="106">
        <v>0.5</v>
      </c>
      <c r="J55" s="67"/>
      <c r="K55" s="67"/>
      <c r="L55" s="76"/>
      <c r="M55" s="105">
        <v>9.5000000000000001E-2</v>
      </c>
      <c r="N55" s="106">
        <v>0.18</v>
      </c>
      <c r="O55" s="67"/>
      <c r="P55" s="67"/>
      <c r="Q55" s="76"/>
    </row>
    <row r="56" spans="1:17" x14ac:dyDescent="0.15">
      <c r="A56" s="82"/>
      <c r="B56" s="78" t="s">
        <v>315</v>
      </c>
      <c r="C56" s="85">
        <f>C68/C43</f>
        <v>0.25194121290086269</v>
      </c>
      <c r="D56" s="85"/>
      <c r="E56" s="67"/>
      <c r="F56" s="67"/>
      <c r="G56" s="76"/>
      <c r="H56" s="105">
        <v>0.25</v>
      </c>
      <c r="I56" s="106">
        <v>0.5</v>
      </c>
      <c r="J56" s="67"/>
      <c r="K56" s="67"/>
      <c r="L56" s="76"/>
      <c r="M56" s="105">
        <v>9.5000000000000001E-2</v>
      </c>
      <c r="N56" s="106">
        <v>0.18</v>
      </c>
      <c r="O56" s="67"/>
      <c r="P56" s="67"/>
      <c r="Q56" s="76"/>
    </row>
    <row r="57" spans="1:17" x14ac:dyDescent="0.15">
      <c r="A57" s="74" t="s">
        <v>226</v>
      </c>
      <c r="B57" s="78"/>
      <c r="C57" s="67"/>
      <c r="D57" s="67"/>
      <c r="E57" s="67"/>
      <c r="F57" s="67"/>
      <c r="G57" s="76"/>
      <c r="H57" s="67"/>
      <c r="I57" s="67"/>
      <c r="J57" s="67"/>
      <c r="K57" s="67"/>
      <c r="L57" s="76"/>
      <c r="M57" s="77"/>
      <c r="N57" s="67"/>
      <c r="O57" s="67"/>
      <c r="P57" s="67"/>
      <c r="Q57" s="76"/>
    </row>
    <row r="58" spans="1:17" hidden="1" x14ac:dyDescent="0.15">
      <c r="A58" s="74"/>
      <c r="B58" s="78" t="s">
        <v>135</v>
      </c>
      <c r="C58" s="67"/>
      <c r="D58" s="67"/>
      <c r="E58" s="67"/>
      <c r="F58" s="67"/>
      <c r="G58" s="76"/>
      <c r="H58" s="67"/>
      <c r="I58" s="67"/>
      <c r="J58" s="67"/>
      <c r="K58" s="67"/>
      <c r="L58" s="76"/>
      <c r="M58" s="77"/>
      <c r="N58" s="67"/>
      <c r="O58" s="67"/>
      <c r="P58" s="67"/>
      <c r="Q58" s="76"/>
    </row>
    <row r="59" spans="1:17" hidden="1" x14ac:dyDescent="0.15">
      <c r="A59" s="74"/>
      <c r="B59" s="78" t="s">
        <v>136</v>
      </c>
      <c r="C59" s="67"/>
      <c r="D59" s="67"/>
      <c r="E59" s="67"/>
      <c r="F59" s="67"/>
      <c r="G59" s="76"/>
      <c r="H59" s="67"/>
      <c r="I59" s="67"/>
      <c r="J59" s="67"/>
      <c r="K59" s="67"/>
      <c r="L59" s="76"/>
      <c r="M59" s="77"/>
      <c r="N59" s="67"/>
      <c r="O59" s="67"/>
      <c r="P59" s="67"/>
      <c r="Q59" s="76"/>
    </row>
    <row r="60" spans="1:17" x14ac:dyDescent="0.15">
      <c r="A60" s="74"/>
      <c r="B60" s="78" t="s">
        <v>137</v>
      </c>
      <c r="C60" s="83">
        <v>106683846</v>
      </c>
      <c r="D60" s="83">
        <v>35692985</v>
      </c>
      <c r="E60" s="83">
        <v>0</v>
      </c>
      <c r="F60" s="79">
        <f t="shared" ref="F60:F66" si="29">C60-D60-E60</f>
        <v>70990861</v>
      </c>
      <c r="G60" s="80">
        <f t="shared" ref="G60:G66" si="30">ROUND(D60/C60,3)</f>
        <v>0.33500000000000002</v>
      </c>
      <c r="H60" s="83">
        <v>45945012</v>
      </c>
      <c r="I60" s="83">
        <v>8184687.1200000001</v>
      </c>
      <c r="J60" s="83">
        <v>0</v>
      </c>
      <c r="K60" s="79">
        <f t="shared" ref="K60:K66" si="31">H60-I60-J60</f>
        <v>37760324.880000003</v>
      </c>
      <c r="L60" s="80">
        <f t="shared" ref="L60:L66" si="32">ROUND(I60/H60,3)</f>
        <v>0.17799999999999999</v>
      </c>
      <c r="M60" s="84">
        <v>60738834</v>
      </c>
      <c r="N60" s="83">
        <v>26322238.619999997</v>
      </c>
      <c r="O60" s="83">
        <v>0</v>
      </c>
      <c r="P60" s="79">
        <f t="shared" ref="P60:P66" si="33">M60-N60-O60</f>
        <v>34416595.380000003</v>
      </c>
      <c r="Q60" s="80">
        <f t="shared" ref="Q60:Q66" si="34">ROUND(N60/M60,3)</f>
        <v>0.433</v>
      </c>
    </row>
    <row r="61" spans="1:17" x14ac:dyDescent="0.15">
      <c r="A61" s="82"/>
      <c r="B61" s="78" t="s">
        <v>138</v>
      </c>
      <c r="C61" s="83">
        <v>51833613</v>
      </c>
      <c r="D61" s="83">
        <v>20049585</v>
      </c>
      <c r="E61" s="83">
        <v>90182</v>
      </c>
      <c r="F61" s="79">
        <f t="shared" si="29"/>
        <v>31693846</v>
      </c>
      <c r="G61" s="80">
        <f t="shared" si="30"/>
        <v>0.38700000000000001</v>
      </c>
      <c r="H61" s="83">
        <v>8640908</v>
      </c>
      <c r="I61" s="83">
        <v>2309689</v>
      </c>
      <c r="J61" s="83">
        <v>0</v>
      </c>
      <c r="K61" s="79">
        <f t="shared" si="31"/>
        <v>6331219</v>
      </c>
      <c r="L61" s="80">
        <f t="shared" si="32"/>
        <v>0.26700000000000002</v>
      </c>
      <c r="M61" s="84">
        <v>43192705</v>
      </c>
      <c r="N61" s="83">
        <v>17739896</v>
      </c>
      <c r="O61" s="83">
        <v>90182</v>
      </c>
      <c r="P61" s="79">
        <f t="shared" si="33"/>
        <v>25362627</v>
      </c>
      <c r="Q61" s="80">
        <f t="shared" si="34"/>
        <v>0.41099999999999998</v>
      </c>
    </row>
    <row r="62" spans="1:17" x14ac:dyDescent="0.15">
      <c r="A62" s="82"/>
      <c r="B62" s="78" t="s">
        <v>139</v>
      </c>
      <c r="C62" s="83">
        <v>80604594</v>
      </c>
      <c r="D62" s="83">
        <v>17712979</v>
      </c>
      <c r="E62" s="83">
        <v>640526</v>
      </c>
      <c r="F62" s="79">
        <f t="shared" si="29"/>
        <v>62251089</v>
      </c>
      <c r="G62" s="80">
        <f t="shared" si="30"/>
        <v>0.22</v>
      </c>
      <c r="H62" s="83">
        <v>43086090</v>
      </c>
      <c r="I62" s="83">
        <v>2763565</v>
      </c>
      <c r="J62" s="83">
        <v>36430</v>
      </c>
      <c r="K62" s="79">
        <f t="shared" si="31"/>
        <v>40286095</v>
      </c>
      <c r="L62" s="80">
        <f t="shared" si="32"/>
        <v>6.4000000000000001E-2</v>
      </c>
      <c r="M62" s="83">
        <v>37518504</v>
      </c>
      <c r="N62" s="83">
        <v>14949414</v>
      </c>
      <c r="O62" s="83">
        <v>604096</v>
      </c>
      <c r="P62" s="79">
        <f t="shared" si="33"/>
        <v>21964994</v>
      </c>
      <c r="Q62" s="80">
        <f t="shared" si="34"/>
        <v>0.39800000000000002</v>
      </c>
    </row>
    <row r="63" spans="1:17" x14ac:dyDescent="0.15">
      <c r="A63" s="82"/>
      <c r="B63" s="78" t="s">
        <v>164</v>
      </c>
      <c r="C63" s="83">
        <f>H63+M63</f>
        <v>132846937</v>
      </c>
      <c r="D63" s="83">
        <f>I63+N63</f>
        <v>21727531</v>
      </c>
      <c r="E63" s="83">
        <f>J63+O63</f>
        <v>17013</v>
      </c>
      <c r="F63" s="79">
        <f>C63-D63-E63</f>
        <v>111102393</v>
      </c>
      <c r="G63" s="80">
        <f t="shared" si="30"/>
        <v>0.16400000000000001</v>
      </c>
      <c r="H63" s="83">
        <v>91227822</v>
      </c>
      <c r="I63" s="83">
        <v>9783429</v>
      </c>
      <c r="J63" s="83">
        <v>0</v>
      </c>
      <c r="K63" s="79">
        <f t="shared" si="31"/>
        <v>81444393</v>
      </c>
      <c r="L63" s="80">
        <f>ROUND(I63/H63,3)</f>
        <v>0.107</v>
      </c>
      <c r="M63" s="83">
        <v>41619115</v>
      </c>
      <c r="N63" s="83">
        <v>11944102</v>
      </c>
      <c r="O63" s="83">
        <v>17013</v>
      </c>
      <c r="P63" s="79">
        <f t="shared" si="33"/>
        <v>29658000</v>
      </c>
      <c r="Q63" s="80">
        <f t="shared" si="34"/>
        <v>0.28699999999999998</v>
      </c>
    </row>
    <row r="64" spans="1:17" x14ac:dyDescent="0.15">
      <c r="A64" s="82"/>
      <c r="B64" s="78" t="s">
        <v>165</v>
      </c>
      <c r="C64" s="83">
        <f t="shared" ref="C64:E66" si="35">H64+M64</f>
        <v>249443034.99999994</v>
      </c>
      <c r="D64" s="83">
        <f t="shared" si="35"/>
        <v>19001846.610000022</v>
      </c>
      <c r="E64" s="83">
        <f t="shared" si="35"/>
        <v>327949.06999999116</v>
      </c>
      <c r="F64" s="79">
        <f t="shared" si="29"/>
        <v>230113239.31999993</v>
      </c>
      <c r="G64" s="80">
        <f t="shared" si="30"/>
        <v>7.5999999999999998E-2</v>
      </c>
      <c r="H64" s="83">
        <v>176581063</v>
      </c>
      <c r="I64" s="83">
        <v>6022580.0800000001</v>
      </c>
      <c r="J64" s="83">
        <v>125994.05</v>
      </c>
      <c r="K64" s="79">
        <f t="shared" si="31"/>
        <v>170432488.86999997</v>
      </c>
      <c r="L64" s="80">
        <f t="shared" si="32"/>
        <v>3.4000000000000002E-2</v>
      </c>
      <c r="M64" s="84">
        <v>72861971.99999994</v>
      </c>
      <c r="N64" s="83">
        <v>12979266.530000024</v>
      </c>
      <c r="O64" s="83">
        <v>201955.01999999117</v>
      </c>
      <c r="P64" s="79">
        <f t="shared" si="33"/>
        <v>59680750.449999928</v>
      </c>
      <c r="Q64" s="80">
        <f t="shared" si="34"/>
        <v>0.17799999999999999</v>
      </c>
    </row>
    <row r="65" spans="1:17" x14ac:dyDescent="0.15">
      <c r="A65" s="82"/>
      <c r="B65" s="78" t="s">
        <v>253</v>
      </c>
      <c r="C65" s="83">
        <f t="shared" si="35"/>
        <v>116469711</v>
      </c>
      <c r="D65" s="83">
        <f t="shared" si="35"/>
        <v>4538889</v>
      </c>
      <c r="E65" s="83">
        <f t="shared" si="35"/>
        <v>143633.36999999435</v>
      </c>
      <c r="F65" s="79">
        <f t="shared" si="29"/>
        <v>111787188.63000001</v>
      </c>
      <c r="G65" s="80">
        <f t="shared" si="30"/>
        <v>3.9E-2</v>
      </c>
      <c r="H65" s="83">
        <v>66694993</v>
      </c>
      <c r="I65" s="83">
        <v>678276</v>
      </c>
      <c r="J65" s="83">
        <v>25626.2</v>
      </c>
      <c r="K65" s="79">
        <f t="shared" si="31"/>
        <v>65991090.799999997</v>
      </c>
      <c r="L65" s="80">
        <f t="shared" si="32"/>
        <v>0.01</v>
      </c>
      <c r="M65" s="84">
        <v>49774718</v>
      </c>
      <c r="N65" s="83">
        <v>3860613</v>
      </c>
      <c r="O65" s="83">
        <v>118007.16999999434</v>
      </c>
      <c r="P65" s="79">
        <f t="shared" si="33"/>
        <v>45796097.830000006</v>
      </c>
      <c r="Q65" s="80">
        <f>ROUND(N65/M65,3)</f>
        <v>7.8E-2</v>
      </c>
    </row>
    <row r="66" spans="1:17" x14ac:dyDescent="0.15">
      <c r="A66" s="82"/>
      <c r="B66" s="78" t="s">
        <v>254</v>
      </c>
      <c r="C66" s="83">
        <f t="shared" si="35"/>
        <v>112943464</v>
      </c>
      <c r="D66" s="83">
        <f t="shared" si="35"/>
        <v>6720182.3700000048</v>
      </c>
      <c r="E66" s="83">
        <f t="shared" si="35"/>
        <v>327949.06999999116</v>
      </c>
      <c r="F66" s="79">
        <f t="shared" si="29"/>
        <v>105895332.56</v>
      </c>
      <c r="G66" s="80">
        <f t="shared" si="30"/>
        <v>0.06</v>
      </c>
      <c r="H66" s="83">
        <f t="shared" ref="H66:I68" si="36">ROUNDUP(H41*H54,-3)</f>
        <v>36351000</v>
      </c>
      <c r="I66" s="83">
        <f t="shared" si="36"/>
        <v>-268000</v>
      </c>
      <c r="J66" s="83">
        <v>125994.05</v>
      </c>
      <c r="K66" s="79">
        <f t="shared" si="31"/>
        <v>36493005.950000003</v>
      </c>
      <c r="L66" s="80">
        <f t="shared" si="32"/>
        <v>-7.0000000000000001E-3</v>
      </c>
      <c r="M66" s="84">
        <v>76592464</v>
      </c>
      <c r="N66" s="83">
        <v>6988182.3700000048</v>
      </c>
      <c r="O66" s="83">
        <v>201955.01999999117</v>
      </c>
      <c r="P66" s="79">
        <f t="shared" si="33"/>
        <v>69402326.609999999</v>
      </c>
      <c r="Q66" s="80">
        <f t="shared" si="34"/>
        <v>9.0999999999999998E-2</v>
      </c>
    </row>
    <row r="67" spans="1:17" x14ac:dyDescent="0.15">
      <c r="A67" s="82"/>
      <c r="B67" s="78" t="s">
        <v>314</v>
      </c>
      <c r="C67" s="83">
        <f t="shared" ref="C67:E68" si="37">H67+M67</f>
        <v>109645464</v>
      </c>
      <c r="D67" s="83">
        <f t="shared" si="37"/>
        <v>8031182.3700000048</v>
      </c>
      <c r="E67" s="83">
        <f t="shared" si="37"/>
        <v>327949.06999999116</v>
      </c>
      <c r="F67" s="79">
        <f>C67-D67-E67</f>
        <v>101286332.56</v>
      </c>
      <c r="G67" s="80">
        <f>ROUND(D67/C67,3)</f>
        <v>7.2999999999999995E-2</v>
      </c>
      <c r="H67" s="83">
        <f t="shared" si="36"/>
        <v>33053000</v>
      </c>
      <c r="I67" s="83">
        <f t="shared" si="36"/>
        <v>1043000</v>
      </c>
      <c r="J67" s="83">
        <v>125994.05</v>
      </c>
      <c r="K67" s="79">
        <f>H67-I67-J67</f>
        <v>31884005.949999999</v>
      </c>
      <c r="L67" s="80">
        <f>ROUND(I67/H67,3)</f>
        <v>3.2000000000000001E-2</v>
      </c>
      <c r="M67" s="84">
        <v>76592464</v>
      </c>
      <c r="N67" s="83">
        <v>6988182.3700000048</v>
      </c>
      <c r="O67" s="83">
        <v>201955.01999999117</v>
      </c>
      <c r="P67" s="79">
        <f>M67-N67-O67</f>
        <v>69402326.609999999</v>
      </c>
      <c r="Q67" s="80">
        <f>ROUND(N67/M67,3)</f>
        <v>9.0999999999999998E-2</v>
      </c>
    </row>
    <row r="68" spans="1:17" x14ac:dyDescent="0.15">
      <c r="A68" s="82"/>
      <c r="B68" s="78" t="s">
        <v>315</v>
      </c>
      <c r="C68" s="83">
        <f t="shared" si="37"/>
        <v>107346464</v>
      </c>
      <c r="D68" s="83">
        <f t="shared" si="37"/>
        <v>3951182.3700000048</v>
      </c>
      <c r="E68" s="83">
        <f t="shared" si="37"/>
        <v>327949.06999999116</v>
      </c>
      <c r="F68" s="79">
        <f>C68-D68-E68</f>
        <v>103067332.56</v>
      </c>
      <c r="G68" s="80">
        <f>ROUND(D68/C68,3)</f>
        <v>3.6999999999999998E-2</v>
      </c>
      <c r="H68" s="83">
        <f t="shared" si="36"/>
        <v>30754000</v>
      </c>
      <c r="I68" s="83">
        <f t="shared" si="36"/>
        <v>-3037000</v>
      </c>
      <c r="J68" s="83">
        <v>125994.05</v>
      </c>
      <c r="K68" s="79">
        <f>H68-I68-J68</f>
        <v>33665005.950000003</v>
      </c>
      <c r="L68" s="80">
        <f>ROUND(I68/H68,3)</f>
        <v>-9.9000000000000005E-2</v>
      </c>
      <c r="M68" s="84">
        <v>76592464</v>
      </c>
      <c r="N68" s="83">
        <v>6988182.3700000048</v>
      </c>
      <c r="O68" s="83">
        <v>201955.01999999117</v>
      </c>
      <c r="P68" s="79">
        <f>M68-N68-O68</f>
        <v>69402326.609999999</v>
      </c>
      <c r="Q68" s="80">
        <f>ROUND(N68/M68,3)</f>
        <v>9.0999999999999998E-2</v>
      </c>
    </row>
    <row r="69" spans="1:17" x14ac:dyDescent="0.15">
      <c r="A69" s="74" t="s">
        <v>227</v>
      </c>
      <c r="B69" s="78"/>
      <c r="C69" s="67"/>
      <c r="D69" s="67"/>
      <c r="E69" s="67"/>
      <c r="F69" s="67"/>
      <c r="G69" s="76"/>
      <c r="H69" s="67"/>
      <c r="I69" s="67"/>
      <c r="J69" s="67"/>
      <c r="K69" s="67"/>
      <c r="L69" s="76"/>
      <c r="M69" s="77"/>
      <c r="N69" s="67"/>
      <c r="O69" s="67"/>
      <c r="P69" s="67"/>
      <c r="Q69" s="76"/>
    </row>
    <row r="70" spans="1:17" x14ac:dyDescent="0.15">
      <c r="A70" s="82"/>
      <c r="B70" s="78" t="s">
        <v>135</v>
      </c>
      <c r="C70" s="85">
        <v>0.41599999999999998</v>
      </c>
      <c r="D70" s="85"/>
      <c r="E70" s="67"/>
      <c r="F70" s="67"/>
      <c r="G70" s="76"/>
      <c r="H70" s="85">
        <v>0.41599999999999998</v>
      </c>
      <c r="I70" s="85"/>
      <c r="J70" s="67"/>
      <c r="K70" s="67"/>
      <c r="L70" s="76"/>
      <c r="M70" s="86">
        <v>0.41599999999999998</v>
      </c>
      <c r="N70" s="85"/>
      <c r="O70" s="67"/>
      <c r="P70" s="67"/>
      <c r="Q70" s="76"/>
    </row>
    <row r="71" spans="1:17" x14ac:dyDescent="0.15">
      <c r="A71" s="82"/>
      <c r="B71" s="78" t="s">
        <v>136</v>
      </c>
      <c r="C71" s="85">
        <v>0.81449722476693431</v>
      </c>
      <c r="D71" s="85"/>
      <c r="E71" s="67"/>
      <c r="F71" s="67"/>
      <c r="G71" s="76"/>
      <c r="H71" s="85">
        <v>0.81449722476693431</v>
      </c>
      <c r="I71" s="85"/>
      <c r="J71" s="67"/>
      <c r="K71" s="67"/>
      <c r="L71" s="76"/>
      <c r="M71" s="86">
        <v>0.81449722476693431</v>
      </c>
      <c r="N71" s="85"/>
      <c r="O71" s="67"/>
      <c r="P71" s="67"/>
      <c r="Q71" s="76"/>
    </row>
    <row r="72" spans="1:17" x14ac:dyDescent="0.15">
      <c r="A72" s="82"/>
      <c r="B72" s="78" t="s">
        <v>137</v>
      </c>
      <c r="C72" s="85">
        <v>0.7032313120769943</v>
      </c>
      <c r="D72" s="87"/>
      <c r="E72" s="67"/>
      <c r="F72" s="67"/>
      <c r="G72" s="76"/>
      <c r="H72" s="85">
        <f>H84/H60</f>
        <v>0.74839268732806075</v>
      </c>
      <c r="I72" s="85"/>
      <c r="J72" s="67"/>
      <c r="K72" s="67"/>
      <c r="L72" s="76"/>
      <c r="M72" s="86">
        <f>M84/M60</f>
        <v>0.64816242603537633</v>
      </c>
      <c r="N72" s="85"/>
      <c r="O72" s="67"/>
      <c r="P72" s="67"/>
      <c r="Q72" s="76"/>
    </row>
    <row r="73" spans="1:17" x14ac:dyDescent="0.15">
      <c r="A73" s="82"/>
      <c r="B73" s="78" t="s">
        <v>138</v>
      </c>
      <c r="C73" s="85">
        <f>C85/C61</f>
        <v>0.36778072946603202</v>
      </c>
      <c r="D73" s="85"/>
      <c r="E73" s="67"/>
      <c r="F73" s="67"/>
      <c r="G73" s="76"/>
      <c r="H73" s="85">
        <f>H85/H61</f>
        <v>0.41044367096606049</v>
      </c>
      <c r="I73" s="85"/>
      <c r="J73" s="67"/>
      <c r="K73" s="67"/>
      <c r="L73" s="76"/>
      <c r="M73" s="86">
        <f>M85/M61</f>
        <v>0.35924580319755384</v>
      </c>
      <c r="N73" s="85"/>
      <c r="O73" s="67"/>
      <c r="P73" s="67"/>
      <c r="Q73" s="76"/>
    </row>
    <row r="74" spans="1:17" x14ac:dyDescent="0.15">
      <c r="A74" s="82"/>
      <c r="B74" s="78" t="s">
        <v>139</v>
      </c>
      <c r="C74" s="85">
        <v>0.82663416181961047</v>
      </c>
      <c r="D74" s="85"/>
      <c r="E74" s="67"/>
      <c r="F74" s="67"/>
      <c r="G74" s="76"/>
      <c r="H74" s="85">
        <v>0.91751108072233989</v>
      </c>
      <c r="I74" s="85"/>
      <c r="J74" s="67"/>
      <c r="K74" s="67"/>
      <c r="L74" s="76"/>
      <c r="M74" s="85">
        <v>0.72227149568650184</v>
      </c>
      <c r="N74" s="85"/>
      <c r="O74" s="67"/>
      <c r="P74" s="67"/>
      <c r="Q74" s="76"/>
    </row>
    <row r="75" spans="1:17" x14ac:dyDescent="0.15">
      <c r="A75" s="82"/>
      <c r="B75" s="78" t="s">
        <v>164</v>
      </c>
      <c r="C75" s="85">
        <v>0.47434760953502453</v>
      </c>
      <c r="D75" s="85"/>
      <c r="E75" s="67"/>
      <c r="F75" s="67"/>
      <c r="G75" s="76"/>
      <c r="H75" s="85">
        <v>0.55948052777145096</v>
      </c>
      <c r="I75" s="85"/>
      <c r="J75" s="67"/>
      <c r="K75" s="67"/>
      <c r="L75" s="76"/>
      <c r="M75" s="85">
        <v>0.28773886710469454</v>
      </c>
      <c r="N75" s="85"/>
      <c r="O75" s="67"/>
      <c r="P75" s="67"/>
      <c r="Q75" s="76"/>
    </row>
    <row r="76" spans="1:17" x14ac:dyDescent="0.15">
      <c r="A76" s="82"/>
      <c r="B76" s="78" t="s">
        <v>225</v>
      </c>
      <c r="C76" s="85">
        <v>0.7</v>
      </c>
      <c r="D76" s="85"/>
      <c r="E76" s="67"/>
      <c r="F76" s="67"/>
      <c r="G76" s="76"/>
      <c r="H76" s="105">
        <v>0.7</v>
      </c>
      <c r="I76" s="85"/>
      <c r="J76" s="67"/>
      <c r="K76" s="67"/>
      <c r="L76" s="76"/>
      <c r="M76" s="105">
        <v>0.7</v>
      </c>
      <c r="N76" s="85"/>
      <c r="O76" s="67"/>
      <c r="P76" s="67"/>
      <c r="Q76" s="76"/>
    </row>
    <row r="77" spans="1:17" x14ac:dyDescent="0.15">
      <c r="A77" s="82"/>
      <c r="B77" s="78" t="s">
        <v>253</v>
      </c>
      <c r="C77" s="85">
        <v>0.5</v>
      </c>
      <c r="D77" s="85"/>
      <c r="E77" s="67"/>
      <c r="F77" s="67"/>
      <c r="G77" s="76"/>
      <c r="H77" s="105">
        <v>0.5</v>
      </c>
      <c r="I77" s="85"/>
      <c r="J77" s="67"/>
      <c r="K77" s="67"/>
      <c r="L77" s="76"/>
      <c r="M77" s="105">
        <v>0.5</v>
      </c>
      <c r="N77" s="85"/>
      <c r="O77" s="67"/>
      <c r="P77" s="67"/>
      <c r="Q77" s="76"/>
    </row>
    <row r="78" spans="1:17" x14ac:dyDescent="0.15">
      <c r="A78" s="82"/>
      <c r="B78" s="78" t="s">
        <v>254</v>
      </c>
      <c r="C78" s="85">
        <v>0.7</v>
      </c>
      <c r="D78" s="85"/>
      <c r="E78" s="67"/>
      <c r="F78" s="67"/>
      <c r="G78" s="76"/>
      <c r="H78" s="105">
        <v>0.7</v>
      </c>
      <c r="I78" s="85"/>
      <c r="J78" s="67"/>
      <c r="K78" s="67"/>
      <c r="L78" s="76"/>
      <c r="M78" s="105">
        <v>0.7</v>
      </c>
      <c r="N78" s="85"/>
      <c r="O78" s="67"/>
      <c r="P78" s="67"/>
      <c r="Q78" s="76"/>
    </row>
    <row r="79" spans="1:17" x14ac:dyDescent="0.15">
      <c r="A79" s="82"/>
      <c r="B79" s="78" t="s">
        <v>314</v>
      </c>
      <c r="C79" s="85">
        <v>0.7</v>
      </c>
      <c r="D79" s="85"/>
      <c r="E79" s="67"/>
      <c r="F79" s="67"/>
      <c r="G79" s="76"/>
      <c r="H79" s="105">
        <v>0.7</v>
      </c>
      <c r="I79" s="85"/>
      <c r="J79" s="67"/>
      <c r="K79" s="67"/>
      <c r="L79" s="76"/>
      <c r="M79" s="105">
        <v>0.7</v>
      </c>
      <c r="N79" s="85"/>
      <c r="O79" s="67"/>
      <c r="P79" s="67"/>
      <c r="Q79" s="76"/>
    </row>
    <row r="80" spans="1:17" x14ac:dyDescent="0.15">
      <c r="A80" s="82"/>
      <c r="B80" s="78" t="s">
        <v>315</v>
      </c>
      <c r="C80" s="85">
        <v>0.7</v>
      </c>
      <c r="D80" s="85"/>
      <c r="E80" s="67"/>
      <c r="F80" s="67"/>
      <c r="G80" s="76"/>
      <c r="H80" s="105">
        <v>0.7</v>
      </c>
      <c r="I80" s="85"/>
      <c r="J80" s="67"/>
      <c r="K80" s="67"/>
      <c r="L80" s="76"/>
      <c r="M80" s="105">
        <v>0.7</v>
      </c>
      <c r="N80" s="85"/>
      <c r="O80" s="67"/>
      <c r="P80" s="67"/>
      <c r="Q80" s="76"/>
    </row>
    <row r="81" spans="1:17" x14ac:dyDescent="0.15">
      <c r="A81" s="74" t="s">
        <v>234</v>
      </c>
      <c r="B81" s="78"/>
      <c r="C81" s="67"/>
      <c r="D81" s="67"/>
      <c r="E81" s="67"/>
      <c r="F81" s="67"/>
      <c r="G81" s="76"/>
      <c r="H81" s="67"/>
      <c r="I81" s="67"/>
      <c r="J81" s="67"/>
      <c r="K81" s="67"/>
      <c r="L81" s="76"/>
      <c r="M81" s="77"/>
      <c r="N81" s="67"/>
      <c r="O81" s="67"/>
      <c r="P81" s="67"/>
      <c r="Q81" s="76"/>
    </row>
    <row r="82" spans="1:17" x14ac:dyDescent="0.15">
      <c r="A82" s="74"/>
      <c r="B82" s="78" t="s">
        <v>135</v>
      </c>
      <c r="C82" s="67"/>
      <c r="D82" s="67"/>
      <c r="E82" s="67"/>
      <c r="F82" s="67"/>
      <c r="G82" s="76"/>
      <c r="H82" s="67"/>
      <c r="I82" s="67"/>
      <c r="J82" s="67"/>
      <c r="K82" s="67"/>
      <c r="L82" s="76"/>
      <c r="M82" s="77"/>
      <c r="N82" s="67"/>
      <c r="O82" s="67"/>
      <c r="P82" s="67"/>
      <c r="Q82" s="76"/>
    </row>
    <row r="83" spans="1:17" x14ac:dyDescent="0.15">
      <c r="A83" s="74"/>
      <c r="B83" s="78" t="s">
        <v>136</v>
      </c>
      <c r="C83" s="67"/>
      <c r="D83" s="67"/>
      <c r="E83" s="67"/>
      <c r="F83" s="67"/>
      <c r="G83" s="76"/>
      <c r="H83" s="67"/>
      <c r="I83" s="67"/>
      <c r="J83" s="67"/>
      <c r="K83" s="67"/>
      <c r="L83" s="76"/>
      <c r="M83" s="77"/>
      <c r="N83" s="67"/>
      <c r="O83" s="67"/>
      <c r="P83" s="67"/>
      <c r="Q83" s="76"/>
    </row>
    <row r="84" spans="1:17" x14ac:dyDescent="0.15">
      <c r="A84" s="74"/>
      <c r="B84" s="78" t="s">
        <v>137</v>
      </c>
      <c r="C84" s="83">
        <v>73753541</v>
      </c>
      <c r="D84" s="83">
        <v>20826745</v>
      </c>
      <c r="E84" s="83">
        <v>63120</v>
      </c>
      <c r="F84" s="83">
        <v>52863676</v>
      </c>
      <c r="G84" s="80">
        <v>0.28199999999999997</v>
      </c>
      <c r="H84" s="83">
        <v>34384911</v>
      </c>
      <c r="I84" s="83">
        <v>4100694</v>
      </c>
      <c r="J84" s="83">
        <v>49986</v>
      </c>
      <c r="K84" s="79">
        <v>30234231</v>
      </c>
      <c r="L84" s="80">
        <f>ROUND(I84/H84,3)</f>
        <v>0.11899999999999999</v>
      </c>
      <c r="M84" s="84">
        <v>39368630</v>
      </c>
      <c r="N84" s="83">
        <v>16726051</v>
      </c>
      <c r="O84" s="83">
        <v>13134</v>
      </c>
      <c r="P84" s="79">
        <v>22629445</v>
      </c>
      <c r="Q84" s="80">
        <v>0.42499999999999999</v>
      </c>
    </row>
    <row r="85" spans="1:17" x14ac:dyDescent="0.15">
      <c r="A85" s="82"/>
      <c r="B85" s="78" t="s">
        <v>138</v>
      </c>
      <c r="C85" s="83">
        <v>19063404</v>
      </c>
      <c r="D85" s="83">
        <v>7819335</v>
      </c>
      <c r="E85" s="83">
        <v>59032</v>
      </c>
      <c r="F85" s="79">
        <f t="shared" ref="F85:F90" si="38">C85-D85-E85</f>
        <v>11185037</v>
      </c>
      <c r="G85" s="80">
        <f t="shared" ref="G85:G90" si="39">ROUND(D85/C85,3)</f>
        <v>0.41</v>
      </c>
      <c r="H85" s="83">
        <v>3546606</v>
      </c>
      <c r="I85" s="83">
        <v>518137</v>
      </c>
      <c r="J85" s="83">
        <v>0</v>
      </c>
      <c r="K85" s="79">
        <f t="shared" ref="K85:K90" si="40">H85-I85-J85</f>
        <v>3028469</v>
      </c>
      <c r="L85" s="80">
        <f>ROUND(I85/H85,3)</f>
        <v>0.14599999999999999</v>
      </c>
      <c r="M85" s="84">
        <v>15516798</v>
      </c>
      <c r="N85" s="83">
        <v>7301198</v>
      </c>
      <c r="O85" s="83">
        <v>59032</v>
      </c>
      <c r="P85" s="79">
        <f t="shared" ref="P85:P90" si="41">M85-N85-O85</f>
        <v>8156568</v>
      </c>
      <c r="Q85" s="80">
        <f>ROUND(N85/M85,3)</f>
        <v>0.47099999999999997</v>
      </c>
    </row>
    <row r="86" spans="1:17" x14ac:dyDescent="0.15">
      <c r="A86" s="82"/>
      <c r="B86" s="78" t="s">
        <v>139</v>
      </c>
      <c r="C86" s="83">
        <f>H86+M86</f>
        <v>66630511</v>
      </c>
      <c r="D86" s="83">
        <f>I86+N86</f>
        <v>12964843</v>
      </c>
      <c r="E86" s="83">
        <f>J86+O86</f>
        <v>640526</v>
      </c>
      <c r="F86" s="79">
        <f t="shared" si="38"/>
        <v>53025142</v>
      </c>
      <c r="G86" s="80">
        <f t="shared" si="39"/>
        <v>0.19500000000000001</v>
      </c>
      <c r="H86" s="83">
        <v>39531965</v>
      </c>
      <c r="I86" s="83">
        <v>2452661</v>
      </c>
      <c r="J86" s="83">
        <v>36430</v>
      </c>
      <c r="K86" s="79">
        <f t="shared" si="40"/>
        <v>37042874</v>
      </c>
      <c r="L86" s="80">
        <f>ROUND(I86/H86,3)</f>
        <v>6.2E-2</v>
      </c>
      <c r="M86" s="84">
        <v>27098546</v>
      </c>
      <c r="N86" s="83">
        <v>10512182</v>
      </c>
      <c r="O86" s="83">
        <v>604096</v>
      </c>
      <c r="P86" s="79">
        <f t="shared" si="41"/>
        <v>15982268</v>
      </c>
      <c r="Q86" s="80">
        <f>Q62</f>
        <v>0.39800000000000002</v>
      </c>
    </row>
    <row r="87" spans="1:17" x14ac:dyDescent="0.15">
      <c r="A87" s="82"/>
      <c r="B87" s="78" t="s">
        <v>164</v>
      </c>
      <c r="C87" s="83">
        <f t="shared" ref="C87:D90" si="42">H87+M87</f>
        <v>63015627</v>
      </c>
      <c r="D87" s="83">
        <f t="shared" si="42"/>
        <v>14070581</v>
      </c>
      <c r="E87" s="83"/>
      <c r="F87" s="79">
        <f t="shared" si="38"/>
        <v>48945046</v>
      </c>
      <c r="G87" s="80">
        <f>G63</f>
        <v>0.16400000000000001</v>
      </c>
      <c r="H87" s="83">
        <v>51040190</v>
      </c>
      <c r="I87" s="83">
        <v>9099863</v>
      </c>
      <c r="J87" s="83">
        <v>0</v>
      </c>
      <c r="K87" s="79">
        <v>41940327</v>
      </c>
      <c r="L87" s="80">
        <f>ROUND(I87/H87,3)</f>
        <v>0.17799999999999999</v>
      </c>
      <c r="M87" s="84">
        <v>11975437</v>
      </c>
      <c r="N87" s="83">
        <v>4970718</v>
      </c>
      <c r="O87" s="83">
        <v>0</v>
      </c>
      <c r="P87" s="79">
        <v>7004719</v>
      </c>
      <c r="Q87" s="80">
        <f>ROUND(N87/M87,3)</f>
        <v>0.41499999999999998</v>
      </c>
    </row>
    <row r="88" spans="1:17" x14ac:dyDescent="0.15">
      <c r="A88" s="82"/>
      <c r="B88" s="78" t="s">
        <v>225</v>
      </c>
      <c r="C88" s="83">
        <f t="shared" si="42"/>
        <v>174611000</v>
      </c>
      <c r="D88" s="83">
        <f t="shared" si="42"/>
        <v>11552000</v>
      </c>
      <c r="E88" s="83"/>
      <c r="F88" s="79">
        <f t="shared" si="38"/>
        <v>163059000</v>
      </c>
      <c r="G88" s="80">
        <f t="shared" si="39"/>
        <v>6.6000000000000003E-2</v>
      </c>
      <c r="H88" s="83">
        <f>ROUNDUP(H64*H76,-3)</f>
        <v>123607000</v>
      </c>
      <c r="I88" s="83">
        <f>ROUNDUP(H88*L88,-3)</f>
        <v>2473000</v>
      </c>
      <c r="J88" s="83"/>
      <c r="K88" s="79">
        <f t="shared" si="40"/>
        <v>121134000</v>
      </c>
      <c r="L88" s="104">
        <v>0.02</v>
      </c>
      <c r="M88" s="84">
        <f>ROUNDUP(M64*M76,-3)</f>
        <v>51004000</v>
      </c>
      <c r="N88" s="83">
        <f>ROUNDUP(M88*Q88,-3)</f>
        <v>9079000</v>
      </c>
      <c r="O88" s="83"/>
      <c r="P88" s="79">
        <f t="shared" si="41"/>
        <v>41925000</v>
      </c>
      <c r="Q88" s="104">
        <f>Q64</f>
        <v>0.17799999999999999</v>
      </c>
    </row>
    <row r="89" spans="1:17" x14ac:dyDescent="0.15">
      <c r="A89" s="82"/>
      <c r="B89" s="78" t="s">
        <v>253</v>
      </c>
      <c r="C89" s="83">
        <f t="shared" si="42"/>
        <v>58236000</v>
      </c>
      <c r="D89" s="83">
        <f t="shared" si="42"/>
        <v>2276000</v>
      </c>
      <c r="E89" s="83"/>
      <c r="F89" s="79">
        <f t="shared" si="38"/>
        <v>55960000</v>
      </c>
      <c r="G89" s="80">
        <f t="shared" si="39"/>
        <v>3.9E-2</v>
      </c>
      <c r="H89" s="83">
        <f>ROUNDUP(H65*H77,-3)</f>
        <v>33348000</v>
      </c>
      <c r="I89" s="83">
        <f>ROUNDUP(H89*L89,-3)</f>
        <v>334000</v>
      </c>
      <c r="J89" s="83"/>
      <c r="K89" s="79">
        <f t="shared" si="40"/>
        <v>33014000</v>
      </c>
      <c r="L89" s="104">
        <f>L65</f>
        <v>0.01</v>
      </c>
      <c r="M89" s="84">
        <f>ROUNDUP(M65*M77,-3)</f>
        <v>24888000</v>
      </c>
      <c r="N89" s="83">
        <f>ROUNDUP(M89*Q89,-3)</f>
        <v>1942000</v>
      </c>
      <c r="O89" s="83"/>
      <c r="P89" s="79">
        <f t="shared" si="41"/>
        <v>22946000</v>
      </c>
      <c r="Q89" s="104">
        <f>Q65</f>
        <v>7.8E-2</v>
      </c>
    </row>
    <row r="90" spans="1:17" x14ac:dyDescent="0.15">
      <c r="A90" s="82"/>
      <c r="B90" s="78" t="s">
        <v>254</v>
      </c>
      <c r="C90" s="83">
        <f t="shared" si="42"/>
        <v>79061000</v>
      </c>
      <c r="D90" s="83">
        <f t="shared" si="42"/>
        <v>4700000</v>
      </c>
      <c r="E90" s="83"/>
      <c r="F90" s="79">
        <f t="shared" si="38"/>
        <v>74361000</v>
      </c>
      <c r="G90" s="80">
        <f t="shared" si="39"/>
        <v>5.8999999999999997E-2</v>
      </c>
      <c r="H90" s="83">
        <f>ROUNDUP(H66*H78,-3)</f>
        <v>25446000</v>
      </c>
      <c r="I90" s="83">
        <f>ROUNDUP(H90*L90,-3)</f>
        <v>-179000</v>
      </c>
      <c r="J90" s="83"/>
      <c r="K90" s="79">
        <f t="shared" si="40"/>
        <v>25625000</v>
      </c>
      <c r="L90" s="104">
        <f>L66</f>
        <v>-7.0000000000000001E-3</v>
      </c>
      <c r="M90" s="84">
        <f>ROUNDUP(M66*M78,-3)</f>
        <v>53615000</v>
      </c>
      <c r="N90" s="83">
        <f>ROUNDUP(M90*Q90,-3)</f>
        <v>4879000</v>
      </c>
      <c r="O90" s="83"/>
      <c r="P90" s="79">
        <f t="shared" si="41"/>
        <v>48736000</v>
      </c>
      <c r="Q90" s="104">
        <f>Q66</f>
        <v>9.0999999999999998E-2</v>
      </c>
    </row>
    <row r="91" spans="1:17" x14ac:dyDescent="0.15">
      <c r="A91" s="82"/>
      <c r="B91" s="78" t="s">
        <v>314</v>
      </c>
      <c r="C91" s="83">
        <f>H91+M91</f>
        <v>76753000</v>
      </c>
      <c r="D91" s="83">
        <f>I91+N91</f>
        <v>5620000</v>
      </c>
      <c r="E91" s="83"/>
      <c r="F91" s="79">
        <f>C91-D91-E91</f>
        <v>71133000</v>
      </c>
      <c r="G91" s="80">
        <f>ROUND(D91/C91,3)</f>
        <v>7.2999999999999995E-2</v>
      </c>
      <c r="H91" s="83">
        <f>ROUNDUP(H67*H79,-3)</f>
        <v>23138000</v>
      </c>
      <c r="I91" s="83">
        <f>ROUNDUP(H91*L91,-3)</f>
        <v>741000</v>
      </c>
      <c r="J91" s="83"/>
      <c r="K91" s="79">
        <f>H91-I91-J91</f>
        <v>22397000</v>
      </c>
      <c r="L91" s="104">
        <f>L67</f>
        <v>3.2000000000000001E-2</v>
      </c>
      <c r="M91" s="84">
        <f>ROUNDUP(M67*M79,-3)</f>
        <v>53615000</v>
      </c>
      <c r="N91" s="83">
        <f>ROUNDUP(M91*Q91,-3)</f>
        <v>4879000</v>
      </c>
      <c r="O91" s="83"/>
      <c r="P91" s="79">
        <f>M91-N91-O91</f>
        <v>48736000</v>
      </c>
      <c r="Q91" s="104">
        <f>Q67</f>
        <v>9.0999999999999998E-2</v>
      </c>
    </row>
    <row r="92" spans="1:17" x14ac:dyDescent="0.15">
      <c r="A92" s="82"/>
      <c r="B92" s="78" t="s">
        <v>315</v>
      </c>
      <c r="C92" s="83">
        <f>H92+M92</f>
        <v>75143000</v>
      </c>
      <c r="D92" s="83">
        <f>I92+N92</f>
        <v>2747000</v>
      </c>
      <c r="E92" s="83"/>
      <c r="F92" s="79">
        <f>C92-D92-E92</f>
        <v>72396000</v>
      </c>
      <c r="G92" s="80">
        <f>ROUND(D92/C92,3)</f>
        <v>3.6999999999999998E-2</v>
      </c>
      <c r="H92" s="83">
        <f>ROUNDUP(H68*H80,-3)</f>
        <v>21528000</v>
      </c>
      <c r="I92" s="83">
        <f>ROUNDUP(H92*L92,-3)</f>
        <v>-2132000</v>
      </c>
      <c r="J92" s="83"/>
      <c r="K92" s="79">
        <f>H92-I92-J92</f>
        <v>23660000</v>
      </c>
      <c r="L92" s="104">
        <f>L68</f>
        <v>-9.9000000000000005E-2</v>
      </c>
      <c r="M92" s="84">
        <f>ROUNDUP(M68*M80,-3)</f>
        <v>53615000</v>
      </c>
      <c r="N92" s="83">
        <f>ROUNDUP(M92*Q92,-3)</f>
        <v>4879000</v>
      </c>
      <c r="O92" s="83"/>
      <c r="P92" s="79">
        <f>M92-N92-O92</f>
        <v>48736000</v>
      </c>
      <c r="Q92" s="104">
        <f>Q68</f>
        <v>9.0999999999999998E-2</v>
      </c>
    </row>
    <row r="93" spans="1:17" x14ac:dyDescent="0.15">
      <c r="A93" s="74" t="s">
        <v>228</v>
      </c>
      <c r="B93" s="78"/>
      <c r="C93" s="67"/>
      <c r="D93" s="67"/>
      <c r="E93" s="67"/>
      <c r="F93" s="67"/>
      <c r="G93" s="76"/>
      <c r="H93" s="67"/>
      <c r="I93" s="67"/>
      <c r="J93" s="67"/>
      <c r="K93" s="67"/>
      <c r="L93" s="76"/>
      <c r="M93" s="77"/>
      <c r="N93" s="67"/>
      <c r="O93" s="67"/>
      <c r="P93" s="67"/>
      <c r="Q93" s="76"/>
    </row>
    <row r="94" spans="1:17" x14ac:dyDescent="0.15">
      <c r="A94" s="82"/>
      <c r="B94" s="78" t="s">
        <v>225</v>
      </c>
      <c r="C94" s="83">
        <f t="shared" ref="C94:D96" si="43">H94+M94</f>
        <v>174611000</v>
      </c>
      <c r="D94" s="83">
        <f t="shared" si="43"/>
        <v>11552000</v>
      </c>
      <c r="E94" s="67"/>
      <c r="F94" s="79">
        <f>C94-D94-E94</f>
        <v>163059000</v>
      </c>
      <c r="G94" s="80">
        <f>G64</f>
        <v>7.5999999999999998E-2</v>
      </c>
      <c r="H94" s="83">
        <f>H88</f>
        <v>123607000</v>
      </c>
      <c r="I94" s="83">
        <f>ROUNDUP(H94*L94,-3)</f>
        <v>2473000</v>
      </c>
      <c r="J94" s="67"/>
      <c r="K94" s="79">
        <f>H94-I94-J94</f>
        <v>121134000</v>
      </c>
      <c r="L94" s="80">
        <f>L88</f>
        <v>0.02</v>
      </c>
      <c r="M94" s="84">
        <f>M88</f>
        <v>51004000</v>
      </c>
      <c r="N94" s="83">
        <f>ROUNDUP(M94*Q94,-3)</f>
        <v>9079000</v>
      </c>
      <c r="O94" s="67"/>
      <c r="P94" s="79">
        <f>M94-N94-O94</f>
        <v>41925000</v>
      </c>
      <c r="Q94" s="80">
        <f>Q88</f>
        <v>0.17799999999999999</v>
      </c>
    </row>
    <row r="95" spans="1:17" x14ac:dyDescent="0.15">
      <c r="A95" s="82"/>
      <c r="B95" s="78" t="s">
        <v>253</v>
      </c>
      <c r="C95" s="83">
        <f>H95+M95</f>
        <v>232847000</v>
      </c>
      <c r="D95" s="83">
        <f t="shared" si="43"/>
        <v>7490000</v>
      </c>
      <c r="E95" s="67"/>
      <c r="F95" s="79">
        <f>C95-D95-E95</f>
        <v>225357000</v>
      </c>
      <c r="G95" s="80">
        <f>G65</f>
        <v>3.9E-2</v>
      </c>
      <c r="H95" s="83">
        <f>H94+H89</f>
        <v>156955000</v>
      </c>
      <c r="I95" s="83">
        <f>ROUNDUP(H95*L95,-3)</f>
        <v>1570000</v>
      </c>
      <c r="J95" s="67"/>
      <c r="K95" s="79">
        <f>H95-I95-J95</f>
        <v>155385000</v>
      </c>
      <c r="L95" s="80">
        <f>L89</f>
        <v>0.01</v>
      </c>
      <c r="M95" s="84">
        <f>M94+M89</f>
        <v>75892000</v>
      </c>
      <c r="N95" s="83">
        <f>ROUNDUP(M95*Q95,-3)</f>
        <v>5920000</v>
      </c>
      <c r="O95" s="67"/>
      <c r="P95" s="79">
        <f>M95-N95-O95</f>
        <v>69972000</v>
      </c>
      <c r="Q95" s="80">
        <f>Q89</f>
        <v>7.8E-2</v>
      </c>
    </row>
    <row r="96" spans="1:17" x14ac:dyDescent="0.15">
      <c r="A96" s="82"/>
      <c r="B96" s="78" t="s">
        <v>254</v>
      </c>
      <c r="C96" s="83">
        <f t="shared" si="43"/>
        <v>311908000</v>
      </c>
      <c r="D96" s="83">
        <f t="shared" si="43"/>
        <v>10509000</v>
      </c>
      <c r="E96" s="67"/>
      <c r="F96" s="79">
        <f>C96-D96-E96</f>
        <v>301399000</v>
      </c>
      <c r="G96" s="80">
        <f>G66</f>
        <v>0.06</v>
      </c>
      <c r="H96" s="83">
        <f>H95+H90</f>
        <v>182401000</v>
      </c>
      <c r="I96" s="83">
        <f>ROUNDUP(H96*L96,-3)</f>
        <v>-1277000</v>
      </c>
      <c r="J96" s="67"/>
      <c r="K96" s="79">
        <f>H96-I96-J96</f>
        <v>183678000</v>
      </c>
      <c r="L96" s="80">
        <f>L90</f>
        <v>-7.0000000000000001E-3</v>
      </c>
      <c r="M96" s="84">
        <f>M95+M90</f>
        <v>129507000</v>
      </c>
      <c r="N96" s="83">
        <f>ROUNDUP(M96*Q96,-3)</f>
        <v>11786000</v>
      </c>
      <c r="O96" s="67"/>
      <c r="P96" s="79">
        <f>M96-N96-O96</f>
        <v>117721000</v>
      </c>
      <c r="Q96" s="80">
        <f>Q90</f>
        <v>9.0999999999999998E-2</v>
      </c>
    </row>
    <row r="97" spans="1:17" x14ac:dyDescent="0.15">
      <c r="A97" s="82"/>
      <c r="B97" s="78" t="s">
        <v>314</v>
      </c>
      <c r="C97" s="83">
        <f>H97+M97</f>
        <v>388661000</v>
      </c>
      <c r="D97" s="83">
        <f>I97+N97</f>
        <v>23243000</v>
      </c>
      <c r="E97" s="67"/>
      <c r="F97" s="79">
        <f>C97-D97-E97</f>
        <v>365418000</v>
      </c>
      <c r="G97" s="80">
        <f>G67</f>
        <v>7.2999999999999995E-2</v>
      </c>
      <c r="H97" s="83">
        <f>H96+H91</f>
        <v>205539000</v>
      </c>
      <c r="I97" s="83">
        <f>ROUNDUP(H97*L97,-3)</f>
        <v>6578000</v>
      </c>
      <c r="J97" s="67"/>
      <c r="K97" s="79">
        <f>H97-I97-J97</f>
        <v>198961000</v>
      </c>
      <c r="L97" s="80">
        <f>L91</f>
        <v>3.2000000000000001E-2</v>
      </c>
      <c r="M97" s="84">
        <f>M96+M91</f>
        <v>183122000</v>
      </c>
      <c r="N97" s="83">
        <f>ROUNDUP(M97*Q97,-3)</f>
        <v>16665000</v>
      </c>
      <c r="O97" s="67"/>
      <c r="P97" s="79">
        <f>M97-N97-O97</f>
        <v>166457000</v>
      </c>
      <c r="Q97" s="80">
        <f>Q91</f>
        <v>9.0999999999999998E-2</v>
      </c>
    </row>
    <row r="98" spans="1:17" x14ac:dyDescent="0.15">
      <c r="A98" s="82"/>
      <c r="B98" s="78" t="s">
        <v>315</v>
      </c>
      <c r="C98" s="83">
        <f>H98+M98</f>
        <v>463804000</v>
      </c>
      <c r="D98" s="83">
        <f>I98+N98</f>
        <v>-936000</v>
      </c>
      <c r="E98" s="67"/>
      <c r="F98" s="79">
        <f>C98-D98-E98</f>
        <v>464740000</v>
      </c>
      <c r="G98" s="80">
        <f>G68</f>
        <v>3.6999999999999998E-2</v>
      </c>
      <c r="H98" s="83">
        <f>H97+H92</f>
        <v>227067000</v>
      </c>
      <c r="I98" s="83">
        <f>ROUNDUP(H98*L98,-3)</f>
        <v>-22480000</v>
      </c>
      <c r="J98" s="67"/>
      <c r="K98" s="79">
        <f>H98-I98-J98</f>
        <v>249547000</v>
      </c>
      <c r="L98" s="80">
        <f>L92</f>
        <v>-9.9000000000000005E-2</v>
      </c>
      <c r="M98" s="84">
        <f>M97+M92</f>
        <v>236737000</v>
      </c>
      <c r="N98" s="83">
        <f>ROUNDUP(M98*Q98,-3)</f>
        <v>21544000</v>
      </c>
      <c r="O98" s="67"/>
      <c r="P98" s="79">
        <f>M98-N98-O98</f>
        <v>215193000</v>
      </c>
      <c r="Q98" s="80">
        <f>Q92</f>
        <v>9.0999999999999998E-2</v>
      </c>
    </row>
    <row r="99" spans="1:17" x14ac:dyDescent="0.15">
      <c r="A99" s="82"/>
      <c r="B99" s="78"/>
      <c r="C99" s="83"/>
      <c r="D99" s="83"/>
      <c r="E99" s="67"/>
      <c r="F99" s="79"/>
      <c r="G99" s="80"/>
      <c r="H99" s="83"/>
      <c r="I99" s="83"/>
      <c r="J99" s="67"/>
      <c r="K99" s="79"/>
      <c r="L99" s="80"/>
      <c r="M99" s="83"/>
      <c r="N99" s="83"/>
      <c r="O99" s="67"/>
      <c r="P99" s="79"/>
      <c r="Q99" s="80"/>
    </row>
    <row r="100" spans="1:17" x14ac:dyDescent="0.15">
      <c r="A100" s="82"/>
      <c r="B100" s="78"/>
      <c r="C100" s="83"/>
      <c r="D100" s="83"/>
      <c r="E100" s="67"/>
      <c r="F100" s="79"/>
      <c r="G100" s="80"/>
      <c r="H100" s="83"/>
      <c r="I100" s="83"/>
      <c r="J100" s="67"/>
      <c r="K100" s="79"/>
      <c r="L100" s="80"/>
      <c r="M100" s="83"/>
      <c r="N100" s="83"/>
      <c r="O100" s="67"/>
      <c r="P100" s="79"/>
      <c r="Q100" s="80"/>
    </row>
    <row r="101" spans="1:17" x14ac:dyDescent="0.15">
      <c r="A101" s="90" t="s">
        <v>256</v>
      </c>
      <c r="H101" s="88"/>
      <c r="I101" s="88"/>
      <c r="K101" s="48"/>
      <c r="L101" s="89"/>
    </row>
    <row r="103" spans="1:17" x14ac:dyDescent="0.15">
      <c r="H103" s="88"/>
      <c r="I103" s="88"/>
    </row>
    <row r="105" spans="1:17" x14ac:dyDescent="0.15">
      <c r="A105" s="47" t="s">
        <v>239</v>
      </c>
    </row>
    <row r="106" spans="1:17" x14ac:dyDescent="0.15">
      <c r="A106" s="47" t="s">
        <v>316</v>
      </c>
    </row>
    <row r="107" spans="1:17" x14ac:dyDescent="0.15">
      <c r="B107" s="47" t="s">
        <v>229</v>
      </c>
      <c r="C107" s="83">
        <f t="shared" ref="C107:E108" si="44">H107+M107</f>
        <v>811406035</v>
      </c>
      <c r="D107" s="83">
        <f t="shared" si="44"/>
        <v>57566584</v>
      </c>
      <c r="E107" s="83">
        <f t="shared" si="44"/>
        <v>8618666.3699999936</v>
      </c>
      <c r="F107" s="79">
        <f>C107-D107-E107</f>
        <v>745220784.63</v>
      </c>
      <c r="G107" s="80">
        <f>ROUND(D107/C107,3)</f>
        <v>7.0999999999999994E-2</v>
      </c>
      <c r="H107" s="88">
        <v>558678671</v>
      </c>
      <c r="I107" s="88">
        <v>6629447</v>
      </c>
      <c r="J107" s="88">
        <v>846839.2</v>
      </c>
      <c r="K107" s="79">
        <f>H107-I107-J107</f>
        <v>551202384.79999995</v>
      </c>
      <c r="L107" s="80">
        <f>ROUND(I107/H107,3)</f>
        <v>1.2E-2</v>
      </c>
      <c r="M107" s="81">
        <v>252727364</v>
      </c>
      <c r="N107" s="79">
        <v>50937137</v>
      </c>
      <c r="O107" s="79">
        <v>7771827.1699999943</v>
      </c>
      <c r="P107" s="79">
        <f>M107-N107-O107</f>
        <v>194018399.83000001</v>
      </c>
      <c r="Q107" s="80">
        <f>ROUND(N107/M107,3)</f>
        <v>0.20200000000000001</v>
      </c>
    </row>
    <row r="108" spans="1:17" x14ac:dyDescent="0.15">
      <c r="B108" s="47" t="s">
        <v>230</v>
      </c>
      <c r="C108" s="83">
        <f t="shared" si="44"/>
        <v>694936324</v>
      </c>
      <c r="D108" s="83">
        <f t="shared" si="44"/>
        <v>53027695</v>
      </c>
      <c r="E108" s="83">
        <f t="shared" si="44"/>
        <v>8475033</v>
      </c>
      <c r="F108" s="79">
        <f>C108-D108-E108</f>
        <v>633433596</v>
      </c>
      <c r="G108" s="80">
        <f>ROUND(D108/C108,3)</f>
        <v>7.5999999999999998E-2</v>
      </c>
      <c r="H108" s="79">
        <v>491983678</v>
      </c>
      <c r="I108" s="79">
        <v>5951171</v>
      </c>
      <c r="J108" s="79">
        <v>821213</v>
      </c>
      <c r="K108" s="79">
        <f>H108-I108-J108</f>
        <v>485211294</v>
      </c>
      <c r="L108" s="80">
        <f>ROUND(I108/H108,3)</f>
        <v>1.2E-2</v>
      </c>
      <c r="M108" s="81">
        <v>202952646</v>
      </c>
      <c r="N108" s="79">
        <v>47076524</v>
      </c>
      <c r="O108" s="79">
        <v>7653820</v>
      </c>
      <c r="P108" s="79">
        <f>M108-N108-O108</f>
        <v>148222302</v>
      </c>
      <c r="Q108" s="80">
        <f>ROUND(N108/M108,3)</f>
        <v>0.23200000000000001</v>
      </c>
    </row>
    <row r="109" spans="1:17" x14ac:dyDescent="0.15">
      <c r="B109" s="47" t="s">
        <v>231</v>
      </c>
      <c r="C109" s="88">
        <f>C107-C108</f>
        <v>116469711</v>
      </c>
      <c r="D109" s="88">
        <f>D107-D108</f>
        <v>4538889</v>
      </c>
      <c r="E109" s="88">
        <f>E107-E108</f>
        <v>143633.36999999359</v>
      </c>
      <c r="F109" s="88">
        <f>F107-F108</f>
        <v>111787188.63</v>
      </c>
      <c r="G109" s="80">
        <f>ROUND(D109/C109,3)</f>
        <v>3.9E-2</v>
      </c>
      <c r="H109" s="88">
        <f>H107-H108</f>
        <v>66694993</v>
      </c>
      <c r="I109" s="88">
        <f>I107-I108</f>
        <v>678276</v>
      </c>
      <c r="J109" s="88">
        <f>J107-J108</f>
        <v>25626.199999999953</v>
      </c>
      <c r="K109" s="88">
        <f>K107-K108</f>
        <v>65991090.799999952</v>
      </c>
      <c r="L109" s="80">
        <f>ROUND(I109/H109,3)</f>
        <v>0.01</v>
      </c>
      <c r="M109" s="88">
        <f>M107-M108</f>
        <v>49774718</v>
      </c>
      <c r="N109" s="88">
        <f>N107-N108</f>
        <v>3860613</v>
      </c>
      <c r="O109" s="88">
        <f>O107-O108</f>
        <v>118007.16999999434</v>
      </c>
      <c r="P109" s="88">
        <f>P107-P108</f>
        <v>45796097.830000013</v>
      </c>
      <c r="Q109" s="80">
        <f>ROUND(N109/M109,3)</f>
        <v>7.8E-2</v>
      </c>
    </row>
    <row r="112" spans="1:17" x14ac:dyDescent="0.15">
      <c r="A112" s="47" t="s">
        <v>240</v>
      </c>
    </row>
    <row r="113" spans="1:17" x14ac:dyDescent="0.15">
      <c r="A113" s="47" t="s">
        <v>317</v>
      </c>
    </row>
    <row r="114" spans="1:17" x14ac:dyDescent="0.15">
      <c r="B114" s="47" t="s">
        <v>229</v>
      </c>
      <c r="C114" s="83">
        <f t="shared" ref="C114:E115" si="45">H114+M114</f>
        <v>811406035</v>
      </c>
      <c r="D114" s="83">
        <f t="shared" si="45"/>
        <v>57566584</v>
      </c>
      <c r="E114" s="83">
        <f t="shared" si="45"/>
        <v>8618666.3699999936</v>
      </c>
      <c r="F114" s="79">
        <f>C114-D114-E114</f>
        <v>745220784.63</v>
      </c>
      <c r="G114" s="80">
        <f>ROUND(D114/C114,3)</f>
        <v>7.0999999999999994E-2</v>
      </c>
      <c r="H114" s="88">
        <v>558678671</v>
      </c>
      <c r="I114" s="88">
        <v>6629447</v>
      </c>
      <c r="J114" s="88">
        <v>846839.2</v>
      </c>
      <c r="K114" s="79">
        <f>H114-I114-J114</f>
        <v>551202384.79999995</v>
      </c>
      <c r="L114" s="80">
        <f>ROUND(I114/H114,3)</f>
        <v>1.2E-2</v>
      </c>
      <c r="M114" s="81">
        <v>252727364</v>
      </c>
      <c r="N114" s="79">
        <v>50937137</v>
      </c>
      <c r="O114" s="79">
        <v>7771827.1699999943</v>
      </c>
      <c r="P114" s="79">
        <f>M114-N114-O114</f>
        <v>194018399.83000001</v>
      </c>
      <c r="Q114" s="80">
        <f>ROUND(N114/M114,3)</f>
        <v>0.20200000000000001</v>
      </c>
    </row>
    <row r="115" spans="1:17" x14ac:dyDescent="0.15">
      <c r="B115" s="47" t="s">
        <v>230</v>
      </c>
      <c r="C115" s="83">
        <f t="shared" si="45"/>
        <v>694936324</v>
      </c>
      <c r="D115" s="83">
        <f t="shared" si="45"/>
        <v>53027695</v>
      </c>
      <c r="E115" s="83">
        <f t="shared" si="45"/>
        <v>8475033</v>
      </c>
      <c r="F115" s="79">
        <f>C115-D115-E115</f>
        <v>633433596</v>
      </c>
      <c r="G115" s="80">
        <f>ROUND(D115/C115,3)</f>
        <v>7.5999999999999998E-2</v>
      </c>
      <c r="H115" s="79">
        <v>491983678</v>
      </c>
      <c r="I115" s="79">
        <v>5951171</v>
      </c>
      <c r="J115" s="79">
        <v>821213</v>
      </c>
      <c r="K115" s="79">
        <f>H115-I115-J115</f>
        <v>485211294</v>
      </c>
      <c r="L115" s="80">
        <f>ROUND(I115/H115,3)</f>
        <v>1.2E-2</v>
      </c>
      <c r="M115" s="81">
        <v>202952646</v>
      </c>
      <c r="N115" s="79">
        <v>47076524</v>
      </c>
      <c r="O115" s="79">
        <v>7653820</v>
      </c>
      <c r="P115" s="79">
        <f>M115-N115-O115</f>
        <v>148222302</v>
      </c>
      <c r="Q115" s="80">
        <f>ROUND(N115/M115,3)</f>
        <v>0.23200000000000001</v>
      </c>
    </row>
    <row r="116" spans="1:17" x14ac:dyDescent="0.15">
      <c r="B116" s="47" t="s">
        <v>231</v>
      </c>
      <c r="C116" s="88">
        <f>C114-C115</f>
        <v>116469711</v>
      </c>
      <c r="D116" s="88">
        <f>D114-D115</f>
        <v>4538889</v>
      </c>
      <c r="E116" s="88">
        <f>E114-E115</f>
        <v>143633.36999999359</v>
      </c>
      <c r="F116" s="88">
        <f>F114-F115</f>
        <v>111787188.63</v>
      </c>
      <c r="G116" s="80">
        <f>ROUND(D116/C116,3)</f>
        <v>3.9E-2</v>
      </c>
      <c r="H116" s="88">
        <f>H114-H115</f>
        <v>66694993</v>
      </c>
      <c r="I116" s="88">
        <f>I114-I115</f>
        <v>678276</v>
      </c>
      <c r="J116" s="88">
        <f>J114-J115</f>
        <v>25626.199999999953</v>
      </c>
      <c r="K116" s="88">
        <f>K114-K115</f>
        <v>65991090.799999952</v>
      </c>
      <c r="L116" s="80">
        <f>ROUND(I116/H116,3)</f>
        <v>0.01</v>
      </c>
      <c r="M116" s="88">
        <f>M114-M115</f>
        <v>49774718</v>
      </c>
      <c r="N116" s="88">
        <f>N114-N115</f>
        <v>3860613</v>
      </c>
      <c r="O116" s="88">
        <f>O114-O115</f>
        <v>118007.16999999434</v>
      </c>
      <c r="P116" s="88">
        <f>P114-P115</f>
        <v>45796097.830000013</v>
      </c>
      <c r="Q116" s="80">
        <f>ROUND(N116/M116,3)</f>
        <v>7.8E-2</v>
      </c>
    </row>
    <row r="117" spans="1:17" x14ac:dyDescent="0.15">
      <c r="B117" s="47" t="s">
        <v>242</v>
      </c>
      <c r="C117" s="96">
        <f>C116/C109</f>
        <v>1</v>
      </c>
      <c r="H117" s="96">
        <f>H116/H109</f>
        <v>1</v>
      </c>
      <c r="M117" s="96">
        <f>M116/M109</f>
        <v>1</v>
      </c>
    </row>
  </sheetData>
  <mergeCells count="3">
    <mergeCell ref="H4:L4"/>
    <mergeCell ref="M4:Q4"/>
    <mergeCell ref="C4:G4"/>
  </mergeCells>
  <phoneticPr fontId="0" type="noConversion"/>
  <printOptions gridLines="1"/>
  <pageMargins left="0.5" right="0" top="1" bottom="0.75" header="0.25" footer="0.25"/>
  <pageSetup scale="60" fitToHeight="0" orientation="landscape" r:id="rId1"/>
  <headerFooter alignWithMargins="0">
    <oddHeader>&amp;LCFL
Program Finance&amp;C&amp;A
NOVEMBER 2007 FORECAST - CSA&amp;R&amp;D</oddHeader>
    <oddFooter>&amp;L&amp;F&amp;R&amp;A</oddFooter>
  </headerFooter>
  <rowBreaks count="1" manualBreakCount="1">
    <brk id="68" max="16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76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31" sqref="C31"/>
    </sheetView>
  </sheetViews>
  <sheetFormatPr defaultRowHeight="12" x14ac:dyDescent="0.15"/>
  <cols>
    <col min="1" max="1" width="2.375" style="47" customWidth="1"/>
    <col min="2" max="2" width="18.125" style="47" customWidth="1"/>
    <col min="3" max="3" width="16" style="47" bestFit="1" customWidth="1"/>
    <col min="4" max="4" width="14" style="47" bestFit="1" customWidth="1"/>
    <col min="5" max="5" width="11.875" style="47" hidden="1" customWidth="1"/>
    <col min="6" max="6" width="16" style="47" bestFit="1" customWidth="1"/>
    <col min="7" max="7" width="7" style="47" customWidth="1"/>
    <col min="8" max="8" width="16" style="47" bestFit="1" customWidth="1"/>
    <col min="9" max="9" width="13" style="47" bestFit="1" customWidth="1"/>
    <col min="10" max="10" width="11.875" style="47" hidden="1" customWidth="1"/>
    <col min="11" max="11" width="14" style="47" customWidth="1"/>
    <col min="12" max="12" width="7" style="47" bestFit="1" customWidth="1"/>
    <col min="13" max="14" width="14" style="47" bestFit="1" customWidth="1"/>
    <col min="15" max="15" width="11.875" style="47" hidden="1" customWidth="1"/>
    <col min="16" max="16" width="14" style="47" customWidth="1"/>
    <col min="17" max="17" width="7" style="47" bestFit="1" customWidth="1"/>
    <col min="18" max="16384" width="9" style="47"/>
  </cols>
  <sheetData>
    <row r="1" spans="1:17" x14ac:dyDescent="0.15">
      <c r="A1" s="62" t="s">
        <v>233</v>
      </c>
      <c r="I1" s="63"/>
    </row>
    <row r="2" spans="1:17" x14ac:dyDescent="0.15">
      <c r="A2" s="64" t="s">
        <v>407</v>
      </c>
    </row>
    <row r="3" spans="1:17" x14ac:dyDescent="0.15">
      <c r="A3" s="65"/>
      <c r="B3" s="66"/>
      <c r="C3" s="66"/>
      <c r="D3" s="66"/>
      <c r="E3" s="66"/>
      <c r="F3" s="66"/>
      <c r="G3" s="66"/>
      <c r="H3" s="65"/>
      <c r="I3" s="65"/>
      <c r="J3" s="65"/>
      <c r="K3" s="65"/>
      <c r="L3" s="65"/>
      <c r="M3" s="65"/>
      <c r="N3" s="65"/>
      <c r="O3" s="65"/>
      <c r="P3" s="65"/>
      <c r="Q3" s="65"/>
    </row>
    <row r="4" spans="1:17" x14ac:dyDescent="0.15">
      <c r="A4" s="67"/>
      <c r="B4" s="68"/>
      <c r="C4" s="280" t="s">
        <v>209</v>
      </c>
      <c r="D4" s="280"/>
      <c r="E4" s="280"/>
      <c r="F4" s="280"/>
      <c r="G4" s="281"/>
      <c r="H4" s="280" t="s">
        <v>210</v>
      </c>
      <c r="I4" s="280"/>
      <c r="J4" s="280"/>
      <c r="K4" s="280"/>
      <c r="L4" s="281"/>
      <c r="M4" s="282" t="s">
        <v>211</v>
      </c>
      <c r="N4" s="280"/>
      <c r="O4" s="280"/>
      <c r="P4" s="280"/>
      <c r="Q4" s="281"/>
    </row>
    <row r="5" spans="1:17" ht="12.75" thickBot="1" x14ac:dyDescent="0.2">
      <c r="A5" s="69"/>
      <c r="B5" s="70"/>
      <c r="C5" s="71" t="s">
        <v>212</v>
      </c>
      <c r="D5" s="71" t="s">
        <v>213</v>
      </c>
      <c r="E5" s="71" t="s">
        <v>214</v>
      </c>
      <c r="F5" s="71" t="s">
        <v>8</v>
      </c>
      <c r="G5" s="72" t="s">
        <v>215</v>
      </c>
      <c r="H5" s="71" t="s">
        <v>212</v>
      </c>
      <c r="I5" s="71" t="s">
        <v>213</v>
      </c>
      <c r="J5" s="71" t="s">
        <v>214</v>
      </c>
      <c r="K5" s="71" t="s">
        <v>8</v>
      </c>
      <c r="L5" s="72" t="s">
        <v>215</v>
      </c>
      <c r="M5" s="73" t="s">
        <v>212</v>
      </c>
      <c r="N5" s="71" t="s">
        <v>213</v>
      </c>
      <c r="O5" s="71" t="s">
        <v>214</v>
      </c>
      <c r="P5" s="71" t="s">
        <v>8</v>
      </c>
      <c r="Q5" s="72" t="s">
        <v>215</v>
      </c>
    </row>
    <row r="6" spans="1:17" x14ac:dyDescent="0.15">
      <c r="A6" s="74" t="s">
        <v>216</v>
      </c>
      <c r="B6" s="75"/>
      <c r="C6" s="67"/>
      <c r="D6" s="67"/>
      <c r="E6" s="67"/>
      <c r="F6" s="67"/>
      <c r="G6" s="76"/>
      <c r="H6" s="67"/>
      <c r="I6" s="67"/>
      <c r="J6" s="67"/>
      <c r="K6" s="67"/>
      <c r="L6" s="76"/>
      <c r="M6" s="77"/>
      <c r="N6" s="67"/>
      <c r="O6" s="67"/>
      <c r="P6" s="67"/>
      <c r="Q6" s="76"/>
    </row>
    <row r="7" spans="1:17" x14ac:dyDescent="0.15">
      <c r="A7" s="74" t="s">
        <v>217</v>
      </c>
      <c r="B7" s="78"/>
      <c r="C7" s="67"/>
      <c r="D7" s="67"/>
      <c r="E7" s="67"/>
      <c r="F7" s="67"/>
      <c r="G7" s="76"/>
      <c r="H7" s="67"/>
      <c r="I7" s="67"/>
      <c r="J7" s="67"/>
      <c r="K7" s="67"/>
      <c r="L7" s="76"/>
      <c r="M7" s="77"/>
      <c r="N7" s="67"/>
      <c r="O7" s="67"/>
      <c r="P7" s="67"/>
      <c r="Q7" s="76"/>
    </row>
    <row r="8" spans="1:17" hidden="1" x14ac:dyDescent="0.15">
      <c r="A8" s="74"/>
      <c r="B8" s="78" t="s">
        <v>224</v>
      </c>
      <c r="C8" s="79">
        <v>846201780</v>
      </c>
      <c r="D8" s="79">
        <v>202105465</v>
      </c>
      <c r="E8" s="79">
        <v>8602824</v>
      </c>
      <c r="F8" s="79">
        <f t="shared" ref="F8:F18" si="0">C8-D8-E8</f>
        <v>635493491</v>
      </c>
      <c r="G8" s="80">
        <f t="shared" ref="G8:G18" si="1">ROUND(D8/C8,3)</f>
        <v>0.23899999999999999</v>
      </c>
      <c r="H8" s="79">
        <v>463648594</v>
      </c>
      <c r="I8" s="79">
        <v>63246706</v>
      </c>
      <c r="J8" s="79">
        <v>796859</v>
      </c>
      <c r="K8" s="79">
        <f t="shared" ref="K8:K18" si="2">H8-I8-J8</f>
        <v>399605029</v>
      </c>
      <c r="L8" s="80">
        <f t="shared" ref="L8:L18" si="3">ROUND(I8/H8,3)</f>
        <v>0.13600000000000001</v>
      </c>
      <c r="M8" s="81">
        <v>382553186</v>
      </c>
      <c r="N8" s="79">
        <v>138858759</v>
      </c>
      <c r="O8" s="79">
        <v>7805965</v>
      </c>
      <c r="P8" s="79">
        <f t="shared" ref="P8:P18" si="4">M8-N8-O8</f>
        <v>235888462</v>
      </c>
      <c r="Q8" s="80">
        <f t="shared" ref="Q8:Q18" si="5">ROUND(N8/M8,3)</f>
        <v>0.36299999999999999</v>
      </c>
    </row>
    <row r="9" spans="1:17" hidden="1" x14ac:dyDescent="0.15">
      <c r="A9" s="82"/>
      <c r="B9" s="78" t="s">
        <v>232</v>
      </c>
      <c r="C9" s="79">
        <v>859411445</v>
      </c>
      <c r="D9" s="79">
        <v>180876519</v>
      </c>
      <c r="E9" s="79">
        <v>8614249</v>
      </c>
      <c r="F9" s="79">
        <f t="shared" si="0"/>
        <v>669920677</v>
      </c>
      <c r="G9" s="80">
        <f t="shared" si="1"/>
        <v>0.21</v>
      </c>
      <c r="H9" s="79">
        <v>469739266</v>
      </c>
      <c r="I9" s="79">
        <v>51558195</v>
      </c>
      <c r="J9" s="79">
        <v>846845</v>
      </c>
      <c r="K9" s="79">
        <f t="shared" si="2"/>
        <v>417334226</v>
      </c>
      <c r="L9" s="80">
        <f t="shared" si="3"/>
        <v>0.11</v>
      </c>
      <c r="M9" s="81">
        <v>389672179</v>
      </c>
      <c r="N9" s="79">
        <v>129318324</v>
      </c>
      <c r="O9" s="79">
        <v>7767404</v>
      </c>
      <c r="P9" s="79">
        <f t="shared" si="4"/>
        <v>252586451</v>
      </c>
      <c r="Q9" s="80">
        <f t="shared" si="5"/>
        <v>0.33200000000000002</v>
      </c>
    </row>
    <row r="10" spans="1:17" hidden="1" x14ac:dyDescent="0.15">
      <c r="A10" s="82"/>
      <c r="B10" s="78" t="s">
        <v>252</v>
      </c>
      <c r="C10" s="79">
        <f t="shared" ref="C10:E18" si="6">H10+M10</f>
        <v>1321938520</v>
      </c>
      <c r="D10" s="79">
        <f t="shared" si="6"/>
        <v>183715193</v>
      </c>
      <c r="E10" s="79">
        <f t="shared" si="6"/>
        <v>7968737</v>
      </c>
      <c r="F10" s="79">
        <f t="shared" si="0"/>
        <v>1130254590</v>
      </c>
      <c r="G10" s="80">
        <f t="shared" si="1"/>
        <v>0.13900000000000001</v>
      </c>
      <c r="H10" s="79">
        <v>715448777</v>
      </c>
      <c r="I10" s="79">
        <v>40871146</v>
      </c>
      <c r="J10" s="79">
        <v>810409</v>
      </c>
      <c r="K10" s="79">
        <f t="shared" si="2"/>
        <v>673767222</v>
      </c>
      <c r="L10" s="80">
        <f t="shared" si="3"/>
        <v>5.7000000000000002E-2</v>
      </c>
      <c r="M10" s="81">
        <v>606489743</v>
      </c>
      <c r="N10" s="79">
        <v>142844047</v>
      </c>
      <c r="O10" s="79">
        <v>7158328</v>
      </c>
      <c r="P10" s="79">
        <f t="shared" si="4"/>
        <v>456487368</v>
      </c>
      <c r="Q10" s="80">
        <f t="shared" si="5"/>
        <v>0.23599999999999999</v>
      </c>
    </row>
    <row r="11" spans="1:17" hidden="1" x14ac:dyDescent="0.15">
      <c r="A11" s="82"/>
      <c r="B11" s="78" t="s">
        <v>255</v>
      </c>
      <c r="C11" s="79">
        <f t="shared" si="6"/>
        <v>1367515373</v>
      </c>
      <c r="D11" s="79">
        <f t="shared" si="6"/>
        <v>158009092</v>
      </c>
      <c r="E11" s="79">
        <f t="shared" si="6"/>
        <v>8626276</v>
      </c>
      <c r="F11" s="79">
        <f t="shared" si="0"/>
        <v>1200880005</v>
      </c>
      <c r="G11" s="80">
        <f t="shared" si="1"/>
        <v>0.11600000000000001</v>
      </c>
      <c r="H11" s="79">
        <v>745827490</v>
      </c>
      <c r="I11" s="79">
        <v>33470489</v>
      </c>
      <c r="J11" s="79">
        <v>846839</v>
      </c>
      <c r="K11" s="79">
        <f t="shared" si="2"/>
        <v>711510162</v>
      </c>
      <c r="L11" s="80">
        <f t="shared" si="3"/>
        <v>4.4999999999999998E-2</v>
      </c>
      <c r="M11" s="81">
        <v>621687883</v>
      </c>
      <c r="N11" s="79">
        <v>124538603</v>
      </c>
      <c r="O11" s="79">
        <v>7779437</v>
      </c>
      <c r="P11" s="79">
        <f t="shared" si="4"/>
        <v>489369843</v>
      </c>
      <c r="Q11" s="80">
        <f t="shared" si="5"/>
        <v>0.2</v>
      </c>
    </row>
    <row r="12" spans="1:17" x14ac:dyDescent="0.15">
      <c r="A12" s="82"/>
      <c r="B12" s="78" t="s">
        <v>271</v>
      </c>
      <c r="C12" s="79">
        <f t="shared" si="6"/>
        <v>1390899309.9999995</v>
      </c>
      <c r="D12" s="79">
        <f t="shared" si="6"/>
        <v>114382645.68000008</v>
      </c>
      <c r="E12" s="79">
        <f t="shared" si="6"/>
        <v>8618666.3699999936</v>
      </c>
      <c r="F12" s="79">
        <f t="shared" si="0"/>
        <v>1267897997.9499996</v>
      </c>
      <c r="G12" s="80">
        <f t="shared" si="1"/>
        <v>8.2000000000000003E-2</v>
      </c>
      <c r="H12" s="79">
        <v>758829706</v>
      </c>
      <c r="I12" s="79">
        <v>15421465.650000004</v>
      </c>
      <c r="J12" s="79">
        <v>846839.2</v>
      </c>
      <c r="K12" s="79">
        <f t="shared" si="2"/>
        <v>742561401.14999998</v>
      </c>
      <c r="L12" s="80">
        <f t="shared" si="3"/>
        <v>0.02</v>
      </c>
      <c r="M12" s="81">
        <v>632069603.99999952</v>
      </c>
      <c r="N12" s="79">
        <v>98961180.030000076</v>
      </c>
      <c r="O12" s="79">
        <v>7771827.1699999943</v>
      </c>
      <c r="P12" s="79">
        <f t="shared" si="4"/>
        <v>525336596.79999942</v>
      </c>
      <c r="Q12" s="80">
        <f t="shared" si="5"/>
        <v>0.157</v>
      </c>
    </row>
    <row r="13" spans="1:17" x14ac:dyDescent="0.15">
      <c r="A13" s="82"/>
      <c r="B13" s="78" t="s">
        <v>318</v>
      </c>
      <c r="C13" s="79">
        <f t="shared" si="6"/>
        <v>1436099663</v>
      </c>
      <c r="D13" s="79">
        <f t="shared" si="6"/>
        <v>86139259</v>
      </c>
      <c r="E13" s="79">
        <f t="shared" si="6"/>
        <v>8618666.1999999993</v>
      </c>
      <c r="F13" s="79">
        <f t="shared" si="0"/>
        <v>1341341737.8</v>
      </c>
      <c r="G13" s="80">
        <f t="shared" si="1"/>
        <v>0.06</v>
      </c>
      <c r="H13" s="79">
        <v>784596529</v>
      </c>
      <c r="I13" s="79">
        <v>7265045</v>
      </c>
      <c r="J13" s="79">
        <v>846839.2</v>
      </c>
      <c r="K13" s="79">
        <f t="shared" si="2"/>
        <v>776484644.79999995</v>
      </c>
      <c r="L13" s="80">
        <f t="shared" si="3"/>
        <v>8.9999999999999993E-3</v>
      </c>
      <c r="M13" s="81">
        <v>651503134</v>
      </c>
      <c r="N13" s="79">
        <v>78874214</v>
      </c>
      <c r="O13" s="79">
        <v>7771827</v>
      </c>
      <c r="P13" s="79">
        <f t="shared" si="4"/>
        <v>564857093</v>
      </c>
      <c r="Q13" s="80">
        <f t="shared" si="5"/>
        <v>0.121</v>
      </c>
    </row>
    <row r="14" spans="1:17" x14ac:dyDescent="0.15">
      <c r="A14" s="82"/>
      <c r="B14" s="78" t="s">
        <v>376</v>
      </c>
      <c r="C14" s="79">
        <f t="shared" si="6"/>
        <v>1419450282</v>
      </c>
      <c r="D14" s="79">
        <f t="shared" si="6"/>
        <v>77351868</v>
      </c>
      <c r="E14" s="79">
        <f t="shared" si="6"/>
        <v>8593182</v>
      </c>
      <c r="F14" s="79">
        <f t="shared" si="0"/>
        <v>1333505232</v>
      </c>
      <c r="G14" s="80">
        <f t="shared" si="1"/>
        <v>5.3999999999999999E-2</v>
      </c>
      <c r="H14" s="79">
        <v>774492059</v>
      </c>
      <c r="I14" s="79">
        <v>6501872</v>
      </c>
      <c r="J14" s="79">
        <v>846839</v>
      </c>
      <c r="K14" s="79">
        <f t="shared" si="2"/>
        <v>767143348</v>
      </c>
      <c r="L14" s="80">
        <f t="shared" si="3"/>
        <v>8.0000000000000002E-3</v>
      </c>
      <c r="M14" s="81">
        <v>644958223</v>
      </c>
      <c r="N14" s="79">
        <v>70849996</v>
      </c>
      <c r="O14" s="79">
        <v>7746343</v>
      </c>
      <c r="P14" s="79">
        <f t="shared" si="4"/>
        <v>566361884</v>
      </c>
      <c r="Q14" s="80">
        <f t="shared" si="5"/>
        <v>0.11</v>
      </c>
    </row>
    <row r="15" spans="1:17" x14ac:dyDescent="0.15">
      <c r="A15" s="82"/>
      <c r="B15" s="78" t="s">
        <v>300</v>
      </c>
      <c r="C15" s="79">
        <f t="shared" si="6"/>
        <v>1443589467</v>
      </c>
      <c r="D15" s="79">
        <f t="shared" si="6"/>
        <v>81657575</v>
      </c>
      <c r="E15" s="79">
        <f t="shared" si="6"/>
        <v>8501953</v>
      </c>
      <c r="F15" s="79">
        <f t="shared" si="0"/>
        <v>1353429939</v>
      </c>
      <c r="G15" s="80">
        <f t="shared" si="1"/>
        <v>5.7000000000000002E-2</v>
      </c>
      <c r="H15" s="79">
        <v>790254513</v>
      </c>
      <c r="I15" s="79">
        <v>11737581</v>
      </c>
      <c r="J15" s="79">
        <v>846839</v>
      </c>
      <c r="K15" s="79">
        <f t="shared" si="2"/>
        <v>777670093</v>
      </c>
      <c r="L15" s="80">
        <f t="shared" si="3"/>
        <v>1.4999999999999999E-2</v>
      </c>
      <c r="M15" s="81">
        <v>653334954</v>
      </c>
      <c r="N15" s="79">
        <v>69919994</v>
      </c>
      <c r="O15" s="79">
        <v>7655114</v>
      </c>
      <c r="P15" s="79">
        <f t="shared" si="4"/>
        <v>575759846</v>
      </c>
      <c r="Q15" s="80">
        <f t="shared" si="5"/>
        <v>0.107</v>
      </c>
    </row>
    <row r="16" spans="1:17" x14ac:dyDescent="0.15">
      <c r="A16" s="82"/>
      <c r="B16" s="78" t="s">
        <v>301</v>
      </c>
      <c r="C16" s="79">
        <f t="shared" si="6"/>
        <v>1462380314</v>
      </c>
      <c r="D16" s="79">
        <f t="shared" si="6"/>
        <v>92678097</v>
      </c>
      <c r="E16" s="79">
        <f t="shared" si="6"/>
        <v>8501953</v>
      </c>
      <c r="F16" s="79">
        <f t="shared" si="0"/>
        <v>1361200264</v>
      </c>
      <c r="G16" s="80">
        <f t="shared" si="1"/>
        <v>6.3E-2</v>
      </c>
      <c r="H16" s="79">
        <v>800836541</v>
      </c>
      <c r="I16" s="79">
        <v>20248938</v>
      </c>
      <c r="J16" s="79">
        <v>846839</v>
      </c>
      <c r="K16" s="79">
        <f t="shared" si="2"/>
        <v>779740764</v>
      </c>
      <c r="L16" s="80">
        <f t="shared" si="3"/>
        <v>2.5000000000000001E-2</v>
      </c>
      <c r="M16" s="81">
        <v>661543773</v>
      </c>
      <c r="N16" s="79">
        <v>72429159</v>
      </c>
      <c r="O16" s="79">
        <v>7655114</v>
      </c>
      <c r="P16" s="79">
        <f t="shared" si="4"/>
        <v>581459500</v>
      </c>
      <c r="Q16" s="80">
        <f t="shared" si="5"/>
        <v>0.109</v>
      </c>
    </row>
    <row r="17" spans="1:17" x14ac:dyDescent="0.15">
      <c r="A17" s="82"/>
      <c r="B17" s="78" t="s">
        <v>388</v>
      </c>
      <c r="C17" s="79">
        <f t="shared" si="6"/>
        <v>1485325828</v>
      </c>
      <c r="D17" s="79">
        <f t="shared" si="6"/>
        <v>91771858</v>
      </c>
      <c r="E17" s="79">
        <f t="shared" si="6"/>
        <v>8501953</v>
      </c>
      <c r="F17" s="79">
        <f t="shared" si="0"/>
        <v>1385052017</v>
      </c>
      <c r="G17" s="80">
        <f t="shared" si="1"/>
        <v>6.2E-2</v>
      </c>
      <c r="H17" s="79">
        <v>814190340</v>
      </c>
      <c r="I17" s="79">
        <v>20419887</v>
      </c>
      <c r="J17" s="79">
        <v>846839</v>
      </c>
      <c r="K17" s="79">
        <f t="shared" si="2"/>
        <v>792923614</v>
      </c>
      <c r="L17" s="80">
        <f t="shared" si="3"/>
        <v>2.5000000000000001E-2</v>
      </c>
      <c r="M17" s="81">
        <v>671135488</v>
      </c>
      <c r="N17" s="79">
        <v>71351971</v>
      </c>
      <c r="O17" s="79">
        <v>7655114</v>
      </c>
      <c r="P17" s="79">
        <f t="shared" si="4"/>
        <v>592128403</v>
      </c>
      <c r="Q17" s="80">
        <f t="shared" si="5"/>
        <v>0.106</v>
      </c>
    </row>
    <row r="18" spans="1:17" x14ac:dyDescent="0.15">
      <c r="A18" s="82"/>
      <c r="B18" s="78" t="s">
        <v>389</v>
      </c>
      <c r="C18" s="79">
        <f t="shared" si="6"/>
        <v>1513321752</v>
      </c>
      <c r="D18" s="79">
        <f t="shared" si="6"/>
        <v>88558753</v>
      </c>
      <c r="E18" s="79">
        <f t="shared" si="6"/>
        <v>8501953</v>
      </c>
      <c r="F18" s="79">
        <f t="shared" si="0"/>
        <v>1416261046</v>
      </c>
      <c r="G18" s="80">
        <f t="shared" si="1"/>
        <v>5.8999999999999997E-2</v>
      </c>
      <c r="H18" s="79">
        <v>829890376</v>
      </c>
      <c r="I18" s="79">
        <v>19321433</v>
      </c>
      <c r="J18" s="79">
        <v>846839</v>
      </c>
      <c r="K18" s="79">
        <f t="shared" si="2"/>
        <v>809722104</v>
      </c>
      <c r="L18" s="80">
        <f t="shared" si="3"/>
        <v>2.3E-2</v>
      </c>
      <c r="M18" s="81">
        <v>683431376</v>
      </c>
      <c r="N18" s="79">
        <v>69237320</v>
      </c>
      <c r="O18" s="79">
        <v>7655114</v>
      </c>
      <c r="P18" s="79">
        <f t="shared" si="4"/>
        <v>606538942</v>
      </c>
      <c r="Q18" s="80">
        <f t="shared" si="5"/>
        <v>0.10100000000000001</v>
      </c>
    </row>
    <row r="19" spans="1:17" x14ac:dyDescent="0.15">
      <c r="A19" s="74" t="s">
        <v>218</v>
      </c>
      <c r="B19" s="78"/>
      <c r="C19" s="67"/>
      <c r="D19" s="67"/>
      <c r="E19" s="67"/>
      <c r="F19" s="67"/>
      <c r="G19" s="76"/>
      <c r="H19" s="67"/>
      <c r="I19" s="67"/>
      <c r="J19" s="67"/>
      <c r="K19" s="67"/>
      <c r="L19" s="76"/>
      <c r="M19" s="77"/>
      <c r="N19" s="67"/>
      <c r="O19" s="67"/>
      <c r="P19" s="67"/>
      <c r="Q19" s="76"/>
    </row>
    <row r="20" spans="1:17" hidden="1" x14ac:dyDescent="0.15">
      <c r="A20" s="74"/>
      <c r="B20" s="78" t="s">
        <v>224</v>
      </c>
      <c r="C20" s="83">
        <v>425049704</v>
      </c>
      <c r="D20" s="83">
        <v>92532894</v>
      </c>
      <c r="E20" s="83">
        <v>8601213</v>
      </c>
      <c r="F20" s="79">
        <f t="shared" ref="F20:F30" si="7">C20-D20-E20</f>
        <v>323915597</v>
      </c>
      <c r="G20" s="80">
        <f t="shared" ref="G20:G30" si="8">ROUND(D20/C20,3)</f>
        <v>0.218</v>
      </c>
      <c r="H20" s="83">
        <v>323037108</v>
      </c>
      <c r="I20" s="83">
        <v>47948255</v>
      </c>
      <c r="J20" s="83">
        <v>796859</v>
      </c>
      <c r="K20" s="79">
        <f t="shared" ref="K20:K30" si="9">H20-I20-J20</f>
        <v>274291994</v>
      </c>
      <c r="L20" s="80">
        <f t="shared" ref="L20:L30" si="10">ROUND(I20/H20,3)</f>
        <v>0.14799999999999999</v>
      </c>
      <c r="M20" s="84">
        <v>102012596</v>
      </c>
      <c r="N20" s="83">
        <v>44584639</v>
      </c>
      <c r="O20" s="83">
        <v>7804354</v>
      </c>
      <c r="P20" s="79">
        <f t="shared" ref="P20:P30" si="11">M20-N20-O20</f>
        <v>49623603</v>
      </c>
      <c r="Q20" s="80">
        <f t="shared" ref="Q20:Q30" si="12">ROUND(N20/M20,3)</f>
        <v>0.437</v>
      </c>
    </row>
    <row r="21" spans="1:17" hidden="1" x14ac:dyDescent="0.15">
      <c r="A21" s="82"/>
      <c r="B21" s="78" t="s">
        <v>232</v>
      </c>
      <c r="C21" s="79">
        <v>505376418</v>
      </c>
      <c r="D21" s="79">
        <v>101491860</v>
      </c>
      <c r="E21" s="79">
        <v>8613573</v>
      </c>
      <c r="F21" s="79">
        <f t="shared" si="7"/>
        <v>395270985</v>
      </c>
      <c r="G21" s="80">
        <f t="shared" si="8"/>
        <v>0.20100000000000001</v>
      </c>
      <c r="H21" s="79">
        <v>358077485</v>
      </c>
      <c r="I21" s="79">
        <v>42311366</v>
      </c>
      <c r="J21" s="79">
        <v>846845</v>
      </c>
      <c r="K21" s="79">
        <f t="shared" si="9"/>
        <v>314919274</v>
      </c>
      <c r="L21" s="80">
        <f t="shared" si="10"/>
        <v>0.11799999999999999</v>
      </c>
      <c r="M21" s="81">
        <v>147298933</v>
      </c>
      <c r="N21" s="79">
        <v>59180494</v>
      </c>
      <c r="O21" s="79">
        <v>7766728</v>
      </c>
      <c r="P21" s="79">
        <f t="shared" si="11"/>
        <v>80351711</v>
      </c>
      <c r="Q21" s="80">
        <f t="shared" si="12"/>
        <v>0.40200000000000002</v>
      </c>
    </row>
    <row r="22" spans="1:17" hidden="1" x14ac:dyDescent="0.15">
      <c r="A22" s="82"/>
      <c r="B22" s="78" t="s">
        <v>252</v>
      </c>
      <c r="C22" s="79">
        <f t="shared" ref="C22:E30" si="13">H22+M22</f>
        <v>520308990</v>
      </c>
      <c r="D22" s="79">
        <f t="shared" si="13"/>
        <v>89209719</v>
      </c>
      <c r="E22" s="79">
        <f t="shared" si="13"/>
        <v>7968737</v>
      </c>
      <c r="F22" s="79">
        <f t="shared" si="7"/>
        <v>423130534</v>
      </c>
      <c r="G22" s="80">
        <f t="shared" si="8"/>
        <v>0.17100000000000001</v>
      </c>
      <c r="H22" s="79">
        <v>359469429</v>
      </c>
      <c r="I22" s="79">
        <v>30777213</v>
      </c>
      <c r="J22" s="79">
        <v>810409</v>
      </c>
      <c r="K22" s="79">
        <f t="shared" si="9"/>
        <v>327881807</v>
      </c>
      <c r="L22" s="80">
        <f t="shared" si="10"/>
        <v>8.5999999999999993E-2</v>
      </c>
      <c r="M22" s="81">
        <v>160839561</v>
      </c>
      <c r="N22" s="79">
        <v>58432506</v>
      </c>
      <c r="O22" s="79">
        <v>7158328</v>
      </c>
      <c r="P22" s="79">
        <f t="shared" si="11"/>
        <v>95248727</v>
      </c>
      <c r="Q22" s="80">
        <f t="shared" si="12"/>
        <v>0.36299999999999999</v>
      </c>
    </row>
    <row r="23" spans="1:17" hidden="1" x14ac:dyDescent="0.15">
      <c r="A23" s="82"/>
      <c r="B23" s="78" t="s">
        <v>255</v>
      </c>
      <c r="C23" s="83">
        <f t="shared" si="13"/>
        <v>630595866</v>
      </c>
      <c r="D23" s="83">
        <f t="shared" si="13"/>
        <v>92467713</v>
      </c>
      <c r="E23" s="83">
        <f t="shared" si="13"/>
        <v>8609263</v>
      </c>
      <c r="F23" s="79">
        <f t="shared" si="7"/>
        <v>529518890</v>
      </c>
      <c r="G23" s="80">
        <f t="shared" si="8"/>
        <v>0.14699999999999999</v>
      </c>
      <c r="H23" s="88">
        <v>434030380</v>
      </c>
      <c r="I23" s="88">
        <v>28415403</v>
      </c>
      <c r="J23" s="88">
        <v>846839</v>
      </c>
      <c r="K23" s="79">
        <f t="shared" si="9"/>
        <v>404768138</v>
      </c>
      <c r="L23" s="80">
        <f t="shared" si="10"/>
        <v>6.5000000000000002E-2</v>
      </c>
      <c r="M23" s="81">
        <v>196565486</v>
      </c>
      <c r="N23" s="79">
        <v>64052310</v>
      </c>
      <c r="O23" s="79">
        <v>7762424</v>
      </c>
      <c r="P23" s="79">
        <f t="shared" si="11"/>
        <v>124750752</v>
      </c>
      <c r="Q23" s="80">
        <f t="shared" si="12"/>
        <v>0.32600000000000001</v>
      </c>
    </row>
    <row r="24" spans="1:17" x14ac:dyDescent="0.15">
      <c r="A24" s="82"/>
      <c r="B24" s="78" t="s">
        <v>271</v>
      </c>
      <c r="C24" s="83">
        <f t="shared" si="13"/>
        <v>708732181</v>
      </c>
      <c r="D24" s="83">
        <f t="shared" si="13"/>
        <v>72551904</v>
      </c>
      <c r="E24" s="83">
        <f t="shared" si="13"/>
        <v>8587791.5900000017</v>
      </c>
      <c r="F24" s="79">
        <f t="shared" si="7"/>
        <v>627592485.40999997</v>
      </c>
      <c r="G24" s="80">
        <f t="shared" si="8"/>
        <v>0.10199999999999999</v>
      </c>
      <c r="H24" s="88">
        <v>494124250</v>
      </c>
      <c r="I24" s="88">
        <v>13714070</v>
      </c>
      <c r="J24" s="88">
        <v>846839.2</v>
      </c>
      <c r="K24" s="79">
        <f t="shared" si="9"/>
        <v>479563340.80000001</v>
      </c>
      <c r="L24" s="80">
        <f t="shared" si="10"/>
        <v>2.8000000000000001E-2</v>
      </c>
      <c r="M24" s="81">
        <v>214607931</v>
      </c>
      <c r="N24" s="79">
        <v>58837834</v>
      </c>
      <c r="O24" s="79">
        <v>7740952.3900000015</v>
      </c>
      <c r="P24" s="79">
        <f t="shared" si="11"/>
        <v>148029144.60999998</v>
      </c>
      <c r="Q24" s="80">
        <f t="shared" si="12"/>
        <v>0.27400000000000002</v>
      </c>
    </row>
    <row r="25" spans="1:17" x14ac:dyDescent="0.15">
      <c r="A25" s="82"/>
      <c r="B25" s="78" t="s">
        <v>318</v>
      </c>
      <c r="C25" s="83">
        <f t="shared" si="13"/>
        <v>694936324</v>
      </c>
      <c r="D25" s="83">
        <f t="shared" si="13"/>
        <v>53027695</v>
      </c>
      <c r="E25" s="83">
        <f t="shared" si="13"/>
        <v>8475033</v>
      </c>
      <c r="F25" s="79">
        <f t="shared" si="7"/>
        <v>633433596</v>
      </c>
      <c r="G25" s="80">
        <f t="shared" si="8"/>
        <v>7.5999999999999998E-2</v>
      </c>
      <c r="H25" s="79">
        <v>491983678</v>
      </c>
      <c r="I25" s="79">
        <v>5951171</v>
      </c>
      <c r="J25" s="79">
        <v>821213</v>
      </c>
      <c r="K25" s="79">
        <f t="shared" si="9"/>
        <v>485211294</v>
      </c>
      <c r="L25" s="80">
        <f t="shared" si="10"/>
        <v>1.2E-2</v>
      </c>
      <c r="M25" s="81">
        <v>202952646</v>
      </c>
      <c r="N25" s="79">
        <v>47076524</v>
      </c>
      <c r="O25" s="79">
        <v>7653820</v>
      </c>
      <c r="P25" s="79">
        <f t="shared" si="11"/>
        <v>148222302</v>
      </c>
      <c r="Q25" s="80">
        <f t="shared" si="12"/>
        <v>0.23200000000000001</v>
      </c>
    </row>
    <row r="26" spans="1:17" x14ac:dyDescent="0.15">
      <c r="A26" s="82"/>
      <c r="B26" s="78" t="s">
        <v>376</v>
      </c>
      <c r="C26" s="79">
        <f t="shared" si="13"/>
        <v>781047980</v>
      </c>
      <c r="D26" s="79">
        <f t="shared" si="13"/>
        <v>51629490.759999998</v>
      </c>
      <c r="E26" s="79">
        <f t="shared" si="13"/>
        <v>8593182.1999999993</v>
      </c>
      <c r="F26" s="79">
        <f t="shared" si="7"/>
        <v>720825307.03999996</v>
      </c>
      <c r="G26" s="80">
        <f t="shared" si="8"/>
        <v>6.6000000000000003E-2</v>
      </c>
      <c r="H26" s="88">
        <v>550368568</v>
      </c>
      <c r="I26" s="88">
        <v>5872113.7599999988</v>
      </c>
      <c r="J26" s="88">
        <v>846839.2</v>
      </c>
      <c r="K26" s="79">
        <f>H26-I26-J26</f>
        <v>543649615.03999996</v>
      </c>
      <c r="L26" s="80">
        <f t="shared" si="10"/>
        <v>1.0999999999999999E-2</v>
      </c>
      <c r="M26" s="81">
        <v>230679412</v>
      </c>
      <c r="N26" s="79">
        <v>45757377</v>
      </c>
      <c r="O26" s="79">
        <v>7746343</v>
      </c>
      <c r="P26" s="79">
        <f>M26-N26-O26</f>
        <v>177175692</v>
      </c>
      <c r="Q26" s="80">
        <f t="shared" si="12"/>
        <v>0.19800000000000001</v>
      </c>
    </row>
    <row r="27" spans="1:17" x14ac:dyDescent="0.15">
      <c r="A27" s="82"/>
      <c r="B27" s="78" t="s">
        <v>300</v>
      </c>
      <c r="C27" s="79">
        <f t="shared" si="13"/>
        <v>796062121</v>
      </c>
      <c r="D27" s="79">
        <f t="shared" si="13"/>
        <v>58052312</v>
      </c>
      <c r="E27" s="79">
        <f t="shared" si="13"/>
        <v>8522641</v>
      </c>
      <c r="F27" s="79">
        <f t="shared" si="7"/>
        <v>729487168</v>
      </c>
      <c r="G27" s="80">
        <f t="shared" si="8"/>
        <v>7.2999999999999995E-2</v>
      </c>
      <c r="H27" s="88">
        <v>557313523</v>
      </c>
      <c r="I27" s="88">
        <v>10697177</v>
      </c>
      <c r="J27" s="88">
        <v>846839</v>
      </c>
      <c r="K27" s="79">
        <f>H27-I27-J27</f>
        <v>545769507</v>
      </c>
      <c r="L27" s="80">
        <f>ROUND(I27/H27,3)</f>
        <v>1.9E-2</v>
      </c>
      <c r="M27" s="81">
        <v>238748598</v>
      </c>
      <c r="N27" s="79">
        <v>47355135</v>
      </c>
      <c r="O27" s="79">
        <v>7675802</v>
      </c>
      <c r="P27" s="79">
        <f>M27-N27-O27</f>
        <v>183717661</v>
      </c>
      <c r="Q27" s="80">
        <f>ROUND(N27/M27,3)</f>
        <v>0.19800000000000001</v>
      </c>
    </row>
    <row r="28" spans="1:17" x14ac:dyDescent="0.15">
      <c r="A28" s="82"/>
      <c r="B28" s="78" t="s">
        <v>301</v>
      </c>
      <c r="C28" s="79">
        <f t="shared" si="13"/>
        <v>798562264</v>
      </c>
      <c r="D28" s="79">
        <f t="shared" si="13"/>
        <v>67199585</v>
      </c>
      <c r="E28" s="79">
        <f t="shared" si="13"/>
        <v>8522641</v>
      </c>
      <c r="F28" s="79">
        <f t="shared" si="7"/>
        <v>722840038</v>
      </c>
      <c r="G28" s="80">
        <f t="shared" si="8"/>
        <v>8.4000000000000005E-2</v>
      </c>
      <c r="H28" s="79">
        <v>560714944</v>
      </c>
      <c r="I28" s="79">
        <v>18662722</v>
      </c>
      <c r="J28" s="79">
        <v>846839</v>
      </c>
      <c r="K28" s="79">
        <f t="shared" si="9"/>
        <v>541205383</v>
      </c>
      <c r="L28" s="80">
        <f t="shared" si="10"/>
        <v>3.3000000000000002E-2</v>
      </c>
      <c r="M28" s="81">
        <v>237847320</v>
      </c>
      <c r="N28" s="79">
        <v>48536863</v>
      </c>
      <c r="O28" s="79">
        <v>7675802</v>
      </c>
      <c r="P28" s="79">
        <f t="shared" si="11"/>
        <v>181634655</v>
      </c>
      <c r="Q28" s="80">
        <f t="shared" si="12"/>
        <v>0.20399999999999999</v>
      </c>
    </row>
    <row r="29" spans="1:17" x14ac:dyDescent="0.15">
      <c r="A29" s="82"/>
      <c r="B29" s="78" t="s">
        <v>388</v>
      </c>
      <c r="C29" s="79">
        <f t="shared" si="13"/>
        <v>802952513</v>
      </c>
      <c r="D29" s="79">
        <f t="shared" si="13"/>
        <v>66676609</v>
      </c>
      <c r="E29" s="79">
        <f t="shared" si="13"/>
        <v>8522641</v>
      </c>
      <c r="F29" s="79">
        <f t="shared" si="7"/>
        <v>727753263</v>
      </c>
      <c r="G29" s="80">
        <f t="shared" si="8"/>
        <v>8.3000000000000004E-2</v>
      </c>
      <c r="H29" s="79">
        <v>565713967</v>
      </c>
      <c r="I29" s="79">
        <v>18871870</v>
      </c>
      <c r="J29" s="79">
        <v>846839</v>
      </c>
      <c r="K29" s="79">
        <f t="shared" si="9"/>
        <v>545995258</v>
      </c>
      <c r="L29" s="80">
        <f t="shared" si="10"/>
        <v>3.3000000000000002E-2</v>
      </c>
      <c r="M29" s="81">
        <v>237238546</v>
      </c>
      <c r="N29" s="79">
        <v>47804739</v>
      </c>
      <c r="O29" s="79">
        <v>7675802</v>
      </c>
      <c r="P29" s="79">
        <f t="shared" si="11"/>
        <v>181758005</v>
      </c>
      <c r="Q29" s="80">
        <f t="shared" si="12"/>
        <v>0.20200000000000001</v>
      </c>
    </row>
    <row r="30" spans="1:17" x14ac:dyDescent="0.15">
      <c r="A30" s="82"/>
      <c r="B30" s="78" t="s">
        <v>389</v>
      </c>
      <c r="C30" s="79">
        <f t="shared" si="13"/>
        <v>809060654</v>
      </c>
      <c r="D30" s="79">
        <f t="shared" si="13"/>
        <v>64433321</v>
      </c>
      <c r="E30" s="79">
        <f t="shared" si="13"/>
        <v>8522641</v>
      </c>
      <c r="F30" s="79">
        <f t="shared" si="7"/>
        <v>736104692</v>
      </c>
      <c r="G30" s="80">
        <f t="shared" si="8"/>
        <v>0.08</v>
      </c>
      <c r="H30" s="79">
        <v>571720854</v>
      </c>
      <c r="I30" s="79">
        <v>17924775</v>
      </c>
      <c r="J30" s="79">
        <v>846839</v>
      </c>
      <c r="K30" s="79">
        <f t="shared" si="9"/>
        <v>552949240</v>
      </c>
      <c r="L30" s="80">
        <f t="shared" si="10"/>
        <v>3.1E-2</v>
      </c>
      <c r="M30" s="81">
        <v>237339800</v>
      </c>
      <c r="N30" s="79">
        <v>46508546</v>
      </c>
      <c r="O30" s="79">
        <v>7675802</v>
      </c>
      <c r="P30" s="79">
        <f t="shared" si="11"/>
        <v>183155452</v>
      </c>
      <c r="Q30" s="80">
        <f t="shared" si="12"/>
        <v>0.19600000000000001</v>
      </c>
    </row>
    <row r="31" spans="1:17" x14ac:dyDescent="0.15">
      <c r="A31" s="74" t="s">
        <v>420</v>
      </c>
      <c r="B31" s="78"/>
      <c r="C31" s="67"/>
      <c r="D31" s="67"/>
      <c r="E31" s="67"/>
      <c r="F31" s="67"/>
      <c r="G31" s="76"/>
      <c r="H31" s="67"/>
      <c r="I31" s="67"/>
      <c r="J31" s="67"/>
      <c r="K31" s="67"/>
      <c r="L31" s="76"/>
      <c r="M31" s="77"/>
      <c r="N31" s="67"/>
      <c r="O31" s="67"/>
      <c r="P31" s="67"/>
      <c r="Q31" s="76"/>
    </row>
    <row r="32" spans="1:17" x14ac:dyDescent="0.15">
      <c r="A32" s="74" t="s">
        <v>219</v>
      </c>
      <c r="B32" s="78"/>
      <c r="C32" s="67"/>
      <c r="D32" s="67"/>
      <c r="E32" s="67"/>
      <c r="F32" s="67"/>
      <c r="G32" s="76"/>
      <c r="H32" s="67"/>
      <c r="I32" s="67"/>
      <c r="J32" s="67"/>
      <c r="K32" s="67"/>
      <c r="L32" s="76"/>
      <c r="M32" s="77"/>
      <c r="N32" s="67"/>
      <c r="O32" s="67"/>
      <c r="P32" s="67"/>
      <c r="Q32" s="76"/>
    </row>
    <row r="33" spans="1:17" hidden="1" x14ac:dyDescent="0.15">
      <c r="A33" s="74"/>
      <c r="B33" s="78" t="s">
        <v>135</v>
      </c>
      <c r="C33" s="67"/>
      <c r="D33" s="67"/>
      <c r="E33" s="67"/>
      <c r="F33" s="67"/>
      <c r="G33" s="76"/>
      <c r="H33" s="67"/>
      <c r="I33" s="67"/>
      <c r="J33" s="67"/>
      <c r="K33" s="67"/>
      <c r="L33" s="76"/>
      <c r="M33" s="67"/>
      <c r="N33" s="67"/>
      <c r="O33" s="67"/>
      <c r="P33" s="67"/>
      <c r="Q33" s="76"/>
    </row>
    <row r="34" spans="1:17" hidden="1" x14ac:dyDescent="0.15">
      <c r="A34" s="74"/>
      <c r="B34" s="78" t="s">
        <v>136</v>
      </c>
      <c r="C34" s="67"/>
      <c r="D34" s="67"/>
      <c r="E34" s="67"/>
      <c r="F34" s="67"/>
      <c r="G34" s="76"/>
      <c r="H34" s="67"/>
      <c r="I34" s="67"/>
      <c r="J34" s="67"/>
      <c r="K34" s="67"/>
      <c r="L34" s="76"/>
      <c r="M34" s="67"/>
      <c r="N34" s="67"/>
      <c r="O34" s="67"/>
      <c r="P34" s="67"/>
      <c r="Q34" s="76"/>
    </row>
    <row r="35" spans="1:17" hidden="1" x14ac:dyDescent="0.15">
      <c r="A35" s="74"/>
      <c r="B35" s="78" t="s">
        <v>224</v>
      </c>
      <c r="C35" s="83">
        <f t="shared" ref="C35:F36" si="14">C8-C20</f>
        <v>421152076</v>
      </c>
      <c r="D35" s="83">
        <f t="shared" si="14"/>
        <v>109572571</v>
      </c>
      <c r="E35" s="83">
        <f t="shared" si="14"/>
        <v>1611</v>
      </c>
      <c r="F35" s="83">
        <f t="shared" si="14"/>
        <v>311577894</v>
      </c>
      <c r="G35" s="80">
        <f t="shared" ref="G35:G43" si="15">ROUND(D35/C35,3)</f>
        <v>0.26</v>
      </c>
      <c r="H35" s="83">
        <f t="shared" ref="H35:K41" si="16">H8-H20</f>
        <v>140611486</v>
      </c>
      <c r="I35" s="83">
        <f t="shared" si="16"/>
        <v>15298451</v>
      </c>
      <c r="J35" s="83">
        <f t="shared" si="16"/>
        <v>0</v>
      </c>
      <c r="K35" s="83">
        <f t="shared" si="16"/>
        <v>125313035</v>
      </c>
      <c r="L35" s="80">
        <f t="shared" ref="L35:L45" si="17">ROUND(I35/H35,3)</f>
        <v>0.109</v>
      </c>
      <c r="M35" s="83">
        <f t="shared" ref="M35:P42" si="18">M8-M20</f>
        <v>280540590</v>
      </c>
      <c r="N35" s="83">
        <f t="shared" si="18"/>
        <v>94274120</v>
      </c>
      <c r="O35" s="83">
        <f t="shared" si="18"/>
        <v>1611</v>
      </c>
      <c r="P35" s="83">
        <f t="shared" si="18"/>
        <v>186264859</v>
      </c>
      <c r="Q35" s="80">
        <f t="shared" ref="Q35:Q43" si="19">ROUND(N35/M35,3)</f>
        <v>0.33600000000000002</v>
      </c>
    </row>
    <row r="36" spans="1:17" hidden="1" x14ac:dyDescent="0.15">
      <c r="A36" s="82"/>
      <c r="B36" s="78" t="s">
        <v>232</v>
      </c>
      <c r="C36" s="83">
        <f t="shared" si="14"/>
        <v>354035027</v>
      </c>
      <c r="D36" s="83">
        <f t="shared" si="14"/>
        <v>79384659</v>
      </c>
      <c r="E36" s="83">
        <f t="shared" si="14"/>
        <v>676</v>
      </c>
      <c r="F36" s="83">
        <f t="shared" si="14"/>
        <v>274649692</v>
      </c>
      <c r="G36" s="80">
        <f t="shared" si="15"/>
        <v>0.224</v>
      </c>
      <c r="H36" s="83">
        <f t="shared" si="16"/>
        <v>111661781</v>
      </c>
      <c r="I36" s="83">
        <f t="shared" si="16"/>
        <v>9246829</v>
      </c>
      <c r="J36" s="83">
        <f t="shared" si="16"/>
        <v>0</v>
      </c>
      <c r="K36" s="83">
        <f t="shared" si="16"/>
        <v>102414952</v>
      </c>
      <c r="L36" s="80">
        <f t="shared" si="17"/>
        <v>8.3000000000000004E-2</v>
      </c>
      <c r="M36" s="83">
        <f t="shared" si="18"/>
        <v>242373246</v>
      </c>
      <c r="N36" s="83">
        <f t="shared" si="18"/>
        <v>70137830</v>
      </c>
      <c r="O36" s="83">
        <f t="shared" si="18"/>
        <v>676</v>
      </c>
      <c r="P36" s="83">
        <f t="shared" si="18"/>
        <v>172234740</v>
      </c>
      <c r="Q36" s="80">
        <f t="shared" si="19"/>
        <v>0.28899999999999998</v>
      </c>
    </row>
    <row r="37" spans="1:17" hidden="1" x14ac:dyDescent="0.15">
      <c r="A37" s="82"/>
      <c r="B37" s="78" t="s">
        <v>252</v>
      </c>
      <c r="C37" s="79">
        <f t="shared" ref="C37:E45" si="20">H37+M37</f>
        <v>801629530</v>
      </c>
      <c r="D37" s="79">
        <f t="shared" si="20"/>
        <v>94505474</v>
      </c>
      <c r="E37" s="79">
        <f>J37+O37</f>
        <v>0</v>
      </c>
      <c r="F37" s="83">
        <f t="shared" ref="F37:F45" si="21">F10-F22</f>
        <v>707124056</v>
      </c>
      <c r="G37" s="80">
        <f t="shared" si="15"/>
        <v>0.11799999999999999</v>
      </c>
      <c r="H37" s="83">
        <f t="shared" si="16"/>
        <v>355979348</v>
      </c>
      <c r="I37" s="83">
        <f t="shared" si="16"/>
        <v>10093933</v>
      </c>
      <c r="J37" s="83">
        <f t="shared" si="16"/>
        <v>0</v>
      </c>
      <c r="K37" s="83">
        <f t="shared" si="16"/>
        <v>345885415</v>
      </c>
      <c r="L37" s="80">
        <f t="shared" si="17"/>
        <v>2.8000000000000001E-2</v>
      </c>
      <c r="M37" s="84">
        <f t="shared" si="18"/>
        <v>445650182</v>
      </c>
      <c r="N37" s="83">
        <f t="shared" si="18"/>
        <v>84411541</v>
      </c>
      <c r="O37" s="83">
        <f t="shared" si="18"/>
        <v>0</v>
      </c>
      <c r="P37" s="83">
        <f t="shared" si="18"/>
        <v>361238641</v>
      </c>
      <c r="Q37" s="80">
        <f t="shared" si="19"/>
        <v>0.189</v>
      </c>
    </row>
    <row r="38" spans="1:17" hidden="1" x14ac:dyDescent="0.15">
      <c r="A38" s="82"/>
      <c r="B38" s="78" t="s">
        <v>255</v>
      </c>
      <c r="C38" s="79">
        <f t="shared" si="20"/>
        <v>736919507</v>
      </c>
      <c r="D38" s="79">
        <f t="shared" si="20"/>
        <v>65541379</v>
      </c>
      <c r="E38" s="79">
        <f t="shared" si="20"/>
        <v>17013</v>
      </c>
      <c r="F38" s="83">
        <f t="shared" si="21"/>
        <v>671361115</v>
      </c>
      <c r="G38" s="80">
        <f t="shared" si="15"/>
        <v>8.8999999999999996E-2</v>
      </c>
      <c r="H38" s="83">
        <f t="shared" si="16"/>
        <v>311797110</v>
      </c>
      <c r="I38" s="83">
        <f t="shared" si="16"/>
        <v>5055086</v>
      </c>
      <c r="J38" s="83">
        <f t="shared" si="16"/>
        <v>0</v>
      </c>
      <c r="K38" s="83">
        <f t="shared" si="16"/>
        <v>306742024</v>
      </c>
      <c r="L38" s="80">
        <f t="shared" si="17"/>
        <v>1.6E-2</v>
      </c>
      <c r="M38" s="84">
        <f t="shared" si="18"/>
        <v>425122397</v>
      </c>
      <c r="N38" s="83">
        <f t="shared" si="18"/>
        <v>60486293</v>
      </c>
      <c r="O38" s="83">
        <f t="shared" si="18"/>
        <v>17013</v>
      </c>
      <c r="P38" s="83">
        <f t="shared" si="18"/>
        <v>364619091</v>
      </c>
      <c r="Q38" s="80">
        <f t="shared" si="19"/>
        <v>0.14199999999999999</v>
      </c>
    </row>
    <row r="39" spans="1:17" x14ac:dyDescent="0.15">
      <c r="A39" s="82"/>
      <c r="B39" s="78" t="s">
        <v>271</v>
      </c>
      <c r="C39" s="79">
        <f t="shared" si="20"/>
        <v>682167128.99999952</v>
      </c>
      <c r="D39" s="79">
        <f t="shared" si="20"/>
        <v>41830741.680000082</v>
      </c>
      <c r="E39" s="79">
        <f t="shared" si="20"/>
        <v>30874.77999999281</v>
      </c>
      <c r="F39" s="83">
        <f t="shared" si="21"/>
        <v>640305512.5399996</v>
      </c>
      <c r="G39" s="80">
        <f t="shared" si="15"/>
        <v>6.0999999999999999E-2</v>
      </c>
      <c r="H39" s="83">
        <f t="shared" si="16"/>
        <v>264705456</v>
      </c>
      <c r="I39" s="83">
        <f t="shared" si="16"/>
        <v>1707395.6500000041</v>
      </c>
      <c r="J39" s="83">
        <f t="shared" si="16"/>
        <v>0</v>
      </c>
      <c r="K39" s="83">
        <f t="shared" si="16"/>
        <v>262998060.34999996</v>
      </c>
      <c r="L39" s="80">
        <f t="shared" si="17"/>
        <v>6.0000000000000001E-3</v>
      </c>
      <c r="M39" s="84">
        <f t="shared" si="18"/>
        <v>417461672.99999952</v>
      </c>
      <c r="N39" s="83">
        <f t="shared" si="18"/>
        <v>40123346.030000076</v>
      </c>
      <c r="O39" s="83">
        <f t="shared" si="18"/>
        <v>30874.77999999281</v>
      </c>
      <c r="P39" s="83">
        <f t="shared" si="18"/>
        <v>377307452.18999946</v>
      </c>
      <c r="Q39" s="80">
        <f t="shared" si="19"/>
        <v>9.6000000000000002E-2</v>
      </c>
    </row>
    <row r="40" spans="1:17" x14ac:dyDescent="0.15">
      <c r="A40" s="82"/>
      <c r="B40" s="78" t="s">
        <v>318</v>
      </c>
      <c r="C40" s="79">
        <f t="shared" si="20"/>
        <v>741163339</v>
      </c>
      <c r="D40" s="79">
        <f t="shared" si="20"/>
        <v>33111564</v>
      </c>
      <c r="E40" s="79">
        <f t="shared" si="20"/>
        <v>143633.19999999995</v>
      </c>
      <c r="F40" s="83">
        <f t="shared" si="21"/>
        <v>707908141.79999995</v>
      </c>
      <c r="G40" s="80">
        <f t="shared" si="15"/>
        <v>4.4999999999999998E-2</v>
      </c>
      <c r="H40" s="83">
        <f t="shared" si="16"/>
        <v>292612851</v>
      </c>
      <c r="I40" s="83">
        <f t="shared" si="16"/>
        <v>1313874</v>
      </c>
      <c r="J40" s="83">
        <f t="shared" si="16"/>
        <v>25626.199999999953</v>
      </c>
      <c r="K40" s="83">
        <f t="shared" si="16"/>
        <v>291273350.79999995</v>
      </c>
      <c r="L40" s="80">
        <f t="shared" si="17"/>
        <v>4.0000000000000001E-3</v>
      </c>
      <c r="M40" s="84">
        <f t="shared" si="18"/>
        <v>448550488</v>
      </c>
      <c r="N40" s="83">
        <f t="shared" si="18"/>
        <v>31797690</v>
      </c>
      <c r="O40" s="83">
        <f t="shared" si="18"/>
        <v>118007</v>
      </c>
      <c r="P40" s="83">
        <f t="shared" si="18"/>
        <v>416634791</v>
      </c>
      <c r="Q40" s="80">
        <f t="shared" si="19"/>
        <v>7.0999999999999994E-2</v>
      </c>
    </row>
    <row r="41" spans="1:17" x14ac:dyDescent="0.15">
      <c r="A41" s="82"/>
      <c r="B41" s="78" t="s">
        <v>376</v>
      </c>
      <c r="C41" s="79">
        <f t="shared" si="20"/>
        <v>638402302</v>
      </c>
      <c r="D41" s="79">
        <f t="shared" si="20"/>
        <v>25722377.240000002</v>
      </c>
      <c r="E41" s="79">
        <f t="shared" si="20"/>
        <v>-0.19999999995343387</v>
      </c>
      <c r="F41" s="83">
        <f t="shared" si="21"/>
        <v>612679924.96000004</v>
      </c>
      <c r="G41" s="80">
        <f t="shared" si="15"/>
        <v>0.04</v>
      </c>
      <c r="H41" s="83">
        <f t="shared" si="16"/>
        <v>224123491</v>
      </c>
      <c r="I41" s="83">
        <f t="shared" si="16"/>
        <v>629758.24000000115</v>
      </c>
      <c r="J41" s="83">
        <f t="shared" si="16"/>
        <v>-0.19999999995343387</v>
      </c>
      <c r="K41" s="83">
        <f t="shared" si="16"/>
        <v>223493732.96000004</v>
      </c>
      <c r="L41" s="80">
        <f t="shared" si="17"/>
        <v>3.0000000000000001E-3</v>
      </c>
      <c r="M41" s="84">
        <f t="shared" si="18"/>
        <v>414278811</v>
      </c>
      <c r="N41" s="83">
        <f t="shared" si="18"/>
        <v>25092619</v>
      </c>
      <c r="O41" s="83">
        <f t="shared" si="18"/>
        <v>0</v>
      </c>
      <c r="P41" s="83">
        <f t="shared" si="18"/>
        <v>389186192</v>
      </c>
      <c r="Q41" s="80">
        <f t="shared" si="19"/>
        <v>6.0999999999999999E-2</v>
      </c>
    </row>
    <row r="42" spans="1:17" x14ac:dyDescent="0.15">
      <c r="A42" s="82"/>
      <c r="B42" s="78" t="s">
        <v>300</v>
      </c>
      <c r="C42" s="79">
        <f>H42+M42</f>
        <v>647527346</v>
      </c>
      <c r="D42" s="79">
        <f t="shared" si="20"/>
        <v>23605263</v>
      </c>
      <c r="E42" s="79">
        <f t="shared" si="20"/>
        <v>-20688</v>
      </c>
      <c r="F42" s="83">
        <f t="shared" si="21"/>
        <v>623942771</v>
      </c>
      <c r="G42" s="80">
        <f t="shared" si="15"/>
        <v>3.5999999999999997E-2</v>
      </c>
      <c r="H42" s="83">
        <f>H15-H27</f>
        <v>232940990</v>
      </c>
      <c r="I42" s="83">
        <f>I15-I27</f>
        <v>1040404</v>
      </c>
      <c r="J42" s="83">
        <f>J15-J27</f>
        <v>0</v>
      </c>
      <c r="K42" s="83">
        <f>K15-K27-K104</f>
        <v>231900586</v>
      </c>
      <c r="L42" s="80">
        <f t="shared" si="17"/>
        <v>4.0000000000000001E-3</v>
      </c>
      <c r="M42" s="83">
        <f>M15-M27</f>
        <v>414586356</v>
      </c>
      <c r="N42" s="83">
        <f t="shared" si="18"/>
        <v>22564859</v>
      </c>
      <c r="O42" s="83">
        <f t="shared" si="18"/>
        <v>-20688</v>
      </c>
      <c r="P42" s="83">
        <f t="shared" ref="M42:P45" si="22">P15-P27-P104</f>
        <v>392042185</v>
      </c>
      <c r="Q42" s="80">
        <f t="shared" si="19"/>
        <v>5.3999999999999999E-2</v>
      </c>
    </row>
    <row r="43" spans="1:17" x14ac:dyDescent="0.15">
      <c r="A43" s="82"/>
      <c r="B43" s="78" t="s">
        <v>301</v>
      </c>
      <c r="C43" s="79">
        <f t="shared" si="20"/>
        <v>663818050</v>
      </c>
      <c r="D43" s="79">
        <f t="shared" si="20"/>
        <v>25478512</v>
      </c>
      <c r="E43" s="79">
        <f t="shared" si="20"/>
        <v>-20688</v>
      </c>
      <c r="F43" s="83">
        <f t="shared" si="21"/>
        <v>638360226</v>
      </c>
      <c r="G43" s="80">
        <f t="shared" si="15"/>
        <v>3.7999999999999999E-2</v>
      </c>
      <c r="H43" s="83">
        <f>H16-H28-H105</f>
        <v>240121597</v>
      </c>
      <c r="I43" s="83">
        <f>IF(I16-I28-I105&lt;0,0,I16-I28-I105)</f>
        <v>1586216</v>
      </c>
      <c r="J43" s="83">
        <f t="shared" ref="J43:K45" si="23">J16-J28-J105</f>
        <v>0</v>
      </c>
      <c r="K43" s="83">
        <f t="shared" si="23"/>
        <v>238535381</v>
      </c>
      <c r="L43" s="80">
        <f t="shared" si="17"/>
        <v>7.0000000000000001E-3</v>
      </c>
      <c r="M43" s="84">
        <f t="shared" si="22"/>
        <v>423696453</v>
      </c>
      <c r="N43" s="83">
        <f t="shared" si="22"/>
        <v>23892296</v>
      </c>
      <c r="O43" s="83">
        <f t="shared" si="22"/>
        <v>-20688</v>
      </c>
      <c r="P43" s="83">
        <f t="shared" si="22"/>
        <v>399824845</v>
      </c>
      <c r="Q43" s="80">
        <f t="shared" si="19"/>
        <v>5.6000000000000001E-2</v>
      </c>
    </row>
    <row r="44" spans="1:17" x14ac:dyDescent="0.15">
      <c r="A44" s="82"/>
      <c r="B44" s="78" t="s">
        <v>388</v>
      </c>
      <c r="C44" s="79">
        <f t="shared" si="20"/>
        <v>623757315</v>
      </c>
      <c r="D44" s="79">
        <f t="shared" si="20"/>
        <v>23252249</v>
      </c>
      <c r="E44" s="79">
        <f t="shared" si="20"/>
        <v>-20688</v>
      </c>
      <c r="F44" s="83">
        <f t="shared" si="21"/>
        <v>657298754</v>
      </c>
      <c r="G44" s="80">
        <f>ROUND(D44/C44,3)</f>
        <v>3.6999999999999998E-2</v>
      </c>
      <c r="H44" s="83">
        <f>H17-H29-H106</f>
        <v>218460373</v>
      </c>
      <c r="I44" s="83">
        <f>IF(I17-I29-I106&lt;0,0,I17-I29-I106)</f>
        <v>1307017</v>
      </c>
      <c r="J44" s="83">
        <f t="shared" si="23"/>
        <v>0</v>
      </c>
      <c r="K44" s="83">
        <f t="shared" si="23"/>
        <v>217153356</v>
      </c>
      <c r="L44" s="80">
        <f t="shared" si="17"/>
        <v>6.0000000000000001E-3</v>
      </c>
      <c r="M44" s="84">
        <f t="shared" si="22"/>
        <v>405296942</v>
      </c>
      <c r="N44" s="83">
        <f t="shared" si="22"/>
        <v>21945232</v>
      </c>
      <c r="O44" s="83">
        <f t="shared" si="22"/>
        <v>-20688</v>
      </c>
      <c r="P44" s="83">
        <f t="shared" si="22"/>
        <v>383372398</v>
      </c>
      <c r="Q44" s="80">
        <f>ROUND(N44/M44,3)</f>
        <v>5.3999999999999999E-2</v>
      </c>
    </row>
    <row r="45" spans="1:17" x14ac:dyDescent="0.15">
      <c r="A45" s="82"/>
      <c r="B45" s="78" t="s">
        <v>389</v>
      </c>
      <c r="C45" s="79">
        <f t="shared" si="20"/>
        <v>611144098</v>
      </c>
      <c r="D45" s="79">
        <f t="shared" si="20"/>
        <v>21239432</v>
      </c>
      <c r="E45" s="79">
        <f t="shared" si="20"/>
        <v>-20688</v>
      </c>
      <c r="F45" s="83">
        <f t="shared" si="21"/>
        <v>680156354</v>
      </c>
      <c r="G45" s="80">
        <f>ROUND(D45/C45,3)</f>
        <v>3.5000000000000003E-2</v>
      </c>
      <c r="H45" s="83">
        <f>H18-H30-H107</f>
        <v>210675522</v>
      </c>
      <c r="I45" s="83">
        <f>IF(I18-I30-I107&lt;0,0,I18-I30-I107)</f>
        <v>1032658</v>
      </c>
      <c r="J45" s="83">
        <f t="shared" si="23"/>
        <v>0</v>
      </c>
      <c r="K45" s="83">
        <f t="shared" si="23"/>
        <v>209642864</v>
      </c>
      <c r="L45" s="80">
        <f t="shared" si="17"/>
        <v>5.0000000000000001E-3</v>
      </c>
      <c r="M45" s="84">
        <f t="shared" si="22"/>
        <v>400468576</v>
      </c>
      <c r="N45" s="83">
        <f t="shared" si="22"/>
        <v>20206774</v>
      </c>
      <c r="O45" s="83">
        <f t="shared" si="22"/>
        <v>-20688</v>
      </c>
      <c r="P45" s="83">
        <f t="shared" si="22"/>
        <v>380282490</v>
      </c>
      <c r="Q45" s="80">
        <f>ROUND(N45/M45,3)</f>
        <v>0.05</v>
      </c>
    </row>
    <row r="46" spans="1:17" x14ac:dyDescent="0.15">
      <c r="A46" s="74" t="s">
        <v>220</v>
      </c>
      <c r="B46" s="78"/>
      <c r="C46" s="67"/>
      <c r="D46" s="67"/>
      <c r="E46" s="67"/>
      <c r="F46" s="67"/>
      <c r="G46" s="76"/>
      <c r="H46" s="67"/>
      <c r="I46" s="67"/>
      <c r="J46" s="67"/>
      <c r="K46" s="67"/>
      <c r="L46" s="76"/>
      <c r="M46" s="77"/>
      <c r="N46" s="67"/>
      <c r="O46" s="67"/>
      <c r="P46" s="67"/>
      <c r="Q46" s="76"/>
    </row>
    <row r="47" spans="1:17" x14ac:dyDescent="0.15">
      <c r="A47" s="74" t="s">
        <v>221</v>
      </c>
      <c r="B47" s="78"/>
      <c r="C47" s="67"/>
      <c r="D47" s="67"/>
      <c r="E47" s="67"/>
      <c r="F47" s="67"/>
      <c r="G47" s="76"/>
      <c r="H47" s="67"/>
      <c r="I47" s="67"/>
      <c r="J47" s="67"/>
      <c r="K47" s="67"/>
      <c r="L47" s="76"/>
      <c r="M47" s="77"/>
      <c r="N47" s="67"/>
      <c r="O47" s="67"/>
      <c r="P47" s="67"/>
      <c r="Q47" s="76"/>
    </row>
    <row r="48" spans="1:17" x14ac:dyDescent="0.15">
      <c r="A48" s="74"/>
      <c r="B48" s="78" t="s">
        <v>222</v>
      </c>
      <c r="C48" s="85">
        <v>0.35699999999999998</v>
      </c>
      <c r="D48" s="85"/>
      <c r="E48" s="67"/>
      <c r="F48" s="67"/>
      <c r="G48" s="76"/>
      <c r="H48" s="85"/>
      <c r="I48" s="85"/>
      <c r="J48" s="67"/>
      <c r="K48" s="67"/>
      <c r="L48" s="76"/>
      <c r="M48" s="86"/>
      <c r="N48" s="85"/>
      <c r="O48" s="67"/>
      <c r="P48" s="67"/>
      <c r="Q48" s="76"/>
    </row>
    <row r="49" spans="1:17" x14ac:dyDescent="0.15">
      <c r="A49" s="82"/>
      <c r="B49" s="78" t="s">
        <v>223</v>
      </c>
      <c r="C49" s="85">
        <v>0.26694882367573819</v>
      </c>
      <c r="D49" s="85"/>
      <c r="E49" s="67"/>
      <c r="F49" s="67"/>
      <c r="G49" s="76"/>
      <c r="H49" s="85"/>
      <c r="I49" s="85"/>
      <c r="J49" s="67"/>
      <c r="K49" s="67"/>
      <c r="L49" s="76"/>
      <c r="M49" s="86"/>
      <c r="N49" s="85"/>
      <c r="O49" s="67"/>
      <c r="P49" s="67"/>
      <c r="Q49" s="76"/>
    </row>
    <row r="50" spans="1:17" x14ac:dyDescent="0.15">
      <c r="A50" s="82"/>
      <c r="B50" s="78" t="s">
        <v>224</v>
      </c>
      <c r="C50" s="85">
        <v>0.253</v>
      </c>
      <c r="D50" s="85">
        <v>0.32118080449647918</v>
      </c>
      <c r="E50" s="67"/>
      <c r="F50" s="67"/>
      <c r="G50" s="76"/>
      <c r="H50" s="85">
        <f>H64/H35</f>
        <v>0.32675148600591564</v>
      </c>
      <c r="I50" s="85"/>
      <c r="J50" s="67"/>
      <c r="K50" s="67"/>
      <c r="L50" s="76"/>
      <c r="M50" s="86">
        <f>M64/M35</f>
        <v>0.21650640287025846</v>
      </c>
      <c r="N50" s="85"/>
      <c r="O50" s="67"/>
      <c r="P50" s="67"/>
      <c r="Q50" s="76"/>
    </row>
    <row r="51" spans="1:17" x14ac:dyDescent="0.15">
      <c r="A51" s="82"/>
      <c r="B51" s="78" t="s">
        <v>232</v>
      </c>
      <c r="C51" s="85">
        <f>C65/C36</f>
        <v>0.14640814904452942</v>
      </c>
      <c r="D51" s="85">
        <v>0.44962068804754834</v>
      </c>
      <c r="E51" s="67"/>
      <c r="F51" s="67"/>
      <c r="G51" s="76"/>
      <c r="H51" s="85">
        <f>H65/H36</f>
        <v>7.738465142339078E-2</v>
      </c>
      <c r="I51" s="85">
        <v>0.88513447366659426</v>
      </c>
      <c r="J51" s="67"/>
      <c r="K51" s="67"/>
      <c r="L51" s="76"/>
      <c r="M51" s="86">
        <f>M65/M36</f>
        <v>0.1782073958773486</v>
      </c>
      <c r="N51" s="85">
        <v>0.37529302831296601</v>
      </c>
      <c r="O51" s="67"/>
      <c r="P51" s="67"/>
      <c r="Q51" s="76"/>
    </row>
    <row r="52" spans="1:17" x14ac:dyDescent="0.15">
      <c r="A52" s="82"/>
      <c r="B52" s="78" t="s">
        <v>252</v>
      </c>
      <c r="C52" s="85">
        <f>C66/C37</f>
        <v>0.10055092905571979</v>
      </c>
      <c r="D52" s="85">
        <v>0.1874280742721845</v>
      </c>
      <c r="E52" s="67"/>
      <c r="F52" s="67"/>
      <c r="G52" s="76"/>
      <c r="H52" s="85">
        <f>H66/H37</f>
        <v>0.12103536410769537</v>
      </c>
      <c r="I52" s="85">
        <v>0.27378475763609683</v>
      </c>
      <c r="J52" s="67"/>
      <c r="K52" s="67"/>
      <c r="L52" s="76"/>
      <c r="M52" s="85">
        <f>M66/M37</f>
        <v>8.4188238926827141E-2</v>
      </c>
      <c r="N52" s="85">
        <v>0.1771015411269414</v>
      </c>
      <c r="O52" s="67"/>
      <c r="P52" s="67"/>
      <c r="Q52" s="76"/>
    </row>
    <row r="53" spans="1:17" x14ac:dyDescent="0.15">
      <c r="A53" s="82"/>
      <c r="B53" s="78" t="s">
        <v>255</v>
      </c>
      <c r="C53" s="85">
        <v>0.1660721367940316</v>
      </c>
      <c r="D53" s="85">
        <v>0.27291792589957592</v>
      </c>
      <c r="E53" s="85"/>
      <c r="F53" s="67"/>
      <c r="G53" s="76"/>
      <c r="H53" s="85">
        <v>0.25142900688545528</v>
      </c>
      <c r="I53" s="85">
        <v>0.69116667251856578</v>
      </c>
      <c r="J53" s="67"/>
      <c r="K53" s="67"/>
      <c r="L53" s="76"/>
      <c r="M53" s="85">
        <v>9.5216932600951765E-2</v>
      </c>
      <c r="N53" s="85">
        <v>0.18247246272824771</v>
      </c>
      <c r="O53" s="67"/>
      <c r="P53" s="67"/>
      <c r="Q53" s="76"/>
    </row>
    <row r="54" spans="1:17" x14ac:dyDescent="0.15">
      <c r="A54" s="82"/>
      <c r="B54" s="78" t="s">
        <v>271</v>
      </c>
      <c r="C54" s="85">
        <v>0.29425638108155472</v>
      </c>
      <c r="D54" s="85">
        <v>0.33706100884230777</v>
      </c>
      <c r="E54" s="135"/>
      <c r="F54" s="67"/>
      <c r="G54" s="76"/>
      <c r="H54" s="115">
        <v>0.44182564339446129</v>
      </c>
      <c r="I54" s="115">
        <v>0.80160113335003813</v>
      </c>
      <c r="J54" s="67"/>
      <c r="K54" s="67"/>
      <c r="L54" s="76"/>
      <c r="M54" s="115">
        <v>0.16217973638181443</v>
      </c>
      <c r="N54" s="115">
        <v>0.26563159684386251</v>
      </c>
      <c r="O54" s="67"/>
      <c r="P54" s="67"/>
      <c r="Q54" s="76"/>
    </row>
    <row r="55" spans="1:17" x14ac:dyDescent="0.15">
      <c r="A55" s="82"/>
      <c r="B55" s="78" t="s">
        <v>318</v>
      </c>
      <c r="C55" s="85">
        <v>0.15714445773470725</v>
      </c>
      <c r="D55" s="85">
        <v>0.13707866532671184</v>
      </c>
      <c r="E55" s="67"/>
      <c r="F55" s="67"/>
      <c r="G55" s="76"/>
      <c r="H55" s="85">
        <v>0.22792913151992766</v>
      </c>
      <c r="I55" s="85">
        <v>0.51624128341073805</v>
      </c>
      <c r="J55" s="67"/>
      <c r="K55" s="67"/>
      <c r="L55" s="76"/>
      <c r="M55" s="85">
        <v>0.1109679274276032</v>
      </c>
      <c r="N55" s="85">
        <v>0.12141174406065346</v>
      </c>
      <c r="O55" s="67"/>
      <c r="P55" s="67"/>
      <c r="Q55" s="76"/>
    </row>
    <row r="56" spans="1:17" x14ac:dyDescent="0.15">
      <c r="A56" s="82"/>
      <c r="B56" s="78" t="s">
        <v>376</v>
      </c>
      <c r="C56" s="85">
        <v>8.788128592422681E-2</v>
      </c>
      <c r="D56" s="85">
        <v>0.25912609670390957</v>
      </c>
      <c r="E56" s="67"/>
      <c r="F56" s="67"/>
      <c r="G56" s="76"/>
      <c r="H56" s="115">
        <v>8.0813488480307699E-2</v>
      </c>
      <c r="I56" s="115">
        <v>0.24263572547873435</v>
      </c>
      <c r="J56" s="67"/>
      <c r="K56" s="67"/>
      <c r="L56" s="76"/>
      <c r="M56" s="115">
        <v>9.1862185938779248E-2</v>
      </c>
      <c r="N56" s="115">
        <v>0.25962232604596797</v>
      </c>
      <c r="O56" s="67"/>
      <c r="P56" s="67"/>
      <c r="Q56" s="76"/>
    </row>
    <row r="57" spans="1:17" x14ac:dyDescent="0.15">
      <c r="A57" s="82"/>
      <c r="B57" s="78" t="s">
        <v>300</v>
      </c>
      <c r="C57" s="85">
        <v>0.13076077580579623</v>
      </c>
      <c r="D57" s="85">
        <v>0.23460788739649471</v>
      </c>
      <c r="E57" s="67"/>
      <c r="F57" s="67"/>
      <c r="G57" s="76"/>
      <c r="H57" s="85">
        <v>0.14024564419486499</v>
      </c>
      <c r="I57" s="115">
        <v>0.23499607707040657</v>
      </c>
      <c r="J57" s="67"/>
      <c r="K57" s="67"/>
      <c r="L57" s="76"/>
      <c r="M57" s="85">
        <v>0.12556658553393074</v>
      </c>
      <c r="N57" s="115">
        <v>0.2345914299639793</v>
      </c>
      <c r="O57" s="67"/>
      <c r="P57" s="67"/>
      <c r="Q57" s="76"/>
    </row>
    <row r="58" spans="1:17" x14ac:dyDescent="0.15">
      <c r="A58" s="82"/>
      <c r="B58" s="78" t="s">
        <v>315</v>
      </c>
      <c r="C58" s="85">
        <f>C72/C43</f>
        <v>0.18617450971693222</v>
      </c>
      <c r="D58" s="85">
        <f t="shared" ref="C58:D60" si="24">D72/D43</f>
        <v>0.15934996517850022</v>
      </c>
      <c r="E58" s="67"/>
      <c r="F58" s="67"/>
      <c r="G58" s="76"/>
      <c r="H58" s="105">
        <v>0.25</v>
      </c>
      <c r="I58" s="106">
        <v>0.3</v>
      </c>
      <c r="J58" s="67"/>
      <c r="K58" s="67"/>
      <c r="L58" s="76"/>
      <c r="M58" s="105">
        <v>0.15</v>
      </c>
      <c r="N58" s="106">
        <v>0.15</v>
      </c>
      <c r="O58" s="67"/>
      <c r="P58" s="67"/>
      <c r="Q58" s="76"/>
    </row>
    <row r="59" spans="1:17" x14ac:dyDescent="0.15">
      <c r="A59" s="82"/>
      <c r="B59" s="78" t="s">
        <v>405</v>
      </c>
      <c r="C59" s="85">
        <f t="shared" si="24"/>
        <v>0.14802070898358924</v>
      </c>
      <c r="D59" s="85">
        <f t="shared" si="24"/>
        <v>0.12734252071702828</v>
      </c>
      <c r="E59" s="67"/>
      <c r="F59" s="67"/>
      <c r="G59" s="76"/>
      <c r="H59" s="105">
        <v>0.2</v>
      </c>
      <c r="I59" s="106">
        <v>0.25</v>
      </c>
      <c r="J59" s="67"/>
      <c r="K59" s="67"/>
      <c r="L59" s="76"/>
      <c r="M59" s="105">
        <v>0.12</v>
      </c>
      <c r="N59" s="106">
        <v>0.12</v>
      </c>
      <c r="O59" s="67"/>
      <c r="P59" s="67"/>
      <c r="Q59" s="76"/>
    </row>
    <row r="60" spans="1:17" x14ac:dyDescent="0.15">
      <c r="A60" s="82"/>
      <c r="B60" s="78" t="s">
        <v>406</v>
      </c>
      <c r="C60" s="85">
        <f t="shared" si="24"/>
        <v>0.18447367874278317</v>
      </c>
      <c r="D60" s="85">
        <f t="shared" si="24"/>
        <v>0.157348840590464</v>
      </c>
      <c r="E60" s="67"/>
      <c r="F60" s="67"/>
      <c r="G60" s="76"/>
      <c r="H60" s="105">
        <v>0.25</v>
      </c>
      <c r="I60" s="106">
        <v>0.3</v>
      </c>
      <c r="J60" s="67"/>
      <c r="K60" s="67"/>
      <c r="L60" s="76"/>
      <c r="M60" s="105">
        <v>0.15</v>
      </c>
      <c r="N60" s="106">
        <v>0.15</v>
      </c>
      <c r="O60" s="67"/>
      <c r="P60" s="67"/>
      <c r="Q60" s="76"/>
    </row>
    <row r="61" spans="1:17" x14ac:dyDescent="0.15">
      <c r="A61" s="74" t="s">
        <v>226</v>
      </c>
      <c r="B61" s="78"/>
      <c r="C61" s="67"/>
      <c r="D61" s="67"/>
      <c r="E61" s="67"/>
      <c r="F61" s="67"/>
      <c r="G61" s="76"/>
      <c r="H61" s="67"/>
      <c r="I61" s="67"/>
      <c r="J61" s="67"/>
      <c r="K61" s="67"/>
      <c r="L61" s="76"/>
      <c r="M61" s="77"/>
      <c r="N61" s="67"/>
      <c r="O61" s="67"/>
      <c r="P61" s="67"/>
      <c r="Q61" s="76"/>
    </row>
    <row r="62" spans="1:17" hidden="1" x14ac:dyDescent="0.15">
      <c r="A62" s="74"/>
      <c r="B62" s="78" t="s">
        <v>135</v>
      </c>
      <c r="C62" s="67"/>
      <c r="D62" s="67"/>
      <c r="E62" s="67"/>
      <c r="F62" s="67"/>
      <c r="G62" s="76"/>
      <c r="H62" s="67"/>
      <c r="I62" s="67"/>
      <c r="J62" s="67"/>
      <c r="K62" s="67"/>
      <c r="L62" s="76"/>
      <c r="M62" s="77"/>
      <c r="N62" s="67"/>
      <c r="O62" s="67"/>
      <c r="P62" s="67"/>
      <c r="Q62" s="76"/>
    </row>
    <row r="63" spans="1:17" hidden="1" x14ac:dyDescent="0.15">
      <c r="A63" s="74"/>
      <c r="B63" s="78" t="s">
        <v>136</v>
      </c>
      <c r="C63" s="67"/>
      <c r="D63" s="67"/>
      <c r="E63" s="67"/>
      <c r="F63" s="67"/>
      <c r="G63" s="76"/>
      <c r="H63" s="67"/>
      <c r="I63" s="67"/>
      <c r="J63" s="67"/>
      <c r="K63" s="67"/>
      <c r="L63" s="76"/>
      <c r="M63" s="77"/>
      <c r="N63" s="67"/>
      <c r="O63" s="67"/>
      <c r="P63" s="67"/>
      <c r="Q63" s="76"/>
    </row>
    <row r="64" spans="1:17" x14ac:dyDescent="0.15">
      <c r="A64" s="74"/>
      <c r="B64" s="78" t="s">
        <v>137</v>
      </c>
      <c r="C64" s="83">
        <v>106683846</v>
      </c>
      <c r="D64" s="83">
        <v>35692985</v>
      </c>
      <c r="E64" s="83">
        <v>0</v>
      </c>
      <c r="F64" s="79">
        <f t="shared" ref="F64:F69" si="25">C64-D64-E64</f>
        <v>70990861</v>
      </c>
      <c r="G64" s="80">
        <f t="shared" ref="G64:G72" si="26">ROUND(D64/C64,3)</f>
        <v>0.33500000000000002</v>
      </c>
      <c r="H64" s="83">
        <v>45945012</v>
      </c>
      <c r="I64" s="83">
        <v>8184687.1200000001</v>
      </c>
      <c r="J64" s="83">
        <v>0</v>
      </c>
      <c r="K64" s="79">
        <f>H64-I64-J64</f>
        <v>37760324.880000003</v>
      </c>
      <c r="L64" s="136">
        <f t="shared" ref="L64:L72" si="27">ROUND(I64/H64,3)</f>
        <v>0.17799999999999999</v>
      </c>
      <c r="M64" s="84">
        <v>60738834</v>
      </c>
      <c r="N64" s="83">
        <v>26322238.619999997</v>
      </c>
      <c r="O64" s="83">
        <v>0</v>
      </c>
      <c r="P64" s="79">
        <f>M64-N64-O64</f>
        <v>34416595.380000003</v>
      </c>
      <c r="Q64" s="136">
        <f t="shared" ref="Q64:Q72" si="28">ROUND(N64/M64,3)</f>
        <v>0.433</v>
      </c>
    </row>
    <row r="65" spans="1:17" x14ac:dyDescent="0.15">
      <c r="A65" s="82"/>
      <c r="B65" s="78" t="s">
        <v>138</v>
      </c>
      <c r="C65" s="83">
        <v>51833613</v>
      </c>
      <c r="D65" s="83">
        <v>20049585</v>
      </c>
      <c r="E65" s="83">
        <v>90182</v>
      </c>
      <c r="F65" s="79">
        <f t="shared" si="25"/>
        <v>31693846</v>
      </c>
      <c r="G65" s="80">
        <f t="shared" si="26"/>
        <v>0.38700000000000001</v>
      </c>
      <c r="H65" s="83">
        <v>8640908</v>
      </c>
      <c r="I65" s="83">
        <v>2309689</v>
      </c>
      <c r="J65" s="83">
        <v>0</v>
      </c>
      <c r="K65" s="79">
        <f>H65-I65-J65</f>
        <v>6331219</v>
      </c>
      <c r="L65" s="136">
        <f t="shared" si="27"/>
        <v>0.26700000000000002</v>
      </c>
      <c r="M65" s="84">
        <v>43192705</v>
      </c>
      <c r="N65" s="83">
        <v>17739896</v>
      </c>
      <c r="O65" s="83">
        <v>90182</v>
      </c>
      <c r="P65" s="79">
        <f>M65-N65-O65</f>
        <v>25362627</v>
      </c>
      <c r="Q65" s="136">
        <f t="shared" si="28"/>
        <v>0.41099999999999998</v>
      </c>
    </row>
    <row r="66" spans="1:17" x14ac:dyDescent="0.15">
      <c r="A66" s="82"/>
      <c r="B66" s="78" t="s">
        <v>139</v>
      </c>
      <c r="C66" s="83">
        <v>80604594</v>
      </c>
      <c r="D66" s="83">
        <v>17712979</v>
      </c>
      <c r="E66" s="83">
        <v>640526</v>
      </c>
      <c r="F66" s="79">
        <f t="shared" si="25"/>
        <v>62251089</v>
      </c>
      <c r="G66" s="80">
        <f t="shared" si="26"/>
        <v>0.22</v>
      </c>
      <c r="H66" s="83">
        <v>43086090</v>
      </c>
      <c r="I66" s="83">
        <v>2763565</v>
      </c>
      <c r="J66" s="83">
        <v>36430</v>
      </c>
      <c r="K66" s="79">
        <f>H66-I66-J66</f>
        <v>40286095</v>
      </c>
      <c r="L66" s="136">
        <f t="shared" si="27"/>
        <v>6.4000000000000001E-2</v>
      </c>
      <c r="M66" s="83">
        <v>37518504</v>
      </c>
      <c r="N66" s="83">
        <v>14949414</v>
      </c>
      <c r="O66" s="83">
        <v>604096</v>
      </c>
      <c r="P66" s="79">
        <f>M66-N66-O66</f>
        <v>21964994</v>
      </c>
      <c r="Q66" s="136">
        <f t="shared" si="28"/>
        <v>0.39800000000000002</v>
      </c>
    </row>
    <row r="67" spans="1:17" x14ac:dyDescent="0.15">
      <c r="A67" s="82"/>
      <c r="B67" s="78" t="s">
        <v>164</v>
      </c>
      <c r="C67" s="83">
        <f t="shared" ref="C67:E74" si="29">H67+M67</f>
        <v>132846937</v>
      </c>
      <c r="D67" s="83">
        <f t="shared" si="29"/>
        <v>21727531</v>
      </c>
      <c r="E67" s="83">
        <f t="shared" si="29"/>
        <v>17013</v>
      </c>
      <c r="F67" s="79">
        <f t="shared" si="25"/>
        <v>111102393</v>
      </c>
      <c r="G67" s="80">
        <f t="shared" si="26"/>
        <v>0.16400000000000001</v>
      </c>
      <c r="H67" s="83">
        <v>91227822</v>
      </c>
      <c r="I67" s="83">
        <v>9783429</v>
      </c>
      <c r="J67" s="83">
        <v>0</v>
      </c>
      <c r="K67" s="79">
        <f>H67-I67-J67</f>
        <v>81444393</v>
      </c>
      <c r="L67" s="136">
        <f t="shared" si="27"/>
        <v>0.107</v>
      </c>
      <c r="M67" s="83">
        <v>41619115</v>
      </c>
      <c r="N67" s="83">
        <v>11944102</v>
      </c>
      <c r="O67" s="83">
        <v>17013</v>
      </c>
      <c r="P67" s="79">
        <f>M67-N67-O67</f>
        <v>29658000</v>
      </c>
      <c r="Q67" s="136">
        <f t="shared" si="28"/>
        <v>0.28699999999999998</v>
      </c>
    </row>
    <row r="68" spans="1:17" x14ac:dyDescent="0.15">
      <c r="A68" s="82"/>
      <c r="B68" s="78" t="s">
        <v>165</v>
      </c>
      <c r="C68" s="83">
        <f t="shared" si="29"/>
        <v>249443034.99999994</v>
      </c>
      <c r="D68" s="83">
        <f t="shared" si="29"/>
        <v>19001846.610000022</v>
      </c>
      <c r="E68" s="83">
        <f t="shared" si="29"/>
        <v>327949.06999999116</v>
      </c>
      <c r="F68" s="79">
        <f t="shared" si="25"/>
        <v>230113239.31999993</v>
      </c>
      <c r="G68" s="80">
        <f t="shared" si="26"/>
        <v>7.5999999999999998E-2</v>
      </c>
      <c r="H68" s="83">
        <v>176581063</v>
      </c>
      <c r="I68" s="83">
        <v>6022580.0800000001</v>
      </c>
      <c r="J68" s="83">
        <v>125994.05</v>
      </c>
      <c r="K68" s="79">
        <f>H68-I68-J68</f>
        <v>170432488.86999997</v>
      </c>
      <c r="L68" s="136">
        <f t="shared" si="27"/>
        <v>3.4000000000000002E-2</v>
      </c>
      <c r="M68" s="84">
        <v>72861971.99999994</v>
      </c>
      <c r="N68" s="83">
        <v>12979266.530000024</v>
      </c>
      <c r="O68" s="83">
        <v>201955.01999999117</v>
      </c>
      <c r="P68" s="79">
        <f>M68-N68-O68</f>
        <v>59680750.449999928</v>
      </c>
      <c r="Q68" s="136">
        <f t="shared" si="28"/>
        <v>0.17799999999999999</v>
      </c>
    </row>
    <row r="69" spans="1:17" x14ac:dyDescent="0.15">
      <c r="A69" s="82"/>
      <c r="B69" s="78" t="s">
        <v>249</v>
      </c>
      <c r="C69" s="83">
        <f t="shared" si="29"/>
        <v>116469711</v>
      </c>
      <c r="D69" s="83">
        <f t="shared" si="29"/>
        <v>4538889</v>
      </c>
      <c r="E69" s="83">
        <f t="shared" si="29"/>
        <v>143633.36999999435</v>
      </c>
      <c r="F69" s="79">
        <f t="shared" si="25"/>
        <v>111787188.63000001</v>
      </c>
      <c r="G69" s="80">
        <f t="shared" si="26"/>
        <v>3.9E-2</v>
      </c>
      <c r="H69" s="83">
        <v>66694993</v>
      </c>
      <c r="I69" s="83">
        <v>678276</v>
      </c>
      <c r="J69" s="83">
        <v>25626.2</v>
      </c>
      <c r="K69" s="79">
        <v>65991090.799999952</v>
      </c>
      <c r="L69" s="136">
        <f t="shared" si="27"/>
        <v>0.01</v>
      </c>
      <c r="M69" s="84">
        <v>49774718</v>
      </c>
      <c r="N69" s="83">
        <v>3860613</v>
      </c>
      <c r="O69" s="83">
        <v>118007.16999999434</v>
      </c>
      <c r="P69" s="79">
        <v>45796097.830000013</v>
      </c>
      <c r="Q69" s="136">
        <f t="shared" si="28"/>
        <v>7.8E-2</v>
      </c>
    </row>
    <row r="70" spans="1:17" x14ac:dyDescent="0.15">
      <c r="A70" s="82"/>
      <c r="B70" s="78" t="s">
        <v>250</v>
      </c>
      <c r="C70" s="83">
        <f>H70+M70</f>
        <v>59021197.999999881</v>
      </c>
      <c r="D70" s="83">
        <f t="shared" si="29"/>
        <v>7375716.7599999988</v>
      </c>
      <c r="E70" s="83">
        <f>J70+O70</f>
        <v>316715.2</v>
      </c>
      <c r="F70" s="79">
        <f>C70-D70-E70</f>
        <v>51328766.03999988</v>
      </c>
      <c r="G70" s="80">
        <f t="shared" si="26"/>
        <v>0.125</v>
      </c>
      <c r="H70" s="83">
        <v>19555352.999999881</v>
      </c>
      <c r="I70" s="83">
        <v>201754.75999999885</v>
      </c>
      <c r="J70" s="83">
        <v>22957.200000000001</v>
      </c>
      <c r="K70" s="79">
        <f>H70-I70-J70</f>
        <v>19330641.039999884</v>
      </c>
      <c r="L70" s="136">
        <f t="shared" si="27"/>
        <v>0.01</v>
      </c>
      <c r="M70" s="84">
        <v>39465845</v>
      </c>
      <c r="N70" s="83">
        <v>7173962</v>
      </c>
      <c r="O70" s="83">
        <v>293758</v>
      </c>
      <c r="P70" s="79">
        <f>M70-N70-O70</f>
        <v>31998125</v>
      </c>
      <c r="Q70" s="136">
        <f t="shared" si="28"/>
        <v>0.182</v>
      </c>
    </row>
    <row r="71" spans="1:17" x14ac:dyDescent="0.15">
      <c r="A71" s="82"/>
      <c r="B71" s="78" t="s">
        <v>300</v>
      </c>
      <c r="C71" s="83">
        <f t="shared" si="29"/>
        <v>87223757</v>
      </c>
      <c r="D71" s="83">
        <f t="shared" si="29"/>
        <v>6183188</v>
      </c>
      <c r="E71" s="83">
        <f t="shared" si="29"/>
        <v>20688.199999999953</v>
      </c>
      <c r="F71" s="79">
        <f>C71-D71-E71</f>
        <v>81019880.799999997</v>
      </c>
      <c r="G71" s="80">
        <f t="shared" si="26"/>
        <v>7.0999999999999994E-2</v>
      </c>
      <c r="H71" s="88">
        <v>33102922</v>
      </c>
      <c r="I71" s="88">
        <v>251893</v>
      </c>
      <c r="J71" s="88">
        <v>0.19999999995343387</v>
      </c>
      <c r="K71" s="88">
        <f>K69-K70</f>
        <v>46660449.760000065</v>
      </c>
      <c r="L71" s="80">
        <f>ROUND(I71/H71,3)</f>
        <v>8.0000000000000002E-3</v>
      </c>
      <c r="M71" s="88">
        <v>54120835</v>
      </c>
      <c r="N71" s="88">
        <v>5931295</v>
      </c>
      <c r="O71" s="88">
        <v>20688</v>
      </c>
      <c r="P71" s="88">
        <f>P69-P70</f>
        <v>13797972.830000013</v>
      </c>
      <c r="Q71" s="80">
        <f>ROUND(N71/M71,3)</f>
        <v>0.11</v>
      </c>
    </row>
    <row r="72" spans="1:17" x14ac:dyDescent="0.15">
      <c r="A72" s="82"/>
      <c r="B72" s="78" t="s">
        <v>315</v>
      </c>
      <c r="C72" s="83">
        <f t="shared" si="29"/>
        <v>123586000</v>
      </c>
      <c r="D72" s="83">
        <f t="shared" si="29"/>
        <v>4060000</v>
      </c>
      <c r="E72" s="83">
        <f t="shared" si="29"/>
        <v>143633.36999999435</v>
      </c>
      <c r="F72" s="79">
        <f>C72-D72-E72</f>
        <v>119382366.63000001</v>
      </c>
      <c r="G72" s="80">
        <f t="shared" si="26"/>
        <v>3.3000000000000002E-2</v>
      </c>
      <c r="H72" s="83">
        <f t="shared" ref="H72:I74" si="30">ROUNDUP(H43*H58,-3)</f>
        <v>60031000</v>
      </c>
      <c r="I72" s="83">
        <f t="shared" si="30"/>
        <v>476000</v>
      </c>
      <c r="J72" s="83">
        <v>25626.2</v>
      </c>
      <c r="K72" s="79">
        <f>H72-I72-J72</f>
        <v>59529373.799999997</v>
      </c>
      <c r="L72" s="136">
        <f t="shared" si="27"/>
        <v>8.0000000000000002E-3</v>
      </c>
      <c r="M72" s="84">
        <f t="shared" ref="M72:N74" si="31">ROUNDUP(M43*M58,-3)</f>
        <v>63555000</v>
      </c>
      <c r="N72" s="83">
        <f t="shared" si="31"/>
        <v>3584000</v>
      </c>
      <c r="O72" s="83">
        <v>118007.16999999434</v>
      </c>
      <c r="P72" s="79">
        <f>M72-N72-O72</f>
        <v>59852992.830000006</v>
      </c>
      <c r="Q72" s="136">
        <f t="shared" si="28"/>
        <v>5.6000000000000001E-2</v>
      </c>
    </row>
    <row r="73" spans="1:17" x14ac:dyDescent="0.15">
      <c r="A73" s="82"/>
      <c r="B73" s="78" t="s">
        <v>405</v>
      </c>
      <c r="C73" s="83">
        <f t="shared" si="29"/>
        <v>92329000</v>
      </c>
      <c r="D73" s="83">
        <f t="shared" si="29"/>
        <v>2961000</v>
      </c>
      <c r="E73" s="83">
        <f t="shared" si="29"/>
        <v>143633.36999999435</v>
      </c>
      <c r="F73" s="79">
        <f>C73-D73-E73</f>
        <v>89224366.63000001</v>
      </c>
      <c r="G73" s="80">
        <f>ROUND(D73/C73,3)</f>
        <v>3.2000000000000001E-2</v>
      </c>
      <c r="H73" s="83">
        <f t="shared" si="30"/>
        <v>43693000</v>
      </c>
      <c r="I73" s="83">
        <f t="shared" si="30"/>
        <v>327000</v>
      </c>
      <c r="J73" s="83">
        <v>25626.2</v>
      </c>
      <c r="K73" s="79">
        <f>H73-I73-J73</f>
        <v>43340373.799999997</v>
      </c>
      <c r="L73" s="136">
        <f>ROUND(I73/H73,3)</f>
        <v>7.0000000000000001E-3</v>
      </c>
      <c r="M73" s="84">
        <f t="shared" si="31"/>
        <v>48636000</v>
      </c>
      <c r="N73" s="83">
        <f t="shared" si="31"/>
        <v>2634000</v>
      </c>
      <c r="O73" s="83">
        <v>118007.16999999434</v>
      </c>
      <c r="P73" s="79">
        <f>M73-N73-O73</f>
        <v>45883992.830000006</v>
      </c>
      <c r="Q73" s="136">
        <f>ROUND(N73/M73,3)</f>
        <v>5.3999999999999999E-2</v>
      </c>
    </row>
    <row r="74" spans="1:17" x14ac:dyDescent="0.15">
      <c r="A74" s="82"/>
      <c r="B74" s="78" t="s">
        <v>406</v>
      </c>
      <c r="C74" s="83">
        <f t="shared" si="29"/>
        <v>112740000</v>
      </c>
      <c r="D74" s="83">
        <f t="shared" si="29"/>
        <v>3342000</v>
      </c>
      <c r="E74" s="83">
        <f t="shared" si="29"/>
        <v>143633.36999999435</v>
      </c>
      <c r="F74" s="79">
        <f>C74-D74-E74</f>
        <v>109254366.63000001</v>
      </c>
      <c r="G74" s="80">
        <f>ROUND(D74/C74,3)</f>
        <v>0.03</v>
      </c>
      <c r="H74" s="83">
        <f t="shared" si="30"/>
        <v>52669000</v>
      </c>
      <c r="I74" s="83">
        <f t="shared" si="30"/>
        <v>310000</v>
      </c>
      <c r="J74" s="83">
        <v>25626.2</v>
      </c>
      <c r="K74" s="79">
        <f>H74-I74-J74</f>
        <v>52333373.799999997</v>
      </c>
      <c r="L74" s="136">
        <f>ROUND(I74/H74,3)</f>
        <v>6.0000000000000001E-3</v>
      </c>
      <c r="M74" s="84">
        <f t="shared" si="31"/>
        <v>60071000</v>
      </c>
      <c r="N74" s="83">
        <f t="shared" si="31"/>
        <v>3032000</v>
      </c>
      <c r="O74" s="83">
        <v>118007.16999999434</v>
      </c>
      <c r="P74" s="79">
        <f>M74-N74-O74</f>
        <v>56920992.830000006</v>
      </c>
      <c r="Q74" s="136">
        <f>ROUND(N74/M74,3)</f>
        <v>0.05</v>
      </c>
    </row>
    <row r="75" spans="1:17" x14ac:dyDescent="0.15">
      <c r="A75" s="74" t="s">
        <v>227</v>
      </c>
      <c r="B75" s="78"/>
      <c r="C75" s="67"/>
      <c r="D75" s="67"/>
      <c r="E75" s="67"/>
      <c r="F75" s="67"/>
      <c r="G75" s="76"/>
      <c r="H75" s="67"/>
      <c r="I75" s="67"/>
      <c r="J75" s="67"/>
      <c r="K75" s="67"/>
      <c r="L75" s="76"/>
      <c r="M75" s="77"/>
      <c r="N75" s="67"/>
      <c r="O75" s="67"/>
      <c r="P75" s="67"/>
      <c r="Q75" s="76"/>
    </row>
    <row r="76" spans="1:17" x14ac:dyDescent="0.15">
      <c r="A76" s="82"/>
      <c r="B76" s="78" t="s">
        <v>135</v>
      </c>
      <c r="C76" s="85">
        <v>0.41599999999999998</v>
      </c>
      <c r="D76" s="85"/>
      <c r="E76" s="67"/>
      <c r="F76" s="67"/>
      <c r="G76" s="76"/>
      <c r="H76" s="115"/>
      <c r="I76" s="85"/>
      <c r="J76" s="67"/>
      <c r="K76" s="67"/>
      <c r="L76" s="76"/>
      <c r="M76" s="86"/>
      <c r="N76" s="85"/>
      <c r="O76" s="67"/>
      <c r="P76" s="67"/>
      <c r="Q76" s="76"/>
    </row>
    <row r="77" spans="1:17" x14ac:dyDescent="0.15">
      <c r="A77" s="82"/>
      <c r="B77" s="78" t="s">
        <v>136</v>
      </c>
      <c r="C77" s="85">
        <v>0.81449722476693431</v>
      </c>
      <c r="D77" s="85"/>
      <c r="E77" s="67"/>
      <c r="F77" s="67"/>
      <c r="G77" s="76"/>
      <c r="H77" s="85"/>
      <c r="I77" s="85"/>
      <c r="J77" s="67"/>
      <c r="K77" s="67"/>
      <c r="L77" s="76"/>
      <c r="M77" s="86"/>
      <c r="N77" s="85"/>
      <c r="O77" s="67"/>
      <c r="P77" s="67"/>
      <c r="Q77" s="76"/>
    </row>
    <row r="78" spans="1:17" x14ac:dyDescent="0.15">
      <c r="A78" s="82"/>
      <c r="B78" s="78" t="s">
        <v>137</v>
      </c>
      <c r="C78" s="85">
        <v>0.7032313120769943</v>
      </c>
      <c r="D78" s="87"/>
      <c r="E78" s="67"/>
      <c r="F78" s="67"/>
      <c r="G78" s="76"/>
      <c r="H78" s="85">
        <f>H90/H64</f>
        <v>0.74839268732806075</v>
      </c>
      <c r="I78" s="85"/>
      <c r="J78" s="67"/>
      <c r="K78" s="67"/>
      <c r="L78" s="76"/>
      <c r="M78" s="86">
        <f>M90/M64</f>
        <v>0.64816242603537633</v>
      </c>
      <c r="N78" s="85"/>
      <c r="O78" s="67"/>
      <c r="P78" s="67"/>
      <c r="Q78" s="76"/>
    </row>
    <row r="79" spans="1:17" x14ac:dyDescent="0.15">
      <c r="A79" s="82"/>
      <c r="B79" s="78" t="s">
        <v>138</v>
      </c>
      <c r="C79" s="85">
        <f>C91/C65</f>
        <v>0.36778072946603202</v>
      </c>
      <c r="D79" s="85"/>
      <c r="E79" s="67"/>
      <c r="F79" s="67"/>
      <c r="G79" s="76"/>
      <c r="H79" s="85">
        <f>H91/H65</f>
        <v>0.41044367096606049</v>
      </c>
      <c r="I79" s="85"/>
      <c r="J79" s="67"/>
      <c r="K79" s="67"/>
      <c r="L79" s="76"/>
      <c r="M79" s="86">
        <f>M91/M65</f>
        <v>0.35924580319755384</v>
      </c>
      <c r="N79" s="85"/>
      <c r="O79" s="67"/>
      <c r="P79" s="67"/>
      <c r="Q79" s="76"/>
    </row>
    <row r="80" spans="1:17" x14ac:dyDescent="0.15">
      <c r="A80" s="82"/>
      <c r="B80" s="78" t="s">
        <v>139</v>
      </c>
      <c r="C80" s="85">
        <v>0.82663416181961047</v>
      </c>
      <c r="D80" s="85"/>
      <c r="E80" s="67"/>
      <c r="F80" s="67"/>
      <c r="G80" s="76"/>
      <c r="H80" s="85">
        <v>0.91751108072233989</v>
      </c>
      <c r="I80" s="85"/>
      <c r="J80" s="67"/>
      <c r="K80" s="67"/>
      <c r="L80" s="76"/>
      <c r="M80" s="85">
        <v>0.72227149568650184</v>
      </c>
      <c r="N80" s="85"/>
      <c r="O80" s="67"/>
      <c r="P80" s="67"/>
      <c r="Q80" s="76"/>
    </row>
    <row r="81" spans="1:17" x14ac:dyDescent="0.15">
      <c r="A81" s="82"/>
      <c r="B81" s="78" t="s">
        <v>164</v>
      </c>
      <c r="C81" s="85">
        <v>0.47434760953502453</v>
      </c>
      <c r="D81" s="85"/>
      <c r="E81" s="67"/>
      <c r="F81" s="67"/>
      <c r="G81" s="76"/>
      <c r="H81" s="85">
        <v>0.55948052777145096</v>
      </c>
      <c r="I81" s="85"/>
      <c r="J81" s="67"/>
      <c r="K81" s="67"/>
      <c r="L81" s="76"/>
      <c r="M81" s="85">
        <v>0.28773886710469454</v>
      </c>
      <c r="N81" s="85"/>
      <c r="O81" s="67"/>
      <c r="P81" s="67"/>
      <c r="Q81" s="76"/>
    </row>
    <row r="82" spans="1:17" x14ac:dyDescent="0.15">
      <c r="A82" s="82"/>
      <c r="B82" s="78" t="s">
        <v>165</v>
      </c>
      <c r="C82" s="85">
        <v>0.66853740374029624</v>
      </c>
      <c r="D82" s="85"/>
      <c r="E82" s="67"/>
      <c r="F82" s="67"/>
      <c r="G82" s="76"/>
      <c r="H82" s="85">
        <v>0.76427712409908788</v>
      </c>
      <c r="I82" s="85"/>
      <c r="J82" s="67"/>
      <c r="K82" s="67"/>
      <c r="L82" s="76"/>
      <c r="M82" s="85">
        <v>0.43651209440227567</v>
      </c>
      <c r="N82" s="85"/>
      <c r="O82" s="67"/>
      <c r="P82" s="67"/>
      <c r="Q82" s="76"/>
    </row>
    <row r="83" spans="1:17" x14ac:dyDescent="0.15">
      <c r="A83" s="82"/>
      <c r="B83" s="78" t="s">
        <v>249</v>
      </c>
      <c r="C83" s="115">
        <v>0.61199999999999999</v>
      </c>
      <c r="D83" s="85"/>
      <c r="E83" s="67"/>
      <c r="F83" s="67"/>
      <c r="G83" s="76"/>
      <c r="H83" s="115">
        <v>0.76931283282389729</v>
      </c>
      <c r="I83" s="85"/>
      <c r="J83" s="67"/>
      <c r="K83" s="67"/>
      <c r="L83" s="76"/>
      <c r="M83" s="115">
        <v>0.40168593660197927</v>
      </c>
      <c r="N83" s="85"/>
      <c r="O83" s="67"/>
      <c r="P83" s="67"/>
      <c r="Q83" s="76"/>
    </row>
    <row r="84" spans="1:17" x14ac:dyDescent="0.15">
      <c r="A84" s="82"/>
      <c r="B84" s="78" t="s">
        <v>250</v>
      </c>
      <c r="C84" s="115">
        <f>C96/C70</f>
        <v>0.56437875083457412</v>
      </c>
      <c r="D84" s="85"/>
      <c r="E84" s="67"/>
      <c r="F84" s="67"/>
      <c r="G84" s="76"/>
      <c r="H84" s="115">
        <f>H96/H70</f>
        <v>0.9131928735830086</v>
      </c>
      <c r="I84" s="85"/>
      <c r="J84" s="67"/>
      <c r="K84" s="67"/>
      <c r="L84" s="76"/>
      <c r="M84" s="115">
        <f>M96/M70</f>
        <v>0.39154111612205439</v>
      </c>
      <c r="N84" s="85"/>
      <c r="O84" s="67"/>
      <c r="P84" s="67"/>
      <c r="Q84" s="76"/>
    </row>
    <row r="85" spans="1:17" x14ac:dyDescent="0.15">
      <c r="A85" s="82"/>
      <c r="B85" s="78" t="s">
        <v>300</v>
      </c>
      <c r="C85" s="115">
        <v>0.22380351032116169</v>
      </c>
      <c r="D85" s="85"/>
      <c r="E85" s="67"/>
      <c r="F85" s="67"/>
      <c r="G85" s="76"/>
      <c r="H85" s="115">
        <v>9.3475282937258528E-2</v>
      </c>
      <c r="I85" s="85"/>
      <c r="J85" s="67"/>
      <c r="K85" s="67"/>
      <c r="L85" s="76"/>
      <c r="M85" s="115">
        <v>0.30351856175168029</v>
      </c>
      <c r="N85" s="85"/>
      <c r="O85" s="67"/>
      <c r="P85" s="67"/>
      <c r="Q85" s="76"/>
    </row>
    <row r="86" spans="1:17" x14ac:dyDescent="0.15">
      <c r="A86" s="82"/>
      <c r="B86" s="78" t="s">
        <v>315</v>
      </c>
      <c r="C86" s="105">
        <f>C98/C72</f>
        <v>0.47429320473192754</v>
      </c>
      <c r="D86" s="85"/>
      <c r="E86" s="67"/>
      <c r="F86" s="67"/>
      <c r="G86" s="76"/>
      <c r="H86" s="105">
        <v>0.5</v>
      </c>
      <c r="I86" s="85"/>
      <c r="J86" s="67"/>
      <c r="K86" s="67"/>
      <c r="L86" s="76"/>
      <c r="M86" s="105">
        <v>0.45</v>
      </c>
      <c r="N86" s="85"/>
      <c r="O86" s="67"/>
      <c r="P86" s="67"/>
      <c r="Q86" s="76"/>
    </row>
    <row r="87" spans="1:17" x14ac:dyDescent="0.15">
      <c r="A87" s="82"/>
      <c r="B87" s="78" t="s">
        <v>405</v>
      </c>
      <c r="C87" s="105">
        <f>C99/C73</f>
        <v>0.37367457678519206</v>
      </c>
      <c r="D87" s="85"/>
      <c r="E87" s="67"/>
      <c r="F87" s="67"/>
      <c r="G87" s="76"/>
      <c r="H87" s="105">
        <v>0.4</v>
      </c>
      <c r="I87" s="85"/>
      <c r="J87" s="67"/>
      <c r="K87" s="67"/>
      <c r="L87" s="76"/>
      <c r="M87" s="105">
        <v>0.35</v>
      </c>
      <c r="N87" s="85"/>
      <c r="O87" s="67"/>
      <c r="P87" s="67"/>
      <c r="Q87" s="76"/>
    </row>
    <row r="88" spans="1:17" x14ac:dyDescent="0.15">
      <c r="A88" s="82"/>
      <c r="B88" s="78" t="s">
        <v>406</v>
      </c>
      <c r="C88" s="105">
        <f>C100/C74</f>
        <v>0.47336349121873339</v>
      </c>
      <c r="D88" s="85"/>
      <c r="E88" s="67"/>
      <c r="F88" s="67"/>
      <c r="G88" s="76"/>
      <c r="H88" s="105">
        <v>0.5</v>
      </c>
      <c r="I88" s="85"/>
      <c r="J88" s="67"/>
      <c r="K88" s="67"/>
      <c r="L88" s="76"/>
      <c r="M88" s="105">
        <v>0.45</v>
      </c>
      <c r="N88" s="85"/>
      <c r="O88" s="67"/>
      <c r="P88" s="67"/>
      <c r="Q88" s="76"/>
    </row>
    <row r="89" spans="1:17" x14ac:dyDescent="0.15">
      <c r="A89" s="74" t="s">
        <v>234</v>
      </c>
      <c r="B89" s="78"/>
      <c r="C89" s="67"/>
      <c r="D89" s="67"/>
      <c r="E89" s="67"/>
      <c r="F89" s="67"/>
      <c r="G89" s="76"/>
      <c r="H89" s="67"/>
      <c r="I89" s="67"/>
      <c r="J89" s="67"/>
      <c r="K89" s="67"/>
      <c r="L89" s="76"/>
      <c r="M89" s="77"/>
      <c r="N89" s="67"/>
      <c r="O89" s="67"/>
      <c r="P89" s="67"/>
      <c r="Q89" s="76"/>
    </row>
    <row r="90" spans="1:17" x14ac:dyDescent="0.15">
      <c r="A90" s="74"/>
      <c r="B90" s="78" t="s">
        <v>137</v>
      </c>
      <c r="C90" s="83">
        <v>73753541</v>
      </c>
      <c r="D90" s="83">
        <v>20826745</v>
      </c>
      <c r="E90" s="83">
        <v>63120</v>
      </c>
      <c r="F90" s="83">
        <v>52863676</v>
      </c>
      <c r="G90" s="80">
        <v>0.28199999999999997</v>
      </c>
      <c r="H90" s="83">
        <v>34384911</v>
      </c>
      <c r="I90" s="83">
        <v>4100694</v>
      </c>
      <c r="J90" s="83">
        <v>49986</v>
      </c>
      <c r="K90" s="79">
        <v>30234231</v>
      </c>
      <c r="L90" s="80">
        <f>ROUND(I90/H90,3)</f>
        <v>0.11899999999999999</v>
      </c>
      <c r="M90" s="84">
        <v>39368630</v>
      </c>
      <c r="N90" s="83">
        <v>16726051</v>
      </c>
      <c r="O90" s="83">
        <v>13134</v>
      </c>
      <c r="P90" s="79">
        <v>22629445</v>
      </c>
      <c r="Q90" s="80">
        <v>0.42499999999999999</v>
      </c>
    </row>
    <row r="91" spans="1:17" x14ac:dyDescent="0.15">
      <c r="A91" s="82"/>
      <c r="B91" s="78" t="s">
        <v>138</v>
      </c>
      <c r="C91" s="83">
        <v>19063404</v>
      </c>
      <c r="D91" s="83">
        <v>7819335</v>
      </c>
      <c r="E91" s="83">
        <v>59032</v>
      </c>
      <c r="F91" s="79">
        <f t="shared" ref="F91:F98" si="32">C91-D91-E91</f>
        <v>11185037</v>
      </c>
      <c r="G91" s="80">
        <f>ROUND(D91/C91,3)</f>
        <v>0.41</v>
      </c>
      <c r="H91" s="83">
        <v>3546606</v>
      </c>
      <c r="I91" s="83">
        <v>518137</v>
      </c>
      <c r="J91" s="83">
        <v>0</v>
      </c>
      <c r="K91" s="79">
        <f>H91-I91-J91</f>
        <v>3028469</v>
      </c>
      <c r="L91" s="80">
        <f>ROUND(I91/H91,3)</f>
        <v>0.14599999999999999</v>
      </c>
      <c r="M91" s="84">
        <v>15516798</v>
      </c>
      <c r="N91" s="83">
        <v>7301198</v>
      </c>
      <c r="O91" s="83">
        <v>59032</v>
      </c>
      <c r="P91" s="79">
        <f>M91-N91-O91</f>
        <v>8156568</v>
      </c>
      <c r="Q91" s="80">
        <f>ROUND(N91/M91,3)</f>
        <v>0.47099999999999997</v>
      </c>
    </row>
    <row r="92" spans="1:17" x14ac:dyDescent="0.15">
      <c r="A92" s="82"/>
      <c r="B92" s="78" t="s">
        <v>139</v>
      </c>
      <c r="C92" s="83">
        <f>H92+M92</f>
        <v>66630511</v>
      </c>
      <c r="D92" s="83">
        <f>I92+N92</f>
        <v>12964843</v>
      </c>
      <c r="E92" s="83">
        <f>J92+O92</f>
        <v>640526</v>
      </c>
      <c r="F92" s="79">
        <f t="shared" si="32"/>
        <v>53025142</v>
      </c>
      <c r="G92" s="80">
        <f>ROUND(D92/C92,3)</f>
        <v>0.19500000000000001</v>
      </c>
      <c r="H92" s="83">
        <v>39531965</v>
      </c>
      <c r="I92" s="83">
        <v>2452661</v>
      </c>
      <c r="J92" s="83">
        <v>36430</v>
      </c>
      <c r="K92" s="79">
        <f>H92-I92-J92</f>
        <v>37042874</v>
      </c>
      <c r="L92" s="80">
        <f>ROUND(I92/H92,3)</f>
        <v>6.2E-2</v>
      </c>
      <c r="M92" s="84">
        <v>27098546</v>
      </c>
      <c r="N92" s="83">
        <v>10512182</v>
      </c>
      <c r="O92" s="83">
        <v>604096</v>
      </c>
      <c r="P92" s="79">
        <f>M92-N92-O92</f>
        <v>15982268</v>
      </c>
      <c r="Q92" s="80">
        <f>Q66</f>
        <v>0.39800000000000002</v>
      </c>
    </row>
    <row r="93" spans="1:17" x14ac:dyDescent="0.15">
      <c r="A93" s="82"/>
      <c r="B93" s="78" t="s">
        <v>164</v>
      </c>
      <c r="C93" s="83">
        <f t="shared" ref="C93:D98" si="33">H93+M93</f>
        <v>63015627</v>
      </c>
      <c r="D93" s="83">
        <f t="shared" si="33"/>
        <v>14070581</v>
      </c>
      <c r="E93" s="83"/>
      <c r="F93" s="79">
        <f>C93-D93-E93</f>
        <v>48945046</v>
      </c>
      <c r="G93" s="80">
        <f>G67</f>
        <v>0.16400000000000001</v>
      </c>
      <c r="H93" s="83">
        <v>51040190</v>
      </c>
      <c r="I93" s="83">
        <v>9099863</v>
      </c>
      <c r="J93" s="83">
        <v>0</v>
      </c>
      <c r="K93" s="79">
        <v>41940327</v>
      </c>
      <c r="L93" s="80">
        <f>ROUND(I93/H93,3)</f>
        <v>0.17799999999999999</v>
      </c>
      <c r="M93" s="84">
        <v>11975437</v>
      </c>
      <c r="N93" s="83">
        <v>4970718</v>
      </c>
      <c r="O93" s="83">
        <v>0</v>
      </c>
      <c r="P93" s="79">
        <v>7004719</v>
      </c>
      <c r="Q93" s="80">
        <f>ROUND(N93/M93,3)</f>
        <v>0.41499999999999998</v>
      </c>
    </row>
    <row r="94" spans="1:17" x14ac:dyDescent="0.15">
      <c r="A94" s="82"/>
      <c r="B94" s="78" t="s">
        <v>165</v>
      </c>
      <c r="C94" s="83">
        <f t="shared" si="33"/>
        <v>166761998.99999994</v>
      </c>
      <c r="D94" s="83">
        <f t="shared" si="33"/>
        <v>14544353.960000023</v>
      </c>
      <c r="E94" s="83"/>
      <c r="F94" s="79">
        <f t="shared" si="32"/>
        <v>152217645.0399999</v>
      </c>
      <c r="G94" s="80">
        <f t="shared" ref="G94:G100" si="34">ROUND(D94/C94,3)</f>
        <v>8.6999999999999994E-2</v>
      </c>
      <c r="H94" s="83">
        <v>134956867</v>
      </c>
      <c r="I94" s="83">
        <v>5805792.4299999997</v>
      </c>
      <c r="J94" s="83">
        <v>125994.05</v>
      </c>
      <c r="K94" s="79">
        <f>H94-I94-J94</f>
        <v>129025080.52</v>
      </c>
      <c r="L94" s="116">
        <f>ROUND(I94/H94,3)</f>
        <v>4.2999999999999997E-2</v>
      </c>
      <c r="M94" s="84">
        <v>31805131.99999994</v>
      </c>
      <c r="N94" s="83">
        <v>8738561.5300000235</v>
      </c>
      <c r="O94" s="83">
        <v>171080.23999999836</v>
      </c>
      <c r="P94" s="79">
        <f>M94-N94-O94</f>
        <v>22895490.229999918</v>
      </c>
      <c r="Q94" s="116">
        <f>ROUND(N94/M94,3)</f>
        <v>0.27500000000000002</v>
      </c>
    </row>
    <row r="95" spans="1:17" x14ac:dyDescent="0.15">
      <c r="A95" s="82"/>
      <c r="B95" s="78" t="s">
        <v>249</v>
      </c>
      <c r="C95" s="83">
        <f t="shared" si="33"/>
        <v>71257559</v>
      </c>
      <c r="D95" s="83">
        <f t="shared" si="33"/>
        <v>2399838</v>
      </c>
      <c r="E95" s="83"/>
      <c r="F95" s="79">
        <f>C95-D95-E95</f>
        <v>68857721</v>
      </c>
      <c r="G95" s="80">
        <f t="shared" si="34"/>
        <v>3.4000000000000002E-2</v>
      </c>
      <c r="H95" s="83">
        <v>51309314</v>
      </c>
      <c r="I95" s="83">
        <v>0</v>
      </c>
      <c r="J95" s="83">
        <v>25626.2</v>
      </c>
      <c r="K95" s="79">
        <v>51283687.800000012</v>
      </c>
      <c r="L95" s="116">
        <v>0</v>
      </c>
      <c r="M95" s="84">
        <v>19948245</v>
      </c>
      <c r="N95" s="83">
        <v>2399838</v>
      </c>
      <c r="O95" s="83">
        <v>118007.16999999434</v>
      </c>
      <c r="P95" s="79">
        <v>17430399.830000013</v>
      </c>
      <c r="Q95" s="116">
        <v>0.12</v>
      </c>
    </row>
    <row r="96" spans="1:17" x14ac:dyDescent="0.15">
      <c r="A96" s="82"/>
      <c r="B96" s="78" t="s">
        <v>250</v>
      </c>
      <c r="C96" s="83">
        <f>H96+M96</f>
        <v>33310310</v>
      </c>
      <c r="D96" s="83">
        <f t="shared" si="33"/>
        <v>2813937.7599999988</v>
      </c>
      <c r="E96" s="88">
        <v>316715.19999999925</v>
      </c>
      <c r="F96" s="79">
        <f t="shared" si="32"/>
        <v>30179657.040000003</v>
      </c>
      <c r="G96" s="80">
        <f t="shared" si="34"/>
        <v>8.4000000000000005E-2</v>
      </c>
      <c r="H96" s="83">
        <v>17857809</v>
      </c>
      <c r="I96" s="83">
        <v>201754.75999999885</v>
      </c>
      <c r="J96" s="83">
        <v>22957.200000000001</v>
      </c>
      <c r="K96" s="79">
        <f>H96-I96-J96</f>
        <v>17633097.040000003</v>
      </c>
      <c r="L96" s="116">
        <f>ROUND(I96/H96,3)</f>
        <v>1.0999999999999999E-2</v>
      </c>
      <c r="M96" s="84">
        <v>15452501</v>
      </c>
      <c r="N96" s="83">
        <v>2612183</v>
      </c>
      <c r="O96" s="83">
        <v>293758</v>
      </c>
      <c r="P96" s="79">
        <f>M96-N96-O96</f>
        <v>12546560</v>
      </c>
      <c r="Q96" s="116">
        <f>ROUND(N96/M96,3)</f>
        <v>0.16900000000000001</v>
      </c>
    </row>
    <row r="97" spans="1:17" x14ac:dyDescent="0.15">
      <c r="A97" s="82"/>
      <c r="B97" s="78" t="s">
        <v>300</v>
      </c>
      <c r="C97" s="83">
        <f t="shared" si="33"/>
        <v>19520983</v>
      </c>
      <c r="D97" s="83">
        <f t="shared" si="33"/>
        <v>2750151</v>
      </c>
      <c r="E97" s="83"/>
      <c r="F97" s="79">
        <f t="shared" si="32"/>
        <v>16770832</v>
      </c>
      <c r="G97" s="80">
        <f t="shared" si="34"/>
        <v>0.14099999999999999</v>
      </c>
      <c r="H97" s="83">
        <v>3094305</v>
      </c>
      <c r="I97" s="83">
        <v>31499</v>
      </c>
      <c r="J97" s="83">
        <v>0</v>
      </c>
      <c r="K97" s="79">
        <f>H97-I97-J97</f>
        <v>3062806</v>
      </c>
      <c r="L97" s="104">
        <f>L71</f>
        <v>8.0000000000000002E-3</v>
      </c>
      <c r="M97" s="84">
        <v>16426678</v>
      </c>
      <c r="N97" s="83">
        <v>2718652</v>
      </c>
      <c r="O97" s="83">
        <v>20688</v>
      </c>
      <c r="P97" s="79">
        <f>M97-N97-O97</f>
        <v>13687338</v>
      </c>
      <c r="Q97" s="104">
        <f>Q71</f>
        <v>0.11</v>
      </c>
    </row>
    <row r="98" spans="1:17" x14ac:dyDescent="0.15">
      <c r="A98" s="82"/>
      <c r="B98" s="78" t="s">
        <v>315</v>
      </c>
      <c r="C98" s="83">
        <f t="shared" si="33"/>
        <v>58616000</v>
      </c>
      <c r="D98" s="83">
        <f t="shared" si="33"/>
        <v>1843000</v>
      </c>
      <c r="E98" s="83"/>
      <c r="F98" s="79">
        <f t="shared" si="32"/>
        <v>56773000</v>
      </c>
      <c r="G98" s="80">
        <f t="shared" si="34"/>
        <v>3.1E-2</v>
      </c>
      <c r="H98" s="83">
        <f>ROUNDUP(H72*H86,-3)</f>
        <v>30016000</v>
      </c>
      <c r="I98" s="83">
        <f>ROUNDUP(H98*L98,-3)</f>
        <v>241000</v>
      </c>
      <c r="J98" s="83"/>
      <c r="K98" s="79">
        <f>H98-I98-J98</f>
        <v>29775000</v>
      </c>
      <c r="L98" s="104">
        <f>L72</f>
        <v>8.0000000000000002E-3</v>
      </c>
      <c r="M98" s="84">
        <f>ROUNDUP(M72*M86,-3)</f>
        <v>28600000</v>
      </c>
      <c r="N98" s="83">
        <f>ROUNDUP(M98*Q98,-3)</f>
        <v>1602000</v>
      </c>
      <c r="O98" s="83"/>
      <c r="P98" s="79">
        <f>M98-N98-O98</f>
        <v>26998000</v>
      </c>
      <c r="Q98" s="104">
        <f>Q72</f>
        <v>5.6000000000000001E-2</v>
      </c>
    </row>
    <row r="99" spans="1:17" x14ac:dyDescent="0.15">
      <c r="A99" s="82"/>
      <c r="B99" s="78" t="s">
        <v>405</v>
      </c>
      <c r="C99" s="83">
        <f>H99+M99</f>
        <v>34501000</v>
      </c>
      <c r="D99" s="83">
        <f>I99+N99</f>
        <v>1043000</v>
      </c>
      <c r="E99" s="83"/>
      <c r="F99" s="79">
        <f>C99-D99-E99</f>
        <v>33458000</v>
      </c>
      <c r="G99" s="80">
        <f t="shared" si="34"/>
        <v>0.03</v>
      </c>
      <c r="H99" s="83">
        <f>ROUNDUP(H73*H87,-3)</f>
        <v>17478000</v>
      </c>
      <c r="I99" s="83">
        <f>ROUNDUP(H99*L99,-3)</f>
        <v>123000</v>
      </c>
      <c r="J99" s="83"/>
      <c r="K99" s="79">
        <f>H99-I99-J99</f>
        <v>17355000</v>
      </c>
      <c r="L99" s="104">
        <f>L73</f>
        <v>7.0000000000000001E-3</v>
      </c>
      <c r="M99" s="84">
        <f>ROUNDUP(M73*M87,-3)</f>
        <v>17023000</v>
      </c>
      <c r="N99" s="83">
        <f>ROUNDUP(M99*Q99,-3)</f>
        <v>920000</v>
      </c>
      <c r="O99" s="83"/>
      <c r="P99" s="79">
        <f>M99-N99-O99</f>
        <v>16103000</v>
      </c>
      <c r="Q99" s="104">
        <f>Q73</f>
        <v>5.3999999999999999E-2</v>
      </c>
    </row>
    <row r="100" spans="1:17" x14ac:dyDescent="0.15">
      <c r="A100" s="82"/>
      <c r="B100" s="78" t="s">
        <v>406</v>
      </c>
      <c r="C100" s="83">
        <f>H100+M100</f>
        <v>53367000</v>
      </c>
      <c r="D100" s="83">
        <f>I100+N100</f>
        <v>1511000</v>
      </c>
      <c r="E100" s="83"/>
      <c r="F100" s="79">
        <f>C100-D100-E100</f>
        <v>51856000</v>
      </c>
      <c r="G100" s="80">
        <f t="shared" si="34"/>
        <v>2.8000000000000001E-2</v>
      </c>
      <c r="H100" s="83">
        <f>ROUNDUP(H74*H88,-3)</f>
        <v>26335000</v>
      </c>
      <c r="I100" s="83">
        <f>ROUNDUP(H100*L100,-3)</f>
        <v>159000</v>
      </c>
      <c r="J100" s="83"/>
      <c r="K100" s="79">
        <f>H100-I100-J100</f>
        <v>26176000</v>
      </c>
      <c r="L100" s="104">
        <f>L74</f>
        <v>6.0000000000000001E-3</v>
      </c>
      <c r="M100" s="84">
        <f>ROUNDUP(M74*M88,-3)</f>
        <v>27032000</v>
      </c>
      <c r="N100" s="83">
        <f>ROUNDUP(M100*Q100,-3)</f>
        <v>1352000</v>
      </c>
      <c r="O100" s="83"/>
      <c r="P100" s="79">
        <f>M100-N100-O100</f>
        <v>25680000</v>
      </c>
      <c r="Q100" s="104">
        <f>Q74</f>
        <v>0.05</v>
      </c>
    </row>
    <row r="101" spans="1:17" x14ac:dyDescent="0.15">
      <c r="A101" s="74" t="s">
        <v>228</v>
      </c>
      <c r="B101" s="78"/>
      <c r="C101" s="67"/>
      <c r="D101" s="67"/>
      <c r="E101" s="67"/>
      <c r="F101" s="67"/>
      <c r="G101" s="76"/>
      <c r="H101" s="67"/>
      <c r="I101" s="67"/>
      <c r="J101" s="67"/>
      <c r="K101" s="67"/>
      <c r="L101" s="76"/>
      <c r="M101" s="77"/>
      <c r="N101" s="67"/>
      <c r="O101" s="67"/>
      <c r="P101" s="67"/>
      <c r="Q101" s="76"/>
    </row>
    <row r="102" spans="1:17" x14ac:dyDescent="0.15">
      <c r="A102" s="82"/>
      <c r="B102" s="78" t="s">
        <v>165</v>
      </c>
      <c r="C102" s="83">
        <f t="shared" ref="C102:D106" si="35">H102+M102</f>
        <v>0</v>
      </c>
      <c r="D102" s="83">
        <f t="shared" si="35"/>
        <v>0</v>
      </c>
      <c r="E102" s="67"/>
      <c r="F102" s="79">
        <f t="shared" ref="F102:F108" si="36">C102-D102-E102</f>
        <v>0</v>
      </c>
      <c r="G102" s="80">
        <f t="shared" ref="G102:G108" si="37">G68</f>
        <v>7.5999999999999998E-2</v>
      </c>
      <c r="H102" s="83">
        <v>0</v>
      </c>
      <c r="I102" s="83">
        <v>0</v>
      </c>
      <c r="J102" s="83">
        <v>0</v>
      </c>
      <c r="K102" s="79">
        <f t="shared" ref="K102:K108" si="38">H102-I102-J102</f>
        <v>0</v>
      </c>
      <c r="L102" s="80">
        <f t="shared" ref="L102:L108" si="39">L94</f>
        <v>4.2999999999999997E-2</v>
      </c>
      <c r="M102" s="84">
        <v>0</v>
      </c>
      <c r="N102" s="83">
        <v>0</v>
      </c>
      <c r="O102" s="83">
        <v>0</v>
      </c>
      <c r="P102" s="79">
        <f t="shared" ref="P102:P108" si="40">M102-N102-O102</f>
        <v>0</v>
      </c>
      <c r="Q102" s="80">
        <f t="shared" ref="Q102:Q108" si="41">Q94</f>
        <v>0.27500000000000002</v>
      </c>
    </row>
    <row r="103" spans="1:17" x14ac:dyDescent="0.15">
      <c r="A103" s="82"/>
      <c r="B103" s="78" t="s">
        <v>249</v>
      </c>
      <c r="C103" s="83">
        <f t="shared" si="35"/>
        <v>0</v>
      </c>
      <c r="D103" s="83">
        <f t="shared" si="35"/>
        <v>0</v>
      </c>
      <c r="E103" s="67"/>
      <c r="F103" s="79">
        <f t="shared" si="36"/>
        <v>0</v>
      </c>
      <c r="G103" s="80">
        <f t="shared" si="37"/>
        <v>3.9E-2</v>
      </c>
      <c r="H103" s="83">
        <v>0</v>
      </c>
      <c r="I103" s="83">
        <f>I95</f>
        <v>0</v>
      </c>
      <c r="J103" s="83">
        <v>0</v>
      </c>
      <c r="K103" s="79">
        <f t="shared" si="38"/>
        <v>0</v>
      </c>
      <c r="L103" s="80">
        <f t="shared" si="39"/>
        <v>0</v>
      </c>
      <c r="M103" s="84">
        <v>0</v>
      </c>
      <c r="N103" s="83">
        <v>0</v>
      </c>
      <c r="O103" s="83">
        <v>0</v>
      </c>
      <c r="P103" s="79">
        <f t="shared" si="40"/>
        <v>0</v>
      </c>
      <c r="Q103" s="80">
        <f t="shared" si="41"/>
        <v>0.12</v>
      </c>
    </row>
    <row r="104" spans="1:17" x14ac:dyDescent="0.15">
      <c r="A104" s="82"/>
      <c r="B104" s="78" t="s">
        <v>250</v>
      </c>
      <c r="C104" s="83">
        <f t="shared" si="35"/>
        <v>0</v>
      </c>
      <c r="D104" s="83">
        <f t="shared" si="35"/>
        <v>0</v>
      </c>
      <c r="E104" s="67"/>
      <c r="F104" s="79">
        <f t="shared" si="36"/>
        <v>0</v>
      </c>
      <c r="G104" s="80">
        <f t="shared" si="37"/>
        <v>0.125</v>
      </c>
      <c r="H104" s="83">
        <v>0</v>
      </c>
      <c r="I104" s="83">
        <v>0</v>
      </c>
      <c r="J104" s="83">
        <v>0</v>
      </c>
      <c r="K104" s="79">
        <f t="shared" si="38"/>
        <v>0</v>
      </c>
      <c r="L104" s="80">
        <f t="shared" si="39"/>
        <v>1.0999999999999999E-2</v>
      </c>
      <c r="M104" s="84">
        <v>0</v>
      </c>
      <c r="N104" s="83">
        <v>0</v>
      </c>
      <c r="O104" s="83">
        <v>0</v>
      </c>
      <c r="P104" s="79">
        <f t="shared" si="40"/>
        <v>0</v>
      </c>
      <c r="Q104" s="80">
        <f t="shared" si="41"/>
        <v>0.16900000000000001</v>
      </c>
    </row>
    <row r="105" spans="1:17" x14ac:dyDescent="0.15">
      <c r="A105" s="82"/>
      <c r="B105" s="78" t="s">
        <v>300</v>
      </c>
      <c r="C105" s="83">
        <f t="shared" si="35"/>
        <v>0</v>
      </c>
      <c r="D105" s="83">
        <f t="shared" si="35"/>
        <v>0</v>
      </c>
      <c r="E105" s="67"/>
      <c r="F105" s="79">
        <f t="shared" si="36"/>
        <v>0</v>
      </c>
      <c r="G105" s="80">
        <f t="shared" si="37"/>
        <v>7.0999999999999994E-2</v>
      </c>
      <c r="H105" s="83">
        <v>0</v>
      </c>
      <c r="I105" s="83">
        <v>0</v>
      </c>
      <c r="J105" s="83">
        <v>0</v>
      </c>
      <c r="K105" s="79">
        <f t="shared" si="38"/>
        <v>0</v>
      </c>
      <c r="L105" s="80">
        <f t="shared" si="39"/>
        <v>8.0000000000000002E-3</v>
      </c>
      <c r="M105" s="84">
        <v>0</v>
      </c>
      <c r="N105" s="83">
        <v>0</v>
      </c>
      <c r="O105" s="83">
        <v>0</v>
      </c>
      <c r="P105" s="79">
        <f t="shared" si="40"/>
        <v>0</v>
      </c>
      <c r="Q105" s="80">
        <f t="shared" si="41"/>
        <v>0.11</v>
      </c>
    </row>
    <row r="106" spans="1:17" x14ac:dyDescent="0.15">
      <c r="A106" s="82"/>
      <c r="B106" s="78" t="s">
        <v>315</v>
      </c>
      <c r="C106" s="83">
        <f t="shared" si="35"/>
        <v>58616000</v>
      </c>
      <c r="D106" s="83">
        <f t="shared" si="35"/>
        <v>1843000</v>
      </c>
      <c r="E106" s="67"/>
      <c r="F106" s="79">
        <f t="shared" si="36"/>
        <v>56773000</v>
      </c>
      <c r="G106" s="80">
        <f t="shared" si="37"/>
        <v>3.3000000000000002E-2</v>
      </c>
      <c r="H106" s="83">
        <f t="shared" ref="H106:I108" si="42">H105+H98</f>
        <v>30016000</v>
      </c>
      <c r="I106" s="83">
        <f t="shared" si="42"/>
        <v>241000</v>
      </c>
      <c r="J106" s="67"/>
      <c r="K106" s="79">
        <f t="shared" si="38"/>
        <v>29775000</v>
      </c>
      <c r="L106" s="80">
        <f t="shared" si="39"/>
        <v>8.0000000000000002E-3</v>
      </c>
      <c r="M106" s="84">
        <f t="shared" ref="M106:N108" si="43">M105+M98</f>
        <v>28600000</v>
      </c>
      <c r="N106" s="83">
        <f t="shared" si="43"/>
        <v>1602000</v>
      </c>
      <c r="O106" s="83">
        <v>0</v>
      </c>
      <c r="P106" s="79">
        <f t="shared" si="40"/>
        <v>26998000</v>
      </c>
      <c r="Q106" s="80">
        <f t="shared" si="41"/>
        <v>5.6000000000000001E-2</v>
      </c>
    </row>
    <row r="107" spans="1:17" x14ac:dyDescent="0.15">
      <c r="A107" s="82"/>
      <c r="B107" s="78" t="s">
        <v>405</v>
      </c>
      <c r="C107" s="83">
        <f>H107+M107</f>
        <v>93117000</v>
      </c>
      <c r="D107" s="83">
        <f>I107+N107</f>
        <v>2886000</v>
      </c>
      <c r="E107" s="67"/>
      <c r="F107" s="79">
        <f t="shared" si="36"/>
        <v>90231000</v>
      </c>
      <c r="G107" s="80">
        <f t="shared" si="37"/>
        <v>3.2000000000000001E-2</v>
      </c>
      <c r="H107" s="83">
        <f t="shared" si="42"/>
        <v>47494000</v>
      </c>
      <c r="I107" s="83">
        <f t="shared" si="42"/>
        <v>364000</v>
      </c>
      <c r="J107" s="67"/>
      <c r="K107" s="79">
        <f t="shared" si="38"/>
        <v>47130000</v>
      </c>
      <c r="L107" s="80">
        <f t="shared" si="39"/>
        <v>7.0000000000000001E-3</v>
      </c>
      <c r="M107" s="84">
        <f t="shared" si="43"/>
        <v>45623000</v>
      </c>
      <c r="N107" s="83">
        <f t="shared" si="43"/>
        <v>2522000</v>
      </c>
      <c r="O107" s="67"/>
      <c r="P107" s="79">
        <f t="shared" si="40"/>
        <v>43101000</v>
      </c>
      <c r="Q107" s="80">
        <f t="shared" si="41"/>
        <v>5.3999999999999999E-2</v>
      </c>
    </row>
    <row r="108" spans="1:17" x14ac:dyDescent="0.15">
      <c r="A108" s="82"/>
      <c r="B108" s="78" t="s">
        <v>406</v>
      </c>
      <c r="C108" s="83">
        <f>H108+M108</f>
        <v>146484000</v>
      </c>
      <c r="D108" s="83">
        <f>I108+N108</f>
        <v>4397000</v>
      </c>
      <c r="E108" s="67"/>
      <c r="F108" s="79">
        <f t="shared" si="36"/>
        <v>142087000</v>
      </c>
      <c r="G108" s="80">
        <f t="shared" si="37"/>
        <v>0.03</v>
      </c>
      <c r="H108" s="83">
        <f t="shared" si="42"/>
        <v>73829000</v>
      </c>
      <c r="I108" s="83">
        <f t="shared" si="42"/>
        <v>523000</v>
      </c>
      <c r="J108" s="67"/>
      <c r="K108" s="79">
        <f t="shared" si="38"/>
        <v>73306000</v>
      </c>
      <c r="L108" s="80">
        <f t="shared" si="39"/>
        <v>6.0000000000000001E-3</v>
      </c>
      <c r="M108" s="84">
        <f t="shared" si="43"/>
        <v>72655000</v>
      </c>
      <c r="N108" s="83">
        <f t="shared" si="43"/>
        <v>3874000</v>
      </c>
      <c r="O108" s="67"/>
      <c r="P108" s="79">
        <f t="shared" si="40"/>
        <v>68781000</v>
      </c>
      <c r="Q108" s="80">
        <f t="shared" si="41"/>
        <v>0.05</v>
      </c>
    </row>
    <row r="109" spans="1:17" x14ac:dyDescent="0.15">
      <c r="A109" s="82"/>
      <c r="B109" s="78"/>
      <c r="C109" s="83"/>
      <c r="D109" s="83"/>
      <c r="E109" s="67"/>
      <c r="F109" s="79"/>
      <c r="G109" s="80"/>
      <c r="H109" s="83"/>
      <c r="I109" s="83"/>
      <c r="J109" s="67"/>
      <c r="K109" s="79"/>
      <c r="L109" s="80"/>
      <c r="M109" s="83"/>
      <c r="N109" s="83"/>
      <c r="O109" s="67"/>
      <c r="P109" s="79"/>
      <c r="Q109" s="80"/>
    </row>
    <row r="110" spans="1:17" x14ac:dyDescent="0.15">
      <c r="A110" s="82"/>
      <c r="B110" s="78"/>
      <c r="C110" s="83"/>
      <c r="D110" s="83"/>
      <c r="E110" s="67"/>
      <c r="F110" s="79"/>
      <c r="G110" s="80"/>
      <c r="H110" s="79"/>
      <c r="I110" s="79"/>
      <c r="J110" s="67"/>
      <c r="K110" s="79"/>
      <c r="L110" s="80"/>
      <c r="M110" s="83"/>
      <c r="N110" s="83"/>
      <c r="O110" s="67"/>
      <c r="P110" s="79"/>
      <c r="Q110" s="80"/>
    </row>
    <row r="111" spans="1:17" x14ac:dyDescent="0.15">
      <c r="A111" s="82"/>
      <c r="B111" s="78"/>
      <c r="C111" s="83"/>
      <c r="D111" s="83"/>
      <c r="E111" s="67"/>
      <c r="F111" s="79"/>
      <c r="G111" s="80"/>
      <c r="H111" s="83"/>
      <c r="I111" s="83"/>
      <c r="J111" s="67"/>
      <c r="K111" s="79"/>
      <c r="L111" s="80"/>
      <c r="M111" s="83"/>
      <c r="N111" s="83"/>
      <c r="O111" s="67"/>
      <c r="P111" s="79"/>
      <c r="Q111" s="80"/>
    </row>
    <row r="112" spans="1:17" x14ac:dyDescent="0.15">
      <c r="A112" s="90" t="s">
        <v>419</v>
      </c>
      <c r="H112" s="88"/>
      <c r="I112" s="88"/>
      <c r="K112" s="48"/>
      <c r="L112" s="89"/>
    </row>
    <row r="113" spans="1:17" x14ac:dyDescent="0.15">
      <c r="B113" s="47" t="s">
        <v>375</v>
      </c>
    </row>
    <row r="114" spans="1:17" x14ac:dyDescent="0.15">
      <c r="H114" s="88"/>
      <c r="I114" s="88"/>
    </row>
    <row r="115" spans="1:17" x14ac:dyDescent="0.15">
      <c r="A115" s="64" t="s">
        <v>279</v>
      </c>
      <c r="H115" s="88"/>
      <c r="I115" s="88"/>
    </row>
    <row r="117" spans="1:17" x14ac:dyDescent="0.15">
      <c r="A117" s="47" t="s">
        <v>239</v>
      </c>
    </row>
    <row r="118" spans="1:17" x14ac:dyDescent="0.15">
      <c r="A118" s="47" t="s">
        <v>410</v>
      </c>
    </row>
    <row r="119" spans="1:17" x14ac:dyDescent="0.15">
      <c r="B119" s="47" t="s">
        <v>229</v>
      </c>
      <c r="C119" s="83">
        <f t="shared" ref="C119:E120" si="44">H119+M119</f>
        <v>863764895</v>
      </c>
      <c r="D119" s="83">
        <f t="shared" si="44"/>
        <v>61485349</v>
      </c>
      <c r="E119" s="83">
        <f t="shared" si="44"/>
        <v>8522641.1999999993</v>
      </c>
      <c r="F119" s="79">
        <f>C119-D119-E119</f>
        <v>793756904.79999995</v>
      </c>
      <c r="G119" s="80">
        <f>ROUND(D119/C119,3)</f>
        <v>7.0999999999999994E-2</v>
      </c>
      <c r="H119" s="88">
        <v>587322140</v>
      </c>
      <c r="I119" s="88">
        <v>10917571</v>
      </c>
      <c r="J119" s="88">
        <v>846839.2</v>
      </c>
      <c r="K119" s="79">
        <f>H119-I119-J119</f>
        <v>575557729.79999995</v>
      </c>
      <c r="L119" s="80">
        <f>ROUND(I119/H119,3)</f>
        <v>1.9E-2</v>
      </c>
      <c r="M119" s="81">
        <v>276442755</v>
      </c>
      <c r="N119" s="79">
        <v>50567778</v>
      </c>
      <c r="O119" s="79">
        <v>7675802</v>
      </c>
      <c r="P119" s="79">
        <f>M119-N119-O119</f>
        <v>218199175</v>
      </c>
      <c r="Q119" s="80">
        <f>ROUND(N119/M119,3)</f>
        <v>0.183</v>
      </c>
    </row>
    <row r="120" spans="1:17" x14ac:dyDescent="0.15">
      <c r="B120" s="47" t="s">
        <v>230</v>
      </c>
      <c r="C120" s="83">
        <f t="shared" si="44"/>
        <v>776541138</v>
      </c>
      <c r="D120" s="83">
        <f t="shared" si="44"/>
        <v>55302161</v>
      </c>
      <c r="E120" s="83">
        <f t="shared" si="44"/>
        <v>8501953</v>
      </c>
      <c r="F120" s="79">
        <f>C120-D120-E120</f>
        <v>712737024</v>
      </c>
      <c r="G120" s="80">
        <f>ROUND(D120/C120,3)</f>
        <v>7.0999999999999994E-2</v>
      </c>
      <c r="H120" s="79">
        <v>554219218</v>
      </c>
      <c r="I120" s="79">
        <v>10665678</v>
      </c>
      <c r="J120" s="79">
        <v>846839</v>
      </c>
      <c r="K120" s="79">
        <f>H120-I120-J120</f>
        <v>542706701</v>
      </c>
      <c r="L120" s="80">
        <f>ROUND(I120/H120,3)</f>
        <v>1.9E-2</v>
      </c>
      <c r="M120" s="81">
        <v>222321920</v>
      </c>
      <c r="N120" s="79">
        <v>44636483</v>
      </c>
      <c r="O120" s="79">
        <v>7655114</v>
      </c>
      <c r="P120" s="79">
        <f>M120-N120-O120</f>
        <v>170030323</v>
      </c>
      <c r="Q120" s="80">
        <f>ROUND(N120/M120,3)</f>
        <v>0.20100000000000001</v>
      </c>
    </row>
    <row r="121" spans="1:17" x14ac:dyDescent="0.15">
      <c r="B121" s="47" t="s">
        <v>231</v>
      </c>
      <c r="C121" s="88">
        <f>C119-C120</f>
        <v>87223757</v>
      </c>
      <c r="D121" s="88">
        <f>D119-D120</f>
        <v>6183188</v>
      </c>
      <c r="E121" s="88">
        <f>E119-E120</f>
        <v>20688.199999999255</v>
      </c>
      <c r="F121" s="88">
        <f>F119-F120</f>
        <v>81019880.799999952</v>
      </c>
      <c r="G121" s="80">
        <f>ROUND(D121/C121,3)</f>
        <v>7.0999999999999994E-2</v>
      </c>
      <c r="H121" s="88">
        <f>H119-H120</f>
        <v>33102922</v>
      </c>
      <c r="I121" s="88">
        <f>I119-I120</f>
        <v>251893</v>
      </c>
      <c r="J121" s="88">
        <f>J119-J120</f>
        <v>0.19999999995343387</v>
      </c>
      <c r="K121" s="88">
        <f>K119-K120</f>
        <v>32851028.799999952</v>
      </c>
      <c r="L121" s="80">
        <f>ROUND(I121/H121,3)</f>
        <v>8.0000000000000002E-3</v>
      </c>
      <c r="M121" s="88">
        <f>M119-M120</f>
        <v>54120835</v>
      </c>
      <c r="N121" s="88">
        <f>N119-N120</f>
        <v>5931295</v>
      </c>
      <c r="O121" s="88">
        <f>O119-O120</f>
        <v>20688</v>
      </c>
      <c r="P121" s="88">
        <f>P119-P120</f>
        <v>48168852</v>
      </c>
      <c r="Q121" s="80">
        <f>ROUND(N121/M121,3)</f>
        <v>0.11</v>
      </c>
    </row>
    <row r="123" spans="1:17" x14ac:dyDescent="0.15">
      <c r="A123" s="47" t="s">
        <v>239</v>
      </c>
    </row>
    <row r="124" spans="1:17" x14ac:dyDescent="0.15">
      <c r="A124" s="47" t="s">
        <v>412</v>
      </c>
    </row>
    <row r="125" spans="1:17" x14ac:dyDescent="0.15">
      <c r="B125" s="47" t="s">
        <v>229</v>
      </c>
      <c r="C125" s="83">
        <f t="shared" ref="C125:E126" si="45">H125+M125</f>
        <v>787594979</v>
      </c>
      <c r="D125" s="83">
        <f t="shared" si="45"/>
        <v>56436153</v>
      </c>
      <c r="E125" s="83">
        <f t="shared" si="45"/>
        <v>8522641.1999999993</v>
      </c>
      <c r="F125" s="79">
        <f>C125-D125-E125</f>
        <v>722636184.79999995</v>
      </c>
      <c r="G125" s="80">
        <f>ROUND(D125/C125,3)</f>
        <v>7.1999999999999995E-2</v>
      </c>
      <c r="H125" s="88">
        <v>557313523</v>
      </c>
      <c r="I125" s="88">
        <v>10697177</v>
      </c>
      <c r="J125" s="88">
        <v>846839.2</v>
      </c>
      <c r="K125" s="79">
        <f>H125-I125-J125</f>
        <v>545769506.79999995</v>
      </c>
      <c r="L125" s="80">
        <f>ROUND(I125/H125,3)</f>
        <v>1.9E-2</v>
      </c>
      <c r="M125" s="81">
        <v>230281456</v>
      </c>
      <c r="N125" s="79">
        <v>45738976</v>
      </c>
      <c r="O125" s="79">
        <v>7675802</v>
      </c>
      <c r="P125" s="79">
        <f>M125-N125-O125</f>
        <v>176866678</v>
      </c>
      <c r="Q125" s="80">
        <f>ROUND(N125/M125,3)</f>
        <v>0.19900000000000001</v>
      </c>
    </row>
    <row r="126" spans="1:17" x14ac:dyDescent="0.15">
      <c r="B126" s="47" t="s">
        <v>230</v>
      </c>
      <c r="C126" s="83">
        <f t="shared" si="45"/>
        <v>776541138</v>
      </c>
      <c r="D126" s="83">
        <f t="shared" si="45"/>
        <v>55302161</v>
      </c>
      <c r="E126" s="83">
        <f t="shared" si="45"/>
        <v>8501953</v>
      </c>
      <c r="F126" s="79">
        <f>C126-D126-E126</f>
        <v>712737024</v>
      </c>
      <c r="G126" s="80">
        <f>ROUND(D126/C126,3)</f>
        <v>7.0999999999999994E-2</v>
      </c>
      <c r="H126" s="79">
        <f>H120</f>
        <v>554219218</v>
      </c>
      <c r="I126" s="79">
        <f>I120</f>
        <v>10665678</v>
      </c>
      <c r="J126" s="79">
        <f>J120</f>
        <v>846839</v>
      </c>
      <c r="K126" s="79">
        <f>H126-I126-J126</f>
        <v>542706701</v>
      </c>
      <c r="L126" s="80">
        <f>ROUND(I126/H126,3)</f>
        <v>1.9E-2</v>
      </c>
      <c r="M126" s="81">
        <f>M120</f>
        <v>222321920</v>
      </c>
      <c r="N126" s="79">
        <f>N120</f>
        <v>44636483</v>
      </c>
      <c r="O126" s="79">
        <f>O120</f>
        <v>7655114</v>
      </c>
      <c r="P126" s="79">
        <f>M126-N126-O126</f>
        <v>170030323</v>
      </c>
      <c r="Q126" s="80">
        <f>ROUND(N126/M126,3)</f>
        <v>0.20100000000000001</v>
      </c>
    </row>
    <row r="127" spans="1:17" x14ac:dyDescent="0.15">
      <c r="B127" s="47" t="s">
        <v>415</v>
      </c>
      <c r="C127" s="88">
        <f>C125-C126</f>
        <v>11053841</v>
      </c>
      <c r="D127" s="88">
        <f>D125-D126</f>
        <v>1133992</v>
      </c>
      <c r="E127" s="88">
        <f>E125-E126</f>
        <v>20688.199999999255</v>
      </c>
      <c r="F127" s="88">
        <f>F125-F126</f>
        <v>9899160.7999999523</v>
      </c>
      <c r="G127" s="80">
        <f>ROUND(D127/C127,3)</f>
        <v>0.10299999999999999</v>
      </c>
      <c r="H127" s="88">
        <f>H125-H126</f>
        <v>3094305</v>
      </c>
      <c r="I127" s="88">
        <f>I125-I126</f>
        <v>31499</v>
      </c>
      <c r="J127" s="88">
        <f>J125-J126</f>
        <v>0.19999999995343387</v>
      </c>
      <c r="K127" s="88">
        <f>K125-K126</f>
        <v>3062805.7999999523</v>
      </c>
      <c r="L127" s="80">
        <f>ROUND(I127/H127,3)</f>
        <v>0.01</v>
      </c>
      <c r="M127" s="88">
        <f>M125-M126</f>
        <v>7959536</v>
      </c>
      <c r="N127" s="88">
        <f>N125-N126</f>
        <v>1102493</v>
      </c>
      <c r="O127" s="88">
        <f>O125-O126</f>
        <v>20688</v>
      </c>
      <c r="P127" s="88">
        <f>P125-P126</f>
        <v>6836355</v>
      </c>
      <c r="Q127" s="80">
        <f>ROUND(N127/M127,3)</f>
        <v>0.13900000000000001</v>
      </c>
    </row>
    <row r="128" spans="1:17" x14ac:dyDescent="0.15">
      <c r="B128" s="47" t="s">
        <v>416</v>
      </c>
      <c r="C128" s="83">
        <f>H128+M128</f>
        <v>76169916</v>
      </c>
      <c r="D128" s="83">
        <f>I128+N128</f>
        <v>5049196</v>
      </c>
      <c r="E128" s="83">
        <f>J128+O128</f>
        <v>0</v>
      </c>
      <c r="F128" s="79">
        <f>C128-D128-E128</f>
        <v>71120720</v>
      </c>
      <c r="G128" s="80">
        <f>ROUND(D128/C128,3)</f>
        <v>6.6000000000000003E-2</v>
      </c>
      <c r="H128" s="88">
        <f>H121-H127</f>
        <v>30008617</v>
      </c>
      <c r="I128" s="88">
        <f>I121-I127</f>
        <v>220394</v>
      </c>
      <c r="J128" s="88">
        <f>J121-J127</f>
        <v>0</v>
      </c>
      <c r="K128" s="79">
        <f>H128-I128-J128</f>
        <v>29788223</v>
      </c>
      <c r="L128" s="80">
        <f>ROUND(I128/H128,3)</f>
        <v>7.0000000000000001E-3</v>
      </c>
      <c r="M128" s="88">
        <f>M121-M127</f>
        <v>46161299</v>
      </c>
      <c r="N128" s="88">
        <f>N121-N127</f>
        <v>4828802</v>
      </c>
      <c r="O128" s="88">
        <f>O121-O127</f>
        <v>0</v>
      </c>
      <c r="P128" s="79">
        <f>M128-N128-O128</f>
        <v>41332497</v>
      </c>
      <c r="Q128" s="80">
        <f>ROUND(N128/M128,3)</f>
        <v>0.105</v>
      </c>
    </row>
    <row r="130" spans="1:17" x14ac:dyDescent="0.15">
      <c r="A130" s="47" t="s">
        <v>240</v>
      </c>
    </row>
    <row r="131" spans="1:17" x14ac:dyDescent="0.15">
      <c r="A131" s="47" t="s">
        <v>411</v>
      </c>
    </row>
    <row r="132" spans="1:17" x14ac:dyDescent="0.15">
      <c r="B132" s="47" t="s">
        <v>229</v>
      </c>
      <c r="C132" s="83">
        <f t="shared" ref="C132:E133" si="46">H132+M132</f>
        <v>796062121</v>
      </c>
      <c r="D132" s="83">
        <f t="shared" si="46"/>
        <v>58052312</v>
      </c>
      <c r="E132" s="83">
        <f t="shared" si="46"/>
        <v>8522641</v>
      </c>
      <c r="F132" s="79">
        <f>C132-D132-E132</f>
        <v>729487168</v>
      </c>
      <c r="G132" s="80">
        <f>ROUND(D132/C132,3)</f>
        <v>7.2999999999999995E-2</v>
      </c>
      <c r="H132" s="88">
        <v>557313523</v>
      </c>
      <c r="I132" s="88">
        <v>10697177</v>
      </c>
      <c r="J132" s="88">
        <v>846839</v>
      </c>
      <c r="K132" s="79">
        <f>H132-I132-J132</f>
        <v>545769507</v>
      </c>
      <c r="L132" s="80">
        <f>ROUND(I132/H132,3)</f>
        <v>1.9E-2</v>
      </c>
      <c r="M132" s="81">
        <v>238748598</v>
      </c>
      <c r="N132" s="79">
        <v>47355135</v>
      </c>
      <c r="O132" s="79">
        <v>7675802</v>
      </c>
      <c r="P132" s="79">
        <f>M132-N132-O132</f>
        <v>183717661</v>
      </c>
      <c r="Q132" s="80">
        <f>ROUND(N132/M132,3)</f>
        <v>0.19800000000000001</v>
      </c>
    </row>
    <row r="133" spans="1:17" x14ac:dyDescent="0.15">
      <c r="B133" s="47" t="s">
        <v>230</v>
      </c>
      <c r="C133" s="83">
        <f t="shared" si="46"/>
        <v>776541138</v>
      </c>
      <c r="D133" s="83">
        <f t="shared" si="46"/>
        <v>55302161</v>
      </c>
      <c r="E133" s="83">
        <f t="shared" si="46"/>
        <v>8501953</v>
      </c>
      <c r="F133" s="79">
        <f>C133-D133-E133</f>
        <v>712737024</v>
      </c>
      <c r="G133" s="80">
        <f>ROUND(D133/C133,3)</f>
        <v>7.0999999999999994E-2</v>
      </c>
      <c r="H133" s="79">
        <f>H120</f>
        <v>554219218</v>
      </c>
      <c r="I133" s="79">
        <f>I120</f>
        <v>10665678</v>
      </c>
      <c r="J133" s="79">
        <f>J120</f>
        <v>846839</v>
      </c>
      <c r="K133" s="79">
        <f>H133-I133-J133</f>
        <v>542706701</v>
      </c>
      <c r="L133" s="80">
        <f>ROUND(I133/H133,3)</f>
        <v>1.9E-2</v>
      </c>
      <c r="M133" s="79">
        <f>M120</f>
        <v>222321920</v>
      </c>
      <c r="N133" s="79">
        <f>N120</f>
        <v>44636483</v>
      </c>
      <c r="O133" s="79">
        <f>O120</f>
        <v>7655114</v>
      </c>
      <c r="P133" s="79">
        <f>M133-N133-O133</f>
        <v>170030323</v>
      </c>
      <c r="Q133" s="80">
        <f>ROUND(N133/M133,3)</f>
        <v>0.20100000000000001</v>
      </c>
    </row>
    <row r="134" spans="1:17" x14ac:dyDescent="0.15">
      <c r="B134" s="47" t="s">
        <v>231</v>
      </c>
      <c r="C134" s="88">
        <f>C132-C133</f>
        <v>19520983</v>
      </c>
      <c r="D134" s="88">
        <f>D132-D133</f>
        <v>2750151</v>
      </c>
      <c r="E134" s="88">
        <f>E132-E133</f>
        <v>20688</v>
      </c>
      <c r="F134" s="88">
        <f>F132-F133</f>
        <v>16750144</v>
      </c>
      <c r="G134" s="80">
        <f>ROUND(D134/C134,3)</f>
        <v>0.14099999999999999</v>
      </c>
      <c r="H134" s="88">
        <f>H132-H133</f>
        <v>3094305</v>
      </c>
      <c r="I134" s="88">
        <f>I132-I133</f>
        <v>31499</v>
      </c>
      <c r="J134" s="88">
        <f>J132-J133</f>
        <v>0</v>
      </c>
      <c r="K134" s="88">
        <f>K132-K133</f>
        <v>3062806</v>
      </c>
      <c r="L134" s="80">
        <f>ROUND(I134/H134,3)</f>
        <v>0.01</v>
      </c>
      <c r="M134" s="88">
        <f>M132-M133</f>
        <v>16426678</v>
      </c>
      <c r="N134" s="88">
        <f>N132-N133</f>
        <v>2718652</v>
      </c>
      <c r="O134" s="88">
        <f>O132-O133</f>
        <v>20688</v>
      </c>
      <c r="P134" s="88">
        <f>P132-P133</f>
        <v>13687338</v>
      </c>
      <c r="Q134" s="80">
        <f>ROUND(N134/M134,3)</f>
        <v>0.16600000000000001</v>
      </c>
    </row>
    <row r="136" spans="1:17" x14ac:dyDescent="0.15">
      <c r="A136" s="47" t="s">
        <v>240</v>
      </c>
    </row>
    <row r="137" spans="1:17" hidden="1" x14ac:dyDescent="0.15">
      <c r="A137" s="47" t="s">
        <v>411</v>
      </c>
    </row>
    <row r="138" spans="1:17" hidden="1" x14ac:dyDescent="0.15">
      <c r="B138" s="47" t="s">
        <v>229</v>
      </c>
      <c r="C138" s="83">
        <f t="shared" ref="C138:E139" si="47">H138+M138</f>
        <v>781159154</v>
      </c>
      <c r="D138" s="83">
        <f t="shared" si="47"/>
        <v>51701992.759999998</v>
      </c>
      <c r="E138" s="83">
        <f t="shared" si="47"/>
        <v>8593182.1999999993</v>
      </c>
      <c r="F138" s="79">
        <f>C138-D138-E138</f>
        <v>720863979.03999996</v>
      </c>
      <c r="G138" s="80">
        <f>ROUND(D138/C138,3)</f>
        <v>6.6000000000000003E-2</v>
      </c>
      <c r="H138" s="88">
        <v>550368568</v>
      </c>
      <c r="I138" s="88">
        <v>5872113.7599999988</v>
      </c>
      <c r="J138" s="88">
        <v>846839.2</v>
      </c>
      <c r="K138" s="79">
        <f>H138-I138-J138</f>
        <v>543649615.03999996</v>
      </c>
      <c r="L138" s="80">
        <f>ROUND(I138/H138,3)</f>
        <v>1.0999999999999999E-2</v>
      </c>
      <c r="M138" s="81">
        <v>230790586</v>
      </c>
      <c r="N138" s="79">
        <v>45829879</v>
      </c>
      <c r="O138" s="79">
        <v>7746343</v>
      </c>
      <c r="P138" s="79">
        <f>M138-N138-O138</f>
        <v>177214364</v>
      </c>
      <c r="Q138" s="80">
        <f>ROUND(N138/M138,3)</f>
        <v>0.19900000000000001</v>
      </c>
    </row>
    <row r="139" spans="1:17" hidden="1" x14ac:dyDescent="0.15">
      <c r="B139" s="47" t="s">
        <v>230</v>
      </c>
      <c r="C139" s="83">
        <f t="shared" si="47"/>
        <v>747848844</v>
      </c>
      <c r="D139" s="83">
        <f t="shared" si="47"/>
        <v>48888055</v>
      </c>
      <c r="E139" s="83">
        <f t="shared" si="47"/>
        <v>8276467</v>
      </c>
      <c r="F139" s="79">
        <f>C139-D139-E139</f>
        <v>690684322</v>
      </c>
      <c r="G139" s="80">
        <f>ROUND(D139/C139,3)</f>
        <v>6.5000000000000002E-2</v>
      </c>
      <c r="H139" s="79">
        <v>532510759</v>
      </c>
      <c r="I139" s="79">
        <v>5670359</v>
      </c>
      <c r="J139" s="79">
        <v>823882</v>
      </c>
      <c r="K139" s="79">
        <f>H139-I139-J139</f>
        <v>526016518</v>
      </c>
      <c r="L139" s="80">
        <f>ROUND(I139/H139,3)</f>
        <v>1.0999999999999999E-2</v>
      </c>
      <c r="M139" s="81">
        <v>215338085</v>
      </c>
      <c r="N139" s="79">
        <v>43217696</v>
      </c>
      <c r="O139" s="79">
        <v>7452585</v>
      </c>
      <c r="P139" s="79">
        <f>M139-N139-O139</f>
        <v>164667804</v>
      </c>
      <c r="Q139" s="80">
        <f>ROUND(N139/M139,3)</f>
        <v>0.20100000000000001</v>
      </c>
    </row>
    <row r="140" spans="1:17" hidden="1" x14ac:dyDescent="0.15">
      <c r="B140" s="47" t="s">
        <v>231</v>
      </c>
      <c r="C140" s="88">
        <f t="shared" ref="C140:F141" si="48">C138-C139</f>
        <v>33310310</v>
      </c>
      <c r="D140" s="88">
        <f t="shared" si="48"/>
        <v>2813937.7599999979</v>
      </c>
      <c r="E140" s="88">
        <f t="shared" si="48"/>
        <v>316715.19999999925</v>
      </c>
      <c r="F140" s="88">
        <f t="shared" si="48"/>
        <v>30179657.039999962</v>
      </c>
      <c r="G140" s="80">
        <f>ROUND(D140/C140,3)</f>
        <v>8.4000000000000005E-2</v>
      </c>
      <c r="H140" s="88">
        <f t="shared" ref="H140:K141" si="49">H138-H139</f>
        <v>17857809</v>
      </c>
      <c r="I140" s="88">
        <f t="shared" si="49"/>
        <v>201754.75999999885</v>
      </c>
      <c r="J140" s="88">
        <f t="shared" si="49"/>
        <v>22957.199999999953</v>
      </c>
      <c r="K140" s="88">
        <f t="shared" si="49"/>
        <v>17633097.039999962</v>
      </c>
      <c r="L140" s="80">
        <f>ROUND(I140/H140,3)</f>
        <v>1.0999999999999999E-2</v>
      </c>
      <c r="M140" s="88">
        <f t="shared" ref="M140:P141" si="50">M138-M139</f>
        <v>15452501</v>
      </c>
      <c r="N140" s="88">
        <f t="shared" si="50"/>
        <v>2612183</v>
      </c>
      <c r="O140" s="88">
        <f t="shared" si="50"/>
        <v>293758</v>
      </c>
      <c r="P140" s="88">
        <f t="shared" si="50"/>
        <v>12546560</v>
      </c>
      <c r="Q140" s="80">
        <f>ROUND(N140/M140,3)</f>
        <v>0.16900000000000001</v>
      </c>
    </row>
    <row r="141" spans="1:17" hidden="1" x14ac:dyDescent="0.15">
      <c r="B141" s="47" t="s">
        <v>231</v>
      </c>
      <c r="C141" s="88">
        <f t="shared" si="48"/>
        <v>714538534</v>
      </c>
      <c r="D141" s="88">
        <f t="shared" si="48"/>
        <v>46074117.240000002</v>
      </c>
      <c r="E141" s="88">
        <f t="shared" si="48"/>
        <v>7959751.8000000007</v>
      </c>
      <c r="F141" s="88">
        <f t="shared" si="48"/>
        <v>660504664.96000004</v>
      </c>
      <c r="G141" s="80">
        <f>ROUND(D141/C141,3)</f>
        <v>6.4000000000000001E-2</v>
      </c>
      <c r="H141" s="88">
        <f t="shared" si="49"/>
        <v>514652950</v>
      </c>
      <c r="I141" s="88">
        <f t="shared" si="49"/>
        <v>5468604.2400000012</v>
      </c>
      <c r="J141" s="88">
        <f t="shared" si="49"/>
        <v>800924.8</v>
      </c>
      <c r="K141" s="88">
        <f t="shared" si="49"/>
        <v>508383420.96000004</v>
      </c>
      <c r="L141" s="80">
        <f>ROUND(I141/H141,3)</f>
        <v>1.0999999999999999E-2</v>
      </c>
      <c r="M141" s="88">
        <f t="shared" si="50"/>
        <v>199885584</v>
      </c>
      <c r="N141" s="88">
        <f t="shared" si="50"/>
        <v>40605513</v>
      </c>
      <c r="O141" s="88">
        <f t="shared" si="50"/>
        <v>7158827</v>
      </c>
      <c r="P141" s="88">
        <f t="shared" si="50"/>
        <v>152121244</v>
      </c>
      <c r="Q141" s="80">
        <f>ROUND(N141/M141,3)</f>
        <v>0.20300000000000001</v>
      </c>
    </row>
    <row r="142" spans="1:17" hidden="1" x14ac:dyDescent="0.15">
      <c r="B142" s="47" t="s">
        <v>242</v>
      </c>
      <c r="C142" s="96">
        <f>C141/C134</f>
        <v>36.603614377411219</v>
      </c>
      <c r="H142" s="96">
        <f>H141/H134</f>
        <v>166.32263141480882</v>
      </c>
      <c r="M142" s="96">
        <f>M141/M134</f>
        <v>12.168351020212365</v>
      </c>
    </row>
    <row r="143" spans="1:17" hidden="1" x14ac:dyDescent="0.15"/>
    <row r="144" spans="1:17" x14ac:dyDescent="0.15">
      <c r="A144" s="47" t="s">
        <v>413</v>
      </c>
      <c r="C144" s="88"/>
      <c r="H144" s="88"/>
    </row>
    <row r="145" spans="1:17" x14ac:dyDescent="0.15">
      <c r="B145" s="47" t="s">
        <v>229</v>
      </c>
      <c r="C145" s="83">
        <f t="shared" ref="C145:E146" si="51">H145+M145</f>
        <v>786706904</v>
      </c>
      <c r="D145" s="83">
        <f t="shared" si="51"/>
        <v>56399033</v>
      </c>
      <c r="E145" s="83">
        <f t="shared" si="51"/>
        <v>8522641.1999999993</v>
      </c>
      <c r="F145" s="79">
        <f>C145-D145-E145</f>
        <v>721785229.79999995</v>
      </c>
      <c r="G145" s="80">
        <f>ROUND(D145/C145,3)</f>
        <v>7.1999999999999995E-2</v>
      </c>
      <c r="H145" s="88">
        <v>557313523</v>
      </c>
      <c r="I145" s="88">
        <v>10697177</v>
      </c>
      <c r="J145" s="88">
        <v>846839.2</v>
      </c>
      <c r="K145" s="79">
        <f>H145-I145-J145</f>
        <v>545769506.79999995</v>
      </c>
      <c r="L145" s="80">
        <f>ROUND(I145/H145,3)</f>
        <v>1.9E-2</v>
      </c>
      <c r="M145" s="81">
        <v>229393381</v>
      </c>
      <c r="N145" s="79">
        <v>45701856</v>
      </c>
      <c r="O145" s="79">
        <v>7675802</v>
      </c>
      <c r="P145" s="79">
        <f>M145-N145-O145</f>
        <v>176015723</v>
      </c>
      <c r="Q145" s="80">
        <f>ROUND(N145/M145,3)</f>
        <v>0.19900000000000001</v>
      </c>
    </row>
    <row r="146" spans="1:17" x14ac:dyDescent="0.15">
      <c r="B146" s="47" t="s">
        <v>230</v>
      </c>
      <c r="C146" s="83">
        <f t="shared" si="51"/>
        <v>776541138</v>
      </c>
      <c r="D146" s="83">
        <f t="shared" si="51"/>
        <v>55302161</v>
      </c>
      <c r="E146" s="83">
        <f t="shared" si="51"/>
        <v>8501953</v>
      </c>
      <c r="F146" s="79">
        <f>C146-D146-E146</f>
        <v>712737024</v>
      </c>
      <c r="G146" s="80">
        <f>ROUND(D146/C146,3)</f>
        <v>7.0999999999999994E-2</v>
      </c>
      <c r="H146" s="79">
        <f>H120</f>
        <v>554219218</v>
      </c>
      <c r="I146" s="79">
        <f>I120</f>
        <v>10665678</v>
      </c>
      <c r="J146" s="79">
        <f>J120</f>
        <v>846839</v>
      </c>
      <c r="K146" s="79">
        <f>H146-I146-J146</f>
        <v>542706701</v>
      </c>
      <c r="L146" s="80">
        <f>ROUND(I146/H146,3)</f>
        <v>1.9E-2</v>
      </c>
      <c r="M146" s="79">
        <f>M120</f>
        <v>222321920</v>
      </c>
      <c r="N146" s="79">
        <f>N120</f>
        <v>44636483</v>
      </c>
      <c r="O146" s="79">
        <f>O120</f>
        <v>7655114</v>
      </c>
      <c r="P146" s="79">
        <f>M146-N146-O146</f>
        <v>170030323</v>
      </c>
      <c r="Q146" s="80">
        <f>ROUND(N146/M146,3)</f>
        <v>0.20100000000000001</v>
      </c>
    </row>
    <row r="147" spans="1:17" x14ac:dyDescent="0.15">
      <c r="B147" s="47" t="s">
        <v>415</v>
      </c>
      <c r="C147" s="88">
        <f>C145-C146</f>
        <v>10165766</v>
      </c>
      <c r="D147" s="88">
        <f>D145-D146</f>
        <v>1096872</v>
      </c>
      <c r="E147" s="88">
        <f>E145-E146</f>
        <v>20688.199999999255</v>
      </c>
      <c r="F147" s="88">
        <f>F145-F146</f>
        <v>9048205.7999999523</v>
      </c>
      <c r="G147" s="80">
        <f>ROUND(D147/C147,3)</f>
        <v>0.108</v>
      </c>
      <c r="H147" s="88">
        <f>H145-H146</f>
        <v>3094305</v>
      </c>
      <c r="I147" s="88">
        <f>I145-I146</f>
        <v>31499</v>
      </c>
      <c r="J147" s="88">
        <f>J145-J146</f>
        <v>0.19999999995343387</v>
      </c>
      <c r="K147" s="88">
        <f>K145-K146</f>
        <v>3062805.7999999523</v>
      </c>
      <c r="L147" s="80">
        <f>ROUND(I147/H147,3)</f>
        <v>0.01</v>
      </c>
      <c r="M147" s="88">
        <f>M145-M146</f>
        <v>7071461</v>
      </c>
      <c r="N147" s="88">
        <f>N145-N146</f>
        <v>1065373</v>
      </c>
      <c r="O147" s="88">
        <f>O145-O146</f>
        <v>20688</v>
      </c>
      <c r="P147" s="88">
        <f>P145-P146</f>
        <v>5985400</v>
      </c>
      <c r="Q147" s="80">
        <f>ROUND(N147/M147,3)</f>
        <v>0.151</v>
      </c>
    </row>
    <row r="148" spans="1:17" x14ac:dyDescent="0.15">
      <c r="B148" s="47" t="s">
        <v>416</v>
      </c>
      <c r="C148" s="83">
        <f>H148+M148</f>
        <v>9355217</v>
      </c>
      <c r="D148" s="83">
        <f>I148+N148</f>
        <v>1653279</v>
      </c>
      <c r="E148" s="83">
        <f>J148+O148</f>
        <v>-0.19999999995343387</v>
      </c>
      <c r="F148" s="79">
        <f>C148-D148-E148</f>
        <v>7701938.2000000002</v>
      </c>
      <c r="G148" s="80">
        <f>ROUND(D148/C148,3)</f>
        <v>0.17699999999999999</v>
      </c>
      <c r="H148" s="88">
        <f>H134-H147</f>
        <v>0</v>
      </c>
      <c r="I148" s="88">
        <f>I134-I147</f>
        <v>0</v>
      </c>
      <c r="J148" s="88">
        <f>J134-J147</f>
        <v>-0.19999999995343387</v>
      </c>
      <c r="K148" s="79">
        <f>H148-I148-J148</f>
        <v>0.19999999995343387</v>
      </c>
      <c r="L148" s="80"/>
      <c r="M148" s="88">
        <f>M134-M147</f>
        <v>9355217</v>
      </c>
      <c r="N148" s="88">
        <f>N134-N147</f>
        <v>1653279</v>
      </c>
      <c r="O148" s="88">
        <f>O134-O147</f>
        <v>0</v>
      </c>
      <c r="P148" s="79">
        <f>M148-N148-O148</f>
        <v>7701938</v>
      </c>
      <c r="Q148" s="80">
        <f>ROUND(N148/M148,3)</f>
        <v>0.17699999999999999</v>
      </c>
    </row>
    <row r="149" spans="1:17" x14ac:dyDescent="0.15">
      <c r="C149" s="88"/>
    </row>
    <row r="150" spans="1:17" x14ac:dyDescent="0.15">
      <c r="C150" s="88"/>
    </row>
    <row r="151" spans="1:17" x14ac:dyDescent="0.15">
      <c r="A151" s="74" t="s">
        <v>220</v>
      </c>
      <c r="C151" s="88"/>
    </row>
    <row r="152" spans="1:17" x14ac:dyDescent="0.15">
      <c r="A152" s="74" t="s">
        <v>221</v>
      </c>
      <c r="C152" s="88"/>
    </row>
    <row r="153" spans="1:17" x14ac:dyDescent="0.15">
      <c r="B153" s="47" t="s">
        <v>417</v>
      </c>
      <c r="C153" s="96">
        <f>C127/C$42</f>
        <v>1.7070848155345705E-2</v>
      </c>
      <c r="D153" s="196"/>
      <c r="E153" s="196"/>
      <c r="F153" s="196"/>
      <c r="G153" s="196"/>
      <c r="H153" s="96">
        <f>H127/H$42</f>
        <v>1.3283643209381054E-2</v>
      </c>
      <c r="I153" s="196"/>
      <c r="J153" s="196"/>
      <c r="K153" s="196"/>
      <c r="L153" s="196"/>
      <c r="M153" s="96">
        <f>M127/M$42</f>
        <v>1.9198740828798525E-2</v>
      </c>
    </row>
    <row r="154" spans="1:17" x14ac:dyDescent="0.15">
      <c r="B154" s="47" t="s">
        <v>418</v>
      </c>
      <c r="C154" s="96">
        <f>C128/C$42</f>
        <v>0.11763196793236282</v>
      </c>
      <c r="D154" s="196"/>
      <c r="E154" s="196"/>
      <c r="F154" s="196"/>
      <c r="G154" s="196"/>
      <c r="H154" s="96">
        <f>H128/H$42</f>
        <v>0.12882497408463833</v>
      </c>
      <c r="I154" s="196"/>
      <c r="J154" s="196"/>
      <c r="K154" s="196"/>
      <c r="L154" s="196"/>
      <c r="M154" s="96">
        <f>M128/M$42</f>
        <v>0.1113430249981502</v>
      </c>
    </row>
    <row r="155" spans="1:17" x14ac:dyDescent="0.15">
      <c r="B155" s="47" t="s">
        <v>180</v>
      </c>
      <c r="C155" s="96">
        <f>C121/C$42</f>
        <v>0.13470281608770851</v>
      </c>
      <c r="D155" s="196"/>
      <c r="E155" s="196"/>
      <c r="F155" s="196"/>
      <c r="G155" s="196"/>
      <c r="H155" s="96">
        <f>H121/H$42</f>
        <v>0.14210861729401941</v>
      </c>
      <c r="I155" s="196"/>
      <c r="J155" s="196"/>
      <c r="K155" s="196"/>
      <c r="L155" s="196"/>
      <c r="M155" s="96">
        <f>M121/M$42</f>
        <v>0.13054176582694874</v>
      </c>
    </row>
    <row r="156" spans="1:17" x14ac:dyDescent="0.15"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</row>
    <row r="157" spans="1:17" x14ac:dyDescent="0.15">
      <c r="A157" s="74" t="s">
        <v>242</v>
      </c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</row>
    <row r="158" spans="1:17" x14ac:dyDescent="0.15">
      <c r="B158" s="47" t="s">
        <v>417</v>
      </c>
      <c r="C158" s="96">
        <f>C147/C127</f>
        <v>0.91965914834490559</v>
      </c>
      <c r="D158" s="196"/>
      <c r="E158" s="196"/>
      <c r="F158" s="196"/>
      <c r="G158" s="196"/>
      <c r="H158" s="96">
        <f>H147/H127</f>
        <v>1</v>
      </c>
      <c r="I158" s="196"/>
      <c r="J158" s="196"/>
      <c r="K158" s="196"/>
      <c r="L158" s="196"/>
      <c r="M158" s="96">
        <f>M147/M127</f>
        <v>0.88842628515029021</v>
      </c>
    </row>
    <row r="159" spans="1:17" x14ac:dyDescent="0.15">
      <c r="B159" s="47" t="s">
        <v>418</v>
      </c>
      <c r="C159" s="96">
        <f>C148/C128</f>
        <v>0.12282036650795308</v>
      </c>
      <c r="D159" s="196"/>
      <c r="E159" s="196"/>
      <c r="F159" s="196"/>
      <c r="G159" s="196"/>
      <c r="H159" s="96">
        <f>H148/H128</f>
        <v>0</v>
      </c>
      <c r="I159" s="196"/>
      <c r="J159" s="196"/>
      <c r="K159" s="196"/>
      <c r="L159" s="196"/>
      <c r="M159" s="96">
        <f>M148/M128</f>
        <v>0.20266364254610772</v>
      </c>
    </row>
    <row r="160" spans="1:17" x14ac:dyDescent="0.15">
      <c r="B160" s="47" t="s">
        <v>180</v>
      </c>
      <c r="C160" s="96">
        <f>C134/C121</f>
        <v>0.22380351032116169</v>
      </c>
      <c r="D160" s="196"/>
      <c r="E160" s="196"/>
      <c r="F160" s="196"/>
      <c r="G160" s="196"/>
      <c r="H160" s="96">
        <f>H134/H121</f>
        <v>9.3475282937258528E-2</v>
      </c>
      <c r="I160" s="196"/>
      <c r="J160" s="196"/>
      <c r="K160" s="196"/>
      <c r="L160" s="196"/>
      <c r="M160" s="96">
        <f>M134/M121</f>
        <v>0.30351856175168029</v>
      </c>
    </row>
    <row r="161" spans="1:7" x14ac:dyDescent="0.15">
      <c r="C161" s="88"/>
    </row>
    <row r="162" spans="1:7" x14ac:dyDescent="0.15">
      <c r="C162" s="88"/>
    </row>
    <row r="163" spans="1:7" x14ac:dyDescent="0.15">
      <c r="C163" s="88"/>
    </row>
    <row r="164" spans="1:7" x14ac:dyDescent="0.15">
      <c r="C164" s="88"/>
    </row>
    <row r="165" spans="1:7" x14ac:dyDescent="0.15">
      <c r="C165" s="88"/>
    </row>
    <row r="166" spans="1:7" x14ac:dyDescent="0.15">
      <c r="C166" s="88"/>
    </row>
    <row r="167" spans="1:7" x14ac:dyDescent="0.15">
      <c r="A167" s="64" t="s">
        <v>280</v>
      </c>
    </row>
    <row r="168" spans="1:7" x14ac:dyDescent="0.15">
      <c r="A168" s="64" t="s">
        <v>281</v>
      </c>
    </row>
    <row r="170" spans="1:7" x14ac:dyDescent="0.15">
      <c r="B170" s="47" t="s">
        <v>273</v>
      </c>
    </row>
    <row r="171" spans="1:7" x14ac:dyDescent="0.15">
      <c r="B171" s="47" t="s">
        <v>373</v>
      </c>
      <c r="C171" s="88">
        <f t="shared" ref="C171:E174" si="52">C27</f>
        <v>796062121</v>
      </c>
      <c r="D171" s="88">
        <f t="shared" si="52"/>
        <v>58052312</v>
      </c>
      <c r="E171" s="88">
        <f t="shared" si="52"/>
        <v>8522641</v>
      </c>
      <c r="F171" s="79">
        <f>C171-D171-E171</f>
        <v>729487168</v>
      </c>
      <c r="G171" s="89">
        <f>ROUND(D171/C171,3)</f>
        <v>7.2999999999999995E-2</v>
      </c>
    </row>
    <row r="172" spans="1:7" x14ac:dyDescent="0.15">
      <c r="B172" s="47" t="s">
        <v>374</v>
      </c>
      <c r="C172" s="88">
        <f t="shared" si="52"/>
        <v>798562264</v>
      </c>
      <c r="D172" s="88">
        <f t="shared" si="52"/>
        <v>67199585</v>
      </c>
      <c r="E172" s="88">
        <f t="shared" si="52"/>
        <v>8522641</v>
      </c>
      <c r="F172" s="79">
        <f>C172-D172-E172</f>
        <v>722840038</v>
      </c>
      <c r="G172" s="89">
        <f>ROUND(D172/C172,3)</f>
        <v>8.4000000000000005E-2</v>
      </c>
    </row>
    <row r="173" spans="1:7" x14ac:dyDescent="0.15">
      <c r="B173" s="47" t="s">
        <v>421</v>
      </c>
      <c r="C173" s="88">
        <f t="shared" si="52"/>
        <v>802952513</v>
      </c>
      <c r="D173" s="88">
        <f t="shared" si="52"/>
        <v>66676609</v>
      </c>
      <c r="E173" s="88">
        <f t="shared" si="52"/>
        <v>8522641</v>
      </c>
      <c r="F173" s="79">
        <f>C173-D173-E173</f>
        <v>727753263</v>
      </c>
      <c r="G173" s="89">
        <f>ROUND(D173/C173,3)</f>
        <v>8.3000000000000004E-2</v>
      </c>
    </row>
    <row r="174" spans="1:7" x14ac:dyDescent="0.15">
      <c r="B174" s="47" t="s">
        <v>422</v>
      </c>
      <c r="C174" s="88">
        <f t="shared" si="52"/>
        <v>809060654</v>
      </c>
      <c r="D174" s="88">
        <f t="shared" si="52"/>
        <v>64433321</v>
      </c>
      <c r="E174" s="88">
        <f t="shared" si="52"/>
        <v>8522641</v>
      </c>
      <c r="F174" s="79">
        <f>C174-D174-E174</f>
        <v>736104692</v>
      </c>
      <c r="G174" s="89">
        <f>ROUND(D174/C174,3)</f>
        <v>0.08</v>
      </c>
    </row>
    <row r="175" spans="1:7" x14ac:dyDescent="0.15">
      <c r="B175" s="47" t="s">
        <v>236</v>
      </c>
    </row>
    <row r="176" spans="1:7" x14ac:dyDescent="0.15">
      <c r="B176" s="47" t="s">
        <v>373</v>
      </c>
      <c r="C176" s="88">
        <f t="shared" ref="C176:F177" si="53">C105</f>
        <v>0</v>
      </c>
      <c r="D176" s="88">
        <f t="shared" si="53"/>
        <v>0</v>
      </c>
      <c r="E176" s="88">
        <f t="shared" si="53"/>
        <v>0</v>
      </c>
      <c r="F176" s="88">
        <f t="shared" si="53"/>
        <v>0</v>
      </c>
      <c r="G176" s="89"/>
    </row>
    <row r="177" spans="2:7" x14ac:dyDescent="0.15">
      <c r="B177" s="47" t="s">
        <v>374</v>
      </c>
      <c r="C177" s="88">
        <f t="shared" si="53"/>
        <v>58616000</v>
      </c>
      <c r="D177" s="88">
        <f t="shared" si="53"/>
        <v>1843000</v>
      </c>
      <c r="E177" s="88">
        <f t="shared" si="53"/>
        <v>0</v>
      </c>
      <c r="F177" s="88">
        <f t="shared" si="53"/>
        <v>56773000</v>
      </c>
      <c r="G177" s="89">
        <f>ROUND(D177/C177,3)</f>
        <v>3.1E-2</v>
      </c>
    </row>
    <row r="178" spans="2:7" x14ac:dyDescent="0.15">
      <c r="B178" s="47" t="s">
        <v>421</v>
      </c>
      <c r="C178" s="88"/>
      <c r="D178" s="88"/>
      <c r="E178" s="88"/>
      <c r="F178" s="88"/>
      <c r="G178" s="89"/>
    </row>
    <row r="179" spans="2:7" x14ac:dyDescent="0.15">
      <c r="B179" s="47" t="s">
        <v>422</v>
      </c>
      <c r="C179" s="88"/>
      <c r="D179" s="88"/>
      <c r="E179" s="88"/>
      <c r="F179" s="88"/>
      <c r="G179" s="89"/>
    </row>
    <row r="181" spans="2:7" x14ac:dyDescent="0.15">
      <c r="B181" s="47" t="s">
        <v>277</v>
      </c>
    </row>
    <row r="182" spans="2:7" x14ac:dyDescent="0.15">
      <c r="B182" s="47" t="s">
        <v>373</v>
      </c>
      <c r="C182" s="88">
        <f t="shared" ref="C182:F183" si="54">C171+C176</f>
        <v>796062121</v>
      </c>
      <c r="D182" s="88">
        <f t="shared" si="54"/>
        <v>58052312</v>
      </c>
      <c r="E182" s="88">
        <f t="shared" si="54"/>
        <v>8522641</v>
      </c>
      <c r="F182" s="88">
        <f t="shared" si="54"/>
        <v>729487168</v>
      </c>
      <c r="G182" s="89">
        <f>ROUND(D182/C182,3)</f>
        <v>7.2999999999999995E-2</v>
      </c>
    </row>
    <row r="183" spans="2:7" x14ac:dyDescent="0.15">
      <c r="B183" s="47" t="s">
        <v>374</v>
      </c>
      <c r="C183" s="88">
        <f t="shared" si="54"/>
        <v>857178264</v>
      </c>
      <c r="D183" s="88">
        <f t="shared" si="54"/>
        <v>69042585</v>
      </c>
      <c r="E183" s="88">
        <f t="shared" si="54"/>
        <v>8522641</v>
      </c>
      <c r="F183" s="88">
        <f t="shared" si="54"/>
        <v>779613038</v>
      </c>
      <c r="G183" s="89">
        <f>ROUND(D183/C183,3)</f>
        <v>8.1000000000000003E-2</v>
      </c>
    </row>
    <row r="184" spans="2:7" x14ac:dyDescent="0.15">
      <c r="B184" s="47" t="s">
        <v>421</v>
      </c>
      <c r="C184" s="88"/>
      <c r="D184" s="88"/>
      <c r="E184" s="88"/>
      <c r="F184" s="88"/>
      <c r="G184" s="89"/>
    </row>
    <row r="185" spans="2:7" x14ac:dyDescent="0.15">
      <c r="B185" s="47" t="s">
        <v>422</v>
      </c>
      <c r="C185" s="88"/>
      <c r="D185" s="88"/>
      <c r="E185" s="88"/>
      <c r="F185" s="88"/>
      <c r="G185" s="89"/>
    </row>
    <row r="187" spans="2:7" x14ac:dyDescent="0.15">
      <c r="B187" s="47" t="s">
        <v>272</v>
      </c>
    </row>
    <row r="188" spans="2:7" x14ac:dyDescent="0.15">
      <c r="B188" s="47" t="s">
        <v>373</v>
      </c>
      <c r="C188" s="88">
        <f>'FY 2012'!J93</f>
        <v>822570396</v>
      </c>
      <c r="D188" s="88">
        <f>'FY 2012'!J128</f>
        <v>68309383</v>
      </c>
      <c r="E188" s="88">
        <f>'FY 2012'!J129</f>
        <v>8501953</v>
      </c>
      <c r="F188" s="79">
        <f>C188-D188-E188</f>
        <v>745759060</v>
      </c>
      <c r="G188" s="89">
        <f>ROUND(D188/C188,3)</f>
        <v>8.3000000000000004E-2</v>
      </c>
    </row>
    <row r="189" spans="2:7" x14ac:dyDescent="0.15">
      <c r="B189" s="47" t="s">
        <v>374</v>
      </c>
      <c r="C189" s="88">
        <f>'FY 2013'!J93</f>
        <v>895199708</v>
      </c>
      <c r="D189" s="88">
        <f>'FY 2013'!J128</f>
        <v>84080465</v>
      </c>
      <c r="E189" s="88">
        <f>'FY 2013'!J129</f>
        <v>8501953</v>
      </c>
      <c r="F189" s="79">
        <f>C189-D189-E189</f>
        <v>802617290</v>
      </c>
      <c r="G189" s="89">
        <f>ROUND(D189/C189,3)</f>
        <v>9.4E-2</v>
      </c>
    </row>
    <row r="190" spans="2:7" x14ac:dyDescent="0.15">
      <c r="B190" s="47" t="s">
        <v>421</v>
      </c>
      <c r="C190" s="88"/>
      <c r="D190" s="88"/>
      <c r="E190" s="88"/>
      <c r="F190" s="79"/>
      <c r="G190" s="89"/>
    </row>
    <row r="191" spans="2:7" x14ac:dyDescent="0.15">
      <c r="B191" s="47" t="s">
        <v>422</v>
      </c>
      <c r="C191" s="88"/>
      <c r="D191" s="88"/>
      <c r="E191" s="88"/>
      <c r="F191" s="79"/>
      <c r="G191" s="89"/>
    </row>
    <row r="193" spans="1:7" x14ac:dyDescent="0.15">
      <c r="B193" s="47" t="s">
        <v>278</v>
      </c>
    </row>
    <row r="194" spans="1:7" x14ac:dyDescent="0.15">
      <c r="B194" s="47" t="s">
        <v>373</v>
      </c>
      <c r="C194" s="88">
        <f t="shared" ref="C194:F195" si="55">C182-C188</f>
        <v>-26508275</v>
      </c>
      <c r="D194" s="88">
        <f t="shared" si="55"/>
        <v>-10257071</v>
      </c>
      <c r="E194" s="88">
        <f t="shared" si="55"/>
        <v>20688</v>
      </c>
      <c r="F194" s="88">
        <f t="shared" si="55"/>
        <v>-16271892</v>
      </c>
      <c r="G194" s="89"/>
    </row>
    <row r="195" spans="1:7" x14ac:dyDescent="0.15">
      <c r="B195" s="47" t="s">
        <v>374</v>
      </c>
      <c r="C195" s="88">
        <f t="shared" si="55"/>
        <v>-38021444</v>
      </c>
      <c r="D195" s="88">
        <f t="shared" si="55"/>
        <v>-15037880</v>
      </c>
      <c r="E195" s="88">
        <f t="shared" si="55"/>
        <v>20688</v>
      </c>
      <c r="F195" s="88">
        <f t="shared" si="55"/>
        <v>-23004252</v>
      </c>
      <c r="G195" s="89"/>
    </row>
    <row r="196" spans="1:7" hidden="1" x14ac:dyDescent="0.15">
      <c r="A196" s="64" t="s">
        <v>280</v>
      </c>
    </row>
    <row r="197" spans="1:7" hidden="1" x14ac:dyDescent="0.15">
      <c r="A197" s="64" t="s">
        <v>282</v>
      </c>
    </row>
    <row r="198" spans="1:7" hidden="1" x14ac:dyDescent="0.15"/>
    <row r="199" spans="1:7" hidden="1" x14ac:dyDescent="0.15">
      <c r="B199" s="47" t="s">
        <v>277</v>
      </c>
    </row>
    <row r="200" spans="1:7" hidden="1" x14ac:dyDescent="0.15">
      <c r="B200" s="47" t="s">
        <v>274</v>
      </c>
      <c r="C200" s="88">
        <v>723111857</v>
      </c>
      <c r="D200" s="88">
        <v>79217394</v>
      </c>
      <c r="E200" s="88">
        <v>8587792</v>
      </c>
      <c r="F200" s="88">
        <v>635306671</v>
      </c>
    </row>
    <row r="201" spans="1:7" hidden="1" x14ac:dyDescent="0.15">
      <c r="B201" s="47" t="s">
        <v>275</v>
      </c>
      <c r="C201" s="88">
        <v>808198367</v>
      </c>
      <c r="D201" s="88">
        <v>62100576</v>
      </c>
      <c r="E201" s="88">
        <v>8587792</v>
      </c>
      <c r="F201" s="88">
        <v>737509999</v>
      </c>
    </row>
    <row r="202" spans="1:7" hidden="1" x14ac:dyDescent="0.15">
      <c r="B202" s="47" t="s">
        <v>276</v>
      </c>
      <c r="C202" s="88">
        <v>918369520</v>
      </c>
      <c r="D202" s="88">
        <v>47171038</v>
      </c>
      <c r="E202" s="88">
        <v>8587792</v>
      </c>
      <c r="F202" s="88">
        <v>862610690</v>
      </c>
    </row>
    <row r="203" spans="1:7" hidden="1" x14ac:dyDescent="0.15"/>
    <row r="204" spans="1:7" hidden="1" x14ac:dyDescent="0.15">
      <c r="B204" s="47" t="s">
        <v>283</v>
      </c>
    </row>
    <row r="205" spans="1:7" hidden="1" x14ac:dyDescent="0.15">
      <c r="B205" s="47" t="s">
        <v>165</v>
      </c>
      <c r="C205" s="88">
        <v>170145481.99999994</v>
      </c>
      <c r="D205" s="88">
        <v>15984820.960000023</v>
      </c>
      <c r="E205" s="88">
        <v>297074.28999999829</v>
      </c>
      <c r="F205" s="117">
        <v>153863586.74999991</v>
      </c>
    </row>
    <row r="206" spans="1:7" hidden="1" x14ac:dyDescent="0.15">
      <c r="B206" s="47" t="s">
        <v>249</v>
      </c>
      <c r="C206" s="88">
        <v>178949653.99999991</v>
      </c>
      <c r="D206" s="88">
        <v>11184907.219999965</v>
      </c>
      <c r="E206" s="88">
        <v>297074.28999999829</v>
      </c>
      <c r="F206" s="117">
        <v>167467672.48999995</v>
      </c>
    </row>
    <row r="207" spans="1:7" hidden="1" x14ac:dyDescent="0.15">
      <c r="B207" s="47" t="s">
        <v>250</v>
      </c>
      <c r="C207" s="88">
        <v>183799592.99999979</v>
      </c>
      <c r="D207" s="88">
        <v>6543626.1500000209</v>
      </c>
      <c r="E207" s="88">
        <v>297074.28999999829</v>
      </c>
      <c r="F207" s="117">
        <v>176958892.55999979</v>
      </c>
    </row>
    <row r="208" spans="1:7" hidden="1" x14ac:dyDescent="0.15"/>
    <row r="209" spans="2:6" hidden="1" x14ac:dyDescent="0.15">
      <c r="B209" s="47" t="s">
        <v>284</v>
      </c>
    </row>
    <row r="210" spans="2:6" hidden="1" x14ac:dyDescent="0.15">
      <c r="B210" s="47" t="s">
        <v>275</v>
      </c>
      <c r="C210" s="88">
        <v>71138000</v>
      </c>
      <c r="D210" s="88">
        <v>2775000</v>
      </c>
      <c r="E210" s="88">
        <v>0</v>
      </c>
      <c r="F210" s="88">
        <v>68363000</v>
      </c>
    </row>
    <row r="211" spans="2:6" hidden="1" x14ac:dyDescent="0.15">
      <c r="B211" s="47" t="s">
        <v>276</v>
      </c>
      <c r="C211" s="88">
        <v>172510000</v>
      </c>
      <c r="D211" s="88">
        <v>3835000</v>
      </c>
      <c r="E211" s="88">
        <v>0</v>
      </c>
      <c r="F211" s="88">
        <v>168675000</v>
      </c>
    </row>
    <row r="212" spans="2:6" hidden="1" x14ac:dyDescent="0.15"/>
    <row r="213" spans="2:6" hidden="1" x14ac:dyDescent="0.15">
      <c r="B213" s="47" t="s">
        <v>285</v>
      </c>
    </row>
    <row r="214" spans="2:6" hidden="1" x14ac:dyDescent="0.15">
      <c r="B214" s="47" t="s">
        <v>165</v>
      </c>
      <c r="C214" s="88">
        <f>C205</f>
        <v>170145481.99999994</v>
      </c>
      <c r="D214" s="88">
        <f>D205</f>
        <v>15984820.960000023</v>
      </c>
      <c r="E214" s="88">
        <f>E205</f>
        <v>297074.28999999829</v>
      </c>
      <c r="F214" s="88">
        <f>F205</f>
        <v>153863586.74999991</v>
      </c>
    </row>
    <row r="215" spans="2:6" hidden="1" x14ac:dyDescent="0.15">
      <c r="B215" s="47" t="s">
        <v>249</v>
      </c>
      <c r="C215" s="88">
        <f t="shared" ref="C215:F216" si="56">C206+C210</f>
        <v>250087653.99999991</v>
      </c>
      <c r="D215" s="88">
        <f t="shared" si="56"/>
        <v>13959907.219999965</v>
      </c>
      <c r="E215" s="88">
        <f t="shared" si="56"/>
        <v>297074.28999999829</v>
      </c>
      <c r="F215" s="88">
        <f t="shared" si="56"/>
        <v>235830672.48999995</v>
      </c>
    </row>
    <row r="216" spans="2:6" hidden="1" x14ac:dyDescent="0.15">
      <c r="B216" s="47" t="s">
        <v>250</v>
      </c>
      <c r="C216" s="88">
        <f t="shared" si="56"/>
        <v>356309592.99999976</v>
      </c>
      <c r="D216" s="88">
        <f t="shared" si="56"/>
        <v>10378626.150000021</v>
      </c>
      <c r="E216" s="88">
        <f t="shared" si="56"/>
        <v>297074.28999999829</v>
      </c>
      <c r="F216" s="88">
        <f t="shared" si="56"/>
        <v>345633892.55999982</v>
      </c>
    </row>
    <row r="217" spans="2:6" hidden="1" x14ac:dyDescent="0.15"/>
    <row r="218" spans="2:6" hidden="1" x14ac:dyDescent="0.15">
      <c r="B218" s="47" t="s">
        <v>286</v>
      </c>
    </row>
    <row r="219" spans="2:6" hidden="1" x14ac:dyDescent="0.15">
      <c r="B219" s="47" t="s">
        <v>165</v>
      </c>
      <c r="C219" s="88">
        <f t="shared" ref="C219:F221" si="57">C200-C214</f>
        <v>552966375</v>
      </c>
      <c r="D219" s="88">
        <f t="shared" si="57"/>
        <v>63232573.039999977</v>
      </c>
      <c r="E219" s="88">
        <f t="shared" si="57"/>
        <v>8290717.7100000018</v>
      </c>
      <c r="F219" s="88">
        <f t="shared" si="57"/>
        <v>481443084.25000012</v>
      </c>
    </row>
    <row r="220" spans="2:6" hidden="1" x14ac:dyDescent="0.15">
      <c r="B220" s="47" t="s">
        <v>249</v>
      </c>
      <c r="C220" s="88">
        <f t="shared" si="57"/>
        <v>558110713.00000012</v>
      </c>
      <c r="D220" s="88">
        <f t="shared" si="57"/>
        <v>48140668.780000031</v>
      </c>
      <c r="E220" s="88">
        <f t="shared" si="57"/>
        <v>8290717.7100000018</v>
      </c>
      <c r="F220" s="88">
        <f t="shared" si="57"/>
        <v>501679326.51000005</v>
      </c>
    </row>
    <row r="221" spans="2:6" hidden="1" x14ac:dyDescent="0.15">
      <c r="B221" s="47" t="s">
        <v>250</v>
      </c>
      <c r="C221" s="88">
        <f t="shared" si="57"/>
        <v>562059927.00000024</v>
      </c>
      <c r="D221" s="88">
        <f t="shared" si="57"/>
        <v>36792411.849999979</v>
      </c>
      <c r="E221" s="88">
        <f t="shared" si="57"/>
        <v>8290717.7100000018</v>
      </c>
      <c r="F221" s="88">
        <f t="shared" si="57"/>
        <v>516976797.44000018</v>
      </c>
    </row>
    <row r="222" spans="2:6" hidden="1" x14ac:dyDescent="0.15"/>
    <row r="223" spans="2:6" hidden="1" x14ac:dyDescent="0.15">
      <c r="B223" s="47" t="s">
        <v>272</v>
      </c>
    </row>
    <row r="224" spans="2:6" hidden="1" x14ac:dyDescent="0.15">
      <c r="B224" s="47" t="s">
        <v>274</v>
      </c>
      <c r="C224" s="88">
        <v>727996293</v>
      </c>
      <c r="D224" s="88">
        <v>77547630</v>
      </c>
      <c r="E224" s="88">
        <v>8704000</v>
      </c>
      <c r="F224" s="79">
        <f>C224-D224-E224</f>
        <v>641744663</v>
      </c>
    </row>
    <row r="225" spans="2:6" hidden="1" x14ac:dyDescent="0.15">
      <c r="B225" s="47" t="s">
        <v>275</v>
      </c>
      <c r="C225" s="88">
        <v>785220800</v>
      </c>
      <c r="D225" s="88">
        <v>56210292</v>
      </c>
      <c r="E225" s="88">
        <v>8704000</v>
      </c>
      <c r="F225" s="79">
        <f>C225-D225-E225</f>
        <v>720306508</v>
      </c>
    </row>
    <row r="226" spans="2:6" hidden="1" x14ac:dyDescent="0.15">
      <c r="B226" s="47" t="s">
        <v>276</v>
      </c>
      <c r="C226" s="88">
        <v>857440116</v>
      </c>
      <c r="D226" s="88">
        <v>42581621</v>
      </c>
      <c r="E226" s="88">
        <v>8704000</v>
      </c>
      <c r="F226" s="79">
        <f>C226-D226-E226</f>
        <v>806154495</v>
      </c>
    </row>
    <row r="227" spans="2:6" hidden="1" x14ac:dyDescent="0.15"/>
    <row r="228" spans="2:6" hidden="1" x14ac:dyDescent="0.15">
      <c r="B228" s="47" t="s">
        <v>287</v>
      </c>
    </row>
    <row r="229" spans="2:6" hidden="1" x14ac:dyDescent="0.15">
      <c r="B229" s="47" t="s">
        <v>288</v>
      </c>
    </row>
    <row r="230" spans="2:6" hidden="1" x14ac:dyDescent="0.15">
      <c r="B230" s="47" t="s">
        <v>274</v>
      </c>
      <c r="C230" s="88">
        <f t="shared" ref="C230:F232" si="58">C219-C224</f>
        <v>-175029918</v>
      </c>
      <c r="D230" s="88">
        <f t="shared" si="58"/>
        <v>-14315056.960000023</v>
      </c>
      <c r="E230" s="88">
        <f t="shared" si="58"/>
        <v>-413282.28999999817</v>
      </c>
      <c r="F230" s="88">
        <f t="shared" si="58"/>
        <v>-160301578.74999988</v>
      </c>
    </row>
    <row r="231" spans="2:6" hidden="1" x14ac:dyDescent="0.15">
      <c r="B231" s="47" t="s">
        <v>275</v>
      </c>
      <c r="C231" s="88">
        <f t="shared" si="58"/>
        <v>-227110086.99999988</v>
      </c>
      <c r="D231" s="88">
        <f t="shared" si="58"/>
        <v>-8069623.219999969</v>
      </c>
      <c r="E231" s="88">
        <f t="shared" si="58"/>
        <v>-413282.28999999817</v>
      </c>
      <c r="F231" s="88">
        <f t="shared" si="58"/>
        <v>-218627181.48999995</v>
      </c>
    </row>
    <row r="232" spans="2:6" hidden="1" x14ac:dyDescent="0.15">
      <c r="B232" s="47" t="s">
        <v>276</v>
      </c>
      <c r="C232" s="88">
        <f t="shared" si="58"/>
        <v>-295380188.99999976</v>
      </c>
      <c r="D232" s="88">
        <f t="shared" si="58"/>
        <v>-5789209.1500000209</v>
      </c>
      <c r="E232" s="88">
        <f t="shared" si="58"/>
        <v>-413282.28999999817</v>
      </c>
      <c r="F232" s="88">
        <f t="shared" si="58"/>
        <v>-289177697.55999982</v>
      </c>
    </row>
    <row r="233" spans="2:6" hidden="1" x14ac:dyDescent="0.15"/>
    <row r="234" spans="2:6" hidden="1" x14ac:dyDescent="0.15">
      <c r="B234" s="47" t="s">
        <v>287</v>
      </c>
    </row>
    <row r="235" spans="2:6" hidden="1" x14ac:dyDescent="0.15">
      <c r="B235" s="47" t="s">
        <v>289</v>
      </c>
    </row>
    <row r="236" spans="2:6" hidden="1" x14ac:dyDescent="0.15">
      <c r="B236" s="47" t="s">
        <v>274</v>
      </c>
      <c r="C236" s="88">
        <f t="shared" ref="C236:F238" si="59">C214</f>
        <v>170145481.99999994</v>
      </c>
      <c r="D236" s="88">
        <f t="shared" si="59"/>
        <v>15984820.960000023</v>
      </c>
      <c r="E236" s="88">
        <f t="shared" si="59"/>
        <v>297074.28999999829</v>
      </c>
      <c r="F236" s="88">
        <f t="shared" si="59"/>
        <v>153863586.74999991</v>
      </c>
    </row>
    <row r="237" spans="2:6" hidden="1" x14ac:dyDescent="0.15">
      <c r="B237" s="47" t="s">
        <v>275</v>
      </c>
      <c r="C237" s="88">
        <f t="shared" si="59"/>
        <v>250087653.99999991</v>
      </c>
      <c r="D237" s="88">
        <f t="shared" si="59"/>
        <v>13959907.219999965</v>
      </c>
      <c r="E237" s="88">
        <f t="shared" si="59"/>
        <v>297074.28999999829</v>
      </c>
      <c r="F237" s="88">
        <f t="shared" si="59"/>
        <v>235830672.48999995</v>
      </c>
    </row>
    <row r="238" spans="2:6" hidden="1" x14ac:dyDescent="0.15">
      <c r="B238" s="47" t="s">
        <v>276</v>
      </c>
      <c r="C238" s="88">
        <f t="shared" si="59"/>
        <v>356309592.99999976</v>
      </c>
      <c r="D238" s="88">
        <f t="shared" si="59"/>
        <v>10378626.150000021</v>
      </c>
      <c r="E238" s="88">
        <f t="shared" si="59"/>
        <v>297074.28999999829</v>
      </c>
      <c r="F238" s="88">
        <f t="shared" si="59"/>
        <v>345633892.55999982</v>
      </c>
    </row>
    <row r="239" spans="2:6" hidden="1" x14ac:dyDescent="0.15"/>
    <row r="240" spans="2:6" hidden="1" x14ac:dyDescent="0.15">
      <c r="B240" s="47" t="s">
        <v>287</v>
      </c>
    </row>
    <row r="241" spans="2:6" hidden="1" x14ac:dyDescent="0.15">
      <c r="B241" s="47" t="s">
        <v>290</v>
      </c>
    </row>
    <row r="242" spans="2:6" hidden="1" x14ac:dyDescent="0.15">
      <c r="B242" s="47" t="s">
        <v>274</v>
      </c>
      <c r="C242" s="88">
        <f t="shared" ref="C242:F244" si="60">C230+C236</f>
        <v>-4884436.0000000596</v>
      </c>
      <c r="D242" s="88">
        <f t="shared" si="60"/>
        <v>1669764</v>
      </c>
      <c r="E242" s="88">
        <f t="shared" si="60"/>
        <v>-116207.99999999988</v>
      </c>
      <c r="F242" s="88">
        <f t="shared" si="60"/>
        <v>-6437991.9999999702</v>
      </c>
    </row>
    <row r="243" spans="2:6" hidden="1" x14ac:dyDescent="0.15">
      <c r="B243" s="47" t="s">
        <v>275</v>
      </c>
      <c r="C243" s="88">
        <f t="shared" si="60"/>
        <v>22977567.00000003</v>
      </c>
      <c r="D243" s="88">
        <f t="shared" si="60"/>
        <v>5890283.9999999963</v>
      </c>
      <c r="E243" s="88">
        <f t="shared" si="60"/>
        <v>-116207.99999999988</v>
      </c>
      <c r="F243" s="88">
        <f t="shared" si="60"/>
        <v>17203491</v>
      </c>
    </row>
    <row r="244" spans="2:6" hidden="1" x14ac:dyDescent="0.15">
      <c r="B244" s="47" t="s">
        <v>276</v>
      </c>
      <c r="C244" s="88">
        <f t="shared" si="60"/>
        <v>60929404</v>
      </c>
      <c r="D244" s="88">
        <f t="shared" si="60"/>
        <v>4589417</v>
      </c>
      <c r="E244" s="88">
        <f t="shared" si="60"/>
        <v>-116207.99999999988</v>
      </c>
      <c r="F244" s="88">
        <f t="shared" si="60"/>
        <v>56456195</v>
      </c>
    </row>
    <row r="245" spans="2:6" hidden="1" x14ac:dyDescent="0.15"/>
    <row r="246" spans="2:6" hidden="1" x14ac:dyDescent="0.15">
      <c r="B246" s="47" t="s">
        <v>291</v>
      </c>
    </row>
    <row r="247" spans="2:6" hidden="1" x14ac:dyDescent="0.15">
      <c r="B247" s="47" t="s">
        <v>290</v>
      </c>
    </row>
    <row r="248" spans="2:6" hidden="1" x14ac:dyDescent="0.15">
      <c r="B248" s="47" t="s">
        <v>274</v>
      </c>
      <c r="C248" s="96">
        <f t="shared" ref="C248:F250" si="61">C242/C224</f>
        <v>-6.7094242744997869E-3</v>
      </c>
      <c r="D248" s="96">
        <f t="shared" si="61"/>
        <v>2.1532108718216147E-2</v>
      </c>
      <c r="E248" s="96">
        <f t="shared" si="61"/>
        <v>-1.3351102941176458E-2</v>
      </c>
      <c r="F248" s="96">
        <f t="shared" si="61"/>
        <v>-1.0032014866947121E-2</v>
      </c>
    </row>
    <row r="249" spans="2:6" hidden="1" x14ac:dyDescent="0.15">
      <c r="B249" s="47" t="s">
        <v>275</v>
      </c>
      <c r="C249" s="96">
        <f t="shared" si="61"/>
        <v>2.9262555194666303E-2</v>
      </c>
      <c r="D249" s="96">
        <f t="shared" si="61"/>
        <v>0.10479013345100567</v>
      </c>
      <c r="E249" s="96">
        <f t="shared" si="61"/>
        <v>-1.3351102941176458E-2</v>
      </c>
      <c r="F249" s="96">
        <f t="shared" si="61"/>
        <v>2.3883570131508516E-2</v>
      </c>
    </row>
    <row r="250" spans="2:6" hidden="1" x14ac:dyDescent="0.15">
      <c r="B250" s="47" t="s">
        <v>276</v>
      </c>
      <c r="C250" s="96">
        <f t="shared" si="61"/>
        <v>7.1059661034100718E-2</v>
      </c>
      <c r="D250" s="96">
        <f t="shared" si="61"/>
        <v>0.10777929285500897</v>
      </c>
      <c r="E250" s="96">
        <f t="shared" si="61"/>
        <v>-1.3351102941176458E-2</v>
      </c>
      <c r="F250" s="96">
        <f t="shared" si="61"/>
        <v>7.0031483233247996E-2</v>
      </c>
    </row>
    <row r="251" spans="2:6" hidden="1" x14ac:dyDescent="0.15"/>
    <row r="252" spans="2:6" hidden="1" x14ac:dyDescent="0.15"/>
    <row r="253" spans="2:6" hidden="1" x14ac:dyDescent="0.15">
      <c r="B253" s="47" t="s">
        <v>277</v>
      </c>
    </row>
    <row r="254" spans="2:6" hidden="1" x14ac:dyDescent="0.15">
      <c r="B254" s="47" t="s">
        <v>274</v>
      </c>
      <c r="C254" s="88">
        <v>723111857</v>
      </c>
      <c r="D254" s="88">
        <v>79217394</v>
      </c>
      <c r="E254" s="88">
        <v>8587792</v>
      </c>
      <c r="F254" s="88">
        <v>635306671</v>
      </c>
    </row>
    <row r="255" spans="2:6" hidden="1" x14ac:dyDescent="0.15">
      <c r="B255" s="47" t="s">
        <v>275</v>
      </c>
      <c r="C255" s="88">
        <v>808198367</v>
      </c>
      <c r="D255" s="88">
        <v>62100576</v>
      </c>
      <c r="E255" s="88">
        <v>8587792</v>
      </c>
      <c r="F255" s="88">
        <v>737509999</v>
      </c>
    </row>
    <row r="256" spans="2:6" hidden="1" x14ac:dyDescent="0.15">
      <c r="B256" s="47" t="s">
        <v>276</v>
      </c>
      <c r="C256" s="88">
        <v>918369520</v>
      </c>
      <c r="D256" s="88">
        <v>47171038</v>
      </c>
      <c r="E256" s="88">
        <v>8587792</v>
      </c>
      <c r="F256" s="88">
        <v>862610690</v>
      </c>
    </row>
    <row r="257" spans="2:6" hidden="1" x14ac:dyDescent="0.15"/>
    <row r="258" spans="2:6" hidden="1" x14ac:dyDescent="0.15">
      <c r="B258" s="47" t="s">
        <v>272</v>
      </c>
    </row>
    <row r="259" spans="2:6" hidden="1" x14ac:dyDescent="0.15">
      <c r="B259" s="47" t="s">
        <v>274</v>
      </c>
      <c r="C259" s="88">
        <v>727996293</v>
      </c>
      <c r="D259" s="88">
        <v>77547630</v>
      </c>
      <c r="E259" s="88">
        <v>8704000</v>
      </c>
      <c r="F259" s="79">
        <f>C259-D259-E259</f>
        <v>641744663</v>
      </c>
    </row>
    <row r="260" spans="2:6" hidden="1" x14ac:dyDescent="0.15">
      <c r="B260" s="47" t="s">
        <v>275</v>
      </c>
      <c r="C260" s="88">
        <v>785220800</v>
      </c>
      <c r="D260" s="88">
        <v>56210292</v>
      </c>
      <c r="E260" s="88">
        <v>8704000</v>
      </c>
      <c r="F260" s="79">
        <f>C260-D260-E260</f>
        <v>720306508</v>
      </c>
    </row>
    <row r="261" spans="2:6" hidden="1" x14ac:dyDescent="0.15">
      <c r="B261" s="47" t="s">
        <v>276</v>
      </c>
      <c r="C261" s="88">
        <v>857440116</v>
      </c>
      <c r="D261" s="88">
        <v>42581621</v>
      </c>
      <c r="E261" s="88">
        <v>8704000</v>
      </c>
      <c r="F261" s="79">
        <f>C261-D261-E261</f>
        <v>806154495</v>
      </c>
    </row>
    <row r="262" spans="2:6" hidden="1" x14ac:dyDescent="0.15"/>
    <row r="263" spans="2:6" hidden="1" x14ac:dyDescent="0.15">
      <c r="B263" s="47" t="s">
        <v>292</v>
      </c>
    </row>
    <row r="264" spans="2:6" hidden="1" x14ac:dyDescent="0.15">
      <c r="B264" s="47" t="s">
        <v>274</v>
      </c>
      <c r="C264" s="88">
        <v>730306080</v>
      </c>
      <c r="D264" s="88">
        <v>77302226</v>
      </c>
      <c r="E264" s="88">
        <v>8704000</v>
      </c>
      <c r="F264" s="79">
        <f>C264-D264-E264</f>
        <v>644299854</v>
      </c>
    </row>
    <row r="265" spans="2:6" hidden="1" x14ac:dyDescent="0.15">
      <c r="B265" s="47" t="s">
        <v>275</v>
      </c>
      <c r="C265" s="88">
        <v>788203062</v>
      </c>
      <c r="D265" s="88">
        <v>58531050</v>
      </c>
      <c r="E265" s="88">
        <v>8704000</v>
      </c>
      <c r="F265" s="79">
        <f>C265-D265-E265</f>
        <v>720968012</v>
      </c>
    </row>
    <row r="266" spans="2:6" hidden="1" x14ac:dyDescent="0.15">
      <c r="B266" s="47" t="s">
        <v>276</v>
      </c>
      <c r="C266" s="88">
        <v>861238910</v>
      </c>
      <c r="D266" s="88">
        <v>44324251</v>
      </c>
      <c r="E266" s="88">
        <v>8704000</v>
      </c>
      <c r="F266" s="79">
        <f>C266-D266-E266</f>
        <v>808210659</v>
      </c>
    </row>
    <row r="267" spans="2:6" hidden="1" x14ac:dyDescent="0.15"/>
    <row r="268" spans="2:6" hidden="1" x14ac:dyDescent="0.15">
      <c r="B268" s="47" t="s">
        <v>287</v>
      </c>
    </row>
    <row r="269" spans="2:6" hidden="1" x14ac:dyDescent="0.15">
      <c r="B269" s="47" t="s">
        <v>288</v>
      </c>
    </row>
    <row r="270" spans="2:6" hidden="1" x14ac:dyDescent="0.15">
      <c r="B270" s="47" t="s">
        <v>274</v>
      </c>
      <c r="C270" s="88">
        <f t="shared" ref="C270:F272" si="62">C264-C259</f>
        <v>2309787</v>
      </c>
      <c r="D270" s="88">
        <f t="shared" si="62"/>
        <v>-245404</v>
      </c>
      <c r="E270" s="88">
        <f t="shared" si="62"/>
        <v>0</v>
      </c>
      <c r="F270" s="88">
        <f t="shared" si="62"/>
        <v>2555191</v>
      </c>
    </row>
    <row r="271" spans="2:6" hidden="1" x14ac:dyDescent="0.15">
      <c r="B271" s="47" t="s">
        <v>275</v>
      </c>
      <c r="C271" s="88">
        <f t="shared" si="62"/>
        <v>2982262</v>
      </c>
      <c r="D271" s="88">
        <f t="shared" si="62"/>
        <v>2320758</v>
      </c>
      <c r="E271" s="88">
        <f t="shared" si="62"/>
        <v>0</v>
      </c>
      <c r="F271" s="88">
        <f t="shared" si="62"/>
        <v>661504</v>
      </c>
    </row>
    <row r="272" spans="2:6" hidden="1" x14ac:dyDescent="0.15">
      <c r="B272" s="47" t="s">
        <v>276</v>
      </c>
      <c r="C272" s="88">
        <f t="shared" si="62"/>
        <v>3798794</v>
      </c>
      <c r="D272" s="88">
        <f t="shared" si="62"/>
        <v>1742630</v>
      </c>
      <c r="E272" s="88">
        <f t="shared" si="62"/>
        <v>0</v>
      </c>
      <c r="F272" s="88">
        <f t="shared" si="62"/>
        <v>2056164</v>
      </c>
    </row>
    <row r="273" spans="2:2" hidden="1" x14ac:dyDescent="0.15"/>
    <row r="274" spans="2:2" hidden="1" x14ac:dyDescent="0.15"/>
    <row r="275" spans="2:2" x14ac:dyDescent="0.15">
      <c r="B275" s="47" t="s">
        <v>421</v>
      </c>
    </row>
    <row r="276" spans="2:2" x14ac:dyDescent="0.15">
      <c r="B276" s="47" t="s">
        <v>422</v>
      </c>
    </row>
  </sheetData>
  <mergeCells count="3">
    <mergeCell ref="C4:G4"/>
    <mergeCell ref="H4:L4"/>
    <mergeCell ref="M4:Q4"/>
  </mergeCells>
  <phoneticPr fontId="0" type="noConversion"/>
  <printOptions gridLines="1"/>
  <pageMargins left="0.5" right="0" top="0.75" bottom="0.5" header="0.25" footer="0.25"/>
  <pageSetup scale="76" fitToHeight="5" orientation="landscape" r:id="rId1"/>
  <headerFooter alignWithMargins="0">
    <oddHeader>&amp;LMDE, Program Finance&amp;C&amp;A
&amp;F&amp;R&amp;D</oddHeader>
    <oddFooter>&amp;L&amp;F&amp;R&amp;A</oddFooter>
  </headerFooter>
  <rowBreaks count="3" manualBreakCount="3">
    <brk id="74" max="16" man="1"/>
    <brk id="114" max="16" man="1"/>
    <brk id="166" max="16" man="1"/>
  </rowBreaks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3" sqref="A3"/>
    </sheetView>
  </sheetViews>
  <sheetFormatPr defaultRowHeight="12" x14ac:dyDescent="0.15"/>
  <cols>
    <col min="1" max="1" width="2.375" style="47" customWidth="1"/>
    <col min="2" max="2" width="17.125" style="47" bestFit="1" customWidth="1"/>
    <col min="3" max="3" width="16" style="47" bestFit="1" customWidth="1"/>
    <col min="4" max="4" width="14" style="47" bestFit="1" customWidth="1"/>
    <col min="5" max="5" width="11.875" style="47" hidden="1" customWidth="1"/>
    <col min="6" max="6" width="16" style="47" bestFit="1" customWidth="1"/>
    <col min="7" max="7" width="7" style="47" customWidth="1"/>
    <col min="8" max="16384" width="9" style="47"/>
  </cols>
  <sheetData>
    <row r="1" spans="1:7" x14ac:dyDescent="0.15">
      <c r="A1" s="62" t="s">
        <v>233</v>
      </c>
    </row>
    <row r="2" spans="1:7" x14ac:dyDescent="0.15">
      <c r="A2" s="64" t="s">
        <v>407</v>
      </c>
    </row>
    <row r="3" spans="1:7" x14ac:dyDescent="0.15">
      <c r="A3" s="65"/>
      <c r="B3" s="66"/>
      <c r="C3" s="66"/>
      <c r="D3" s="66"/>
      <c r="E3" s="66"/>
      <c r="F3" s="66"/>
      <c r="G3" s="66"/>
    </row>
    <row r="4" spans="1:7" x14ac:dyDescent="0.15">
      <c r="A4" s="67"/>
      <c r="B4" s="68"/>
      <c r="C4" s="280" t="s">
        <v>209</v>
      </c>
      <c r="D4" s="280"/>
      <c r="E4" s="280"/>
      <c r="F4" s="280"/>
      <c r="G4" s="281"/>
    </row>
    <row r="5" spans="1:7" ht="12.75" thickBot="1" x14ac:dyDescent="0.2">
      <c r="A5" s="69"/>
      <c r="B5" s="70"/>
      <c r="C5" s="71" t="s">
        <v>212</v>
      </c>
      <c r="D5" s="71" t="s">
        <v>213</v>
      </c>
      <c r="E5" s="71" t="s">
        <v>214</v>
      </c>
      <c r="F5" s="71" t="s">
        <v>8</v>
      </c>
      <c r="G5" s="72" t="s">
        <v>215</v>
      </c>
    </row>
    <row r="6" spans="1:7" hidden="1" x14ac:dyDescent="0.15">
      <c r="A6" s="74" t="s">
        <v>234</v>
      </c>
      <c r="B6" s="78"/>
      <c r="C6" s="67"/>
      <c r="D6" s="67"/>
      <c r="E6" s="67"/>
      <c r="F6" s="67"/>
      <c r="G6" s="76"/>
    </row>
    <row r="7" spans="1:7" hidden="1" x14ac:dyDescent="0.15">
      <c r="A7" s="74"/>
      <c r="B7" s="78" t="s">
        <v>137</v>
      </c>
      <c r="C7" s="83">
        <v>73753541</v>
      </c>
      <c r="D7" s="83">
        <v>20826745</v>
      </c>
      <c r="E7" s="83">
        <v>63120</v>
      </c>
      <c r="F7" s="83">
        <v>52863676</v>
      </c>
      <c r="G7" s="80">
        <v>0.28199999999999997</v>
      </c>
    </row>
    <row r="8" spans="1:7" hidden="1" x14ac:dyDescent="0.15">
      <c r="A8" s="82"/>
      <c r="B8" s="78" t="s">
        <v>138</v>
      </c>
      <c r="C8" s="83">
        <v>19063404</v>
      </c>
      <c r="D8" s="83">
        <v>7819335</v>
      </c>
      <c r="E8" s="83">
        <v>59032</v>
      </c>
      <c r="F8" s="79">
        <v>11185037</v>
      </c>
      <c r="G8" s="80">
        <v>0.41</v>
      </c>
    </row>
    <row r="9" spans="1:7" hidden="1" x14ac:dyDescent="0.15">
      <c r="A9" s="82"/>
      <c r="B9" s="78" t="s">
        <v>139</v>
      </c>
      <c r="C9" s="83">
        <v>66630511</v>
      </c>
      <c r="D9" s="83">
        <v>12964843</v>
      </c>
      <c r="E9" s="83">
        <v>640526</v>
      </c>
      <c r="F9" s="79">
        <v>53025142</v>
      </c>
      <c r="G9" s="80">
        <v>0.19500000000000001</v>
      </c>
    </row>
    <row r="10" spans="1:7" hidden="1" x14ac:dyDescent="0.15">
      <c r="A10" s="82"/>
      <c r="B10" s="78" t="s">
        <v>164</v>
      </c>
      <c r="C10" s="83">
        <v>63015627</v>
      </c>
      <c r="D10" s="83">
        <v>14070581</v>
      </c>
      <c r="E10" s="83"/>
      <c r="F10" s="79">
        <v>48945046</v>
      </c>
      <c r="G10" s="80">
        <v>0.16400000000000001</v>
      </c>
    </row>
    <row r="11" spans="1:7" hidden="1" x14ac:dyDescent="0.15">
      <c r="A11" s="82"/>
      <c r="B11" s="78" t="s">
        <v>165</v>
      </c>
      <c r="C11" s="83">
        <v>166761998.99999994</v>
      </c>
      <c r="D11" s="83">
        <v>14544353.960000023</v>
      </c>
      <c r="E11" s="83"/>
      <c r="F11" s="79">
        <v>152217645.0399999</v>
      </c>
      <c r="G11" s="80">
        <v>8.6999999999999994E-2</v>
      </c>
    </row>
    <row r="12" spans="1:7" hidden="1" x14ac:dyDescent="0.15">
      <c r="A12" s="82"/>
      <c r="B12" s="78" t="s">
        <v>249</v>
      </c>
      <c r="C12" s="83">
        <v>71257559</v>
      </c>
      <c r="D12" s="83">
        <v>2399838</v>
      </c>
      <c r="E12" s="83"/>
      <c r="F12" s="79">
        <v>68857721</v>
      </c>
      <c r="G12" s="80">
        <v>3.4000000000000002E-2</v>
      </c>
    </row>
    <row r="13" spans="1:7" hidden="1" x14ac:dyDescent="0.15">
      <c r="A13" s="82"/>
      <c r="B13" s="78" t="s">
        <v>254</v>
      </c>
      <c r="C13" s="83">
        <v>34400000</v>
      </c>
      <c r="D13" s="83">
        <v>3739000</v>
      </c>
      <c r="E13" s="83"/>
      <c r="F13" s="79">
        <v>30661000</v>
      </c>
      <c r="G13" s="80">
        <v>0.109</v>
      </c>
    </row>
    <row r="14" spans="1:7" hidden="1" x14ac:dyDescent="0.15">
      <c r="A14" s="82"/>
      <c r="B14" s="78" t="s">
        <v>314</v>
      </c>
      <c r="C14" s="83">
        <v>67002000</v>
      </c>
      <c r="D14" s="83">
        <v>2158000</v>
      </c>
      <c r="E14" s="83"/>
      <c r="F14" s="79">
        <v>64844000</v>
      </c>
      <c r="G14" s="80">
        <v>3.2000000000000001E-2</v>
      </c>
    </row>
    <row r="15" spans="1:7" hidden="1" x14ac:dyDescent="0.15">
      <c r="A15" s="82"/>
      <c r="B15" s="78" t="s">
        <v>315</v>
      </c>
      <c r="C15" s="83">
        <v>81723000</v>
      </c>
      <c r="D15" s="83">
        <v>1842000</v>
      </c>
      <c r="E15" s="83"/>
      <c r="F15" s="79">
        <v>79881000</v>
      </c>
      <c r="G15" s="80">
        <v>2.3E-2</v>
      </c>
    </row>
    <row r="16" spans="1:7" hidden="1" x14ac:dyDescent="0.15">
      <c r="A16" s="74" t="s">
        <v>228</v>
      </c>
      <c r="B16" s="78"/>
      <c r="C16" s="67"/>
      <c r="D16" s="67"/>
      <c r="E16" s="67"/>
      <c r="F16" s="67"/>
      <c r="G16" s="76"/>
    </row>
    <row r="17" spans="1:7" hidden="1" x14ac:dyDescent="0.15">
      <c r="A17" s="82"/>
      <c r="B17" s="78" t="s">
        <v>165</v>
      </c>
      <c r="C17" s="83">
        <v>0</v>
      </c>
      <c r="D17" s="83">
        <v>0</v>
      </c>
      <c r="E17" s="67"/>
      <c r="F17" s="79">
        <v>0</v>
      </c>
      <c r="G17" s="80">
        <v>7.5999999999999998E-2</v>
      </c>
    </row>
    <row r="18" spans="1:7" hidden="1" x14ac:dyDescent="0.15">
      <c r="A18" s="82"/>
      <c r="B18" s="78" t="s">
        <v>249</v>
      </c>
      <c r="C18" s="83">
        <v>0</v>
      </c>
      <c r="D18" s="83">
        <v>0</v>
      </c>
      <c r="E18" s="67"/>
      <c r="F18" s="79">
        <v>0</v>
      </c>
      <c r="G18" s="80">
        <v>3.9E-2</v>
      </c>
    </row>
    <row r="19" spans="1:7" hidden="1" x14ac:dyDescent="0.15">
      <c r="A19" s="82"/>
      <c r="B19" s="78" t="s">
        <v>254</v>
      </c>
      <c r="C19" s="83">
        <v>34400000</v>
      </c>
      <c r="D19" s="83">
        <v>3739000</v>
      </c>
      <c r="E19" s="67"/>
      <c r="F19" s="79">
        <v>30661000</v>
      </c>
      <c r="G19" s="80">
        <v>0.125</v>
      </c>
    </row>
    <row r="20" spans="1:7" hidden="1" x14ac:dyDescent="0.15">
      <c r="A20" s="82"/>
      <c r="B20" s="78" t="s">
        <v>314</v>
      </c>
      <c r="C20" s="83">
        <v>101402000</v>
      </c>
      <c r="D20" s="83">
        <v>5897000</v>
      </c>
      <c r="E20" s="67"/>
      <c r="F20" s="79">
        <v>95505000</v>
      </c>
      <c r="G20" s="80">
        <v>3.5000000000000003E-2</v>
      </c>
    </row>
    <row r="21" spans="1:7" hidden="1" x14ac:dyDescent="0.15">
      <c r="A21" s="82"/>
      <c r="B21" s="78" t="s">
        <v>315</v>
      </c>
      <c r="C21" s="83">
        <v>183125000</v>
      </c>
      <c r="D21" s="83">
        <v>7739000</v>
      </c>
      <c r="E21" s="67"/>
      <c r="F21" s="79">
        <v>175386000</v>
      </c>
      <c r="G21" s="80">
        <v>2.5000000000000001E-2</v>
      </c>
    </row>
    <row r="22" spans="1:7" x14ac:dyDescent="0.15">
      <c r="A22" s="82"/>
      <c r="B22" s="78"/>
      <c r="C22" s="83"/>
      <c r="D22" s="83"/>
      <c r="E22" s="67"/>
      <c r="F22" s="79"/>
      <c r="G22" s="80"/>
    </row>
    <row r="23" spans="1:7" x14ac:dyDescent="0.15">
      <c r="A23" s="82"/>
      <c r="B23" s="78"/>
      <c r="C23" s="83"/>
      <c r="D23" s="83"/>
      <c r="E23" s="67"/>
      <c r="F23" s="79"/>
      <c r="G23" s="80"/>
    </row>
    <row r="24" spans="1:7" x14ac:dyDescent="0.15">
      <c r="A24" s="74" t="s">
        <v>234</v>
      </c>
      <c r="B24" s="78"/>
      <c r="C24" s="67"/>
      <c r="D24" s="67"/>
      <c r="E24" s="67"/>
      <c r="F24" s="67"/>
      <c r="G24" s="76"/>
    </row>
    <row r="25" spans="1:7" x14ac:dyDescent="0.15">
      <c r="A25" s="74" t="s">
        <v>404</v>
      </c>
      <c r="B25" s="78"/>
      <c r="C25" s="67"/>
      <c r="D25" s="67"/>
      <c r="E25" s="67"/>
      <c r="F25" s="67"/>
      <c r="G25" s="76"/>
    </row>
    <row r="26" spans="1:7" x14ac:dyDescent="0.15">
      <c r="A26" s="82"/>
      <c r="B26" s="78" t="s">
        <v>314</v>
      </c>
      <c r="C26" s="83">
        <v>35000000</v>
      </c>
      <c r="D26" s="83">
        <f>ROUNDUP(C26*G26,-3)</f>
        <v>3500000</v>
      </c>
      <c r="E26" s="67"/>
      <c r="F26" s="79">
        <f>C26-D26-E26</f>
        <v>31500000</v>
      </c>
      <c r="G26" s="80">
        <v>0.1</v>
      </c>
    </row>
    <row r="27" spans="1:7" x14ac:dyDescent="0.15">
      <c r="A27" s="82"/>
      <c r="B27" s="78" t="s">
        <v>315</v>
      </c>
      <c r="C27" s="83">
        <v>50000000</v>
      </c>
      <c r="D27" s="83">
        <f>ROUNDUP(C27*G27,-3)</f>
        <v>1500000</v>
      </c>
      <c r="E27" s="67"/>
      <c r="F27" s="79">
        <f>C27-D27-E27</f>
        <v>48500000</v>
      </c>
      <c r="G27" s="80">
        <v>0.03</v>
      </c>
    </row>
    <row r="28" spans="1:7" x14ac:dyDescent="0.15">
      <c r="A28" s="82"/>
      <c r="B28" s="78" t="s">
        <v>405</v>
      </c>
      <c r="C28" s="83">
        <v>50000000</v>
      </c>
      <c r="D28" s="83">
        <f>ROUNDUP(C28*G28,-3)</f>
        <v>1500000</v>
      </c>
      <c r="E28" s="67"/>
      <c r="F28" s="79">
        <f>C28-D28-E28</f>
        <v>48500000</v>
      </c>
      <c r="G28" s="80">
        <v>0.03</v>
      </c>
    </row>
    <row r="29" spans="1:7" x14ac:dyDescent="0.15">
      <c r="B29" s="78" t="s">
        <v>406</v>
      </c>
      <c r="C29" s="83">
        <v>50000000</v>
      </c>
      <c r="D29" s="83">
        <f>ROUNDUP(C29*G29,-3)</f>
        <v>1500000</v>
      </c>
      <c r="E29" s="67"/>
      <c r="F29" s="79">
        <f>C29-D29-E29</f>
        <v>48500000</v>
      </c>
      <c r="G29" s="80">
        <v>0.03</v>
      </c>
    </row>
    <row r="30" spans="1:7" x14ac:dyDescent="0.15">
      <c r="A30" s="82"/>
      <c r="B30" s="78"/>
      <c r="C30" s="83"/>
      <c r="D30" s="83"/>
      <c r="E30" s="67"/>
      <c r="F30" s="79"/>
      <c r="G30" s="80"/>
    </row>
    <row r="31" spans="1:7" x14ac:dyDescent="0.15">
      <c r="A31" s="74" t="s">
        <v>228</v>
      </c>
      <c r="B31" s="78"/>
      <c r="C31" s="67"/>
      <c r="D31" s="67"/>
      <c r="E31" s="67"/>
      <c r="F31" s="67"/>
      <c r="G31" s="76"/>
    </row>
    <row r="32" spans="1:7" x14ac:dyDescent="0.15">
      <c r="A32" s="74" t="s">
        <v>404</v>
      </c>
      <c r="B32" s="78"/>
      <c r="C32" s="67"/>
      <c r="D32" s="67"/>
      <c r="E32" s="67"/>
      <c r="F32" s="67"/>
      <c r="G32" s="76"/>
    </row>
    <row r="33" spans="1:7" x14ac:dyDescent="0.15">
      <c r="A33" s="82"/>
      <c r="B33" s="78" t="s">
        <v>314</v>
      </c>
      <c r="C33" s="83">
        <f>C26</f>
        <v>35000000</v>
      </c>
      <c r="D33" s="83">
        <f>D26</f>
        <v>3500000</v>
      </c>
      <c r="E33" s="83">
        <f>E26</f>
        <v>0</v>
      </c>
      <c r="F33" s="83">
        <f>F26</f>
        <v>31500000</v>
      </c>
      <c r="G33" s="80">
        <v>0.125</v>
      </c>
    </row>
    <row r="34" spans="1:7" x14ac:dyDescent="0.15">
      <c r="A34" s="82"/>
      <c r="B34" s="78" t="s">
        <v>315</v>
      </c>
      <c r="C34" s="83">
        <f>C33+C27</f>
        <v>85000000</v>
      </c>
      <c r="D34" s="83">
        <f t="shared" ref="D34:F36" si="0">D33+D27</f>
        <v>5000000</v>
      </c>
      <c r="E34" s="83">
        <f t="shared" si="0"/>
        <v>0</v>
      </c>
      <c r="F34" s="83">
        <f t="shared" si="0"/>
        <v>80000000</v>
      </c>
      <c r="G34" s="80">
        <v>3.5000000000000003E-2</v>
      </c>
    </row>
    <row r="35" spans="1:7" x14ac:dyDescent="0.15">
      <c r="A35" s="82"/>
      <c r="B35" s="78" t="s">
        <v>405</v>
      </c>
      <c r="C35" s="83">
        <f>C34+C28</f>
        <v>135000000</v>
      </c>
      <c r="D35" s="83">
        <f t="shared" si="0"/>
        <v>6500000</v>
      </c>
      <c r="E35" s="83">
        <f t="shared" si="0"/>
        <v>0</v>
      </c>
      <c r="F35" s="83">
        <f t="shared" si="0"/>
        <v>128500000</v>
      </c>
      <c r="G35" s="80">
        <v>2.5000000000000001E-2</v>
      </c>
    </row>
    <row r="36" spans="1:7" x14ac:dyDescent="0.15">
      <c r="B36" s="78" t="s">
        <v>406</v>
      </c>
      <c r="C36" s="83">
        <f>C35+C29</f>
        <v>185000000</v>
      </c>
      <c r="D36" s="83">
        <f t="shared" si="0"/>
        <v>8000000</v>
      </c>
      <c r="E36" s="83">
        <f t="shared" si="0"/>
        <v>0</v>
      </c>
      <c r="F36" s="83">
        <f t="shared" si="0"/>
        <v>177000000</v>
      </c>
      <c r="G36" s="80">
        <v>2.5000000000000001E-2</v>
      </c>
    </row>
  </sheetData>
  <mergeCells count="1">
    <mergeCell ref="C4:G4"/>
  </mergeCells>
  <phoneticPr fontId="0" type="noConversion"/>
  <printOptions gridLines="1"/>
  <pageMargins left="0.5" right="0" top="0.75" bottom="0.5" header="0.25" footer="0.25"/>
  <pageSetup fitToHeight="0" orientation="landscape" r:id="rId1"/>
  <headerFooter alignWithMargins="0">
    <oddHeader>&amp;LMDE, Program Finance&amp;C&amp;A
&amp;F&amp;R&amp;D</oddHeader>
    <oddFooter>&amp;L&amp;F&amp;R&amp;A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workbookViewId="0">
      <selection activeCell="C6" sqref="C6"/>
    </sheetView>
  </sheetViews>
  <sheetFormatPr defaultRowHeight="12.75" x14ac:dyDescent="0.2"/>
  <cols>
    <col min="1" max="1" width="24.25" style="161" customWidth="1"/>
    <col min="2" max="2" width="13.625" style="161" customWidth="1"/>
    <col min="3" max="3" width="15.5" style="161" customWidth="1"/>
    <col min="4" max="5" width="13.625" style="161" customWidth="1"/>
    <col min="6" max="16384" width="9" style="161"/>
  </cols>
  <sheetData>
    <row r="1" spans="1:5" x14ac:dyDescent="0.2">
      <c r="A1" s="161" t="s">
        <v>434</v>
      </c>
    </row>
    <row r="3" spans="1:5" x14ac:dyDescent="0.2">
      <c r="A3" s="161" t="s">
        <v>430</v>
      </c>
    </row>
    <row r="5" spans="1:5" x14ac:dyDescent="0.2">
      <c r="B5" s="163" t="s">
        <v>272</v>
      </c>
      <c r="C5" s="163" t="s">
        <v>435</v>
      </c>
      <c r="D5" s="163" t="s">
        <v>353</v>
      </c>
      <c r="E5" s="163" t="s">
        <v>433</v>
      </c>
    </row>
    <row r="7" spans="1:5" x14ac:dyDescent="0.2">
      <c r="A7" s="198" t="s">
        <v>300</v>
      </c>
    </row>
    <row r="8" spans="1:5" x14ac:dyDescent="0.2">
      <c r="A8" s="161" t="s">
        <v>426</v>
      </c>
    </row>
    <row r="9" spans="1:5" x14ac:dyDescent="0.2">
      <c r="A9" s="161" t="s">
        <v>423</v>
      </c>
      <c r="B9" s="199">
        <f>B11-B10</f>
        <v>76674.5</v>
      </c>
      <c r="C9" s="199">
        <f>C11-C10</f>
        <v>76811.300000000047</v>
      </c>
      <c r="D9" s="200">
        <f>C9-B9</f>
        <v>136.80000000004657</v>
      </c>
      <c r="E9" s="201">
        <f>D9/B9</f>
        <v>1.7841655309137532E-3</v>
      </c>
    </row>
    <row r="10" spans="1:5" x14ac:dyDescent="0.2">
      <c r="A10" s="161" t="s">
        <v>424</v>
      </c>
      <c r="B10" s="200">
        <v>810052.5</v>
      </c>
      <c r="C10" s="200">
        <v>745759.1</v>
      </c>
      <c r="D10" s="200">
        <f>C10-B10</f>
        <v>-64293.400000000023</v>
      </c>
      <c r="E10" s="201">
        <f>D10/B10</f>
        <v>-7.9369423586742857E-2</v>
      </c>
    </row>
    <row r="11" spans="1:5" x14ac:dyDescent="0.2">
      <c r="A11" s="161" t="s">
        <v>425</v>
      </c>
      <c r="B11" s="200">
        <v>886727</v>
      </c>
      <c r="C11" s="200">
        <v>822570.4</v>
      </c>
      <c r="D11" s="200">
        <f>SUM(D9:D10)</f>
        <v>-64156.599999999977</v>
      </c>
      <c r="E11" s="201">
        <f>D11/B11</f>
        <v>-7.2352144459343154E-2</v>
      </c>
    </row>
    <row r="12" spans="1:5" x14ac:dyDescent="0.2">
      <c r="B12" s="162"/>
      <c r="C12" s="162"/>
    </row>
    <row r="14" spans="1:5" x14ac:dyDescent="0.2">
      <c r="A14" s="198" t="s">
        <v>250</v>
      </c>
    </row>
    <row r="15" spans="1:5" x14ac:dyDescent="0.2">
      <c r="A15" s="161" t="s">
        <v>427</v>
      </c>
    </row>
    <row r="16" spans="1:5" x14ac:dyDescent="0.2">
      <c r="A16" s="161" t="s">
        <v>423</v>
      </c>
      <c r="B16" s="199">
        <f>B18-B17</f>
        <v>69688.400000000023</v>
      </c>
      <c r="C16" s="199">
        <f>C18-C17</f>
        <v>67897.699999999953</v>
      </c>
      <c r="D16" s="200">
        <f>C16-B16</f>
        <v>-1790.7000000000698</v>
      </c>
      <c r="E16" s="201">
        <f>D16/B16</f>
        <v>-2.5695811641536743E-2</v>
      </c>
    </row>
    <row r="17" spans="1:5" x14ac:dyDescent="0.2">
      <c r="A17" s="161" t="s">
        <v>424</v>
      </c>
      <c r="B17" s="200">
        <v>824714.4</v>
      </c>
      <c r="C17" s="200">
        <v>735598.9</v>
      </c>
      <c r="D17" s="200">
        <f>C17-B17</f>
        <v>-89115.5</v>
      </c>
      <c r="E17" s="201">
        <f>D17/B17</f>
        <v>-0.108056194968828</v>
      </c>
    </row>
    <row r="18" spans="1:5" x14ac:dyDescent="0.2">
      <c r="A18" s="161" t="s">
        <v>425</v>
      </c>
      <c r="B18" s="200">
        <v>894402.8</v>
      </c>
      <c r="C18" s="200">
        <v>803496.6</v>
      </c>
      <c r="D18" s="200">
        <f>SUM(D16:D17)</f>
        <v>-90906.20000000007</v>
      </c>
      <c r="E18" s="201">
        <f>D18/B18</f>
        <v>-0.1016389930800754</v>
      </c>
    </row>
    <row r="21" spans="1:5" x14ac:dyDescent="0.2">
      <c r="A21" s="198" t="s">
        <v>249</v>
      </c>
    </row>
    <row r="22" spans="1:5" x14ac:dyDescent="0.2">
      <c r="A22" s="161" t="s">
        <v>428</v>
      </c>
    </row>
    <row r="23" spans="1:5" x14ac:dyDescent="0.2">
      <c r="A23" s="161" t="s">
        <v>423</v>
      </c>
      <c r="B23" s="199">
        <f>B25-B24</f>
        <v>74522.400000000023</v>
      </c>
      <c r="C23" s="199">
        <f>C25-C24</f>
        <v>71077</v>
      </c>
      <c r="D23" s="200">
        <f>C23-B23</f>
        <v>-3445.4000000000233</v>
      </c>
      <c r="E23" s="201">
        <f>D23/B23</f>
        <v>-4.6233078913186135E-2</v>
      </c>
    </row>
    <row r="24" spans="1:5" x14ac:dyDescent="0.2">
      <c r="A24" s="161" t="s">
        <v>424</v>
      </c>
      <c r="B24" s="200">
        <v>736370.5</v>
      </c>
      <c r="C24" s="200">
        <v>714983.4</v>
      </c>
      <c r="D24" s="200">
        <f>C24-B24</f>
        <v>-21387.099999999977</v>
      </c>
      <c r="E24" s="201">
        <f>D24/B24</f>
        <v>-2.9043939158344849E-2</v>
      </c>
    </row>
    <row r="25" spans="1:5" x14ac:dyDescent="0.2">
      <c r="A25" s="161" t="s">
        <v>425</v>
      </c>
      <c r="B25" s="200">
        <v>810892.9</v>
      </c>
      <c r="C25" s="200">
        <v>786060.4</v>
      </c>
      <c r="D25" s="200">
        <f>SUM(D23:D24)</f>
        <v>-24832.5</v>
      </c>
      <c r="E25" s="201">
        <f>D25/B25</f>
        <v>-3.0623649559639751E-2</v>
      </c>
    </row>
    <row r="28" spans="1:5" x14ac:dyDescent="0.2">
      <c r="A28" s="198" t="s">
        <v>165</v>
      </c>
    </row>
    <row r="29" spans="1:5" x14ac:dyDescent="0.2">
      <c r="A29" s="161" t="s">
        <v>429</v>
      </c>
    </row>
    <row r="30" spans="1:5" x14ac:dyDescent="0.2">
      <c r="A30" s="161" t="s">
        <v>423</v>
      </c>
      <c r="B30" s="199">
        <f>B32-B31</f>
        <v>86251.600000000093</v>
      </c>
      <c r="C30" s="199">
        <f>C32-C31</f>
        <v>87805.20000000007</v>
      </c>
      <c r="D30" s="200">
        <f>C30-B30</f>
        <v>1553.5999999999767</v>
      </c>
      <c r="E30" s="201">
        <f>D30/B30</f>
        <v>1.801241947975429E-2</v>
      </c>
    </row>
    <row r="31" spans="1:5" x14ac:dyDescent="0.2">
      <c r="A31" s="161" t="s">
        <v>424</v>
      </c>
      <c r="B31" s="200">
        <v>641744.69999999995</v>
      </c>
      <c r="C31" s="200">
        <v>635306.69999999995</v>
      </c>
      <c r="D31" s="200">
        <f>C31-B31</f>
        <v>-6438</v>
      </c>
      <c r="E31" s="201">
        <f>D31/B31</f>
        <v>-1.0032026754564549E-2</v>
      </c>
    </row>
    <row r="32" spans="1:5" x14ac:dyDescent="0.2">
      <c r="A32" s="161" t="s">
        <v>425</v>
      </c>
      <c r="B32" s="200">
        <v>727996.3</v>
      </c>
      <c r="C32" s="200">
        <v>723111.9</v>
      </c>
      <c r="D32" s="200">
        <f>SUM(D30:D31)</f>
        <v>-4884.4000000000233</v>
      </c>
      <c r="E32" s="201">
        <f>D32/B32</f>
        <v>-6.7093747591849343E-3</v>
      </c>
    </row>
    <row r="35" spans="1:5" x14ac:dyDescent="0.2">
      <c r="A35" s="198" t="s">
        <v>164</v>
      </c>
    </row>
    <row r="36" spans="1:5" x14ac:dyDescent="0.2">
      <c r="A36" s="161" t="s">
        <v>431</v>
      </c>
    </row>
    <row r="37" spans="1:5" x14ac:dyDescent="0.2">
      <c r="A37" s="161" t="s">
        <v>423</v>
      </c>
      <c r="B37" s="199">
        <f>B39-B38</f>
        <v>101211.51399999997</v>
      </c>
      <c r="C37" s="199">
        <f>C39-C38</f>
        <v>102808.56599999999</v>
      </c>
      <c r="D37" s="200">
        <f>C37-B37</f>
        <v>1597.0520000000251</v>
      </c>
      <c r="E37" s="201">
        <f>D37/B37</f>
        <v>1.5779350954082415E-2</v>
      </c>
    </row>
    <row r="38" spans="1:5" x14ac:dyDescent="0.2">
      <c r="A38" s="161" t="s">
        <v>424</v>
      </c>
      <c r="B38" s="200">
        <v>569022.14</v>
      </c>
      <c r="C38" s="200">
        <v>538202.21400000004</v>
      </c>
      <c r="D38" s="200">
        <f>C38-B38</f>
        <v>-30819.925999999978</v>
      </c>
      <c r="E38" s="201">
        <f>D38/B38</f>
        <v>-5.4162964555298281E-2</v>
      </c>
    </row>
    <row r="39" spans="1:5" x14ac:dyDescent="0.2">
      <c r="A39" s="161" t="s">
        <v>425</v>
      </c>
      <c r="B39" s="200">
        <v>670233.65399999998</v>
      </c>
      <c r="C39" s="200">
        <v>641010.78</v>
      </c>
      <c r="D39" s="200">
        <f>SUM(D37:D38)</f>
        <v>-29222.873999999953</v>
      </c>
      <c r="E39" s="201">
        <f>D39/B39</f>
        <v>-4.3601024546582906E-2</v>
      </c>
    </row>
    <row r="42" spans="1:5" x14ac:dyDescent="0.2">
      <c r="A42" s="198" t="s">
        <v>139</v>
      </c>
    </row>
    <row r="43" spans="1:5" x14ac:dyDescent="0.2">
      <c r="A43" s="161" t="s">
        <v>432</v>
      </c>
    </row>
    <row r="44" spans="1:5" x14ac:dyDescent="0.2">
      <c r="A44" s="161" t="s">
        <v>423</v>
      </c>
      <c r="B44" s="199">
        <f>B46-B45</f>
        <v>110968.484</v>
      </c>
      <c r="C44" s="199">
        <f>C46-C45</f>
        <v>111225.36000000004</v>
      </c>
      <c r="D44" s="200">
        <f>C44-B44</f>
        <v>256.8760000000475</v>
      </c>
      <c r="E44" s="201">
        <f>D44/B44</f>
        <v>2.3148554503100854E-3</v>
      </c>
    </row>
    <row r="45" spans="1:5" x14ac:dyDescent="0.2">
      <c r="A45" s="161" t="s">
        <v>424</v>
      </c>
      <c r="B45" s="200">
        <v>523019.17499999999</v>
      </c>
      <c r="C45" s="200">
        <v>474335.984</v>
      </c>
      <c r="D45" s="200">
        <f>C45-B45</f>
        <v>-48683.190999999992</v>
      </c>
      <c r="E45" s="201">
        <f>D45/B45</f>
        <v>-9.308108254348417E-2</v>
      </c>
    </row>
    <row r="46" spans="1:5" x14ac:dyDescent="0.2">
      <c r="A46" s="161" t="s">
        <v>425</v>
      </c>
      <c r="B46" s="200">
        <v>633987.65899999999</v>
      </c>
      <c r="C46" s="200">
        <v>585561.34400000004</v>
      </c>
      <c r="D46" s="200">
        <f>SUM(D44:D45)</f>
        <v>-48426.314999999944</v>
      </c>
      <c r="E46" s="201">
        <f>D46/B46</f>
        <v>-7.6383687146818646E-2</v>
      </c>
    </row>
  </sheetData>
  <phoneticPr fontId="9" type="noConversion"/>
  <pageMargins left="0.75" right="0.75" top="1" bottom="1" header="0.5" footer="0.5"/>
  <pageSetup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279"/>
  <sheetViews>
    <sheetView zoomScaleNormal="100" workbookViewId="0">
      <pane xSplit="2" ySplit="5" topLeftCell="F27" activePane="bottomRight" state="frozen"/>
      <selection pane="topRight" activeCell="C1" sqref="C1"/>
      <selection pane="bottomLeft" activeCell="A6" sqref="A6"/>
      <selection pane="bottomRight" activeCell="C57" sqref="C57:N57"/>
    </sheetView>
  </sheetViews>
  <sheetFormatPr defaultRowHeight="12" x14ac:dyDescent="0.15"/>
  <cols>
    <col min="1" max="1" width="2.375" style="47" customWidth="1"/>
    <col min="2" max="2" width="18.125" style="47" customWidth="1"/>
    <col min="3" max="3" width="16" style="47" bestFit="1" customWidth="1"/>
    <col min="4" max="4" width="14" style="47" bestFit="1" customWidth="1"/>
    <col min="5" max="5" width="11.875" style="47" customWidth="1"/>
    <col min="6" max="6" width="16" style="47" bestFit="1" customWidth="1"/>
    <col min="7" max="7" width="7" style="47" customWidth="1"/>
    <col min="8" max="8" width="16" style="47" bestFit="1" customWidth="1"/>
    <col min="9" max="9" width="13" style="47" bestFit="1" customWidth="1"/>
    <col min="10" max="10" width="11.875" style="47" customWidth="1"/>
    <col min="11" max="11" width="14" style="47" customWidth="1"/>
    <col min="12" max="12" width="7" style="47" bestFit="1" customWidth="1"/>
    <col min="13" max="14" width="14" style="47" bestFit="1" customWidth="1"/>
    <col min="15" max="15" width="11.875" style="47" customWidth="1"/>
    <col min="16" max="16" width="14" style="47" customWidth="1"/>
    <col min="17" max="17" width="7" style="47" bestFit="1" customWidth="1"/>
    <col min="18" max="16384" width="9" style="47"/>
  </cols>
  <sheetData>
    <row r="1" spans="1:17" x14ac:dyDescent="0.15">
      <c r="A1" s="62" t="s">
        <v>233</v>
      </c>
      <c r="I1" s="63"/>
    </row>
    <row r="2" spans="1:17" x14ac:dyDescent="0.15">
      <c r="A2" s="64" t="s">
        <v>407</v>
      </c>
    </row>
    <row r="3" spans="1:17" x14ac:dyDescent="0.15">
      <c r="A3" s="65"/>
      <c r="B3" s="66"/>
      <c r="C3" s="66"/>
      <c r="D3" s="66"/>
      <c r="E3" s="66"/>
      <c r="F3" s="66"/>
      <c r="G3" s="66"/>
      <c r="H3" s="65"/>
      <c r="I3" s="65"/>
      <c r="J3" s="65"/>
      <c r="K3" s="65"/>
      <c r="L3" s="65"/>
      <c r="M3" s="65"/>
      <c r="N3" s="65"/>
      <c r="O3" s="65"/>
      <c r="P3" s="65"/>
      <c r="Q3" s="65"/>
    </row>
    <row r="4" spans="1:17" x14ac:dyDescent="0.15">
      <c r="A4" s="67"/>
      <c r="B4" s="68"/>
      <c r="C4" s="280" t="s">
        <v>209</v>
      </c>
      <c r="D4" s="280"/>
      <c r="E4" s="280"/>
      <c r="F4" s="280"/>
      <c r="G4" s="281"/>
      <c r="H4" s="280" t="s">
        <v>210</v>
      </c>
      <c r="I4" s="280"/>
      <c r="J4" s="280"/>
      <c r="K4" s="280"/>
      <c r="L4" s="281"/>
      <c r="M4" s="282" t="s">
        <v>211</v>
      </c>
      <c r="N4" s="280"/>
      <c r="O4" s="280"/>
      <c r="P4" s="280"/>
      <c r="Q4" s="281"/>
    </row>
    <row r="5" spans="1:17" ht="12.75" thickBot="1" x14ac:dyDescent="0.2">
      <c r="A5" s="69"/>
      <c r="B5" s="70"/>
      <c r="C5" s="71" t="s">
        <v>212</v>
      </c>
      <c r="D5" s="71" t="s">
        <v>213</v>
      </c>
      <c r="E5" s="71" t="s">
        <v>214</v>
      </c>
      <c r="F5" s="71" t="s">
        <v>8</v>
      </c>
      <c r="G5" s="72" t="s">
        <v>215</v>
      </c>
      <c r="H5" s="71" t="s">
        <v>212</v>
      </c>
      <c r="I5" s="71" t="s">
        <v>213</v>
      </c>
      <c r="J5" s="71" t="s">
        <v>214</v>
      </c>
      <c r="K5" s="71" t="s">
        <v>8</v>
      </c>
      <c r="L5" s="72" t="s">
        <v>215</v>
      </c>
      <c r="M5" s="73" t="s">
        <v>212</v>
      </c>
      <c r="N5" s="71" t="s">
        <v>213</v>
      </c>
      <c r="O5" s="71" t="s">
        <v>214</v>
      </c>
      <c r="P5" s="71" t="s">
        <v>8</v>
      </c>
      <c r="Q5" s="72" t="s">
        <v>215</v>
      </c>
    </row>
    <row r="6" spans="1:17" x14ac:dyDescent="0.15">
      <c r="A6" s="74" t="s">
        <v>216</v>
      </c>
      <c r="B6" s="75"/>
      <c r="C6" s="67"/>
      <c r="D6" s="67"/>
      <c r="E6" s="67"/>
      <c r="F6" s="67"/>
      <c r="G6" s="76"/>
      <c r="H6" s="67"/>
      <c r="I6" s="67"/>
      <c r="J6" s="67"/>
      <c r="K6" s="67"/>
      <c r="L6" s="76"/>
      <c r="M6" s="77"/>
      <c r="N6" s="67"/>
      <c r="O6" s="67"/>
      <c r="P6" s="67"/>
      <c r="Q6" s="76"/>
    </row>
    <row r="7" spans="1:17" x14ac:dyDescent="0.15">
      <c r="A7" s="74" t="s">
        <v>217</v>
      </c>
      <c r="B7" s="78"/>
      <c r="C7" s="67"/>
      <c r="D7" s="67"/>
      <c r="E7" s="67"/>
      <c r="F7" s="67"/>
      <c r="G7" s="76"/>
      <c r="H7" s="67"/>
      <c r="I7" s="67"/>
      <c r="J7" s="67"/>
      <c r="K7" s="67"/>
      <c r="L7" s="76"/>
      <c r="M7" s="77"/>
      <c r="N7" s="67"/>
      <c r="O7" s="67"/>
      <c r="P7" s="67"/>
      <c r="Q7" s="76"/>
    </row>
    <row r="8" spans="1:17" x14ac:dyDescent="0.15">
      <c r="A8" s="74"/>
      <c r="B8" s="78" t="s">
        <v>224</v>
      </c>
      <c r="C8" s="79">
        <v>846201780</v>
      </c>
      <c r="D8" s="79">
        <v>202105465</v>
      </c>
      <c r="E8" s="79">
        <v>8602824</v>
      </c>
      <c r="F8" s="79">
        <f t="shared" ref="F8:F18" si="0">C8-D8-E8</f>
        <v>635493491</v>
      </c>
      <c r="G8" s="80">
        <f t="shared" ref="G8:G18" si="1">ROUND(D8/C8,3)</f>
        <v>0.23899999999999999</v>
      </c>
      <c r="H8" s="79">
        <v>463648594</v>
      </c>
      <c r="I8" s="79">
        <v>63246706</v>
      </c>
      <c r="J8" s="79">
        <v>796859</v>
      </c>
      <c r="K8" s="79">
        <f t="shared" ref="K8:K18" si="2">H8-I8-J8</f>
        <v>399605029</v>
      </c>
      <c r="L8" s="80">
        <f t="shared" ref="L8:L18" si="3">ROUND(I8/H8,3)</f>
        <v>0.13600000000000001</v>
      </c>
      <c r="M8" s="81">
        <v>382553186</v>
      </c>
      <c r="N8" s="79">
        <v>138858759</v>
      </c>
      <c r="O8" s="79">
        <v>7805965</v>
      </c>
      <c r="P8" s="79">
        <f t="shared" ref="P8:P18" si="4">M8-N8-O8</f>
        <v>235888462</v>
      </c>
      <c r="Q8" s="80">
        <f t="shared" ref="Q8:Q18" si="5">ROUND(N8/M8,3)</f>
        <v>0.36299999999999999</v>
      </c>
    </row>
    <row r="9" spans="1:17" x14ac:dyDescent="0.15">
      <c r="A9" s="82"/>
      <c r="B9" s="78" t="s">
        <v>232</v>
      </c>
      <c r="C9" s="79">
        <v>859411445</v>
      </c>
      <c r="D9" s="79">
        <v>180876519</v>
      </c>
      <c r="E9" s="79">
        <v>8614249</v>
      </c>
      <c r="F9" s="79">
        <f t="shared" si="0"/>
        <v>669920677</v>
      </c>
      <c r="G9" s="80">
        <f t="shared" si="1"/>
        <v>0.21</v>
      </c>
      <c r="H9" s="79">
        <v>469739266</v>
      </c>
      <c r="I9" s="79">
        <v>51558195</v>
      </c>
      <c r="J9" s="79">
        <v>846845</v>
      </c>
      <c r="K9" s="79">
        <f t="shared" si="2"/>
        <v>417334226</v>
      </c>
      <c r="L9" s="80">
        <f t="shared" si="3"/>
        <v>0.11</v>
      </c>
      <c r="M9" s="81">
        <v>389672179</v>
      </c>
      <c r="N9" s="79">
        <v>129318324</v>
      </c>
      <c r="O9" s="79">
        <v>7767404</v>
      </c>
      <c r="P9" s="79">
        <f t="shared" si="4"/>
        <v>252586451</v>
      </c>
      <c r="Q9" s="80">
        <f t="shared" si="5"/>
        <v>0.33200000000000002</v>
      </c>
    </row>
    <row r="10" spans="1:17" x14ac:dyDescent="0.15">
      <c r="A10" s="82"/>
      <c r="B10" s="78" t="s">
        <v>252</v>
      </c>
      <c r="C10" s="79">
        <f t="shared" ref="C10:E18" si="6">H10+M10</f>
        <v>1321938520</v>
      </c>
      <c r="D10" s="79">
        <f t="shared" si="6"/>
        <v>183715193</v>
      </c>
      <c r="E10" s="79">
        <f t="shared" si="6"/>
        <v>7968737</v>
      </c>
      <c r="F10" s="79">
        <f t="shared" si="0"/>
        <v>1130254590</v>
      </c>
      <c r="G10" s="80">
        <f t="shared" si="1"/>
        <v>0.13900000000000001</v>
      </c>
      <c r="H10" s="79">
        <v>715448777</v>
      </c>
      <c r="I10" s="79">
        <v>40871146</v>
      </c>
      <c r="J10" s="79">
        <v>810409</v>
      </c>
      <c r="K10" s="79">
        <f t="shared" si="2"/>
        <v>673767222</v>
      </c>
      <c r="L10" s="80">
        <f t="shared" si="3"/>
        <v>5.7000000000000002E-2</v>
      </c>
      <c r="M10" s="81">
        <v>606489743</v>
      </c>
      <c r="N10" s="79">
        <v>142844047</v>
      </c>
      <c r="O10" s="79">
        <v>7158328</v>
      </c>
      <c r="P10" s="79">
        <f t="shared" si="4"/>
        <v>456487368</v>
      </c>
      <c r="Q10" s="80">
        <f t="shared" si="5"/>
        <v>0.23599999999999999</v>
      </c>
    </row>
    <row r="11" spans="1:17" x14ac:dyDescent="0.15">
      <c r="A11" s="82"/>
      <c r="B11" s="78" t="s">
        <v>255</v>
      </c>
      <c r="C11" s="79">
        <f t="shared" si="6"/>
        <v>1367515373</v>
      </c>
      <c r="D11" s="79">
        <f t="shared" si="6"/>
        <v>158009092</v>
      </c>
      <c r="E11" s="79">
        <f t="shared" si="6"/>
        <v>8626276</v>
      </c>
      <c r="F11" s="79">
        <f t="shared" si="0"/>
        <v>1200880005</v>
      </c>
      <c r="G11" s="80">
        <f t="shared" si="1"/>
        <v>0.11600000000000001</v>
      </c>
      <c r="H11" s="79">
        <v>745827490</v>
      </c>
      <c r="I11" s="79">
        <v>33470489</v>
      </c>
      <c r="J11" s="79">
        <v>846839</v>
      </c>
      <c r="K11" s="79">
        <f t="shared" si="2"/>
        <v>711510162</v>
      </c>
      <c r="L11" s="80">
        <f t="shared" si="3"/>
        <v>4.4999999999999998E-2</v>
      </c>
      <c r="M11" s="81">
        <v>621687883</v>
      </c>
      <c r="N11" s="79">
        <v>124538603</v>
      </c>
      <c r="O11" s="79">
        <v>7779437</v>
      </c>
      <c r="P11" s="79">
        <f t="shared" si="4"/>
        <v>489369843</v>
      </c>
      <c r="Q11" s="80">
        <f t="shared" si="5"/>
        <v>0.2</v>
      </c>
    </row>
    <row r="12" spans="1:17" x14ac:dyDescent="0.15">
      <c r="A12" s="82"/>
      <c r="B12" s="78" t="s">
        <v>271</v>
      </c>
      <c r="C12" s="79">
        <f t="shared" si="6"/>
        <v>1390899309.9999995</v>
      </c>
      <c r="D12" s="79">
        <f t="shared" si="6"/>
        <v>114382645.68000008</v>
      </c>
      <c r="E12" s="79">
        <f t="shared" si="6"/>
        <v>8618666.3699999936</v>
      </c>
      <c r="F12" s="79">
        <f t="shared" si="0"/>
        <v>1267897997.9499996</v>
      </c>
      <c r="G12" s="80">
        <f t="shared" si="1"/>
        <v>8.2000000000000003E-2</v>
      </c>
      <c r="H12" s="79">
        <v>758829706</v>
      </c>
      <c r="I12" s="79">
        <v>15421465.650000004</v>
      </c>
      <c r="J12" s="79">
        <v>846839.2</v>
      </c>
      <c r="K12" s="79">
        <f t="shared" si="2"/>
        <v>742561401.14999998</v>
      </c>
      <c r="L12" s="80">
        <f t="shared" si="3"/>
        <v>0.02</v>
      </c>
      <c r="M12" s="81">
        <v>632069603.99999952</v>
      </c>
      <c r="N12" s="79">
        <v>98961180.030000076</v>
      </c>
      <c r="O12" s="79">
        <v>7771827.1699999943</v>
      </c>
      <c r="P12" s="79">
        <f t="shared" si="4"/>
        <v>525336596.79999942</v>
      </c>
      <c r="Q12" s="80">
        <f t="shared" si="5"/>
        <v>0.157</v>
      </c>
    </row>
    <row r="13" spans="1:17" x14ac:dyDescent="0.15">
      <c r="A13" s="82"/>
      <c r="B13" s="78" t="s">
        <v>318</v>
      </c>
      <c r="C13" s="79">
        <f t="shared" si="6"/>
        <v>1436099663</v>
      </c>
      <c r="D13" s="79">
        <f t="shared" si="6"/>
        <v>86139259</v>
      </c>
      <c r="E13" s="79">
        <f t="shared" si="6"/>
        <v>8618666.1999999993</v>
      </c>
      <c r="F13" s="79">
        <f t="shared" si="0"/>
        <v>1341341737.8</v>
      </c>
      <c r="G13" s="80">
        <f t="shared" si="1"/>
        <v>0.06</v>
      </c>
      <c r="H13" s="79">
        <v>784596529</v>
      </c>
      <c r="I13" s="79">
        <v>7265045</v>
      </c>
      <c r="J13" s="79">
        <v>846839.2</v>
      </c>
      <c r="K13" s="79">
        <f t="shared" si="2"/>
        <v>776484644.79999995</v>
      </c>
      <c r="L13" s="80">
        <f t="shared" si="3"/>
        <v>8.9999999999999993E-3</v>
      </c>
      <c r="M13" s="81">
        <v>651503134</v>
      </c>
      <c r="N13" s="79">
        <v>78874214</v>
      </c>
      <c r="O13" s="79">
        <v>7771827</v>
      </c>
      <c r="P13" s="79">
        <f t="shared" si="4"/>
        <v>564857093</v>
      </c>
      <c r="Q13" s="80">
        <f t="shared" si="5"/>
        <v>0.121</v>
      </c>
    </row>
    <row r="14" spans="1:17" x14ac:dyDescent="0.15">
      <c r="A14" s="82"/>
      <c r="B14" s="78" t="s">
        <v>376</v>
      </c>
      <c r="C14" s="79">
        <f t="shared" si="6"/>
        <v>1419450282</v>
      </c>
      <c r="D14" s="79">
        <f t="shared" si="6"/>
        <v>77351868</v>
      </c>
      <c r="E14" s="79">
        <f t="shared" si="6"/>
        <v>8593182</v>
      </c>
      <c r="F14" s="79">
        <f t="shared" si="0"/>
        <v>1333505232</v>
      </c>
      <c r="G14" s="80">
        <f t="shared" si="1"/>
        <v>5.3999999999999999E-2</v>
      </c>
      <c r="H14" s="79">
        <v>774492059</v>
      </c>
      <c r="I14" s="79">
        <v>6501872</v>
      </c>
      <c r="J14" s="79">
        <v>846839</v>
      </c>
      <c r="K14" s="79">
        <f t="shared" si="2"/>
        <v>767143348</v>
      </c>
      <c r="L14" s="80">
        <f t="shared" si="3"/>
        <v>8.0000000000000002E-3</v>
      </c>
      <c r="M14" s="81">
        <v>644958223</v>
      </c>
      <c r="N14" s="79">
        <v>70849996</v>
      </c>
      <c r="O14" s="79">
        <v>7746343</v>
      </c>
      <c r="P14" s="79">
        <f t="shared" si="4"/>
        <v>566361884</v>
      </c>
      <c r="Q14" s="80">
        <f t="shared" si="5"/>
        <v>0.11</v>
      </c>
    </row>
    <row r="15" spans="1:17" x14ac:dyDescent="0.15">
      <c r="A15" s="82"/>
      <c r="B15" s="78" t="s">
        <v>414</v>
      </c>
      <c r="C15" s="79">
        <f t="shared" si="6"/>
        <v>1443589467</v>
      </c>
      <c r="D15" s="79">
        <f t="shared" si="6"/>
        <v>81657575</v>
      </c>
      <c r="E15" s="79">
        <f t="shared" si="6"/>
        <v>8501953</v>
      </c>
      <c r="F15" s="79">
        <f t="shared" si="0"/>
        <v>1353429939</v>
      </c>
      <c r="G15" s="80">
        <f t="shared" si="1"/>
        <v>5.7000000000000002E-2</v>
      </c>
      <c r="H15" s="79">
        <v>790254513</v>
      </c>
      <c r="I15" s="79">
        <v>11737581</v>
      </c>
      <c r="J15" s="79">
        <v>846839</v>
      </c>
      <c r="K15" s="79">
        <f t="shared" si="2"/>
        <v>777670093</v>
      </c>
      <c r="L15" s="80">
        <f t="shared" si="3"/>
        <v>1.4999999999999999E-2</v>
      </c>
      <c r="M15" s="81">
        <v>653334954</v>
      </c>
      <c r="N15" s="79">
        <v>69919994</v>
      </c>
      <c r="O15" s="79">
        <v>7655114</v>
      </c>
      <c r="P15" s="79">
        <f t="shared" si="4"/>
        <v>575759846</v>
      </c>
      <c r="Q15" s="80">
        <f t="shared" si="5"/>
        <v>0.107</v>
      </c>
    </row>
    <row r="16" spans="1:17" x14ac:dyDescent="0.15">
      <c r="A16" s="82"/>
      <c r="B16" s="78" t="s">
        <v>301</v>
      </c>
      <c r="C16" s="79">
        <f t="shared" si="6"/>
        <v>1462380314</v>
      </c>
      <c r="D16" s="79">
        <f t="shared" si="6"/>
        <v>92678097</v>
      </c>
      <c r="E16" s="79">
        <f t="shared" si="6"/>
        <v>8501953</v>
      </c>
      <c r="F16" s="79">
        <f t="shared" si="0"/>
        <v>1361200264</v>
      </c>
      <c r="G16" s="80">
        <f t="shared" si="1"/>
        <v>6.3E-2</v>
      </c>
      <c r="H16" s="79">
        <v>800836541</v>
      </c>
      <c r="I16" s="79">
        <v>20248938</v>
      </c>
      <c r="J16" s="79">
        <v>846839</v>
      </c>
      <c r="K16" s="79">
        <f t="shared" si="2"/>
        <v>779740764</v>
      </c>
      <c r="L16" s="80">
        <f t="shared" si="3"/>
        <v>2.5000000000000001E-2</v>
      </c>
      <c r="M16" s="81">
        <v>661543773</v>
      </c>
      <c r="N16" s="79">
        <v>72429159</v>
      </c>
      <c r="O16" s="79">
        <v>7655114</v>
      </c>
      <c r="P16" s="79">
        <f t="shared" si="4"/>
        <v>581459500</v>
      </c>
      <c r="Q16" s="80">
        <f t="shared" si="5"/>
        <v>0.109</v>
      </c>
    </row>
    <row r="17" spans="1:17" x14ac:dyDescent="0.15">
      <c r="A17" s="82"/>
      <c r="B17" s="78" t="s">
        <v>388</v>
      </c>
      <c r="C17" s="79">
        <f t="shared" si="6"/>
        <v>1485325828</v>
      </c>
      <c r="D17" s="79">
        <f t="shared" si="6"/>
        <v>91771858</v>
      </c>
      <c r="E17" s="79">
        <f t="shared" si="6"/>
        <v>8501953</v>
      </c>
      <c r="F17" s="79">
        <f t="shared" si="0"/>
        <v>1385052017</v>
      </c>
      <c r="G17" s="80">
        <f t="shared" si="1"/>
        <v>6.2E-2</v>
      </c>
      <c r="H17" s="79">
        <v>814190340</v>
      </c>
      <c r="I17" s="79">
        <v>20419887</v>
      </c>
      <c r="J17" s="79">
        <v>846839</v>
      </c>
      <c r="K17" s="79">
        <f t="shared" si="2"/>
        <v>792923614</v>
      </c>
      <c r="L17" s="80">
        <f t="shared" si="3"/>
        <v>2.5000000000000001E-2</v>
      </c>
      <c r="M17" s="81">
        <v>671135488</v>
      </c>
      <c r="N17" s="79">
        <v>71351971</v>
      </c>
      <c r="O17" s="79">
        <v>7655114</v>
      </c>
      <c r="P17" s="79">
        <f t="shared" si="4"/>
        <v>592128403</v>
      </c>
      <c r="Q17" s="80">
        <f t="shared" si="5"/>
        <v>0.106</v>
      </c>
    </row>
    <row r="18" spans="1:17" x14ac:dyDescent="0.15">
      <c r="A18" s="82"/>
      <c r="B18" s="78" t="s">
        <v>389</v>
      </c>
      <c r="C18" s="79">
        <f t="shared" si="6"/>
        <v>1513321752</v>
      </c>
      <c r="D18" s="79">
        <f t="shared" si="6"/>
        <v>88558753</v>
      </c>
      <c r="E18" s="79">
        <f t="shared" si="6"/>
        <v>8501953</v>
      </c>
      <c r="F18" s="79">
        <f t="shared" si="0"/>
        <v>1416261046</v>
      </c>
      <c r="G18" s="80">
        <f t="shared" si="1"/>
        <v>5.8999999999999997E-2</v>
      </c>
      <c r="H18" s="79">
        <v>829890376</v>
      </c>
      <c r="I18" s="79">
        <v>19321433</v>
      </c>
      <c r="J18" s="79">
        <v>846839</v>
      </c>
      <c r="K18" s="79">
        <f t="shared" si="2"/>
        <v>809722104</v>
      </c>
      <c r="L18" s="80">
        <f t="shared" si="3"/>
        <v>2.3E-2</v>
      </c>
      <c r="M18" s="81">
        <v>683431376</v>
      </c>
      <c r="N18" s="79">
        <v>69237320</v>
      </c>
      <c r="O18" s="79">
        <v>7655114</v>
      </c>
      <c r="P18" s="79">
        <f t="shared" si="4"/>
        <v>606538942</v>
      </c>
      <c r="Q18" s="80">
        <f t="shared" si="5"/>
        <v>0.10100000000000001</v>
      </c>
    </row>
    <row r="19" spans="1:17" x14ac:dyDescent="0.15">
      <c r="A19" s="74" t="s">
        <v>218</v>
      </c>
      <c r="B19" s="78"/>
      <c r="C19" s="67"/>
      <c r="D19" s="67"/>
      <c r="E19" s="67"/>
      <c r="F19" s="67"/>
      <c r="G19" s="76"/>
      <c r="H19" s="67"/>
      <c r="I19" s="67"/>
      <c r="J19" s="67"/>
      <c r="K19" s="67"/>
      <c r="L19" s="76"/>
      <c r="M19" s="77"/>
      <c r="N19" s="67"/>
      <c r="O19" s="67"/>
      <c r="P19" s="67"/>
      <c r="Q19" s="76"/>
    </row>
    <row r="20" spans="1:17" x14ac:dyDescent="0.15">
      <c r="A20" s="74"/>
      <c r="B20" s="78" t="s">
        <v>224</v>
      </c>
      <c r="C20" s="83">
        <v>425049704</v>
      </c>
      <c r="D20" s="83">
        <v>92532894</v>
      </c>
      <c r="E20" s="83">
        <v>8601213</v>
      </c>
      <c r="F20" s="79">
        <f t="shared" ref="F20:F30" si="7">C20-D20-E20</f>
        <v>323915597</v>
      </c>
      <c r="G20" s="80">
        <f t="shared" ref="G20:G30" si="8">ROUND(D20/C20,3)</f>
        <v>0.218</v>
      </c>
      <c r="H20" s="83">
        <v>323037108</v>
      </c>
      <c r="I20" s="83">
        <v>47948255</v>
      </c>
      <c r="J20" s="83">
        <v>796859</v>
      </c>
      <c r="K20" s="79">
        <f t="shared" ref="K20:K30" si="9">H20-I20-J20</f>
        <v>274291994</v>
      </c>
      <c r="L20" s="80">
        <f t="shared" ref="L20:L30" si="10">ROUND(I20/H20,3)</f>
        <v>0.14799999999999999</v>
      </c>
      <c r="M20" s="84">
        <v>102012596</v>
      </c>
      <c r="N20" s="83">
        <v>44584639</v>
      </c>
      <c r="O20" s="83">
        <v>7804354</v>
      </c>
      <c r="P20" s="79">
        <f t="shared" ref="P20:P30" si="11">M20-N20-O20</f>
        <v>49623603</v>
      </c>
      <c r="Q20" s="80">
        <f t="shared" ref="Q20:Q30" si="12">ROUND(N20/M20,3)</f>
        <v>0.437</v>
      </c>
    </row>
    <row r="21" spans="1:17" x14ac:dyDescent="0.15">
      <c r="A21" s="82"/>
      <c r="B21" s="78" t="s">
        <v>232</v>
      </c>
      <c r="C21" s="79">
        <v>505376418</v>
      </c>
      <c r="D21" s="79">
        <v>101491860</v>
      </c>
      <c r="E21" s="79">
        <v>8613573</v>
      </c>
      <c r="F21" s="79">
        <f t="shared" si="7"/>
        <v>395270985</v>
      </c>
      <c r="G21" s="80">
        <f t="shared" si="8"/>
        <v>0.20100000000000001</v>
      </c>
      <c r="H21" s="79">
        <v>358077485</v>
      </c>
      <c r="I21" s="79">
        <v>42311366</v>
      </c>
      <c r="J21" s="79">
        <v>846845</v>
      </c>
      <c r="K21" s="79">
        <f t="shared" si="9"/>
        <v>314919274</v>
      </c>
      <c r="L21" s="80">
        <f t="shared" si="10"/>
        <v>0.11799999999999999</v>
      </c>
      <c r="M21" s="81">
        <v>147298933</v>
      </c>
      <c r="N21" s="79">
        <v>59180494</v>
      </c>
      <c r="O21" s="79">
        <v>7766728</v>
      </c>
      <c r="P21" s="79">
        <f t="shared" si="11"/>
        <v>80351711</v>
      </c>
      <c r="Q21" s="80">
        <f t="shared" si="12"/>
        <v>0.40200000000000002</v>
      </c>
    </row>
    <row r="22" spans="1:17" x14ac:dyDescent="0.15">
      <c r="A22" s="82"/>
      <c r="B22" s="78" t="s">
        <v>252</v>
      </c>
      <c r="C22" s="79">
        <f t="shared" ref="C22:E30" si="13">H22+M22</f>
        <v>520308990</v>
      </c>
      <c r="D22" s="79">
        <f t="shared" si="13"/>
        <v>89209719</v>
      </c>
      <c r="E22" s="79">
        <f t="shared" si="13"/>
        <v>7968737</v>
      </c>
      <c r="F22" s="79">
        <f t="shared" si="7"/>
        <v>423130534</v>
      </c>
      <c r="G22" s="80">
        <f t="shared" si="8"/>
        <v>0.17100000000000001</v>
      </c>
      <c r="H22" s="79">
        <v>359469429</v>
      </c>
      <c r="I22" s="79">
        <v>30777213</v>
      </c>
      <c r="J22" s="79">
        <v>810409</v>
      </c>
      <c r="K22" s="79">
        <f t="shared" si="9"/>
        <v>327881807</v>
      </c>
      <c r="L22" s="80">
        <f t="shared" si="10"/>
        <v>8.5999999999999993E-2</v>
      </c>
      <c r="M22" s="81">
        <v>160839561</v>
      </c>
      <c r="N22" s="79">
        <v>58432506</v>
      </c>
      <c r="O22" s="79">
        <v>7158328</v>
      </c>
      <c r="P22" s="79">
        <f t="shared" si="11"/>
        <v>95248727</v>
      </c>
      <c r="Q22" s="80">
        <f t="shared" si="12"/>
        <v>0.36299999999999999</v>
      </c>
    </row>
    <row r="23" spans="1:17" x14ac:dyDescent="0.15">
      <c r="A23" s="82"/>
      <c r="B23" s="78" t="s">
        <v>255</v>
      </c>
      <c r="C23" s="83">
        <f t="shared" si="13"/>
        <v>630595866</v>
      </c>
      <c r="D23" s="83">
        <f t="shared" si="13"/>
        <v>92467713</v>
      </c>
      <c r="E23" s="83">
        <f t="shared" si="13"/>
        <v>8609263</v>
      </c>
      <c r="F23" s="79">
        <f t="shared" si="7"/>
        <v>529518890</v>
      </c>
      <c r="G23" s="80">
        <f t="shared" si="8"/>
        <v>0.14699999999999999</v>
      </c>
      <c r="H23" s="88">
        <v>434030380</v>
      </c>
      <c r="I23" s="88">
        <v>28415403</v>
      </c>
      <c r="J23" s="88">
        <v>846839</v>
      </c>
      <c r="K23" s="79">
        <f t="shared" si="9"/>
        <v>404768138</v>
      </c>
      <c r="L23" s="80">
        <f t="shared" si="10"/>
        <v>6.5000000000000002E-2</v>
      </c>
      <c r="M23" s="81">
        <v>196565486</v>
      </c>
      <c r="N23" s="79">
        <v>64052310</v>
      </c>
      <c r="O23" s="79">
        <v>7762424</v>
      </c>
      <c r="P23" s="79">
        <f t="shared" si="11"/>
        <v>124750752</v>
      </c>
      <c r="Q23" s="80">
        <f t="shared" si="12"/>
        <v>0.32600000000000001</v>
      </c>
    </row>
    <row r="24" spans="1:17" x14ac:dyDescent="0.15">
      <c r="A24" s="82"/>
      <c r="B24" s="78" t="s">
        <v>271</v>
      </c>
      <c r="C24" s="83">
        <f t="shared" si="13"/>
        <v>708732181</v>
      </c>
      <c r="D24" s="83">
        <f t="shared" si="13"/>
        <v>72551904</v>
      </c>
      <c r="E24" s="83">
        <f t="shared" si="13"/>
        <v>8587791.5900000017</v>
      </c>
      <c r="F24" s="79">
        <f t="shared" si="7"/>
        <v>627592485.40999997</v>
      </c>
      <c r="G24" s="80">
        <f t="shared" si="8"/>
        <v>0.10199999999999999</v>
      </c>
      <c r="H24" s="88">
        <v>494124250</v>
      </c>
      <c r="I24" s="88">
        <v>13714070</v>
      </c>
      <c r="J24" s="88">
        <v>846839.2</v>
      </c>
      <c r="K24" s="79">
        <f t="shared" si="9"/>
        <v>479563340.80000001</v>
      </c>
      <c r="L24" s="80">
        <f t="shared" si="10"/>
        <v>2.8000000000000001E-2</v>
      </c>
      <c r="M24" s="81">
        <v>214607931</v>
      </c>
      <c r="N24" s="79">
        <v>58837834</v>
      </c>
      <c r="O24" s="79">
        <v>7740952.3900000015</v>
      </c>
      <c r="P24" s="79">
        <f t="shared" si="11"/>
        <v>148029144.60999998</v>
      </c>
      <c r="Q24" s="80">
        <f t="shared" si="12"/>
        <v>0.27400000000000002</v>
      </c>
    </row>
    <row r="25" spans="1:17" x14ac:dyDescent="0.15">
      <c r="A25" s="82"/>
      <c r="B25" s="78" t="s">
        <v>318</v>
      </c>
      <c r="C25" s="83">
        <f t="shared" si="13"/>
        <v>694936324</v>
      </c>
      <c r="D25" s="83">
        <f t="shared" si="13"/>
        <v>53027695</v>
      </c>
      <c r="E25" s="83">
        <f t="shared" si="13"/>
        <v>8475033</v>
      </c>
      <c r="F25" s="79">
        <f t="shared" si="7"/>
        <v>633433596</v>
      </c>
      <c r="G25" s="80">
        <f t="shared" si="8"/>
        <v>7.5999999999999998E-2</v>
      </c>
      <c r="H25" s="79">
        <v>491983678</v>
      </c>
      <c r="I25" s="79">
        <v>5951171</v>
      </c>
      <c r="J25" s="79">
        <v>821213</v>
      </c>
      <c r="K25" s="79">
        <f t="shared" si="9"/>
        <v>485211294</v>
      </c>
      <c r="L25" s="80">
        <f t="shared" si="10"/>
        <v>1.2E-2</v>
      </c>
      <c r="M25" s="81">
        <v>202952646</v>
      </c>
      <c r="N25" s="79">
        <v>47076524</v>
      </c>
      <c r="O25" s="79">
        <v>7653820</v>
      </c>
      <c r="P25" s="79">
        <f t="shared" si="11"/>
        <v>148222302</v>
      </c>
      <c r="Q25" s="80">
        <f t="shared" si="12"/>
        <v>0.23200000000000001</v>
      </c>
    </row>
    <row r="26" spans="1:17" x14ac:dyDescent="0.15">
      <c r="A26" s="82"/>
      <c r="B26" s="78" t="s">
        <v>376</v>
      </c>
      <c r="C26" s="79">
        <f t="shared" si="13"/>
        <v>781047980</v>
      </c>
      <c r="D26" s="79">
        <f t="shared" si="13"/>
        <v>51629490.759999998</v>
      </c>
      <c r="E26" s="79">
        <f t="shared" si="13"/>
        <v>8593182.1999999993</v>
      </c>
      <c r="F26" s="79">
        <f t="shared" si="7"/>
        <v>720825307.03999996</v>
      </c>
      <c r="G26" s="80">
        <f t="shared" si="8"/>
        <v>6.6000000000000003E-2</v>
      </c>
      <c r="H26" s="88">
        <v>550368568</v>
      </c>
      <c r="I26" s="88">
        <v>5872113.7599999988</v>
      </c>
      <c r="J26" s="88">
        <v>846839.2</v>
      </c>
      <c r="K26" s="79">
        <f>H26-I26-J26</f>
        <v>543649615.03999996</v>
      </c>
      <c r="L26" s="80">
        <f t="shared" si="10"/>
        <v>1.0999999999999999E-2</v>
      </c>
      <c r="M26" s="81">
        <v>230679412</v>
      </c>
      <c r="N26" s="79">
        <v>45757377</v>
      </c>
      <c r="O26" s="79">
        <v>7746343</v>
      </c>
      <c r="P26" s="79">
        <f>M26-N26-O26</f>
        <v>177175692</v>
      </c>
      <c r="Q26" s="80">
        <f t="shared" si="12"/>
        <v>0.19800000000000001</v>
      </c>
    </row>
    <row r="27" spans="1:17" x14ac:dyDescent="0.15">
      <c r="A27" s="82"/>
      <c r="B27" s="78" t="s">
        <v>414</v>
      </c>
      <c r="C27" s="79">
        <f t="shared" si="13"/>
        <v>776541138</v>
      </c>
      <c r="D27" s="79">
        <f t="shared" si="13"/>
        <v>55302161</v>
      </c>
      <c r="E27" s="79">
        <f t="shared" si="13"/>
        <v>8501953</v>
      </c>
      <c r="F27" s="79">
        <f t="shared" si="7"/>
        <v>712737024</v>
      </c>
      <c r="G27" s="80">
        <f t="shared" si="8"/>
        <v>7.0999999999999994E-2</v>
      </c>
      <c r="H27" s="79">
        <v>554219218</v>
      </c>
      <c r="I27" s="79">
        <v>10665678</v>
      </c>
      <c r="J27" s="79">
        <v>846839</v>
      </c>
      <c r="K27" s="79">
        <f t="shared" si="9"/>
        <v>542706701</v>
      </c>
      <c r="L27" s="80">
        <f t="shared" si="10"/>
        <v>1.9E-2</v>
      </c>
      <c r="M27" s="81">
        <v>222321920</v>
      </c>
      <c r="N27" s="79">
        <v>44636483</v>
      </c>
      <c r="O27" s="79">
        <v>7655114</v>
      </c>
      <c r="P27" s="79">
        <f t="shared" si="11"/>
        <v>170030323</v>
      </c>
      <c r="Q27" s="80">
        <f t="shared" si="12"/>
        <v>0.20100000000000001</v>
      </c>
    </row>
    <row r="28" spans="1:17" x14ac:dyDescent="0.15">
      <c r="A28" s="82"/>
      <c r="B28" s="78" t="s">
        <v>301</v>
      </c>
      <c r="C28" s="79">
        <f t="shared" si="13"/>
        <v>779066193</v>
      </c>
      <c r="D28" s="79">
        <f t="shared" si="13"/>
        <v>64361862</v>
      </c>
      <c r="E28" s="79">
        <f t="shared" si="13"/>
        <v>8501953</v>
      </c>
      <c r="F28" s="79">
        <f t="shared" si="7"/>
        <v>706202378</v>
      </c>
      <c r="G28" s="80">
        <f t="shared" si="8"/>
        <v>8.3000000000000004E-2</v>
      </c>
      <c r="H28" s="79">
        <v>557619770</v>
      </c>
      <c r="I28" s="79">
        <v>18587285</v>
      </c>
      <c r="J28" s="79">
        <v>846839</v>
      </c>
      <c r="K28" s="79">
        <f t="shared" si="9"/>
        <v>538185646</v>
      </c>
      <c r="L28" s="80">
        <f t="shared" si="10"/>
        <v>3.3000000000000002E-2</v>
      </c>
      <c r="M28" s="81">
        <v>221446423</v>
      </c>
      <c r="N28" s="79">
        <v>45774577</v>
      </c>
      <c r="O28" s="79">
        <v>7655114</v>
      </c>
      <c r="P28" s="79">
        <f t="shared" si="11"/>
        <v>168016732</v>
      </c>
      <c r="Q28" s="80">
        <f t="shared" si="12"/>
        <v>0.20699999999999999</v>
      </c>
    </row>
    <row r="29" spans="1:17" x14ac:dyDescent="0.15">
      <c r="A29" s="82"/>
      <c r="B29" s="78" t="s">
        <v>388</v>
      </c>
      <c r="C29" s="79">
        <f t="shared" si="13"/>
        <v>783533074</v>
      </c>
      <c r="D29" s="79">
        <f t="shared" si="13"/>
        <v>63925302</v>
      </c>
      <c r="E29" s="79">
        <f t="shared" si="13"/>
        <v>8501953</v>
      </c>
      <c r="F29" s="79">
        <f t="shared" si="7"/>
        <v>711105819</v>
      </c>
      <c r="G29" s="80">
        <f t="shared" si="8"/>
        <v>8.2000000000000003E-2</v>
      </c>
      <c r="H29" s="79">
        <v>562619742</v>
      </c>
      <c r="I29" s="79">
        <v>18827321</v>
      </c>
      <c r="J29" s="79">
        <v>846839</v>
      </c>
      <c r="K29" s="79">
        <f t="shared" si="9"/>
        <v>542945582</v>
      </c>
      <c r="L29" s="80">
        <f t="shared" si="10"/>
        <v>3.3000000000000002E-2</v>
      </c>
      <c r="M29" s="81">
        <v>220913332</v>
      </c>
      <c r="N29" s="79">
        <v>45097981</v>
      </c>
      <c r="O29" s="79">
        <v>7655114</v>
      </c>
      <c r="P29" s="79">
        <f t="shared" si="11"/>
        <v>168160237</v>
      </c>
      <c r="Q29" s="80">
        <f t="shared" si="12"/>
        <v>0.20399999999999999</v>
      </c>
    </row>
    <row r="30" spans="1:17" x14ac:dyDescent="0.15">
      <c r="A30" s="82"/>
      <c r="B30" s="78" t="s">
        <v>389</v>
      </c>
      <c r="C30" s="79">
        <f t="shared" si="13"/>
        <v>789611168</v>
      </c>
      <c r="D30" s="79">
        <f t="shared" si="13"/>
        <v>61792561</v>
      </c>
      <c r="E30" s="79">
        <f t="shared" si="13"/>
        <v>8501953</v>
      </c>
      <c r="F30" s="79">
        <f t="shared" si="7"/>
        <v>719316654</v>
      </c>
      <c r="G30" s="80">
        <f t="shared" si="8"/>
        <v>7.8E-2</v>
      </c>
      <c r="H30" s="79">
        <v>568634509</v>
      </c>
      <c r="I30" s="79">
        <v>17924775</v>
      </c>
      <c r="J30" s="79">
        <v>846839</v>
      </c>
      <c r="K30" s="79">
        <f t="shared" si="9"/>
        <v>549862895</v>
      </c>
      <c r="L30" s="80">
        <f t="shared" si="10"/>
        <v>3.2000000000000001E-2</v>
      </c>
      <c r="M30" s="81">
        <v>220976659</v>
      </c>
      <c r="N30" s="79">
        <v>43867786</v>
      </c>
      <c r="O30" s="79">
        <v>7655114</v>
      </c>
      <c r="P30" s="79">
        <f t="shared" si="11"/>
        <v>169453759</v>
      </c>
      <c r="Q30" s="80">
        <f t="shared" si="12"/>
        <v>0.19900000000000001</v>
      </c>
    </row>
    <row r="31" spans="1:17" x14ac:dyDescent="0.15">
      <c r="A31" s="74" t="s">
        <v>241</v>
      </c>
      <c r="B31" s="78"/>
      <c r="C31" s="67"/>
      <c r="D31" s="67"/>
      <c r="E31" s="67"/>
      <c r="F31" s="67"/>
      <c r="G31" s="76"/>
      <c r="H31" s="67"/>
      <c r="I31" s="67"/>
      <c r="J31" s="67"/>
      <c r="K31" s="67"/>
      <c r="L31" s="76"/>
      <c r="M31" s="77"/>
      <c r="N31" s="67"/>
      <c r="O31" s="67"/>
      <c r="P31" s="67"/>
      <c r="Q31" s="76"/>
    </row>
    <row r="32" spans="1:17" x14ac:dyDescent="0.15">
      <c r="A32" s="74" t="s">
        <v>219</v>
      </c>
      <c r="B32" s="78"/>
      <c r="C32" s="67"/>
      <c r="D32" s="67"/>
      <c r="E32" s="67"/>
      <c r="F32" s="67"/>
      <c r="G32" s="76"/>
      <c r="H32" s="67"/>
      <c r="I32" s="67"/>
      <c r="J32" s="67"/>
      <c r="K32" s="67"/>
      <c r="L32" s="76"/>
      <c r="M32" s="77"/>
      <c r="N32" s="67"/>
      <c r="O32" s="67"/>
      <c r="P32" s="67"/>
      <c r="Q32" s="76"/>
    </row>
    <row r="33" spans="1:17" hidden="1" x14ac:dyDescent="0.15">
      <c r="A33" s="74"/>
      <c r="B33" s="78" t="s">
        <v>135</v>
      </c>
      <c r="C33" s="67"/>
      <c r="D33" s="67"/>
      <c r="E33" s="67"/>
      <c r="F33" s="67"/>
      <c r="G33" s="76"/>
      <c r="H33" s="67"/>
      <c r="I33" s="67"/>
      <c r="J33" s="67"/>
      <c r="K33" s="67"/>
      <c r="L33" s="76"/>
      <c r="M33" s="67"/>
      <c r="N33" s="67"/>
      <c r="O33" s="67"/>
      <c r="P33" s="67"/>
      <c r="Q33" s="76"/>
    </row>
    <row r="34" spans="1:17" hidden="1" x14ac:dyDescent="0.15">
      <c r="A34" s="74"/>
      <c r="B34" s="78" t="s">
        <v>136</v>
      </c>
      <c r="C34" s="67"/>
      <c r="D34" s="67"/>
      <c r="E34" s="67"/>
      <c r="F34" s="67"/>
      <c r="G34" s="76"/>
      <c r="H34" s="67"/>
      <c r="I34" s="67"/>
      <c r="J34" s="67"/>
      <c r="K34" s="67"/>
      <c r="L34" s="76"/>
      <c r="M34" s="67"/>
      <c r="N34" s="67"/>
      <c r="O34" s="67"/>
      <c r="P34" s="67"/>
      <c r="Q34" s="76"/>
    </row>
    <row r="35" spans="1:17" x14ac:dyDescent="0.15">
      <c r="A35" s="74"/>
      <c r="B35" s="78" t="s">
        <v>224</v>
      </c>
      <c r="C35" s="83">
        <f t="shared" ref="C35:F36" si="14">C8-C20</f>
        <v>421152076</v>
      </c>
      <c r="D35" s="83">
        <f t="shared" si="14"/>
        <v>109572571</v>
      </c>
      <c r="E35" s="83">
        <f t="shared" si="14"/>
        <v>1611</v>
      </c>
      <c r="F35" s="83">
        <f t="shared" si="14"/>
        <v>311577894</v>
      </c>
      <c r="G35" s="80">
        <f t="shared" ref="G35:G43" si="15">ROUND(D35/C35,3)</f>
        <v>0.26</v>
      </c>
      <c r="H35" s="83">
        <f t="shared" ref="H35:K41" si="16">H8-H20</f>
        <v>140611486</v>
      </c>
      <c r="I35" s="83">
        <f t="shared" si="16"/>
        <v>15298451</v>
      </c>
      <c r="J35" s="83">
        <f t="shared" si="16"/>
        <v>0</v>
      </c>
      <c r="K35" s="83">
        <f t="shared" si="16"/>
        <v>125313035</v>
      </c>
      <c r="L35" s="80">
        <f t="shared" ref="L35:L45" si="17">ROUND(I35/H35,3)</f>
        <v>0.109</v>
      </c>
      <c r="M35" s="83">
        <f t="shared" ref="M35:P41" si="18">M8-M20</f>
        <v>280540590</v>
      </c>
      <c r="N35" s="83">
        <f t="shared" si="18"/>
        <v>94274120</v>
      </c>
      <c r="O35" s="83">
        <f t="shared" si="18"/>
        <v>1611</v>
      </c>
      <c r="P35" s="83">
        <f t="shared" si="18"/>
        <v>186264859</v>
      </c>
      <c r="Q35" s="80">
        <f t="shared" ref="Q35:Q43" si="19">ROUND(N35/M35,3)</f>
        <v>0.33600000000000002</v>
      </c>
    </row>
    <row r="36" spans="1:17" x14ac:dyDescent="0.15">
      <c r="A36" s="82"/>
      <c r="B36" s="78" t="s">
        <v>232</v>
      </c>
      <c r="C36" s="83">
        <f t="shared" si="14"/>
        <v>354035027</v>
      </c>
      <c r="D36" s="83">
        <f t="shared" si="14"/>
        <v>79384659</v>
      </c>
      <c r="E36" s="83">
        <f t="shared" si="14"/>
        <v>676</v>
      </c>
      <c r="F36" s="83">
        <f t="shared" si="14"/>
        <v>274649692</v>
      </c>
      <c r="G36" s="80">
        <f t="shared" si="15"/>
        <v>0.224</v>
      </c>
      <c r="H36" s="83">
        <f t="shared" si="16"/>
        <v>111661781</v>
      </c>
      <c r="I36" s="83">
        <f t="shared" si="16"/>
        <v>9246829</v>
      </c>
      <c r="J36" s="83">
        <f t="shared" si="16"/>
        <v>0</v>
      </c>
      <c r="K36" s="83">
        <f t="shared" si="16"/>
        <v>102414952</v>
      </c>
      <c r="L36" s="80">
        <f t="shared" si="17"/>
        <v>8.3000000000000004E-2</v>
      </c>
      <c r="M36" s="83">
        <f t="shared" si="18"/>
        <v>242373246</v>
      </c>
      <c r="N36" s="83">
        <f t="shared" si="18"/>
        <v>70137830</v>
      </c>
      <c r="O36" s="83">
        <f t="shared" si="18"/>
        <v>676</v>
      </c>
      <c r="P36" s="83">
        <f t="shared" si="18"/>
        <v>172234740</v>
      </c>
      <c r="Q36" s="80">
        <f t="shared" si="19"/>
        <v>0.28899999999999998</v>
      </c>
    </row>
    <row r="37" spans="1:17" x14ac:dyDescent="0.15">
      <c r="A37" s="82"/>
      <c r="B37" s="78" t="s">
        <v>252</v>
      </c>
      <c r="C37" s="79">
        <f t="shared" ref="C37:E43" si="20">H37+M37</f>
        <v>801629530</v>
      </c>
      <c r="D37" s="79">
        <f t="shared" si="20"/>
        <v>94505474</v>
      </c>
      <c r="E37" s="79">
        <f>J37+O37</f>
        <v>0</v>
      </c>
      <c r="F37" s="83">
        <f t="shared" ref="F37:F45" si="21">F10-F22</f>
        <v>707124056</v>
      </c>
      <c r="G37" s="80">
        <f t="shared" si="15"/>
        <v>0.11799999999999999</v>
      </c>
      <c r="H37" s="83">
        <f t="shared" si="16"/>
        <v>355979348</v>
      </c>
      <c r="I37" s="83">
        <f t="shared" si="16"/>
        <v>10093933</v>
      </c>
      <c r="J37" s="83">
        <f t="shared" si="16"/>
        <v>0</v>
      </c>
      <c r="K37" s="83">
        <f t="shared" si="16"/>
        <v>345885415</v>
      </c>
      <c r="L37" s="80">
        <f t="shared" si="17"/>
        <v>2.8000000000000001E-2</v>
      </c>
      <c r="M37" s="84">
        <f t="shared" si="18"/>
        <v>445650182</v>
      </c>
      <c r="N37" s="83">
        <f t="shared" si="18"/>
        <v>84411541</v>
      </c>
      <c r="O37" s="83">
        <f t="shared" si="18"/>
        <v>0</v>
      </c>
      <c r="P37" s="83">
        <f t="shared" si="18"/>
        <v>361238641</v>
      </c>
      <c r="Q37" s="80">
        <f t="shared" si="19"/>
        <v>0.189</v>
      </c>
    </row>
    <row r="38" spans="1:17" x14ac:dyDescent="0.15">
      <c r="A38" s="82"/>
      <c r="B38" s="78" t="s">
        <v>255</v>
      </c>
      <c r="C38" s="79">
        <f t="shared" si="20"/>
        <v>736919507</v>
      </c>
      <c r="D38" s="79">
        <f t="shared" si="20"/>
        <v>65541379</v>
      </c>
      <c r="E38" s="79">
        <f t="shared" si="20"/>
        <v>17013</v>
      </c>
      <c r="F38" s="83">
        <f t="shared" si="21"/>
        <v>671361115</v>
      </c>
      <c r="G38" s="80">
        <f t="shared" si="15"/>
        <v>8.8999999999999996E-2</v>
      </c>
      <c r="H38" s="83">
        <f t="shared" si="16"/>
        <v>311797110</v>
      </c>
      <c r="I38" s="83">
        <f t="shared" si="16"/>
        <v>5055086</v>
      </c>
      <c r="J38" s="83">
        <f t="shared" si="16"/>
        <v>0</v>
      </c>
      <c r="K38" s="83">
        <f t="shared" si="16"/>
        <v>306742024</v>
      </c>
      <c r="L38" s="80">
        <f t="shared" si="17"/>
        <v>1.6E-2</v>
      </c>
      <c r="M38" s="84">
        <f t="shared" si="18"/>
        <v>425122397</v>
      </c>
      <c r="N38" s="83">
        <f t="shared" si="18"/>
        <v>60486293</v>
      </c>
      <c r="O38" s="83">
        <f t="shared" si="18"/>
        <v>17013</v>
      </c>
      <c r="P38" s="83">
        <f t="shared" si="18"/>
        <v>364619091</v>
      </c>
      <c r="Q38" s="80">
        <f t="shared" si="19"/>
        <v>0.14199999999999999</v>
      </c>
    </row>
    <row r="39" spans="1:17" x14ac:dyDescent="0.15">
      <c r="A39" s="82"/>
      <c r="B39" s="78" t="s">
        <v>271</v>
      </c>
      <c r="C39" s="79">
        <f t="shared" si="20"/>
        <v>682167128.99999952</v>
      </c>
      <c r="D39" s="79">
        <f t="shared" si="20"/>
        <v>41830741.680000082</v>
      </c>
      <c r="E39" s="79">
        <f t="shared" si="20"/>
        <v>30874.77999999281</v>
      </c>
      <c r="F39" s="83">
        <f t="shared" si="21"/>
        <v>640305512.5399996</v>
      </c>
      <c r="G39" s="80">
        <f t="shared" si="15"/>
        <v>6.0999999999999999E-2</v>
      </c>
      <c r="H39" s="83">
        <f t="shared" si="16"/>
        <v>264705456</v>
      </c>
      <c r="I39" s="83">
        <f t="shared" si="16"/>
        <v>1707395.6500000041</v>
      </c>
      <c r="J39" s="83">
        <f t="shared" si="16"/>
        <v>0</v>
      </c>
      <c r="K39" s="83">
        <f t="shared" si="16"/>
        <v>262998060.34999996</v>
      </c>
      <c r="L39" s="80">
        <f t="shared" si="17"/>
        <v>6.0000000000000001E-3</v>
      </c>
      <c r="M39" s="84">
        <f t="shared" si="18"/>
        <v>417461672.99999952</v>
      </c>
      <c r="N39" s="83">
        <f t="shared" si="18"/>
        <v>40123346.030000076</v>
      </c>
      <c r="O39" s="83">
        <f t="shared" si="18"/>
        <v>30874.77999999281</v>
      </c>
      <c r="P39" s="83">
        <f t="shared" si="18"/>
        <v>377307452.18999946</v>
      </c>
      <c r="Q39" s="80">
        <f t="shared" si="19"/>
        <v>9.6000000000000002E-2</v>
      </c>
    </row>
    <row r="40" spans="1:17" x14ac:dyDescent="0.15">
      <c r="A40" s="82"/>
      <c r="B40" s="78" t="s">
        <v>318</v>
      </c>
      <c r="C40" s="79">
        <f t="shared" si="20"/>
        <v>741163339</v>
      </c>
      <c r="D40" s="79">
        <f t="shared" si="20"/>
        <v>33111564</v>
      </c>
      <c r="E40" s="79">
        <f t="shared" si="20"/>
        <v>143633.19999999995</v>
      </c>
      <c r="F40" s="83">
        <f t="shared" si="21"/>
        <v>707908141.79999995</v>
      </c>
      <c r="G40" s="80">
        <f t="shared" si="15"/>
        <v>4.4999999999999998E-2</v>
      </c>
      <c r="H40" s="83">
        <f t="shared" si="16"/>
        <v>292612851</v>
      </c>
      <c r="I40" s="83">
        <f t="shared" si="16"/>
        <v>1313874</v>
      </c>
      <c r="J40" s="83">
        <f t="shared" si="16"/>
        <v>25626.199999999953</v>
      </c>
      <c r="K40" s="83">
        <f t="shared" si="16"/>
        <v>291273350.79999995</v>
      </c>
      <c r="L40" s="80">
        <f t="shared" si="17"/>
        <v>4.0000000000000001E-3</v>
      </c>
      <c r="M40" s="84">
        <f t="shared" si="18"/>
        <v>448550488</v>
      </c>
      <c r="N40" s="83">
        <f t="shared" si="18"/>
        <v>31797690</v>
      </c>
      <c r="O40" s="83">
        <f t="shared" si="18"/>
        <v>118007</v>
      </c>
      <c r="P40" s="83">
        <f t="shared" si="18"/>
        <v>416634791</v>
      </c>
      <c r="Q40" s="80">
        <f t="shared" si="19"/>
        <v>7.0999999999999994E-2</v>
      </c>
    </row>
    <row r="41" spans="1:17" x14ac:dyDescent="0.15">
      <c r="A41" s="82"/>
      <c r="B41" s="78" t="s">
        <v>376</v>
      </c>
      <c r="C41" s="79">
        <f t="shared" si="20"/>
        <v>638402302</v>
      </c>
      <c r="D41" s="79">
        <f t="shared" si="20"/>
        <v>25722377.240000002</v>
      </c>
      <c r="E41" s="79">
        <f t="shared" si="20"/>
        <v>-0.19999999995343387</v>
      </c>
      <c r="F41" s="83">
        <f t="shared" si="21"/>
        <v>612679924.96000004</v>
      </c>
      <c r="G41" s="80">
        <f t="shared" si="15"/>
        <v>0.04</v>
      </c>
      <c r="H41" s="83">
        <f t="shared" si="16"/>
        <v>224123491</v>
      </c>
      <c r="I41" s="83">
        <f t="shared" si="16"/>
        <v>629758.24000000115</v>
      </c>
      <c r="J41" s="83">
        <f t="shared" si="16"/>
        <v>-0.19999999995343387</v>
      </c>
      <c r="K41" s="83">
        <f t="shared" si="16"/>
        <v>223493732.96000004</v>
      </c>
      <c r="L41" s="80">
        <f t="shared" si="17"/>
        <v>3.0000000000000001E-3</v>
      </c>
      <c r="M41" s="84">
        <f t="shared" si="18"/>
        <v>414278811</v>
      </c>
      <c r="N41" s="83">
        <f t="shared" si="18"/>
        <v>25092619</v>
      </c>
      <c r="O41" s="83">
        <f t="shared" si="18"/>
        <v>0</v>
      </c>
      <c r="P41" s="83">
        <f t="shared" si="18"/>
        <v>389186192</v>
      </c>
      <c r="Q41" s="80">
        <f t="shared" si="19"/>
        <v>6.0999999999999999E-2</v>
      </c>
    </row>
    <row r="42" spans="1:17" x14ac:dyDescent="0.15">
      <c r="A42" s="82"/>
      <c r="B42" s="78" t="s">
        <v>414</v>
      </c>
      <c r="C42" s="79">
        <f t="shared" si="20"/>
        <v>667048329</v>
      </c>
      <c r="D42" s="79">
        <f t="shared" si="20"/>
        <v>26355414</v>
      </c>
      <c r="E42" s="79">
        <f t="shared" si="20"/>
        <v>0</v>
      </c>
      <c r="F42" s="83">
        <f t="shared" si="21"/>
        <v>640692915</v>
      </c>
      <c r="G42" s="80">
        <f t="shared" si="15"/>
        <v>0.04</v>
      </c>
      <c r="H42" s="83">
        <f>H15-H27-H104</f>
        <v>236035295</v>
      </c>
      <c r="I42" s="83">
        <f>I15-I27-I104</f>
        <v>1071903</v>
      </c>
      <c r="J42" s="83">
        <f>J15-J27-J104</f>
        <v>0</v>
      </c>
      <c r="K42" s="83">
        <f>K15-K27-K104</f>
        <v>234963392</v>
      </c>
      <c r="L42" s="80">
        <f t="shared" si="17"/>
        <v>5.0000000000000001E-3</v>
      </c>
      <c r="M42" s="84">
        <f t="shared" ref="M42:P45" si="22">M15-M27-M104</f>
        <v>431013034</v>
      </c>
      <c r="N42" s="83">
        <f t="shared" si="22"/>
        <v>25283511</v>
      </c>
      <c r="O42" s="83">
        <f t="shared" si="22"/>
        <v>0</v>
      </c>
      <c r="P42" s="83">
        <f t="shared" si="22"/>
        <v>405729523</v>
      </c>
      <c r="Q42" s="80">
        <f t="shared" si="19"/>
        <v>5.8999999999999997E-2</v>
      </c>
    </row>
    <row r="43" spans="1:17" x14ac:dyDescent="0.15">
      <c r="A43" s="82"/>
      <c r="B43" s="78" t="s">
        <v>301</v>
      </c>
      <c r="C43" s="79">
        <f t="shared" si="20"/>
        <v>660016121</v>
      </c>
      <c r="D43" s="79">
        <f t="shared" si="20"/>
        <v>26454235</v>
      </c>
      <c r="E43" s="79">
        <f t="shared" si="20"/>
        <v>0</v>
      </c>
      <c r="F43" s="83">
        <f t="shared" si="21"/>
        <v>654997886</v>
      </c>
      <c r="G43" s="80">
        <f t="shared" si="15"/>
        <v>0.04</v>
      </c>
      <c r="H43" s="83">
        <f>H16-H28-H105</f>
        <v>236345771</v>
      </c>
      <c r="I43" s="83">
        <f>IF(I16-I28-I105&lt;0,0,I16-I28-I105)</f>
        <v>1606653</v>
      </c>
      <c r="J43" s="83">
        <f t="shared" ref="J43:K45" si="23">J16-J28-J105</f>
        <v>0</v>
      </c>
      <c r="K43" s="83">
        <f t="shared" si="23"/>
        <v>234739118</v>
      </c>
      <c r="L43" s="80">
        <f t="shared" si="17"/>
        <v>7.0000000000000001E-3</v>
      </c>
      <c r="M43" s="84">
        <f t="shared" si="22"/>
        <v>423670350</v>
      </c>
      <c r="N43" s="83">
        <f t="shared" si="22"/>
        <v>24847582</v>
      </c>
      <c r="O43" s="83">
        <f t="shared" si="22"/>
        <v>0</v>
      </c>
      <c r="P43" s="83">
        <f t="shared" si="22"/>
        <v>398822768</v>
      </c>
      <c r="Q43" s="80">
        <f t="shared" si="19"/>
        <v>5.8999999999999997E-2</v>
      </c>
    </row>
    <row r="44" spans="1:17" x14ac:dyDescent="0.15">
      <c r="A44" s="82"/>
      <c r="B44" s="78" t="s">
        <v>388</v>
      </c>
      <c r="C44" s="79">
        <f t="shared" ref="C44:E45" si="24">H44+M44</f>
        <v>650788754</v>
      </c>
      <c r="D44" s="79">
        <f t="shared" si="24"/>
        <v>24951556</v>
      </c>
      <c r="E44" s="79">
        <f t="shared" si="24"/>
        <v>0</v>
      </c>
      <c r="F44" s="83">
        <f t="shared" si="21"/>
        <v>673946198</v>
      </c>
      <c r="G44" s="80">
        <f>ROUND(D44/C44,3)</f>
        <v>3.7999999999999999E-2</v>
      </c>
      <c r="H44" s="83">
        <f>H17-H29-H106</f>
        <v>232881598</v>
      </c>
      <c r="I44" s="83">
        <f>IF(I17-I29-I106&lt;0,0,I17-I29-I106)</f>
        <v>1442566</v>
      </c>
      <c r="J44" s="83">
        <f t="shared" si="23"/>
        <v>0</v>
      </c>
      <c r="K44" s="83">
        <f t="shared" si="23"/>
        <v>231439032</v>
      </c>
      <c r="L44" s="80">
        <f t="shared" si="17"/>
        <v>6.0000000000000001E-3</v>
      </c>
      <c r="M44" s="84">
        <f t="shared" si="22"/>
        <v>417907156</v>
      </c>
      <c r="N44" s="83">
        <f t="shared" si="22"/>
        <v>23508990</v>
      </c>
      <c r="O44" s="83">
        <f t="shared" si="22"/>
        <v>0</v>
      </c>
      <c r="P44" s="83">
        <f t="shared" si="22"/>
        <v>394398166</v>
      </c>
      <c r="Q44" s="80">
        <f>ROUND(N44/M44,3)</f>
        <v>5.6000000000000001E-2</v>
      </c>
    </row>
    <row r="45" spans="1:17" x14ac:dyDescent="0.15">
      <c r="A45" s="82"/>
      <c r="B45" s="78" t="s">
        <v>389</v>
      </c>
      <c r="C45" s="79">
        <f t="shared" si="24"/>
        <v>645389584</v>
      </c>
      <c r="D45" s="79">
        <f t="shared" si="24"/>
        <v>22911192</v>
      </c>
      <c r="E45" s="79">
        <f t="shared" si="24"/>
        <v>0</v>
      </c>
      <c r="F45" s="83">
        <f t="shared" si="21"/>
        <v>696944392</v>
      </c>
      <c r="G45" s="80">
        <f>ROUND(D45/C45,3)</f>
        <v>3.5000000000000003E-2</v>
      </c>
      <c r="H45" s="83">
        <f>H18-H30-H107</f>
        <v>230921867</v>
      </c>
      <c r="I45" s="83">
        <f>IF(I18-I30-I107&lt;0,0,I18-I30-I107)</f>
        <v>1164658</v>
      </c>
      <c r="J45" s="83">
        <f t="shared" si="23"/>
        <v>0</v>
      </c>
      <c r="K45" s="83">
        <f t="shared" si="23"/>
        <v>229757209</v>
      </c>
      <c r="L45" s="80">
        <f t="shared" si="17"/>
        <v>5.0000000000000001E-3</v>
      </c>
      <c r="M45" s="84">
        <f t="shared" si="22"/>
        <v>414467717</v>
      </c>
      <c r="N45" s="83">
        <f t="shared" si="22"/>
        <v>21746534</v>
      </c>
      <c r="O45" s="83">
        <f t="shared" si="22"/>
        <v>0</v>
      </c>
      <c r="P45" s="83">
        <f t="shared" si="22"/>
        <v>392721183</v>
      </c>
      <c r="Q45" s="80">
        <f>ROUND(N45/M45,3)</f>
        <v>5.1999999999999998E-2</v>
      </c>
    </row>
    <row r="46" spans="1:17" x14ac:dyDescent="0.15">
      <c r="A46" s="74" t="s">
        <v>220</v>
      </c>
      <c r="B46" s="78"/>
      <c r="C46" s="67"/>
      <c r="D46" s="67"/>
      <c r="E46" s="67"/>
      <c r="F46" s="67"/>
      <c r="G46" s="76"/>
      <c r="H46" s="67"/>
      <c r="I46" s="67"/>
      <c r="J46" s="67"/>
      <c r="K46" s="67"/>
      <c r="L46" s="76"/>
      <c r="M46" s="77"/>
      <c r="N46" s="67"/>
      <c r="O46" s="67"/>
      <c r="P46" s="67"/>
      <c r="Q46" s="76"/>
    </row>
    <row r="47" spans="1:17" x14ac:dyDescent="0.15">
      <c r="A47" s="74" t="s">
        <v>221</v>
      </c>
      <c r="B47" s="78"/>
      <c r="C47" s="67"/>
      <c r="D47" s="67"/>
      <c r="E47" s="67"/>
      <c r="F47" s="67"/>
      <c r="G47" s="76"/>
      <c r="H47" s="67"/>
      <c r="I47" s="67"/>
      <c r="J47" s="67"/>
      <c r="K47" s="67"/>
      <c r="L47" s="76"/>
      <c r="M47" s="77"/>
      <c r="N47" s="67"/>
      <c r="O47" s="67"/>
      <c r="P47" s="67"/>
      <c r="Q47" s="76"/>
    </row>
    <row r="48" spans="1:17" x14ac:dyDescent="0.15">
      <c r="A48" s="74"/>
      <c r="B48" s="78" t="s">
        <v>222</v>
      </c>
      <c r="C48" s="85">
        <v>0.35699999999999998</v>
      </c>
      <c r="D48" s="85"/>
      <c r="E48" s="67"/>
      <c r="F48" s="67"/>
      <c r="G48" s="76"/>
      <c r="H48" s="85"/>
      <c r="I48" s="85"/>
      <c r="J48" s="67"/>
      <c r="K48" s="67"/>
      <c r="L48" s="76"/>
      <c r="M48" s="86"/>
      <c r="N48" s="85"/>
      <c r="O48" s="67"/>
      <c r="P48" s="67"/>
      <c r="Q48" s="76"/>
    </row>
    <row r="49" spans="1:17" x14ac:dyDescent="0.15">
      <c r="A49" s="82"/>
      <c r="B49" s="78" t="s">
        <v>223</v>
      </c>
      <c r="C49" s="85">
        <v>0.26694882367573819</v>
      </c>
      <c r="D49" s="85"/>
      <c r="E49" s="67"/>
      <c r="F49" s="67"/>
      <c r="G49" s="76"/>
      <c r="H49" s="85"/>
      <c r="I49" s="85"/>
      <c r="J49" s="67"/>
      <c r="K49" s="67"/>
      <c r="L49" s="76"/>
      <c r="M49" s="86"/>
      <c r="N49" s="85"/>
      <c r="O49" s="67"/>
      <c r="P49" s="67"/>
      <c r="Q49" s="76"/>
    </row>
    <row r="50" spans="1:17" x14ac:dyDescent="0.15">
      <c r="A50" s="82"/>
      <c r="B50" s="78" t="s">
        <v>224</v>
      </c>
      <c r="C50" s="85">
        <v>0.253</v>
      </c>
      <c r="D50" s="85">
        <v>0.32118080449647918</v>
      </c>
      <c r="E50" s="67"/>
      <c r="F50" s="67"/>
      <c r="G50" s="76"/>
      <c r="H50" s="85">
        <f>H64/H35</f>
        <v>0.32675148600591564</v>
      </c>
      <c r="I50" s="85"/>
      <c r="J50" s="67"/>
      <c r="K50" s="67"/>
      <c r="L50" s="76"/>
      <c r="M50" s="86">
        <f>M64/M35</f>
        <v>0.21650640287025846</v>
      </c>
      <c r="N50" s="85"/>
      <c r="O50" s="67"/>
      <c r="P50" s="67"/>
      <c r="Q50" s="76"/>
    </row>
    <row r="51" spans="1:17" x14ac:dyDescent="0.15">
      <c r="A51" s="82"/>
      <c r="B51" s="78" t="s">
        <v>232</v>
      </c>
      <c r="C51" s="85">
        <f>C65/C36</f>
        <v>0.14640814904452942</v>
      </c>
      <c r="D51" s="85">
        <v>0.44962068804754834</v>
      </c>
      <c r="E51" s="67"/>
      <c r="F51" s="67"/>
      <c r="G51" s="76"/>
      <c r="H51" s="85">
        <f>H65/H36</f>
        <v>7.738465142339078E-2</v>
      </c>
      <c r="I51" s="85">
        <v>0.88513447366659426</v>
      </c>
      <c r="J51" s="67"/>
      <c r="K51" s="67"/>
      <c r="L51" s="76"/>
      <c r="M51" s="86">
        <f>M65/M36</f>
        <v>0.1782073958773486</v>
      </c>
      <c r="N51" s="85">
        <v>0.37529302831296601</v>
      </c>
      <c r="O51" s="67"/>
      <c r="P51" s="67"/>
      <c r="Q51" s="76"/>
    </row>
    <row r="52" spans="1:17" x14ac:dyDescent="0.15">
      <c r="A52" s="82"/>
      <c r="B52" s="78" t="s">
        <v>252</v>
      </c>
      <c r="C52" s="85">
        <f>C66/C37</f>
        <v>0.10055092905571979</v>
      </c>
      <c r="D52" s="85">
        <v>0.1874280742721845</v>
      </c>
      <c r="E52" s="67"/>
      <c r="F52" s="67"/>
      <c r="G52" s="76"/>
      <c r="H52" s="85">
        <f>H66/H37</f>
        <v>0.12103536410769537</v>
      </c>
      <c r="I52" s="85">
        <v>0.27378475763609683</v>
      </c>
      <c r="J52" s="67"/>
      <c r="K52" s="67"/>
      <c r="L52" s="76"/>
      <c r="M52" s="85">
        <f>M66/M37</f>
        <v>8.4188238926827141E-2</v>
      </c>
      <c r="N52" s="85">
        <v>0.1771015411269414</v>
      </c>
      <c r="O52" s="67"/>
      <c r="P52" s="67"/>
      <c r="Q52" s="76"/>
    </row>
    <row r="53" spans="1:17" x14ac:dyDescent="0.15">
      <c r="A53" s="82"/>
      <c r="B53" s="78" t="s">
        <v>255</v>
      </c>
      <c r="C53" s="85">
        <v>0.1660721367940316</v>
      </c>
      <c r="D53" s="85">
        <v>0.27291792589957592</v>
      </c>
      <c r="E53" s="85"/>
      <c r="F53" s="67"/>
      <c r="G53" s="76"/>
      <c r="H53" s="85">
        <v>0.25142900688545528</v>
      </c>
      <c r="I53" s="85">
        <v>0.69116667251856578</v>
      </c>
      <c r="J53" s="67"/>
      <c r="K53" s="67"/>
      <c r="L53" s="76"/>
      <c r="M53" s="85">
        <v>9.5216932600951765E-2</v>
      </c>
      <c r="N53" s="85">
        <v>0.18247246272824771</v>
      </c>
      <c r="O53" s="67"/>
      <c r="P53" s="67"/>
      <c r="Q53" s="76"/>
    </row>
    <row r="54" spans="1:17" x14ac:dyDescent="0.15">
      <c r="A54" s="82"/>
      <c r="B54" s="78" t="s">
        <v>271</v>
      </c>
      <c r="C54" s="85">
        <v>0.29425638108155472</v>
      </c>
      <c r="D54" s="85">
        <v>0.33706100884230777</v>
      </c>
      <c r="E54" s="135"/>
      <c r="F54" s="67"/>
      <c r="G54" s="76"/>
      <c r="H54" s="115">
        <v>0.44182564339446129</v>
      </c>
      <c r="I54" s="115">
        <v>0.80160113335003813</v>
      </c>
      <c r="J54" s="67"/>
      <c r="K54" s="67"/>
      <c r="L54" s="76"/>
      <c r="M54" s="115">
        <v>0.16217973638181443</v>
      </c>
      <c r="N54" s="115">
        <v>0.26563159684386251</v>
      </c>
      <c r="O54" s="67"/>
      <c r="P54" s="67"/>
      <c r="Q54" s="76"/>
    </row>
    <row r="55" spans="1:17" x14ac:dyDescent="0.15">
      <c r="A55" s="82"/>
      <c r="B55" s="78" t="s">
        <v>318</v>
      </c>
      <c r="C55" s="85">
        <v>0.15714445773470725</v>
      </c>
      <c r="D55" s="85">
        <v>0.13707866532671184</v>
      </c>
      <c r="E55" s="67"/>
      <c r="F55" s="67"/>
      <c r="G55" s="76"/>
      <c r="H55" s="85">
        <v>0.22792913151992766</v>
      </c>
      <c r="I55" s="85">
        <v>0.51624128341073805</v>
      </c>
      <c r="J55" s="67"/>
      <c r="K55" s="67"/>
      <c r="L55" s="76"/>
      <c r="M55" s="85">
        <v>0.1109679274276032</v>
      </c>
      <c r="N55" s="85">
        <v>0.12141174406065346</v>
      </c>
      <c r="O55" s="67"/>
      <c r="P55" s="67"/>
      <c r="Q55" s="76"/>
    </row>
    <row r="56" spans="1:17" x14ac:dyDescent="0.15">
      <c r="A56" s="82"/>
      <c r="B56" s="78" t="s">
        <v>376</v>
      </c>
      <c r="C56" s="85">
        <v>8.788128592422681E-2</v>
      </c>
      <c r="D56" s="85">
        <v>0.25912609670390957</v>
      </c>
      <c r="E56" s="67"/>
      <c r="F56" s="67"/>
      <c r="G56" s="76"/>
      <c r="H56" s="115">
        <v>8.0813488480307699E-2</v>
      </c>
      <c r="I56" s="115">
        <v>0.24263572547873435</v>
      </c>
      <c r="J56" s="67"/>
      <c r="K56" s="67"/>
      <c r="L56" s="76"/>
      <c r="M56" s="115">
        <v>9.1862185938779248E-2</v>
      </c>
      <c r="N56" s="115">
        <v>0.25962232604596797</v>
      </c>
      <c r="O56" s="67"/>
      <c r="P56" s="67"/>
      <c r="Q56" s="76"/>
    </row>
    <row r="57" spans="1:17" x14ac:dyDescent="0.15">
      <c r="A57" s="82"/>
      <c r="B57" s="78" t="s">
        <v>314</v>
      </c>
      <c r="C57" s="85">
        <v>0.13076077580579623</v>
      </c>
      <c r="D57" s="85">
        <v>0.23460788739649471</v>
      </c>
      <c r="E57" s="67"/>
      <c r="F57" s="67"/>
      <c r="G57" s="76"/>
      <c r="H57" s="115">
        <v>0.14024564419486499</v>
      </c>
      <c r="I57" s="115">
        <v>0.23499607707040657</v>
      </c>
      <c r="J57" s="67"/>
      <c r="K57" s="67"/>
      <c r="L57" s="76"/>
      <c r="M57" s="115">
        <v>0.12556658553393074</v>
      </c>
      <c r="N57" s="115">
        <v>0.2345914299639793</v>
      </c>
      <c r="O57" s="67"/>
      <c r="P57" s="67"/>
      <c r="Q57" s="76"/>
    </row>
    <row r="58" spans="1:17" x14ac:dyDescent="0.15">
      <c r="A58" s="82"/>
      <c r="B58" s="78" t="s">
        <v>315</v>
      </c>
      <c r="C58" s="85">
        <f>C72/C43</f>
        <v>0.1858106129501646</v>
      </c>
      <c r="D58" s="85">
        <f t="shared" ref="C58:D60" si="25">D72/D43</f>
        <v>0.15914276107398306</v>
      </c>
      <c r="E58" s="67"/>
      <c r="F58" s="67"/>
      <c r="G58" s="76"/>
      <c r="H58" s="105">
        <v>0.25</v>
      </c>
      <c r="I58" s="106">
        <v>0.3</v>
      </c>
      <c r="J58" s="67"/>
      <c r="K58" s="67"/>
      <c r="L58" s="76"/>
      <c r="M58" s="105">
        <v>0.15</v>
      </c>
      <c r="N58" s="106">
        <v>0.15</v>
      </c>
      <c r="O58" s="67"/>
      <c r="P58" s="67"/>
      <c r="Q58" s="76"/>
    </row>
    <row r="59" spans="1:17" x14ac:dyDescent="0.15">
      <c r="A59" s="82"/>
      <c r="B59" s="78" t="s">
        <v>405</v>
      </c>
      <c r="C59" s="85">
        <f t="shared" si="25"/>
        <v>0.18578686133841826</v>
      </c>
      <c r="D59" s="85">
        <f t="shared" si="25"/>
        <v>0.15870753711712407</v>
      </c>
      <c r="E59" s="67"/>
      <c r="F59" s="67"/>
      <c r="G59" s="76"/>
      <c r="H59" s="105">
        <v>0.25</v>
      </c>
      <c r="I59" s="106">
        <v>0.3</v>
      </c>
      <c r="J59" s="67"/>
      <c r="K59" s="67"/>
      <c r="L59" s="76"/>
      <c r="M59" s="105">
        <v>0.15</v>
      </c>
      <c r="N59" s="106">
        <v>0.15</v>
      </c>
      <c r="O59" s="67"/>
      <c r="P59" s="67"/>
      <c r="Q59" s="76"/>
    </row>
    <row r="60" spans="1:17" x14ac:dyDescent="0.15">
      <c r="A60" s="82"/>
      <c r="B60" s="78" t="s">
        <v>406</v>
      </c>
      <c r="C60" s="85">
        <f t="shared" si="25"/>
        <v>0.18578235994586489</v>
      </c>
      <c r="D60" s="85">
        <f t="shared" si="25"/>
        <v>0.15765220770704552</v>
      </c>
      <c r="E60" s="67"/>
      <c r="F60" s="67"/>
      <c r="G60" s="76"/>
      <c r="H60" s="105">
        <v>0.25</v>
      </c>
      <c r="I60" s="106">
        <v>0.3</v>
      </c>
      <c r="J60" s="67"/>
      <c r="K60" s="67"/>
      <c r="L60" s="76"/>
      <c r="M60" s="105">
        <v>0.15</v>
      </c>
      <c r="N60" s="106">
        <v>0.15</v>
      </c>
      <c r="O60" s="67"/>
      <c r="P60" s="67"/>
      <c r="Q60" s="76"/>
    </row>
    <row r="61" spans="1:17" x14ac:dyDescent="0.15">
      <c r="A61" s="74" t="s">
        <v>226</v>
      </c>
      <c r="B61" s="78"/>
      <c r="C61" s="67"/>
      <c r="D61" s="67"/>
      <c r="E61" s="67"/>
      <c r="F61" s="67"/>
      <c r="G61" s="76"/>
      <c r="H61" s="67"/>
      <c r="I61" s="67"/>
      <c r="J61" s="67"/>
      <c r="K61" s="67"/>
      <c r="L61" s="76"/>
      <c r="M61" s="77"/>
      <c r="N61" s="67"/>
      <c r="O61" s="67"/>
      <c r="P61" s="67"/>
      <c r="Q61" s="76"/>
    </row>
    <row r="62" spans="1:17" hidden="1" x14ac:dyDescent="0.15">
      <c r="A62" s="74"/>
      <c r="B62" s="78" t="s">
        <v>135</v>
      </c>
      <c r="C62" s="67"/>
      <c r="D62" s="67"/>
      <c r="E62" s="67"/>
      <c r="F62" s="67"/>
      <c r="G62" s="76"/>
      <c r="H62" s="67"/>
      <c r="I62" s="67"/>
      <c r="J62" s="67"/>
      <c r="K62" s="67"/>
      <c r="L62" s="76"/>
      <c r="M62" s="77"/>
      <c r="N62" s="67"/>
      <c r="O62" s="67"/>
      <c r="P62" s="67"/>
      <c r="Q62" s="76"/>
    </row>
    <row r="63" spans="1:17" hidden="1" x14ac:dyDescent="0.15">
      <c r="A63" s="74"/>
      <c r="B63" s="78" t="s">
        <v>136</v>
      </c>
      <c r="C63" s="67"/>
      <c r="D63" s="67"/>
      <c r="E63" s="67"/>
      <c r="F63" s="67"/>
      <c r="G63" s="76"/>
      <c r="H63" s="67"/>
      <c r="I63" s="67"/>
      <c r="J63" s="67"/>
      <c r="K63" s="67"/>
      <c r="L63" s="76"/>
      <c r="M63" s="77"/>
      <c r="N63" s="67"/>
      <c r="O63" s="67"/>
      <c r="P63" s="67"/>
      <c r="Q63" s="76"/>
    </row>
    <row r="64" spans="1:17" x14ac:dyDescent="0.15">
      <c r="A64" s="74"/>
      <c r="B64" s="78" t="s">
        <v>137</v>
      </c>
      <c r="C64" s="83">
        <v>106683846</v>
      </c>
      <c r="D64" s="83">
        <v>35692985</v>
      </c>
      <c r="E64" s="83">
        <v>0</v>
      </c>
      <c r="F64" s="79">
        <f t="shared" ref="F64:F69" si="26">C64-D64-E64</f>
        <v>70990861</v>
      </c>
      <c r="G64" s="80">
        <f t="shared" ref="G64:G72" si="27">ROUND(D64/C64,3)</f>
        <v>0.33500000000000002</v>
      </c>
      <c r="H64" s="83">
        <v>45945012</v>
      </c>
      <c r="I64" s="83">
        <v>8184687.1200000001</v>
      </c>
      <c r="J64" s="83">
        <v>0</v>
      </c>
      <c r="K64" s="79">
        <f>H64-I64-J64</f>
        <v>37760324.880000003</v>
      </c>
      <c r="L64" s="136">
        <f t="shared" ref="L64:L72" si="28">ROUND(I64/H64,3)</f>
        <v>0.17799999999999999</v>
      </c>
      <c r="M64" s="84">
        <v>60738834</v>
      </c>
      <c r="N64" s="83">
        <v>26322238.619999997</v>
      </c>
      <c r="O64" s="83">
        <v>0</v>
      </c>
      <c r="P64" s="79">
        <f>M64-N64-O64</f>
        <v>34416595.380000003</v>
      </c>
      <c r="Q64" s="136">
        <f t="shared" ref="Q64:Q72" si="29">ROUND(N64/M64,3)</f>
        <v>0.433</v>
      </c>
    </row>
    <row r="65" spans="1:17" x14ac:dyDescent="0.15">
      <c r="A65" s="82"/>
      <c r="B65" s="78" t="s">
        <v>138</v>
      </c>
      <c r="C65" s="83">
        <v>51833613</v>
      </c>
      <c r="D65" s="83">
        <v>20049585</v>
      </c>
      <c r="E65" s="83">
        <v>90182</v>
      </c>
      <c r="F65" s="79">
        <f t="shared" si="26"/>
        <v>31693846</v>
      </c>
      <c r="G65" s="80">
        <f t="shared" si="27"/>
        <v>0.38700000000000001</v>
      </c>
      <c r="H65" s="83">
        <v>8640908</v>
      </c>
      <c r="I65" s="83">
        <v>2309689</v>
      </c>
      <c r="J65" s="83">
        <v>0</v>
      </c>
      <c r="K65" s="79">
        <f>H65-I65-J65</f>
        <v>6331219</v>
      </c>
      <c r="L65" s="136">
        <f t="shared" si="28"/>
        <v>0.26700000000000002</v>
      </c>
      <c r="M65" s="84">
        <v>43192705</v>
      </c>
      <c r="N65" s="83">
        <v>17739896</v>
      </c>
      <c r="O65" s="83">
        <v>90182</v>
      </c>
      <c r="P65" s="79">
        <f>M65-N65-O65</f>
        <v>25362627</v>
      </c>
      <c r="Q65" s="136">
        <f t="shared" si="29"/>
        <v>0.41099999999999998</v>
      </c>
    </row>
    <row r="66" spans="1:17" x14ac:dyDescent="0.15">
      <c r="A66" s="82"/>
      <c r="B66" s="78" t="s">
        <v>139</v>
      </c>
      <c r="C66" s="83">
        <v>80604594</v>
      </c>
      <c r="D66" s="83">
        <v>17712979</v>
      </c>
      <c r="E66" s="83">
        <v>640526</v>
      </c>
      <c r="F66" s="79">
        <f t="shared" si="26"/>
        <v>62251089</v>
      </c>
      <c r="G66" s="80">
        <f t="shared" si="27"/>
        <v>0.22</v>
      </c>
      <c r="H66" s="83">
        <v>43086090</v>
      </c>
      <c r="I66" s="83">
        <v>2763565</v>
      </c>
      <c r="J66" s="83">
        <v>36430</v>
      </c>
      <c r="K66" s="79">
        <f>H66-I66-J66</f>
        <v>40286095</v>
      </c>
      <c r="L66" s="136">
        <f t="shared" si="28"/>
        <v>6.4000000000000001E-2</v>
      </c>
      <c r="M66" s="83">
        <v>37518504</v>
      </c>
      <c r="N66" s="83">
        <v>14949414</v>
      </c>
      <c r="O66" s="83">
        <v>604096</v>
      </c>
      <c r="P66" s="79">
        <f>M66-N66-O66</f>
        <v>21964994</v>
      </c>
      <c r="Q66" s="136">
        <f t="shared" si="29"/>
        <v>0.39800000000000002</v>
      </c>
    </row>
    <row r="67" spans="1:17" x14ac:dyDescent="0.15">
      <c r="A67" s="82"/>
      <c r="B67" s="78" t="s">
        <v>164</v>
      </c>
      <c r="C67" s="83">
        <f t="shared" ref="C67:E72" si="30">H67+M67</f>
        <v>132846937</v>
      </c>
      <c r="D67" s="83">
        <f t="shared" si="30"/>
        <v>21727531</v>
      </c>
      <c r="E67" s="83">
        <f t="shared" si="30"/>
        <v>17013</v>
      </c>
      <c r="F67" s="79">
        <f t="shared" si="26"/>
        <v>111102393</v>
      </c>
      <c r="G67" s="80">
        <f t="shared" si="27"/>
        <v>0.16400000000000001</v>
      </c>
      <c r="H67" s="83">
        <v>91227822</v>
      </c>
      <c r="I67" s="83">
        <v>9783429</v>
      </c>
      <c r="J67" s="83">
        <v>0</v>
      </c>
      <c r="K67" s="79">
        <f>H67-I67-J67</f>
        <v>81444393</v>
      </c>
      <c r="L67" s="136">
        <f t="shared" si="28"/>
        <v>0.107</v>
      </c>
      <c r="M67" s="83">
        <v>41619115</v>
      </c>
      <c r="N67" s="83">
        <v>11944102</v>
      </c>
      <c r="O67" s="83">
        <v>17013</v>
      </c>
      <c r="P67" s="79">
        <f>M67-N67-O67</f>
        <v>29658000</v>
      </c>
      <c r="Q67" s="136">
        <f t="shared" si="29"/>
        <v>0.28699999999999998</v>
      </c>
    </row>
    <row r="68" spans="1:17" x14ac:dyDescent="0.15">
      <c r="A68" s="82"/>
      <c r="B68" s="78" t="s">
        <v>165</v>
      </c>
      <c r="C68" s="83">
        <f t="shared" si="30"/>
        <v>249443034.99999994</v>
      </c>
      <c r="D68" s="83">
        <f t="shared" si="30"/>
        <v>19001846.610000022</v>
      </c>
      <c r="E68" s="83">
        <f t="shared" si="30"/>
        <v>327949.06999999116</v>
      </c>
      <c r="F68" s="79">
        <f t="shared" si="26"/>
        <v>230113239.31999993</v>
      </c>
      <c r="G68" s="80">
        <f t="shared" si="27"/>
        <v>7.5999999999999998E-2</v>
      </c>
      <c r="H68" s="83">
        <v>176581063</v>
      </c>
      <c r="I68" s="83">
        <v>6022580.0800000001</v>
      </c>
      <c r="J68" s="83">
        <v>125994.05</v>
      </c>
      <c r="K68" s="79">
        <f>H68-I68-J68</f>
        <v>170432488.86999997</v>
      </c>
      <c r="L68" s="136">
        <f t="shared" si="28"/>
        <v>3.4000000000000002E-2</v>
      </c>
      <c r="M68" s="84">
        <v>72861971.99999994</v>
      </c>
      <c r="N68" s="83">
        <v>12979266.530000024</v>
      </c>
      <c r="O68" s="83">
        <v>201955.01999999117</v>
      </c>
      <c r="P68" s="79">
        <f>M68-N68-O68</f>
        <v>59680750.449999928</v>
      </c>
      <c r="Q68" s="136">
        <f t="shared" si="29"/>
        <v>0.17799999999999999</v>
      </c>
    </row>
    <row r="69" spans="1:17" x14ac:dyDescent="0.15">
      <c r="A69" s="82"/>
      <c r="B69" s="78" t="s">
        <v>249</v>
      </c>
      <c r="C69" s="83">
        <f t="shared" si="30"/>
        <v>116469711</v>
      </c>
      <c r="D69" s="83">
        <f t="shared" si="30"/>
        <v>4538889</v>
      </c>
      <c r="E69" s="83">
        <f t="shared" si="30"/>
        <v>143633.36999999435</v>
      </c>
      <c r="F69" s="79">
        <f t="shared" si="26"/>
        <v>111787188.63000001</v>
      </c>
      <c r="G69" s="80">
        <f t="shared" si="27"/>
        <v>3.9E-2</v>
      </c>
      <c r="H69" s="83">
        <v>66694993</v>
      </c>
      <c r="I69" s="83">
        <v>678276</v>
      </c>
      <c r="J69" s="83">
        <v>25626.2</v>
      </c>
      <c r="K69" s="79">
        <v>65991090.799999952</v>
      </c>
      <c r="L69" s="136">
        <f t="shared" si="28"/>
        <v>0.01</v>
      </c>
      <c r="M69" s="84">
        <v>49774718</v>
      </c>
      <c r="N69" s="83">
        <v>3860613</v>
      </c>
      <c r="O69" s="83">
        <v>118007.16999999434</v>
      </c>
      <c r="P69" s="79">
        <v>45796097.830000013</v>
      </c>
      <c r="Q69" s="136">
        <f t="shared" si="29"/>
        <v>7.8E-2</v>
      </c>
    </row>
    <row r="70" spans="1:17" x14ac:dyDescent="0.15">
      <c r="A70" s="82"/>
      <c r="B70" s="78" t="s">
        <v>250</v>
      </c>
      <c r="C70" s="83">
        <f>H70+M70</f>
        <v>59021197.999999881</v>
      </c>
      <c r="D70" s="83">
        <f t="shared" si="30"/>
        <v>7375716.7599999988</v>
      </c>
      <c r="E70" s="83">
        <f>J70+O70</f>
        <v>316715.2</v>
      </c>
      <c r="F70" s="79">
        <f>C70-D70-E70</f>
        <v>51328766.03999988</v>
      </c>
      <c r="G70" s="80">
        <f t="shared" si="27"/>
        <v>0.125</v>
      </c>
      <c r="H70" s="83">
        <v>19555352.999999881</v>
      </c>
      <c r="I70" s="83">
        <v>201754.75999999885</v>
      </c>
      <c r="J70" s="83">
        <v>22957.200000000001</v>
      </c>
      <c r="K70" s="79">
        <f>H70-I70-J70</f>
        <v>19330641.039999884</v>
      </c>
      <c r="L70" s="136">
        <f t="shared" si="28"/>
        <v>0.01</v>
      </c>
      <c r="M70" s="84">
        <v>39465845</v>
      </c>
      <c r="N70" s="83">
        <v>7173962</v>
      </c>
      <c r="O70" s="83">
        <v>293758</v>
      </c>
      <c r="P70" s="79">
        <f>M70-N70-O70</f>
        <v>31998125</v>
      </c>
      <c r="Q70" s="136">
        <f t="shared" si="29"/>
        <v>0.182</v>
      </c>
    </row>
    <row r="71" spans="1:17" x14ac:dyDescent="0.15">
      <c r="A71" s="82"/>
      <c r="B71" s="78" t="s">
        <v>300</v>
      </c>
      <c r="C71" s="83">
        <f t="shared" si="30"/>
        <v>87223757</v>
      </c>
      <c r="D71" s="83">
        <f t="shared" si="30"/>
        <v>6183188</v>
      </c>
      <c r="E71" s="83">
        <f t="shared" si="30"/>
        <v>20688.199999999953</v>
      </c>
      <c r="F71" s="79">
        <f>C71-D71-E71</f>
        <v>81019880.799999997</v>
      </c>
      <c r="G71" s="80">
        <f t="shared" si="27"/>
        <v>7.0999999999999994E-2</v>
      </c>
      <c r="H71" s="88">
        <v>33102922</v>
      </c>
      <c r="I71" s="88">
        <v>251893</v>
      </c>
      <c r="J71" s="88">
        <v>0.19999999995343387</v>
      </c>
      <c r="K71" s="88">
        <f>K69-K70</f>
        <v>46660449.760000065</v>
      </c>
      <c r="L71" s="80">
        <f>ROUND(I71/H71,3)</f>
        <v>8.0000000000000002E-3</v>
      </c>
      <c r="M71" s="88">
        <v>54120835</v>
      </c>
      <c r="N71" s="88">
        <v>5931295</v>
      </c>
      <c r="O71" s="88">
        <v>20688</v>
      </c>
      <c r="P71" s="88">
        <f>P69-P70</f>
        <v>13797972.830000013</v>
      </c>
      <c r="Q71" s="80">
        <f>ROUND(N71/M71,3)</f>
        <v>0.11</v>
      </c>
    </row>
    <row r="72" spans="1:17" x14ac:dyDescent="0.15">
      <c r="A72" s="82"/>
      <c r="B72" s="78" t="s">
        <v>315</v>
      </c>
      <c r="C72" s="83">
        <f t="shared" si="30"/>
        <v>122638000</v>
      </c>
      <c r="D72" s="83">
        <f t="shared" si="30"/>
        <v>4210000</v>
      </c>
      <c r="E72" s="83">
        <f t="shared" si="30"/>
        <v>143633.36999999435</v>
      </c>
      <c r="F72" s="79">
        <f>C72-D72-E72</f>
        <v>118284366.63000001</v>
      </c>
      <c r="G72" s="80">
        <f t="shared" si="27"/>
        <v>3.4000000000000002E-2</v>
      </c>
      <c r="H72" s="83">
        <f t="shared" ref="H72:I74" si="31">ROUNDUP(H43*H58,-3)</f>
        <v>59087000</v>
      </c>
      <c r="I72" s="83">
        <f t="shared" si="31"/>
        <v>482000</v>
      </c>
      <c r="J72" s="83">
        <v>25626.2</v>
      </c>
      <c r="K72" s="79">
        <f>H72-I72-J72</f>
        <v>58579373.799999997</v>
      </c>
      <c r="L72" s="136">
        <f t="shared" si="28"/>
        <v>8.0000000000000002E-3</v>
      </c>
      <c r="M72" s="84">
        <f t="shared" ref="M72:N74" si="32">ROUNDUP(M43*M58,-3)</f>
        <v>63551000</v>
      </c>
      <c r="N72" s="83">
        <f t="shared" si="32"/>
        <v>3728000</v>
      </c>
      <c r="O72" s="83">
        <v>118007.16999999434</v>
      </c>
      <c r="P72" s="79">
        <f>M72-N72-O72</f>
        <v>59704992.830000006</v>
      </c>
      <c r="Q72" s="136">
        <f t="shared" si="29"/>
        <v>5.8999999999999997E-2</v>
      </c>
    </row>
    <row r="73" spans="1:17" x14ac:dyDescent="0.15">
      <c r="A73" s="82"/>
      <c r="B73" s="78" t="s">
        <v>388</v>
      </c>
      <c r="C73" s="83">
        <f t="shared" ref="C73:E74" si="33">H73+M73</f>
        <v>120908000</v>
      </c>
      <c r="D73" s="83">
        <f t="shared" si="33"/>
        <v>3960000</v>
      </c>
      <c r="E73" s="83">
        <f t="shared" si="33"/>
        <v>143633.36999999435</v>
      </c>
      <c r="F73" s="79">
        <f>C73-D73-E73</f>
        <v>116804366.63000001</v>
      </c>
      <c r="G73" s="80">
        <f>ROUND(D73/C73,3)</f>
        <v>3.3000000000000002E-2</v>
      </c>
      <c r="H73" s="83">
        <f t="shared" si="31"/>
        <v>58221000</v>
      </c>
      <c r="I73" s="83">
        <f t="shared" si="31"/>
        <v>433000</v>
      </c>
      <c r="J73" s="83">
        <v>25626.2</v>
      </c>
      <c r="K73" s="79">
        <f>H73-I73-J73</f>
        <v>57762373.799999997</v>
      </c>
      <c r="L73" s="136">
        <f>ROUND(I73/H73,3)</f>
        <v>7.0000000000000001E-3</v>
      </c>
      <c r="M73" s="84">
        <f t="shared" si="32"/>
        <v>62687000</v>
      </c>
      <c r="N73" s="83">
        <f t="shared" si="32"/>
        <v>3527000</v>
      </c>
      <c r="O73" s="83">
        <v>118007.16999999434</v>
      </c>
      <c r="P73" s="79">
        <f>M73-N73-O73</f>
        <v>59041992.830000006</v>
      </c>
      <c r="Q73" s="136">
        <f>ROUND(N73/M73,3)</f>
        <v>5.6000000000000001E-2</v>
      </c>
    </row>
    <row r="74" spans="1:17" x14ac:dyDescent="0.15">
      <c r="A74" s="82"/>
      <c r="B74" s="78" t="s">
        <v>389</v>
      </c>
      <c r="C74" s="83">
        <f t="shared" si="33"/>
        <v>119902000</v>
      </c>
      <c r="D74" s="83">
        <f t="shared" si="33"/>
        <v>3612000</v>
      </c>
      <c r="E74" s="83">
        <f t="shared" si="33"/>
        <v>143633.36999999435</v>
      </c>
      <c r="F74" s="79">
        <f>C74-D74-E74</f>
        <v>116146366.63000001</v>
      </c>
      <c r="G74" s="80">
        <f>ROUND(D74/C74,3)</f>
        <v>0.03</v>
      </c>
      <c r="H74" s="83">
        <f t="shared" si="31"/>
        <v>57731000</v>
      </c>
      <c r="I74" s="83">
        <f t="shared" si="31"/>
        <v>350000</v>
      </c>
      <c r="J74" s="83">
        <v>25626.2</v>
      </c>
      <c r="K74" s="79">
        <f>H74-I74-J74</f>
        <v>57355373.799999997</v>
      </c>
      <c r="L74" s="136">
        <f>ROUND(I74/H74,3)</f>
        <v>6.0000000000000001E-3</v>
      </c>
      <c r="M74" s="84">
        <f t="shared" si="32"/>
        <v>62171000</v>
      </c>
      <c r="N74" s="83">
        <f t="shared" si="32"/>
        <v>3262000</v>
      </c>
      <c r="O74" s="83">
        <v>118007.16999999434</v>
      </c>
      <c r="P74" s="79">
        <f>M74-N74-O74</f>
        <v>58790992.830000006</v>
      </c>
      <c r="Q74" s="136">
        <f>ROUND(N74/M74,3)</f>
        <v>5.1999999999999998E-2</v>
      </c>
    </row>
    <row r="75" spans="1:17" x14ac:dyDescent="0.15">
      <c r="A75" s="74" t="s">
        <v>227</v>
      </c>
      <c r="B75" s="78"/>
      <c r="C75" s="67"/>
      <c r="D75" s="67"/>
      <c r="E75" s="67"/>
      <c r="F75" s="67"/>
      <c r="G75" s="76"/>
      <c r="H75" s="67"/>
      <c r="I75" s="67"/>
      <c r="J75" s="67"/>
      <c r="K75" s="67"/>
      <c r="L75" s="76"/>
      <c r="M75" s="77"/>
      <c r="N75" s="67"/>
      <c r="O75" s="67"/>
      <c r="P75" s="67"/>
      <c r="Q75" s="76"/>
    </row>
    <row r="76" spans="1:17" x14ac:dyDescent="0.15">
      <c r="A76" s="82"/>
      <c r="B76" s="78" t="s">
        <v>135</v>
      </c>
      <c r="C76" s="85">
        <v>0.41599999999999998</v>
      </c>
      <c r="D76" s="85"/>
      <c r="E76" s="67"/>
      <c r="F76" s="67"/>
      <c r="G76" s="76"/>
      <c r="H76" s="115"/>
      <c r="I76" s="85"/>
      <c r="J76" s="67"/>
      <c r="K76" s="67"/>
      <c r="L76" s="76"/>
      <c r="M76" s="86"/>
      <c r="N76" s="85"/>
      <c r="O76" s="67"/>
      <c r="P76" s="67"/>
      <c r="Q76" s="76"/>
    </row>
    <row r="77" spans="1:17" x14ac:dyDescent="0.15">
      <c r="A77" s="82"/>
      <c r="B77" s="78" t="s">
        <v>136</v>
      </c>
      <c r="C77" s="85">
        <v>0.81449722476693431</v>
      </c>
      <c r="D77" s="85"/>
      <c r="E77" s="67"/>
      <c r="F77" s="67"/>
      <c r="G77" s="76"/>
      <c r="H77" s="85"/>
      <c r="I77" s="85"/>
      <c r="J77" s="67"/>
      <c r="K77" s="67"/>
      <c r="L77" s="76"/>
      <c r="M77" s="86"/>
      <c r="N77" s="85"/>
      <c r="O77" s="67"/>
      <c r="P77" s="67"/>
      <c r="Q77" s="76"/>
    </row>
    <row r="78" spans="1:17" x14ac:dyDescent="0.15">
      <c r="A78" s="82"/>
      <c r="B78" s="78" t="s">
        <v>137</v>
      </c>
      <c r="C78" s="85">
        <v>0.7032313120769943</v>
      </c>
      <c r="D78" s="87"/>
      <c r="E78" s="67"/>
      <c r="F78" s="67"/>
      <c r="G78" s="76"/>
      <c r="H78" s="85">
        <f>H90/H64</f>
        <v>0.74839268732806075</v>
      </c>
      <c r="I78" s="85"/>
      <c r="J78" s="67"/>
      <c r="K78" s="67"/>
      <c r="L78" s="76"/>
      <c r="M78" s="86">
        <f>M90/M64</f>
        <v>0.64816242603537633</v>
      </c>
      <c r="N78" s="85"/>
      <c r="O78" s="67"/>
      <c r="P78" s="67"/>
      <c r="Q78" s="76"/>
    </row>
    <row r="79" spans="1:17" x14ac:dyDescent="0.15">
      <c r="A79" s="82"/>
      <c r="B79" s="78" t="s">
        <v>138</v>
      </c>
      <c r="C79" s="85">
        <f>C91/C65</f>
        <v>0.36778072946603202</v>
      </c>
      <c r="D79" s="85"/>
      <c r="E79" s="67"/>
      <c r="F79" s="67"/>
      <c r="G79" s="76"/>
      <c r="H79" s="85">
        <f>H91/H65</f>
        <v>0.41044367096606049</v>
      </c>
      <c r="I79" s="85"/>
      <c r="J79" s="67"/>
      <c r="K79" s="67"/>
      <c r="L79" s="76"/>
      <c r="M79" s="86">
        <f>M91/M65</f>
        <v>0.35924580319755384</v>
      </c>
      <c r="N79" s="85"/>
      <c r="O79" s="67"/>
      <c r="P79" s="67"/>
      <c r="Q79" s="76"/>
    </row>
    <row r="80" spans="1:17" x14ac:dyDescent="0.15">
      <c r="A80" s="82"/>
      <c r="B80" s="78" t="s">
        <v>139</v>
      </c>
      <c r="C80" s="85">
        <v>0.82663416181961047</v>
      </c>
      <c r="D80" s="85"/>
      <c r="E80" s="67"/>
      <c r="F80" s="67"/>
      <c r="G80" s="76"/>
      <c r="H80" s="85">
        <v>0.91751108072233989</v>
      </c>
      <c r="I80" s="85"/>
      <c r="J80" s="67"/>
      <c r="K80" s="67"/>
      <c r="L80" s="76"/>
      <c r="M80" s="85">
        <v>0.72227149568650184</v>
      </c>
      <c r="N80" s="85"/>
      <c r="O80" s="67"/>
      <c r="P80" s="67"/>
      <c r="Q80" s="76"/>
    </row>
    <row r="81" spans="1:17" x14ac:dyDescent="0.15">
      <c r="A81" s="82"/>
      <c r="B81" s="78" t="s">
        <v>164</v>
      </c>
      <c r="C81" s="85">
        <v>0.47434760953502453</v>
      </c>
      <c r="D81" s="85"/>
      <c r="E81" s="67"/>
      <c r="F81" s="67"/>
      <c r="G81" s="76"/>
      <c r="H81" s="85">
        <v>0.55948052777145096</v>
      </c>
      <c r="I81" s="85"/>
      <c r="J81" s="67"/>
      <c r="K81" s="67"/>
      <c r="L81" s="76"/>
      <c r="M81" s="85">
        <v>0.28773886710469454</v>
      </c>
      <c r="N81" s="85"/>
      <c r="O81" s="67"/>
      <c r="P81" s="67"/>
      <c r="Q81" s="76"/>
    </row>
    <row r="82" spans="1:17" x14ac:dyDescent="0.15">
      <c r="A82" s="82"/>
      <c r="B82" s="78" t="s">
        <v>165</v>
      </c>
      <c r="C82" s="85">
        <v>0.66853740374029624</v>
      </c>
      <c r="D82" s="85"/>
      <c r="E82" s="67"/>
      <c r="F82" s="67"/>
      <c r="G82" s="76"/>
      <c r="H82" s="85">
        <v>0.76427712409908788</v>
      </c>
      <c r="I82" s="85"/>
      <c r="J82" s="67"/>
      <c r="K82" s="67"/>
      <c r="L82" s="76"/>
      <c r="M82" s="85">
        <v>0.43651209440227567</v>
      </c>
      <c r="N82" s="85"/>
      <c r="O82" s="67"/>
      <c r="P82" s="67"/>
      <c r="Q82" s="76"/>
    </row>
    <row r="83" spans="1:17" x14ac:dyDescent="0.15">
      <c r="A83" s="82"/>
      <c r="B83" s="78" t="s">
        <v>249</v>
      </c>
      <c r="C83" s="115">
        <v>0.61199999999999999</v>
      </c>
      <c r="D83" s="85"/>
      <c r="E83" s="67"/>
      <c r="F83" s="67"/>
      <c r="G83" s="76"/>
      <c r="H83" s="115">
        <v>0.76931283282389729</v>
      </c>
      <c r="I83" s="85"/>
      <c r="J83" s="67"/>
      <c r="K83" s="67"/>
      <c r="L83" s="76"/>
      <c r="M83" s="115">
        <v>0.40168593660197927</v>
      </c>
      <c r="N83" s="85"/>
      <c r="O83" s="67"/>
      <c r="P83" s="67"/>
      <c r="Q83" s="76"/>
    </row>
    <row r="84" spans="1:17" x14ac:dyDescent="0.15">
      <c r="A84" s="82"/>
      <c r="B84" s="78" t="s">
        <v>250</v>
      </c>
      <c r="C84" s="115">
        <f>C96/C70</f>
        <v>0.56437875083457412</v>
      </c>
      <c r="D84" s="85"/>
      <c r="E84" s="67"/>
      <c r="F84" s="67"/>
      <c r="G84" s="76"/>
      <c r="H84" s="115">
        <f>H96/H70</f>
        <v>0.9131928735830086</v>
      </c>
      <c r="I84" s="85"/>
      <c r="J84" s="67"/>
      <c r="K84" s="67"/>
      <c r="L84" s="76"/>
      <c r="M84" s="115">
        <f>M96/M70</f>
        <v>0.39154111612205439</v>
      </c>
      <c r="N84" s="85"/>
      <c r="O84" s="67"/>
      <c r="P84" s="67"/>
      <c r="Q84" s="76"/>
    </row>
    <row r="85" spans="1:17" x14ac:dyDescent="0.15">
      <c r="A85" s="82"/>
      <c r="B85" s="78" t="s">
        <v>300</v>
      </c>
      <c r="C85" s="115">
        <f>C97/C71</f>
        <v>0.26710612797841304</v>
      </c>
      <c r="D85" s="85"/>
      <c r="E85" s="67"/>
      <c r="F85" s="67"/>
      <c r="G85" s="76"/>
      <c r="H85" s="115">
        <v>0.20754681414528905</v>
      </c>
      <c r="I85" s="85"/>
      <c r="J85" s="67"/>
      <c r="K85" s="67"/>
      <c r="L85" s="76"/>
      <c r="M85" s="115">
        <v>0.30351856175168029</v>
      </c>
      <c r="N85" s="85"/>
      <c r="O85" s="67"/>
      <c r="P85" s="67"/>
      <c r="Q85" s="76"/>
    </row>
    <row r="86" spans="1:17" x14ac:dyDescent="0.15">
      <c r="A86" s="82"/>
      <c r="B86" s="78" t="s">
        <v>315</v>
      </c>
      <c r="C86" s="105">
        <f>C98/C72</f>
        <v>0.22591692623819698</v>
      </c>
      <c r="D86" s="85"/>
      <c r="E86" s="67"/>
      <c r="F86" s="67"/>
      <c r="G86" s="76"/>
      <c r="H86" s="105">
        <v>0.2</v>
      </c>
      <c r="I86" s="85"/>
      <c r="J86" s="67"/>
      <c r="K86" s="67"/>
      <c r="L86" s="76"/>
      <c r="M86" s="105">
        <v>0.25</v>
      </c>
      <c r="N86" s="85"/>
      <c r="O86" s="67"/>
      <c r="P86" s="67"/>
      <c r="Q86" s="76"/>
    </row>
    <row r="87" spans="1:17" x14ac:dyDescent="0.15">
      <c r="A87" s="82"/>
      <c r="B87" s="78" t="s">
        <v>405</v>
      </c>
      <c r="C87" s="105">
        <f>C99/C73</f>
        <v>0.22593211367320606</v>
      </c>
      <c r="D87" s="85"/>
      <c r="E87" s="67"/>
      <c r="F87" s="67"/>
      <c r="G87" s="76"/>
      <c r="H87" s="105">
        <v>0.2</v>
      </c>
      <c r="I87" s="85"/>
      <c r="J87" s="67"/>
      <c r="K87" s="67"/>
      <c r="L87" s="76"/>
      <c r="M87" s="105">
        <v>0.25</v>
      </c>
      <c r="N87" s="85"/>
      <c r="O87" s="67"/>
      <c r="P87" s="67"/>
      <c r="Q87" s="76"/>
    </row>
    <row r="88" spans="1:17" x14ac:dyDescent="0.15">
      <c r="A88" s="82"/>
      <c r="B88" s="78" t="s">
        <v>406</v>
      </c>
      <c r="C88" s="105">
        <f>C100/C74</f>
        <v>0.22593451318576838</v>
      </c>
      <c r="D88" s="85"/>
      <c r="E88" s="67"/>
      <c r="F88" s="67"/>
      <c r="G88" s="76"/>
      <c r="H88" s="105">
        <v>0.2</v>
      </c>
      <c r="I88" s="85"/>
      <c r="J88" s="67"/>
      <c r="K88" s="67"/>
      <c r="L88" s="76"/>
      <c r="M88" s="105">
        <v>0.25</v>
      </c>
      <c r="N88" s="85"/>
      <c r="O88" s="67"/>
      <c r="P88" s="67"/>
      <c r="Q88" s="76"/>
    </row>
    <row r="89" spans="1:17" x14ac:dyDescent="0.15">
      <c r="A89" s="74" t="s">
        <v>234</v>
      </c>
      <c r="B89" s="78"/>
      <c r="C89" s="67"/>
      <c r="D89" s="67"/>
      <c r="E89" s="67"/>
      <c r="F89" s="67"/>
      <c r="G89" s="76"/>
      <c r="H89" s="67"/>
      <c r="I89" s="67"/>
      <c r="J89" s="67"/>
      <c r="K89" s="67"/>
      <c r="L89" s="76"/>
      <c r="M89" s="77"/>
      <c r="N89" s="67"/>
      <c r="O89" s="67"/>
      <c r="P89" s="67"/>
      <c r="Q89" s="76"/>
    </row>
    <row r="90" spans="1:17" x14ac:dyDescent="0.15">
      <c r="A90" s="74"/>
      <c r="B90" s="78" t="s">
        <v>137</v>
      </c>
      <c r="C90" s="83">
        <v>73753541</v>
      </c>
      <c r="D90" s="83">
        <v>20826745</v>
      </c>
      <c r="E90" s="83">
        <v>63120</v>
      </c>
      <c r="F90" s="83">
        <v>52863676</v>
      </c>
      <c r="G90" s="80">
        <v>0.28199999999999997</v>
      </c>
      <c r="H90" s="83">
        <v>34384911</v>
      </c>
      <c r="I90" s="83">
        <v>4100694</v>
      </c>
      <c r="J90" s="83">
        <v>49986</v>
      </c>
      <c r="K90" s="79">
        <v>30234231</v>
      </c>
      <c r="L90" s="80">
        <f>ROUND(I90/H90,3)</f>
        <v>0.11899999999999999</v>
      </c>
      <c r="M90" s="84">
        <v>39368630</v>
      </c>
      <c r="N90" s="83">
        <v>16726051</v>
      </c>
      <c r="O90" s="83">
        <v>13134</v>
      </c>
      <c r="P90" s="79">
        <v>22629445</v>
      </c>
      <c r="Q90" s="80">
        <v>0.42499999999999999</v>
      </c>
    </row>
    <row r="91" spans="1:17" x14ac:dyDescent="0.15">
      <c r="A91" s="82"/>
      <c r="B91" s="78" t="s">
        <v>138</v>
      </c>
      <c r="C91" s="83">
        <v>19063404</v>
      </c>
      <c r="D91" s="83">
        <v>7819335</v>
      </c>
      <c r="E91" s="83">
        <v>59032</v>
      </c>
      <c r="F91" s="79">
        <f t="shared" ref="F91:F98" si="34">C91-D91-E91</f>
        <v>11185037</v>
      </c>
      <c r="G91" s="80">
        <f>ROUND(D91/C91,3)</f>
        <v>0.41</v>
      </c>
      <c r="H91" s="83">
        <v>3546606</v>
      </c>
      <c r="I91" s="83">
        <v>518137</v>
      </c>
      <c r="J91" s="83">
        <v>0</v>
      </c>
      <c r="K91" s="79">
        <f>H91-I91-J91</f>
        <v>3028469</v>
      </c>
      <c r="L91" s="80">
        <f>ROUND(I91/H91,3)</f>
        <v>0.14599999999999999</v>
      </c>
      <c r="M91" s="84">
        <v>15516798</v>
      </c>
      <c r="N91" s="83">
        <v>7301198</v>
      </c>
      <c r="O91" s="83">
        <v>59032</v>
      </c>
      <c r="P91" s="79">
        <f>M91-N91-O91</f>
        <v>8156568</v>
      </c>
      <c r="Q91" s="80">
        <f>ROUND(N91/M91,3)</f>
        <v>0.47099999999999997</v>
      </c>
    </row>
    <row r="92" spans="1:17" x14ac:dyDescent="0.15">
      <c r="A92" s="82"/>
      <c r="B92" s="78" t="s">
        <v>139</v>
      </c>
      <c r="C92" s="83">
        <f>H92+M92</f>
        <v>66630511</v>
      </c>
      <c r="D92" s="83">
        <f>I92+N92</f>
        <v>12964843</v>
      </c>
      <c r="E92" s="83">
        <f>J92+O92</f>
        <v>640526</v>
      </c>
      <c r="F92" s="79">
        <f t="shared" si="34"/>
        <v>53025142</v>
      </c>
      <c r="G92" s="80">
        <f>ROUND(D92/C92,3)</f>
        <v>0.19500000000000001</v>
      </c>
      <c r="H92" s="83">
        <v>39531965</v>
      </c>
      <c r="I92" s="83">
        <v>2452661</v>
      </c>
      <c r="J92" s="83">
        <v>36430</v>
      </c>
      <c r="K92" s="79">
        <f>H92-I92-J92</f>
        <v>37042874</v>
      </c>
      <c r="L92" s="80">
        <f>ROUND(I92/H92,3)</f>
        <v>6.2E-2</v>
      </c>
      <c r="M92" s="84">
        <v>27098546</v>
      </c>
      <c r="N92" s="83">
        <v>10512182</v>
      </c>
      <c r="O92" s="83">
        <v>604096</v>
      </c>
      <c r="P92" s="79">
        <f>M92-N92-O92</f>
        <v>15982268</v>
      </c>
      <c r="Q92" s="80">
        <f>Q66</f>
        <v>0.39800000000000002</v>
      </c>
    </row>
    <row r="93" spans="1:17" x14ac:dyDescent="0.15">
      <c r="A93" s="82"/>
      <c r="B93" s="78" t="s">
        <v>164</v>
      </c>
      <c r="C93" s="83">
        <f t="shared" ref="C93:D98" si="35">H93+M93</f>
        <v>63015627</v>
      </c>
      <c r="D93" s="83">
        <f t="shared" si="35"/>
        <v>14070581</v>
      </c>
      <c r="E93" s="83"/>
      <c r="F93" s="79">
        <f>C93-D93-E93</f>
        <v>48945046</v>
      </c>
      <c r="G93" s="80">
        <f>G67</f>
        <v>0.16400000000000001</v>
      </c>
      <c r="H93" s="83">
        <v>51040190</v>
      </c>
      <c r="I93" s="83">
        <v>9099863</v>
      </c>
      <c r="J93" s="83">
        <v>0</v>
      </c>
      <c r="K93" s="79">
        <v>41940327</v>
      </c>
      <c r="L93" s="80">
        <f>ROUND(I93/H93,3)</f>
        <v>0.17799999999999999</v>
      </c>
      <c r="M93" s="84">
        <v>11975437</v>
      </c>
      <c r="N93" s="83">
        <v>4970718</v>
      </c>
      <c r="O93" s="83">
        <v>0</v>
      </c>
      <c r="P93" s="79">
        <v>7004719</v>
      </c>
      <c r="Q93" s="80">
        <f>ROUND(N93/M93,3)</f>
        <v>0.41499999999999998</v>
      </c>
    </row>
    <row r="94" spans="1:17" x14ac:dyDescent="0.15">
      <c r="A94" s="82"/>
      <c r="B94" s="78" t="s">
        <v>165</v>
      </c>
      <c r="C94" s="83">
        <f t="shared" si="35"/>
        <v>166761998.99999994</v>
      </c>
      <c r="D94" s="83">
        <f t="shared" si="35"/>
        <v>14544353.960000023</v>
      </c>
      <c r="E94" s="83"/>
      <c r="F94" s="79">
        <f t="shared" si="34"/>
        <v>152217645.0399999</v>
      </c>
      <c r="G94" s="80">
        <f t="shared" ref="G94:G100" si="36">ROUND(D94/C94,3)</f>
        <v>8.6999999999999994E-2</v>
      </c>
      <c r="H94" s="83">
        <v>134956867</v>
      </c>
      <c r="I94" s="83">
        <v>5805792.4299999997</v>
      </c>
      <c r="J94" s="83">
        <v>125994.05</v>
      </c>
      <c r="K94" s="79">
        <f>H94-I94-J94</f>
        <v>129025080.52</v>
      </c>
      <c r="L94" s="116">
        <f>ROUND(I94/H94,3)</f>
        <v>4.2999999999999997E-2</v>
      </c>
      <c r="M94" s="84">
        <v>31805131.99999994</v>
      </c>
      <c r="N94" s="83">
        <v>8738561.5300000235</v>
      </c>
      <c r="O94" s="83">
        <v>171080.23999999836</v>
      </c>
      <c r="P94" s="79">
        <f>M94-N94-O94</f>
        <v>22895490.229999918</v>
      </c>
      <c r="Q94" s="116">
        <f>ROUND(N94/M94,3)</f>
        <v>0.27500000000000002</v>
      </c>
    </row>
    <row r="95" spans="1:17" x14ac:dyDescent="0.15">
      <c r="A95" s="82"/>
      <c r="B95" s="78" t="s">
        <v>249</v>
      </c>
      <c r="C95" s="83">
        <f t="shared" si="35"/>
        <v>71257559</v>
      </c>
      <c r="D95" s="83">
        <f t="shared" si="35"/>
        <v>2399838</v>
      </c>
      <c r="E95" s="83"/>
      <c r="F95" s="79">
        <f>C95-D95-E95</f>
        <v>68857721</v>
      </c>
      <c r="G95" s="80">
        <f t="shared" si="36"/>
        <v>3.4000000000000002E-2</v>
      </c>
      <c r="H95" s="83">
        <v>51309314</v>
      </c>
      <c r="I95" s="83">
        <v>0</v>
      </c>
      <c r="J95" s="83">
        <v>25626.2</v>
      </c>
      <c r="K95" s="79">
        <v>51283687.800000012</v>
      </c>
      <c r="L95" s="116">
        <v>0</v>
      </c>
      <c r="M95" s="84">
        <v>19948245</v>
      </c>
      <c r="N95" s="83">
        <v>2399838</v>
      </c>
      <c r="O95" s="83">
        <v>118007.16999999434</v>
      </c>
      <c r="P95" s="79">
        <v>17430399.830000013</v>
      </c>
      <c r="Q95" s="116">
        <v>0.12</v>
      </c>
    </row>
    <row r="96" spans="1:17" x14ac:dyDescent="0.15">
      <c r="A96" s="82"/>
      <c r="B96" s="78" t="s">
        <v>250</v>
      </c>
      <c r="C96" s="83">
        <f>H96+M96</f>
        <v>33310310</v>
      </c>
      <c r="D96" s="83">
        <f t="shared" si="35"/>
        <v>2813937.7599999988</v>
      </c>
      <c r="E96" s="88">
        <v>316715.19999999925</v>
      </c>
      <c r="F96" s="79">
        <f t="shared" si="34"/>
        <v>30179657.040000003</v>
      </c>
      <c r="G96" s="80">
        <f t="shared" si="36"/>
        <v>8.4000000000000005E-2</v>
      </c>
      <c r="H96" s="83">
        <v>17857809</v>
      </c>
      <c r="I96" s="83">
        <v>201754.75999999885</v>
      </c>
      <c r="J96" s="83">
        <v>22957.200000000001</v>
      </c>
      <c r="K96" s="79">
        <f>H96-I96-J96</f>
        <v>17633097.040000003</v>
      </c>
      <c r="L96" s="116">
        <f>ROUND(I96/H96,3)</f>
        <v>1.0999999999999999E-2</v>
      </c>
      <c r="M96" s="84">
        <v>15452501</v>
      </c>
      <c r="N96" s="83">
        <v>2612183</v>
      </c>
      <c r="O96" s="83">
        <v>293758</v>
      </c>
      <c r="P96" s="79">
        <f>M96-N96-O96</f>
        <v>12546560</v>
      </c>
      <c r="Q96" s="116">
        <f>ROUND(N96/M96,3)</f>
        <v>0.16900000000000001</v>
      </c>
    </row>
    <row r="97" spans="1:17" x14ac:dyDescent="0.15">
      <c r="A97" s="82"/>
      <c r="B97" s="78" t="s">
        <v>314</v>
      </c>
      <c r="C97" s="83">
        <f t="shared" si="35"/>
        <v>23298000</v>
      </c>
      <c r="D97" s="83">
        <f t="shared" si="35"/>
        <v>1862000</v>
      </c>
      <c r="E97" s="83"/>
      <c r="F97" s="79">
        <f t="shared" si="34"/>
        <v>21436000</v>
      </c>
      <c r="G97" s="80">
        <f t="shared" si="36"/>
        <v>0.08</v>
      </c>
      <c r="H97" s="83">
        <f>ROUNDUP(H71*H85,-3)</f>
        <v>6871000</v>
      </c>
      <c r="I97" s="83">
        <f>ROUNDUP(H97*L97,-3)</f>
        <v>55000</v>
      </c>
      <c r="J97" s="83"/>
      <c r="K97" s="79">
        <f>H97-I97-J97</f>
        <v>6816000</v>
      </c>
      <c r="L97" s="104">
        <f>L71</f>
        <v>8.0000000000000002E-3</v>
      </c>
      <c r="M97" s="84">
        <f>ROUNDUP(M71*M85,-3)</f>
        <v>16427000</v>
      </c>
      <c r="N97" s="83">
        <f>ROUNDUP(M97*Q97,-3)</f>
        <v>1807000</v>
      </c>
      <c r="O97" s="83"/>
      <c r="P97" s="79">
        <f>M97-N97-O97</f>
        <v>14620000</v>
      </c>
      <c r="Q97" s="104">
        <f>Q71</f>
        <v>0.11</v>
      </c>
    </row>
    <row r="98" spans="1:17" x14ac:dyDescent="0.15">
      <c r="A98" s="82"/>
      <c r="B98" s="78" t="s">
        <v>315</v>
      </c>
      <c r="C98" s="83">
        <f t="shared" si="35"/>
        <v>27706000</v>
      </c>
      <c r="D98" s="83">
        <f t="shared" si="35"/>
        <v>1033000</v>
      </c>
      <c r="E98" s="83"/>
      <c r="F98" s="79">
        <f t="shared" si="34"/>
        <v>26673000</v>
      </c>
      <c r="G98" s="80">
        <f t="shared" si="36"/>
        <v>3.6999999999999998E-2</v>
      </c>
      <c r="H98" s="83">
        <f>ROUNDUP(H72*H86,-3)</f>
        <v>11818000</v>
      </c>
      <c r="I98" s="83">
        <f>ROUNDUP(H98*L98,-3)</f>
        <v>95000</v>
      </c>
      <c r="J98" s="83"/>
      <c r="K98" s="79">
        <f>H98-I98-J98</f>
        <v>11723000</v>
      </c>
      <c r="L98" s="104">
        <f>L72</f>
        <v>8.0000000000000002E-3</v>
      </c>
      <c r="M98" s="84">
        <f>ROUNDUP(M72*M86,-3)</f>
        <v>15888000</v>
      </c>
      <c r="N98" s="83">
        <f>ROUNDUP(M98*Q98,-3)</f>
        <v>938000</v>
      </c>
      <c r="O98" s="83"/>
      <c r="P98" s="79">
        <f>M98-N98-O98</f>
        <v>14950000</v>
      </c>
      <c r="Q98" s="104">
        <f>Q72</f>
        <v>5.8999999999999997E-2</v>
      </c>
    </row>
    <row r="99" spans="1:17" x14ac:dyDescent="0.15">
      <c r="A99" s="82"/>
      <c r="B99" s="78" t="s">
        <v>405</v>
      </c>
      <c r="C99" s="83">
        <f>H99+M99</f>
        <v>27317000</v>
      </c>
      <c r="D99" s="83">
        <f>I99+N99</f>
        <v>960000</v>
      </c>
      <c r="E99" s="83"/>
      <c r="F99" s="79">
        <f>C99-D99-E99</f>
        <v>26357000</v>
      </c>
      <c r="G99" s="80">
        <f t="shared" si="36"/>
        <v>3.5000000000000003E-2</v>
      </c>
      <c r="H99" s="83">
        <f>ROUNDUP(H73*H87,-3)</f>
        <v>11645000</v>
      </c>
      <c r="I99" s="83">
        <f>ROUNDUP(H99*L99,-3)</f>
        <v>82000</v>
      </c>
      <c r="J99" s="83"/>
      <c r="K99" s="79">
        <f>H99-I99-J99</f>
        <v>11563000</v>
      </c>
      <c r="L99" s="104">
        <f>L73</f>
        <v>7.0000000000000001E-3</v>
      </c>
      <c r="M99" s="84">
        <f>ROUNDUP(M73*M87,-3)</f>
        <v>15672000</v>
      </c>
      <c r="N99" s="83">
        <f>ROUNDUP(M99*Q99,-3)</f>
        <v>878000</v>
      </c>
      <c r="O99" s="83"/>
      <c r="P99" s="79">
        <f>M99-N99-O99</f>
        <v>14794000</v>
      </c>
      <c r="Q99" s="104">
        <f>Q73</f>
        <v>5.6000000000000001E-2</v>
      </c>
    </row>
    <row r="100" spans="1:17" x14ac:dyDescent="0.15">
      <c r="A100" s="82"/>
      <c r="B100" s="78" t="s">
        <v>406</v>
      </c>
      <c r="C100" s="83">
        <f>H100+M100</f>
        <v>27090000</v>
      </c>
      <c r="D100" s="83">
        <f>I100+N100</f>
        <v>879000</v>
      </c>
      <c r="E100" s="83"/>
      <c r="F100" s="79">
        <f>C100-D100-E100</f>
        <v>26211000</v>
      </c>
      <c r="G100" s="80">
        <f t="shared" si="36"/>
        <v>3.2000000000000001E-2</v>
      </c>
      <c r="H100" s="83">
        <f>ROUNDUP(H74*H88,-3)</f>
        <v>11547000</v>
      </c>
      <c r="I100" s="83">
        <f>ROUNDUP(H100*L100,-3)</f>
        <v>70000</v>
      </c>
      <c r="J100" s="83"/>
      <c r="K100" s="79">
        <f>H100-I100-J100</f>
        <v>11477000</v>
      </c>
      <c r="L100" s="104">
        <f>L74</f>
        <v>6.0000000000000001E-3</v>
      </c>
      <c r="M100" s="84">
        <f>ROUNDUP(M74*M88,-3)</f>
        <v>15543000</v>
      </c>
      <c r="N100" s="83">
        <f>ROUNDUP(M100*Q100,-3)</f>
        <v>809000</v>
      </c>
      <c r="O100" s="83"/>
      <c r="P100" s="79">
        <f>M100-N100-O100</f>
        <v>14734000</v>
      </c>
      <c r="Q100" s="104">
        <f>Q74</f>
        <v>5.1999999999999998E-2</v>
      </c>
    </row>
    <row r="101" spans="1:17" x14ac:dyDescent="0.15">
      <c r="A101" s="74" t="s">
        <v>228</v>
      </c>
      <c r="B101" s="78"/>
      <c r="C101" s="67"/>
      <c r="D101" s="67"/>
      <c r="E101" s="67"/>
      <c r="F101" s="67"/>
      <c r="G101" s="76"/>
      <c r="H101" s="67"/>
      <c r="I101" s="67"/>
      <c r="J101" s="67"/>
      <c r="K101" s="67"/>
      <c r="L101" s="76"/>
      <c r="M101" s="77"/>
      <c r="N101" s="67"/>
      <c r="O101" s="67"/>
      <c r="P101" s="67"/>
      <c r="Q101" s="76"/>
    </row>
    <row r="102" spans="1:17" x14ac:dyDescent="0.15">
      <c r="A102" s="82"/>
      <c r="B102" s="78" t="s">
        <v>165</v>
      </c>
      <c r="C102" s="83">
        <f t="shared" ref="C102:D106" si="37">H102+M102</f>
        <v>0</v>
      </c>
      <c r="D102" s="83">
        <f t="shared" si="37"/>
        <v>0</v>
      </c>
      <c r="E102" s="67"/>
      <c r="F102" s="79">
        <f t="shared" ref="F102:F108" si="38">C102-D102-E102</f>
        <v>0</v>
      </c>
      <c r="G102" s="80">
        <f t="shared" ref="G102:G108" si="39">G68</f>
        <v>7.5999999999999998E-2</v>
      </c>
      <c r="H102" s="83">
        <v>0</v>
      </c>
      <c r="I102" s="83">
        <v>0</v>
      </c>
      <c r="J102" s="67"/>
      <c r="K102" s="79">
        <f t="shared" ref="K102:K108" si="40">H102-I102-J102</f>
        <v>0</v>
      </c>
      <c r="L102" s="80">
        <f t="shared" ref="L102:L108" si="41">L94</f>
        <v>4.2999999999999997E-2</v>
      </c>
      <c r="M102" s="84">
        <v>0</v>
      </c>
      <c r="N102" s="83">
        <v>0</v>
      </c>
      <c r="O102" s="83">
        <v>0</v>
      </c>
      <c r="P102" s="79">
        <f t="shared" ref="P102:P108" si="42">M102-N102-O102</f>
        <v>0</v>
      </c>
      <c r="Q102" s="80">
        <f t="shared" ref="Q102:Q108" si="43">Q94</f>
        <v>0.27500000000000002</v>
      </c>
    </row>
    <row r="103" spans="1:17" x14ac:dyDescent="0.15">
      <c r="A103" s="82"/>
      <c r="B103" s="78" t="s">
        <v>249</v>
      </c>
      <c r="C103" s="83">
        <f t="shared" si="37"/>
        <v>0</v>
      </c>
      <c r="D103" s="83">
        <f t="shared" si="37"/>
        <v>0</v>
      </c>
      <c r="E103" s="67"/>
      <c r="F103" s="79">
        <f t="shared" si="38"/>
        <v>0</v>
      </c>
      <c r="G103" s="80">
        <f t="shared" si="39"/>
        <v>3.9E-2</v>
      </c>
      <c r="H103" s="83">
        <v>0</v>
      </c>
      <c r="I103" s="83">
        <f>I95</f>
        <v>0</v>
      </c>
      <c r="J103" s="83">
        <v>0</v>
      </c>
      <c r="K103" s="79">
        <f t="shared" si="40"/>
        <v>0</v>
      </c>
      <c r="L103" s="80">
        <f t="shared" si="41"/>
        <v>0</v>
      </c>
      <c r="M103" s="84">
        <v>0</v>
      </c>
      <c r="N103" s="83">
        <v>0</v>
      </c>
      <c r="O103" s="83">
        <v>0</v>
      </c>
      <c r="P103" s="79">
        <f t="shared" si="42"/>
        <v>0</v>
      </c>
      <c r="Q103" s="80">
        <f t="shared" si="43"/>
        <v>0.12</v>
      </c>
    </row>
    <row r="104" spans="1:17" x14ac:dyDescent="0.15">
      <c r="A104" s="82"/>
      <c r="B104" s="78" t="s">
        <v>250</v>
      </c>
      <c r="C104" s="83">
        <f t="shared" si="37"/>
        <v>0</v>
      </c>
      <c r="D104" s="83">
        <f t="shared" si="37"/>
        <v>0</v>
      </c>
      <c r="E104" s="67"/>
      <c r="F104" s="79">
        <f t="shared" si="38"/>
        <v>0</v>
      </c>
      <c r="G104" s="80">
        <f t="shared" si="39"/>
        <v>0.125</v>
      </c>
      <c r="H104" s="83">
        <v>0</v>
      </c>
      <c r="I104" s="83">
        <v>0</v>
      </c>
      <c r="J104" s="67"/>
      <c r="K104" s="79">
        <f t="shared" si="40"/>
        <v>0</v>
      </c>
      <c r="L104" s="80">
        <f t="shared" si="41"/>
        <v>1.0999999999999999E-2</v>
      </c>
      <c r="M104" s="84">
        <v>0</v>
      </c>
      <c r="N104" s="83">
        <v>0</v>
      </c>
      <c r="O104" s="67"/>
      <c r="P104" s="79">
        <f t="shared" si="42"/>
        <v>0</v>
      </c>
      <c r="Q104" s="80">
        <f t="shared" si="43"/>
        <v>0.16900000000000001</v>
      </c>
    </row>
    <row r="105" spans="1:17" x14ac:dyDescent="0.15">
      <c r="A105" s="82"/>
      <c r="B105" s="78" t="s">
        <v>314</v>
      </c>
      <c r="C105" s="83">
        <f t="shared" si="37"/>
        <v>23298000</v>
      </c>
      <c r="D105" s="83">
        <f t="shared" si="37"/>
        <v>1862000</v>
      </c>
      <c r="E105" s="67"/>
      <c r="F105" s="79">
        <f t="shared" si="38"/>
        <v>21436000</v>
      </c>
      <c r="G105" s="80">
        <f t="shared" si="39"/>
        <v>7.0999999999999994E-2</v>
      </c>
      <c r="H105" s="83">
        <f t="shared" ref="H105:I108" si="44">H104+H97</f>
        <v>6871000</v>
      </c>
      <c r="I105" s="83">
        <f t="shared" si="44"/>
        <v>55000</v>
      </c>
      <c r="J105" s="67"/>
      <c r="K105" s="79">
        <f t="shared" si="40"/>
        <v>6816000</v>
      </c>
      <c r="L105" s="80">
        <f t="shared" si="41"/>
        <v>8.0000000000000002E-3</v>
      </c>
      <c r="M105" s="84">
        <f t="shared" ref="M105:N108" si="45">M104+M97</f>
        <v>16427000</v>
      </c>
      <c r="N105" s="83">
        <f t="shared" si="45"/>
        <v>1807000</v>
      </c>
      <c r="O105" s="67"/>
      <c r="P105" s="79">
        <f t="shared" si="42"/>
        <v>14620000</v>
      </c>
      <c r="Q105" s="80">
        <f t="shared" si="43"/>
        <v>0.11</v>
      </c>
    </row>
    <row r="106" spans="1:17" x14ac:dyDescent="0.15">
      <c r="A106" s="82"/>
      <c r="B106" s="78" t="s">
        <v>315</v>
      </c>
      <c r="C106" s="83">
        <f t="shared" si="37"/>
        <v>51004000</v>
      </c>
      <c r="D106" s="83">
        <f t="shared" si="37"/>
        <v>2895000</v>
      </c>
      <c r="E106" s="67"/>
      <c r="F106" s="79">
        <f t="shared" si="38"/>
        <v>48109000</v>
      </c>
      <c r="G106" s="80">
        <f t="shared" si="39"/>
        <v>3.4000000000000002E-2</v>
      </c>
      <c r="H106" s="83">
        <f t="shared" si="44"/>
        <v>18689000</v>
      </c>
      <c r="I106" s="83">
        <f t="shared" si="44"/>
        <v>150000</v>
      </c>
      <c r="J106" s="67"/>
      <c r="K106" s="79">
        <f t="shared" si="40"/>
        <v>18539000</v>
      </c>
      <c r="L106" s="80">
        <f t="shared" si="41"/>
        <v>8.0000000000000002E-3</v>
      </c>
      <c r="M106" s="84">
        <f t="shared" si="45"/>
        <v>32315000</v>
      </c>
      <c r="N106" s="83">
        <f t="shared" si="45"/>
        <v>2745000</v>
      </c>
      <c r="O106" s="67"/>
      <c r="P106" s="79">
        <f t="shared" si="42"/>
        <v>29570000</v>
      </c>
      <c r="Q106" s="80">
        <f t="shared" si="43"/>
        <v>5.8999999999999997E-2</v>
      </c>
    </row>
    <row r="107" spans="1:17" x14ac:dyDescent="0.15">
      <c r="A107" s="82"/>
      <c r="B107" s="78" t="s">
        <v>405</v>
      </c>
      <c r="C107" s="83">
        <f>H107+M107</f>
        <v>78321000</v>
      </c>
      <c r="D107" s="83">
        <f>I107+N107</f>
        <v>3855000</v>
      </c>
      <c r="E107" s="67"/>
      <c r="F107" s="79">
        <f t="shared" si="38"/>
        <v>74466000</v>
      </c>
      <c r="G107" s="80">
        <f t="shared" si="39"/>
        <v>3.3000000000000002E-2</v>
      </c>
      <c r="H107" s="83">
        <f t="shared" si="44"/>
        <v>30334000</v>
      </c>
      <c r="I107" s="83">
        <f t="shared" si="44"/>
        <v>232000</v>
      </c>
      <c r="J107" s="67"/>
      <c r="K107" s="79">
        <f t="shared" si="40"/>
        <v>30102000</v>
      </c>
      <c r="L107" s="80">
        <f t="shared" si="41"/>
        <v>7.0000000000000001E-3</v>
      </c>
      <c r="M107" s="84">
        <f t="shared" si="45"/>
        <v>47987000</v>
      </c>
      <c r="N107" s="83">
        <f t="shared" si="45"/>
        <v>3623000</v>
      </c>
      <c r="O107" s="67"/>
      <c r="P107" s="79">
        <f t="shared" si="42"/>
        <v>44364000</v>
      </c>
      <c r="Q107" s="80">
        <f t="shared" si="43"/>
        <v>5.6000000000000001E-2</v>
      </c>
    </row>
    <row r="108" spans="1:17" x14ac:dyDescent="0.15">
      <c r="A108" s="82"/>
      <c r="B108" s="78" t="s">
        <v>406</v>
      </c>
      <c r="C108" s="83">
        <f>H108+M108</f>
        <v>105411000</v>
      </c>
      <c r="D108" s="83">
        <f>I108+N108</f>
        <v>4734000</v>
      </c>
      <c r="E108" s="67"/>
      <c r="F108" s="79">
        <f t="shared" si="38"/>
        <v>100677000</v>
      </c>
      <c r="G108" s="80">
        <f t="shared" si="39"/>
        <v>0.03</v>
      </c>
      <c r="H108" s="83">
        <f t="shared" si="44"/>
        <v>41881000</v>
      </c>
      <c r="I108" s="83">
        <f t="shared" si="44"/>
        <v>302000</v>
      </c>
      <c r="J108" s="67"/>
      <c r="K108" s="79">
        <f t="shared" si="40"/>
        <v>41579000</v>
      </c>
      <c r="L108" s="80">
        <f t="shared" si="41"/>
        <v>6.0000000000000001E-3</v>
      </c>
      <c r="M108" s="84">
        <f t="shared" si="45"/>
        <v>63530000</v>
      </c>
      <c r="N108" s="83">
        <f t="shared" si="45"/>
        <v>4432000</v>
      </c>
      <c r="O108" s="67"/>
      <c r="P108" s="79">
        <f t="shared" si="42"/>
        <v>59098000</v>
      </c>
      <c r="Q108" s="80">
        <f t="shared" si="43"/>
        <v>5.1999999999999998E-2</v>
      </c>
    </row>
    <row r="109" spans="1:17" x14ac:dyDescent="0.15">
      <c r="A109" s="82"/>
      <c r="B109" s="78"/>
      <c r="C109" s="83"/>
      <c r="D109" s="83"/>
      <c r="E109" s="67"/>
      <c r="F109" s="79"/>
      <c r="G109" s="80"/>
      <c r="H109" s="83"/>
      <c r="I109" s="83"/>
      <c r="J109" s="67"/>
      <c r="K109" s="79"/>
      <c r="L109" s="80"/>
      <c r="M109" s="83"/>
      <c r="N109" s="83"/>
      <c r="O109" s="67"/>
      <c r="P109" s="79"/>
      <c r="Q109" s="80"/>
    </row>
    <row r="110" spans="1:17" x14ac:dyDescent="0.15">
      <c r="A110" s="82"/>
      <c r="B110" s="78"/>
      <c r="C110" s="83"/>
      <c r="D110" s="83"/>
      <c r="E110" s="67"/>
      <c r="F110" s="79"/>
      <c r="G110" s="80"/>
      <c r="H110" s="79"/>
      <c r="I110" s="79"/>
      <c r="J110" s="67"/>
      <c r="K110" s="79"/>
      <c r="L110" s="80"/>
      <c r="M110" s="83"/>
      <c r="N110" s="83"/>
      <c r="O110" s="67"/>
      <c r="P110" s="79"/>
      <c r="Q110" s="80"/>
    </row>
    <row r="111" spans="1:17" x14ac:dyDescent="0.15">
      <c r="A111" s="82"/>
      <c r="B111" s="78"/>
      <c r="C111" s="83"/>
      <c r="D111" s="83"/>
      <c r="E111" s="67"/>
      <c r="F111" s="79"/>
      <c r="G111" s="80"/>
      <c r="H111" s="83"/>
      <c r="I111" s="83"/>
      <c r="J111" s="67"/>
      <c r="K111" s="79"/>
      <c r="L111" s="80"/>
      <c r="M111" s="83"/>
      <c r="N111" s="83"/>
      <c r="O111" s="67"/>
      <c r="P111" s="79"/>
      <c r="Q111" s="80"/>
    </row>
    <row r="112" spans="1:17" x14ac:dyDescent="0.15">
      <c r="A112" s="82"/>
      <c r="B112" s="78"/>
      <c r="C112" s="83"/>
      <c r="D112" s="83"/>
      <c r="E112" s="67"/>
      <c r="F112" s="79"/>
      <c r="G112" s="80"/>
      <c r="H112" s="83"/>
      <c r="I112" s="83"/>
      <c r="J112" s="67"/>
      <c r="K112" s="79"/>
      <c r="L112" s="80"/>
      <c r="M112" s="83"/>
      <c r="N112" s="83"/>
      <c r="O112" s="67"/>
      <c r="P112" s="79"/>
      <c r="Q112" s="80"/>
    </row>
    <row r="113" spans="1:17" x14ac:dyDescent="0.15">
      <c r="A113" s="90" t="s">
        <v>256</v>
      </c>
      <c r="H113" s="88"/>
      <c r="I113" s="88"/>
      <c r="K113" s="48"/>
      <c r="L113" s="89"/>
    </row>
    <row r="114" spans="1:17" x14ac:dyDescent="0.15">
      <c r="B114" s="47" t="s">
        <v>375</v>
      </c>
    </row>
    <row r="115" spans="1:17" x14ac:dyDescent="0.15">
      <c r="H115" s="88"/>
      <c r="I115" s="88"/>
    </row>
    <row r="116" spans="1:17" x14ac:dyDescent="0.15">
      <c r="A116" s="64" t="s">
        <v>279</v>
      </c>
      <c r="H116" s="88"/>
      <c r="I116" s="88"/>
    </row>
    <row r="118" spans="1:17" x14ac:dyDescent="0.15">
      <c r="A118" s="47" t="s">
        <v>239</v>
      </c>
    </row>
    <row r="119" spans="1:17" x14ac:dyDescent="0.15">
      <c r="A119" s="47" t="s">
        <v>410</v>
      </c>
    </row>
    <row r="120" spans="1:17" x14ac:dyDescent="0.15">
      <c r="B120" s="47" t="s">
        <v>229</v>
      </c>
      <c r="C120" s="83">
        <f t="shared" ref="C120:E121" si="46">H120+M120</f>
        <v>863764895</v>
      </c>
      <c r="D120" s="83">
        <f t="shared" si="46"/>
        <v>61485349</v>
      </c>
      <c r="E120" s="83">
        <f t="shared" si="46"/>
        <v>8522641.1999999993</v>
      </c>
      <c r="F120" s="79">
        <f>C120-D120-E120</f>
        <v>793756904.79999995</v>
      </c>
      <c r="G120" s="80">
        <f>ROUND(D120/C120,3)</f>
        <v>7.0999999999999994E-2</v>
      </c>
      <c r="H120" s="88">
        <v>587322140</v>
      </c>
      <c r="I120" s="88">
        <v>10917571</v>
      </c>
      <c r="J120" s="88">
        <v>846839.2</v>
      </c>
      <c r="K120" s="79">
        <f>H120-I120-J120</f>
        <v>575557729.79999995</v>
      </c>
      <c r="L120" s="80">
        <f>ROUND(I120/H120,3)</f>
        <v>1.9E-2</v>
      </c>
      <c r="M120" s="81">
        <v>276442755</v>
      </c>
      <c r="N120" s="79">
        <v>50567778</v>
      </c>
      <c r="O120" s="79">
        <v>7675802</v>
      </c>
      <c r="P120" s="79">
        <f>M120-N120-O120</f>
        <v>218199175</v>
      </c>
      <c r="Q120" s="80">
        <f>ROUND(N120/M120,3)</f>
        <v>0.183</v>
      </c>
    </row>
    <row r="121" spans="1:17" x14ac:dyDescent="0.15">
      <c r="B121" s="47" t="s">
        <v>230</v>
      </c>
      <c r="C121" s="83">
        <f t="shared" si="46"/>
        <v>776541138</v>
      </c>
      <c r="D121" s="83">
        <f t="shared" si="46"/>
        <v>55302161</v>
      </c>
      <c r="E121" s="83">
        <f t="shared" si="46"/>
        <v>8501953</v>
      </c>
      <c r="F121" s="79">
        <f>C121-D121-E121</f>
        <v>712737024</v>
      </c>
      <c r="G121" s="80">
        <f>ROUND(D121/C121,3)</f>
        <v>7.0999999999999994E-2</v>
      </c>
      <c r="H121" s="79">
        <v>554219218</v>
      </c>
      <c r="I121" s="79">
        <v>10665678</v>
      </c>
      <c r="J121" s="79">
        <v>846839</v>
      </c>
      <c r="K121" s="79">
        <f>H121-I121-J121</f>
        <v>542706701</v>
      </c>
      <c r="L121" s="80">
        <f>ROUND(I121/H121,3)</f>
        <v>1.9E-2</v>
      </c>
      <c r="M121" s="81">
        <v>222321920</v>
      </c>
      <c r="N121" s="79">
        <v>44636483</v>
      </c>
      <c r="O121" s="79">
        <v>7655114</v>
      </c>
      <c r="P121" s="79">
        <f>M121-N121-O121</f>
        <v>170030323</v>
      </c>
      <c r="Q121" s="80">
        <f>ROUND(N121/M121,3)</f>
        <v>0.20100000000000001</v>
      </c>
    </row>
    <row r="122" spans="1:17" x14ac:dyDescent="0.15">
      <c r="B122" s="47" t="s">
        <v>231</v>
      </c>
      <c r="C122" s="88">
        <f>C120-C121</f>
        <v>87223757</v>
      </c>
      <c r="D122" s="88">
        <f>D120-D121</f>
        <v>6183188</v>
      </c>
      <c r="E122" s="88">
        <f>E120-E121</f>
        <v>20688.199999999255</v>
      </c>
      <c r="F122" s="88">
        <f>F120-F121</f>
        <v>81019880.799999952</v>
      </c>
      <c r="G122" s="80">
        <f>ROUND(D122/C122,3)</f>
        <v>7.0999999999999994E-2</v>
      </c>
      <c r="H122" s="88">
        <f>H120-H121</f>
        <v>33102922</v>
      </c>
      <c r="I122" s="88">
        <f>I120-I121</f>
        <v>251893</v>
      </c>
      <c r="J122" s="88">
        <f>J120-J121</f>
        <v>0.19999999995343387</v>
      </c>
      <c r="K122" s="88">
        <f>K120-K121</f>
        <v>32851028.799999952</v>
      </c>
      <c r="L122" s="80">
        <f>ROUND(I122/H122,3)</f>
        <v>8.0000000000000002E-3</v>
      </c>
      <c r="M122" s="88">
        <f>M120-M121</f>
        <v>54120835</v>
      </c>
      <c r="N122" s="88">
        <f>N120-N121</f>
        <v>5931295</v>
      </c>
      <c r="O122" s="88">
        <f>O120-O121</f>
        <v>20688</v>
      </c>
      <c r="P122" s="88">
        <f>P120-P121</f>
        <v>48168852</v>
      </c>
      <c r="Q122" s="80">
        <f>ROUND(N122/M122,3)</f>
        <v>0.11</v>
      </c>
    </row>
    <row r="124" spans="1:17" x14ac:dyDescent="0.15">
      <c r="A124" s="47" t="s">
        <v>239</v>
      </c>
    </row>
    <row r="125" spans="1:17" x14ac:dyDescent="0.15">
      <c r="A125" s="47" t="s">
        <v>412</v>
      </c>
    </row>
    <row r="126" spans="1:17" x14ac:dyDescent="0.15">
      <c r="B126" s="47" t="s">
        <v>229</v>
      </c>
      <c r="C126" s="83">
        <f t="shared" ref="C126:E127" si="47">H126+M126</f>
        <v>787778539</v>
      </c>
      <c r="D126" s="83">
        <f t="shared" si="47"/>
        <v>56436153</v>
      </c>
      <c r="E126" s="83">
        <f t="shared" si="47"/>
        <v>8522641.1999999993</v>
      </c>
      <c r="F126" s="79">
        <f>C126-D126-E126</f>
        <v>722819744.79999995</v>
      </c>
      <c r="G126" s="80">
        <f>ROUND(D126/C126,3)</f>
        <v>7.1999999999999995E-2</v>
      </c>
      <c r="H126" s="88">
        <v>557497083</v>
      </c>
      <c r="I126" s="88">
        <v>10697177</v>
      </c>
      <c r="J126" s="88">
        <v>846839.2</v>
      </c>
      <c r="K126" s="79">
        <f>H126-I126-J126</f>
        <v>545953066.79999995</v>
      </c>
      <c r="L126" s="80">
        <f>ROUND(I126/H126,3)</f>
        <v>1.9E-2</v>
      </c>
      <c r="M126" s="81">
        <v>230281456</v>
      </c>
      <c r="N126" s="79">
        <v>45738976</v>
      </c>
      <c r="O126" s="79">
        <v>7675802</v>
      </c>
      <c r="P126" s="79">
        <f>M126-N126-O126</f>
        <v>176866678</v>
      </c>
      <c r="Q126" s="80">
        <f>ROUND(N126/M126,3)</f>
        <v>0.19900000000000001</v>
      </c>
    </row>
    <row r="127" spans="1:17" x14ac:dyDescent="0.15">
      <c r="B127" s="47" t="s">
        <v>230</v>
      </c>
      <c r="C127" s="83">
        <f t="shared" si="47"/>
        <v>776541138</v>
      </c>
      <c r="D127" s="83">
        <f t="shared" si="47"/>
        <v>55302161</v>
      </c>
      <c r="E127" s="83">
        <f t="shared" si="47"/>
        <v>8501953</v>
      </c>
      <c r="F127" s="79">
        <f>C127-D127-E127</f>
        <v>712737024</v>
      </c>
      <c r="G127" s="80">
        <f>ROUND(D127/C127,3)</f>
        <v>7.0999999999999994E-2</v>
      </c>
      <c r="H127" s="79">
        <f>H121</f>
        <v>554219218</v>
      </c>
      <c r="I127" s="79">
        <f>I121</f>
        <v>10665678</v>
      </c>
      <c r="J127" s="79">
        <f>J121</f>
        <v>846839</v>
      </c>
      <c r="K127" s="79">
        <f>H127-I127-J127</f>
        <v>542706701</v>
      </c>
      <c r="L127" s="80">
        <f>ROUND(I127/H127,3)</f>
        <v>1.9E-2</v>
      </c>
      <c r="M127" s="81">
        <f>M121</f>
        <v>222321920</v>
      </c>
      <c r="N127" s="79">
        <f>N121</f>
        <v>44636483</v>
      </c>
      <c r="O127" s="79">
        <f>O121</f>
        <v>7655114</v>
      </c>
      <c r="P127" s="79">
        <f>M127-N127-O127</f>
        <v>170030323</v>
      </c>
      <c r="Q127" s="80">
        <f>ROUND(N127/M127,3)</f>
        <v>0.20100000000000001</v>
      </c>
    </row>
    <row r="128" spans="1:17" x14ac:dyDescent="0.15">
      <c r="B128" s="47" t="s">
        <v>415</v>
      </c>
      <c r="C128" s="88">
        <f>C126-C127</f>
        <v>11237401</v>
      </c>
      <c r="D128" s="88">
        <f>D126-D127</f>
        <v>1133992</v>
      </c>
      <c r="E128" s="88">
        <f>E126-E127</f>
        <v>20688.199999999255</v>
      </c>
      <c r="F128" s="88">
        <f>F126-F127</f>
        <v>10082720.799999952</v>
      </c>
      <c r="G128" s="80">
        <f>ROUND(D128/C128,3)</f>
        <v>0.10100000000000001</v>
      </c>
      <c r="H128" s="88">
        <f>H126-H127</f>
        <v>3277865</v>
      </c>
      <c r="I128" s="88">
        <f>I126-I127</f>
        <v>31499</v>
      </c>
      <c r="J128" s="88">
        <f>J126-J127</f>
        <v>0.19999999995343387</v>
      </c>
      <c r="K128" s="88">
        <f>K126-K127</f>
        <v>3246365.7999999523</v>
      </c>
      <c r="L128" s="80">
        <f>ROUND(I128/H128,3)</f>
        <v>0.01</v>
      </c>
      <c r="M128" s="88">
        <f>M126-M127</f>
        <v>7959536</v>
      </c>
      <c r="N128" s="88">
        <f>N126-N127</f>
        <v>1102493</v>
      </c>
      <c r="O128" s="88">
        <f>O126-O127</f>
        <v>20688</v>
      </c>
      <c r="P128" s="88">
        <f>P126-P127</f>
        <v>6836355</v>
      </c>
      <c r="Q128" s="80">
        <f>ROUND(N128/M128,3)</f>
        <v>0.13900000000000001</v>
      </c>
    </row>
    <row r="129" spans="1:17" x14ac:dyDescent="0.15">
      <c r="B129" s="47" t="s">
        <v>416</v>
      </c>
      <c r="C129" s="83">
        <f>H129+M129</f>
        <v>75986356</v>
      </c>
      <c r="D129" s="83">
        <f>I129+N129</f>
        <v>5049196</v>
      </c>
      <c r="E129" s="83">
        <f>J129+O129</f>
        <v>0</v>
      </c>
      <c r="F129" s="79">
        <f>C129-D129-E129</f>
        <v>70937160</v>
      </c>
      <c r="G129" s="80">
        <f>ROUND(D129/C129,3)</f>
        <v>6.6000000000000003E-2</v>
      </c>
      <c r="H129" s="88">
        <f>H122-H128</f>
        <v>29825057</v>
      </c>
      <c r="I129" s="88">
        <f>I122-I128</f>
        <v>220394</v>
      </c>
      <c r="J129" s="88">
        <f>J122-J128</f>
        <v>0</v>
      </c>
      <c r="K129" s="79">
        <f>H129-I129-J129</f>
        <v>29604663</v>
      </c>
      <c r="L129" s="80">
        <f>ROUND(I129/H129,3)</f>
        <v>7.0000000000000001E-3</v>
      </c>
      <c r="M129" s="88">
        <f>M122-M128</f>
        <v>46161299</v>
      </c>
      <c r="N129" s="88">
        <f>N122-N128</f>
        <v>4828802</v>
      </c>
      <c r="O129" s="88">
        <f>O122-O128</f>
        <v>0</v>
      </c>
      <c r="P129" s="79">
        <f>M129-N129-O129</f>
        <v>41332497</v>
      </c>
      <c r="Q129" s="80">
        <f>ROUND(N129/M129,3)</f>
        <v>0.105</v>
      </c>
    </row>
    <row r="131" spans="1:17" x14ac:dyDescent="0.15">
      <c r="A131" s="47" t="s">
        <v>240</v>
      </c>
    </row>
    <row r="132" spans="1:17" x14ac:dyDescent="0.15">
      <c r="A132" s="47" t="s">
        <v>411</v>
      </c>
    </row>
    <row r="133" spans="1:17" x14ac:dyDescent="0.15">
      <c r="B133" s="47" t="s">
        <v>229</v>
      </c>
      <c r="C133" s="83">
        <f t="shared" ref="C133:E134" si="48">H133+M133</f>
        <v>799838222</v>
      </c>
      <c r="D133" s="83">
        <f t="shared" si="48"/>
        <v>58052312</v>
      </c>
      <c r="E133" s="83">
        <f t="shared" si="48"/>
        <v>8522641</v>
      </c>
      <c r="F133" s="79">
        <f>C133-D133-E133</f>
        <v>733263269</v>
      </c>
      <c r="G133" s="80">
        <f>ROUND(D133/C133,3)</f>
        <v>7.2999999999999995E-2</v>
      </c>
      <c r="H133" s="88">
        <v>561089624</v>
      </c>
      <c r="I133" s="88">
        <v>10697177</v>
      </c>
      <c r="J133" s="88">
        <v>846839</v>
      </c>
      <c r="K133" s="79">
        <f>H133-I133-J133</f>
        <v>549545608</v>
      </c>
      <c r="L133" s="80">
        <f>ROUND(I133/H133,3)</f>
        <v>1.9E-2</v>
      </c>
      <c r="M133" s="81">
        <v>238748598</v>
      </c>
      <c r="N133" s="79">
        <v>47355135</v>
      </c>
      <c r="O133" s="79">
        <v>7675802</v>
      </c>
      <c r="P133" s="79">
        <f>M133-N133-O133</f>
        <v>183717661</v>
      </c>
      <c r="Q133" s="80">
        <f>ROUND(N133/M133,3)</f>
        <v>0.19800000000000001</v>
      </c>
    </row>
    <row r="134" spans="1:17" x14ac:dyDescent="0.15">
      <c r="B134" s="47" t="s">
        <v>230</v>
      </c>
      <c r="C134" s="83">
        <f t="shared" si="48"/>
        <v>776541138</v>
      </c>
      <c r="D134" s="83">
        <f t="shared" si="48"/>
        <v>55302161</v>
      </c>
      <c r="E134" s="83">
        <f t="shared" si="48"/>
        <v>8501953</v>
      </c>
      <c r="F134" s="79">
        <f>C134-D134-E134</f>
        <v>712737024</v>
      </c>
      <c r="G134" s="80">
        <f>ROUND(D134/C134,3)</f>
        <v>7.0999999999999994E-2</v>
      </c>
      <c r="H134" s="79">
        <f>H121</f>
        <v>554219218</v>
      </c>
      <c r="I134" s="79">
        <f>I121</f>
        <v>10665678</v>
      </c>
      <c r="J134" s="79">
        <f>J121</f>
        <v>846839</v>
      </c>
      <c r="K134" s="79">
        <f>H134-I134-J134</f>
        <v>542706701</v>
      </c>
      <c r="L134" s="80">
        <f>ROUND(I134/H134,3)</f>
        <v>1.9E-2</v>
      </c>
      <c r="M134" s="79">
        <f>M121</f>
        <v>222321920</v>
      </c>
      <c r="N134" s="79">
        <f>N121</f>
        <v>44636483</v>
      </c>
      <c r="O134" s="79">
        <f>O121</f>
        <v>7655114</v>
      </c>
      <c r="P134" s="79">
        <f>M134-N134-O134</f>
        <v>170030323</v>
      </c>
      <c r="Q134" s="80">
        <f>ROUND(N134/M134,3)</f>
        <v>0.20100000000000001</v>
      </c>
    </row>
    <row r="135" spans="1:17" x14ac:dyDescent="0.15">
      <c r="B135" s="47" t="s">
        <v>231</v>
      </c>
      <c r="C135" s="88">
        <f>C133-C134</f>
        <v>23297084</v>
      </c>
      <c r="D135" s="88">
        <f>D133-D134</f>
        <v>2750151</v>
      </c>
      <c r="E135" s="88">
        <f>E133-E134</f>
        <v>20688</v>
      </c>
      <c r="F135" s="88">
        <f>F133-F134</f>
        <v>20526245</v>
      </c>
      <c r="G135" s="80">
        <f>ROUND(D135/C135,3)</f>
        <v>0.11799999999999999</v>
      </c>
      <c r="H135" s="88">
        <f>H133-H134</f>
        <v>6870406</v>
      </c>
      <c r="I135" s="88">
        <f>I133-I134</f>
        <v>31499</v>
      </c>
      <c r="J135" s="88">
        <f>J133-J134</f>
        <v>0</v>
      </c>
      <c r="K135" s="88">
        <f>K133-K134</f>
        <v>6838907</v>
      </c>
      <c r="L135" s="80">
        <f>ROUND(I135/H135,3)</f>
        <v>5.0000000000000001E-3</v>
      </c>
      <c r="M135" s="88">
        <f>M133-M134</f>
        <v>16426678</v>
      </c>
      <c r="N135" s="88">
        <f>N133-N134</f>
        <v>2718652</v>
      </c>
      <c r="O135" s="88">
        <f>O133-O134</f>
        <v>20688</v>
      </c>
      <c r="P135" s="88">
        <f>P133-P134</f>
        <v>13687338</v>
      </c>
      <c r="Q135" s="80">
        <f>ROUND(N135/M135,3)</f>
        <v>0.16600000000000001</v>
      </c>
    </row>
    <row r="137" spans="1:17" x14ac:dyDescent="0.15">
      <c r="A137" s="47" t="s">
        <v>240</v>
      </c>
    </row>
    <row r="138" spans="1:17" hidden="1" x14ac:dyDescent="0.15">
      <c r="A138" s="47" t="s">
        <v>411</v>
      </c>
    </row>
    <row r="139" spans="1:17" hidden="1" x14ac:dyDescent="0.15">
      <c r="B139" s="47" t="s">
        <v>229</v>
      </c>
      <c r="C139" s="83">
        <f t="shared" ref="C139:E140" si="49">H139+M139</f>
        <v>781159154</v>
      </c>
      <c r="D139" s="83">
        <f t="shared" si="49"/>
        <v>51701992.759999998</v>
      </c>
      <c r="E139" s="83">
        <f t="shared" si="49"/>
        <v>8593182.1999999993</v>
      </c>
      <c r="F139" s="79">
        <f>C139-D139-E139</f>
        <v>720863979.03999996</v>
      </c>
      <c r="G139" s="80">
        <f>ROUND(D139/C139,3)</f>
        <v>6.6000000000000003E-2</v>
      </c>
      <c r="H139" s="88">
        <v>550368568</v>
      </c>
      <c r="I139" s="88">
        <v>5872113.7599999988</v>
      </c>
      <c r="J139" s="88">
        <v>846839.2</v>
      </c>
      <c r="K139" s="79">
        <f>H139-I139-J139</f>
        <v>543649615.03999996</v>
      </c>
      <c r="L139" s="80">
        <f>ROUND(I139/H139,3)</f>
        <v>1.0999999999999999E-2</v>
      </c>
      <c r="M139" s="81">
        <v>230790586</v>
      </c>
      <c r="N139" s="79">
        <v>45829879</v>
      </c>
      <c r="O139" s="79">
        <v>7746343</v>
      </c>
      <c r="P139" s="79">
        <f>M139-N139-O139</f>
        <v>177214364</v>
      </c>
      <c r="Q139" s="80">
        <f>ROUND(N139/M139,3)</f>
        <v>0.19900000000000001</v>
      </c>
    </row>
    <row r="140" spans="1:17" hidden="1" x14ac:dyDescent="0.15">
      <c r="B140" s="47" t="s">
        <v>230</v>
      </c>
      <c r="C140" s="83">
        <f t="shared" si="49"/>
        <v>747848844</v>
      </c>
      <c r="D140" s="83">
        <f t="shared" si="49"/>
        <v>48888055</v>
      </c>
      <c r="E140" s="83">
        <f t="shared" si="49"/>
        <v>8276467</v>
      </c>
      <c r="F140" s="79">
        <f>C140-D140-E140</f>
        <v>690684322</v>
      </c>
      <c r="G140" s="80">
        <f>ROUND(D140/C140,3)</f>
        <v>6.5000000000000002E-2</v>
      </c>
      <c r="H140" s="79">
        <v>532510759</v>
      </c>
      <c r="I140" s="79">
        <v>5670359</v>
      </c>
      <c r="J140" s="79">
        <v>823882</v>
      </c>
      <c r="K140" s="79">
        <f>H140-I140-J140</f>
        <v>526016518</v>
      </c>
      <c r="L140" s="80">
        <f>ROUND(I140/H140,3)</f>
        <v>1.0999999999999999E-2</v>
      </c>
      <c r="M140" s="81">
        <v>215338085</v>
      </c>
      <c r="N140" s="79">
        <v>43217696</v>
      </c>
      <c r="O140" s="79">
        <v>7452585</v>
      </c>
      <c r="P140" s="79">
        <f>M140-N140-O140</f>
        <v>164667804</v>
      </c>
      <c r="Q140" s="80">
        <f>ROUND(N140/M140,3)</f>
        <v>0.20100000000000001</v>
      </c>
    </row>
    <row r="141" spans="1:17" hidden="1" x14ac:dyDescent="0.15">
      <c r="B141" s="47" t="s">
        <v>231</v>
      </c>
      <c r="C141" s="88">
        <f t="shared" ref="C141:F142" si="50">C139-C140</f>
        <v>33310310</v>
      </c>
      <c r="D141" s="88">
        <f t="shared" si="50"/>
        <v>2813937.7599999979</v>
      </c>
      <c r="E141" s="88">
        <f t="shared" si="50"/>
        <v>316715.19999999925</v>
      </c>
      <c r="F141" s="88">
        <f t="shared" si="50"/>
        <v>30179657.039999962</v>
      </c>
      <c r="G141" s="80">
        <f>ROUND(D141/C141,3)</f>
        <v>8.4000000000000005E-2</v>
      </c>
      <c r="H141" s="88">
        <f t="shared" ref="H141:K142" si="51">H139-H140</f>
        <v>17857809</v>
      </c>
      <c r="I141" s="88">
        <f t="shared" si="51"/>
        <v>201754.75999999885</v>
      </c>
      <c r="J141" s="88">
        <f t="shared" si="51"/>
        <v>22957.199999999953</v>
      </c>
      <c r="K141" s="88">
        <f t="shared" si="51"/>
        <v>17633097.039999962</v>
      </c>
      <c r="L141" s="80">
        <f>ROUND(I141/H141,3)</f>
        <v>1.0999999999999999E-2</v>
      </c>
      <c r="M141" s="88">
        <f t="shared" ref="M141:P142" si="52">M139-M140</f>
        <v>15452501</v>
      </c>
      <c r="N141" s="88">
        <f t="shared" si="52"/>
        <v>2612183</v>
      </c>
      <c r="O141" s="88">
        <f t="shared" si="52"/>
        <v>293758</v>
      </c>
      <c r="P141" s="88">
        <f t="shared" si="52"/>
        <v>12546560</v>
      </c>
      <c r="Q141" s="80">
        <f>ROUND(N141/M141,3)</f>
        <v>0.16900000000000001</v>
      </c>
    </row>
    <row r="142" spans="1:17" hidden="1" x14ac:dyDescent="0.15">
      <c r="B142" s="47" t="s">
        <v>231</v>
      </c>
      <c r="C142" s="88">
        <f t="shared" si="50"/>
        <v>714538534</v>
      </c>
      <c r="D142" s="88">
        <f t="shared" si="50"/>
        <v>46074117.240000002</v>
      </c>
      <c r="E142" s="88">
        <f t="shared" si="50"/>
        <v>7959751.8000000007</v>
      </c>
      <c r="F142" s="88">
        <f t="shared" si="50"/>
        <v>660504664.96000004</v>
      </c>
      <c r="G142" s="80">
        <f>ROUND(D142/C142,3)</f>
        <v>6.4000000000000001E-2</v>
      </c>
      <c r="H142" s="88">
        <f t="shared" si="51"/>
        <v>514652950</v>
      </c>
      <c r="I142" s="88">
        <f t="shared" si="51"/>
        <v>5468604.2400000012</v>
      </c>
      <c r="J142" s="88">
        <f t="shared" si="51"/>
        <v>800924.8</v>
      </c>
      <c r="K142" s="88">
        <f t="shared" si="51"/>
        <v>508383420.96000004</v>
      </c>
      <c r="L142" s="80">
        <f>ROUND(I142/H142,3)</f>
        <v>1.0999999999999999E-2</v>
      </c>
      <c r="M142" s="88">
        <f t="shared" si="52"/>
        <v>199885584</v>
      </c>
      <c r="N142" s="88">
        <f t="shared" si="52"/>
        <v>40605513</v>
      </c>
      <c r="O142" s="88">
        <f t="shared" si="52"/>
        <v>7158827</v>
      </c>
      <c r="P142" s="88">
        <f t="shared" si="52"/>
        <v>152121244</v>
      </c>
      <c r="Q142" s="80">
        <f>ROUND(N142/M142,3)</f>
        <v>0.20300000000000001</v>
      </c>
    </row>
    <row r="143" spans="1:17" hidden="1" x14ac:dyDescent="0.15">
      <c r="B143" s="47" t="s">
        <v>242</v>
      </c>
      <c r="C143" s="96">
        <f>C142/C135</f>
        <v>30.670728319475518</v>
      </c>
      <c r="H143" s="96">
        <f>H142/H135</f>
        <v>74.90866624184946</v>
      </c>
      <c r="M143" s="96">
        <f>M142/M135</f>
        <v>12.168351020212365</v>
      </c>
    </row>
    <row r="144" spans="1:17" hidden="1" x14ac:dyDescent="0.15"/>
    <row r="145" spans="1:17" x14ac:dyDescent="0.15">
      <c r="A145" s="47" t="s">
        <v>413</v>
      </c>
      <c r="C145" s="88"/>
      <c r="H145" s="88"/>
    </row>
    <row r="146" spans="1:17" x14ac:dyDescent="0.15">
      <c r="B146" s="47" t="s">
        <v>229</v>
      </c>
      <c r="C146" s="83">
        <f t="shared" ref="C146:E147" si="53">H146+M146</f>
        <v>786890464</v>
      </c>
      <c r="D146" s="83">
        <f t="shared" si="53"/>
        <v>56399033</v>
      </c>
      <c r="E146" s="83">
        <f t="shared" si="53"/>
        <v>8522641.1999999993</v>
      </c>
      <c r="F146" s="79">
        <f>C146-D146-E146</f>
        <v>721968789.79999995</v>
      </c>
      <c r="G146" s="80">
        <f>ROUND(D146/C146,3)</f>
        <v>7.1999999999999995E-2</v>
      </c>
      <c r="H146" s="88">
        <v>557497083</v>
      </c>
      <c r="I146" s="88">
        <v>10697177</v>
      </c>
      <c r="J146" s="88">
        <v>846839.2</v>
      </c>
      <c r="K146" s="79">
        <f>H146-I146-J146</f>
        <v>545953066.79999995</v>
      </c>
      <c r="L146" s="80">
        <f>ROUND(I146/H146,3)</f>
        <v>1.9E-2</v>
      </c>
      <c r="M146" s="81">
        <v>229393381</v>
      </c>
      <c r="N146" s="79">
        <v>45701856</v>
      </c>
      <c r="O146" s="79">
        <v>7675802</v>
      </c>
      <c r="P146" s="79">
        <f>M146-N146-O146</f>
        <v>176015723</v>
      </c>
      <c r="Q146" s="80">
        <f>ROUND(N146/M146,3)</f>
        <v>0.19900000000000001</v>
      </c>
    </row>
    <row r="147" spans="1:17" x14ac:dyDescent="0.15">
      <c r="B147" s="47" t="s">
        <v>230</v>
      </c>
      <c r="C147" s="83">
        <f t="shared" si="53"/>
        <v>776541138</v>
      </c>
      <c r="D147" s="83">
        <f t="shared" si="53"/>
        <v>55302161</v>
      </c>
      <c r="E147" s="83">
        <f t="shared" si="53"/>
        <v>8501953</v>
      </c>
      <c r="F147" s="79">
        <f>C147-D147-E147</f>
        <v>712737024</v>
      </c>
      <c r="G147" s="80">
        <f>ROUND(D147/C147,3)</f>
        <v>7.0999999999999994E-2</v>
      </c>
      <c r="H147" s="79">
        <f>H121</f>
        <v>554219218</v>
      </c>
      <c r="I147" s="79">
        <f>I121</f>
        <v>10665678</v>
      </c>
      <c r="J147" s="79">
        <f>J121</f>
        <v>846839</v>
      </c>
      <c r="K147" s="79">
        <f>H147-I147-J147</f>
        <v>542706701</v>
      </c>
      <c r="L147" s="80">
        <f>ROUND(I147/H147,3)</f>
        <v>1.9E-2</v>
      </c>
      <c r="M147" s="79">
        <f>M121</f>
        <v>222321920</v>
      </c>
      <c r="N147" s="79">
        <f>N121</f>
        <v>44636483</v>
      </c>
      <c r="O147" s="79">
        <f>O121</f>
        <v>7655114</v>
      </c>
      <c r="P147" s="79">
        <f>M147-N147-O147</f>
        <v>170030323</v>
      </c>
      <c r="Q147" s="80">
        <f>ROUND(N147/M147,3)</f>
        <v>0.20100000000000001</v>
      </c>
    </row>
    <row r="148" spans="1:17" x14ac:dyDescent="0.15">
      <c r="B148" s="47" t="s">
        <v>415</v>
      </c>
      <c r="C148" s="88">
        <f>C146-C147</f>
        <v>10349326</v>
      </c>
      <c r="D148" s="88">
        <f>D146-D147</f>
        <v>1096872</v>
      </c>
      <c r="E148" s="88">
        <f>E146-E147</f>
        <v>20688.199999999255</v>
      </c>
      <c r="F148" s="88">
        <f>F146-F147</f>
        <v>9231765.7999999523</v>
      </c>
      <c r="G148" s="80">
        <f>ROUND(D148/C148,3)</f>
        <v>0.106</v>
      </c>
      <c r="H148" s="88">
        <f>H146-H147</f>
        <v>3277865</v>
      </c>
      <c r="I148" s="88">
        <f>I146-I147</f>
        <v>31499</v>
      </c>
      <c r="J148" s="88">
        <f>J146-J147</f>
        <v>0.19999999995343387</v>
      </c>
      <c r="K148" s="88">
        <f>K146-K147</f>
        <v>3246365.7999999523</v>
      </c>
      <c r="L148" s="80">
        <f>ROUND(I148/H148,3)</f>
        <v>0.01</v>
      </c>
      <c r="M148" s="88">
        <f>M146-M147</f>
        <v>7071461</v>
      </c>
      <c r="N148" s="88">
        <f>N146-N147</f>
        <v>1065373</v>
      </c>
      <c r="O148" s="88">
        <f>O146-O147</f>
        <v>20688</v>
      </c>
      <c r="P148" s="88">
        <f>P146-P147</f>
        <v>5985400</v>
      </c>
      <c r="Q148" s="80">
        <f>ROUND(N148/M148,3)</f>
        <v>0.151</v>
      </c>
    </row>
    <row r="149" spans="1:17" x14ac:dyDescent="0.15">
      <c r="B149" s="47" t="s">
        <v>416</v>
      </c>
      <c r="C149" s="83">
        <f>H149+M149</f>
        <v>12947758</v>
      </c>
      <c r="D149" s="83">
        <f>I149+N149</f>
        <v>1653279</v>
      </c>
      <c r="E149" s="83">
        <f>J149+O149</f>
        <v>-0.19999999995343387</v>
      </c>
      <c r="F149" s="79">
        <f>C149-D149-E149</f>
        <v>11294479.199999999</v>
      </c>
      <c r="G149" s="80">
        <f>ROUND(D149/C149,3)</f>
        <v>0.128</v>
      </c>
      <c r="H149" s="88">
        <f>H135-H148</f>
        <v>3592541</v>
      </c>
      <c r="I149" s="88">
        <f>I135-I148</f>
        <v>0</v>
      </c>
      <c r="J149" s="88">
        <f>J135-J148</f>
        <v>-0.19999999995343387</v>
      </c>
      <c r="K149" s="79">
        <f>H149-I149-J149</f>
        <v>3592541.2</v>
      </c>
      <c r="L149" s="80">
        <f>ROUND(I149/H149,3)</f>
        <v>0</v>
      </c>
      <c r="M149" s="88">
        <f>M135-M148</f>
        <v>9355217</v>
      </c>
      <c r="N149" s="88">
        <f>N135-N148</f>
        <v>1653279</v>
      </c>
      <c r="O149" s="88">
        <f>O135-O148</f>
        <v>0</v>
      </c>
      <c r="P149" s="79">
        <f>M149-N149-O149</f>
        <v>7701938</v>
      </c>
      <c r="Q149" s="80">
        <f>ROUND(N149/M149,3)</f>
        <v>0.17699999999999999</v>
      </c>
    </row>
    <row r="150" spans="1:17" x14ac:dyDescent="0.15">
      <c r="C150" s="88"/>
    </row>
    <row r="151" spans="1:17" x14ac:dyDescent="0.15">
      <c r="C151" s="88"/>
    </row>
    <row r="152" spans="1:17" x14ac:dyDescent="0.15">
      <c r="A152" s="74" t="s">
        <v>220</v>
      </c>
      <c r="C152" s="88"/>
    </row>
    <row r="153" spans="1:17" x14ac:dyDescent="0.15">
      <c r="A153" s="74" t="s">
        <v>221</v>
      </c>
      <c r="C153" s="88"/>
    </row>
    <row r="154" spans="1:17" x14ac:dyDescent="0.15">
      <c r="B154" s="47" t="s">
        <v>417</v>
      </c>
      <c r="C154" s="96">
        <f>C128/C$42</f>
        <v>1.6846457012862106E-2</v>
      </c>
      <c r="D154" s="196"/>
      <c r="E154" s="196"/>
      <c r="F154" s="196"/>
      <c r="G154" s="196"/>
      <c r="H154" s="96">
        <f>H128/H$42</f>
        <v>1.3887181575958798E-2</v>
      </c>
      <c r="I154" s="196"/>
      <c r="J154" s="196"/>
      <c r="K154" s="196"/>
      <c r="L154" s="196"/>
      <c r="M154" s="96">
        <f>M128/M$42</f>
        <v>1.8467042460715934E-2</v>
      </c>
    </row>
    <row r="155" spans="1:17" x14ac:dyDescent="0.15">
      <c r="B155" s="47" t="s">
        <v>418</v>
      </c>
      <c r="C155" s="96">
        <f>C129/C$42</f>
        <v>0.11391431879293412</v>
      </c>
      <c r="D155" s="196"/>
      <c r="E155" s="196"/>
      <c r="F155" s="196"/>
      <c r="G155" s="196"/>
      <c r="H155" s="96">
        <f>H129/H$42</f>
        <v>0.12635846261890621</v>
      </c>
      <c r="I155" s="196"/>
      <c r="J155" s="196"/>
      <c r="K155" s="196"/>
      <c r="L155" s="196"/>
      <c r="M155" s="96">
        <f>M129/M$42</f>
        <v>0.10709954307321481</v>
      </c>
    </row>
    <row r="156" spans="1:17" x14ac:dyDescent="0.15">
      <c r="B156" s="47" t="s">
        <v>180</v>
      </c>
      <c r="C156" s="96">
        <f>C122/C$42</f>
        <v>0.13076077580579623</v>
      </c>
      <c r="D156" s="196"/>
      <c r="E156" s="196"/>
      <c r="F156" s="196"/>
      <c r="G156" s="196"/>
      <c r="H156" s="96">
        <f>H122/H$42</f>
        <v>0.14024564419486502</v>
      </c>
      <c r="I156" s="196"/>
      <c r="J156" s="196"/>
      <c r="K156" s="196"/>
      <c r="L156" s="196"/>
      <c r="M156" s="96">
        <f>M122/M$42</f>
        <v>0.12556658553393074</v>
      </c>
    </row>
    <row r="157" spans="1:17" x14ac:dyDescent="0.15"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</row>
    <row r="158" spans="1:17" x14ac:dyDescent="0.15">
      <c r="A158" s="74" t="s">
        <v>242</v>
      </c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</row>
    <row r="159" spans="1:17" x14ac:dyDescent="0.15">
      <c r="B159" s="47" t="s">
        <v>417</v>
      </c>
      <c r="C159" s="96">
        <f>C148/C128</f>
        <v>0.92097149509926712</v>
      </c>
      <c r="D159" s="196"/>
      <c r="E159" s="196"/>
      <c r="F159" s="196"/>
      <c r="G159" s="196"/>
      <c r="H159" s="96">
        <f>H148/H128</f>
        <v>1</v>
      </c>
      <c r="I159" s="196"/>
      <c r="J159" s="196"/>
      <c r="K159" s="196"/>
      <c r="L159" s="196"/>
      <c r="M159" s="96">
        <f>M148/M128</f>
        <v>0.88842628515029021</v>
      </c>
    </row>
    <row r="160" spans="1:17" x14ac:dyDescent="0.15">
      <c r="B160" s="47" t="s">
        <v>418</v>
      </c>
      <c r="C160" s="96">
        <f>C149/C129</f>
        <v>0.1703958273772202</v>
      </c>
      <c r="D160" s="196"/>
      <c r="E160" s="196"/>
      <c r="F160" s="196"/>
      <c r="G160" s="196"/>
      <c r="H160" s="96">
        <f>H149/H129</f>
        <v>0.12045378488295932</v>
      </c>
      <c r="I160" s="196"/>
      <c r="J160" s="196"/>
      <c r="K160" s="196"/>
      <c r="L160" s="196"/>
      <c r="M160" s="96">
        <f>M149/M129</f>
        <v>0.20266364254610772</v>
      </c>
    </row>
    <row r="161" spans="1:13" x14ac:dyDescent="0.15">
      <c r="B161" s="47" t="s">
        <v>180</v>
      </c>
      <c r="C161" s="96">
        <f>C135/C122</f>
        <v>0.26709562625237526</v>
      </c>
      <c r="D161" s="196"/>
      <c r="E161" s="196"/>
      <c r="F161" s="196"/>
      <c r="G161" s="196"/>
      <c r="H161" s="96">
        <f>H135/H122</f>
        <v>0.20754681414528905</v>
      </c>
      <c r="I161" s="196"/>
      <c r="J161" s="196"/>
      <c r="K161" s="196"/>
      <c r="L161" s="196"/>
      <c r="M161" s="96">
        <f>M135/M122</f>
        <v>0.30351856175168029</v>
      </c>
    </row>
    <row r="162" spans="1:13" x14ac:dyDescent="0.15">
      <c r="C162" s="88"/>
    </row>
    <row r="163" spans="1:13" x14ac:dyDescent="0.15">
      <c r="C163" s="88"/>
    </row>
    <row r="164" spans="1:13" x14ac:dyDescent="0.15">
      <c r="C164" s="88"/>
    </row>
    <row r="165" spans="1:13" x14ac:dyDescent="0.15">
      <c r="C165" s="88"/>
    </row>
    <row r="166" spans="1:13" x14ac:dyDescent="0.15">
      <c r="C166" s="88"/>
    </row>
    <row r="167" spans="1:13" x14ac:dyDescent="0.15">
      <c r="C167" s="88"/>
    </row>
    <row r="168" spans="1:13" x14ac:dyDescent="0.15">
      <c r="C168" s="88"/>
    </row>
    <row r="169" spans="1:13" x14ac:dyDescent="0.15">
      <c r="C169" s="88"/>
    </row>
    <row r="170" spans="1:13" x14ac:dyDescent="0.15">
      <c r="A170" s="64" t="s">
        <v>280</v>
      </c>
    </row>
    <row r="171" spans="1:13" x14ac:dyDescent="0.15">
      <c r="A171" s="64" t="s">
        <v>281</v>
      </c>
    </row>
    <row r="173" spans="1:13" x14ac:dyDescent="0.15">
      <c r="B173" s="47" t="s">
        <v>273</v>
      </c>
    </row>
    <row r="174" spans="1:13" x14ac:dyDescent="0.15">
      <c r="B174" s="47" t="s">
        <v>275</v>
      </c>
      <c r="C174" s="88">
        <f>'FY 2010'!D24+'FY 2010'!F24</f>
        <v>781675140</v>
      </c>
      <c r="D174" s="88">
        <f>'FY 2010'!D60+'FY 2010'!F60</f>
        <v>60722235</v>
      </c>
      <c r="E174" s="88">
        <f>'FY 2010'!D61</f>
        <v>8618666</v>
      </c>
      <c r="F174" s="79">
        <f>C174-D174-E174</f>
        <v>712334239</v>
      </c>
      <c r="G174" s="89">
        <f>ROUND(D174/C174,3)</f>
        <v>7.8E-2</v>
      </c>
    </row>
    <row r="175" spans="1:13" x14ac:dyDescent="0.15">
      <c r="B175" s="47" t="s">
        <v>276</v>
      </c>
      <c r="C175" s="88">
        <f>'FY 2011'!D23+'FY 2011'!F23</f>
        <v>804832265</v>
      </c>
      <c r="D175" s="88">
        <f>'FY 2011'!D58+'FY 2011'!F58</f>
        <v>58609687</v>
      </c>
      <c r="E175" s="88">
        <f>'FY 2011'!D59</f>
        <v>8593182</v>
      </c>
      <c r="F175" s="79">
        <f>C175-D175-E175</f>
        <v>737629396</v>
      </c>
      <c r="G175" s="89">
        <f>ROUND(D175/C175,3)</f>
        <v>7.2999999999999995E-2</v>
      </c>
    </row>
    <row r="176" spans="1:13" x14ac:dyDescent="0.15">
      <c r="B176" s="47" t="s">
        <v>373</v>
      </c>
      <c r="C176" s="88">
        <f>'FY 2012'!D23+'FY 2012'!F23</f>
        <v>822497449</v>
      </c>
      <c r="D176" s="88">
        <f>'FY 2012'!D58+'FY 2012'!F58</f>
        <v>68344747</v>
      </c>
      <c r="E176" s="88">
        <f>'FY 2012'!D59</f>
        <v>8501953</v>
      </c>
      <c r="F176" s="79">
        <f>C176-D176-E176</f>
        <v>745650749</v>
      </c>
      <c r="G176" s="89">
        <f>ROUND(D176/C176,3)</f>
        <v>8.3000000000000004E-2</v>
      </c>
    </row>
    <row r="177" spans="2:7" x14ac:dyDescent="0.15">
      <c r="B177" s="47" t="s">
        <v>374</v>
      </c>
      <c r="C177" s="88">
        <f>'FY 2013'!D23+'FY 2013'!F23</f>
        <v>836596966</v>
      </c>
      <c r="D177" s="88">
        <f>'FY 2013'!D58+'FY 2013'!F58</f>
        <v>83141150</v>
      </c>
      <c r="E177" s="88">
        <f>'FY 2013'!D59</f>
        <v>8522641</v>
      </c>
      <c r="F177" s="79">
        <f>C177-D177-E177</f>
        <v>744933175</v>
      </c>
      <c r="G177" s="89">
        <f>ROUND(D177/C177,3)</f>
        <v>9.9000000000000005E-2</v>
      </c>
    </row>
    <row r="178" spans="2:7" x14ac:dyDescent="0.15">
      <c r="B178" s="47" t="s">
        <v>236</v>
      </c>
    </row>
    <row r="179" spans="2:7" x14ac:dyDescent="0.15">
      <c r="B179" s="47" t="s">
        <v>275</v>
      </c>
      <c r="C179" s="88">
        <f t="shared" ref="C179:F182" si="54">C103</f>
        <v>0</v>
      </c>
      <c r="D179" s="88">
        <f t="shared" si="54"/>
        <v>0</v>
      </c>
      <c r="E179" s="88">
        <f t="shared" si="54"/>
        <v>0</v>
      </c>
      <c r="F179" s="88">
        <f t="shared" si="54"/>
        <v>0</v>
      </c>
      <c r="G179" s="89" t="e">
        <f>ROUND(D179/C179,3)</f>
        <v>#DIV/0!</v>
      </c>
    </row>
    <row r="180" spans="2:7" x14ac:dyDescent="0.15">
      <c r="B180" s="47" t="s">
        <v>276</v>
      </c>
      <c r="C180" s="88">
        <f t="shared" si="54"/>
        <v>0</v>
      </c>
      <c r="D180" s="88">
        <f t="shared" si="54"/>
        <v>0</v>
      </c>
      <c r="E180" s="88">
        <f t="shared" si="54"/>
        <v>0</v>
      </c>
      <c r="F180" s="88">
        <f t="shared" si="54"/>
        <v>0</v>
      </c>
      <c r="G180" s="89" t="e">
        <f>ROUND(D180/C180,3)</f>
        <v>#DIV/0!</v>
      </c>
    </row>
    <row r="181" spans="2:7" x14ac:dyDescent="0.15">
      <c r="B181" s="47" t="s">
        <v>373</v>
      </c>
      <c r="C181" s="88">
        <f t="shared" si="54"/>
        <v>23298000</v>
      </c>
      <c r="D181" s="88">
        <f t="shared" si="54"/>
        <v>1862000</v>
      </c>
      <c r="E181" s="88">
        <f t="shared" si="54"/>
        <v>0</v>
      </c>
      <c r="F181" s="88">
        <f t="shared" si="54"/>
        <v>21436000</v>
      </c>
      <c r="G181" s="89">
        <f>ROUND(D181/C181,3)</f>
        <v>0.08</v>
      </c>
    </row>
    <row r="182" spans="2:7" x14ac:dyDescent="0.15">
      <c r="B182" s="47" t="s">
        <v>374</v>
      </c>
      <c r="C182" s="88">
        <f t="shared" si="54"/>
        <v>51004000</v>
      </c>
      <c r="D182" s="88">
        <f t="shared" si="54"/>
        <v>2895000</v>
      </c>
      <c r="E182" s="88">
        <f t="shared" si="54"/>
        <v>0</v>
      </c>
      <c r="F182" s="88">
        <f t="shared" si="54"/>
        <v>48109000</v>
      </c>
      <c r="G182" s="89">
        <f>ROUND(D182/C182,3)</f>
        <v>5.7000000000000002E-2</v>
      </c>
    </row>
    <row r="184" spans="2:7" x14ac:dyDescent="0.15">
      <c r="B184" s="47" t="s">
        <v>277</v>
      </c>
    </row>
    <row r="185" spans="2:7" x14ac:dyDescent="0.15">
      <c r="B185" s="47" t="s">
        <v>275</v>
      </c>
      <c r="C185" s="88">
        <f t="shared" ref="C185:F188" si="55">C174+C179</f>
        <v>781675140</v>
      </c>
      <c r="D185" s="88">
        <f t="shared" si="55"/>
        <v>60722235</v>
      </c>
      <c r="E185" s="88">
        <f t="shared" si="55"/>
        <v>8618666</v>
      </c>
      <c r="F185" s="88">
        <f t="shared" si="55"/>
        <v>712334239</v>
      </c>
      <c r="G185" s="89">
        <f>ROUND(D185/C185,3)</f>
        <v>7.8E-2</v>
      </c>
    </row>
    <row r="186" spans="2:7" x14ac:dyDescent="0.15">
      <c r="B186" s="47" t="s">
        <v>276</v>
      </c>
      <c r="C186" s="88">
        <f t="shared" si="55"/>
        <v>804832265</v>
      </c>
      <c r="D186" s="88">
        <f t="shared" si="55"/>
        <v>58609687</v>
      </c>
      <c r="E186" s="88">
        <f t="shared" si="55"/>
        <v>8593182</v>
      </c>
      <c r="F186" s="88">
        <f t="shared" si="55"/>
        <v>737629396</v>
      </c>
      <c r="G186" s="89">
        <f>ROUND(D186/C186,3)</f>
        <v>7.2999999999999995E-2</v>
      </c>
    </row>
    <row r="187" spans="2:7" x14ac:dyDescent="0.15">
      <c r="B187" s="47" t="s">
        <v>373</v>
      </c>
      <c r="C187" s="88">
        <f t="shared" si="55"/>
        <v>845795449</v>
      </c>
      <c r="D187" s="88">
        <f t="shared" si="55"/>
        <v>70206747</v>
      </c>
      <c r="E187" s="88">
        <f t="shared" si="55"/>
        <v>8501953</v>
      </c>
      <c r="F187" s="88">
        <f t="shared" si="55"/>
        <v>767086749</v>
      </c>
      <c r="G187" s="89">
        <f>ROUND(D187/C187,3)</f>
        <v>8.3000000000000004E-2</v>
      </c>
    </row>
    <row r="188" spans="2:7" x14ac:dyDescent="0.15">
      <c r="B188" s="47" t="s">
        <v>374</v>
      </c>
      <c r="C188" s="88">
        <f t="shared" si="55"/>
        <v>887600966</v>
      </c>
      <c r="D188" s="88">
        <f t="shared" si="55"/>
        <v>86036150</v>
      </c>
      <c r="E188" s="88">
        <f t="shared" si="55"/>
        <v>8522641</v>
      </c>
      <c r="F188" s="88">
        <f t="shared" si="55"/>
        <v>793042175</v>
      </c>
      <c r="G188" s="89">
        <f>ROUND(D188/C188,3)</f>
        <v>9.7000000000000003E-2</v>
      </c>
    </row>
    <row r="190" spans="2:7" x14ac:dyDescent="0.15">
      <c r="B190" s="47" t="s">
        <v>272</v>
      </c>
    </row>
    <row r="191" spans="2:7" x14ac:dyDescent="0.15">
      <c r="B191" s="47" t="s">
        <v>275</v>
      </c>
      <c r="C191" s="88">
        <f>'FY 2010'!J96</f>
        <v>782245992</v>
      </c>
      <c r="D191" s="88">
        <f>'FY 2010'!J132</f>
        <v>60780549</v>
      </c>
      <c r="E191" s="88">
        <f>'FY 2010'!J133</f>
        <v>8618666</v>
      </c>
      <c r="F191" s="79">
        <f>C191-D191-E191</f>
        <v>712846777</v>
      </c>
      <c r="G191" s="89">
        <f>ROUND(D191/C191,3)</f>
        <v>7.8E-2</v>
      </c>
    </row>
    <row r="192" spans="2:7" x14ac:dyDescent="0.15">
      <c r="B192" s="47" t="s">
        <v>276</v>
      </c>
      <c r="C192" s="88">
        <f>'FY 2011'!J93</f>
        <v>805394833</v>
      </c>
      <c r="D192" s="88">
        <f>'FY 2011'!J128</f>
        <v>58443748</v>
      </c>
      <c r="E192" s="88">
        <f>'FY 2011'!J129</f>
        <v>8593182</v>
      </c>
      <c r="F192" s="79">
        <f>C192-D192-E192</f>
        <v>738357903</v>
      </c>
      <c r="G192" s="89">
        <f>ROUND(D192/C192,3)</f>
        <v>7.2999999999999995E-2</v>
      </c>
    </row>
    <row r="193" spans="1:7" x14ac:dyDescent="0.15">
      <c r="B193" s="47" t="s">
        <v>373</v>
      </c>
      <c r="C193" s="88">
        <f>'FY 2012'!J93</f>
        <v>822570396</v>
      </c>
      <c r="D193" s="88">
        <f>'FY 2012'!J128</f>
        <v>68309383</v>
      </c>
      <c r="E193" s="88">
        <f>'FY 2012'!J129</f>
        <v>8501953</v>
      </c>
      <c r="F193" s="79">
        <f>C193-D193-E193</f>
        <v>745759060</v>
      </c>
      <c r="G193" s="89">
        <f>ROUND(D193/C193,3)</f>
        <v>8.3000000000000004E-2</v>
      </c>
    </row>
    <row r="194" spans="1:7" x14ac:dyDescent="0.15">
      <c r="B194" s="47" t="s">
        <v>374</v>
      </c>
      <c r="C194" s="88">
        <f>'FY 2013'!J93</f>
        <v>895199708</v>
      </c>
      <c r="D194" s="88">
        <f>'FY 2013'!J128</f>
        <v>84080465</v>
      </c>
      <c r="E194" s="88">
        <f>'FY 2013'!J129</f>
        <v>8501953</v>
      </c>
      <c r="F194" s="79">
        <f>C194-D194-E194</f>
        <v>802617290</v>
      </c>
      <c r="G194" s="89">
        <f>ROUND(D194/C194,3)</f>
        <v>9.4E-2</v>
      </c>
    </row>
    <row r="196" spans="1:7" x14ac:dyDescent="0.15">
      <c r="B196" s="47" t="s">
        <v>278</v>
      </c>
    </row>
    <row r="197" spans="1:7" x14ac:dyDescent="0.15">
      <c r="B197" s="47" t="s">
        <v>275</v>
      </c>
      <c r="C197" s="88">
        <f t="shared" ref="C197:F200" si="56">C185-C191</f>
        <v>-570852</v>
      </c>
      <c r="D197" s="88">
        <f t="shared" si="56"/>
        <v>-58314</v>
      </c>
      <c r="E197" s="88">
        <f t="shared" si="56"/>
        <v>0</v>
      </c>
      <c r="F197" s="88">
        <f t="shared" si="56"/>
        <v>-512538</v>
      </c>
      <c r="G197" s="89"/>
    </row>
    <row r="198" spans="1:7" x14ac:dyDescent="0.15">
      <c r="B198" s="47" t="s">
        <v>276</v>
      </c>
      <c r="C198" s="88">
        <f t="shared" si="56"/>
        <v>-562568</v>
      </c>
      <c r="D198" s="88">
        <f t="shared" si="56"/>
        <v>165939</v>
      </c>
      <c r="E198" s="88">
        <f t="shared" si="56"/>
        <v>0</v>
      </c>
      <c r="F198" s="88">
        <f t="shared" si="56"/>
        <v>-728507</v>
      </c>
      <c r="G198" s="89"/>
    </row>
    <row r="199" spans="1:7" x14ac:dyDescent="0.15">
      <c r="B199" s="47" t="s">
        <v>373</v>
      </c>
      <c r="C199" s="88">
        <f t="shared" si="56"/>
        <v>23225053</v>
      </c>
      <c r="D199" s="88">
        <f t="shared" si="56"/>
        <v>1897364</v>
      </c>
      <c r="E199" s="88">
        <f t="shared" si="56"/>
        <v>0</v>
      </c>
      <c r="F199" s="88">
        <f t="shared" si="56"/>
        <v>21327689</v>
      </c>
      <c r="G199" s="89"/>
    </row>
    <row r="200" spans="1:7" x14ac:dyDescent="0.15">
      <c r="B200" s="47" t="s">
        <v>374</v>
      </c>
      <c r="C200" s="88">
        <f t="shared" si="56"/>
        <v>-7598742</v>
      </c>
      <c r="D200" s="88">
        <f t="shared" si="56"/>
        <v>1955685</v>
      </c>
      <c r="E200" s="88">
        <f t="shared" si="56"/>
        <v>20688</v>
      </c>
      <c r="F200" s="88">
        <f t="shared" si="56"/>
        <v>-9575115</v>
      </c>
      <c r="G200" s="89"/>
    </row>
    <row r="201" spans="1:7" hidden="1" x14ac:dyDescent="0.15">
      <c r="A201" s="64" t="s">
        <v>280</v>
      </c>
    </row>
    <row r="202" spans="1:7" hidden="1" x14ac:dyDescent="0.15">
      <c r="A202" s="64" t="s">
        <v>282</v>
      </c>
    </row>
    <row r="203" spans="1:7" hidden="1" x14ac:dyDescent="0.15"/>
    <row r="204" spans="1:7" hidden="1" x14ac:dyDescent="0.15">
      <c r="B204" s="47" t="s">
        <v>277</v>
      </c>
    </row>
    <row r="205" spans="1:7" hidden="1" x14ac:dyDescent="0.15">
      <c r="B205" s="47" t="s">
        <v>274</v>
      </c>
      <c r="C205" s="88">
        <v>723111857</v>
      </c>
      <c r="D205" s="88">
        <v>79217394</v>
      </c>
      <c r="E205" s="88">
        <v>8587792</v>
      </c>
      <c r="F205" s="88">
        <v>635306671</v>
      </c>
    </row>
    <row r="206" spans="1:7" hidden="1" x14ac:dyDescent="0.15">
      <c r="B206" s="47" t="s">
        <v>275</v>
      </c>
      <c r="C206" s="88">
        <v>808198367</v>
      </c>
      <c r="D206" s="88">
        <v>62100576</v>
      </c>
      <c r="E206" s="88">
        <v>8587792</v>
      </c>
      <c r="F206" s="88">
        <v>737509999</v>
      </c>
    </row>
    <row r="207" spans="1:7" hidden="1" x14ac:dyDescent="0.15">
      <c r="B207" s="47" t="s">
        <v>276</v>
      </c>
      <c r="C207" s="88">
        <v>918369520</v>
      </c>
      <c r="D207" s="88">
        <v>47171038</v>
      </c>
      <c r="E207" s="88">
        <v>8587792</v>
      </c>
      <c r="F207" s="88">
        <v>862610690</v>
      </c>
    </row>
    <row r="208" spans="1:7" hidden="1" x14ac:dyDescent="0.15"/>
    <row r="209" spans="2:6" hidden="1" x14ac:dyDescent="0.15">
      <c r="B209" s="47" t="s">
        <v>283</v>
      </c>
    </row>
    <row r="210" spans="2:6" hidden="1" x14ac:dyDescent="0.15">
      <c r="B210" s="47" t="s">
        <v>165</v>
      </c>
      <c r="C210" s="88">
        <v>170145481.99999994</v>
      </c>
      <c r="D210" s="88">
        <v>15984820.960000023</v>
      </c>
      <c r="E210" s="88">
        <v>297074.28999999829</v>
      </c>
      <c r="F210" s="117">
        <v>153863586.74999991</v>
      </c>
    </row>
    <row r="211" spans="2:6" hidden="1" x14ac:dyDescent="0.15">
      <c r="B211" s="47" t="s">
        <v>249</v>
      </c>
      <c r="C211" s="88">
        <v>178949653.99999991</v>
      </c>
      <c r="D211" s="88">
        <v>11184907.219999965</v>
      </c>
      <c r="E211" s="88">
        <v>297074.28999999829</v>
      </c>
      <c r="F211" s="117">
        <v>167467672.48999995</v>
      </c>
    </row>
    <row r="212" spans="2:6" hidden="1" x14ac:dyDescent="0.15">
      <c r="B212" s="47" t="s">
        <v>250</v>
      </c>
      <c r="C212" s="88">
        <v>183799592.99999979</v>
      </c>
      <c r="D212" s="88">
        <v>6543626.1500000209</v>
      </c>
      <c r="E212" s="88">
        <v>297074.28999999829</v>
      </c>
      <c r="F212" s="117">
        <v>176958892.55999979</v>
      </c>
    </row>
    <row r="213" spans="2:6" hidden="1" x14ac:dyDescent="0.15"/>
    <row r="214" spans="2:6" hidden="1" x14ac:dyDescent="0.15">
      <c r="B214" s="47" t="s">
        <v>284</v>
      </c>
    </row>
    <row r="215" spans="2:6" hidden="1" x14ac:dyDescent="0.15">
      <c r="B215" s="47" t="s">
        <v>275</v>
      </c>
      <c r="C215" s="88">
        <v>71138000</v>
      </c>
      <c r="D215" s="88">
        <v>2775000</v>
      </c>
      <c r="E215" s="88">
        <v>0</v>
      </c>
      <c r="F215" s="88">
        <v>68363000</v>
      </c>
    </row>
    <row r="216" spans="2:6" hidden="1" x14ac:dyDescent="0.15">
      <c r="B216" s="47" t="s">
        <v>276</v>
      </c>
      <c r="C216" s="88">
        <v>172510000</v>
      </c>
      <c r="D216" s="88">
        <v>3835000</v>
      </c>
      <c r="E216" s="88">
        <v>0</v>
      </c>
      <c r="F216" s="88">
        <v>168675000</v>
      </c>
    </row>
    <row r="217" spans="2:6" hidden="1" x14ac:dyDescent="0.15"/>
    <row r="218" spans="2:6" hidden="1" x14ac:dyDescent="0.15">
      <c r="B218" s="47" t="s">
        <v>285</v>
      </c>
    </row>
    <row r="219" spans="2:6" hidden="1" x14ac:dyDescent="0.15">
      <c r="B219" s="47" t="s">
        <v>165</v>
      </c>
      <c r="C219" s="88">
        <f>C210</f>
        <v>170145481.99999994</v>
      </c>
      <c r="D219" s="88">
        <f>D210</f>
        <v>15984820.960000023</v>
      </c>
      <c r="E219" s="88">
        <f>E210</f>
        <v>297074.28999999829</v>
      </c>
      <c r="F219" s="88">
        <f>F210</f>
        <v>153863586.74999991</v>
      </c>
    </row>
    <row r="220" spans="2:6" hidden="1" x14ac:dyDescent="0.15">
      <c r="B220" s="47" t="s">
        <v>249</v>
      </c>
      <c r="C220" s="88">
        <f t="shared" ref="C220:F221" si="57">C211+C215</f>
        <v>250087653.99999991</v>
      </c>
      <c r="D220" s="88">
        <f t="shared" si="57"/>
        <v>13959907.219999965</v>
      </c>
      <c r="E220" s="88">
        <f t="shared" si="57"/>
        <v>297074.28999999829</v>
      </c>
      <c r="F220" s="88">
        <f t="shared" si="57"/>
        <v>235830672.48999995</v>
      </c>
    </row>
    <row r="221" spans="2:6" hidden="1" x14ac:dyDescent="0.15">
      <c r="B221" s="47" t="s">
        <v>250</v>
      </c>
      <c r="C221" s="88">
        <f t="shared" si="57"/>
        <v>356309592.99999976</v>
      </c>
      <c r="D221" s="88">
        <f t="shared" si="57"/>
        <v>10378626.150000021</v>
      </c>
      <c r="E221" s="88">
        <f t="shared" si="57"/>
        <v>297074.28999999829</v>
      </c>
      <c r="F221" s="88">
        <f t="shared" si="57"/>
        <v>345633892.55999982</v>
      </c>
    </row>
    <row r="222" spans="2:6" hidden="1" x14ac:dyDescent="0.15"/>
    <row r="223" spans="2:6" hidden="1" x14ac:dyDescent="0.15">
      <c r="B223" s="47" t="s">
        <v>286</v>
      </c>
    </row>
    <row r="224" spans="2:6" hidden="1" x14ac:dyDescent="0.15">
      <c r="B224" s="47" t="s">
        <v>165</v>
      </c>
      <c r="C224" s="88">
        <f t="shared" ref="C224:F226" si="58">C205-C219</f>
        <v>552966375</v>
      </c>
      <c r="D224" s="88">
        <f t="shared" si="58"/>
        <v>63232573.039999977</v>
      </c>
      <c r="E224" s="88">
        <f t="shared" si="58"/>
        <v>8290717.7100000018</v>
      </c>
      <c r="F224" s="88">
        <f t="shared" si="58"/>
        <v>481443084.25000012</v>
      </c>
    </row>
    <row r="225" spans="2:6" hidden="1" x14ac:dyDescent="0.15">
      <c r="B225" s="47" t="s">
        <v>249</v>
      </c>
      <c r="C225" s="88">
        <f t="shared" si="58"/>
        <v>558110713.00000012</v>
      </c>
      <c r="D225" s="88">
        <f t="shared" si="58"/>
        <v>48140668.780000031</v>
      </c>
      <c r="E225" s="88">
        <f t="shared" si="58"/>
        <v>8290717.7100000018</v>
      </c>
      <c r="F225" s="88">
        <f t="shared" si="58"/>
        <v>501679326.51000005</v>
      </c>
    </row>
    <row r="226" spans="2:6" hidden="1" x14ac:dyDescent="0.15">
      <c r="B226" s="47" t="s">
        <v>250</v>
      </c>
      <c r="C226" s="88">
        <f t="shared" si="58"/>
        <v>562059927.00000024</v>
      </c>
      <c r="D226" s="88">
        <f t="shared" si="58"/>
        <v>36792411.849999979</v>
      </c>
      <c r="E226" s="88">
        <f t="shared" si="58"/>
        <v>8290717.7100000018</v>
      </c>
      <c r="F226" s="88">
        <f t="shared" si="58"/>
        <v>516976797.44000018</v>
      </c>
    </row>
    <row r="227" spans="2:6" hidden="1" x14ac:dyDescent="0.15"/>
    <row r="228" spans="2:6" hidden="1" x14ac:dyDescent="0.15">
      <c r="B228" s="47" t="s">
        <v>272</v>
      </c>
    </row>
    <row r="229" spans="2:6" hidden="1" x14ac:dyDescent="0.15">
      <c r="B229" s="47" t="s">
        <v>274</v>
      </c>
      <c r="C229" s="88">
        <v>727996293</v>
      </c>
      <c r="D229" s="88">
        <v>77547630</v>
      </c>
      <c r="E229" s="88">
        <v>8704000</v>
      </c>
      <c r="F229" s="79">
        <f>C229-D229-E229</f>
        <v>641744663</v>
      </c>
    </row>
    <row r="230" spans="2:6" hidden="1" x14ac:dyDescent="0.15">
      <c r="B230" s="47" t="s">
        <v>275</v>
      </c>
      <c r="C230" s="88">
        <v>785220800</v>
      </c>
      <c r="D230" s="88">
        <v>56210292</v>
      </c>
      <c r="E230" s="88">
        <v>8704000</v>
      </c>
      <c r="F230" s="79">
        <f>C230-D230-E230</f>
        <v>720306508</v>
      </c>
    </row>
    <row r="231" spans="2:6" hidden="1" x14ac:dyDescent="0.15">
      <c r="B231" s="47" t="s">
        <v>276</v>
      </c>
      <c r="C231" s="88">
        <v>857440116</v>
      </c>
      <c r="D231" s="88">
        <v>42581621</v>
      </c>
      <c r="E231" s="88">
        <v>8704000</v>
      </c>
      <c r="F231" s="79">
        <f>C231-D231-E231</f>
        <v>806154495</v>
      </c>
    </row>
    <row r="232" spans="2:6" hidden="1" x14ac:dyDescent="0.15"/>
    <row r="233" spans="2:6" hidden="1" x14ac:dyDescent="0.15">
      <c r="B233" s="47" t="s">
        <v>287</v>
      </c>
    </row>
    <row r="234" spans="2:6" hidden="1" x14ac:dyDescent="0.15">
      <c r="B234" s="47" t="s">
        <v>288</v>
      </c>
    </row>
    <row r="235" spans="2:6" hidden="1" x14ac:dyDescent="0.15">
      <c r="B235" s="47" t="s">
        <v>274</v>
      </c>
      <c r="C235" s="88">
        <f t="shared" ref="C235:F237" si="59">C224-C229</f>
        <v>-175029918</v>
      </c>
      <c r="D235" s="88">
        <f t="shared" si="59"/>
        <v>-14315056.960000023</v>
      </c>
      <c r="E235" s="88">
        <f t="shared" si="59"/>
        <v>-413282.28999999817</v>
      </c>
      <c r="F235" s="88">
        <f t="shared" si="59"/>
        <v>-160301578.74999988</v>
      </c>
    </row>
    <row r="236" spans="2:6" hidden="1" x14ac:dyDescent="0.15">
      <c r="B236" s="47" t="s">
        <v>275</v>
      </c>
      <c r="C236" s="88">
        <f t="shared" si="59"/>
        <v>-227110086.99999988</v>
      </c>
      <c r="D236" s="88">
        <f t="shared" si="59"/>
        <v>-8069623.219999969</v>
      </c>
      <c r="E236" s="88">
        <f t="shared" si="59"/>
        <v>-413282.28999999817</v>
      </c>
      <c r="F236" s="88">
        <f t="shared" si="59"/>
        <v>-218627181.48999995</v>
      </c>
    </row>
    <row r="237" spans="2:6" hidden="1" x14ac:dyDescent="0.15">
      <c r="B237" s="47" t="s">
        <v>276</v>
      </c>
      <c r="C237" s="88">
        <f t="shared" si="59"/>
        <v>-295380188.99999976</v>
      </c>
      <c r="D237" s="88">
        <f t="shared" si="59"/>
        <v>-5789209.1500000209</v>
      </c>
      <c r="E237" s="88">
        <f t="shared" si="59"/>
        <v>-413282.28999999817</v>
      </c>
      <c r="F237" s="88">
        <f t="shared" si="59"/>
        <v>-289177697.55999982</v>
      </c>
    </row>
    <row r="238" spans="2:6" hidden="1" x14ac:dyDescent="0.15"/>
    <row r="239" spans="2:6" hidden="1" x14ac:dyDescent="0.15">
      <c r="B239" s="47" t="s">
        <v>287</v>
      </c>
    </row>
    <row r="240" spans="2:6" hidden="1" x14ac:dyDescent="0.15">
      <c r="B240" s="47" t="s">
        <v>289</v>
      </c>
    </row>
    <row r="241" spans="2:6" hidden="1" x14ac:dyDescent="0.15">
      <c r="B241" s="47" t="s">
        <v>274</v>
      </c>
      <c r="C241" s="88">
        <f t="shared" ref="C241:F243" si="60">C219</f>
        <v>170145481.99999994</v>
      </c>
      <c r="D241" s="88">
        <f t="shared" si="60"/>
        <v>15984820.960000023</v>
      </c>
      <c r="E241" s="88">
        <f t="shared" si="60"/>
        <v>297074.28999999829</v>
      </c>
      <c r="F241" s="88">
        <f t="shared" si="60"/>
        <v>153863586.74999991</v>
      </c>
    </row>
    <row r="242" spans="2:6" hidden="1" x14ac:dyDescent="0.15">
      <c r="B242" s="47" t="s">
        <v>275</v>
      </c>
      <c r="C242" s="88">
        <f t="shared" si="60"/>
        <v>250087653.99999991</v>
      </c>
      <c r="D242" s="88">
        <f t="shared" si="60"/>
        <v>13959907.219999965</v>
      </c>
      <c r="E242" s="88">
        <f t="shared" si="60"/>
        <v>297074.28999999829</v>
      </c>
      <c r="F242" s="88">
        <f t="shared" si="60"/>
        <v>235830672.48999995</v>
      </c>
    </row>
    <row r="243" spans="2:6" hidden="1" x14ac:dyDescent="0.15">
      <c r="B243" s="47" t="s">
        <v>276</v>
      </c>
      <c r="C243" s="88">
        <f t="shared" si="60"/>
        <v>356309592.99999976</v>
      </c>
      <c r="D243" s="88">
        <f t="shared" si="60"/>
        <v>10378626.150000021</v>
      </c>
      <c r="E243" s="88">
        <f t="shared" si="60"/>
        <v>297074.28999999829</v>
      </c>
      <c r="F243" s="88">
        <f t="shared" si="60"/>
        <v>345633892.55999982</v>
      </c>
    </row>
    <row r="244" spans="2:6" hidden="1" x14ac:dyDescent="0.15"/>
    <row r="245" spans="2:6" hidden="1" x14ac:dyDescent="0.15">
      <c r="B245" s="47" t="s">
        <v>287</v>
      </c>
    </row>
    <row r="246" spans="2:6" hidden="1" x14ac:dyDescent="0.15">
      <c r="B246" s="47" t="s">
        <v>290</v>
      </c>
    </row>
    <row r="247" spans="2:6" hidden="1" x14ac:dyDescent="0.15">
      <c r="B247" s="47" t="s">
        <v>274</v>
      </c>
      <c r="C247" s="88">
        <f t="shared" ref="C247:F249" si="61">C235+C241</f>
        <v>-4884436.0000000596</v>
      </c>
      <c r="D247" s="88">
        <f t="shared" si="61"/>
        <v>1669764</v>
      </c>
      <c r="E247" s="88">
        <f t="shared" si="61"/>
        <v>-116207.99999999988</v>
      </c>
      <c r="F247" s="88">
        <f t="shared" si="61"/>
        <v>-6437991.9999999702</v>
      </c>
    </row>
    <row r="248" spans="2:6" hidden="1" x14ac:dyDescent="0.15">
      <c r="B248" s="47" t="s">
        <v>275</v>
      </c>
      <c r="C248" s="88">
        <f t="shared" si="61"/>
        <v>22977567.00000003</v>
      </c>
      <c r="D248" s="88">
        <f t="shared" si="61"/>
        <v>5890283.9999999963</v>
      </c>
      <c r="E248" s="88">
        <f t="shared" si="61"/>
        <v>-116207.99999999988</v>
      </c>
      <c r="F248" s="88">
        <f t="shared" si="61"/>
        <v>17203491</v>
      </c>
    </row>
    <row r="249" spans="2:6" hidden="1" x14ac:dyDescent="0.15">
      <c r="B249" s="47" t="s">
        <v>276</v>
      </c>
      <c r="C249" s="88">
        <f t="shared" si="61"/>
        <v>60929404</v>
      </c>
      <c r="D249" s="88">
        <f t="shared" si="61"/>
        <v>4589417</v>
      </c>
      <c r="E249" s="88">
        <f t="shared" si="61"/>
        <v>-116207.99999999988</v>
      </c>
      <c r="F249" s="88">
        <f t="shared" si="61"/>
        <v>56456195</v>
      </c>
    </row>
    <row r="250" spans="2:6" hidden="1" x14ac:dyDescent="0.15"/>
    <row r="251" spans="2:6" hidden="1" x14ac:dyDescent="0.15">
      <c r="B251" s="47" t="s">
        <v>291</v>
      </c>
    </row>
    <row r="252" spans="2:6" hidden="1" x14ac:dyDescent="0.15">
      <c r="B252" s="47" t="s">
        <v>290</v>
      </c>
    </row>
    <row r="253" spans="2:6" hidden="1" x14ac:dyDescent="0.15">
      <c r="B253" s="47" t="s">
        <v>274</v>
      </c>
      <c r="C253" s="96">
        <f t="shared" ref="C253:F255" si="62">C247/C229</f>
        <v>-6.7094242744997869E-3</v>
      </c>
      <c r="D253" s="96">
        <f t="shared" si="62"/>
        <v>2.1532108718216147E-2</v>
      </c>
      <c r="E253" s="96">
        <f t="shared" si="62"/>
        <v>-1.3351102941176458E-2</v>
      </c>
      <c r="F253" s="96">
        <f t="shared" si="62"/>
        <v>-1.0032014866947121E-2</v>
      </c>
    </row>
    <row r="254" spans="2:6" hidden="1" x14ac:dyDescent="0.15">
      <c r="B254" s="47" t="s">
        <v>275</v>
      </c>
      <c r="C254" s="96">
        <f t="shared" si="62"/>
        <v>2.9262555194666303E-2</v>
      </c>
      <c r="D254" s="96">
        <f t="shared" si="62"/>
        <v>0.10479013345100567</v>
      </c>
      <c r="E254" s="96">
        <f t="shared" si="62"/>
        <v>-1.3351102941176458E-2</v>
      </c>
      <c r="F254" s="96">
        <f t="shared" si="62"/>
        <v>2.3883570131508516E-2</v>
      </c>
    </row>
    <row r="255" spans="2:6" hidden="1" x14ac:dyDescent="0.15">
      <c r="B255" s="47" t="s">
        <v>276</v>
      </c>
      <c r="C255" s="96">
        <f t="shared" si="62"/>
        <v>7.1059661034100718E-2</v>
      </c>
      <c r="D255" s="96">
        <f t="shared" si="62"/>
        <v>0.10777929285500897</v>
      </c>
      <c r="E255" s="96">
        <f t="shared" si="62"/>
        <v>-1.3351102941176458E-2</v>
      </c>
      <c r="F255" s="96">
        <f t="shared" si="62"/>
        <v>7.0031483233247996E-2</v>
      </c>
    </row>
    <row r="256" spans="2:6" hidden="1" x14ac:dyDescent="0.15"/>
    <row r="257" spans="2:6" hidden="1" x14ac:dyDescent="0.15"/>
    <row r="258" spans="2:6" hidden="1" x14ac:dyDescent="0.15">
      <c r="B258" s="47" t="s">
        <v>277</v>
      </c>
    </row>
    <row r="259" spans="2:6" hidden="1" x14ac:dyDescent="0.15">
      <c r="B259" s="47" t="s">
        <v>274</v>
      </c>
      <c r="C259" s="88">
        <v>723111857</v>
      </c>
      <c r="D259" s="88">
        <v>79217394</v>
      </c>
      <c r="E259" s="88">
        <v>8587792</v>
      </c>
      <c r="F259" s="88">
        <v>635306671</v>
      </c>
    </row>
    <row r="260" spans="2:6" hidden="1" x14ac:dyDescent="0.15">
      <c r="B260" s="47" t="s">
        <v>275</v>
      </c>
      <c r="C260" s="88">
        <v>808198367</v>
      </c>
      <c r="D260" s="88">
        <v>62100576</v>
      </c>
      <c r="E260" s="88">
        <v>8587792</v>
      </c>
      <c r="F260" s="88">
        <v>737509999</v>
      </c>
    </row>
    <row r="261" spans="2:6" hidden="1" x14ac:dyDescent="0.15">
      <c r="B261" s="47" t="s">
        <v>276</v>
      </c>
      <c r="C261" s="88">
        <v>918369520</v>
      </c>
      <c r="D261" s="88">
        <v>47171038</v>
      </c>
      <c r="E261" s="88">
        <v>8587792</v>
      </c>
      <c r="F261" s="88">
        <v>862610690</v>
      </c>
    </row>
    <row r="262" spans="2:6" hidden="1" x14ac:dyDescent="0.15"/>
    <row r="263" spans="2:6" hidden="1" x14ac:dyDescent="0.15">
      <c r="B263" s="47" t="s">
        <v>272</v>
      </c>
    </row>
    <row r="264" spans="2:6" hidden="1" x14ac:dyDescent="0.15">
      <c r="B264" s="47" t="s">
        <v>274</v>
      </c>
      <c r="C264" s="88">
        <v>727996293</v>
      </c>
      <c r="D264" s="88">
        <v>77547630</v>
      </c>
      <c r="E264" s="88">
        <v>8704000</v>
      </c>
      <c r="F264" s="79">
        <f>C264-D264-E264</f>
        <v>641744663</v>
      </c>
    </row>
    <row r="265" spans="2:6" hidden="1" x14ac:dyDescent="0.15">
      <c r="B265" s="47" t="s">
        <v>275</v>
      </c>
      <c r="C265" s="88">
        <v>785220800</v>
      </c>
      <c r="D265" s="88">
        <v>56210292</v>
      </c>
      <c r="E265" s="88">
        <v>8704000</v>
      </c>
      <c r="F265" s="79">
        <f>C265-D265-E265</f>
        <v>720306508</v>
      </c>
    </row>
    <row r="266" spans="2:6" hidden="1" x14ac:dyDescent="0.15">
      <c r="B266" s="47" t="s">
        <v>276</v>
      </c>
      <c r="C266" s="88">
        <v>857440116</v>
      </c>
      <c r="D266" s="88">
        <v>42581621</v>
      </c>
      <c r="E266" s="88">
        <v>8704000</v>
      </c>
      <c r="F266" s="79">
        <f>C266-D266-E266</f>
        <v>806154495</v>
      </c>
    </row>
    <row r="267" spans="2:6" hidden="1" x14ac:dyDescent="0.15"/>
    <row r="268" spans="2:6" hidden="1" x14ac:dyDescent="0.15">
      <c r="B268" s="47" t="s">
        <v>292</v>
      </c>
    </row>
    <row r="269" spans="2:6" hidden="1" x14ac:dyDescent="0.15">
      <c r="B269" s="47" t="s">
        <v>274</v>
      </c>
      <c r="C269" s="88">
        <v>730306080</v>
      </c>
      <c r="D269" s="88">
        <v>77302226</v>
      </c>
      <c r="E269" s="88">
        <v>8704000</v>
      </c>
      <c r="F269" s="79">
        <f>C269-D269-E269</f>
        <v>644299854</v>
      </c>
    </row>
    <row r="270" spans="2:6" hidden="1" x14ac:dyDescent="0.15">
      <c r="B270" s="47" t="s">
        <v>275</v>
      </c>
      <c r="C270" s="88">
        <v>788203062</v>
      </c>
      <c r="D270" s="88">
        <v>58531050</v>
      </c>
      <c r="E270" s="88">
        <v>8704000</v>
      </c>
      <c r="F270" s="79">
        <f>C270-D270-E270</f>
        <v>720968012</v>
      </c>
    </row>
    <row r="271" spans="2:6" hidden="1" x14ac:dyDescent="0.15">
      <c r="B271" s="47" t="s">
        <v>276</v>
      </c>
      <c r="C271" s="88">
        <v>861238910</v>
      </c>
      <c r="D271" s="88">
        <v>44324251</v>
      </c>
      <c r="E271" s="88">
        <v>8704000</v>
      </c>
      <c r="F271" s="79">
        <f>C271-D271-E271</f>
        <v>808210659</v>
      </c>
    </row>
    <row r="272" spans="2:6" hidden="1" x14ac:dyDescent="0.15"/>
    <row r="273" spans="2:6" hidden="1" x14ac:dyDescent="0.15">
      <c r="B273" s="47" t="s">
        <v>287</v>
      </c>
    </row>
    <row r="274" spans="2:6" hidden="1" x14ac:dyDescent="0.15">
      <c r="B274" s="47" t="s">
        <v>288</v>
      </c>
    </row>
    <row r="275" spans="2:6" hidden="1" x14ac:dyDescent="0.15">
      <c r="B275" s="47" t="s">
        <v>274</v>
      </c>
      <c r="C275" s="88">
        <f t="shared" ref="C275:F277" si="63">C269-C264</f>
        <v>2309787</v>
      </c>
      <c r="D275" s="88">
        <f t="shared" si="63"/>
        <v>-245404</v>
      </c>
      <c r="E275" s="88">
        <f t="shared" si="63"/>
        <v>0</v>
      </c>
      <c r="F275" s="88">
        <f t="shared" si="63"/>
        <v>2555191</v>
      </c>
    </row>
    <row r="276" spans="2:6" hidden="1" x14ac:dyDescent="0.15">
      <c r="B276" s="47" t="s">
        <v>275</v>
      </c>
      <c r="C276" s="88">
        <f t="shared" si="63"/>
        <v>2982262</v>
      </c>
      <c r="D276" s="88">
        <f t="shared" si="63"/>
        <v>2320758</v>
      </c>
      <c r="E276" s="88">
        <f t="shared" si="63"/>
        <v>0</v>
      </c>
      <c r="F276" s="88">
        <f t="shared" si="63"/>
        <v>661504</v>
      </c>
    </row>
    <row r="277" spans="2:6" hidden="1" x14ac:dyDescent="0.15">
      <c r="B277" s="47" t="s">
        <v>276</v>
      </c>
      <c r="C277" s="88">
        <f t="shared" si="63"/>
        <v>3798794</v>
      </c>
      <c r="D277" s="88">
        <f t="shared" si="63"/>
        <v>1742630</v>
      </c>
      <c r="E277" s="88">
        <f t="shared" si="63"/>
        <v>0</v>
      </c>
      <c r="F277" s="88">
        <f t="shared" si="63"/>
        <v>2056164</v>
      </c>
    </row>
    <row r="278" spans="2:6" hidden="1" x14ac:dyDescent="0.15"/>
    <row r="279" spans="2:6" hidden="1" x14ac:dyDescent="0.15"/>
  </sheetData>
  <mergeCells count="3">
    <mergeCell ref="H4:L4"/>
    <mergeCell ref="M4:Q4"/>
    <mergeCell ref="C4:G4"/>
  </mergeCells>
  <phoneticPr fontId="0" type="noConversion"/>
  <printOptions gridLines="1"/>
  <pageMargins left="0.5" right="0" top="0.75" bottom="0.5" header="0.25" footer="0.25"/>
  <pageSetup scale="64" fitToHeight="0" orientation="landscape" r:id="rId1"/>
  <headerFooter alignWithMargins="0">
    <oddHeader>&amp;LMDE, Program Finance&amp;C&amp;A
&amp;F&amp;R&amp;D</oddHeader>
    <oddFooter>&amp;L&amp;F&amp;R&amp;A</oddFooter>
  </headerFooter>
  <rowBreaks count="3" manualBreakCount="3">
    <brk id="60" max="16" man="1"/>
    <brk id="115" max="16" man="1"/>
    <brk id="200" max="16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37</vt:i4>
      </vt:variant>
    </vt:vector>
  </HeadingPairs>
  <TitlesOfParts>
    <vt:vector size="69" baseType="lpstr">
      <vt:lpstr>Pupil Data</vt:lpstr>
      <vt:lpstr>SUMMARY-ALL YEARS</vt:lpstr>
      <vt:lpstr>FEB04 TEMPLATE</vt:lpstr>
      <vt:lpstr>SUMMARY-Approp Table</vt:lpstr>
      <vt:lpstr>FY 2003</vt:lpstr>
      <vt:lpstr>FY 2004</vt:lpstr>
      <vt:lpstr>FY 2005</vt:lpstr>
      <vt:lpstr>SUMMARY-Mike's Special Pupil</vt:lpstr>
      <vt:lpstr>CORRECTED-Mike's Special Pupil</vt:lpstr>
      <vt:lpstr>Test Change</vt:lpstr>
      <vt:lpstr>SUMMARY-Biennial</vt:lpstr>
      <vt:lpstr>FY 2006</vt:lpstr>
      <vt:lpstr>FY 2007</vt:lpstr>
      <vt:lpstr>MN Acad State Treasury Transfer</vt:lpstr>
      <vt:lpstr>Sch Tech &amp; Oper Cap</vt:lpstr>
      <vt:lpstr>TRA RED  FOR CHT</vt:lpstr>
      <vt:lpstr>FY 2008</vt:lpstr>
      <vt:lpstr>FY 2009</vt:lpstr>
      <vt:lpstr>FY 2010</vt:lpstr>
      <vt:lpstr>FY 2011</vt:lpstr>
      <vt:lpstr>FY 2012</vt:lpstr>
      <vt:lpstr>FY 2013</vt:lpstr>
      <vt:lpstr>FY 2014</vt:lpstr>
      <vt:lpstr>FY 2015</vt:lpstr>
      <vt:lpstr>Multipliers for Fudge Alt Att</vt:lpstr>
      <vt:lpstr>Equity Low Ave</vt:lpstr>
      <vt:lpstr>Charter Transp Factors</vt:lpstr>
      <vt:lpstr>NEW REF-BEFORE ELECTION-OLD</vt:lpstr>
      <vt:lpstr>NEW REF-AFTER ELECTION</vt:lpstr>
      <vt:lpstr>NEW REF-BEFORE ELECT-quick fix</vt:lpstr>
      <vt:lpstr>Ref Growth Change History</vt:lpstr>
      <vt:lpstr>NEW REF-BEFORE ELECTION</vt:lpstr>
      <vt:lpstr>'CORRECTED-Mike''s Special Pupil'!Print_Area</vt:lpstr>
      <vt:lpstr>'FEB04 TEMPLATE'!Print_Area</vt:lpstr>
      <vt:lpstr>'FY 2003'!Print_Area</vt:lpstr>
      <vt:lpstr>'FY 2004'!Print_Area</vt:lpstr>
      <vt:lpstr>'FY 2005'!Print_Area</vt:lpstr>
      <vt:lpstr>'FY 2006'!Print_Area</vt:lpstr>
      <vt:lpstr>'FY 2007'!Print_Area</vt:lpstr>
      <vt:lpstr>'FY 2008'!Print_Area</vt:lpstr>
      <vt:lpstr>'FY 2009'!Print_Area</vt:lpstr>
      <vt:lpstr>'FY 2010'!Print_Area</vt:lpstr>
      <vt:lpstr>'FY 2011'!Print_Area</vt:lpstr>
      <vt:lpstr>'FY 2012'!Print_Area</vt:lpstr>
      <vt:lpstr>'FY 2013'!Print_Area</vt:lpstr>
      <vt:lpstr>'FY 2014'!Print_Area</vt:lpstr>
      <vt:lpstr>'FY 2015'!Print_Area</vt:lpstr>
      <vt:lpstr>'NEW REF-AFTER ELECTION'!Print_Area</vt:lpstr>
      <vt:lpstr>'NEW REF-BEFORE ELECTION'!Print_Area</vt:lpstr>
      <vt:lpstr>'NEW REF-BEFORE ELECTION-OLD'!Print_Area</vt:lpstr>
      <vt:lpstr>'NEW REF-BEFORE ELECT-quick fix'!Print_Area</vt:lpstr>
      <vt:lpstr>'Pupil Data'!Print_Area</vt:lpstr>
      <vt:lpstr>'Sch Tech &amp; Oper Cap'!Print_Area</vt:lpstr>
      <vt:lpstr>'SUMMARY-ALL YEARS'!Print_Area</vt:lpstr>
      <vt:lpstr>'SUMMARY-Approp Table'!Print_Area</vt:lpstr>
      <vt:lpstr>'SUMMARY-Biennial'!Print_Area</vt:lpstr>
      <vt:lpstr>'SUMMARY-Mike''s Special Pupil'!Print_Area</vt:lpstr>
      <vt:lpstr>'Test Change'!Print_Area</vt:lpstr>
      <vt:lpstr>'TRA RED  FOR CHT'!Print_Area</vt:lpstr>
      <vt:lpstr>'FEB04 TEMPLATE'!Print_Area_MI</vt:lpstr>
      <vt:lpstr>'TRA RED  FOR CHT'!Print_Area_MI</vt:lpstr>
      <vt:lpstr>'NEW REF-AFTER ELECTION'!Print_Titles</vt:lpstr>
      <vt:lpstr>'NEW REF-BEFORE ELECTION'!Print_Titles</vt:lpstr>
      <vt:lpstr>'NEW REF-BEFORE ELECTION-OLD'!Print_Titles</vt:lpstr>
      <vt:lpstr>'NEW REF-BEFORE ELECT-quick fix'!Print_Titles</vt:lpstr>
      <vt:lpstr>'Pupil Data'!Print_Titles</vt:lpstr>
      <vt:lpstr>'SUMMARY-Approp Table'!Print_Titles</vt:lpstr>
      <vt:lpstr>'SUMMARY-Biennial'!Print_Titles</vt:lpstr>
      <vt:lpstr>'Test Change'!Print_Titles</vt:lpstr>
    </vt:vector>
  </TitlesOfParts>
  <Company>Children, Families &amp; Learning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Children, Families &amp; Learning</dc:creator>
  <cp:lastModifiedBy>Kostelecky, Teri</cp:lastModifiedBy>
  <cp:lastPrinted>2011-02-09T23:01:11Z</cp:lastPrinted>
  <dcterms:created xsi:type="dcterms:W3CDTF">2001-05-11T14:14:45Z</dcterms:created>
  <dcterms:modified xsi:type="dcterms:W3CDTF">2011-11-02T14:59:48Z</dcterms:modified>
</cp:coreProperties>
</file>