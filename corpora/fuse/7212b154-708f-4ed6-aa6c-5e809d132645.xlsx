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5" yWindow="405" windowWidth="15165"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76" i="1"/>
  <c r="J176" i="1"/>
  <c r="K176" i="1"/>
  <c r="D176" i="1"/>
  <c r="D175" i="1" l="1"/>
  <c r="I175" i="1" l="1"/>
  <c r="J175" i="1"/>
  <c r="K175" i="1"/>
  <c r="I174" i="1" l="1"/>
  <c r="J174" i="1"/>
  <c r="K174" i="1"/>
  <c r="D174" i="1"/>
  <c r="I173" i="1" l="1"/>
  <c r="J173" i="1"/>
  <c r="K173" i="1"/>
  <c r="D173" i="1"/>
  <c r="I172" i="1" l="1"/>
  <c r="J172" i="1"/>
  <c r="K172" i="1"/>
  <c r="D172" i="1"/>
  <c r="K171" i="1" l="1"/>
  <c r="J171" i="1"/>
  <c r="I171" i="1"/>
  <c r="K170" i="1"/>
  <c r="J170" i="1"/>
  <c r="D171" i="1"/>
  <c r="I197" i="1" l="1"/>
  <c r="I170" i="1" l="1"/>
  <c r="D170" i="1"/>
  <c r="I169" i="1" l="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<sst xmlns="http://schemas.openxmlformats.org/spreadsheetml/2006/main" count="155" uniqueCount="106">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</sst>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xf numFmtId="167" fontId="0" fillId="0" borderId="0" xfId="0" applyNumberFormat="1"/>
    <xf numFmtId="169"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Data!$J$152:$J$176</c:f>
              <c:numCache>
                <c:formatCode>_(* #,##0.000_);_(* \(#,##0.000\);_(* "-"??_);_(@_)</c:formatCode>
                <c:ptCount val="25"/>
                <c:pt idx="0">
                  <c:v>0.33314399999999994</c:v>
                </c:pt>
                <c:pt idx="1">
                  <c:v>0.29540679999999997</c:v>
                </c:pt>
                <c:pt idx="2">
                  <c:v>0.29638500000000001</c:v>
                </c:pt>
                <c:pt idx="3">
                  <c:v>0.34851879999999996</c:v>
                </c:pt>
                <c:pt idx="4">
                  <c:v>0.37033880000000002</c:v>
                </c:pt>
                <c:pt idx="5">
                  <c:v>0.35927699999999996</c:v>
                </c:pt>
                <c:pt idx="6">
                  <c:v>0.34331166000000002</c:v>
                </c:pt>
                <c:pt idx="7">
                  <c:v>0.33396989999999993</c:v>
                </c:pt>
                <c:pt idx="8">
                  <c:v>0.33132710000000004</c:v>
                </c:pt>
                <c:pt idx="9">
                  <c:v>0.36586275999999995</c:v>
                </c:pt>
                <c:pt idx="10">
                  <c:v>0.35350146000000005</c:v>
                </c:pt>
                <c:pt idx="11">
                  <c:v>0.32553686000000004</c:v>
                </c:pt>
                <c:pt idx="12">
                  <c:v>0.31752406</c:v>
                </c:pt>
                <c:pt idx="13">
                  <c:v>0.31144130000000003</c:v>
                </c:pt>
                <c:pt idx="14">
                  <c:v>0.31931406000000001</c:v>
                </c:pt>
                <c:pt idx="15">
                  <c:v>0.32864210000000005</c:v>
                </c:pt>
                <c:pt idx="16">
                  <c:v>0.33396989999999993</c:v>
                </c:pt>
                <c:pt idx="17">
                  <c:v>0.31765056000000003</c:v>
                </c:pt>
                <c:pt idx="18">
                  <c:v>0.31211350595161891</c:v>
                </c:pt>
                <c:pt idx="19">
                  <c:v>0.32019904648220449</c:v>
                </c:pt>
                <c:pt idx="20">
                  <c:v>0.3234125738185985</c:v>
                </c:pt>
                <c:pt idx="21">
                  <c:v>0.34261695469360054</c:v>
                </c:pt>
                <c:pt idx="22">
                  <c:v>0.34336191192762655</c:v>
                </c:pt>
                <c:pt idx="23">
                  <c:v>0.33638247385371528</c:v>
                </c:pt>
                <c:pt idx="24">
                  <c:v>0.33096092200564875</c:v>
                </c:pt>
              </c:numCache>
            </c:numRef>
          </c:val>
        </c:ser>
        <c:dLbls>
          <c:showLegendKey val="0"/>
          <c:showVal val="0"/>
          <c:showCatName val="0"/>
          <c:showSerName val="0"/>
          <c:showPercent val="0"/>
          <c:showBubbleSize val="0"/>
        </c:dLbls>
        <c:gapWidth val="150"/>
        <c:axId val="103097088"/>
        <c:axId val="103098624"/>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Data!$A$152:$A$176</c:f>
              <c:numCache>
                <c:formatCode>[$-409]mmm\-yy;@</c:formatCode>
                <c:ptCount val="25"/>
                <c:pt idx="0">
                  <c:v>41110</c:v>
                </c:pt>
                <c:pt idx="1">
                  <c:v>41142</c:v>
                </c:pt>
                <c:pt idx="2">
                  <c:v>41174</c:v>
                </c:pt>
                <c:pt idx="3">
                  <c:v>41206</c:v>
                </c:pt>
                <c:pt idx="4">
                  <c:v>41238</c:v>
                </c:pt>
                <c:pt idx="5">
                  <c:v>41270</c:v>
                </c:pt>
                <c:pt idx="6">
                  <c:v>41284</c:v>
                </c:pt>
                <c:pt idx="7">
                  <c:v>41316</c:v>
                </c:pt>
                <c:pt idx="8">
                  <c:v>41347</c:v>
                </c:pt>
                <c:pt idx="9">
                  <c:v>41379</c:v>
                </c:pt>
                <c:pt idx="10">
                  <c:v>41411</c:v>
                </c:pt>
                <c:pt idx="11">
                  <c:v>41443</c:v>
                </c:pt>
                <c:pt idx="12">
                  <c:v>41475</c:v>
                </c:pt>
                <c:pt idx="13">
                  <c:v>41507</c:v>
                </c:pt>
                <c:pt idx="14">
                  <c:v>41539</c:v>
                </c:pt>
                <c:pt idx="15">
                  <c:v>41571</c:v>
                </c:pt>
                <c:pt idx="16">
                  <c:v>41603</c:v>
                </c:pt>
                <c:pt idx="17">
                  <c:v>41635</c:v>
                </c:pt>
                <c:pt idx="18">
                  <c:v>41640</c:v>
                </c:pt>
                <c:pt idx="19">
                  <c:v>41671</c:v>
                </c:pt>
                <c:pt idx="20">
                  <c:v>41699</c:v>
                </c:pt>
                <c:pt idx="21">
                  <c:v>41730</c:v>
                </c:pt>
                <c:pt idx="22">
                  <c:v>41760</c:v>
                </c:pt>
                <c:pt idx="23">
                  <c:v>41791</c:v>
                </c:pt>
                <c:pt idx="24">
                  <c:v>41821</c:v>
                </c:pt>
              </c:numCache>
            </c:numRef>
          </c:cat>
          <c:val>
            <c:numRef>
              <c:f>Data!$K$152:$K$176</c:f>
              <c:numCache>
                <c:formatCode>0.000</c:formatCode>
                <c:ptCount val="25"/>
                <c:pt idx="0">
                  <c:v>0.23392700666666669</c:v>
                </c:pt>
                <c:pt idx="1">
                  <c:v>0.23898055666666665</c:v>
                </c:pt>
                <c:pt idx="2">
                  <c:v>0.23905966999999997</c:v>
                </c:pt>
                <c:pt idx="3">
                  <c:v>0.24370432333333333</c:v>
                </c:pt>
                <c:pt idx="4">
                  <c:v>0.24098059666666671</c:v>
                </c:pt>
                <c:pt idx="5">
                  <c:v>0.25250244666666666</c:v>
                </c:pt>
                <c:pt idx="6">
                  <c:v>0.27233748000000002</c:v>
                </c:pt>
                <c:pt idx="7">
                  <c:v>0.27203842333333333</c:v>
                </c:pt>
                <c:pt idx="8">
                  <c:v>0.25042706333333331</c:v>
                </c:pt>
                <c:pt idx="9">
                  <c:v>0.27356446333333334</c:v>
                </c:pt>
                <c:pt idx="10">
                  <c:v>0.31135697333333334</c:v>
                </c:pt>
                <c:pt idx="11">
                  <c:v>0.32868527333333336</c:v>
                </c:pt>
                <c:pt idx="12">
                  <c:v>0.31240759000000001</c:v>
                </c:pt>
                <c:pt idx="13">
                  <c:v>0.28572713999999999</c:v>
                </c:pt>
                <c:pt idx="14">
                  <c:v>0.2840022066666667</c:v>
                </c:pt>
                <c:pt idx="15">
                  <c:v>0.30089368999999999</c:v>
                </c:pt>
                <c:pt idx="16">
                  <c:v>0.30569941666666667</c:v>
                </c:pt>
                <c:pt idx="17">
                  <c:v>0.30946835</c:v>
                </c:pt>
                <c:pt idx="18">
                  <c:v>0.32012570999999995</c:v>
                </c:pt>
                <c:pt idx="19">
                  <c:v>0.31811384999999998</c:v>
                </c:pt>
                <c:pt idx="20">
                  <c:v>0.29090223999999998</c:v>
                </c:pt>
                <c:pt idx="21">
                  <c:v>0.32687747666666667</c:v>
                </c:pt>
                <c:pt idx="22">
                  <c:v>0.35210298666666667</c:v>
                </c:pt>
                <c:pt idx="23">
                  <c:v>0.35088321000000006</c:v>
                </c:pt>
                <c:pt idx="24">
                  <c:v>0.33369259333333329</c:v>
                </c:pt>
              </c:numCache>
            </c:numRef>
          </c:val>
          <c:smooth val="0"/>
        </c:ser>
        <c:dLbls>
          <c:showLegendKey val="0"/>
          <c:showVal val="0"/>
          <c:showCatName val="0"/>
          <c:showSerName val="0"/>
          <c:showPercent val="0"/>
          <c:showBubbleSize val="0"/>
        </c:dLbls>
        <c:marker val="1"/>
        <c:smooth val="0"/>
        <c:axId val="103097088"/>
        <c:axId val="103098624"/>
      </c:lineChart>
      <c:catAx>
        <c:axId val="103097088"/>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03098624"/>
        <c:crossesAt val="0"/>
        <c:auto val="0"/>
        <c:lblAlgn val="ctr"/>
        <c:lblOffset val="0"/>
        <c:tickLblSkip val="1"/>
        <c:tickMarkSkip val="2"/>
        <c:noMultiLvlLbl val="0"/>
      </c:catAx>
      <c:valAx>
        <c:axId val="103098624"/>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03097088"/>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layout/>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Data!$J$86:$J$169</c:f>
              <c:numCache>
                <c:formatCode>_(* #,##0.000_);_(* \(#,##0.000\);_(* "-"??_);_(@_)</c:formatCode>
                <c:ptCount val="84"/>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pt idx="72">
                  <c:v>0.34331166000000002</c:v>
                </c:pt>
                <c:pt idx="73">
                  <c:v>0.33396989999999993</c:v>
                </c:pt>
                <c:pt idx="74">
                  <c:v>0.33132710000000004</c:v>
                </c:pt>
                <c:pt idx="75">
                  <c:v>0.36586275999999995</c:v>
                </c:pt>
                <c:pt idx="76">
                  <c:v>0.35350146000000005</c:v>
                </c:pt>
                <c:pt idx="77">
                  <c:v>0.32553686000000004</c:v>
                </c:pt>
                <c:pt idx="78">
                  <c:v>0.31752406</c:v>
                </c:pt>
                <c:pt idx="79">
                  <c:v>0.31144130000000003</c:v>
                </c:pt>
                <c:pt idx="80">
                  <c:v>0.31931406000000001</c:v>
                </c:pt>
                <c:pt idx="81">
                  <c:v>0.32864210000000005</c:v>
                </c:pt>
                <c:pt idx="82">
                  <c:v>0.33396989999999993</c:v>
                </c:pt>
                <c:pt idx="83">
                  <c:v>0.31765056000000003</c:v>
                </c:pt>
              </c:numCache>
            </c:numRef>
          </c:val>
        </c:ser>
        <c:dLbls>
          <c:showLegendKey val="0"/>
          <c:showVal val="0"/>
          <c:showCatName val="0"/>
          <c:showSerName val="0"/>
          <c:showPercent val="0"/>
          <c:showBubbleSize val="0"/>
        </c:dLbls>
        <c:gapWidth val="150"/>
        <c:axId val="110950656"/>
        <c:axId val="110563712"/>
      </c:barChart>
      <c:lineChart>
        <c:grouping val="standard"/>
        <c:varyColors val="0"/>
        <c:ser>
          <c:idx val="0"/>
          <c:order val="1"/>
          <c:tx>
            <c:v>Highway diesel fuel ($/gallon)</c:v>
          </c:tx>
          <c:spPr>
            <a:ln>
              <a:solidFill>
                <a:srgbClr val="FF0000"/>
              </a:solidFill>
            </a:ln>
          </c:spPr>
          <c:marker>
            <c:symbol val="none"/>
          </c:marker>
          <c:cat>
            <c:numRef>
              <c:f>'WTI vs. HDF'!$A$94:$A$177</c:f>
              <c:numCache>
                <c:formatCode>[$-409]mmm\-yy;@</c:formatCode>
                <c:ptCount val="84"/>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pt idx="72">
                  <c:v>41275</c:v>
                </c:pt>
                <c:pt idx="73">
                  <c:v>41306</c:v>
                </c:pt>
                <c:pt idx="74">
                  <c:v>41334</c:v>
                </c:pt>
                <c:pt idx="75">
                  <c:v>41365</c:v>
                </c:pt>
                <c:pt idx="76">
                  <c:v>41395</c:v>
                </c:pt>
                <c:pt idx="77">
                  <c:v>41426</c:v>
                </c:pt>
                <c:pt idx="78">
                  <c:v>41456</c:v>
                </c:pt>
                <c:pt idx="79">
                  <c:v>41487</c:v>
                </c:pt>
                <c:pt idx="80">
                  <c:v>41518</c:v>
                </c:pt>
                <c:pt idx="81">
                  <c:v>41548</c:v>
                </c:pt>
                <c:pt idx="82">
                  <c:v>41579</c:v>
                </c:pt>
                <c:pt idx="83">
                  <c:v>41609</c:v>
                </c:pt>
              </c:numCache>
            </c:numRef>
          </c:cat>
          <c:val>
            <c:numRef>
              <c:f>'WTI vs. HDF'!$B$94:$B$177</c:f>
              <c:numCache>
                <c:formatCode>0.000</c:formatCode>
                <c:ptCount val="84"/>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pt idx="72">
                  <c:v>3.9089999999999998</c:v>
                </c:pt>
                <c:pt idx="73">
                  <c:v>4.1109999999999998</c:v>
                </c:pt>
                <c:pt idx="74">
                  <c:v>4.0679999999999996</c:v>
                </c:pt>
                <c:pt idx="75">
                  <c:v>3.93</c:v>
                </c:pt>
                <c:pt idx="76">
                  <c:v>3.87</c:v>
                </c:pt>
                <c:pt idx="77">
                  <c:v>3.8490000000000002</c:v>
                </c:pt>
                <c:pt idx="78">
                  <c:v>3.8660000000000001</c:v>
                </c:pt>
                <c:pt idx="79">
                  <c:v>3.9049999999999998</c:v>
                </c:pt>
                <c:pt idx="80">
                  <c:v>3.9609999999999999</c:v>
                </c:pt>
                <c:pt idx="81">
                  <c:v>3.8849999999999998</c:v>
                </c:pt>
                <c:pt idx="82">
                  <c:v>3.839</c:v>
                </c:pt>
                <c:pt idx="83">
                  <c:v>3.8820000000000001</c:v>
                </c:pt>
              </c:numCache>
            </c:numRef>
          </c:val>
          <c:smooth val="0"/>
        </c:ser>
        <c:dLbls>
          <c:showLegendKey val="0"/>
          <c:showVal val="0"/>
          <c:showCatName val="0"/>
          <c:showSerName val="0"/>
          <c:showPercent val="0"/>
          <c:showBubbleSize val="0"/>
        </c:dLbls>
        <c:marker val="1"/>
        <c:smooth val="0"/>
        <c:axId val="110580096"/>
        <c:axId val="110565632"/>
      </c:lineChart>
      <c:catAx>
        <c:axId val="110950656"/>
        <c:scaling>
          <c:orientation val="minMax"/>
        </c:scaling>
        <c:delete val="0"/>
        <c:axPos val="b"/>
        <c:title>
          <c:layout/>
          <c:overlay val="0"/>
        </c:title>
        <c:numFmt formatCode="[$-409]mmm\-yy;@" sourceLinked="0"/>
        <c:majorTickMark val="out"/>
        <c:minorTickMark val="none"/>
        <c:tickLblPos val="nextTo"/>
        <c:txPr>
          <a:bodyPr rot="-5400000" vert="horz"/>
          <a:lstStyle/>
          <a:p>
            <a:pPr>
              <a:defRPr/>
            </a:pPr>
            <a:endParaRPr lang="en-US"/>
          </a:p>
        </c:txPr>
        <c:crossAx val="110563712"/>
        <c:crossesAt val="0"/>
        <c:auto val="0"/>
        <c:lblAlgn val="ctr"/>
        <c:lblOffset val="0"/>
        <c:tickLblSkip val="3"/>
        <c:tickMarkSkip val="2"/>
        <c:noMultiLvlLbl val="0"/>
      </c:catAx>
      <c:valAx>
        <c:axId val="110563712"/>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10950656"/>
        <c:crosses val="autoZero"/>
        <c:crossBetween val="between"/>
      </c:valAx>
      <c:valAx>
        <c:axId val="110565632"/>
        <c:scaling>
          <c:orientation val="minMax"/>
        </c:scaling>
        <c:delete val="0"/>
        <c:axPos val="r"/>
        <c:title>
          <c:tx>
            <c:rich>
              <a:bodyPr rot="-5400000" vert="horz"/>
              <a:lstStyle/>
              <a:p>
                <a:pPr>
                  <a:defRPr/>
                </a:pPr>
                <a:r>
                  <a:rPr lang="en-US"/>
                  <a:t>Highway diesel fuel $/gal.</a:t>
                </a:r>
              </a:p>
            </c:rich>
          </c:tx>
          <c:layout/>
          <c:overlay val="0"/>
        </c:title>
        <c:numFmt formatCode="&quot;$&quot;#,##0.00" sourceLinked="0"/>
        <c:majorTickMark val="out"/>
        <c:minorTickMark val="none"/>
        <c:tickLblPos val="nextTo"/>
        <c:crossAx val="110580096"/>
        <c:crosses val="max"/>
        <c:crossBetween val="between"/>
      </c:valAx>
      <c:dateAx>
        <c:axId val="110580096"/>
        <c:scaling>
          <c:orientation val="minMax"/>
        </c:scaling>
        <c:delete val="1"/>
        <c:axPos val="b"/>
        <c:numFmt formatCode="[$-409]mmm\-yy;@" sourceLinked="1"/>
        <c:majorTickMark val="out"/>
        <c:minorTickMark val="none"/>
        <c:tickLblPos val="nextTo"/>
        <c:crossAx val="110565632"/>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July 2014: $</a:t>
          </a:r>
          <a:r>
            <a:rPr lang="en-US" sz="800" b="0" i="0">
              <a:latin typeface="Times New Roman" pitchFamily="18" charset="0"/>
              <a:ea typeface="+mn-ea"/>
              <a:cs typeface="Times New Roman" pitchFamily="18" charset="0"/>
            </a:rPr>
            <a:t>0.331, down 2% from l</a:t>
          </a:r>
          <a:r>
            <a:rPr lang="en-US" sz="800" b="0" i="0" strike="noStrike">
              <a:solidFill>
                <a:srgbClr val="000000"/>
              </a:solidFill>
              <a:latin typeface="Times New Roman" pitchFamily="18" charset="0"/>
              <a:cs typeface="Times New Roman" pitchFamily="18" charset="0"/>
            </a:rPr>
            <a:t>ast month's surcharge of $0.336/mile; up 4% from the</a:t>
          </a:r>
          <a:r>
            <a:rPr lang="en-US" sz="800" b="0" i="0" strike="noStrike" baseline="0">
              <a:solidFill>
                <a:srgbClr val="000000"/>
              </a:solidFill>
              <a:latin typeface="Times New Roman" pitchFamily="18" charset="0"/>
              <a:cs typeface="Times New Roman" pitchFamily="18" charset="0"/>
            </a:rPr>
            <a:t> July </a:t>
          </a:r>
          <a:r>
            <a:rPr lang="en-US" sz="800" b="0" i="0" strike="noStrike">
              <a:solidFill>
                <a:srgbClr val="000000"/>
              </a:solidFill>
              <a:latin typeface="Times New Roman" pitchFamily="18" charset="0"/>
              <a:cs typeface="Times New Roman" pitchFamily="18" charset="0"/>
            </a:rPr>
            <a:t>2013 surcharge of $0.318/mile; and down 1% from the July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$0.334/mile.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39119" y="913933"/>
          <a:ext cx="512950" cy="238411"/>
        </a:xfrm>
        <a:prstGeom xmlns:a="http://schemas.openxmlformats.org/drawingml/2006/main" prst="borderCallout1">
          <a:avLst>
            <a:gd name="adj1" fmla="val 102321"/>
            <a:gd name="adj2" fmla="val 76982"/>
            <a:gd name="adj3" fmla="val 165224"/>
            <a:gd name="adj4" fmla="val 92489"/>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$0.331</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49" activePane="bottomRight" state="frozen"/>
      <selection pane="topRight" activeCell="B1" sqref="B1"/>
      <selection pane="bottomLeft" activeCell="A7" sqref="A7"/>
      <selection pane="bottomRight" activeCell="AA183" sqref="AA183"/>
    </sheetView>
  </sheetViews>
  <sheetFormatPr defaultRowHeight="12.75"/>
  <cols>
    <col min="1" max="1" width="19" customWidth="1"/>
    <col min="2" max="8" width="8.5703125" customWidth="1"/>
    <col min="9" max="9" width="15.140625" bestFit="1" customWidth="1"/>
    <col min="10" max="10" width="10.7109375" customWidth="1"/>
    <col min="11" max="11" width="8.28515625" bestFit="1" customWidth="1"/>
    <col min="12" max="12" width="2.7109375" customWidth="1"/>
    <col min="13" max="13" width="17.5703125" customWidth="1"/>
    <col min="14" max="21" width="7.5703125" customWidth="1"/>
    <col min="23" max="23" width="3.2851562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5"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c r="X169" s="3">
        <v>0.25</v>
      </c>
      <c r="Y169" s="3">
        <v>0.25</v>
      </c>
    </row>
    <row r="170" spans="1:25">
      <c r="A170" s="4">
        <v>41640</v>
      </c>
      <c r="B170" s="18">
        <v>0.34</v>
      </c>
      <c r="C170" s="59">
        <v>0.29899999999999999</v>
      </c>
      <c r="D170" s="49">
        <f>AVERAGE(0.34,0.34)</f>
        <v>0.34</v>
      </c>
      <c r="E170" s="18">
        <v>0.46</v>
      </c>
      <c r="F170" s="18">
        <v>0.43</v>
      </c>
      <c r="G170" s="18">
        <v>0</v>
      </c>
      <c r="H170" s="18">
        <v>0.35</v>
      </c>
      <c r="I170" s="42">
        <f t="shared" ref="I170" si="66">AVERAGE(B170,C170,D170,E170,F170,G170,H170)</f>
        <v>0.317</v>
      </c>
      <c r="J170" s="41">
        <f t="shared" ref="J170:J175" si="67">SUM(B170*$B$197,C170*$C$197,D170*$D$197,E170*$E$197,F170*$F$197,G170*$G$197,H170*$H$197)</f>
        <v>0.31211350595161891</v>
      </c>
      <c r="K170" s="50">
        <f t="shared" ref="K170:K175" si="68">AVERAGE(J158,J146,J134)</f>
        <v>0.32012570999999995</v>
      </c>
      <c r="L170" s="50"/>
      <c r="M170" s="4">
        <v>41640</v>
      </c>
      <c r="U170" s="5"/>
      <c r="V170" s="3"/>
      <c r="X170" s="3">
        <v>0.255</v>
      </c>
      <c r="Y170" s="3">
        <v>0.255</v>
      </c>
    </row>
    <row r="171" spans="1:25">
      <c r="A171" s="4">
        <v>41671</v>
      </c>
      <c r="B171" s="18">
        <v>0.35</v>
      </c>
      <c r="C171" s="59">
        <v>0.30480000000000002</v>
      </c>
      <c r="D171" s="49">
        <f>AVERAGE(0.35,0.34)</f>
        <v>0.34499999999999997</v>
      </c>
      <c r="E171" s="18">
        <v>0.48</v>
      </c>
      <c r="F171" s="18">
        <v>0.44</v>
      </c>
      <c r="G171" s="18">
        <v>0</v>
      </c>
      <c r="H171" s="18">
        <v>0.36</v>
      </c>
      <c r="I171" s="42">
        <f t="shared" ref="I171" si="69">AVERAGE(B171,C171,D171,E171,F171,G171,H171)</f>
        <v>0.32568571428571425</v>
      </c>
      <c r="J171" s="41">
        <f t="shared" si="67"/>
        <v>0.32019904648220449</v>
      </c>
      <c r="K171" s="50">
        <f t="shared" si="68"/>
        <v>0.31811384999999998</v>
      </c>
      <c r="L171" s="50"/>
      <c r="M171" s="4">
        <v>41671</v>
      </c>
      <c r="U171" s="5"/>
      <c r="V171" s="3"/>
      <c r="X171" s="3">
        <v>0.255</v>
      </c>
      <c r="Y171" s="3">
        <v>0.26</v>
      </c>
    </row>
    <row r="172" spans="1:25">
      <c r="A172" s="4">
        <v>41699</v>
      </c>
      <c r="B172" s="18">
        <v>0.35</v>
      </c>
      <c r="C172" s="59">
        <v>0.3105</v>
      </c>
      <c r="D172" s="49">
        <f>AVERAGE(0.35,0.365)</f>
        <v>0.35749999999999998</v>
      </c>
      <c r="E172" s="18">
        <v>0.48</v>
      </c>
      <c r="F172" s="18">
        <v>0.44</v>
      </c>
      <c r="G172" s="18">
        <v>0</v>
      </c>
      <c r="H172" s="18">
        <v>0.36</v>
      </c>
      <c r="I172" s="42">
        <f t="shared" ref="I172" si="70">AVERAGE(B172,C172,D172,E172,F172,G172,H172)</f>
        <v>0.32828571428571429</v>
      </c>
      <c r="J172" s="41">
        <f t="shared" si="67"/>
        <v>0.3234125738185985</v>
      </c>
      <c r="K172" s="50">
        <f t="shared" si="68"/>
        <v>0.29090223999999998</v>
      </c>
      <c r="L172" s="50"/>
      <c r="M172" s="4">
        <v>41699</v>
      </c>
      <c r="U172" s="5"/>
      <c r="V172" s="3"/>
      <c r="X172" s="3">
        <v>0.26500000000000001</v>
      </c>
      <c r="Y172" s="3">
        <v>0.26</v>
      </c>
    </row>
    <row r="173" spans="1:25">
      <c r="A173" s="4">
        <v>41730</v>
      </c>
      <c r="B173" s="18">
        <v>0.38</v>
      </c>
      <c r="C173" s="59">
        <v>0.32779999999999998</v>
      </c>
      <c r="D173" s="49">
        <f>AVERAGE(0.37,0.365)</f>
        <v>0.36749999999999999</v>
      </c>
      <c r="E173" s="18">
        <v>0.5</v>
      </c>
      <c r="F173" s="18">
        <v>0.47</v>
      </c>
      <c r="G173" s="18">
        <v>0</v>
      </c>
      <c r="H173" s="18">
        <v>0.38</v>
      </c>
      <c r="I173" s="42">
        <f t="shared" ref="I173" si="71">AVERAGE(B173,C173,D173,E173,F173,G173,H173)</f>
        <v>0.3464714285714286</v>
      </c>
      <c r="J173" s="41">
        <f t="shared" si="67"/>
        <v>0.34261695469360054</v>
      </c>
      <c r="K173" s="50">
        <f t="shared" si="68"/>
        <v>0.32687747666666667</v>
      </c>
      <c r="L173" s="50"/>
      <c r="M173" s="4">
        <v>41730</v>
      </c>
      <c r="U173" s="5"/>
      <c r="V173" s="3"/>
      <c r="X173" s="3">
        <v>0.26500000000000001</v>
      </c>
      <c r="Y173" s="3">
        <v>0.26500000000000001</v>
      </c>
    </row>
    <row r="174" spans="1:25">
      <c r="A174" s="4">
        <v>41760</v>
      </c>
      <c r="B174" s="18">
        <v>0.38</v>
      </c>
      <c r="C174" s="59">
        <v>0.32779999999999998</v>
      </c>
      <c r="D174" s="49">
        <f>AVERAGE(0.36,0.36)</f>
        <v>0.36</v>
      </c>
      <c r="E174" s="18">
        <v>0.51</v>
      </c>
      <c r="F174" s="18">
        <v>0.47</v>
      </c>
      <c r="G174" s="18">
        <v>0</v>
      </c>
      <c r="H174" s="18">
        <v>0.39</v>
      </c>
      <c r="I174" s="42">
        <f t="shared" ref="I174:I175" si="72">AVERAGE(B174,C174,D174,E174,F174,G174,H174)</f>
        <v>0.34825714285714288</v>
      </c>
      <c r="J174" s="41">
        <f t="shared" si="67"/>
        <v>0.34336191192762655</v>
      </c>
      <c r="K174" s="50">
        <f t="shared" si="68"/>
        <v>0.35210298666666667</v>
      </c>
      <c r="L174" s="50"/>
      <c r="M174" s="4">
        <v>41760</v>
      </c>
      <c r="U174" s="5"/>
      <c r="V174" s="3"/>
      <c r="X174" s="3">
        <v>0.27</v>
      </c>
      <c r="Y174" s="3">
        <v>0.26500000000000001</v>
      </c>
    </row>
    <row r="175" spans="1:25">
      <c r="A175" s="4">
        <v>41791</v>
      </c>
      <c r="B175" s="18">
        <v>0.37</v>
      </c>
      <c r="C175" s="59">
        <v>0.32200000000000001</v>
      </c>
      <c r="D175" s="49">
        <f>AVERAGE(0.36,0.355)</f>
        <v>0.35749999999999998</v>
      </c>
      <c r="E175" s="18">
        <v>0.5</v>
      </c>
      <c r="F175" s="18">
        <v>0.46</v>
      </c>
      <c r="G175" s="18">
        <v>0</v>
      </c>
      <c r="H175" s="18">
        <v>0.38</v>
      </c>
      <c r="I175" s="42">
        <f t="shared" si="72"/>
        <v>0.34135714285714286</v>
      </c>
      <c r="J175" s="41">
        <f t="shared" si="67"/>
        <v>0.33638247385371528</v>
      </c>
      <c r="K175" s="50">
        <f t="shared" si="68"/>
        <v>0.35088321000000006</v>
      </c>
      <c r="L175" s="50"/>
      <c r="M175" s="4">
        <v>41791</v>
      </c>
      <c r="U175" s="5"/>
      <c r="V175" s="3"/>
      <c r="X175" s="3">
        <v>0.27</v>
      </c>
      <c r="Y175" s="3">
        <v>0.27</v>
      </c>
    </row>
    <row r="176" spans="1:25">
      <c r="A176" s="4">
        <v>41821</v>
      </c>
      <c r="B176" s="18">
        <v>0.37</v>
      </c>
      <c r="C176" s="59">
        <v>0.31630000000000003</v>
      </c>
      <c r="D176" s="49">
        <f>AVERAGE(0.345,0.345)</f>
        <v>0.34499999999999997</v>
      </c>
      <c r="E176" s="18">
        <v>0.49</v>
      </c>
      <c r="F176" s="18">
        <v>0.46</v>
      </c>
      <c r="G176" s="18">
        <v>0</v>
      </c>
      <c r="H176" s="18">
        <v>0.37</v>
      </c>
      <c r="I176" s="42">
        <f t="shared" ref="I176" si="73">AVERAGE(B176,C176,D176,E176,F176,G176,H176)</f>
        <v>0.33589999999999998</v>
      </c>
      <c r="J176" s="41">
        <f t="shared" ref="J176" si="74">SUM(B176*$B$197,C176*$C$197,D176*$D$197,E176*$E$197,F176*$F$197,G176*$G$197,H176*$H$197)</f>
        <v>0.33096092200564875</v>
      </c>
      <c r="K176" s="50">
        <f t="shared" ref="K176" si="75">AVERAGE(J164,J152,J140)</f>
        <v>0.33369259333333329</v>
      </c>
      <c r="L176" s="50"/>
      <c r="M176" s="4">
        <v>41821</v>
      </c>
      <c r="U176" s="5"/>
      <c r="V176" s="3"/>
      <c r="X176" s="3">
        <v>0.27500000000000002</v>
      </c>
      <c r="Y176" s="3">
        <v>0.27500000000000002</v>
      </c>
    </row>
    <row r="177" spans="1:24">
      <c r="A177" s="4">
        <v>41852</v>
      </c>
      <c r="B177" s="18"/>
      <c r="C177" s="59"/>
      <c r="D177" s="49"/>
      <c r="E177" s="18"/>
      <c r="F177" s="18"/>
      <c r="G177" s="18"/>
      <c r="H177" s="18"/>
      <c r="I177" s="42"/>
      <c r="J177" s="41"/>
      <c r="K177" s="50"/>
      <c r="L177" s="50"/>
      <c r="M177" s="4">
        <v>41852</v>
      </c>
      <c r="U177" s="5"/>
      <c r="V177" s="3"/>
      <c r="X177" s="3">
        <v>0.28000000000000003</v>
      </c>
    </row>
    <row r="178" spans="1:24">
      <c r="A178" s="4">
        <v>41883</v>
      </c>
      <c r="B178" s="18"/>
      <c r="C178" s="59"/>
      <c r="D178" s="49"/>
      <c r="E178" s="18"/>
      <c r="F178" s="18"/>
      <c r="G178" s="18"/>
      <c r="H178" s="18"/>
      <c r="I178" s="42"/>
      <c r="J178" s="41"/>
      <c r="K178" s="50"/>
      <c r="L178" s="50"/>
      <c r="M178" s="4">
        <v>41883</v>
      </c>
      <c r="U178" s="5"/>
      <c r="V178" s="3"/>
    </row>
    <row r="179" spans="1:24">
      <c r="A179" s="4">
        <v>41913</v>
      </c>
      <c r="B179" s="18"/>
      <c r="C179" s="59"/>
      <c r="D179" s="49"/>
      <c r="E179" s="18"/>
      <c r="F179" s="18"/>
      <c r="G179" s="18"/>
      <c r="H179" s="18"/>
      <c r="I179" s="42"/>
      <c r="J179" s="41"/>
      <c r="K179" s="50"/>
      <c r="L179" s="50"/>
      <c r="M179" s="4">
        <v>41913</v>
      </c>
      <c r="U179" s="5"/>
      <c r="V179" s="3"/>
    </row>
    <row r="180" spans="1:24">
      <c r="A180" s="4">
        <v>41944</v>
      </c>
      <c r="B180" s="18"/>
      <c r="C180" s="59"/>
      <c r="D180" s="49"/>
      <c r="E180" s="18"/>
      <c r="F180" s="18"/>
      <c r="G180" s="18"/>
      <c r="H180" s="18"/>
      <c r="I180" s="42"/>
      <c r="J180" s="41"/>
      <c r="K180" s="50"/>
      <c r="L180" s="50"/>
      <c r="M180" s="4">
        <v>41944</v>
      </c>
      <c r="U180" s="5"/>
      <c r="V180" s="3"/>
    </row>
    <row r="181" spans="1:24">
      <c r="A181" s="4">
        <v>41974</v>
      </c>
      <c r="B181" s="18"/>
      <c r="C181" s="59"/>
      <c r="D181" s="49"/>
      <c r="E181" s="18"/>
      <c r="F181" s="18"/>
      <c r="G181" s="18"/>
      <c r="H181" s="18"/>
      <c r="I181" s="42"/>
      <c r="J181" s="41"/>
      <c r="K181" s="50"/>
      <c r="L181" s="50"/>
      <c r="M181" s="4">
        <v>41974</v>
      </c>
      <c r="U181" s="5"/>
      <c r="V181" s="3"/>
    </row>
    <row r="182" spans="1:24">
      <c r="A182" s="60"/>
      <c r="B182" s="18"/>
      <c r="C182" s="59"/>
      <c r="D182" s="22"/>
      <c r="E182" s="18"/>
      <c r="F182" s="18"/>
      <c r="G182" s="18"/>
      <c r="H182" s="18"/>
      <c r="I182" s="42"/>
      <c r="J182" s="74"/>
      <c r="K182" s="50"/>
      <c r="L182" s="50"/>
      <c r="M182" s="4"/>
      <c r="U182" s="5"/>
      <c r="V182" s="3"/>
    </row>
    <row r="183" spans="1:24">
      <c r="A183" s="60"/>
      <c r="B183" s="18"/>
      <c r="C183" s="59"/>
      <c r="D183" s="22"/>
      <c r="E183" s="18"/>
      <c r="F183" s="18"/>
      <c r="G183" s="18"/>
      <c r="H183" s="18"/>
      <c r="I183" s="42"/>
      <c r="J183" s="74"/>
      <c r="K183" s="50"/>
      <c r="L183" s="50"/>
      <c r="M183" s="4"/>
      <c r="U183" s="5"/>
      <c r="V183" s="3"/>
    </row>
    <row r="184" spans="1:24">
      <c r="A184" s="1" t="s">
        <v>64</v>
      </c>
      <c r="N184" s="11"/>
      <c r="O184" s="11"/>
      <c r="P184" s="11"/>
      <c r="Q184" s="11"/>
      <c r="R184" s="11"/>
      <c r="S184" s="11"/>
      <c r="T184" s="11"/>
      <c r="U184" s="11"/>
      <c r="V184" s="11"/>
    </row>
    <row r="185" spans="1:24" ht="13.5"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4">
      <c r="A186">
        <v>2002</v>
      </c>
      <c r="B186" s="11">
        <v>0.27289999999999998</v>
      </c>
      <c r="C186" s="11">
        <v>0.1308</v>
      </c>
      <c r="D186" s="11">
        <v>0.13350000000000001</v>
      </c>
      <c r="E186" s="11">
        <v>9.7299999999999998E-2</v>
      </c>
      <c r="F186" s="11">
        <v>1.8499999999999999E-2</v>
      </c>
      <c r="G186" s="11">
        <v>0.1123</v>
      </c>
      <c r="H186" s="11">
        <v>0.23469999999999999</v>
      </c>
      <c r="I186" s="11">
        <f t="shared" ref="I186:I196" si="76">SUM(B186:H186)</f>
        <v>0.99999999999999978</v>
      </c>
      <c r="J186" s="11"/>
      <c r="N186" s="11"/>
      <c r="O186" s="11"/>
      <c r="P186" s="11"/>
      <c r="Q186" s="11"/>
      <c r="R186" s="11"/>
      <c r="S186" s="11"/>
      <c r="T186" s="11"/>
      <c r="U186" s="11"/>
    </row>
    <row r="187" spans="1:24">
      <c r="A187">
        <v>2003</v>
      </c>
      <c r="B187" s="11">
        <v>0.27939999999999998</v>
      </c>
      <c r="C187" s="11">
        <v>0.1328</v>
      </c>
      <c r="D187" s="11">
        <v>0.13289999999999999</v>
      </c>
      <c r="E187" s="11">
        <v>9.8199999999999996E-2</v>
      </c>
      <c r="F187" s="11">
        <v>1.6400000000000001E-2</v>
      </c>
      <c r="G187" s="11">
        <v>0.1149</v>
      </c>
      <c r="H187" s="11">
        <v>0.22539999999999999</v>
      </c>
      <c r="I187" s="11">
        <f t="shared" si="76"/>
        <v>1</v>
      </c>
      <c r="J187" s="11"/>
      <c r="N187" s="11"/>
      <c r="O187" s="11"/>
      <c r="P187" s="11"/>
      <c r="Q187" s="11"/>
      <c r="R187" s="11"/>
      <c r="S187" s="11"/>
      <c r="T187" s="11"/>
      <c r="U187" s="11"/>
    </row>
    <row r="188" spans="1:24">
      <c r="A188">
        <v>2004</v>
      </c>
      <c r="B188" s="11">
        <v>0.29139999999999999</v>
      </c>
      <c r="C188" s="11">
        <v>0.15110000000000001</v>
      </c>
      <c r="D188" s="11">
        <v>0.13350000000000001</v>
      </c>
      <c r="E188" s="11">
        <v>9.0399999999999994E-2</v>
      </c>
      <c r="F188" s="11">
        <v>1.7600000000000001E-2</v>
      </c>
      <c r="G188" s="11">
        <v>0.10780000000000001</v>
      </c>
      <c r="H188" s="11">
        <v>0.2082</v>
      </c>
      <c r="I188" s="11">
        <f t="shared" si="76"/>
        <v>1</v>
      </c>
      <c r="J188" s="11"/>
      <c r="N188" s="11"/>
      <c r="O188" s="11"/>
      <c r="P188" s="11"/>
      <c r="Q188" s="11"/>
      <c r="R188" s="11"/>
      <c r="S188" s="11"/>
      <c r="T188" s="11"/>
      <c r="U188" s="11"/>
    </row>
    <row r="189" spans="1:24">
      <c r="A189">
        <v>2005</v>
      </c>
      <c r="B189" s="11">
        <v>0.30299999999999999</v>
      </c>
      <c r="C189" s="11">
        <v>0.14369999999999999</v>
      </c>
      <c r="D189" s="11">
        <v>0.13689999999999999</v>
      </c>
      <c r="E189" s="11">
        <v>9.6799999999999997E-2</v>
      </c>
      <c r="F189" s="11">
        <v>1.7500000000000002E-2</v>
      </c>
      <c r="G189" s="11">
        <v>0.1066</v>
      </c>
      <c r="H189" s="11">
        <v>0.19550000000000001</v>
      </c>
      <c r="I189" s="11">
        <f t="shared" si="76"/>
        <v>1</v>
      </c>
      <c r="J189" s="11"/>
    </row>
    <row r="190" spans="1:24">
      <c r="A190">
        <v>2006</v>
      </c>
      <c r="B190" s="11">
        <v>0.30742999999999998</v>
      </c>
      <c r="C190" s="11">
        <v>0.15454000000000001</v>
      </c>
      <c r="D190" s="11">
        <v>0.14249999999999999</v>
      </c>
      <c r="E190" s="11">
        <v>9.7909999999999997E-2</v>
      </c>
      <c r="F190" s="11">
        <v>1.7090000000000001E-2</v>
      </c>
      <c r="G190" s="11">
        <v>0.10076</v>
      </c>
      <c r="H190" s="11">
        <v>0.17977000000000001</v>
      </c>
      <c r="I190" s="11">
        <f t="shared" si="76"/>
        <v>1</v>
      </c>
      <c r="J190" s="11"/>
    </row>
    <row r="191" spans="1:24">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76"/>
        <v>0.99999999999999989</v>
      </c>
    </row>
    <row r="192" spans="1:24">
      <c r="A192">
        <v>2008</v>
      </c>
      <c r="B192" s="11">
        <v>0.34110000000000001</v>
      </c>
      <c r="C192" s="11">
        <v>0.1348</v>
      </c>
      <c r="D192" s="11">
        <v>0.13150000000000001</v>
      </c>
      <c r="E192" s="11">
        <v>8.1100000000000005E-2</v>
      </c>
      <c r="F192" s="11">
        <v>2.2499999999999999E-2</v>
      </c>
      <c r="G192" s="11">
        <v>9.64E-2</v>
      </c>
      <c r="H192" s="11">
        <v>0.19259999999999999</v>
      </c>
      <c r="I192" s="11">
        <f t="shared" si="76"/>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76"/>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76"/>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76"/>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76"/>
        <v>1</v>
      </c>
    </row>
    <row r="197" spans="1:9">
      <c r="A197">
        <v>2013</v>
      </c>
      <c r="B197" s="11">
        <v>0.32489266487911883</v>
      </c>
      <c r="C197" s="11">
        <v>0.13597927607887619</v>
      </c>
      <c r="D197" s="11">
        <v>0.19507563701954883</v>
      </c>
      <c r="E197" s="11">
        <v>6.184133641255022E-2</v>
      </c>
      <c r="F197" s="11">
        <v>2.461180196410934E-2</v>
      </c>
      <c r="G197" s="11">
        <v>9.8638168891088562E-2</v>
      </c>
      <c r="H197" s="11">
        <v>0.15896111475470806</v>
      </c>
      <c r="I197" s="11">
        <f>SUM(B197:H197)</f>
        <v>1</v>
      </c>
    </row>
    <row r="198" spans="1:9">
      <c r="B198" s="80"/>
      <c r="C198" s="80"/>
      <c r="D198" s="80"/>
      <c r="E198" s="80"/>
      <c r="F198" s="80"/>
      <c r="G198" s="80"/>
      <c r="H198" s="80"/>
    </row>
    <row r="199" spans="1:9">
      <c r="B199" s="11"/>
      <c r="C199" s="11"/>
      <c r="D199" s="11"/>
      <c r="E199" s="11"/>
      <c r="F199" s="11"/>
      <c r="G199" s="11"/>
      <c r="H199" s="11"/>
      <c r="I199" s="79"/>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7"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M20" sqref="M20"/>
    </sheetView>
  </sheetViews>
  <sheetFormatPr defaultRowHeight="12.75"/>
  <cols>
    <col min="13" max="13" width="10.42578125" bestFit="1" customWidth="1"/>
  </cols>
  <sheetData>
    <row r="1" spans="1:13">
      <c r="A1" s="13" t="s">
        <v>18</v>
      </c>
      <c r="B1" s="14"/>
      <c r="C1" s="14"/>
      <c r="D1" s="14"/>
      <c r="E1" s="14"/>
      <c r="F1" s="14"/>
      <c r="G1" s="14"/>
      <c r="H1" s="14"/>
      <c r="I1" s="14"/>
      <c r="J1" s="14"/>
      <c r="K1" s="12"/>
    </row>
    <row r="2" spans="1:13" ht="16.5">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Data!J175</f>
        <v>0.33638247385371528</v>
      </c>
      <c r="H29" s="3">
        <f>(Data!$J$176/G29)-1</f>
        <v>-1.6117224497326887E-2</v>
      </c>
      <c r="M29" s="77"/>
    </row>
    <row r="30" spans="1:13">
      <c r="E30" s="4" t="s">
        <v>92</v>
      </c>
      <c r="F30" s="9"/>
      <c r="G30" s="16">
        <f>Data!J164</f>
        <v>0.31752406</v>
      </c>
      <c r="H30" s="3">
        <f>(Data!$J$176/G30)-1</f>
        <v>4.2317618405511626E-2</v>
      </c>
    </row>
    <row r="31" spans="1:13">
      <c r="E31" s="4" t="s">
        <v>93</v>
      </c>
      <c r="F31" s="4"/>
      <c r="G31" s="16">
        <f>Data!K176</f>
        <v>0.33369259333333329</v>
      </c>
      <c r="H31" s="3">
        <f>(Data!$J$176/G31)-1</f>
        <v>-8.1861910700421481E-3</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E21" sqref="E21"/>
    </sheetView>
  </sheetViews>
  <sheetFormatPr defaultRowHeight="12.75"/>
  <cols>
    <col min="1" max="1" width="11.7109375" bestFit="1" customWidth="1"/>
    <col min="11" max="11" width="3.42578125" customWidth="1"/>
    <col min="12" max="12" width="11.7109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5"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89"/>
  <sheetViews>
    <sheetView zoomScale="80" zoomScaleNormal="80" workbookViewId="0">
      <pane ySplit="9" topLeftCell="A146" activePane="bottomLeft" state="frozen"/>
      <selection pane="bottomLeft" activeCell="B183" sqref="B183"/>
    </sheetView>
  </sheetViews>
  <sheetFormatPr defaultRowHeight="12.75"/>
  <cols>
    <col min="1" max="1" width="13.28515625" customWidth="1"/>
    <col min="2" max="3" width="10.425781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5"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104.55</v>
      </c>
    </row>
    <row r="173" spans="1:3">
      <c r="A173" s="29">
        <v>41487</v>
      </c>
      <c r="B173" s="65">
        <v>3.9049999999999998</v>
      </c>
      <c r="C173" s="70">
        <v>106.55</v>
      </c>
    </row>
    <row r="174" spans="1:3">
      <c r="A174" s="29">
        <v>41518</v>
      </c>
      <c r="B174" s="65">
        <v>3.9609999999999999</v>
      </c>
      <c r="C174" s="70">
        <v>106.31</v>
      </c>
    </row>
    <row r="175" spans="1:3">
      <c r="A175" s="29">
        <v>41548</v>
      </c>
      <c r="B175" s="65">
        <v>3.8849999999999998</v>
      </c>
      <c r="C175" s="70">
        <v>100.5</v>
      </c>
    </row>
    <row r="176" spans="1:3">
      <c r="A176" s="29">
        <v>41579</v>
      </c>
      <c r="B176" s="65">
        <v>3.839</v>
      </c>
      <c r="C176" s="70">
        <v>93.81</v>
      </c>
    </row>
    <row r="177" spans="1:3">
      <c r="A177" s="29">
        <v>41609</v>
      </c>
      <c r="B177" s="65">
        <v>3.8820000000000001</v>
      </c>
      <c r="C177" s="70">
        <v>97.9</v>
      </c>
    </row>
    <row r="178" spans="1:3">
      <c r="A178" s="29">
        <v>41640</v>
      </c>
      <c r="B178" s="65">
        <v>3.8929999999999998</v>
      </c>
      <c r="C178" s="70">
        <v>95</v>
      </c>
    </row>
    <row r="179" spans="1:3">
      <c r="A179" s="29">
        <v>41671</v>
      </c>
      <c r="B179" s="65">
        <v>3.984</v>
      </c>
      <c r="C179" s="70">
        <v>100.7</v>
      </c>
    </row>
    <row r="180" spans="1:3">
      <c r="A180" s="29">
        <v>41699</v>
      </c>
      <c r="B180" s="65">
        <v>4.0010000000000003</v>
      </c>
      <c r="C180" s="70">
        <v>100.57</v>
      </c>
    </row>
    <row r="181" spans="1:3">
      <c r="A181" s="29">
        <v>41730</v>
      </c>
      <c r="B181" s="65">
        <v>3.964</v>
      </c>
      <c r="C181" s="70">
        <v>102.18</v>
      </c>
    </row>
    <row r="182" spans="1:3">
      <c r="A182" s="29">
        <v>41760</v>
      </c>
      <c r="B182" s="65">
        <v>3.9430000000000001</v>
      </c>
      <c r="C182" s="70">
        <v>102</v>
      </c>
    </row>
    <row r="183" spans="1:3">
      <c r="A183" s="29">
        <v>41791</v>
      </c>
    </row>
    <row r="184" spans="1:3">
      <c r="A184" s="29">
        <v>41821</v>
      </c>
    </row>
    <row r="185" spans="1:3">
      <c r="A185" s="29">
        <v>41852</v>
      </c>
    </row>
    <row r="186" spans="1:3">
      <c r="A186" s="29">
        <v>41883</v>
      </c>
    </row>
    <row r="187" spans="1:3">
      <c r="A187" s="29">
        <v>41913</v>
      </c>
    </row>
    <row r="188" spans="1:3">
      <c r="A188" s="29">
        <v>41944</v>
      </c>
    </row>
    <row r="189" spans="1:3">
      <c r="A189" s="29">
        <v>41974</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2014-07-01T12:47:24Z</dcterms:modified>
</cp:coreProperties>
</file>