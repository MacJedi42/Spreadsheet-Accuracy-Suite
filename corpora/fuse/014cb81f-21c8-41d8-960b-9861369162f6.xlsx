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Chart1" sheetId="4" r:id="rId1"/>
    <sheet name="Sheet1" sheetId="1" r:id="rId2"/>
    <sheet name="Sheet2" sheetId="2" r:id="rId3"/>
    <sheet name="Sheet3" sheetId="3" r:id="rId4"/>
  </sheets>
  <calcPr calcId="145621"/>
</workbook>
</file>

<file path=xl/calcChain.xml><?xml version="1.0" encoding="utf-8"?>
<calcChain xmlns="http://schemas.openxmlformats.org/spreadsheetml/2006/main">
  <c r="Q10" i="1" l="1"/>
  <c r="Q9" i="1"/>
  <c r="Q8" i="1"/>
  <c r="K10" i="1" l="1"/>
  <c r="N14" i="1"/>
  <c r="K9" i="1"/>
  <c r="H14" i="1"/>
  <c r="H13" i="1"/>
  <c r="H12" i="1"/>
  <c r="H11" i="1"/>
</calcChain>
</file>

<file path=xl/sharedStrings.xml><?xml version="1.0" encoding="utf-8"?>
<sst xmlns="http://schemas.openxmlformats.org/spreadsheetml/2006/main" count="24" uniqueCount="19">
  <si>
    <t>Time</t>
  </si>
  <si>
    <t>G1</t>
  </si>
  <si>
    <t>G2</t>
  </si>
  <si>
    <t>starter</t>
  </si>
  <si>
    <t>rennet</t>
  </si>
  <si>
    <t>stirring</t>
  </si>
  <si>
    <t>settle</t>
  </si>
  <si>
    <t>reached target</t>
  </si>
  <si>
    <t>press in whey</t>
  </si>
  <si>
    <t>remove from whey, press</t>
  </si>
  <si>
    <t>flip</t>
  </si>
  <si>
    <t>flip, cave</t>
  </si>
  <si>
    <t>brine</t>
  </si>
  <si>
    <t>add rennet</t>
  </si>
  <si>
    <t>prior to wash</t>
  </si>
  <si>
    <t>press in cave</t>
  </si>
  <si>
    <t>PD</t>
  </si>
  <si>
    <t>Pav</t>
  </si>
  <si>
    <t>JoCM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</si>
</sst>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 Gouda Makes along with Peter Dixon and WA Cheese Guild Recipes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Sheet1!$E$6</c:f>
              <c:strCache>
                <c:ptCount val="1"/>
                <c:pt idx="0">
                  <c:v>G1</c:v>
                </c:pt>
              </c:strCache>
            </c:strRef>
          </c:tx>
          <c:xVal>
            <c:numRef>
              <c:f>Sheet1!$D$7:$D$18</c:f>
              <c:numCache>
                <c:formatCode>General</c:formatCode>
                <c:ptCount val="12"/>
                <c:pt idx="0">
                  <c:v>0</c:v>
                </c:pt>
                <c:pt idx="1">
                  <c:v>17</c:v>
                </c:pt>
                <c:pt idx="2">
                  <c:v>38</c:v>
                </c:pt>
                <c:pt idx="3">
                  <c:v>48</c:v>
                </c:pt>
                <c:pt idx="4">
                  <c:v>55</c:v>
                </c:pt>
                <c:pt idx="5">
                  <c:v>81</c:v>
                </c:pt>
                <c:pt idx="6">
                  <c:v>96</c:v>
                </c:pt>
                <c:pt idx="7">
                  <c:v>123</c:v>
                </c:pt>
                <c:pt idx="8">
                  <c:v>155</c:v>
                </c:pt>
                <c:pt idx="9">
                  <c:v>220</c:v>
                </c:pt>
                <c:pt idx="10">
                  <c:v>260</c:v>
                </c:pt>
                <c:pt idx="11">
                  <c:v>305</c:v>
                </c:pt>
              </c:numCache>
            </c:numRef>
          </c:xVal>
          <c:yVal>
            <c:numRef>
              <c:f>Sheet1!$E$7:$E$18</c:f>
              <c:numCache>
                <c:formatCode>General</c:formatCode>
                <c:ptCount val="12"/>
                <c:pt idx="0">
                  <c:v>6.68</c:v>
                </c:pt>
                <c:pt idx="1">
                  <c:v>6.64</c:v>
                </c:pt>
                <c:pt idx="2">
                  <c:v>6.62</c:v>
                </c:pt>
                <c:pt idx="3">
                  <c:v>6.6</c:v>
                </c:pt>
                <c:pt idx="4">
                  <c:v>6.57</c:v>
                </c:pt>
                <c:pt idx="5">
                  <c:v>6.55</c:v>
                </c:pt>
                <c:pt idx="6">
                  <c:v>6.54</c:v>
                </c:pt>
                <c:pt idx="7">
                  <c:v>6.45</c:v>
                </c:pt>
                <c:pt idx="8">
                  <c:v>6.25</c:v>
                </c:pt>
                <c:pt idx="9">
                  <c:v>5.75</c:v>
                </c:pt>
                <c:pt idx="10">
                  <c:v>5.55</c:v>
                </c:pt>
                <c:pt idx="11">
                  <c:v>5.23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Sheet1!$I$6</c:f>
              <c:strCache>
                <c:ptCount val="1"/>
                <c:pt idx="0">
                  <c:v>G2</c:v>
                </c:pt>
              </c:strCache>
            </c:strRef>
          </c:tx>
          <c:xVal>
            <c:numRef>
              <c:f>Sheet1!$H$7:$H$15</c:f>
              <c:numCache>
                <c:formatCode>General</c:formatCode>
                <c:ptCount val="9"/>
                <c:pt idx="0">
                  <c:v>0</c:v>
                </c:pt>
                <c:pt idx="1">
                  <c:v>29</c:v>
                </c:pt>
                <c:pt idx="2">
                  <c:v>45</c:v>
                </c:pt>
                <c:pt idx="3">
                  <c:v>63</c:v>
                </c:pt>
                <c:pt idx="4">
                  <c:v>162</c:v>
                </c:pt>
                <c:pt idx="5">
                  <c:v>217</c:v>
                </c:pt>
                <c:pt idx="6">
                  <c:v>254</c:v>
                </c:pt>
                <c:pt idx="7">
                  <c:v>269</c:v>
                </c:pt>
                <c:pt idx="8">
                  <c:v>361</c:v>
                </c:pt>
              </c:numCache>
            </c:numRef>
          </c:xVal>
          <c:yVal>
            <c:numRef>
              <c:f>Sheet1!$I$7:$I$15</c:f>
              <c:numCache>
                <c:formatCode>General</c:formatCode>
                <c:ptCount val="9"/>
                <c:pt idx="0">
                  <c:v>6.68</c:v>
                </c:pt>
                <c:pt idx="1">
                  <c:v>6.67</c:v>
                </c:pt>
                <c:pt idx="2">
                  <c:v>6.64</c:v>
                </c:pt>
                <c:pt idx="3">
                  <c:v>6.62</c:v>
                </c:pt>
                <c:pt idx="4">
                  <c:v>6.5</c:v>
                </c:pt>
                <c:pt idx="5">
                  <c:v>6.45</c:v>
                </c:pt>
                <c:pt idx="6">
                  <c:v>6.15</c:v>
                </c:pt>
                <c:pt idx="7">
                  <c:v>5.65</c:v>
                </c:pt>
                <c:pt idx="8">
                  <c:v>5.26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Sheet1!$L$6</c:f>
              <c:strCache>
                <c:ptCount val="1"/>
                <c:pt idx="0">
                  <c:v>PD</c:v>
                </c:pt>
              </c:strCache>
            </c:strRef>
          </c:tx>
          <c:xVal>
            <c:numRef>
              <c:f>Sheet1!$K$7:$K$10</c:f>
              <c:numCache>
                <c:formatCode>General</c:formatCode>
                <c:ptCount val="4"/>
                <c:pt idx="0">
                  <c:v>0</c:v>
                </c:pt>
                <c:pt idx="1">
                  <c:v>66</c:v>
                </c:pt>
                <c:pt idx="2">
                  <c:v>143.5</c:v>
                </c:pt>
                <c:pt idx="3">
                  <c:v>443.5</c:v>
                </c:pt>
              </c:numCache>
            </c:numRef>
          </c:xVal>
          <c:yVal>
            <c:numRef>
              <c:f>Sheet1!$L$7:$L$10</c:f>
              <c:numCache>
                <c:formatCode>General</c:formatCode>
                <c:ptCount val="4"/>
                <c:pt idx="0">
                  <c:v>6.68</c:v>
                </c:pt>
                <c:pt idx="1">
                  <c:v>6.55</c:v>
                </c:pt>
                <c:pt idx="2">
                  <c:v>6.45</c:v>
                </c:pt>
                <c:pt idx="3">
                  <c:v>5.45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Sheet1!$O$6</c:f>
              <c:strCache>
                <c:ptCount val="1"/>
                <c:pt idx="0">
                  <c:v>Pav</c:v>
                </c:pt>
              </c:strCache>
            </c:strRef>
          </c:tx>
          <c:xVal>
            <c:numRef>
              <c:f>Sheet1!$N$7:$N$14</c:f>
              <c:numCache>
                <c:formatCode>General</c:formatCode>
                <c:ptCount val="8"/>
                <c:pt idx="0">
                  <c:v>0</c:v>
                </c:pt>
                <c:pt idx="1">
                  <c:v>55</c:v>
                </c:pt>
                <c:pt idx="2">
                  <c:v>90</c:v>
                </c:pt>
                <c:pt idx="3">
                  <c:v>115</c:v>
                </c:pt>
                <c:pt idx="4">
                  <c:v>140</c:v>
                </c:pt>
                <c:pt idx="5">
                  <c:v>170</c:v>
                </c:pt>
                <c:pt idx="6">
                  <c:v>180</c:v>
                </c:pt>
                <c:pt idx="7">
                  <c:v>480</c:v>
                </c:pt>
              </c:numCache>
            </c:numRef>
          </c:xVal>
          <c:yVal>
            <c:numRef>
              <c:f>Sheet1!$O$7:$O$14</c:f>
              <c:numCache>
                <c:formatCode>General</c:formatCode>
                <c:ptCount val="8"/>
                <c:pt idx="0">
                  <c:v>6.68</c:v>
                </c:pt>
                <c:pt idx="1">
                  <c:v>6.55</c:v>
                </c:pt>
                <c:pt idx="2">
                  <c:v>6.5</c:v>
                </c:pt>
                <c:pt idx="3">
                  <c:v>6.4249999999999998</c:v>
                </c:pt>
                <c:pt idx="4">
                  <c:v>6.4</c:v>
                </c:pt>
                <c:pt idx="5">
                  <c:v>6.25</c:v>
                </c:pt>
                <c:pt idx="6">
                  <c:v>6.2</c:v>
                </c:pt>
                <c:pt idx="7">
                  <c:v>5.6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Sheet1!$R$6</c:f>
              <c:strCache>
                <c:ptCount val="1"/>
                <c:pt idx="0">
                  <c:v>JoCM</c:v>
                </c:pt>
              </c:strCache>
            </c:strRef>
          </c:tx>
          <c:xVal>
            <c:numRef>
              <c:f>Sheet1!$Q$7:$Q$10</c:f>
              <c:numCache>
                <c:formatCode>General</c:formatCode>
                <c:ptCount val="4"/>
                <c:pt idx="0">
                  <c:v>90</c:v>
                </c:pt>
                <c:pt idx="1">
                  <c:v>235</c:v>
                </c:pt>
                <c:pt idx="2">
                  <c:v>295</c:v>
                </c:pt>
                <c:pt idx="3">
                  <c:v>415</c:v>
                </c:pt>
              </c:numCache>
            </c:numRef>
          </c:xVal>
          <c:yVal>
            <c:numRef>
              <c:f>Sheet1!$R$7:$R$10</c:f>
              <c:numCache>
                <c:formatCode>General</c:formatCode>
                <c:ptCount val="4"/>
                <c:pt idx="0">
                  <c:v>6.625</c:v>
                </c:pt>
                <c:pt idx="1">
                  <c:v>6.54</c:v>
                </c:pt>
                <c:pt idx="2">
                  <c:v>6.1</c:v>
                </c:pt>
                <c:pt idx="3">
                  <c:v>5.15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398016"/>
        <c:axId val="61400192"/>
      </c:scatterChart>
      <c:valAx>
        <c:axId val="61398016"/>
        <c:scaling>
          <c:orientation val="minMax"/>
          <c:max val="4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(minutes)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61400192"/>
        <c:crosses val="autoZero"/>
        <c:crossBetween val="midCat"/>
      </c:valAx>
      <c:valAx>
        <c:axId val="61400192"/>
        <c:scaling>
          <c:orientation val="minMax"/>
          <c:max val="6.8"/>
          <c:min val="5.2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pH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6139801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userShapes r:id="rId1"/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2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1560" cy="629412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0.06942</cdr:x>
      <cdr:y>0.26029</cdr:y>
    </cdr:from>
    <cdr:to>
      <cdr:x>0.22408</cdr:x>
      <cdr:y>0.31719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01980" y="1638300"/>
          <a:ext cx="1341120" cy="3581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>
              <a:solidFill>
                <a:schemeClr val="tx2">
                  <a:lumMod val="60000"/>
                  <a:lumOff val="40000"/>
                </a:schemeClr>
              </a:solidFill>
            </a:rPr>
            <a:t>Add</a:t>
          </a:r>
          <a:r>
            <a:rPr lang="en-US" sz="1600" baseline="0">
              <a:solidFill>
                <a:schemeClr val="tx2">
                  <a:lumMod val="60000"/>
                  <a:lumOff val="40000"/>
                </a:schemeClr>
              </a:solidFill>
            </a:rPr>
            <a:t> rennet</a:t>
          </a:r>
        </a:p>
      </cdr:txBody>
    </cdr:sp>
  </cdr:relSizeAnchor>
  <cdr:relSizeAnchor xmlns:cdr="http://schemas.openxmlformats.org/drawingml/2006/chartDrawing">
    <cdr:from>
      <cdr:x>0.11072</cdr:x>
      <cdr:y>0.20218</cdr:y>
    </cdr:from>
    <cdr:to>
      <cdr:x>0.18366</cdr:x>
      <cdr:y>0.2724</cdr:y>
    </cdr:to>
    <cdr:cxnSp macro="">
      <cdr:nvCxnSpPr>
        <cdr:cNvPr id="5" name="Straight Arrow Connector 4"/>
        <cdr:cNvCxnSpPr/>
      </cdr:nvCxnSpPr>
      <cdr:spPr>
        <a:xfrm xmlns:a="http://schemas.openxmlformats.org/drawingml/2006/main" flipV="1">
          <a:off x="960120" y="1272540"/>
          <a:ext cx="632460" cy="441960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chemeClr val="tx2">
              <a:lumMod val="60000"/>
              <a:lumOff val="40000"/>
            </a:schemeClr>
          </a:solidFill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0.10164</cdr:x>
      <cdr:y>0.3301</cdr:y>
    </cdr:from>
    <cdr:to>
      <cdr:x>0.2563</cdr:x>
      <cdr:y>0.42494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881380" y="2077720"/>
          <a:ext cx="1341120" cy="596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>
              <a:solidFill>
                <a:schemeClr val="tx2">
                  <a:lumMod val="60000"/>
                  <a:lumOff val="40000"/>
                </a:schemeClr>
              </a:solidFill>
            </a:rPr>
            <a:t>Floc, cut, heal</a:t>
          </a:r>
        </a:p>
        <a:p xmlns:a="http://schemas.openxmlformats.org/drawingml/2006/main">
          <a:r>
            <a:rPr lang="en-US" sz="1600" baseline="0">
              <a:solidFill>
                <a:schemeClr val="tx2">
                  <a:lumMod val="60000"/>
                  <a:lumOff val="40000"/>
                </a:schemeClr>
              </a:solidFill>
            </a:rPr>
            <a:t>stir...</a:t>
          </a:r>
        </a:p>
      </cdr:txBody>
    </cdr:sp>
  </cdr:relSizeAnchor>
  <cdr:relSizeAnchor xmlns:cdr="http://schemas.openxmlformats.org/drawingml/2006/chartDrawing">
    <cdr:from>
      <cdr:x>0.1983</cdr:x>
      <cdr:y>0.22881</cdr:y>
    </cdr:from>
    <cdr:to>
      <cdr:x>0.23726</cdr:x>
      <cdr:y>0.33979</cdr:y>
    </cdr:to>
    <cdr:cxnSp macro="">
      <cdr:nvCxnSpPr>
        <cdr:cNvPr id="10" name="Straight Arrow Connector 9"/>
        <cdr:cNvCxnSpPr/>
      </cdr:nvCxnSpPr>
      <cdr:spPr>
        <a:xfrm xmlns:a="http://schemas.openxmlformats.org/drawingml/2006/main" flipV="1">
          <a:off x="1719580" y="1440180"/>
          <a:ext cx="337820" cy="698500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chemeClr val="tx2">
              <a:lumMod val="60000"/>
              <a:lumOff val="40000"/>
            </a:schemeClr>
          </a:solidFill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0.14382</cdr:x>
      <cdr:y>0.41848</cdr:y>
    </cdr:from>
    <cdr:to>
      <cdr:x>0.29848</cdr:x>
      <cdr:y>0.5569</cdr:y>
    </cdr:to>
    <cdr:sp macro="" textlink="">
      <cdr:nvSpPr>
        <cdr:cNvPr id="12" name="TextBox 1"/>
        <cdr:cNvSpPr txBox="1"/>
      </cdr:nvSpPr>
      <cdr:spPr>
        <a:xfrm xmlns:a="http://schemas.openxmlformats.org/drawingml/2006/main">
          <a:off x="1247140" y="2633980"/>
          <a:ext cx="1341120" cy="8712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>
              <a:solidFill>
                <a:schemeClr val="tx2">
                  <a:lumMod val="60000"/>
                  <a:lumOff val="40000"/>
                </a:schemeClr>
              </a:solidFill>
            </a:rPr>
            <a:t>Reached pH</a:t>
          </a:r>
          <a:r>
            <a:rPr lang="en-US" sz="1600" baseline="0">
              <a:solidFill>
                <a:schemeClr val="tx2">
                  <a:lumMod val="60000"/>
                  <a:lumOff val="40000"/>
                </a:schemeClr>
              </a:solidFill>
            </a:rPr>
            <a:t> target, press in whey</a:t>
          </a:r>
        </a:p>
      </cdr:txBody>
    </cdr:sp>
  </cdr:relSizeAnchor>
  <cdr:relSizeAnchor xmlns:cdr="http://schemas.openxmlformats.org/drawingml/2006/chartDrawing">
    <cdr:from>
      <cdr:x>0.26011</cdr:x>
      <cdr:y>0.26392</cdr:y>
    </cdr:from>
    <cdr:to>
      <cdr:x>0.32337</cdr:x>
      <cdr:y>0.4201</cdr:y>
    </cdr:to>
    <cdr:cxnSp macro="">
      <cdr:nvCxnSpPr>
        <cdr:cNvPr id="13" name="Straight Arrow Connector 12"/>
        <cdr:cNvCxnSpPr/>
      </cdr:nvCxnSpPr>
      <cdr:spPr>
        <a:xfrm xmlns:a="http://schemas.openxmlformats.org/drawingml/2006/main" flipV="1">
          <a:off x="2255520" y="1661160"/>
          <a:ext cx="548640" cy="982980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chemeClr val="tx2">
              <a:lumMod val="60000"/>
              <a:lumOff val="40000"/>
            </a:schemeClr>
          </a:solidFill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0.21588</cdr:x>
      <cdr:y>0.54923</cdr:y>
    </cdr:from>
    <cdr:to>
      <cdr:x>0.37053</cdr:x>
      <cdr:y>0.68765</cdr:y>
    </cdr:to>
    <cdr:sp macro="" textlink="">
      <cdr:nvSpPr>
        <cdr:cNvPr id="16" name="TextBox 1"/>
        <cdr:cNvSpPr txBox="1"/>
      </cdr:nvSpPr>
      <cdr:spPr>
        <a:xfrm xmlns:a="http://schemas.openxmlformats.org/drawingml/2006/main">
          <a:off x="1871980" y="3456940"/>
          <a:ext cx="1341120" cy="8712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>
              <a:solidFill>
                <a:schemeClr val="tx2">
                  <a:lumMod val="60000"/>
                  <a:lumOff val="40000"/>
                </a:schemeClr>
              </a:solidFill>
            </a:rPr>
            <a:t>Removed</a:t>
          </a:r>
          <a:r>
            <a:rPr lang="en-US" sz="1600" baseline="0">
              <a:solidFill>
                <a:schemeClr val="tx2">
                  <a:lumMod val="60000"/>
                  <a:lumOff val="40000"/>
                </a:schemeClr>
              </a:solidFill>
            </a:rPr>
            <a:t> earlier, flip/press</a:t>
          </a:r>
        </a:p>
      </cdr:txBody>
    </cdr:sp>
  </cdr:relSizeAnchor>
  <cdr:relSizeAnchor xmlns:cdr="http://schemas.openxmlformats.org/drawingml/2006/chartDrawing">
    <cdr:from>
      <cdr:x>0.31781</cdr:x>
      <cdr:y>0.3753</cdr:y>
    </cdr:from>
    <cdr:to>
      <cdr:x>0.39016</cdr:x>
      <cdr:y>0.6473</cdr:y>
    </cdr:to>
    <cdr:cxnSp macro="">
      <cdr:nvCxnSpPr>
        <cdr:cNvPr id="17" name="Straight Arrow Connector 16"/>
        <cdr:cNvCxnSpPr/>
      </cdr:nvCxnSpPr>
      <cdr:spPr>
        <a:xfrm xmlns:a="http://schemas.openxmlformats.org/drawingml/2006/main" flipV="1">
          <a:off x="2755900" y="2362200"/>
          <a:ext cx="627380" cy="1711960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chemeClr val="tx2">
              <a:lumMod val="60000"/>
              <a:lumOff val="40000"/>
            </a:schemeClr>
          </a:solidFill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0.28881</cdr:x>
      <cdr:y>0.68483</cdr:y>
    </cdr:from>
    <cdr:to>
      <cdr:x>0.44347</cdr:x>
      <cdr:y>0.82324</cdr:y>
    </cdr:to>
    <cdr:sp macro="" textlink="">
      <cdr:nvSpPr>
        <cdr:cNvPr id="19" name="TextBox 1"/>
        <cdr:cNvSpPr txBox="1"/>
      </cdr:nvSpPr>
      <cdr:spPr>
        <a:xfrm xmlns:a="http://schemas.openxmlformats.org/drawingml/2006/main">
          <a:off x="2504440" y="4310380"/>
          <a:ext cx="1341120" cy="8712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aseline="0">
              <a:solidFill>
                <a:schemeClr val="tx2">
                  <a:lumMod val="60000"/>
                  <a:lumOff val="40000"/>
                </a:schemeClr>
              </a:solidFill>
            </a:rPr>
            <a:t>flip, increase pressure</a:t>
          </a:r>
        </a:p>
      </cdr:txBody>
    </cdr:sp>
  </cdr:relSizeAnchor>
  <cdr:relSizeAnchor xmlns:cdr="http://schemas.openxmlformats.org/drawingml/2006/chartDrawing">
    <cdr:from>
      <cdr:x>0.40041</cdr:x>
      <cdr:y>0.6247</cdr:y>
    </cdr:from>
    <cdr:to>
      <cdr:x>0.52109</cdr:x>
      <cdr:y>0.69169</cdr:y>
    </cdr:to>
    <cdr:cxnSp macro="">
      <cdr:nvCxnSpPr>
        <cdr:cNvPr id="20" name="Straight Arrow Connector 19"/>
        <cdr:cNvCxnSpPr/>
      </cdr:nvCxnSpPr>
      <cdr:spPr>
        <a:xfrm xmlns:a="http://schemas.openxmlformats.org/drawingml/2006/main" flipV="1">
          <a:off x="3472180" y="3931920"/>
          <a:ext cx="1046480" cy="421640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chemeClr val="tx2">
              <a:lumMod val="60000"/>
              <a:lumOff val="40000"/>
            </a:schemeClr>
          </a:solidFill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0.35735</cdr:x>
      <cdr:y>0.79742</cdr:y>
    </cdr:from>
    <cdr:to>
      <cdr:x>0.51201</cdr:x>
      <cdr:y>0.89709</cdr:y>
    </cdr:to>
    <cdr:sp macro="" textlink="">
      <cdr:nvSpPr>
        <cdr:cNvPr id="22" name="TextBox 1"/>
        <cdr:cNvSpPr txBox="1"/>
      </cdr:nvSpPr>
      <cdr:spPr>
        <a:xfrm xmlns:a="http://schemas.openxmlformats.org/drawingml/2006/main">
          <a:off x="3098800" y="5019040"/>
          <a:ext cx="1341120" cy="6273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aseline="0">
              <a:solidFill>
                <a:schemeClr val="tx2">
                  <a:lumMod val="60000"/>
                  <a:lumOff val="40000"/>
                </a:schemeClr>
              </a:solidFill>
            </a:rPr>
            <a:t>remove from press, brine</a:t>
          </a:r>
        </a:p>
      </cdr:txBody>
    </cdr:sp>
  </cdr:relSizeAnchor>
  <cdr:relSizeAnchor xmlns:cdr="http://schemas.openxmlformats.org/drawingml/2006/chartDrawing">
    <cdr:from>
      <cdr:x>0.50322</cdr:x>
      <cdr:y>0.85351</cdr:y>
    </cdr:from>
    <cdr:to>
      <cdr:x>0.69859</cdr:x>
      <cdr:y>0.89104</cdr:y>
    </cdr:to>
    <cdr:cxnSp macro="">
      <cdr:nvCxnSpPr>
        <cdr:cNvPr id="23" name="Straight Arrow Connector 22"/>
        <cdr:cNvCxnSpPr/>
      </cdr:nvCxnSpPr>
      <cdr:spPr>
        <a:xfrm xmlns:a="http://schemas.openxmlformats.org/drawingml/2006/main">
          <a:off x="4363720" y="5372100"/>
          <a:ext cx="1694180" cy="236220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chemeClr val="tx2">
              <a:lumMod val="60000"/>
              <a:lumOff val="40000"/>
            </a:schemeClr>
          </a:solidFill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0.17985</cdr:x>
      <cdr:y>0.09524</cdr:y>
    </cdr:from>
    <cdr:to>
      <cdr:x>0.3345</cdr:x>
      <cdr:y>0.15214</cdr:y>
    </cdr:to>
    <cdr:sp macro="" textlink="">
      <cdr:nvSpPr>
        <cdr:cNvPr id="25" name="TextBox 1"/>
        <cdr:cNvSpPr txBox="1"/>
      </cdr:nvSpPr>
      <cdr:spPr>
        <a:xfrm xmlns:a="http://schemas.openxmlformats.org/drawingml/2006/main">
          <a:off x="1559560" y="599440"/>
          <a:ext cx="1341120" cy="3581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>
              <a:solidFill>
                <a:schemeClr val="accent2">
                  <a:lumMod val="75000"/>
                </a:schemeClr>
              </a:solidFill>
            </a:rPr>
            <a:t>Add</a:t>
          </a:r>
          <a:r>
            <a:rPr lang="en-US" sz="1600" baseline="0">
              <a:solidFill>
                <a:schemeClr val="accent2">
                  <a:lumMod val="75000"/>
                </a:schemeClr>
              </a:solidFill>
            </a:rPr>
            <a:t> rennet</a:t>
          </a:r>
        </a:p>
      </cdr:txBody>
    </cdr:sp>
  </cdr:relSizeAnchor>
  <cdr:relSizeAnchor xmlns:cdr="http://schemas.openxmlformats.org/drawingml/2006/chartDrawing">
    <cdr:from>
      <cdr:x>0.18073</cdr:x>
      <cdr:y>0.12187</cdr:y>
    </cdr:from>
    <cdr:to>
      <cdr:x>0.19947</cdr:x>
      <cdr:y>0.16828</cdr:y>
    </cdr:to>
    <cdr:cxnSp macro="">
      <cdr:nvCxnSpPr>
        <cdr:cNvPr id="26" name="Straight Arrow Connector 25"/>
        <cdr:cNvCxnSpPr/>
      </cdr:nvCxnSpPr>
      <cdr:spPr>
        <a:xfrm xmlns:a="http://schemas.openxmlformats.org/drawingml/2006/main">
          <a:off x="1567180" y="767080"/>
          <a:ext cx="162560" cy="292100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chemeClr val="accent2">
              <a:lumMod val="75000"/>
            </a:schemeClr>
          </a:solidFill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0.32396</cdr:x>
      <cdr:y>0.09403</cdr:y>
    </cdr:from>
    <cdr:to>
      <cdr:x>0.64763</cdr:x>
      <cdr:y>0.15981</cdr:y>
    </cdr:to>
    <cdr:sp macro="" textlink="">
      <cdr:nvSpPr>
        <cdr:cNvPr id="28" name="TextBox 1"/>
        <cdr:cNvSpPr txBox="1"/>
      </cdr:nvSpPr>
      <cdr:spPr>
        <a:xfrm xmlns:a="http://schemas.openxmlformats.org/drawingml/2006/main">
          <a:off x="2809240" y="591820"/>
          <a:ext cx="2806700" cy="4140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>
              <a:solidFill>
                <a:schemeClr val="accent2">
                  <a:lumMod val="75000"/>
                </a:schemeClr>
              </a:solidFill>
            </a:rPr>
            <a:t>Floc (20 min...), cut,</a:t>
          </a:r>
          <a:r>
            <a:rPr lang="en-US" sz="1600" baseline="0">
              <a:solidFill>
                <a:schemeClr val="accent2">
                  <a:lumMod val="75000"/>
                </a:schemeClr>
              </a:solidFill>
            </a:rPr>
            <a:t> heal, stir</a:t>
          </a:r>
        </a:p>
        <a:p xmlns:a="http://schemas.openxmlformats.org/drawingml/2006/main">
          <a:r>
            <a:rPr lang="en-US" sz="1600" baseline="0">
              <a:solidFill>
                <a:schemeClr val="accent2">
                  <a:lumMod val="75000"/>
                </a:schemeClr>
              </a:solidFill>
            </a:rPr>
            <a:t>waiting for pH target...</a:t>
          </a:r>
        </a:p>
      </cdr:txBody>
    </cdr:sp>
  </cdr:relSizeAnchor>
  <cdr:relSizeAnchor xmlns:cdr="http://schemas.openxmlformats.org/drawingml/2006/chartDrawing">
    <cdr:from>
      <cdr:x>0.34359</cdr:x>
      <cdr:y>0.1816</cdr:y>
    </cdr:from>
    <cdr:to>
      <cdr:x>0.40246</cdr:x>
      <cdr:y>0.23002</cdr:y>
    </cdr:to>
    <cdr:cxnSp macro="">
      <cdr:nvCxnSpPr>
        <cdr:cNvPr id="29" name="Straight Arrow Connector 28"/>
        <cdr:cNvCxnSpPr/>
      </cdr:nvCxnSpPr>
      <cdr:spPr>
        <a:xfrm xmlns:a="http://schemas.openxmlformats.org/drawingml/2006/main">
          <a:off x="2979420" y="1143000"/>
          <a:ext cx="510540" cy="304800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chemeClr val="accent2">
              <a:lumMod val="75000"/>
            </a:schemeClr>
          </a:solidFill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0.54628</cdr:x>
      <cdr:y>0.18362</cdr:y>
    </cdr:from>
    <cdr:to>
      <cdr:x>0.86995</cdr:x>
      <cdr:y>0.23971</cdr:y>
    </cdr:to>
    <cdr:sp macro="" textlink="">
      <cdr:nvSpPr>
        <cdr:cNvPr id="32" name="TextBox 1"/>
        <cdr:cNvSpPr txBox="1"/>
      </cdr:nvSpPr>
      <cdr:spPr>
        <a:xfrm xmlns:a="http://schemas.openxmlformats.org/drawingml/2006/main">
          <a:off x="4737100" y="1155700"/>
          <a:ext cx="2806700" cy="3530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>
              <a:solidFill>
                <a:schemeClr val="accent2">
                  <a:lumMod val="75000"/>
                </a:schemeClr>
              </a:solidFill>
            </a:rPr>
            <a:t>Target reached, washes</a:t>
          </a:r>
          <a:endParaRPr lang="en-US" sz="1600" baseline="0">
            <a:solidFill>
              <a:schemeClr val="accent2">
                <a:lumMod val="7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0.52724</cdr:x>
      <cdr:y>0.21751</cdr:y>
    </cdr:from>
    <cdr:to>
      <cdr:x>0.54892</cdr:x>
      <cdr:y>0.25666</cdr:y>
    </cdr:to>
    <cdr:cxnSp macro="">
      <cdr:nvCxnSpPr>
        <cdr:cNvPr id="33" name="Straight Arrow Connector 32"/>
        <cdr:cNvCxnSpPr/>
      </cdr:nvCxnSpPr>
      <cdr:spPr>
        <a:xfrm xmlns:a="http://schemas.openxmlformats.org/drawingml/2006/main" flipH="1">
          <a:off x="4572000" y="1369060"/>
          <a:ext cx="187960" cy="246380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chemeClr val="accent2">
              <a:lumMod val="75000"/>
            </a:schemeClr>
          </a:solidFill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0.58143</cdr:x>
      <cdr:y>0.31679</cdr:y>
    </cdr:from>
    <cdr:to>
      <cdr:x>0.9051</cdr:x>
      <cdr:y>0.37288</cdr:y>
    </cdr:to>
    <cdr:sp macro="" textlink="">
      <cdr:nvSpPr>
        <cdr:cNvPr id="36" name="TextBox 1"/>
        <cdr:cNvSpPr txBox="1"/>
      </cdr:nvSpPr>
      <cdr:spPr>
        <a:xfrm xmlns:a="http://schemas.openxmlformats.org/drawingml/2006/main">
          <a:off x="5041900" y="1993900"/>
          <a:ext cx="2806700" cy="3530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>
              <a:solidFill>
                <a:schemeClr val="accent2">
                  <a:lumMod val="75000"/>
                </a:schemeClr>
              </a:solidFill>
            </a:rPr>
            <a:t>Press under whey</a:t>
          </a:r>
          <a:endParaRPr lang="en-US" sz="1600" baseline="0">
            <a:solidFill>
              <a:schemeClr val="accent2">
                <a:lumMod val="7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0.60281</cdr:x>
      <cdr:y>0.35916</cdr:y>
    </cdr:from>
    <cdr:to>
      <cdr:x>0.61189</cdr:x>
      <cdr:y>0.40557</cdr:y>
    </cdr:to>
    <cdr:cxnSp macro="">
      <cdr:nvCxnSpPr>
        <cdr:cNvPr id="37" name="Straight Arrow Connector 36"/>
        <cdr:cNvCxnSpPr/>
      </cdr:nvCxnSpPr>
      <cdr:spPr>
        <a:xfrm xmlns:a="http://schemas.openxmlformats.org/drawingml/2006/main" flipH="1">
          <a:off x="5227320" y="2260600"/>
          <a:ext cx="78740" cy="292100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chemeClr val="accent2">
              <a:lumMod val="75000"/>
            </a:schemeClr>
          </a:solidFill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0.65349</cdr:x>
      <cdr:y>0.43543</cdr:y>
    </cdr:from>
    <cdr:to>
      <cdr:x>0.97715</cdr:x>
      <cdr:y>0.49153</cdr:y>
    </cdr:to>
    <cdr:sp macro="" textlink="">
      <cdr:nvSpPr>
        <cdr:cNvPr id="39" name="TextBox 1"/>
        <cdr:cNvSpPr txBox="1"/>
      </cdr:nvSpPr>
      <cdr:spPr>
        <a:xfrm xmlns:a="http://schemas.openxmlformats.org/drawingml/2006/main">
          <a:off x="5666740" y="2740660"/>
          <a:ext cx="2806700" cy="3530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>
              <a:solidFill>
                <a:schemeClr val="accent2">
                  <a:lumMod val="75000"/>
                </a:schemeClr>
              </a:solidFill>
            </a:rPr>
            <a:t>Press</a:t>
          </a:r>
          <a:r>
            <a:rPr lang="en-US" sz="1600" baseline="0">
              <a:solidFill>
                <a:schemeClr val="accent2">
                  <a:lumMod val="75000"/>
                </a:schemeClr>
              </a:solidFill>
            </a:rPr>
            <a:t> in press in cave...</a:t>
          </a:r>
        </a:p>
      </cdr:txBody>
    </cdr:sp>
  </cdr:relSizeAnchor>
  <cdr:relSizeAnchor xmlns:cdr="http://schemas.openxmlformats.org/drawingml/2006/chartDrawing">
    <cdr:from>
      <cdr:x>0.63327</cdr:x>
      <cdr:y>0.4891</cdr:y>
    </cdr:from>
    <cdr:to>
      <cdr:x>0.68453</cdr:x>
      <cdr:y>0.66949</cdr:y>
    </cdr:to>
    <cdr:cxnSp macro="">
      <cdr:nvCxnSpPr>
        <cdr:cNvPr id="40" name="Straight Arrow Connector 39"/>
        <cdr:cNvCxnSpPr/>
      </cdr:nvCxnSpPr>
      <cdr:spPr>
        <a:xfrm xmlns:a="http://schemas.openxmlformats.org/drawingml/2006/main" flipH="1">
          <a:off x="5491480" y="3078480"/>
          <a:ext cx="444500" cy="1135380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chemeClr val="accent2">
              <a:lumMod val="75000"/>
            </a:schemeClr>
          </a:solidFill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0.81195</cdr:x>
      <cdr:y>0.75303</cdr:y>
    </cdr:from>
    <cdr:to>
      <cdr:x>0.97979</cdr:x>
      <cdr:y>0.81961</cdr:y>
    </cdr:to>
    <cdr:sp macro="" textlink="">
      <cdr:nvSpPr>
        <cdr:cNvPr id="42" name="TextBox 1"/>
        <cdr:cNvSpPr txBox="1"/>
      </cdr:nvSpPr>
      <cdr:spPr>
        <a:xfrm xmlns:a="http://schemas.openxmlformats.org/drawingml/2006/main">
          <a:off x="7040880" y="4739640"/>
          <a:ext cx="1455420" cy="419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>
              <a:solidFill>
                <a:schemeClr val="accent2">
                  <a:lumMod val="75000"/>
                </a:schemeClr>
              </a:solidFill>
            </a:rPr>
            <a:t>Brine</a:t>
          </a:r>
          <a:endParaRPr lang="en-US" sz="1600" baseline="0">
            <a:solidFill>
              <a:schemeClr val="accent2">
                <a:lumMod val="7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0.8181</cdr:x>
      <cdr:y>0.78047</cdr:y>
    </cdr:from>
    <cdr:to>
      <cdr:x>0.8181</cdr:x>
      <cdr:y>0.8632</cdr:y>
    </cdr:to>
    <cdr:cxnSp macro="">
      <cdr:nvCxnSpPr>
        <cdr:cNvPr id="43" name="Straight Arrow Connector 42"/>
        <cdr:cNvCxnSpPr/>
      </cdr:nvCxnSpPr>
      <cdr:spPr>
        <a:xfrm xmlns:a="http://schemas.openxmlformats.org/drawingml/2006/main">
          <a:off x="7094220" y="4912360"/>
          <a:ext cx="0" cy="520700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chemeClr val="accent2">
              <a:lumMod val="75000"/>
            </a:schemeClr>
          </a:solidFill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R18"/>
  <sheetViews>
    <sheetView workbookViewId="0">
      <selection activeCell="I10" sqref="I10"/>
    </sheetView>
  </sheetViews>
  <sheetFormatPr defaultRowHeight="15" x14ac:dyDescent="0.25"/>
  <cols>
    <col min="3" max="3" width="24" bestFit="1" customWidth="1"/>
    <col min="7" max="7" width="13.28515625" bestFit="1" customWidth="1"/>
  </cols>
  <sheetData>
    <row r="6" spans="3:18" x14ac:dyDescent="0.25">
      <c r="D6" t="s">
        <v>0</v>
      </c>
      <c r="E6" t="s">
        <v>1</v>
      </c>
      <c r="H6" t="s">
        <v>0</v>
      </c>
      <c r="I6" t="s">
        <v>2</v>
      </c>
      <c r="K6" t="s">
        <v>0</v>
      </c>
      <c r="L6" t="s">
        <v>16</v>
      </c>
      <c r="N6" t="s">
        <v>0</v>
      </c>
      <c r="O6" t="s">
        <v>17</v>
      </c>
      <c r="Q6" t="s">
        <v>0</v>
      </c>
      <c r="R6" t="s">
        <v>18</v>
      </c>
    </row>
    <row r="7" spans="3:18" x14ac:dyDescent="0.25">
      <c r="D7">
        <v>0</v>
      </c>
      <c r="E7">
        <v>6.68</v>
      </c>
      <c r="H7">
        <v>0</v>
      </c>
      <c r="I7">
        <v>6.68</v>
      </c>
      <c r="K7">
        <v>0</v>
      </c>
      <c r="L7">
        <v>6.68</v>
      </c>
      <c r="N7">
        <v>0</v>
      </c>
      <c r="O7">
        <v>6.68</v>
      </c>
      <c r="Q7">
        <v>90</v>
      </c>
      <c r="R7">
        <v>6.625</v>
      </c>
    </row>
    <row r="8" spans="3:18" x14ac:dyDescent="0.25">
      <c r="C8" t="s">
        <v>3</v>
      </c>
      <c r="D8">
        <v>17</v>
      </c>
      <c r="E8">
        <v>6.64</v>
      </c>
      <c r="H8">
        <v>29</v>
      </c>
      <c r="I8">
        <v>6.67</v>
      </c>
      <c r="K8">
        <v>66</v>
      </c>
      <c r="L8">
        <v>6.55</v>
      </c>
      <c r="N8">
        <v>55</v>
      </c>
      <c r="O8">
        <v>6.55</v>
      </c>
      <c r="Q8">
        <f>Q7+45+35+20+30+15</f>
        <v>235</v>
      </c>
      <c r="R8">
        <v>6.54</v>
      </c>
    </row>
    <row r="9" spans="3:18" x14ac:dyDescent="0.25">
      <c r="D9">
        <v>38</v>
      </c>
      <c r="E9">
        <v>6.62</v>
      </c>
      <c r="H9">
        <v>45</v>
      </c>
      <c r="I9">
        <v>6.64</v>
      </c>
      <c r="K9">
        <f>K8+15+5+37.5+5+15</f>
        <v>143.5</v>
      </c>
      <c r="L9">
        <v>6.45</v>
      </c>
      <c r="N9">
        <v>90</v>
      </c>
      <c r="O9">
        <v>6.5</v>
      </c>
      <c r="Q9">
        <f>Q8+60</f>
        <v>295</v>
      </c>
      <c r="R9">
        <v>6.1</v>
      </c>
    </row>
    <row r="10" spans="3:18" x14ac:dyDescent="0.25">
      <c r="D10">
        <v>48</v>
      </c>
      <c r="E10">
        <v>6.6</v>
      </c>
      <c r="G10" t="s">
        <v>13</v>
      </c>
      <c r="H10">
        <v>63</v>
      </c>
      <c r="I10">
        <v>6.62</v>
      </c>
      <c r="K10">
        <f>K9+5*60</f>
        <v>443.5</v>
      </c>
      <c r="L10">
        <v>5.45</v>
      </c>
      <c r="N10">
        <v>115</v>
      </c>
      <c r="O10">
        <v>6.4249999999999998</v>
      </c>
      <c r="Q10">
        <f>Q9+120</f>
        <v>415</v>
      </c>
      <c r="R10">
        <v>5.15</v>
      </c>
    </row>
    <row r="11" spans="3:18" x14ac:dyDescent="0.25">
      <c r="C11" t="s">
        <v>4</v>
      </c>
      <c r="D11">
        <v>55</v>
      </c>
      <c r="E11">
        <v>6.57</v>
      </c>
      <c r="H11">
        <f>120+23+19</f>
        <v>162</v>
      </c>
      <c r="I11">
        <v>6.5</v>
      </c>
      <c r="N11">
        <v>140</v>
      </c>
      <c r="O11">
        <v>6.4</v>
      </c>
    </row>
    <row r="12" spans="3:18" x14ac:dyDescent="0.25">
      <c r="C12" t="s">
        <v>5</v>
      </c>
      <c r="D12">
        <v>81</v>
      </c>
      <c r="E12">
        <v>6.55</v>
      </c>
      <c r="G12" t="s">
        <v>14</v>
      </c>
      <c r="H12">
        <f>H11+37+18</f>
        <v>217</v>
      </c>
      <c r="I12">
        <v>6.45</v>
      </c>
      <c r="N12">
        <v>170</v>
      </c>
      <c r="O12">
        <v>6.25</v>
      </c>
    </row>
    <row r="13" spans="3:18" x14ac:dyDescent="0.25">
      <c r="C13" t="s">
        <v>6</v>
      </c>
      <c r="D13">
        <v>96</v>
      </c>
      <c r="E13">
        <v>6.54</v>
      </c>
      <c r="G13" t="s">
        <v>8</v>
      </c>
      <c r="H13">
        <f>H12+55-18</f>
        <v>254</v>
      </c>
      <c r="I13">
        <v>6.15</v>
      </c>
      <c r="N13">
        <v>180</v>
      </c>
      <c r="O13">
        <v>6.2</v>
      </c>
    </row>
    <row r="14" spans="3:18" x14ac:dyDescent="0.25">
      <c r="C14" t="s">
        <v>7</v>
      </c>
      <c r="D14">
        <v>123</v>
      </c>
      <c r="E14">
        <v>6.45</v>
      </c>
      <c r="G14" t="s">
        <v>15</v>
      </c>
      <c r="H14">
        <f>H13+15</f>
        <v>269</v>
      </c>
      <c r="I14">
        <v>5.65</v>
      </c>
      <c r="N14">
        <f>8*60</f>
        <v>480</v>
      </c>
      <c r="O14">
        <v>5.6</v>
      </c>
    </row>
    <row r="15" spans="3:18" x14ac:dyDescent="0.25">
      <c r="C15" t="s">
        <v>9</v>
      </c>
      <c r="D15">
        <v>155</v>
      </c>
      <c r="E15">
        <v>6.25</v>
      </c>
      <c r="G15" t="s">
        <v>12</v>
      </c>
      <c r="H15">
        <v>361</v>
      </c>
      <c r="I15">
        <v>5.26</v>
      </c>
    </row>
    <row r="16" spans="3:18" x14ac:dyDescent="0.25">
      <c r="C16" t="s">
        <v>10</v>
      </c>
      <c r="D16">
        <v>220</v>
      </c>
      <c r="E16">
        <v>5.75</v>
      </c>
    </row>
    <row r="17" spans="3:5" x14ac:dyDescent="0.25">
      <c r="C17" t="s">
        <v>11</v>
      </c>
      <c r="D17">
        <v>260</v>
      </c>
      <c r="E17">
        <v>5.55</v>
      </c>
    </row>
    <row r="18" spans="3:5" x14ac:dyDescent="0.25">
      <c r="C18" t="s">
        <v>12</v>
      </c>
      <c r="D18">
        <v>305</v>
      </c>
      <c r="E18">
        <v>5.23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</cp:lastModifiedBy>
  <dcterms:created xsi:type="dcterms:W3CDTF">2012-08-05T02:03:28Z</dcterms:created>
  <dcterms:modified xsi:type="dcterms:W3CDTF">2012-08-05T18:55:28Z</dcterms:modified>
</cp:coreProperties>
</file>