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fileSharing readOnlyRecommended="1" userName="Owner" reservationPassword="CB69"/>
  <workbookPr filterPrivacy="1" defaultThemeVersion="124226"/>
  <bookViews>
    <workbookView xWindow="240" yWindow="105" windowWidth="14805" windowHeight="8010"/>
  </bookViews>
  <sheets>
    <sheet name="Sheet1" sheetId="1" r:id="rId1"/>
  </sheets>
  <calcPr calcId="145621"/>
</workbook>
</file>

<file path=xl/calcChain.xml><?xml version="1.0" encoding="utf-8"?>
<calcChain xmlns="http://schemas.openxmlformats.org/spreadsheetml/2006/main">
  <c r="C37" i="1" l="1"/>
  <c r="D37" i="1" s="1"/>
  <c r="C68" i="1"/>
  <c r="D68" i="1"/>
  <c r="C69" i="1"/>
  <c r="D69" i="1" s="1"/>
  <c r="C49" i="1"/>
  <c r="D49" i="1" s="1"/>
  <c r="C51" i="1"/>
  <c r="D51" i="1" s="1"/>
  <c r="C52" i="1"/>
  <c r="D52" i="1" s="1"/>
  <c r="C53" i="1"/>
  <c r="D53" i="1" s="1"/>
  <c r="C54" i="1"/>
  <c r="D54" i="1" s="1"/>
  <c r="C55" i="1"/>
  <c r="D55" i="1" s="1"/>
  <c r="C56" i="1"/>
  <c r="D56" i="1" s="1"/>
  <c r="C57" i="1"/>
  <c r="D57" i="1" s="1"/>
  <c r="C58" i="1"/>
  <c r="D58" i="1" s="1"/>
  <c r="C59" i="1"/>
  <c r="D59" i="1" s="1"/>
  <c r="C60" i="1"/>
  <c r="D60" i="1" s="1"/>
  <c r="C61" i="1"/>
  <c r="D61" i="1" s="1"/>
  <c r="C62" i="1"/>
  <c r="D62" i="1" s="1"/>
  <c r="C63" i="1"/>
  <c r="D63" i="1" s="1"/>
  <c r="C64" i="1"/>
  <c r="D64" i="1" s="1"/>
  <c r="C65" i="1"/>
  <c r="D65" i="1" s="1"/>
  <c r="C66" i="1"/>
  <c r="D66" i="1" s="1"/>
  <c r="C67" i="1"/>
  <c r="D67" i="1" s="1"/>
  <c r="C70" i="1"/>
  <c r="D70" i="1" s="1"/>
  <c r="C71" i="1"/>
  <c r="D71" i="1" s="1"/>
  <c r="C72" i="1"/>
  <c r="D72" i="1" s="1"/>
  <c r="C73" i="1"/>
  <c r="D73" i="1" s="1"/>
  <c r="C50" i="1"/>
  <c r="D50" i="1" s="1"/>
  <c r="C47" i="1"/>
  <c r="D47" i="1" s="1"/>
  <c r="C38" i="1"/>
  <c r="D38" i="1" s="1"/>
  <c r="C39" i="1"/>
  <c r="D39" i="1" s="1"/>
  <c r="C40" i="1"/>
  <c r="D40" i="1" s="1"/>
  <c r="C41" i="1"/>
  <c r="D41" i="1" s="1"/>
  <c r="C42" i="1"/>
  <c r="D42" i="1" s="1"/>
  <c r="C43" i="1"/>
  <c r="D43" i="1" s="1"/>
  <c r="C44" i="1"/>
  <c r="D44" i="1" s="1"/>
  <c r="C45" i="1"/>
  <c r="D45" i="1" s="1"/>
  <c r="C46" i="1"/>
  <c r="D46" i="1" s="1"/>
  <c r="C7" i="1"/>
  <c r="D7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5" i="1"/>
  <c r="D15" i="1" s="1"/>
  <c r="C16" i="1"/>
  <c r="D16" i="1" s="1"/>
  <c r="C17" i="1"/>
  <c r="D17" i="1" s="1"/>
  <c r="C18" i="1"/>
  <c r="D18" i="1" s="1"/>
  <c r="C19" i="1"/>
  <c r="D19" i="1" s="1"/>
  <c r="C20" i="1"/>
  <c r="D20" i="1" s="1"/>
  <c r="C21" i="1"/>
  <c r="D21" i="1" s="1"/>
  <c r="C22" i="1"/>
  <c r="D22" i="1" s="1"/>
  <c r="C23" i="1"/>
  <c r="D23" i="1" s="1"/>
  <c r="C24" i="1"/>
  <c r="D24" i="1" s="1"/>
  <c r="C25" i="1"/>
  <c r="D25" i="1" s="1"/>
  <c r="C26" i="1"/>
  <c r="D26" i="1" s="1"/>
  <c r="C27" i="1"/>
  <c r="D27" i="1" s="1"/>
  <c r="C28" i="1"/>
  <c r="D28" i="1" s="1"/>
  <c r="C29" i="1"/>
  <c r="D29" i="1" s="1"/>
  <c r="C30" i="1"/>
  <c r="D30" i="1" s="1"/>
  <c r="C31" i="1"/>
  <c r="D31" i="1" s="1"/>
  <c r="C32" i="1"/>
  <c r="D32" i="1" s="1"/>
  <c r="C33" i="1"/>
  <c r="D33" i="1" s="1"/>
  <c r="C34" i="1"/>
  <c r="D34" i="1" s="1"/>
  <c r="C35" i="1"/>
  <c r="D35" i="1" s="1"/>
  <c r="C8" i="1"/>
  <c r="D8" i="1" s="1"/>
  <c r="D48" i="1" l="1"/>
  <c r="H7" i="1" s="1"/>
  <c r="I7" i="1" s="1"/>
  <c r="D74" i="1"/>
  <c r="H8" i="1" s="1"/>
  <c r="D36" i="1"/>
  <c r="H6" i="1" s="1"/>
  <c r="I6" i="1" l="1"/>
  <c r="J7" i="1"/>
  <c r="J8" i="1"/>
  <c r="I8" i="1"/>
</calcChain>
</file>

<file path=xl/sharedStrings.xml><?xml version="1.0" encoding="utf-8"?>
<sst xmlns="http://schemas.openxmlformats.org/spreadsheetml/2006/main" count="19" uniqueCount="16">
  <si>
    <t>RWT</t>
  </si>
  <si>
    <t>ug/L</t>
  </si>
  <si>
    <t>ft</t>
  </si>
  <si>
    <t>ug</t>
  </si>
  <si>
    <t>Sum</t>
  </si>
  <si>
    <t>Initial DTW (ft)</t>
  </si>
  <si>
    <t>Vertical Distance between measurments</t>
  </si>
  <si>
    <t>l of water/ft of well</t>
  </si>
  <si>
    <t>Mass of RWT</t>
  </si>
  <si>
    <t>YSI Depth below casing</t>
  </si>
  <si>
    <t>Profile</t>
  </si>
  <si>
    <t>Initial</t>
  </si>
  <si>
    <t>1hr</t>
  </si>
  <si>
    <t>5hr</t>
  </si>
  <si>
    <t>Mass (ug)</t>
  </si>
  <si>
    <t>Error from Initial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</si>
</sst>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1" fontId="0" fillId="0" borderId="0" xfId="0" applyNumberFormat="1"/>
    <xf numFmtId="0" fontId="0" fillId="0" borderId="3" xfId="0" applyBorder="1"/>
    <xf numFmtId="0" fontId="0" fillId="0" borderId="5" xfId="0" applyBorder="1"/>
    <xf numFmtId="1" fontId="0" fillId="0" borderId="7" xfId="0" applyNumberFormat="1" applyBorder="1"/>
    <xf numFmtId="0" fontId="1" fillId="2" borderId="2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2" xfId="0" applyFont="1" applyFill="1" applyBorder="1"/>
    <xf numFmtId="0" fontId="1" fillId="2" borderId="4" xfId="0" applyFont="1" applyFill="1" applyBorder="1"/>
    <xf numFmtId="0" fontId="1" fillId="2" borderId="2" xfId="0" applyFont="1" applyFill="1" applyBorder="1" applyAlignment="1">
      <alignment horizontal="left"/>
    </xf>
    <xf numFmtId="0" fontId="1" fillId="2" borderId="6" xfId="0" applyFont="1" applyFill="1" applyBorder="1"/>
    <xf numFmtId="0" fontId="0" fillId="2" borderId="3" xfId="0" applyFill="1" applyBorder="1"/>
    <xf numFmtId="0" fontId="1" fillId="2" borderId="8" xfId="0" applyFont="1" applyFill="1" applyBorder="1" applyAlignment="1">
      <alignment horizontal="left"/>
    </xf>
    <xf numFmtId="1" fontId="0" fillId="2" borderId="1" xfId="0" applyNumberFormat="1" applyFill="1" applyBorder="1"/>
    <xf numFmtId="0" fontId="0" fillId="2" borderId="9" xfId="0" applyFill="1" applyBorder="1"/>
    <xf numFmtId="164" fontId="0" fillId="2" borderId="9" xfId="0" applyNumberFormat="1" applyFill="1" applyBorder="1"/>
    <xf numFmtId="0" fontId="1" fillId="2" borderId="4" xfId="0" applyFont="1" applyFill="1" applyBorder="1" applyAlignment="1">
      <alignment horizontal="left"/>
    </xf>
    <xf numFmtId="1" fontId="0" fillId="2" borderId="7" xfId="0" applyNumberFormat="1" applyFill="1" applyBorder="1"/>
    <xf numFmtId="164" fontId="0" fillId="2" borderId="5" xfId="0" applyNumberFormat="1" applyFill="1" applyBorder="1"/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0" borderId="13" xfId="0" applyFont="1" applyBorder="1"/>
    <xf numFmtId="1" fontId="1" fillId="0" borderId="14" xfId="0" applyNumberFormat="1" applyFont="1" applyBorder="1"/>
    <xf numFmtId="0" fontId="0" fillId="0" borderId="1" xfId="0" applyBorder="1"/>
    <xf numFmtId="0" fontId="0" fillId="0" borderId="2" xfId="0" applyBorder="1"/>
    <xf numFmtId="0" fontId="0" fillId="0" borderId="6" xfId="0" applyBorder="1"/>
    <xf numFmtId="1" fontId="0" fillId="0" borderId="6" xfId="0" applyNumberFormat="1" applyBorder="1"/>
    <xf numFmtId="1" fontId="0" fillId="0" borderId="3" xfId="0" applyNumberFormat="1" applyBorder="1"/>
    <xf numFmtId="0" fontId="0" fillId="0" borderId="8" xfId="0" applyBorder="1"/>
    <xf numFmtId="1" fontId="0" fillId="0" borderId="9" xfId="0" applyNumberFormat="1" applyBorder="1"/>
    <xf numFmtId="0" fontId="0" fillId="0" borderId="4" xfId="0" applyBorder="1"/>
    <xf numFmtId="0" fontId="0" fillId="0" borderId="7" xfId="0" applyBorder="1"/>
    <xf numFmtId="1" fontId="0" fillId="0" borderId="5" xfId="0" applyNumberFormat="1" applyBorder="1"/>
    <xf numFmtId="0" fontId="1" fillId="0" borderId="15" xfId="0" applyFont="1" applyBorder="1"/>
    <xf numFmtId="1" fontId="1" fillId="0" borderId="16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RWT Profiles</a:t>
            </a:r>
          </a:p>
        </c:rich>
      </c:tx>
      <c:layout>
        <c:manualLayout>
          <c:xMode val="edge"/>
          <c:yMode val="edge"/>
          <c:x val="0.40797444590259552"/>
          <c:y val="1.0416666666666666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0896872265966755"/>
          <c:y val="9.8540026246719162E-2"/>
          <c:w val="0.85954396325459315"/>
          <c:h val="0.76885088582677164"/>
        </c:manualLayout>
      </c:layout>
      <c:scatterChart>
        <c:scatterStyle val="smoothMarker"/>
        <c:varyColors val="0"/>
        <c:ser>
          <c:idx val="0"/>
          <c:order val="0"/>
          <c:tx>
            <c:v>Initial</c:v>
          </c:tx>
          <c:xVal>
            <c:numRef>
              <c:f>Sheet1!$A$7:$A$35</c:f>
              <c:numCache>
                <c:formatCode>General</c:formatCode>
                <c:ptCount val="29"/>
                <c:pt idx="0">
                  <c:v>14.8</c:v>
                </c:pt>
                <c:pt idx="1">
                  <c:v>27.2</c:v>
                </c:pt>
                <c:pt idx="2">
                  <c:v>141.80000000000001</c:v>
                </c:pt>
                <c:pt idx="3">
                  <c:v>253.2</c:v>
                </c:pt>
                <c:pt idx="4">
                  <c:v>251.3</c:v>
                </c:pt>
                <c:pt idx="5">
                  <c:v>217.5</c:v>
                </c:pt>
                <c:pt idx="6">
                  <c:v>191.4</c:v>
                </c:pt>
                <c:pt idx="7">
                  <c:v>186</c:v>
                </c:pt>
                <c:pt idx="8">
                  <c:v>175.9</c:v>
                </c:pt>
                <c:pt idx="9">
                  <c:v>166.3</c:v>
                </c:pt>
                <c:pt idx="10">
                  <c:v>160.1</c:v>
                </c:pt>
                <c:pt idx="11">
                  <c:v>116</c:v>
                </c:pt>
                <c:pt idx="12">
                  <c:v>134.5</c:v>
                </c:pt>
                <c:pt idx="13">
                  <c:v>138.6</c:v>
                </c:pt>
                <c:pt idx="14">
                  <c:v>140</c:v>
                </c:pt>
                <c:pt idx="15">
                  <c:v>141.19999999999999</c:v>
                </c:pt>
                <c:pt idx="16">
                  <c:v>161.9</c:v>
                </c:pt>
                <c:pt idx="17">
                  <c:v>155.9</c:v>
                </c:pt>
                <c:pt idx="18">
                  <c:v>150.6</c:v>
                </c:pt>
                <c:pt idx="19">
                  <c:v>163.9</c:v>
                </c:pt>
                <c:pt idx="20">
                  <c:v>168.8</c:v>
                </c:pt>
                <c:pt idx="21">
                  <c:v>180.9</c:v>
                </c:pt>
                <c:pt idx="22">
                  <c:v>189.6</c:v>
                </c:pt>
                <c:pt idx="23">
                  <c:v>190.2</c:v>
                </c:pt>
                <c:pt idx="24">
                  <c:v>182.1</c:v>
                </c:pt>
                <c:pt idx="25">
                  <c:v>185.2</c:v>
                </c:pt>
                <c:pt idx="26">
                  <c:v>212.7</c:v>
                </c:pt>
                <c:pt idx="27">
                  <c:v>269</c:v>
                </c:pt>
                <c:pt idx="28">
                  <c:v>285.39999999999998</c:v>
                </c:pt>
              </c:numCache>
            </c:numRef>
          </c:xVal>
          <c:yVal>
            <c:numRef>
              <c:f>Sheet1!$B$7:$B$35</c:f>
              <c:numCache>
                <c:formatCode>General</c:formatCode>
                <c:ptCount val="29"/>
                <c:pt idx="0">
                  <c:v>25</c:v>
                </c:pt>
                <c:pt idx="1">
                  <c:v>36</c:v>
                </c:pt>
                <c:pt idx="2">
                  <c:v>48</c:v>
                </c:pt>
                <c:pt idx="3">
                  <c:v>58</c:v>
                </c:pt>
                <c:pt idx="4">
                  <c:v>69</c:v>
                </c:pt>
                <c:pt idx="5">
                  <c:v>77</c:v>
                </c:pt>
                <c:pt idx="6">
                  <c:v>88</c:v>
                </c:pt>
                <c:pt idx="7">
                  <c:v>96</c:v>
                </c:pt>
                <c:pt idx="8">
                  <c:v>105</c:v>
                </c:pt>
                <c:pt idx="9">
                  <c:v>115</c:v>
                </c:pt>
                <c:pt idx="10">
                  <c:v>123</c:v>
                </c:pt>
                <c:pt idx="11">
                  <c:v>132</c:v>
                </c:pt>
                <c:pt idx="12">
                  <c:v>142</c:v>
                </c:pt>
                <c:pt idx="13">
                  <c:v>153</c:v>
                </c:pt>
                <c:pt idx="14">
                  <c:v>153</c:v>
                </c:pt>
                <c:pt idx="15">
                  <c:v>163</c:v>
                </c:pt>
                <c:pt idx="16">
                  <c:v>175</c:v>
                </c:pt>
                <c:pt idx="17">
                  <c:v>185</c:v>
                </c:pt>
                <c:pt idx="18">
                  <c:v>194</c:v>
                </c:pt>
                <c:pt idx="19">
                  <c:v>203</c:v>
                </c:pt>
                <c:pt idx="20">
                  <c:v>217</c:v>
                </c:pt>
                <c:pt idx="21">
                  <c:v>226</c:v>
                </c:pt>
                <c:pt idx="22">
                  <c:v>236</c:v>
                </c:pt>
                <c:pt idx="23">
                  <c:v>245</c:v>
                </c:pt>
                <c:pt idx="24">
                  <c:v>256</c:v>
                </c:pt>
                <c:pt idx="25">
                  <c:v>265</c:v>
                </c:pt>
                <c:pt idx="26">
                  <c:v>275</c:v>
                </c:pt>
                <c:pt idx="27">
                  <c:v>284</c:v>
                </c:pt>
                <c:pt idx="28">
                  <c:v>293</c:v>
                </c:pt>
              </c:numCache>
            </c:numRef>
          </c:yVal>
          <c:smooth val="1"/>
        </c:ser>
        <c:ser>
          <c:idx val="1"/>
          <c:order val="1"/>
          <c:tx>
            <c:v>1 hour</c:v>
          </c:tx>
          <c:xVal>
            <c:numRef>
              <c:f>Sheet1!$A$37:$A$47</c:f>
              <c:numCache>
                <c:formatCode>General</c:formatCode>
                <c:ptCount val="11"/>
                <c:pt idx="0">
                  <c:v>321.5</c:v>
                </c:pt>
                <c:pt idx="1">
                  <c:v>269</c:v>
                </c:pt>
                <c:pt idx="2">
                  <c:v>212.7</c:v>
                </c:pt>
                <c:pt idx="3">
                  <c:v>178.4</c:v>
                </c:pt>
                <c:pt idx="4">
                  <c:v>170</c:v>
                </c:pt>
                <c:pt idx="5">
                  <c:v>120.1</c:v>
                </c:pt>
                <c:pt idx="6">
                  <c:v>166.3</c:v>
                </c:pt>
                <c:pt idx="7">
                  <c:v>198.4</c:v>
                </c:pt>
                <c:pt idx="8">
                  <c:v>223.2</c:v>
                </c:pt>
                <c:pt idx="9">
                  <c:v>18.5</c:v>
                </c:pt>
                <c:pt idx="10">
                  <c:v>75.8</c:v>
                </c:pt>
              </c:numCache>
            </c:numRef>
          </c:xVal>
          <c:yVal>
            <c:numRef>
              <c:f>Sheet1!$B$37:$B$47</c:f>
              <c:numCache>
                <c:formatCode>General</c:formatCode>
                <c:ptCount val="11"/>
                <c:pt idx="0">
                  <c:v>301</c:v>
                </c:pt>
                <c:pt idx="1">
                  <c:v>282</c:v>
                </c:pt>
                <c:pt idx="2">
                  <c:v>277</c:v>
                </c:pt>
                <c:pt idx="3">
                  <c:v>223</c:v>
                </c:pt>
                <c:pt idx="4">
                  <c:v>195</c:v>
                </c:pt>
                <c:pt idx="5">
                  <c:v>145</c:v>
                </c:pt>
                <c:pt idx="6">
                  <c:v>115</c:v>
                </c:pt>
                <c:pt idx="7">
                  <c:v>84</c:v>
                </c:pt>
                <c:pt idx="8">
                  <c:v>55</c:v>
                </c:pt>
                <c:pt idx="9">
                  <c:v>25</c:v>
                </c:pt>
                <c:pt idx="10">
                  <c:v>20</c:v>
                </c:pt>
              </c:numCache>
            </c:numRef>
          </c:yVal>
          <c:smooth val="1"/>
        </c:ser>
        <c:ser>
          <c:idx val="2"/>
          <c:order val="2"/>
          <c:tx>
            <c:v>5 hours</c:v>
          </c:tx>
          <c:xVal>
            <c:numRef>
              <c:f>Sheet1!$A$49:$A$73</c:f>
              <c:numCache>
                <c:formatCode>General</c:formatCode>
                <c:ptCount val="25"/>
                <c:pt idx="0">
                  <c:v>148.5</c:v>
                </c:pt>
                <c:pt idx="1">
                  <c:v>243.8</c:v>
                </c:pt>
                <c:pt idx="2">
                  <c:v>221.4</c:v>
                </c:pt>
                <c:pt idx="3">
                  <c:v>196.4</c:v>
                </c:pt>
                <c:pt idx="4">
                  <c:v>183.1</c:v>
                </c:pt>
                <c:pt idx="5">
                  <c:v>171.6</c:v>
                </c:pt>
                <c:pt idx="6">
                  <c:v>169.7</c:v>
                </c:pt>
                <c:pt idx="7">
                  <c:v>49.1</c:v>
                </c:pt>
                <c:pt idx="8">
                  <c:v>54.7</c:v>
                </c:pt>
                <c:pt idx="9">
                  <c:v>115.7</c:v>
                </c:pt>
                <c:pt idx="10">
                  <c:v>135.1</c:v>
                </c:pt>
                <c:pt idx="11">
                  <c:v>145.69999999999999</c:v>
                </c:pt>
                <c:pt idx="12">
                  <c:v>155.1</c:v>
                </c:pt>
                <c:pt idx="13">
                  <c:v>158.5</c:v>
                </c:pt>
                <c:pt idx="14">
                  <c:v>158.9</c:v>
                </c:pt>
                <c:pt idx="15">
                  <c:v>166.1</c:v>
                </c:pt>
                <c:pt idx="16">
                  <c:v>175.5</c:v>
                </c:pt>
                <c:pt idx="17">
                  <c:v>180.9</c:v>
                </c:pt>
                <c:pt idx="18">
                  <c:v>183.7</c:v>
                </c:pt>
                <c:pt idx="19">
                  <c:v>183.6</c:v>
                </c:pt>
                <c:pt idx="20">
                  <c:v>185.8</c:v>
                </c:pt>
                <c:pt idx="21">
                  <c:v>207.1</c:v>
                </c:pt>
                <c:pt idx="22">
                  <c:v>241.8</c:v>
                </c:pt>
                <c:pt idx="23">
                  <c:v>303.60000000000002</c:v>
                </c:pt>
                <c:pt idx="24">
                  <c:v>317.39999999999998</c:v>
                </c:pt>
              </c:numCache>
            </c:numRef>
          </c:xVal>
          <c:yVal>
            <c:numRef>
              <c:f>Sheet1!$B$49:$B$73</c:f>
              <c:numCache>
                <c:formatCode>General</c:formatCode>
                <c:ptCount val="25"/>
                <c:pt idx="0">
                  <c:v>45</c:v>
                </c:pt>
                <c:pt idx="1">
                  <c:v>56</c:v>
                </c:pt>
                <c:pt idx="2">
                  <c:v>68</c:v>
                </c:pt>
                <c:pt idx="3">
                  <c:v>79</c:v>
                </c:pt>
                <c:pt idx="4">
                  <c:v>91</c:v>
                </c:pt>
                <c:pt idx="5">
                  <c:v>102</c:v>
                </c:pt>
                <c:pt idx="6">
                  <c:v>113</c:v>
                </c:pt>
                <c:pt idx="7">
                  <c:v>125</c:v>
                </c:pt>
                <c:pt idx="8">
                  <c:v>133</c:v>
                </c:pt>
                <c:pt idx="9">
                  <c:v>144</c:v>
                </c:pt>
                <c:pt idx="10">
                  <c:v>155</c:v>
                </c:pt>
                <c:pt idx="11">
                  <c:v>167</c:v>
                </c:pt>
                <c:pt idx="12">
                  <c:v>178</c:v>
                </c:pt>
                <c:pt idx="13">
                  <c:v>189</c:v>
                </c:pt>
                <c:pt idx="14">
                  <c:v>199</c:v>
                </c:pt>
                <c:pt idx="15">
                  <c:v>210</c:v>
                </c:pt>
                <c:pt idx="16">
                  <c:v>221</c:v>
                </c:pt>
                <c:pt idx="17">
                  <c:v>233</c:v>
                </c:pt>
                <c:pt idx="18">
                  <c:v>246</c:v>
                </c:pt>
                <c:pt idx="19">
                  <c:v>245</c:v>
                </c:pt>
                <c:pt idx="20">
                  <c:v>257</c:v>
                </c:pt>
                <c:pt idx="21">
                  <c:v>269</c:v>
                </c:pt>
                <c:pt idx="22">
                  <c:v>278</c:v>
                </c:pt>
                <c:pt idx="23">
                  <c:v>289</c:v>
                </c:pt>
                <c:pt idx="24">
                  <c:v>299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231168"/>
        <c:axId val="70233088"/>
      </c:scatterChart>
      <c:valAx>
        <c:axId val="702311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RWT (ppm)</a:t>
                </a:r>
              </a:p>
            </c:rich>
          </c:tx>
          <c:layout>
            <c:manualLayout>
              <c:xMode val="edge"/>
              <c:yMode val="edge"/>
              <c:x val="0.47200349956255466"/>
              <c:y val="0.93354248687664032"/>
            </c:manualLayout>
          </c:layout>
          <c:overlay val="0"/>
        </c:title>
        <c:numFmt formatCode="General" sourceLinked="1"/>
        <c:majorTickMark val="cross"/>
        <c:minorTickMark val="in"/>
        <c:tickLblPos val="nextTo"/>
        <c:spPr>
          <a:ln>
            <a:solidFill>
              <a:sysClr val="windowText" lastClr="000000"/>
            </a:solidFill>
          </a:ln>
        </c:spPr>
        <c:crossAx val="70233088"/>
        <c:crosses val="max"/>
        <c:crossBetween val="midCat"/>
      </c:valAx>
      <c:valAx>
        <c:axId val="70233088"/>
        <c:scaling>
          <c:orientation val="maxMin"/>
          <c:max val="30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Depth Below Top</a:t>
                </a:r>
                <a:r>
                  <a:rPr lang="en-US" baseline="0"/>
                  <a:t> of Casing (ft)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1.3619495479731699E-2"/>
              <c:y val="0.2334514435695538"/>
            </c:manualLayout>
          </c:layout>
          <c:overlay val="0"/>
        </c:title>
        <c:numFmt formatCode="General" sourceLinked="1"/>
        <c:majorTickMark val="cross"/>
        <c:minorTickMark val="in"/>
        <c:tickLblPos val="nextTo"/>
        <c:spPr>
          <a:ln>
            <a:solidFill>
              <a:sysClr val="windowText" lastClr="000000"/>
            </a:solidFill>
          </a:ln>
        </c:spPr>
        <c:crossAx val="70231168"/>
        <c:crosses val="autoZero"/>
        <c:crossBetween val="midCat"/>
      </c:valAx>
      <c:spPr>
        <a:ln>
          <a:solidFill>
            <a:sysClr val="windowText" lastClr="000000"/>
          </a:solidFill>
        </a:ln>
      </c:spPr>
    </c:plotArea>
    <c:legend>
      <c:legendPos val="r"/>
      <c:layout>
        <c:manualLayout>
          <c:xMode val="edge"/>
          <c:yMode val="edge"/>
          <c:x val="0.17479409479409483"/>
          <c:y val="0.66267018285422163"/>
          <c:w val="0.14006944444444444"/>
          <c:h val="0.1873877034800701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209549</xdr:colOff>
      <xdr:row>13</xdr:row>
      <xdr:rowOff>190499</xdr:rowOff>
    </xdr:from>
    <xdr:to>
      <xdr:col>12</xdr:col>
      <xdr:colOff>380999</xdr:colOff>
      <xdr:row>33</xdr:row>
      <xdr:rowOff>57149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4"/>
  <sheetViews>
    <sheetView tabSelected="1" workbookViewId="0">
      <selection activeCell="C2" sqref="C2"/>
    </sheetView>
  </sheetViews>
  <sheetFormatPr defaultRowHeight="15" x14ac:dyDescent="0.25"/>
  <cols>
    <col min="1" max="1" width="18.5703125" bestFit="1" customWidth="1"/>
    <col min="2" max="2" width="21.85546875" bestFit="1" customWidth="1"/>
    <col min="3" max="3" width="37.7109375" bestFit="1" customWidth="1"/>
    <col min="4" max="4" width="12.140625" bestFit="1" customWidth="1"/>
    <col min="9" max="9" width="15.7109375" bestFit="1" customWidth="1"/>
  </cols>
  <sheetData>
    <row r="1" spans="1:10" ht="15.75" thickBot="1" x14ac:dyDescent="0.3"/>
    <row r="2" spans="1:10" x14ac:dyDescent="0.25">
      <c r="A2" s="8" t="s">
        <v>5</v>
      </c>
      <c r="B2" s="2">
        <v>14.34</v>
      </c>
    </row>
    <row r="3" spans="1:10" ht="15.75" thickBot="1" x14ac:dyDescent="0.3">
      <c r="A3" s="9" t="s">
        <v>7</v>
      </c>
      <c r="B3" s="3">
        <v>5.61</v>
      </c>
    </row>
    <row r="4" spans="1:10" ht="15.75" thickBot="1" x14ac:dyDescent="0.3"/>
    <row r="5" spans="1:10" x14ac:dyDescent="0.25">
      <c r="A5" s="5" t="s">
        <v>0</v>
      </c>
      <c r="B5" s="6" t="s">
        <v>9</v>
      </c>
      <c r="C5" s="6" t="s">
        <v>6</v>
      </c>
      <c r="D5" s="7" t="s">
        <v>8</v>
      </c>
      <c r="G5" s="10" t="s">
        <v>10</v>
      </c>
      <c r="H5" s="11" t="s">
        <v>14</v>
      </c>
      <c r="I5" s="11" t="s">
        <v>15</v>
      </c>
      <c r="J5" s="12"/>
    </row>
    <row r="6" spans="1:10" ht="15.75" thickBot="1" x14ac:dyDescent="0.3">
      <c r="A6" s="20" t="s">
        <v>1</v>
      </c>
      <c r="B6" s="21" t="s">
        <v>2</v>
      </c>
      <c r="C6" s="21" t="s">
        <v>2</v>
      </c>
      <c r="D6" s="22" t="s">
        <v>3</v>
      </c>
      <c r="G6" s="13" t="s">
        <v>11</v>
      </c>
      <c r="H6" s="14">
        <f>D36</f>
        <v>265682.12748000002</v>
      </c>
      <c r="I6" s="14">
        <f>H6/1000</f>
        <v>265.68212748000002</v>
      </c>
      <c r="J6" s="15"/>
    </row>
    <row r="7" spans="1:10" x14ac:dyDescent="0.25">
      <c r="A7" s="26">
        <v>14.8</v>
      </c>
      <c r="B7" s="27">
        <v>25</v>
      </c>
      <c r="C7" s="28">
        <f>B7-B2</f>
        <v>10.66</v>
      </c>
      <c r="D7" s="29">
        <f t="shared" ref="D7:D35" si="0">C7*$B$3*A7</f>
        <v>885.07848000000013</v>
      </c>
      <c r="G7" s="13" t="s">
        <v>12</v>
      </c>
      <c r="H7" s="14">
        <f>D48</f>
        <v>303859.63607999997</v>
      </c>
      <c r="I7" s="14">
        <f t="shared" ref="I7:I8" si="1">H7/1000</f>
        <v>303.85963607999997</v>
      </c>
      <c r="J7" s="16">
        <f>(H6-H7)/H6*100</f>
        <v>-14.36961867255217</v>
      </c>
    </row>
    <row r="8" spans="1:10" ht="15.75" thickBot="1" x14ac:dyDescent="0.3">
      <c r="A8" s="30">
        <v>27.2</v>
      </c>
      <c r="B8" s="25">
        <v>36</v>
      </c>
      <c r="C8" s="25">
        <f>B8-B7</f>
        <v>11</v>
      </c>
      <c r="D8" s="31">
        <f t="shared" si="0"/>
        <v>1678.5119999999999</v>
      </c>
      <c r="G8" s="17" t="s">
        <v>13</v>
      </c>
      <c r="H8" s="18">
        <f>D74</f>
        <v>281137.35210000002</v>
      </c>
      <c r="I8" s="18">
        <f t="shared" si="1"/>
        <v>281.13735210000004</v>
      </c>
      <c r="J8" s="19">
        <f>(H6-H8)/H6*100</f>
        <v>-5.8171864124219006</v>
      </c>
    </row>
    <row r="9" spans="1:10" x14ac:dyDescent="0.25">
      <c r="A9" s="30">
        <v>141.80000000000001</v>
      </c>
      <c r="B9" s="25">
        <v>48</v>
      </c>
      <c r="C9" s="25">
        <f t="shared" ref="C9:C35" si="2">B9-B8</f>
        <v>12</v>
      </c>
      <c r="D9" s="31">
        <f t="shared" si="0"/>
        <v>9545.9760000000024</v>
      </c>
    </row>
    <row r="10" spans="1:10" x14ac:dyDescent="0.25">
      <c r="A10" s="30">
        <v>253.2</v>
      </c>
      <c r="B10" s="25">
        <v>58</v>
      </c>
      <c r="C10" s="25">
        <f t="shared" si="2"/>
        <v>10</v>
      </c>
      <c r="D10" s="31">
        <f t="shared" si="0"/>
        <v>14204.52</v>
      </c>
    </row>
    <row r="11" spans="1:10" x14ac:dyDescent="0.25">
      <c r="A11" s="30">
        <v>251.3</v>
      </c>
      <c r="B11" s="25">
        <v>69</v>
      </c>
      <c r="C11" s="25">
        <f t="shared" si="2"/>
        <v>11</v>
      </c>
      <c r="D11" s="31">
        <f t="shared" si="0"/>
        <v>15507.723000000002</v>
      </c>
    </row>
    <row r="12" spans="1:10" x14ac:dyDescent="0.25">
      <c r="A12" s="30">
        <v>217.5</v>
      </c>
      <c r="B12" s="25">
        <v>77</v>
      </c>
      <c r="C12" s="25">
        <f t="shared" si="2"/>
        <v>8</v>
      </c>
      <c r="D12" s="31">
        <f t="shared" si="0"/>
        <v>9761.4000000000015</v>
      </c>
    </row>
    <row r="13" spans="1:10" x14ac:dyDescent="0.25">
      <c r="A13" s="30">
        <v>191.4</v>
      </c>
      <c r="B13" s="25">
        <v>88</v>
      </c>
      <c r="C13" s="25">
        <f t="shared" si="2"/>
        <v>11</v>
      </c>
      <c r="D13" s="31">
        <f t="shared" si="0"/>
        <v>11811.294</v>
      </c>
    </row>
    <row r="14" spans="1:10" x14ac:dyDescent="0.25">
      <c r="A14" s="30">
        <v>186</v>
      </c>
      <c r="B14" s="25">
        <v>96</v>
      </c>
      <c r="C14" s="25">
        <f t="shared" si="2"/>
        <v>8</v>
      </c>
      <c r="D14" s="31">
        <f t="shared" si="0"/>
        <v>8347.68</v>
      </c>
    </row>
    <row r="15" spans="1:10" x14ac:dyDescent="0.25">
      <c r="A15" s="30">
        <v>175.9</v>
      </c>
      <c r="B15" s="25">
        <v>105</v>
      </c>
      <c r="C15" s="25">
        <f t="shared" si="2"/>
        <v>9</v>
      </c>
      <c r="D15" s="31">
        <f t="shared" si="0"/>
        <v>8881.1910000000007</v>
      </c>
    </row>
    <row r="16" spans="1:10" x14ac:dyDescent="0.25">
      <c r="A16" s="30">
        <v>166.3</v>
      </c>
      <c r="B16" s="25">
        <v>115</v>
      </c>
      <c r="C16" s="25">
        <f t="shared" si="2"/>
        <v>10</v>
      </c>
      <c r="D16" s="31">
        <f t="shared" si="0"/>
        <v>9329.43</v>
      </c>
    </row>
    <row r="17" spans="1:4" x14ac:dyDescent="0.25">
      <c r="A17" s="30">
        <v>160.1</v>
      </c>
      <c r="B17" s="25">
        <v>123</v>
      </c>
      <c r="C17" s="25">
        <f t="shared" si="2"/>
        <v>8</v>
      </c>
      <c r="D17" s="31">
        <f t="shared" si="0"/>
        <v>7185.2880000000005</v>
      </c>
    </row>
    <row r="18" spans="1:4" x14ac:dyDescent="0.25">
      <c r="A18" s="30">
        <v>116</v>
      </c>
      <c r="B18" s="25">
        <v>132</v>
      </c>
      <c r="C18" s="25">
        <f t="shared" si="2"/>
        <v>9</v>
      </c>
      <c r="D18" s="31">
        <f t="shared" si="0"/>
        <v>5856.84</v>
      </c>
    </row>
    <row r="19" spans="1:4" x14ac:dyDescent="0.25">
      <c r="A19" s="30">
        <v>134.5</v>
      </c>
      <c r="B19" s="25">
        <v>142</v>
      </c>
      <c r="C19" s="25">
        <f t="shared" si="2"/>
        <v>10</v>
      </c>
      <c r="D19" s="31">
        <f t="shared" si="0"/>
        <v>7545.45</v>
      </c>
    </row>
    <row r="20" spans="1:4" x14ac:dyDescent="0.25">
      <c r="A20" s="30">
        <v>138.6</v>
      </c>
      <c r="B20" s="25">
        <v>153</v>
      </c>
      <c r="C20" s="25">
        <f t="shared" si="2"/>
        <v>11</v>
      </c>
      <c r="D20" s="31">
        <f t="shared" si="0"/>
        <v>8553.0059999999994</v>
      </c>
    </row>
    <row r="21" spans="1:4" x14ac:dyDescent="0.25">
      <c r="A21" s="30">
        <v>140</v>
      </c>
      <c r="B21" s="25">
        <v>153</v>
      </c>
      <c r="C21" s="25">
        <f t="shared" si="2"/>
        <v>0</v>
      </c>
      <c r="D21" s="31">
        <f t="shared" si="0"/>
        <v>0</v>
      </c>
    </row>
    <row r="22" spans="1:4" x14ac:dyDescent="0.25">
      <c r="A22" s="30">
        <v>141.19999999999999</v>
      </c>
      <c r="B22" s="25">
        <v>163</v>
      </c>
      <c r="C22" s="25">
        <f t="shared" si="2"/>
        <v>10</v>
      </c>
      <c r="D22" s="31">
        <f t="shared" si="0"/>
        <v>7921.32</v>
      </c>
    </row>
    <row r="23" spans="1:4" x14ac:dyDescent="0.25">
      <c r="A23" s="30">
        <v>161.9</v>
      </c>
      <c r="B23" s="25">
        <v>175</v>
      </c>
      <c r="C23" s="25">
        <f t="shared" si="2"/>
        <v>12</v>
      </c>
      <c r="D23" s="31">
        <f t="shared" si="0"/>
        <v>10899.108000000002</v>
      </c>
    </row>
    <row r="24" spans="1:4" x14ac:dyDescent="0.25">
      <c r="A24" s="30">
        <v>155.9</v>
      </c>
      <c r="B24" s="25">
        <v>185</v>
      </c>
      <c r="C24" s="25">
        <f t="shared" si="2"/>
        <v>10</v>
      </c>
      <c r="D24" s="31">
        <f t="shared" si="0"/>
        <v>8745.99</v>
      </c>
    </row>
    <row r="25" spans="1:4" x14ac:dyDescent="0.25">
      <c r="A25" s="30">
        <v>150.6</v>
      </c>
      <c r="B25" s="25">
        <v>194</v>
      </c>
      <c r="C25" s="25">
        <f t="shared" si="2"/>
        <v>9</v>
      </c>
      <c r="D25" s="31">
        <f t="shared" si="0"/>
        <v>7603.7939999999999</v>
      </c>
    </row>
    <row r="26" spans="1:4" x14ac:dyDescent="0.25">
      <c r="A26" s="30">
        <v>163.9</v>
      </c>
      <c r="B26" s="25">
        <v>203</v>
      </c>
      <c r="C26" s="25">
        <f t="shared" si="2"/>
        <v>9</v>
      </c>
      <c r="D26" s="31">
        <f t="shared" si="0"/>
        <v>8275.3110000000015</v>
      </c>
    </row>
    <row r="27" spans="1:4" x14ac:dyDescent="0.25">
      <c r="A27" s="30">
        <v>168.8</v>
      </c>
      <c r="B27" s="25">
        <v>217</v>
      </c>
      <c r="C27" s="25">
        <f t="shared" si="2"/>
        <v>14</v>
      </c>
      <c r="D27" s="31">
        <f t="shared" si="0"/>
        <v>13257.552000000001</v>
      </c>
    </row>
    <row r="28" spans="1:4" x14ac:dyDescent="0.25">
      <c r="A28" s="30">
        <v>180.9</v>
      </c>
      <c r="B28" s="25">
        <v>226</v>
      </c>
      <c r="C28" s="25">
        <f t="shared" si="2"/>
        <v>9</v>
      </c>
      <c r="D28" s="31">
        <f t="shared" si="0"/>
        <v>9133.6410000000014</v>
      </c>
    </row>
    <row r="29" spans="1:4" x14ac:dyDescent="0.25">
      <c r="A29" s="30">
        <v>189.6</v>
      </c>
      <c r="B29" s="25">
        <v>236</v>
      </c>
      <c r="C29" s="25">
        <f t="shared" si="2"/>
        <v>10</v>
      </c>
      <c r="D29" s="31">
        <f t="shared" si="0"/>
        <v>10636.56</v>
      </c>
    </row>
    <row r="30" spans="1:4" x14ac:dyDescent="0.25">
      <c r="A30" s="30">
        <v>190.2</v>
      </c>
      <c r="B30" s="25">
        <v>245</v>
      </c>
      <c r="C30" s="25">
        <f t="shared" si="2"/>
        <v>9</v>
      </c>
      <c r="D30" s="31">
        <f t="shared" si="0"/>
        <v>9603.1980000000003</v>
      </c>
    </row>
    <row r="31" spans="1:4" x14ac:dyDescent="0.25">
      <c r="A31" s="30">
        <v>182.1</v>
      </c>
      <c r="B31" s="25">
        <v>256</v>
      </c>
      <c r="C31" s="25">
        <f t="shared" si="2"/>
        <v>11</v>
      </c>
      <c r="D31" s="31">
        <f t="shared" si="0"/>
        <v>11237.391</v>
      </c>
    </row>
    <row r="32" spans="1:4" x14ac:dyDescent="0.25">
      <c r="A32" s="30">
        <v>185.2</v>
      </c>
      <c r="B32" s="25">
        <v>265</v>
      </c>
      <c r="C32" s="25">
        <f t="shared" si="2"/>
        <v>9</v>
      </c>
      <c r="D32" s="31">
        <f t="shared" si="0"/>
        <v>9350.7479999999996</v>
      </c>
    </row>
    <row r="33" spans="1:5" x14ac:dyDescent="0.25">
      <c r="A33" s="30">
        <v>212.7</v>
      </c>
      <c r="B33" s="25">
        <v>275</v>
      </c>
      <c r="C33" s="25">
        <f t="shared" si="2"/>
        <v>10</v>
      </c>
      <c r="D33" s="31">
        <f t="shared" si="0"/>
        <v>11932.47</v>
      </c>
    </row>
    <row r="34" spans="1:5" x14ac:dyDescent="0.25">
      <c r="A34" s="30">
        <v>269</v>
      </c>
      <c r="B34" s="25">
        <v>284</v>
      </c>
      <c r="C34" s="25">
        <f t="shared" si="2"/>
        <v>9</v>
      </c>
      <c r="D34" s="31">
        <f t="shared" si="0"/>
        <v>13581.810000000001</v>
      </c>
    </row>
    <row r="35" spans="1:5" ht="15.75" thickBot="1" x14ac:dyDescent="0.3">
      <c r="A35" s="32">
        <v>285.39999999999998</v>
      </c>
      <c r="B35" s="33">
        <v>293</v>
      </c>
      <c r="C35" s="33">
        <f t="shared" si="2"/>
        <v>9</v>
      </c>
      <c r="D35" s="34">
        <f t="shared" si="0"/>
        <v>14409.846</v>
      </c>
    </row>
    <row r="36" spans="1:5" ht="15.75" thickBot="1" x14ac:dyDescent="0.3">
      <c r="C36" s="35" t="s">
        <v>4</v>
      </c>
      <c r="D36" s="36">
        <f>SUM(D7:D35)</f>
        <v>265682.12748000002</v>
      </c>
      <c r="E36" s="1"/>
    </row>
    <row r="37" spans="1:5" x14ac:dyDescent="0.25">
      <c r="A37" s="26">
        <v>321.5</v>
      </c>
      <c r="B37" s="27">
        <v>301</v>
      </c>
      <c r="C37" s="27">
        <f>B37-B38</f>
        <v>19</v>
      </c>
      <c r="D37" s="29">
        <f>C37*A37*$B$3</f>
        <v>34268.685000000005</v>
      </c>
    </row>
    <row r="38" spans="1:5" x14ac:dyDescent="0.25">
      <c r="A38" s="30">
        <v>269</v>
      </c>
      <c r="B38" s="25">
        <v>282</v>
      </c>
      <c r="C38" s="25">
        <f t="shared" ref="C38:C46" si="3">B38-B39</f>
        <v>5</v>
      </c>
      <c r="D38" s="31">
        <f t="shared" ref="D38:D47" si="4">C38*A38*$B$3</f>
        <v>7545.4500000000007</v>
      </c>
    </row>
    <row r="39" spans="1:5" x14ac:dyDescent="0.25">
      <c r="A39" s="30">
        <v>212.7</v>
      </c>
      <c r="B39" s="25">
        <v>277</v>
      </c>
      <c r="C39" s="25">
        <f t="shared" si="3"/>
        <v>54</v>
      </c>
      <c r="D39" s="31">
        <f t="shared" si="4"/>
        <v>64435.337999999996</v>
      </c>
    </row>
    <row r="40" spans="1:5" x14ac:dyDescent="0.25">
      <c r="A40" s="30">
        <v>178.4</v>
      </c>
      <c r="B40" s="25">
        <v>223</v>
      </c>
      <c r="C40" s="25">
        <f t="shared" si="3"/>
        <v>28</v>
      </c>
      <c r="D40" s="31">
        <f t="shared" si="4"/>
        <v>28023.072</v>
      </c>
    </row>
    <row r="41" spans="1:5" x14ac:dyDescent="0.25">
      <c r="A41" s="30">
        <v>170</v>
      </c>
      <c r="B41" s="25">
        <v>195</v>
      </c>
      <c r="C41" s="25">
        <f t="shared" si="3"/>
        <v>50</v>
      </c>
      <c r="D41" s="31">
        <f t="shared" si="4"/>
        <v>47685</v>
      </c>
    </row>
    <row r="42" spans="1:5" x14ac:dyDescent="0.25">
      <c r="A42" s="30">
        <v>120.1</v>
      </c>
      <c r="B42" s="25">
        <v>145</v>
      </c>
      <c r="C42" s="25">
        <f t="shared" si="3"/>
        <v>30</v>
      </c>
      <c r="D42" s="31">
        <f t="shared" si="4"/>
        <v>20212.830000000002</v>
      </c>
    </row>
    <row r="43" spans="1:5" x14ac:dyDescent="0.25">
      <c r="A43" s="30">
        <v>166.3</v>
      </c>
      <c r="B43" s="25">
        <v>115</v>
      </c>
      <c r="C43" s="25">
        <f t="shared" si="3"/>
        <v>31</v>
      </c>
      <c r="D43" s="31">
        <f t="shared" si="4"/>
        <v>28921.233000000004</v>
      </c>
    </row>
    <row r="44" spans="1:5" x14ac:dyDescent="0.25">
      <c r="A44" s="30">
        <v>198.4</v>
      </c>
      <c r="B44" s="25">
        <v>84</v>
      </c>
      <c r="C44" s="25">
        <f t="shared" si="3"/>
        <v>29</v>
      </c>
      <c r="D44" s="31">
        <f t="shared" si="4"/>
        <v>32277.696000000004</v>
      </c>
    </row>
    <row r="45" spans="1:5" x14ac:dyDescent="0.25">
      <c r="A45" s="30">
        <v>223.2</v>
      </c>
      <c r="B45" s="25">
        <v>55</v>
      </c>
      <c r="C45" s="25">
        <f t="shared" si="3"/>
        <v>30</v>
      </c>
      <c r="D45" s="31">
        <f t="shared" si="4"/>
        <v>37564.560000000005</v>
      </c>
    </row>
    <row r="46" spans="1:5" x14ac:dyDescent="0.25">
      <c r="A46" s="30">
        <v>18.5</v>
      </c>
      <c r="B46" s="25">
        <v>25</v>
      </c>
      <c r="C46" s="25">
        <f t="shared" si="3"/>
        <v>5</v>
      </c>
      <c r="D46" s="31">
        <f t="shared" si="4"/>
        <v>518.92500000000007</v>
      </c>
    </row>
    <row r="47" spans="1:5" ht="15.75" thickBot="1" x14ac:dyDescent="0.3">
      <c r="A47" s="32">
        <v>75.8</v>
      </c>
      <c r="B47" s="33">
        <v>20</v>
      </c>
      <c r="C47" s="4">
        <f>B47-B2</f>
        <v>5.66</v>
      </c>
      <c r="D47" s="34">
        <f t="shared" si="4"/>
        <v>2406.8470800000005</v>
      </c>
    </row>
    <row r="48" spans="1:5" ht="15.75" thickBot="1" x14ac:dyDescent="0.3">
      <c r="C48" s="35" t="s">
        <v>4</v>
      </c>
      <c r="D48" s="36">
        <f>SUM(D37:D47)</f>
        <v>303859.63607999997</v>
      </c>
    </row>
    <row r="49" spans="1:4" x14ac:dyDescent="0.25">
      <c r="A49" s="26">
        <v>148.5</v>
      </c>
      <c r="B49" s="27">
        <v>45</v>
      </c>
      <c r="C49" s="28">
        <f>B49-B2</f>
        <v>30.66</v>
      </c>
      <c r="D49" s="29">
        <f>C49*A49*$B$3</f>
        <v>25542.386100000003</v>
      </c>
    </row>
    <row r="50" spans="1:4" x14ac:dyDescent="0.25">
      <c r="A50" s="30">
        <v>243.8</v>
      </c>
      <c r="B50" s="25">
        <v>56</v>
      </c>
      <c r="C50" s="25">
        <f>B50-B49</f>
        <v>11</v>
      </c>
      <c r="D50" s="31">
        <f>C50*A50*$B$3</f>
        <v>15044.898000000001</v>
      </c>
    </row>
    <row r="51" spans="1:4" x14ac:dyDescent="0.25">
      <c r="A51" s="30">
        <v>221.4</v>
      </c>
      <c r="B51" s="25">
        <v>68</v>
      </c>
      <c r="C51" s="25">
        <f t="shared" ref="C51:C73" si="5">B51-B50</f>
        <v>12</v>
      </c>
      <c r="D51" s="31">
        <f t="shared" ref="D51:D73" si="6">C51*A51*$B$3</f>
        <v>14904.648000000001</v>
      </c>
    </row>
    <row r="52" spans="1:4" x14ac:dyDescent="0.25">
      <c r="A52" s="30">
        <v>196.4</v>
      </c>
      <c r="B52" s="25">
        <v>79</v>
      </c>
      <c r="C52" s="25">
        <f t="shared" si="5"/>
        <v>11</v>
      </c>
      <c r="D52" s="31">
        <f t="shared" si="6"/>
        <v>12119.844000000001</v>
      </c>
    </row>
    <row r="53" spans="1:4" x14ac:dyDescent="0.25">
      <c r="A53" s="30">
        <v>183.1</v>
      </c>
      <c r="B53" s="25">
        <v>91</v>
      </c>
      <c r="C53" s="25">
        <f t="shared" si="5"/>
        <v>12</v>
      </c>
      <c r="D53" s="31">
        <f t="shared" si="6"/>
        <v>12326.291999999999</v>
      </c>
    </row>
    <row r="54" spans="1:4" x14ac:dyDescent="0.25">
      <c r="A54" s="30">
        <v>171.6</v>
      </c>
      <c r="B54" s="25">
        <v>102</v>
      </c>
      <c r="C54" s="25">
        <f t="shared" si="5"/>
        <v>11</v>
      </c>
      <c r="D54" s="31">
        <f t="shared" si="6"/>
        <v>10589.436</v>
      </c>
    </row>
    <row r="55" spans="1:4" x14ac:dyDescent="0.25">
      <c r="A55" s="30">
        <v>169.7</v>
      </c>
      <c r="B55" s="25">
        <v>113</v>
      </c>
      <c r="C55" s="25">
        <f t="shared" si="5"/>
        <v>11</v>
      </c>
      <c r="D55" s="31">
        <f t="shared" si="6"/>
        <v>10472.187</v>
      </c>
    </row>
    <row r="56" spans="1:4" x14ac:dyDescent="0.25">
      <c r="A56" s="30">
        <v>49.1</v>
      </c>
      <c r="B56" s="25">
        <v>125</v>
      </c>
      <c r="C56" s="25">
        <f t="shared" si="5"/>
        <v>12</v>
      </c>
      <c r="D56" s="31">
        <f t="shared" si="6"/>
        <v>3305.4120000000003</v>
      </c>
    </row>
    <row r="57" spans="1:4" x14ac:dyDescent="0.25">
      <c r="A57" s="30">
        <v>54.7</v>
      </c>
      <c r="B57" s="25">
        <v>133</v>
      </c>
      <c r="C57" s="25">
        <f t="shared" si="5"/>
        <v>8</v>
      </c>
      <c r="D57" s="31">
        <f t="shared" si="6"/>
        <v>2454.9360000000001</v>
      </c>
    </row>
    <row r="58" spans="1:4" x14ac:dyDescent="0.25">
      <c r="A58" s="30">
        <v>115.7</v>
      </c>
      <c r="B58" s="25">
        <v>144</v>
      </c>
      <c r="C58" s="25">
        <f t="shared" si="5"/>
        <v>11</v>
      </c>
      <c r="D58" s="31">
        <f t="shared" si="6"/>
        <v>7139.8470000000007</v>
      </c>
    </row>
    <row r="59" spans="1:4" x14ac:dyDescent="0.25">
      <c r="A59" s="30">
        <v>135.1</v>
      </c>
      <c r="B59" s="25">
        <v>155</v>
      </c>
      <c r="C59" s="25">
        <f t="shared" si="5"/>
        <v>11</v>
      </c>
      <c r="D59" s="31">
        <f t="shared" si="6"/>
        <v>8337.0210000000006</v>
      </c>
    </row>
    <row r="60" spans="1:4" x14ac:dyDescent="0.25">
      <c r="A60" s="30">
        <v>145.69999999999999</v>
      </c>
      <c r="B60" s="25">
        <v>167</v>
      </c>
      <c r="C60" s="25">
        <f t="shared" si="5"/>
        <v>12</v>
      </c>
      <c r="D60" s="31">
        <f t="shared" si="6"/>
        <v>9808.5239999999994</v>
      </c>
    </row>
    <row r="61" spans="1:4" x14ac:dyDescent="0.25">
      <c r="A61" s="30">
        <v>155.1</v>
      </c>
      <c r="B61" s="25">
        <v>178</v>
      </c>
      <c r="C61" s="25">
        <f t="shared" si="5"/>
        <v>11</v>
      </c>
      <c r="D61" s="31">
        <f t="shared" si="6"/>
        <v>9571.2209999999995</v>
      </c>
    </row>
    <row r="62" spans="1:4" x14ac:dyDescent="0.25">
      <c r="A62" s="30">
        <v>158.5</v>
      </c>
      <c r="B62" s="25">
        <v>189</v>
      </c>
      <c r="C62" s="25">
        <f t="shared" si="5"/>
        <v>11</v>
      </c>
      <c r="D62" s="31">
        <f t="shared" si="6"/>
        <v>9781.0349999999999</v>
      </c>
    </row>
    <row r="63" spans="1:4" x14ac:dyDescent="0.25">
      <c r="A63" s="30">
        <v>158.9</v>
      </c>
      <c r="B63" s="25">
        <v>199</v>
      </c>
      <c r="C63" s="25">
        <f t="shared" si="5"/>
        <v>10</v>
      </c>
      <c r="D63" s="31">
        <f t="shared" si="6"/>
        <v>8914.2900000000009</v>
      </c>
    </row>
    <row r="64" spans="1:4" x14ac:dyDescent="0.25">
      <c r="A64" s="30">
        <v>166.1</v>
      </c>
      <c r="B64" s="25">
        <v>210</v>
      </c>
      <c r="C64" s="25">
        <f t="shared" si="5"/>
        <v>11</v>
      </c>
      <c r="D64" s="31">
        <f t="shared" si="6"/>
        <v>10250.031000000001</v>
      </c>
    </row>
    <row r="65" spans="1:4" x14ac:dyDescent="0.25">
      <c r="A65" s="30">
        <v>175.5</v>
      </c>
      <c r="B65" s="25">
        <v>221</v>
      </c>
      <c r="C65" s="25">
        <f t="shared" si="5"/>
        <v>11</v>
      </c>
      <c r="D65" s="31">
        <f t="shared" si="6"/>
        <v>10830.105000000001</v>
      </c>
    </row>
    <row r="66" spans="1:4" x14ac:dyDescent="0.25">
      <c r="A66" s="30">
        <v>180.9</v>
      </c>
      <c r="B66" s="25">
        <v>233</v>
      </c>
      <c r="C66" s="25">
        <f t="shared" si="5"/>
        <v>12</v>
      </c>
      <c r="D66" s="31">
        <f t="shared" si="6"/>
        <v>12178.188000000002</v>
      </c>
    </row>
    <row r="67" spans="1:4" x14ac:dyDescent="0.25">
      <c r="A67" s="30">
        <v>183.7</v>
      </c>
      <c r="B67" s="25">
        <v>246</v>
      </c>
      <c r="C67" s="25">
        <f t="shared" si="5"/>
        <v>13</v>
      </c>
      <c r="D67" s="31">
        <f t="shared" si="6"/>
        <v>13397.241</v>
      </c>
    </row>
    <row r="68" spans="1:4" x14ac:dyDescent="0.25">
      <c r="A68" s="30">
        <v>183.6</v>
      </c>
      <c r="B68" s="25">
        <v>245</v>
      </c>
      <c r="C68" s="25">
        <f t="shared" si="5"/>
        <v>-1</v>
      </c>
      <c r="D68" s="31">
        <f t="shared" si="6"/>
        <v>-1029.9960000000001</v>
      </c>
    </row>
    <row r="69" spans="1:4" x14ac:dyDescent="0.25">
      <c r="A69" s="30">
        <v>185.8</v>
      </c>
      <c r="B69" s="25">
        <v>257</v>
      </c>
      <c r="C69" s="25">
        <f t="shared" si="5"/>
        <v>12</v>
      </c>
      <c r="D69" s="31">
        <f t="shared" si="6"/>
        <v>12508.056000000002</v>
      </c>
    </row>
    <row r="70" spans="1:4" x14ac:dyDescent="0.25">
      <c r="A70" s="30">
        <v>207.1</v>
      </c>
      <c r="B70" s="25">
        <v>269</v>
      </c>
      <c r="C70" s="25">
        <f t="shared" si="5"/>
        <v>12</v>
      </c>
      <c r="D70" s="31">
        <f t="shared" si="6"/>
        <v>13941.972</v>
      </c>
    </row>
    <row r="71" spans="1:4" x14ac:dyDescent="0.25">
      <c r="A71" s="30">
        <v>241.8</v>
      </c>
      <c r="B71" s="25">
        <v>278</v>
      </c>
      <c r="C71" s="25">
        <f t="shared" si="5"/>
        <v>9</v>
      </c>
      <c r="D71" s="31">
        <f t="shared" si="6"/>
        <v>12208.482000000002</v>
      </c>
    </row>
    <row r="72" spans="1:4" x14ac:dyDescent="0.25">
      <c r="A72" s="30">
        <v>303.60000000000002</v>
      </c>
      <c r="B72" s="25">
        <v>289</v>
      </c>
      <c r="C72" s="25">
        <f t="shared" si="5"/>
        <v>11</v>
      </c>
      <c r="D72" s="31">
        <f t="shared" si="6"/>
        <v>18735.156000000003</v>
      </c>
    </row>
    <row r="73" spans="1:4" ht="15.75" thickBot="1" x14ac:dyDescent="0.3">
      <c r="A73" s="32">
        <v>317.39999999999998</v>
      </c>
      <c r="B73" s="33">
        <v>299</v>
      </c>
      <c r="C73" s="33">
        <f t="shared" si="5"/>
        <v>10</v>
      </c>
      <c r="D73" s="34">
        <f t="shared" si="6"/>
        <v>17806.14</v>
      </c>
    </row>
    <row r="74" spans="1:4" ht="15.75" thickBot="1" x14ac:dyDescent="0.3">
      <c r="C74" s="23" t="s">
        <v>4</v>
      </c>
      <c r="D74" s="24">
        <f>SUM(D49:D73)</f>
        <v>281137.35210000002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2012-07-16T15:45:35Z</dcterms:modified>
</cp:coreProperties>
</file>