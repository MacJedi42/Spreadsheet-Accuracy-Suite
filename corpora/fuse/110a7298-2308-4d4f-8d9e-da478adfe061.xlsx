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585" yWindow="90" windowWidth="17400" windowHeight="11760" activeTab="1"/>
  </bookViews>
  <sheets>
    <sheet name="Instructions" sheetId="2" r:id="rId1"/>
    <sheet name="ID-CPA-006" sheetId="1" r:id="rId2"/>
  </sheets>
  <definedNames>
    <definedName name="Plant_Name">#REF!</definedName>
    <definedName name="_xlnm.Print_Area" localSheetId="1">'ID-CPA-006'!$A$1:$AF$86</definedName>
    <definedName name="_xlnm.Print_Area" localSheetId="0">Instructions!$A$1:$C$20</definedName>
    <definedName name="Scientific_Name">#REF!</definedName>
  </definedNames>
  <calcPr calcId="145621"/>
</workbook>
</file>

<file path=xl/calcChain.xml><?xml version="1.0" encoding="utf-8"?>
<calcChain xmlns="http://schemas.openxmlformats.org/spreadsheetml/2006/main">
  <c r="X82" i="1" l="1"/>
  <c r="X81" i="1"/>
  <c r="X80" i="1"/>
  <c r="X79" i="1"/>
  <c r="X78" i="1"/>
  <c r="X77" i="1"/>
  <c r="X76" i="1"/>
  <c r="X75" i="1"/>
  <c r="X74" i="1"/>
  <c r="X73" i="1"/>
  <c r="X72" i="1"/>
  <c r="N38" i="1"/>
  <c r="N21" i="1" l="1"/>
  <c r="M21" i="1" s="1"/>
  <c r="X85" i="1"/>
  <c r="Y43" i="1" s="1"/>
  <c r="X46" i="1" s="1"/>
  <c r="W21" i="1"/>
  <c r="W59" i="1"/>
  <c r="W60" i="1"/>
  <c r="W61" i="1"/>
  <c r="W62" i="1"/>
  <c r="W63" i="1"/>
  <c r="W64" i="1"/>
  <c r="W65" i="1"/>
  <c r="W66" i="1"/>
  <c r="W67" i="1"/>
  <c r="W68" i="1"/>
  <c r="W69" i="1"/>
  <c r="W70" i="1"/>
  <c r="W71" i="1"/>
  <c r="W72" i="1"/>
  <c r="W73" i="1"/>
  <c r="W74" i="1"/>
  <c r="W75" i="1"/>
  <c r="W76" i="1"/>
  <c r="W77" i="1"/>
  <c r="W78" i="1"/>
  <c r="W79" i="1"/>
  <c r="W80" i="1"/>
  <c r="W81" i="1"/>
  <c r="W82" i="1"/>
  <c r="W33" i="1"/>
  <c r="Q21" i="1"/>
  <c r="Q82" i="1"/>
  <c r="Q81" i="1"/>
  <c r="Q80" i="1"/>
  <c r="Q79" i="1"/>
  <c r="Q78" i="1"/>
  <c r="Q77" i="1"/>
  <c r="Q76" i="1"/>
  <c r="Q75" i="1"/>
  <c r="Q74" i="1"/>
  <c r="Q73" i="1"/>
  <c r="Q72" i="1"/>
  <c r="Q71" i="1"/>
  <c r="Q70" i="1"/>
  <c r="Q69" i="1"/>
  <c r="Q68" i="1"/>
  <c r="Q67" i="1"/>
  <c r="Q66" i="1"/>
  <c r="Q65" i="1"/>
  <c r="Q64" i="1"/>
  <c r="Q63" i="1"/>
  <c r="Q62" i="1"/>
  <c r="Q61" i="1"/>
  <c r="Q60" i="1"/>
  <c r="Q59" i="1"/>
  <c r="W41" i="1"/>
  <c r="W40" i="1"/>
  <c r="W39" i="1"/>
  <c r="W38" i="1"/>
  <c r="W37" i="1"/>
  <c r="W36" i="1"/>
  <c r="W35" i="1"/>
  <c r="W34" i="1"/>
  <c r="W32" i="1"/>
  <c r="W31" i="1"/>
  <c r="W30" i="1"/>
  <c r="W29" i="1"/>
  <c r="W28" i="1"/>
  <c r="W27" i="1"/>
  <c r="W26" i="1"/>
  <c r="W25" i="1"/>
  <c r="W24" i="1"/>
  <c r="W23" i="1"/>
  <c r="W22" i="1"/>
  <c r="Q41" i="1"/>
  <c r="Q40" i="1"/>
  <c r="Q39" i="1"/>
  <c r="Q38" i="1"/>
  <c r="Q37" i="1"/>
  <c r="Q36" i="1"/>
  <c r="Q35" i="1"/>
  <c r="Q34" i="1"/>
  <c r="Q33" i="1"/>
  <c r="Q32" i="1"/>
  <c r="Q31" i="1"/>
  <c r="Q30" i="1"/>
  <c r="Q29" i="1"/>
  <c r="Q28" i="1"/>
  <c r="Q27" i="1"/>
  <c r="Q26" i="1"/>
  <c r="Q25" i="1"/>
  <c r="Q24" i="1"/>
  <c r="Q23" i="1"/>
  <c r="Q22" i="1"/>
  <c r="N22" i="1"/>
  <c r="M22" i="1" s="1"/>
  <c r="N33" i="1"/>
  <c r="M33" i="1" s="1"/>
  <c r="N31" i="1"/>
  <c r="M31" i="1" s="1"/>
  <c r="R31" i="1" s="1"/>
  <c r="X31" i="1" s="1"/>
  <c r="Z31" i="1" s="1"/>
  <c r="N59" i="1"/>
  <c r="M59" i="1" s="1"/>
  <c r="N60" i="1"/>
  <c r="M60" i="1" s="1"/>
  <c r="R60" i="1" s="1"/>
  <c r="X60" i="1" s="1"/>
  <c r="Z60" i="1" s="1"/>
  <c r="N23" i="1"/>
  <c r="M23" i="1" s="1"/>
  <c r="N24" i="1"/>
  <c r="M24" i="1" s="1"/>
  <c r="R24" i="1" s="1"/>
  <c r="X24" i="1" s="1"/>
  <c r="Z24" i="1" s="1"/>
  <c r="N26" i="1"/>
  <c r="M26" i="1" s="1"/>
  <c r="R26" i="1" s="1"/>
  <c r="X26" i="1" s="1"/>
  <c r="Z26" i="1" s="1"/>
  <c r="N28" i="1"/>
  <c r="M28" i="1" s="1"/>
  <c r="N25" i="1"/>
  <c r="M25" i="1" s="1"/>
  <c r="R25" i="1" s="1"/>
  <c r="X25" i="1" s="1"/>
  <c r="Z25" i="1" s="1"/>
  <c r="N27" i="1"/>
  <c r="M27" i="1" s="1"/>
  <c r="R27" i="1" s="1"/>
  <c r="X27" i="1" s="1"/>
  <c r="Z27" i="1" s="1"/>
  <c r="N29" i="1"/>
  <c r="M29" i="1" s="1"/>
  <c r="R29" i="1" s="1"/>
  <c r="X29" i="1" s="1"/>
  <c r="Z29" i="1" s="1"/>
  <c r="N30" i="1"/>
  <c r="M30" i="1" s="1"/>
  <c r="R30" i="1" s="1"/>
  <c r="X30" i="1" s="1"/>
  <c r="Z30" i="1" s="1"/>
  <c r="N32" i="1"/>
  <c r="M32" i="1" s="1"/>
  <c r="R32" i="1" s="1"/>
  <c r="X32" i="1" s="1"/>
  <c r="Z32" i="1" s="1"/>
  <c r="N34" i="1"/>
  <c r="M34" i="1" s="1"/>
  <c r="R34" i="1" s="1"/>
  <c r="X34" i="1" s="1"/>
  <c r="Z34" i="1" s="1"/>
  <c r="N35" i="1"/>
  <c r="M35" i="1" s="1"/>
  <c r="R35" i="1" s="1"/>
  <c r="X35" i="1" s="1"/>
  <c r="Z35" i="1" s="1"/>
  <c r="N36" i="1"/>
  <c r="M36" i="1" s="1"/>
  <c r="R36" i="1" s="1"/>
  <c r="X36" i="1" s="1"/>
  <c r="Z36" i="1" s="1"/>
  <c r="N62" i="1"/>
  <c r="M62" i="1" s="1"/>
  <c r="R62" i="1" s="1"/>
  <c r="X62" i="1" s="1"/>
  <c r="Z62" i="1" s="1"/>
  <c r="N61" i="1"/>
  <c r="M61" i="1" s="1"/>
  <c r="R61" i="1" s="1"/>
  <c r="X61" i="1" s="1"/>
  <c r="Z61" i="1" s="1"/>
  <c r="N82" i="1"/>
  <c r="M82" i="1" s="1"/>
  <c r="N81" i="1"/>
  <c r="M81" i="1" s="1"/>
  <c r="N80" i="1"/>
  <c r="M80" i="1" s="1"/>
  <c r="N79" i="1"/>
  <c r="M79" i="1" s="1"/>
  <c r="N78" i="1"/>
  <c r="M78" i="1" s="1"/>
  <c r="N77" i="1"/>
  <c r="M77" i="1" s="1"/>
  <c r="N76" i="1"/>
  <c r="M76" i="1" s="1"/>
  <c r="N75" i="1"/>
  <c r="M75" i="1" s="1"/>
  <c r="N74" i="1"/>
  <c r="M74" i="1" s="1"/>
  <c r="N73" i="1"/>
  <c r="M73" i="1" s="1"/>
  <c r="N72" i="1"/>
  <c r="M72" i="1" s="1"/>
  <c r="N71" i="1"/>
  <c r="M71" i="1" s="1"/>
  <c r="N70" i="1"/>
  <c r="M70" i="1" s="1"/>
  <c r="N69" i="1"/>
  <c r="M69" i="1" s="1"/>
  <c r="N68" i="1"/>
  <c r="M68" i="1" s="1"/>
  <c r="N67" i="1"/>
  <c r="M67" i="1" s="1"/>
  <c r="N66" i="1"/>
  <c r="M66" i="1" s="1"/>
  <c r="N65" i="1"/>
  <c r="M65" i="1" s="1"/>
  <c r="N64" i="1"/>
  <c r="M64" i="1" s="1"/>
  <c r="N63" i="1"/>
  <c r="M63" i="1" s="1"/>
  <c r="M38" i="1"/>
  <c r="N41" i="1"/>
  <c r="M41" i="1" s="1"/>
  <c r="N40" i="1"/>
  <c r="M40" i="1" s="1"/>
  <c r="N39" i="1"/>
  <c r="M39" i="1" s="1"/>
  <c r="N37" i="1"/>
  <c r="M37" i="1" s="1"/>
  <c r="R37" i="1" s="1"/>
  <c r="X37" i="1" s="1"/>
  <c r="Z37" i="1" s="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R59" i="1" l="1"/>
  <c r="X59" i="1" s="1"/>
  <c r="Z59" i="1" s="1"/>
  <c r="R64" i="1"/>
  <c r="X64" i="1" s="1"/>
  <c r="Z64" i="1" s="1"/>
  <c r="R66" i="1"/>
  <c r="R68" i="1"/>
  <c r="X68" i="1" s="1"/>
  <c r="Z68" i="1" s="1"/>
  <c r="R70" i="1"/>
  <c r="R72" i="1"/>
  <c r="Z72" i="1" s="1"/>
  <c r="R74" i="1"/>
  <c r="R76" i="1"/>
  <c r="Z76" i="1" s="1"/>
  <c r="R78" i="1"/>
  <c r="R80" i="1"/>
  <c r="Z80" i="1" s="1"/>
  <c r="R82" i="1"/>
  <c r="R63" i="1"/>
  <c r="X63" i="1" s="1"/>
  <c r="R65" i="1"/>
  <c r="X65" i="1" s="1"/>
  <c r="Z65" i="1" s="1"/>
  <c r="R67" i="1"/>
  <c r="X67" i="1" s="1"/>
  <c r="Z67" i="1" s="1"/>
  <c r="R69" i="1"/>
  <c r="X69" i="1" s="1"/>
  <c r="Z69" i="1" s="1"/>
  <c r="R71" i="1"/>
  <c r="X71" i="1" s="1"/>
  <c r="Z71" i="1" s="1"/>
  <c r="R73" i="1"/>
  <c r="Z73" i="1" s="1"/>
  <c r="R75" i="1"/>
  <c r="Z75" i="1" s="1"/>
  <c r="R77" i="1"/>
  <c r="Z77" i="1" s="1"/>
  <c r="R79" i="1"/>
  <c r="Z79" i="1" s="1"/>
  <c r="R81" i="1"/>
  <c r="Z81" i="1" s="1"/>
  <c r="Z82" i="1"/>
  <c r="Z78" i="1"/>
  <c r="Z74" i="1"/>
  <c r="X70" i="1"/>
  <c r="Z70" i="1" s="1"/>
  <c r="X66" i="1"/>
  <c r="Z66" i="1" s="1"/>
  <c r="R33" i="1"/>
  <c r="R38" i="1"/>
  <c r="R40" i="1"/>
  <c r="R39" i="1"/>
  <c r="X39" i="1" s="1"/>
  <c r="Z39" i="1" s="1"/>
  <c r="R41" i="1"/>
  <c r="X41" i="1" s="1"/>
  <c r="Z41" i="1" s="1"/>
  <c r="X38" i="1"/>
  <c r="Z38" i="1" s="1"/>
  <c r="X40" i="1"/>
  <c r="Z40" i="1" s="1"/>
  <c r="R23" i="1"/>
  <c r="R22" i="1"/>
  <c r="X22" i="1" s="1"/>
  <c r="Z22" i="1" s="1"/>
  <c r="R28" i="1"/>
  <c r="X28" i="1" s="1"/>
  <c r="Z28" i="1" s="1"/>
  <c r="R21" i="1"/>
  <c r="X21" i="1" s="1"/>
  <c r="Z21" i="1" s="1"/>
  <c r="X23" i="1"/>
  <c r="Z23" i="1" s="1"/>
  <c r="X33" i="1"/>
  <c r="Z33" i="1" s="1"/>
  <c r="Z63" i="1" l="1"/>
  <c r="W84" i="1"/>
  <c r="X43" i="1" s="1"/>
  <c r="Y86" i="1"/>
  <c r="Z43" i="1" s="1"/>
  <c r="Y47" i="1"/>
  <c r="Y48" i="1" s="1"/>
  <c r="W45" i="1"/>
  <c r="M44" i="1" l="1"/>
  <c r="M42" i="1"/>
  <c r="M45" i="1"/>
  <c r="M43" i="1"/>
</calcChain>
</file>

<file path=xl/comments1.xml><?xml version="1.0" encoding="utf-8"?>
<comments xmlns="http://schemas.openxmlformats.org/spreadsheetml/2006/main">
  <authors>
    <author>Cindy Nycz</author>
  </authors>
  <commentList>
    <comment ref="N57" authorId="0">
      <text>
        <r>
          <rPr>
            <sz val="11"/>
            <color indexed="81"/>
            <rFont val="Tahoma"/>
            <family val="2"/>
          </rPr>
          <t>Select plot size</t>
        </r>
      </text>
    </comment>
  </commentList>
</comments>
</file>

<file path=xl/sharedStrings.xml><?xml version="1.0" encoding="utf-8"?>
<sst xmlns="http://schemas.openxmlformats.org/spreadsheetml/2006/main" count="195" uniqueCount="137">
  <si>
    <t>Large Plot Extension Sheet</t>
  </si>
  <si>
    <t>From Large Plot Extension Sheet</t>
  </si>
  <si>
    <t xml:space="preserve">Similarity Index Worksheet </t>
  </si>
  <si>
    <t>Prescribed Grazing -  528</t>
  </si>
  <si>
    <t>ID-CPA-006</t>
  </si>
  <si>
    <t>Idaho</t>
  </si>
  <si>
    <t>P-1</t>
  </si>
  <si>
    <t>P-2</t>
  </si>
  <si>
    <t>P-3</t>
  </si>
  <si>
    <t>P-4</t>
  </si>
  <si>
    <t>P-5</t>
  </si>
  <si>
    <t>P-6</t>
  </si>
  <si>
    <t>P-7</t>
  </si>
  <si>
    <t>P-8</t>
  </si>
  <si>
    <t>P-9</t>
  </si>
  <si>
    <t>P-10</t>
  </si>
  <si>
    <t>% dry weight</t>
  </si>
  <si>
    <t>% current growth ungrazed</t>
  </si>
  <si>
    <t>%growth curve completed</t>
  </si>
  <si>
    <t>A</t>
  </si>
  <si>
    <t>Estimated or Clipped Weight Per Species</t>
  </si>
  <si>
    <t>A1</t>
  </si>
  <si>
    <t>A2</t>
  </si>
  <si>
    <t>Weight Clipped Plots</t>
  </si>
  <si>
    <t>A3</t>
  </si>
  <si>
    <t>A4</t>
  </si>
  <si>
    <t>B</t>
  </si>
  <si>
    <t>G</t>
  </si>
  <si>
    <t>H</t>
  </si>
  <si>
    <t>I</t>
  </si>
  <si>
    <t>J</t>
  </si>
  <si>
    <t>Estimated Weight</t>
  </si>
  <si>
    <t>Clipped Weight</t>
  </si>
  <si>
    <t>%of normal product-ion</t>
  </si>
  <si>
    <t>C*</t>
  </si>
  <si>
    <t>D*</t>
  </si>
  <si>
    <t>E*</t>
  </si>
  <si>
    <t>F*</t>
  </si>
  <si>
    <t>Clipped/ Estimated plot conversion factor</t>
  </si>
  <si>
    <t>Column</t>
  </si>
  <si>
    <t>P 1-10</t>
  </si>
  <si>
    <t>Estimated and/or Clipped Weight Per Species</t>
  </si>
  <si>
    <t>% bare ground (bare)</t>
  </si>
  <si>
    <t>Instruction for Column</t>
  </si>
  <si>
    <t>Plot Size Conversion and Factor Used.</t>
  </si>
  <si>
    <t>Clipped/Estimated Weight</t>
  </si>
  <si>
    <t>Clipped/Estimated Conversion Factor</t>
  </si>
  <si>
    <t>Clipped/Estimated Corrected Green Weights</t>
  </si>
  <si>
    <t>% Dry Weight</t>
  </si>
  <si>
    <t>% Current Growth Ungrazed</t>
  </si>
  <si>
    <t>% Growth Curve Completed</t>
  </si>
  <si>
    <t>% of Normal Production</t>
  </si>
  <si>
    <t>Reconstruction Factor</t>
  </si>
  <si>
    <t>Reconstructed Present Weight</t>
  </si>
  <si>
    <t>K. Total normal production for Ecological Site:</t>
  </si>
  <si>
    <t>Weight in Reference Vegetation State</t>
  </si>
  <si>
    <t>Weight Allowable</t>
  </si>
  <si>
    <t>% rock cover (rock)</t>
  </si>
  <si>
    <t>C</t>
  </si>
  <si>
    <t>D</t>
  </si>
  <si>
    <t>E</t>
  </si>
  <si>
    <t>F</t>
  </si>
  <si>
    <t>Enter the estimated percent (as a decimal value) of the current growth that has not been removed by grazing or harvest.</t>
  </si>
  <si>
    <t>Enter the percent (as a decimal value) of the current years growth for each species that should normally have occurred by the date of this determination.</t>
  </si>
  <si>
    <t>Enter an estimation of the current years forage production in comparison to normal expressed as a percent (as a decimal value) of normal.  Example: .9 means the year’s production is 90% of normal.  1.1 is 110% of normal.</t>
  </si>
  <si>
    <t>This factor is calculated by dividing (C) Percent dry weight by the product obtained by multiplying (D) Percent current growth ungrazed times (E) Percent growth curve completed times (F)  Percent of normal production. (C/DxExF=G)</t>
  </si>
  <si>
    <t>This value is calculated by multiplying (B) Corrected green weight by (G) the Reconstruction factor. (BxG=H)</t>
  </si>
  <si>
    <t>Enter the weight for each plant species as shown in the appropriate reference vegetation state in the ecological site description.</t>
  </si>
  <si>
    <t>Enter the lesser of (H) Reconstructed present weight or (I) weight in reference vegetation state.  No more than the weight in the reference vegetation state plant community may be counted in determining similarity index.</t>
  </si>
  <si>
    <t>Enter the percent air dry weight or oven dry weight as a decimal value.</t>
  </si>
  <si>
    <t>Estimate and enter for each plot the percent of area covered by rock, stones or gravel.</t>
  </si>
  <si>
    <t xml:space="preserve">Conversion weight to pounds per acre </t>
  </si>
  <si>
    <t>Plot size</t>
  </si>
  <si>
    <t>Multiplier</t>
  </si>
  <si>
    <t>Factor</t>
  </si>
  <si>
    <t>M.  Similarity index (L divided by K x 100 = M):</t>
  </si>
  <si>
    <t>L.  Total weight of allowable present (total of weight in column J):</t>
  </si>
  <si>
    <t>Client:</t>
  </si>
  <si>
    <t>County:</t>
  </si>
  <si>
    <t>A5</t>
  </si>
  <si>
    <t>A3-4</t>
  </si>
  <si>
    <t>Date:</t>
  </si>
  <si>
    <t>N</t>
  </si>
  <si>
    <t>W</t>
  </si>
  <si>
    <t>S</t>
  </si>
  <si>
    <t>Ecological Site:</t>
  </si>
  <si>
    <t>MLRA:</t>
  </si>
  <si>
    <t>Reference Vegetation State:</t>
  </si>
  <si>
    <t>Township:</t>
  </si>
  <si>
    <t>Section:</t>
  </si>
  <si>
    <t>Range:</t>
  </si>
  <si>
    <t>Average Plot/   Estimated Green Wt. (lbs/ac)</t>
  </si>
  <si>
    <t>Clip/   Estimated corrected green weight (lbs/ac)</t>
  </si>
  <si>
    <t>Weight in reference state (lbs/ac)</t>
  </si>
  <si>
    <t>Weight allowable (lbs/ac)</t>
  </si>
  <si>
    <t>Reconstructed Present Total Weight lbs/ac.</t>
  </si>
  <si>
    <t>Average Plot Estimated Green Weight lbs./ac.</t>
  </si>
  <si>
    <r>
      <t>For those plots that are clipped</t>
    </r>
    <r>
      <rPr>
        <sz val="10"/>
        <rFont val="Arial"/>
      </rPr>
      <t xml:space="preserve"> enter the total clipped weights in A4 space and enter the total estimated weights A3.  For example if you clipped 2 plots you would add up the clipped weights from both plots and enter this figure in the A4.  You would then add up the estimated weights from both plots and enter this figure in A3.  </t>
    </r>
  </si>
  <si>
    <t xml:space="preserve">Under the heading Factor Used enter the plot size conversion factor used.  For example if you are using a 9.6 square foot plot you would enter 10 as the factor used.  </t>
  </si>
  <si>
    <t>Divide the clipped weight by the estimated weight for each species and enter the resulting clip/weight correction factor in this column.</t>
  </si>
  <si>
    <t>Multiply column A1 by its associated clip/estimate correction factor in column A5.  This figure gives you the green weights that have been corrected for weight estimation errors.</t>
  </si>
  <si>
    <t xml:space="preserve">Enter the estimated and/or clipped weight of each species in each plot the species is found in .  </t>
  </si>
  <si>
    <t>Add up the green weights estimated for each species and divide by the number of plots in the transect then multiply by the plot size conversion factor.  This number gives you the average estimated green weight for each species.  For example if you estimated a total of 300 grams of blue grama in ten 9.6 sq. ft. plots you would enter 300 grams for blue grama in this column.</t>
  </si>
  <si>
    <t>Number of Plots in Transect:</t>
  </si>
  <si>
    <t xml:space="preserve">Plot Size </t>
  </si>
  <si>
    <t>Conversion Factor Used</t>
  </si>
  <si>
    <t xml:space="preserve"> Total weight of allowable present (total of weight in column J):</t>
  </si>
  <si>
    <t>Weight in Reference state  (total of weight in column I):</t>
  </si>
  <si>
    <t>% of normal production</t>
  </si>
  <si>
    <t>% growth curve completed</t>
  </si>
  <si>
    <t>Natural Resources Conservation Service</t>
  </si>
  <si>
    <t>Conservationist:</t>
  </si>
  <si>
    <t>Transect No.:</t>
  </si>
  <si>
    <t>Plant Information</t>
  </si>
  <si>
    <t>Clipped / Estimated plot conversion factor</t>
  </si>
  <si>
    <t xml:space="preserve">Reconstruction factor </t>
  </si>
  <si>
    <t>Clip / Estimated corrected green weight (lbs/ac)</t>
  </si>
  <si>
    <t>Reconstructed present weight (lbs/ac)</t>
  </si>
  <si>
    <r>
      <t>Remarks:</t>
    </r>
    <r>
      <rPr>
        <sz val="10"/>
        <rFont val="Arial"/>
      </rPr>
      <t xml:space="preserve"> </t>
    </r>
  </si>
  <si>
    <t>Reconstruction factor</t>
  </si>
  <si>
    <r>
      <t xml:space="preserve">       c        </t>
    </r>
    <r>
      <rPr>
        <sz val="8"/>
        <rFont val="Arial"/>
        <family val="2"/>
      </rPr>
      <t xml:space="preserve">
 (d)(e)(f)</t>
    </r>
  </si>
  <si>
    <r>
      <t>Feet</t>
    </r>
    <r>
      <rPr>
        <vertAlign val="superscript"/>
        <sz val="10"/>
        <rFont val="Arial"/>
        <family val="2"/>
      </rPr>
      <t>2</t>
    </r>
  </si>
  <si>
    <t>Plant Name</t>
  </si>
  <si>
    <t xml:space="preserve"> Plant Name</t>
  </si>
  <si>
    <t>GPS :</t>
  </si>
  <si>
    <r>
      <t>Remarks:</t>
    </r>
    <r>
      <rPr>
        <sz val="11"/>
        <rFont val="Arial"/>
        <family val="2"/>
      </rPr>
      <t xml:space="preserve"> </t>
    </r>
  </si>
  <si>
    <t>% Bareground (%)</t>
  </si>
  <si>
    <t>% Rock cover (%)</t>
  </si>
  <si>
    <t>Estimate and enter percent of area in each plot that has bare soil exposed, do not include area covered by litter or stones.</t>
  </si>
  <si>
    <t>% Litter</t>
  </si>
  <si>
    <t xml:space="preserve">% cover </t>
  </si>
  <si>
    <t xml:space="preserve">% Cover </t>
  </si>
  <si>
    <t>January 2014</t>
  </si>
  <si>
    <r>
      <t xml:space="preserve">       c        
</t>
    </r>
    <r>
      <rPr>
        <sz val="9"/>
        <rFont val="Arial"/>
        <family val="2"/>
      </rPr>
      <t xml:space="preserve"> (d)(e)(f)</t>
    </r>
  </si>
  <si>
    <t>Estimate &amp; enter canopy cover for plot</t>
  </si>
  <si>
    <t>Estimate and enter % litter covering soil surface in each plot</t>
  </si>
  <si>
    <t>For Example see Range Tech Note #3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</si>
</sst>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Red]0"/>
    <numFmt numFmtId="166" formatCode="0.0%"/>
  </numFmts>
  <fonts count="35" x14ac:knownFonts="1">
    <font>
      <sz val="10"/>
      <name val="Arial"/>
    </font>
    <font>
      <sz val="10"/>
      <name val="Arial"/>
    </font>
    <font>
      <b/>
      <sz val="10"/>
      <name val="Arial"/>
      <family val="2"/>
    </font>
    <font>
      <b/>
      <u/>
      <sz val="10"/>
      <name val="Arial"/>
      <family val="2"/>
    </font>
    <font>
      <sz val="11"/>
      <name val="Arial"/>
      <family val="2"/>
    </font>
    <font>
      <sz val="11"/>
      <color indexed="81"/>
      <name val="Tahoma"/>
      <family val="2"/>
    </font>
    <font>
      <b/>
      <sz val="11"/>
      <name val="Arial"/>
      <family val="2"/>
    </font>
    <font>
      <sz val="10"/>
      <color indexed="8"/>
      <name val="Arial"/>
      <family val="2"/>
    </font>
    <font>
      <b/>
      <sz val="10"/>
      <color indexed="8"/>
      <name val="Arial"/>
      <family val="2"/>
    </font>
    <font>
      <b/>
      <sz val="14"/>
      <color indexed="9"/>
      <name val="Arial"/>
      <family val="2"/>
    </font>
    <font>
      <b/>
      <sz val="14"/>
      <name val="Arial"/>
      <family val="2"/>
    </font>
    <font>
      <sz val="10"/>
      <name val="Arial"/>
      <family val="2"/>
    </font>
    <font>
      <b/>
      <sz val="9"/>
      <name val="Arial"/>
      <family val="2"/>
    </font>
    <font>
      <b/>
      <i/>
      <sz val="14"/>
      <name val="Times New Roman"/>
      <family val="1"/>
    </font>
    <font>
      <b/>
      <sz val="10"/>
      <name val="Times New Roman"/>
      <family val="1"/>
    </font>
    <font>
      <b/>
      <sz val="10"/>
      <name val="Arial"/>
      <family val="2"/>
    </font>
    <font>
      <b/>
      <sz val="16"/>
      <name val="Arial"/>
      <family val="2"/>
    </font>
    <font>
      <b/>
      <sz val="42"/>
      <name val="Times New Roman"/>
      <family val="1"/>
    </font>
    <font>
      <b/>
      <i/>
      <sz val="14"/>
      <color indexed="9"/>
      <name val="Arial"/>
      <family val="2"/>
    </font>
    <font>
      <sz val="9"/>
      <color indexed="9"/>
      <name val="Arial"/>
      <family val="2"/>
    </font>
    <font>
      <sz val="10"/>
      <name val="Arial"/>
      <family val="2"/>
    </font>
    <font>
      <sz val="8"/>
      <name val="Arial"/>
      <family val="2"/>
    </font>
    <font>
      <u/>
      <sz val="8"/>
      <name val="Arial"/>
      <family val="2"/>
    </font>
    <font>
      <vertAlign val="superscript"/>
      <sz val="10"/>
      <name val="Arial"/>
      <family val="2"/>
    </font>
    <font>
      <sz val="10"/>
      <name val="Arial"/>
      <family val="2"/>
    </font>
    <font>
      <b/>
      <sz val="16"/>
      <color indexed="9"/>
      <name val="Arial"/>
      <family val="2"/>
    </font>
    <font>
      <sz val="11"/>
      <name val="Arial"/>
      <family val="2"/>
    </font>
    <font>
      <b/>
      <sz val="11"/>
      <name val="Arial"/>
      <family val="2"/>
    </font>
    <font>
      <b/>
      <sz val="18"/>
      <color indexed="9"/>
      <name val="Arial"/>
      <family val="2"/>
    </font>
    <font>
      <sz val="18"/>
      <name val="Arial"/>
      <family val="2"/>
    </font>
    <font>
      <b/>
      <sz val="12"/>
      <name val="Arial"/>
      <family val="2"/>
    </font>
    <font>
      <b/>
      <sz val="14"/>
      <color indexed="10"/>
      <name val="Arial"/>
      <family val="2"/>
    </font>
    <font>
      <u/>
      <sz val="9"/>
      <name val="Arial"/>
      <family val="2"/>
    </font>
    <font>
      <sz val="9"/>
      <name val="Arial"/>
      <family val="2"/>
    </font>
    <font>
      <b/>
      <sz val="14"/>
      <color rgb="FFFF0000"/>
      <name val="Arial"/>
      <family val="2"/>
    </font>
  </fonts>
  <fills count="11">
    <fill>
      <patternFill patternType="none"/>
    </fill>
    <fill>
      <patternFill patternType="gray125"/>
    </fill>
    <fill>
      <patternFill patternType="solid">
        <fgColor indexed="9"/>
        <bgColor indexed="64"/>
      </patternFill>
    </fill>
    <fill>
      <patternFill patternType="lightTrellis"/>
    </fill>
    <fill>
      <patternFill patternType="solid">
        <fgColor indexed="13"/>
        <bgColor indexed="64"/>
      </patternFill>
    </fill>
    <fill>
      <patternFill patternType="solid">
        <fgColor theme="2" tint="-0.49998474074526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2" tint="-9.9978637043366805E-2"/>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55"/>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right/>
      <top/>
      <bottom style="thin">
        <color indexed="55"/>
      </bottom>
      <diagonal/>
    </border>
    <border>
      <left/>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style="thin">
        <color indexed="64"/>
      </bottom>
      <diagonal/>
    </border>
    <border>
      <left style="thin">
        <color indexed="55"/>
      </left>
      <right/>
      <top style="thin">
        <color indexed="55"/>
      </top>
      <bottom style="thin">
        <color indexed="64"/>
      </bottom>
      <diagonal/>
    </border>
    <border>
      <left/>
      <right style="thin">
        <color indexed="55"/>
      </right>
      <top style="thin">
        <color indexed="55"/>
      </top>
      <bottom style="thin">
        <color indexed="55"/>
      </bottom>
      <diagonal/>
    </border>
    <border>
      <left style="thin">
        <color indexed="55"/>
      </left>
      <right style="thin">
        <color indexed="55"/>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55"/>
      </top>
      <bottom style="thin">
        <color indexed="64"/>
      </bottom>
      <diagonal/>
    </border>
    <border>
      <left/>
      <right style="thin">
        <color indexed="55"/>
      </right>
      <top style="thin">
        <color indexed="55"/>
      </top>
      <bottom style="thin">
        <color indexed="64"/>
      </bottom>
      <diagonal/>
    </border>
    <border>
      <left style="thin">
        <color indexed="64"/>
      </left>
      <right style="dotted">
        <color indexed="64"/>
      </right>
      <top style="dotted">
        <color indexed="64"/>
      </top>
      <bottom/>
      <diagonal/>
    </border>
    <border>
      <left style="thin">
        <color indexed="64"/>
      </left>
      <right style="dotted">
        <color indexed="64"/>
      </right>
      <top/>
      <bottom style="thin">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style="thin">
        <color indexed="64"/>
      </bottom>
      <diagonal/>
    </border>
    <border>
      <left style="dotted">
        <color indexed="64"/>
      </left>
      <right style="thin">
        <color indexed="64"/>
      </right>
      <top style="dotted">
        <color indexed="64"/>
      </top>
      <bottom/>
      <diagonal/>
    </border>
    <border>
      <left style="dotted">
        <color indexed="64"/>
      </left>
      <right style="thin">
        <color indexed="64"/>
      </right>
      <top/>
      <bottom style="thin">
        <color indexed="64"/>
      </bottom>
      <diagonal/>
    </border>
    <border>
      <left style="thin">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thin">
        <color indexed="64"/>
      </right>
      <top/>
      <bottom style="dotted">
        <color indexed="64"/>
      </bottom>
      <diagonal/>
    </border>
    <border>
      <left style="thin">
        <color indexed="55"/>
      </left>
      <right style="thin">
        <color indexed="55"/>
      </right>
      <top style="thin">
        <color indexed="55"/>
      </top>
      <bottom/>
      <diagonal/>
    </border>
    <border>
      <left style="thin">
        <color indexed="55"/>
      </left>
      <right style="thin">
        <color indexed="55"/>
      </right>
      <top/>
      <bottom/>
      <diagonal/>
    </border>
    <border>
      <left style="thin">
        <color indexed="64"/>
      </left>
      <right/>
      <top style="thin">
        <color indexed="55"/>
      </top>
      <bottom/>
      <diagonal/>
    </border>
    <border>
      <left/>
      <right style="thin">
        <color indexed="55"/>
      </right>
      <top style="thin">
        <color indexed="55"/>
      </top>
      <bottom/>
      <diagonal/>
    </border>
    <border>
      <left style="thin">
        <color indexed="64"/>
      </left>
      <right/>
      <top/>
      <bottom style="thin">
        <color indexed="55"/>
      </bottom>
      <diagonal/>
    </border>
    <border>
      <left/>
      <right style="thin">
        <color indexed="55"/>
      </right>
      <top/>
      <bottom style="thin">
        <color indexed="55"/>
      </bottom>
      <diagonal/>
    </border>
    <border>
      <left style="thin">
        <color indexed="55"/>
      </left>
      <right/>
      <top style="thin">
        <color indexed="55"/>
      </top>
      <bottom style="thin">
        <color indexed="55"/>
      </bottom>
      <diagonal/>
    </border>
    <border>
      <left style="thin">
        <color indexed="55"/>
      </left>
      <right/>
      <top/>
      <bottom style="thin">
        <color indexed="55"/>
      </bottom>
      <diagonal/>
    </border>
    <border>
      <left style="thin">
        <color indexed="55"/>
      </left>
      <right style="thin">
        <color indexed="64"/>
      </right>
      <top style="thin">
        <color indexed="55"/>
      </top>
      <bottom style="thin">
        <color indexed="55"/>
      </bottom>
      <diagonal/>
    </border>
    <border>
      <left style="thin">
        <color indexed="55"/>
      </left>
      <right style="thin">
        <color indexed="64"/>
      </right>
      <top style="thin">
        <color indexed="55"/>
      </top>
      <bottom style="thin">
        <color indexed="64"/>
      </bottom>
      <diagonal/>
    </border>
    <border>
      <left style="thin">
        <color indexed="64"/>
      </left>
      <right style="thin">
        <color indexed="55"/>
      </right>
      <top style="thin">
        <color indexed="55"/>
      </top>
      <bottom style="thin">
        <color indexed="55"/>
      </bottom>
      <diagonal/>
    </border>
    <border>
      <left style="dotted">
        <color indexed="64"/>
      </left>
      <right style="thin">
        <color indexed="64"/>
      </right>
      <top style="thin">
        <color indexed="64"/>
      </top>
      <bottom/>
      <diagonal/>
    </border>
    <border>
      <left style="thin">
        <color indexed="55"/>
      </left>
      <right style="thin">
        <color indexed="64"/>
      </right>
      <top style="thin">
        <color indexed="55"/>
      </top>
      <bottom/>
      <diagonal/>
    </border>
    <border>
      <left style="thin">
        <color indexed="55"/>
      </left>
      <right style="thin">
        <color indexed="64"/>
      </right>
      <top/>
      <bottom/>
      <diagonal/>
    </border>
    <border>
      <left style="thin">
        <color indexed="55"/>
      </left>
      <right style="thin">
        <color indexed="64"/>
      </right>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9" fontId="1" fillId="0" borderId="0" applyFont="0" applyFill="0" applyBorder="0" applyAlignment="0" applyProtection="0"/>
  </cellStyleXfs>
  <cellXfs count="276">
    <xf numFmtId="0" fontId="0" fillId="0" borderId="0" xfId="0"/>
    <xf numFmtId="0" fontId="0" fillId="0" borderId="0" xfId="0" applyAlignment="1">
      <alignment vertical="top" wrapText="1"/>
    </xf>
    <xf numFmtId="0" fontId="0" fillId="0" borderId="1" xfId="0" applyBorder="1" applyAlignment="1">
      <alignment vertical="top" wrapText="1"/>
    </xf>
    <xf numFmtId="0" fontId="0" fillId="2" borderId="2" xfId="0" applyFill="1" applyBorder="1" applyAlignment="1">
      <alignment vertical="top" wrapText="1"/>
    </xf>
    <xf numFmtId="0" fontId="3" fillId="2" borderId="3" xfId="0" applyFont="1" applyFill="1" applyBorder="1" applyAlignment="1">
      <alignment vertical="top" wrapText="1"/>
    </xf>
    <xf numFmtId="0" fontId="2" fillId="0" borderId="1" xfId="0" applyFont="1" applyBorder="1" applyAlignment="1">
      <alignment vertical="top" wrapText="1"/>
    </xf>
    <xf numFmtId="0" fontId="0" fillId="2" borderId="0" xfId="0" applyFill="1" applyBorder="1" applyProtection="1"/>
    <xf numFmtId="0" fontId="7" fillId="2" borderId="0" xfId="0" applyFont="1" applyFill="1" applyBorder="1" applyProtection="1"/>
    <xf numFmtId="0" fontId="8" fillId="2" borderId="0" xfId="0" applyFont="1" applyFill="1" applyBorder="1" applyAlignment="1" applyProtection="1">
      <alignment horizontal="center"/>
    </xf>
    <xf numFmtId="0" fontId="0" fillId="2" borderId="0" xfId="0" applyFill="1" applyBorder="1" applyAlignment="1" applyProtection="1"/>
    <xf numFmtId="0" fontId="0" fillId="2" borderId="0" xfId="0" applyFill="1" applyProtection="1"/>
    <xf numFmtId="0" fontId="2" fillId="0" borderId="0" xfId="0" applyFont="1" applyAlignment="1" applyProtection="1">
      <alignment horizontal="right"/>
    </xf>
    <xf numFmtId="0" fontId="0" fillId="0" borderId="0" xfId="0" applyProtection="1"/>
    <xf numFmtId="0" fontId="10" fillId="2" borderId="0" xfId="0" applyFont="1" applyFill="1" applyBorder="1" applyAlignment="1" applyProtection="1">
      <alignment horizontal="left"/>
    </xf>
    <xf numFmtId="0" fontId="11" fillId="2" borderId="0" xfId="0" applyFont="1" applyFill="1" applyProtection="1"/>
    <xf numFmtId="0" fontId="9" fillId="2" borderId="4" xfId="0" applyFont="1" applyFill="1" applyBorder="1" applyAlignment="1" applyProtection="1">
      <alignment horizontal="left"/>
    </xf>
    <xf numFmtId="2" fontId="4" fillId="0" borderId="0" xfId="0" applyNumberFormat="1" applyFont="1" applyAlignment="1" applyProtection="1">
      <alignment horizontal="center"/>
    </xf>
    <xf numFmtId="1" fontId="4" fillId="0" borderId="0" xfId="0" applyNumberFormat="1" applyFont="1" applyAlignment="1" applyProtection="1">
      <alignment horizontal="center"/>
    </xf>
    <xf numFmtId="0" fontId="4" fillId="0" borderId="0" xfId="0" applyFont="1" applyAlignment="1" applyProtection="1">
      <alignment horizontal="center" wrapText="1"/>
    </xf>
    <xf numFmtId="0" fontId="4" fillId="0" borderId="0" xfId="0" applyFont="1" applyProtection="1"/>
    <xf numFmtId="0" fontId="13" fillId="2" borderId="0" xfId="0" applyFont="1" applyFill="1" applyBorder="1" applyAlignment="1" applyProtection="1">
      <alignment horizontal="right" vertical="center"/>
    </xf>
    <xf numFmtId="0" fontId="14" fillId="2" borderId="0" xfId="0" applyFont="1" applyFill="1" applyBorder="1" applyAlignment="1" applyProtection="1">
      <alignment horizontal="right"/>
    </xf>
    <xf numFmtId="0" fontId="0" fillId="0" borderId="0" xfId="0" applyBorder="1" applyProtection="1"/>
    <xf numFmtId="0" fontId="0" fillId="0" borderId="0" xfId="0" applyFill="1" applyBorder="1" applyAlignment="1" applyProtection="1"/>
    <xf numFmtId="0" fontId="0" fillId="0" borderId="0" xfId="0" applyFill="1" applyBorder="1" applyProtection="1"/>
    <xf numFmtId="0" fontId="0" fillId="0" borderId="5" xfId="0" applyBorder="1" applyProtection="1"/>
    <xf numFmtId="0" fontId="16" fillId="0" borderId="6" xfId="0" applyFont="1" applyBorder="1" applyProtection="1"/>
    <xf numFmtId="0" fontId="11" fillId="2" borderId="0" xfId="0" applyFont="1" applyFill="1" applyBorder="1" applyProtection="1"/>
    <xf numFmtId="0" fontId="1" fillId="3" borderId="1" xfId="0" applyFont="1" applyFill="1" applyBorder="1" applyAlignment="1" applyProtection="1"/>
    <xf numFmtId="0" fontId="20" fillId="3" borderId="7" xfId="0" applyFont="1" applyFill="1" applyBorder="1" applyAlignment="1" applyProtection="1"/>
    <xf numFmtId="0" fontId="20" fillId="3" borderId="1" xfId="0" applyFont="1" applyFill="1" applyBorder="1" applyAlignment="1" applyProtection="1"/>
    <xf numFmtId="0" fontId="20" fillId="3" borderId="8" xfId="0" applyFont="1" applyFill="1" applyBorder="1" applyAlignment="1" applyProtection="1"/>
    <xf numFmtId="0" fontId="20" fillId="3" borderId="2" xfId="0" applyFont="1" applyFill="1" applyBorder="1" applyAlignment="1" applyProtection="1"/>
    <xf numFmtId="0" fontId="1" fillId="0" borderId="0" xfId="0" applyFont="1" applyProtection="1"/>
    <xf numFmtId="0" fontId="1" fillId="3" borderId="7" xfId="0" applyFont="1" applyFill="1" applyBorder="1" applyAlignment="1" applyProtection="1"/>
    <xf numFmtId="0" fontId="9" fillId="2" borderId="10" xfId="0" applyFont="1" applyFill="1" applyBorder="1" applyAlignment="1" applyProtection="1">
      <alignment horizontal="left"/>
    </xf>
    <xf numFmtId="0" fontId="0" fillId="3" borderId="14" xfId="0" applyFill="1" applyBorder="1" applyAlignment="1" applyProtection="1"/>
    <xf numFmtId="0" fontId="11" fillId="0" borderId="0" xfId="0" applyFont="1" applyAlignment="1" applyProtection="1">
      <alignment vertical="center"/>
    </xf>
    <xf numFmtId="0" fontId="1" fillId="0" borderId="0" xfId="0" applyFont="1" applyAlignment="1" applyProtection="1">
      <alignment horizontal="center" wrapText="1"/>
    </xf>
    <xf numFmtId="0" fontId="1" fillId="0" borderId="0" xfId="0" applyFont="1" applyFill="1" applyBorder="1" applyProtection="1"/>
    <xf numFmtId="0" fontId="1" fillId="0" borderId="10" xfId="0" applyFont="1" applyFill="1" applyBorder="1" applyProtection="1"/>
    <xf numFmtId="0" fontId="1" fillId="4" borderId="0" xfId="0" applyFont="1" applyFill="1" applyAlignment="1" applyProtection="1">
      <alignment horizontal="left"/>
    </xf>
    <xf numFmtId="0" fontId="1" fillId="4" borderId="0" xfId="0" applyFont="1" applyFill="1" applyAlignment="1" applyProtection="1">
      <alignment horizontal="center"/>
    </xf>
    <xf numFmtId="0" fontId="1" fillId="4" borderId="0" xfId="0" applyFont="1" applyFill="1" applyAlignment="1" applyProtection="1">
      <alignment horizontal="center" wrapText="1"/>
    </xf>
    <xf numFmtId="0" fontId="24" fillId="0" borderId="0" xfId="0" applyFont="1" applyProtection="1"/>
    <xf numFmtId="2" fontId="24" fillId="0" borderId="0" xfId="0" applyNumberFormat="1" applyFont="1" applyAlignment="1" applyProtection="1">
      <alignment horizontal="center"/>
    </xf>
    <xf numFmtId="1" fontId="24" fillId="0" borderId="0" xfId="0" applyNumberFormat="1" applyFont="1" applyAlignment="1" applyProtection="1">
      <alignment horizontal="center"/>
    </xf>
    <xf numFmtId="0" fontId="24" fillId="0" borderId="0" xfId="0" applyFont="1" applyAlignment="1" applyProtection="1">
      <alignment horizontal="center" wrapText="1"/>
    </xf>
    <xf numFmtId="0" fontId="9" fillId="2" borderId="9" xfId="0" applyFont="1" applyFill="1" applyBorder="1" applyAlignment="1" applyProtection="1">
      <alignment horizontal="left"/>
    </xf>
    <xf numFmtId="0" fontId="9" fillId="2" borderId="8" xfId="0" applyFont="1" applyFill="1" applyBorder="1" applyAlignment="1" applyProtection="1">
      <alignment horizontal="left"/>
    </xf>
    <xf numFmtId="0" fontId="2" fillId="2" borderId="6" xfId="0" applyFont="1" applyFill="1" applyBorder="1" applyAlignment="1" applyProtection="1">
      <alignment horizontal="right"/>
    </xf>
    <xf numFmtId="0" fontId="14" fillId="2" borderId="6" xfId="0" applyFont="1" applyFill="1" applyBorder="1" applyAlignment="1" applyProtection="1">
      <alignment horizontal="right"/>
    </xf>
    <xf numFmtId="0" fontId="2" fillId="2" borderId="5" xfId="0" applyFont="1" applyFill="1" applyBorder="1" applyAlignment="1" applyProtection="1">
      <alignment horizontal="right"/>
    </xf>
    <xf numFmtId="0" fontId="0" fillId="2" borderId="6" xfId="0" applyFill="1" applyBorder="1" applyProtection="1"/>
    <xf numFmtId="0" fontId="0" fillId="2" borderId="5" xfId="0" applyFill="1" applyBorder="1" applyProtection="1"/>
    <xf numFmtId="0" fontId="9" fillId="2" borderId="11" xfId="0" applyFont="1" applyFill="1" applyBorder="1" applyAlignment="1" applyProtection="1">
      <alignment horizontal="left"/>
    </xf>
    <xf numFmtId="0" fontId="9" fillId="2" borderId="12" xfId="0" applyFont="1" applyFill="1" applyBorder="1" applyAlignment="1" applyProtection="1">
      <alignment horizontal="left"/>
    </xf>
    <xf numFmtId="0" fontId="26" fillId="3" borderId="1" xfId="0" applyFont="1" applyFill="1" applyBorder="1" applyAlignment="1" applyProtection="1"/>
    <xf numFmtId="0" fontId="11" fillId="0" borderId="12" xfId="0" applyFont="1" applyFill="1" applyBorder="1" applyAlignment="1" applyProtection="1">
      <alignment horizontal="center"/>
      <protection locked="0"/>
    </xf>
    <xf numFmtId="0" fontId="11" fillId="0" borderId="0" xfId="0" applyFont="1" applyProtection="1"/>
    <xf numFmtId="0" fontId="18" fillId="5" borderId="0" xfId="0" applyFont="1" applyFill="1" applyBorder="1" applyAlignment="1" applyProtection="1">
      <alignment horizontal="left"/>
    </xf>
    <xf numFmtId="0" fontId="9" fillId="5" borderId="4" xfId="0" applyFont="1" applyFill="1" applyBorder="1" applyAlignment="1" applyProtection="1">
      <alignment horizontal="left"/>
    </xf>
    <xf numFmtId="0" fontId="2" fillId="6" borderId="3" xfId="0" applyFont="1" applyFill="1" applyBorder="1" applyAlignment="1" applyProtection="1">
      <alignment horizontal="left" vertical="center"/>
    </xf>
    <xf numFmtId="0" fontId="2" fillId="6" borderId="13" xfId="0" applyFont="1" applyFill="1" applyBorder="1" applyAlignment="1" applyProtection="1">
      <alignment horizontal="left" vertical="center"/>
    </xf>
    <xf numFmtId="0" fontId="11" fillId="6" borderId="13" xfId="0" applyFont="1" applyFill="1" applyBorder="1" applyAlignment="1" applyProtection="1">
      <alignment horizontal="left" vertical="center"/>
    </xf>
    <xf numFmtId="0" fontId="1" fillId="7" borderId="18" xfId="0" applyFont="1" applyFill="1" applyBorder="1" applyAlignment="1" applyProtection="1">
      <alignment horizontal="center" vertical="center"/>
      <protection locked="0"/>
    </xf>
    <xf numFmtId="0" fontId="1" fillId="7" borderId="0" xfId="0" applyFont="1" applyFill="1" applyBorder="1" applyAlignment="1" applyProtection="1">
      <alignment horizontal="center" vertical="center"/>
      <protection locked="0"/>
    </xf>
    <xf numFmtId="0" fontId="2" fillId="6" borderId="3" xfId="0" applyFont="1" applyFill="1" applyBorder="1" applyAlignment="1" applyProtection="1">
      <alignment horizontal="left"/>
    </xf>
    <xf numFmtId="0" fontId="2" fillId="6" borderId="13" xfId="0" applyFont="1" applyFill="1" applyBorder="1" applyAlignment="1" applyProtection="1">
      <alignment horizontal="left"/>
    </xf>
    <xf numFmtId="0" fontId="11" fillId="6" borderId="13" xfId="0" applyFont="1" applyFill="1" applyBorder="1" applyAlignment="1" applyProtection="1">
      <alignment horizontal="left"/>
    </xf>
    <xf numFmtId="0" fontId="1" fillId="6" borderId="9" xfId="0" applyFont="1" applyFill="1" applyBorder="1" applyAlignment="1" applyProtection="1">
      <alignment horizontal="center"/>
    </xf>
    <xf numFmtId="0" fontId="1" fillId="6" borderId="10" xfId="0" applyFont="1" applyFill="1" applyBorder="1" applyAlignment="1" applyProtection="1">
      <alignment horizontal="center"/>
    </xf>
    <xf numFmtId="0" fontId="1" fillId="6" borderId="15" xfId="0" applyFont="1" applyFill="1" applyBorder="1" applyAlignment="1" applyProtection="1">
      <alignment horizontal="center"/>
    </xf>
    <xf numFmtId="0" fontId="1" fillId="6" borderId="15" xfId="0" applyFont="1" applyFill="1" applyBorder="1" applyAlignment="1" applyProtection="1"/>
    <xf numFmtId="0" fontId="1" fillId="6" borderId="15" xfId="0" quotePrefix="1" applyFont="1" applyFill="1" applyBorder="1" applyAlignment="1" applyProtection="1">
      <alignment horizontal="center"/>
    </xf>
    <xf numFmtId="0" fontId="1" fillId="6" borderId="16" xfId="0" applyFont="1" applyFill="1" applyBorder="1" applyAlignment="1" applyProtection="1">
      <alignment horizontal="center"/>
    </xf>
    <xf numFmtId="0" fontId="1" fillId="6" borderId="6" xfId="0" applyFont="1" applyFill="1" applyBorder="1" applyAlignment="1" applyProtection="1">
      <alignment horizontal="center"/>
    </xf>
    <xf numFmtId="0" fontId="1" fillId="6" borderId="0" xfId="0" applyFont="1" applyFill="1" applyBorder="1" applyAlignment="1" applyProtection="1">
      <alignment horizontal="center"/>
    </xf>
    <xf numFmtId="0" fontId="1" fillId="6" borderId="17" xfId="0" applyFont="1" applyFill="1" applyBorder="1" applyAlignment="1" applyProtection="1">
      <alignment horizontal="center"/>
    </xf>
    <xf numFmtId="0" fontId="1" fillId="6" borderId="0" xfId="0" applyFont="1" applyFill="1" applyBorder="1" applyAlignment="1" applyProtection="1">
      <alignment horizontal="center" vertical="center" wrapText="1"/>
    </xf>
    <xf numFmtId="0" fontId="1" fillId="6" borderId="18" xfId="0" applyFont="1" applyFill="1" applyBorder="1" applyAlignment="1" applyProtection="1">
      <alignment horizontal="center" wrapText="1"/>
    </xf>
    <xf numFmtId="0" fontId="1" fillId="6" borderId="20" xfId="0" applyFont="1" applyFill="1" applyBorder="1" applyAlignment="1" applyProtection="1">
      <alignment horizontal="center" vertical="center" wrapText="1"/>
    </xf>
    <xf numFmtId="0" fontId="1" fillId="6" borderId="21" xfId="0" applyFont="1" applyFill="1" applyBorder="1" applyAlignment="1" applyProtection="1">
      <alignment horizontal="center" vertical="center" wrapText="1"/>
    </xf>
    <xf numFmtId="0" fontId="1" fillId="6" borderId="20" xfId="0" applyFont="1" applyFill="1" applyBorder="1" applyAlignment="1" applyProtection="1">
      <alignment horizontal="center" wrapText="1"/>
    </xf>
    <xf numFmtId="0" fontId="22" fillId="6" borderId="20" xfId="0" applyFont="1" applyFill="1" applyBorder="1" applyAlignment="1" applyProtection="1">
      <alignment horizontal="left" vertical="center" wrapText="1"/>
    </xf>
    <xf numFmtId="0" fontId="1" fillId="7" borderId="18" xfId="0" applyFont="1" applyFill="1" applyBorder="1" applyAlignment="1" applyProtection="1">
      <alignment horizontal="center" vertical="center" wrapText="1"/>
      <protection locked="0"/>
    </xf>
    <xf numFmtId="0" fontId="1" fillId="7" borderId="19" xfId="0" applyFont="1" applyFill="1" applyBorder="1" applyAlignment="1" applyProtection="1">
      <alignment horizontal="center" vertical="center" wrapText="1"/>
      <protection locked="0"/>
    </xf>
    <xf numFmtId="0" fontId="4" fillId="7" borderId="1" xfId="0" applyFont="1" applyFill="1" applyBorder="1" applyAlignment="1" applyProtection="1">
      <alignment horizontal="center" wrapText="1"/>
      <protection locked="0"/>
    </xf>
    <xf numFmtId="0" fontId="4" fillId="7" borderId="7" xfId="0" applyFont="1" applyFill="1" applyBorder="1" applyAlignment="1" applyProtection="1">
      <alignment horizontal="center" wrapText="1"/>
      <protection locked="0"/>
    </xf>
    <xf numFmtId="166" fontId="4" fillId="7" borderId="14" xfId="0" applyNumberFormat="1" applyFont="1" applyFill="1" applyBorder="1" applyAlignment="1" applyProtection="1">
      <alignment horizontal="center" wrapText="1"/>
      <protection locked="0"/>
    </xf>
    <xf numFmtId="166" fontId="4" fillId="7" borderId="14" xfId="0" applyNumberFormat="1" applyFont="1" applyFill="1" applyBorder="1" applyAlignment="1" applyProtection="1">
      <protection locked="0"/>
    </xf>
    <xf numFmtId="166" fontId="4" fillId="7" borderId="1" xfId="0" applyNumberFormat="1" applyFont="1" applyFill="1" applyBorder="1" applyAlignment="1" applyProtection="1">
      <alignment horizontal="center" wrapText="1"/>
      <protection locked="0"/>
    </xf>
    <xf numFmtId="166" fontId="4" fillId="7" borderId="1" xfId="0" applyNumberFormat="1" applyFont="1" applyFill="1" applyBorder="1" applyAlignment="1" applyProtection="1">
      <protection locked="0"/>
    </xf>
    <xf numFmtId="166" fontId="6" fillId="7" borderId="1" xfId="1" applyNumberFormat="1" applyFont="1" applyFill="1" applyBorder="1" applyAlignment="1" applyProtection="1">
      <alignment horizontal="right"/>
      <protection locked="0"/>
    </xf>
    <xf numFmtId="0" fontId="1" fillId="8" borderId="0" xfId="0" applyFont="1" applyFill="1" applyBorder="1" applyProtection="1"/>
    <xf numFmtId="9" fontId="6" fillId="2" borderId="14" xfId="1" applyFont="1" applyFill="1" applyBorder="1" applyAlignment="1" applyProtection="1">
      <alignment horizontal="center"/>
    </xf>
    <xf numFmtId="0" fontId="2" fillId="2" borderId="0" xfId="0" applyFont="1" applyFill="1" applyBorder="1" applyAlignment="1" applyProtection="1">
      <alignment horizontal="right"/>
    </xf>
    <xf numFmtId="0" fontId="0" fillId="2" borderId="0" xfId="0" applyFill="1" applyBorder="1" applyAlignment="1" applyProtection="1">
      <alignment horizontal="right"/>
    </xf>
    <xf numFmtId="0" fontId="10" fillId="2" borderId="0" xfId="0" applyFont="1" applyFill="1" applyBorder="1" applyAlignment="1" applyProtection="1">
      <alignment horizontal="left" vertical="center"/>
    </xf>
    <xf numFmtId="0" fontId="0" fillId="5" borderId="10" xfId="0" applyFill="1" applyBorder="1" applyAlignment="1" applyProtection="1"/>
    <xf numFmtId="0" fontId="0" fillId="5" borderId="4" xfId="0" applyFill="1" applyBorder="1" applyAlignment="1" applyProtection="1"/>
    <xf numFmtId="0" fontId="19" fillId="5" borderId="4" xfId="0" applyFont="1" applyFill="1" applyBorder="1" applyAlignment="1" applyProtection="1">
      <alignment horizontal="right"/>
    </xf>
    <xf numFmtId="0" fontId="9" fillId="5" borderId="12" xfId="0" applyFont="1" applyFill="1" applyBorder="1" applyAlignment="1" applyProtection="1">
      <alignment horizontal="right"/>
    </xf>
    <xf numFmtId="0" fontId="11" fillId="6" borderId="13" xfId="0" applyFont="1" applyFill="1" applyBorder="1" applyAlignment="1" applyProtection="1">
      <alignment vertical="center"/>
    </xf>
    <xf numFmtId="0" fontId="2" fillId="0" borderId="0" xfId="0" applyFont="1" applyFill="1" applyBorder="1" applyAlignment="1" applyProtection="1">
      <alignment horizontal="left"/>
    </xf>
    <xf numFmtId="0" fontId="0" fillId="0" borderId="5" xfId="0" applyFill="1" applyBorder="1" applyAlignment="1" applyProtection="1">
      <alignment horizontal="left"/>
    </xf>
    <xf numFmtId="0" fontId="1" fillId="6" borderId="9" xfId="0" applyFont="1" applyFill="1" applyBorder="1" applyAlignment="1" applyProtection="1">
      <alignment horizontal="center" vertical="center"/>
    </xf>
    <xf numFmtId="0" fontId="1" fillId="6" borderId="10" xfId="0" applyFont="1" applyFill="1" applyBorder="1" applyProtection="1"/>
    <xf numFmtId="0" fontId="1" fillId="6" borderId="15" xfId="0" applyFont="1" applyFill="1" applyBorder="1" applyAlignment="1" applyProtection="1">
      <alignment horizontal="center" vertical="center"/>
    </xf>
    <xf numFmtId="0" fontId="1" fillId="6" borderId="16" xfId="0" applyFont="1" applyFill="1" applyBorder="1" applyAlignment="1" applyProtection="1">
      <alignment horizontal="center" vertical="center"/>
    </xf>
    <xf numFmtId="0" fontId="1" fillId="6" borderId="6" xfId="0" applyFont="1" applyFill="1" applyBorder="1" applyProtection="1"/>
    <xf numFmtId="0" fontId="1" fillId="6" borderId="0" xfId="0" applyFont="1" applyFill="1" applyBorder="1" applyProtection="1"/>
    <xf numFmtId="0" fontId="1" fillId="6" borderId="18" xfId="0" applyFont="1" applyFill="1" applyBorder="1" applyProtection="1"/>
    <xf numFmtId="0" fontId="1" fillId="6" borderId="22" xfId="0" applyFont="1" applyFill="1" applyBorder="1" applyProtection="1"/>
    <xf numFmtId="0" fontId="1" fillId="6" borderId="0" xfId="0" applyFont="1" applyFill="1" applyBorder="1" applyAlignment="1" applyProtection="1">
      <alignment horizontal="center" vertical="center"/>
    </xf>
    <xf numFmtId="0" fontId="1" fillId="6" borderId="20" xfId="0" applyFont="1" applyFill="1" applyBorder="1" applyAlignment="1" applyProtection="1">
      <alignment horizontal="center" vertical="center"/>
    </xf>
    <xf numFmtId="0" fontId="1" fillId="6" borderId="4" xfId="0" applyFont="1" applyFill="1" applyBorder="1" applyAlignment="1" applyProtection="1">
      <alignment horizontal="center" wrapText="1"/>
    </xf>
    <xf numFmtId="0" fontId="32" fillId="6" borderId="23" xfId="0" applyFont="1" applyFill="1" applyBorder="1" applyAlignment="1" applyProtection="1">
      <alignment horizontal="left" vertical="center" wrapText="1"/>
    </xf>
    <xf numFmtId="164" fontId="4" fillId="2" borderId="1" xfId="0" applyNumberFormat="1" applyFont="1" applyFill="1" applyBorder="1" applyAlignment="1" applyProtection="1">
      <alignment horizontal="center" shrinkToFit="1"/>
    </xf>
    <xf numFmtId="2" fontId="4" fillId="2" borderId="1" xfId="0" applyNumberFormat="1" applyFont="1" applyFill="1" applyBorder="1" applyAlignment="1" applyProtection="1">
      <alignment horizontal="center" shrinkToFit="1"/>
    </xf>
    <xf numFmtId="0" fontId="4" fillId="7" borderId="1" xfId="0" applyFont="1" applyFill="1" applyBorder="1" applyAlignment="1" applyProtection="1">
      <alignment horizontal="center" shrinkToFit="1"/>
      <protection locked="0"/>
    </xf>
    <xf numFmtId="4" fontId="4" fillId="2" borderId="1" xfId="0" applyNumberFormat="1" applyFont="1" applyFill="1" applyBorder="1" applyAlignment="1" applyProtection="1">
      <alignment horizontal="center" shrinkToFit="1"/>
    </xf>
    <xf numFmtId="9" fontId="4" fillId="7" borderId="1" xfId="1" applyFont="1" applyFill="1" applyBorder="1" applyAlignment="1" applyProtection="1">
      <alignment horizontal="center" shrinkToFit="1"/>
      <protection locked="0"/>
    </xf>
    <xf numFmtId="164" fontId="4" fillId="2" borderId="1" xfId="0" applyNumberFormat="1" applyFont="1" applyFill="1" applyBorder="1" applyAlignment="1" applyProtection="1">
      <alignment horizontal="right" shrinkToFit="1"/>
    </xf>
    <xf numFmtId="164" fontId="4" fillId="0" borderId="1" xfId="0" applyNumberFormat="1" applyFont="1" applyFill="1" applyBorder="1" applyAlignment="1" applyProtection="1">
      <alignment horizontal="right" shrinkToFit="1"/>
    </xf>
    <xf numFmtId="164" fontId="4" fillId="2" borderId="7" xfId="0" applyNumberFormat="1" applyFont="1" applyFill="1" applyBorder="1" applyAlignment="1" applyProtection="1">
      <alignment horizontal="center" shrinkToFit="1"/>
    </xf>
    <xf numFmtId="4" fontId="4" fillId="2" borderId="7" xfId="0" applyNumberFormat="1" applyFont="1" applyFill="1" applyBorder="1" applyAlignment="1" applyProtection="1">
      <alignment horizontal="center" shrinkToFit="1"/>
    </xf>
    <xf numFmtId="2" fontId="4" fillId="2" borderId="7" xfId="0" applyNumberFormat="1" applyFont="1" applyFill="1" applyBorder="1" applyAlignment="1" applyProtection="1">
      <alignment horizontal="center" shrinkToFit="1"/>
    </xf>
    <xf numFmtId="164" fontId="4" fillId="2" borderId="7" xfId="0" applyNumberFormat="1" applyFont="1" applyFill="1" applyBorder="1" applyAlignment="1" applyProtection="1">
      <alignment horizontal="right" shrinkToFit="1"/>
    </xf>
    <xf numFmtId="0" fontId="4" fillId="7" borderId="7" xfId="0" applyFont="1" applyFill="1" applyBorder="1" applyAlignment="1" applyProtection="1">
      <alignment horizontal="center" shrinkToFit="1"/>
      <protection locked="0"/>
    </xf>
    <xf numFmtId="164" fontId="6" fillId="0" borderId="1" xfId="0" applyNumberFormat="1" applyFont="1" applyFill="1" applyBorder="1" applyAlignment="1" applyProtection="1">
      <alignment horizontal="center" shrinkToFit="1"/>
    </xf>
    <xf numFmtId="0" fontId="2" fillId="10" borderId="1" xfId="0" applyFont="1" applyFill="1" applyBorder="1" applyAlignment="1">
      <alignment vertical="top" wrapText="1"/>
    </xf>
    <xf numFmtId="0" fontId="11" fillId="0" borderId="1" xfId="0" applyFont="1" applyBorder="1" applyAlignment="1">
      <alignment vertical="top" wrapText="1"/>
    </xf>
    <xf numFmtId="0" fontId="2" fillId="10" borderId="3" xfId="0" applyFont="1" applyFill="1" applyBorder="1" applyAlignment="1">
      <alignment horizontal="center" vertical="top" wrapText="1"/>
    </xf>
    <xf numFmtId="0" fontId="2" fillId="10" borderId="2" xfId="0" applyFont="1" applyFill="1" applyBorder="1" applyAlignment="1">
      <alignment horizontal="center" vertical="top" wrapText="1"/>
    </xf>
    <xf numFmtId="0" fontId="3" fillId="2" borderId="9" xfId="0" applyFont="1" applyFill="1" applyBorder="1" applyAlignment="1">
      <alignment vertical="top" wrapText="1"/>
    </xf>
    <xf numFmtId="0" fontId="3" fillId="2" borderId="11" xfId="0" applyFont="1" applyFill="1" applyBorder="1" applyAlignment="1">
      <alignment vertical="top" wrapText="1"/>
    </xf>
    <xf numFmtId="0" fontId="0" fillId="2" borderId="8" xfId="0" applyFill="1" applyBorder="1" applyAlignment="1">
      <alignment vertical="top" wrapText="1"/>
    </xf>
    <xf numFmtId="0" fontId="0" fillId="2" borderId="12" xfId="0" applyFill="1" applyBorder="1" applyAlignment="1">
      <alignment vertical="top" wrapText="1"/>
    </xf>
    <xf numFmtId="0" fontId="0" fillId="0" borderId="7" xfId="0" applyBorder="1" applyAlignment="1">
      <alignment vertical="top" wrapText="1"/>
    </xf>
    <xf numFmtId="0" fontId="0" fillId="0" borderId="24" xfId="0" applyBorder="1" applyAlignment="1">
      <alignment vertical="top" wrapText="1"/>
    </xf>
    <xf numFmtId="0" fontId="10" fillId="0" borderId="0" xfId="0" applyFont="1" applyAlignment="1">
      <alignment vertical="top" wrapText="1"/>
    </xf>
    <xf numFmtId="0" fontId="6" fillId="7" borderId="3" xfId="0" applyFont="1" applyFill="1" applyBorder="1" applyAlignment="1" applyProtection="1">
      <alignment horizontal="left" wrapText="1" shrinkToFit="1"/>
      <protection locked="0"/>
    </xf>
    <xf numFmtId="0" fontId="6" fillId="7" borderId="2" xfId="0" applyFont="1" applyFill="1" applyBorder="1" applyAlignment="1" applyProtection="1">
      <alignment horizontal="left" wrapText="1" shrinkToFit="1"/>
      <protection locked="0"/>
    </xf>
    <xf numFmtId="0" fontId="1" fillId="6" borderId="25" xfId="0" applyFont="1" applyFill="1" applyBorder="1" applyAlignment="1" applyProtection="1">
      <alignment horizontal="center" vertical="center" wrapText="1"/>
    </xf>
    <xf numFmtId="0" fontId="0" fillId="6" borderId="26" xfId="0" applyFill="1" applyBorder="1" applyAlignment="1" applyProtection="1">
      <alignment horizontal="center" vertical="center" wrapText="1"/>
    </xf>
    <xf numFmtId="0" fontId="6" fillId="2" borderId="9" xfId="0" applyFont="1" applyFill="1" applyBorder="1" applyAlignment="1" applyProtection="1">
      <alignment horizontal="left" vertical="top" wrapText="1"/>
      <protection locked="0"/>
    </xf>
    <xf numFmtId="0" fontId="6" fillId="2" borderId="10" xfId="0" applyFont="1" applyFill="1" applyBorder="1" applyAlignment="1" applyProtection="1">
      <alignment horizontal="left" vertical="top" wrapText="1"/>
      <protection locked="0"/>
    </xf>
    <xf numFmtId="0" fontId="6" fillId="2" borderId="8" xfId="0" applyFont="1" applyFill="1" applyBorder="1" applyAlignment="1" applyProtection="1">
      <alignment horizontal="left" vertical="top" wrapText="1"/>
      <protection locked="0"/>
    </xf>
    <xf numFmtId="0" fontId="6" fillId="2" borderId="6" xfId="0" applyFont="1" applyFill="1" applyBorder="1" applyAlignment="1" applyProtection="1">
      <alignment horizontal="left" vertical="top" wrapText="1"/>
      <protection locked="0"/>
    </xf>
    <xf numFmtId="0" fontId="6" fillId="2" borderId="0" xfId="0" applyFont="1" applyFill="1" applyBorder="1" applyAlignment="1" applyProtection="1">
      <alignment horizontal="left" vertical="top" wrapText="1"/>
      <protection locked="0"/>
    </xf>
    <xf numFmtId="0" fontId="6" fillId="2" borderId="5" xfId="0" applyFont="1" applyFill="1" applyBorder="1" applyAlignment="1" applyProtection="1">
      <alignment horizontal="left" vertical="top" wrapText="1"/>
      <protection locked="0"/>
    </xf>
    <xf numFmtId="0" fontId="6" fillId="2" borderId="11" xfId="0" applyFont="1" applyFill="1" applyBorder="1" applyAlignment="1" applyProtection="1">
      <alignment horizontal="left" vertical="top" wrapText="1"/>
      <protection locked="0"/>
    </xf>
    <xf numFmtId="0" fontId="6" fillId="2" borderId="4" xfId="0" applyFont="1" applyFill="1" applyBorder="1" applyAlignment="1" applyProtection="1">
      <alignment horizontal="left" vertical="top" wrapText="1"/>
      <protection locked="0"/>
    </xf>
    <xf numFmtId="0" fontId="6" fillId="2" borderId="12" xfId="0" applyFont="1" applyFill="1" applyBorder="1" applyAlignment="1" applyProtection="1">
      <alignment horizontal="left" vertical="top" wrapText="1"/>
      <protection locked="0"/>
    </xf>
    <xf numFmtId="0" fontId="2" fillId="9" borderId="27" xfId="0" applyFont="1" applyFill="1" applyBorder="1" applyAlignment="1" applyProtection="1">
      <alignment horizontal="center"/>
      <protection locked="0"/>
    </xf>
    <xf numFmtId="0" fontId="0" fillId="9" borderId="33" xfId="0" applyFill="1" applyBorder="1" applyAlignment="1" applyProtection="1">
      <alignment horizontal="center"/>
      <protection locked="0"/>
    </xf>
    <xf numFmtId="49" fontId="8" fillId="6" borderId="13" xfId="0" applyNumberFormat="1" applyFont="1" applyFill="1" applyBorder="1" applyAlignment="1" applyProtection="1">
      <alignment horizontal="right" vertical="center"/>
    </xf>
    <xf numFmtId="49" fontId="7" fillId="6" borderId="13" xfId="0" applyNumberFormat="1" applyFont="1" applyFill="1" applyBorder="1" applyAlignment="1" applyProtection="1">
      <alignment horizontal="right" vertical="center"/>
    </xf>
    <xf numFmtId="49" fontId="7" fillId="6" borderId="2" xfId="0" applyNumberFormat="1" applyFont="1" applyFill="1" applyBorder="1" applyAlignment="1" applyProtection="1">
      <alignment horizontal="right" vertical="center"/>
    </xf>
    <xf numFmtId="0" fontId="1" fillId="6" borderId="48" xfId="0" applyFont="1" applyFill="1" applyBorder="1" applyAlignment="1" applyProtection="1">
      <alignment horizontal="center" textRotation="90" wrapText="1"/>
    </xf>
    <xf numFmtId="0" fontId="1" fillId="6" borderId="49" xfId="0" applyFont="1" applyFill="1" applyBorder="1" applyAlignment="1" applyProtection="1">
      <alignment wrapText="1"/>
    </xf>
    <xf numFmtId="0" fontId="24" fillId="6" borderId="50" xfId="0" applyFont="1" applyFill="1" applyBorder="1" applyAlignment="1" applyProtection="1">
      <alignment wrapText="1"/>
    </xf>
    <xf numFmtId="0" fontId="2" fillId="9" borderId="29" xfId="0" applyFont="1" applyFill="1" applyBorder="1" applyAlignment="1" applyProtection="1">
      <alignment horizontal="center"/>
      <protection locked="0"/>
    </xf>
    <xf numFmtId="0" fontId="0" fillId="9" borderId="34" xfId="0" applyFill="1" applyBorder="1" applyAlignment="1" applyProtection="1">
      <alignment horizontal="center"/>
      <protection locked="0"/>
    </xf>
    <xf numFmtId="0" fontId="2" fillId="2" borderId="0" xfId="0" applyFont="1" applyFill="1" applyBorder="1" applyAlignment="1" applyProtection="1">
      <alignment horizontal="right"/>
    </xf>
    <xf numFmtId="0" fontId="0" fillId="2" borderId="0" xfId="0" applyFill="1" applyBorder="1" applyAlignment="1" applyProtection="1">
      <alignment horizontal="right"/>
    </xf>
    <xf numFmtId="0" fontId="25" fillId="5" borderId="10" xfId="0" applyFont="1" applyFill="1" applyBorder="1" applyAlignment="1" applyProtection="1">
      <alignment horizontal="right"/>
    </xf>
    <xf numFmtId="0" fontId="0" fillId="5" borderId="10" xfId="0" applyFill="1" applyBorder="1" applyAlignment="1" applyProtection="1"/>
    <xf numFmtId="0" fontId="0" fillId="5" borderId="8" xfId="0" applyFill="1" applyBorder="1" applyAlignment="1" applyProtection="1"/>
    <xf numFmtId="0" fontId="0" fillId="5" borderId="0" xfId="0" applyFill="1" applyBorder="1" applyAlignment="1" applyProtection="1"/>
    <xf numFmtId="0" fontId="0" fillId="5" borderId="5" xfId="0" applyFill="1" applyBorder="1" applyAlignment="1" applyProtection="1"/>
    <xf numFmtId="0" fontId="0" fillId="9" borderId="28" xfId="0" applyFill="1" applyBorder="1" applyAlignment="1" applyProtection="1">
      <alignment horizontal="center"/>
      <protection locked="0"/>
    </xf>
    <xf numFmtId="0" fontId="0" fillId="9" borderId="30" xfId="0" applyFill="1" applyBorder="1" applyAlignment="1" applyProtection="1">
      <alignment horizontal="center"/>
      <protection locked="0"/>
    </xf>
    <xf numFmtId="0" fontId="2" fillId="9" borderId="31" xfId="0" applyFont="1" applyFill="1" applyBorder="1" applyAlignment="1" applyProtection="1">
      <alignment horizontal="center"/>
      <protection locked="0"/>
    </xf>
    <xf numFmtId="0" fontId="0" fillId="9" borderId="32" xfId="0" applyFill="1" applyBorder="1" applyAlignment="1" applyProtection="1">
      <alignment horizontal="center"/>
      <protection locked="0"/>
    </xf>
    <xf numFmtId="0" fontId="0" fillId="9" borderId="35" xfId="0" applyFill="1" applyBorder="1" applyAlignment="1" applyProtection="1">
      <alignment horizontal="center"/>
      <protection locked="0"/>
    </xf>
    <xf numFmtId="14" fontId="11" fillId="0" borderId="4" xfId="0" applyNumberFormat="1" applyFont="1" applyFill="1" applyBorder="1" applyAlignment="1" applyProtection="1">
      <alignment horizontal="center"/>
      <protection locked="0"/>
    </xf>
    <xf numFmtId="0" fontId="11" fillId="0" borderId="4" xfId="0" applyFont="1" applyFill="1" applyBorder="1" applyAlignment="1" applyProtection="1">
      <alignment horizontal="center"/>
      <protection locked="0"/>
    </xf>
    <xf numFmtId="0" fontId="10" fillId="2" borderId="10" xfId="0" applyFont="1" applyFill="1" applyBorder="1" applyAlignment="1" applyProtection="1">
      <alignment horizontal="center"/>
    </xf>
    <xf numFmtId="0" fontId="2" fillId="9" borderId="51" xfId="0" applyFont="1" applyFill="1" applyBorder="1" applyAlignment="1" applyProtection="1">
      <alignment horizontal="center"/>
      <protection locked="0"/>
    </xf>
    <xf numFmtId="0" fontId="2" fillId="9" borderId="52" xfId="0" applyFont="1" applyFill="1" applyBorder="1" applyAlignment="1" applyProtection="1">
      <alignment horizontal="center"/>
      <protection locked="0"/>
    </xf>
    <xf numFmtId="0" fontId="17" fillId="2" borderId="9" xfId="0" applyFont="1" applyFill="1" applyBorder="1" applyAlignment="1" applyProtection="1">
      <alignment horizontal="center" vertical="center"/>
    </xf>
    <xf numFmtId="0" fontId="0" fillId="0" borderId="8" xfId="0" applyBorder="1" applyAlignment="1" applyProtection="1"/>
    <xf numFmtId="0" fontId="0" fillId="0" borderId="6" xfId="0" applyBorder="1" applyAlignment="1" applyProtection="1">
      <alignment vertical="center"/>
    </xf>
    <xf numFmtId="0" fontId="0" fillId="0" borderId="5" xfId="0" applyBorder="1" applyAlignment="1" applyProtection="1"/>
    <xf numFmtId="0" fontId="0" fillId="0" borderId="11" xfId="0" applyBorder="1" applyAlignment="1" applyProtection="1">
      <alignment vertical="center"/>
    </xf>
    <xf numFmtId="0" fontId="0" fillId="0" borderId="12" xfId="0" applyBorder="1" applyAlignment="1" applyProtection="1"/>
    <xf numFmtId="0" fontId="28" fillId="5" borderId="9" xfId="0" applyFont="1" applyFill="1" applyBorder="1" applyAlignment="1" applyProtection="1">
      <alignment horizontal="left"/>
    </xf>
    <xf numFmtId="0" fontId="29" fillId="5" borderId="10" xfId="0" applyFont="1" applyFill="1" applyBorder="1" applyAlignment="1" applyProtection="1"/>
    <xf numFmtId="0" fontId="29" fillId="5" borderId="6" xfId="0" applyFont="1" applyFill="1" applyBorder="1" applyAlignment="1" applyProtection="1"/>
    <xf numFmtId="0" fontId="29" fillId="5" borderId="0" xfId="0" applyFont="1" applyFill="1" applyBorder="1" applyAlignment="1" applyProtection="1"/>
    <xf numFmtId="0" fontId="1" fillId="6" borderId="36" xfId="0" applyFont="1" applyFill="1" applyBorder="1" applyAlignment="1" applyProtection="1">
      <alignment horizontal="center" textRotation="90" wrapText="1"/>
    </xf>
    <xf numFmtId="0" fontId="1" fillId="6" borderId="37" xfId="0" applyFont="1" applyFill="1" applyBorder="1" applyAlignment="1" applyProtection="1">
      <alignment horizontal="center" textRotation="90" wrapText="1"/>
    </xf>
    <xf numFmtId="0" fontId="1" fillId="6" borderId="23" xfId="0" applyFont="1" applyFill="1" applyBorder="1" applyAlignment="1" applyProtection="1">
      <alignment horizontal="center" textRotation="90" wrapText="1"/>
    </xf>
    <xf numFmtId="0" fontId="1" fillId="6" borderId="38" xfId="0" applyFont="1" applyFill="1" applyBorder="1" applyAlignment="1" applyProtection="1">
      <alignment horizontal="center" vertical="center" wrapText="1"/>
    </xf>
    <xf numFmtId="0" fontId="1" fillId="6" borderId="39" xfId="0" applyFont="1" applyFill="1" applyBorder="1" applyAlignment="1" applyProtection="1">
      <alignment horizontal="center" vertical="center" wrapText="1"/>
    </xf>
    <xf numFmtId="0" fontId="1" fillId="6" borderId="40" xfId="0" applyFont="1" applyFill="1" applyBorder="1" applyAlignment="1" applyProtection="1">
      <alignment horizontal="center" vertical="center" wrapText="1"/>
    </xf>
    <xf numFmtId="0" fontId="1" fillId="6" borderId="41" xfId="0" applyFont="1" applyFill="1" applyBorder="1" applyAlignment="1" applyProtection="1">
      <alignment horizontal="center" vertical="center" wrapText="1"/>
    </xf>
    <xf numFmtId="0" fontId="1" fillId="6" borderId="42" xfId="0" applyFont="1" applyFill="1" applyBorder="1" applyAlignment="1" applyProtection="1">
      <alignment horizontal="right" vertical="center" indent="1"/>
    </xf>
    <xf numFmtId="0" fontId="1" fillId="6" borderId="18" xfId="0" applyFont="1" applyFill="1" applyBorder="1" applyAlignment="1" applyProtection="1">
      <alignment horizontal="right" vertical="center" indent="1"/>
    </xf>
    <xf numFmtId="0" fontId="1" fillId="6" borderId="42" xfId="0" applyFont="1" applyFill="1" applyBorder="1" applyAlignment="1" applyProtection="1">
      <alignment horizontal="center" vertical="center"/>
    </xf>
    <xf numFmtId="0" fontId="1" fillId="6" borderId="18" xfId="0" applyFont="1" applyFill="1" applyBorder="1" applyAlignment="1" applyProtection="1">
      <alignment horizontal="center" vertical="center"/>
    </xf>
    <xf numFmtId="0" fontId="1" fillId="6" borderId="22" xfId="0" applyFont="1" applyFill="1" applyBorder="1" applyAlignment="1" applyProtection="1">
      <alignment horizontal="center" vertical="center"/>
    </xf>
    <xf numFmtId="0" fontId="1" fillId="6" borderId="36" xfId="0" applyFont="1" applyFill="1" applyBorder="1" applyAlignment="1" applyProtection="1">
      <alignment textRotation="90" wrapText="1"/>
    </xf>
    <xf numFmtId="0" fontId="1" fillId="6" borderId="37" xfId="0" applyFont="1" applyFill="1" applyBorder="1" applyAlignment="1" applyProtection="1">
      <alignment textRotation="90" wrapText="1"/>
    </xf>
    <xf numFmtId="0" fontId="1" fillId="6" borderId="23" xfId="0" applyFont="1" applyFill="1" applyBorder="1" applyAlignment="1" applyProtection="1">
      <alignment textRotation="90" wrapText="1"/>
    </xf>
    <xf numFmtId="0" fontId="4" fillId="8" borderId="53" xfId="0" applyFont="1" applyFill="1" applyBorder="1" applyAlignment="1" applyProtection="1">
      <alignment horizontal="right"/>
    </xf>
    <xf numFmtId="0" fontId="4" fillId="8" borderId="54" xfId="0" applyFont="1" applyFill="1" applyBorder="1" applyAlignment="1" applyProtection="1">
      <alignment horizontal="right"/>
    </xf>
    <xf numFmtId="0" fontId="4" fillId="8" borderId="3" xfId="0" applyFont="1" applyFill="1" applyBorder="1" applyAlignment="1" applyProtection="1">
      <alignment horizontal="right"/>
    </xf>
    <xf numFmtId="0" fontId="4" fillId="8" borderId="2" xfId="0" applyFont="1" applyFill="1" applyBorder="1" applyAlignment="1" applyProtection="1">
      <alignment horizontal="right"/>
    </xf>
    <xf numFmtId="0" fontId="1" fillId="6" borderId="25" xfId="0" applyFont="1" applyFill="1" applyBorder="1" applyAlignment="1" applyProtection="1">
      <alignment horizontal="center" vertical="center"/>
    </xf>
    <xf numFmtId="0" fontId="0" fillId="6" borderId="26" xfId="0" applyFill="1" applyBorder="1" applyAlignment="1" applyProtection="1">
      <alignment horizontal="center" vertical="center"/>
    </xf>
    <xf numFmtId="0" fontId="1" fillId="6" borderId="37" xfId="0" applyFont="1" applyFill="1" applyBorder="1" applyAlignment="1" applyProtection="1">
      <alignment horizontal="center" wrapText="1"/>
    </xf>
    <xf numFmtId="0" fontId="1" fillId="6" borderId="23" xfId="0" applyFont="1" applyFill="1" applyBorder="1" applyAlignment="1" applyProtection="1">
      <alignment horizontal="center" wrapText="1"/>
    </xf>
    <xf numFmtId="0" fontId="27" fillId="8" borderId="1" xfId="0" applyFont="1" applyFill="1" applyBorder="1" applyAlignment="1" applyProtection="1">
      <alignment horizontal="right"/>
    </xf>
    <xf numFmtId="1" fontId="34" fillId="0" borderId="3" xfId="0" applyNumberFormat="1" applyFont="1" applyBorder="1" applyAlignment="1" applyProtection="1">
      <alignment horizontal="center" vertical="center" shrinkToFit="1"/>
    </xf>
    <xf numFmtId="1" fontId="34" fillId="0" borderId="2" xfId="0" applyNumberFormat="1" applyFont="1" applyBorder="1" applyAlignment="1" applyProtection="1">
      <alignment horizontal="center" vertical="center" shrinkToFit="1"/>
    </xf>
    <xf numFmtId="0" fontId="27" fillId="8" borderId="3" xfId="0" applyFont="1" applyFill="1" applyBorder="1" applyAlignment="1" applyProtection="1">
      <alignment horizontal="right"/>
    </xf>
    <xf numFmtId="0" fontId="27" fillId="8" borderId="13" xfId="0" applyFont="1" applyFill="1" applyBorder="1" applyAlignment="1" applyProtection="1">
      <alignment horizontal="right"/>
    </xf>
    <xf numFmtId="164" fontId="30" fillId="0" borderId="3" xfId="0" applyNumberFormat="1" applyFont="1" applyBorder="1" applyAlignment="1" applyProtection="1">
      <alignment horizontal="center" vertical="center" shrinkToFit="1"/>
    </xf>
    <xf numFmtId="164" fontId="30" fillId="0" borderId="2" xfId="0" applyNumberFormat="1" applyFont="1" applyBorder="1" applyAlignment="1" applyProtection="1">
      <alignment horizontal="center" vertical="center" shrinkToFit="1"/>
    </xf>
    <xf numFmtId="164" fontId="30" fillId="0" borderId="3" xfId="0" applyNumberFormat="1" applyFont="1" applyBorder="1" applyAlignment="1" applyProtection="1">
      <alignment horizontal="center" shrinkToFit="1"/>
    </xf>
    <xf numFmtId="164" fontId="30" fillId="0" borderId="2" xfId="0" applyNumberFormat="1" applyFont="1" applyBorder="1" applyAlignment="1" applyProtection="1">
      <alignment horizontal="center" shrinkToFit="1"/>
    </xf>
    <xf numFmtId="0" fontId="1" fillId="6" borderId="37" xfId="0" applyFont="1" applyFill="1" applyBorder="1" applyAlignment="1" applyProtection="1">
      <alignment wrapText="1"/>
    </xf>
    <xf numFmtId="0" fontId="1" fillId="6" borderId="23" xfId="0" applyFont="1" applyFill="1" applyBorder="1" applyAlignment="1" applyProtection="1">
      <alignment wrapText="1"/>
    </xf>
    <xf numFmtId="0" fontId="1" fillId="6" borderId="19" xfId="0" quotePrefix="1" applyFont="1" applyFill="1" applyBorder="1" applyAlignment="1" applyProtection="1">
      <alignment horizontal="center" textRotation="90" wrapText="1"/>
    </xf>
    <xf numFmtId="0" fontId="1" fillId="6" borderId="19" xfId="0" applyFont="1" applyFill="1" applyBorder="1" applyAlignment="1" applyProtection="1">
      <alignment horizontal="center" textRotation="90" wrapText="1"/>
    </xf>
    <xf numFmtId="0" fontId="1" fillId="6" borderId="20" xfId="0" applyFont="1" applyFill="1" applyBorder="1" applyAlignment="1" applyProtection="1">
      <alignment horizontal="center" textRotation="90" wrapText="1"/>
    </xf>
    <xf numFmtId="0" fontId="12" fillId="2" borderId="0" xfId="0" applyFont="1" applyFill="1" applyBorder="1" applyAlignment="1" applyProtection="1">
      <alignment horizontal="right"/>
    </xf>
    <xf numFmtId="0" fontId="1" fillId="6" borderId="43" xfId="0" applyFont="1" applyFill="1" applyBorder="1" applyAlignment="1" applyProtection="1">
      <alignment horizontal="center" vertical="center"/>
    </xf>
    <xf numFmtId="0" fontId="1" fillId="6" borderId="17" xfId="0" applyFont="1" applyFill="1" applyBorder="1" applyAlignment="1" applyProtection="1"/>
    <xf numFmtId="0" fontId="1" fillId="6" borderId="41" xfId="0" applyFont="1" applyFill="1" applyBorder="1" applyAlignment="1" applyProtection="1"/>
    <xf numFmtId="0" fontId="1" fillId="6" borderId="42" xfId="0" quotePrefix="1" applyFont="1" applyFill="1" applyBorder="1" applyAlignment="1" applyProtection="1">
      <alignment horizontal="center" vertical="center"/>
    </xf>
    <xf numFmtId="0" fontId="25" fillId="5" borderId="10" xfId="0" applyFont="1" applyFill="1" applyBorder="1" applyAlignment="1" applyProtection="1">
      <alignment horizontal="center"/>
    </xf>
    <xf numFmtId="0" fontId="0" fillId="5" borderId="10" xfId="0" applyFill="1" applyBorder="1" applyAlignment="1" applyProtection="1">
      <alignment horizontal="center"/>
    </xf>
    <xf numFmtId="0" fontId="0" fillId="5" borderId="8" xfId="0" applyFill="1" applyBorder="1" applyAlignment="1" applyProtection="1">
      <alignment horizontal="center"/>
    </xf>
    <xf numFmtId="0" fontId="0" fillId="5" borderId="0" xfId="0" applyFill="1" applyBorder="1" applyAlignment="1" applyProtection="1">
      <alignment horizontal="center"/>
    </xf>
    <xf numFmtId="0" fontId="0" fillId="5" borderId="5" xfId="0" applyFill="1" applyBorder="1" applyAlignment="1" applyProtection="1">
      <alignment horizontal="center"/>
    </xf>
    <xf numFmtId="0" fontId="26" fillId="8" borderId="13" xfId="0" applyFont="1" applyFill="1" applyBorder="1" applyAlignment="1" applyProtection="1">
      <alignment horizontal="right"/>
    </xf>
    <xf numFmtId="0" fontId="26" fillId="8" borderId="2" xfId="0" applyFont="1" applyFill="1" applyBorder="1" applyAlignment="1" applyProtection="1">
      <alignment horizontal="right"/>
    </xf>
    <xf numFmtId="0" fontId="1" fillId="6" borderId="19" xfId="0" applyFont="1" applyFill="1" applyBorder="1" applyAlignment="1" applyProtection="1">
      <alignment horizontal="center" vertical="center"/>
    </xf>
    <xf numFmtId="0" fontId="1" fillId="6" borderId="19" xfId="0" applyFont="1" applyFill="1" applyBorder="1" applyAlignment="1" applyProtection="1">
      <alignment horizontal="right" vertical="center" wrapText="1"/>
    </xf>
    <xf numFmtId="0" fontId="1" fillId="6" borderId="42" xfId="0" applyFont="1" applyFill="1" applyBorder="1" applyAlignment="1" applyProtection="1">
      <alignment horizontal="right" vertical="center" wrapText="1"/>
    </xf>
    <xf numFmtId="0" fontId="24" fillId="6" borderId="23" xfId="0" applyFont="1" applyFill="1" applyBorder="1" applyAlignment="1" applyProtection="1">
      <alignment wrapText="1"/>
    </xf>
    <xf numFmtId="49" fontId="8" fillId="6" borderId="13" xfId="0" applyNumberFormat="1" applyFont="1" applyFill="1" applyBorder="1" applyAlignment="1" applyProtection="1">
      <alignment horizontal="right"/>
    </xf>
    <xf numFmtId="49" fontId="7" fillId="6" borderId="13" xfId="0" applyNumberFormat="1" applyFont="1" applyFill="1" applyBorder="1" applyAlignment="1" applyProtection="1">
      <alignment horizontal="right"/>
    </xf>
    <xf numFmtId="49" fontId="7" fillId="6" borderId="2" xfId="0" applyNumberFormat="1" applyFont="1" applyFill="1" applyBorder="1" applyAlignment="1" applyProtection="1">
      <alignment horizontal="right"/>
    </xf>
    <xf numFmtId="0" fontId="0" fillId="0" borderId="0" xfId="0" applyBorder="1" applyAlignment="1" applyProtection="1">
      <alignment horizontal="right"/>
    </xf>
    <xf numFmtId="0" fontId="10" fillId="2" borderId="10" xfId="0" applyFont="1" applyFill="1" applyBorder="1" applyAlignment="1" applyProtection="1">
      <alignment horizontal="center" vertical="top"/>
    </xf>
    <xf numFmtId="0" fontId="0" fillId="0" borderId="4" xfId="0" applyBorder="1" applyAlignment="1" applyProtection="1">
      <alignment horizontal="center"/>
    </xf>
    <xf numFmtId="0" fontId="10" fillId="2" borderId="0" xfId="0" applyFont="1" applyFill="1" applyBorder="1" applyAlignment="1" applyProtection="1">
      <alignment horizontal="left" vertical="center"/>
    </xf>
    <xf numFmtId="0" fontId="10" fillId="2" borderId="5" xfId="0" applyFont="1" applyFill="1" applyBorder="1" applyAlignment="1" applyProtection="1">
      <alignment horizontal="right" vertical="center"/>
    </xf>
    <xf numFmtId="0" fontId="2" fillId="9" borderId="47" xfId="0" applyFont="1" applyFill="1" applyBorder="1" applyAlignment="1" applyProtection="1">
      <alignment horizontal="center"/>
      <protection locked="0"/>
    </xf>
    <xf numFmtId="0" fontId="11" fillId="0" borderId="0" xfId="0" applyFont="1" applyFill="1" applyBorder="1" applyAlignment="1" applyProtection="1">
      <alignment horizontal="center"/>
    </xf>
    <xf numFmtId="164" fontId="30" fillId="0" borderId="1" xfId="0" applyNumberFormat="1" applyFont="1" applyFill="1" applyBorder="1" applyAlignment="1" applyProtection="1">
      <alignment horizontal="right" shrinkToFit="1"/>
    </xf>
    <xf numFmtId="164" fontId="6" fillId="0" borderId="1" xfId="0" applyNumberFormat="1" applyFont="1" applyFill="1" applyBorder="1" applyAlignment="1" applyProtection="1">
      <alignment horizontal="right" shrinkToFit="1"/>
    </xf>
    <xf numFmtId="0" fontId="15" fillId="2" borderId="9" xfId="0" applyFont="1" applyFill="1" applyBorder="1" applyAlignment="1" applyProtection="1">
      <alignment horizontal="left" vertical="top" wrapText="1"/>
      <protection locked="0"/>
    </xf>
    <xf numFmtId="0" fontId="15" fillId="2" borderId="10" xfId="0" applyFont="1" applyFill="1" applyBorder="1" applyAlignment="1" applyProtection="1">
      <alignment horizontal="left" vertical="top" wrapText="1"/>
      <protection locked="0"/>
    </xf>
    <xf numFmtId="0" fontId="15" fillId="2" borderId="8" xfId="0" applyFont="1" applyFill="1" applyBorder="1" applyAlignment="1" applyProtection="1">
      <alignment horizontal="left" vertical="top" wrapText="1"/>
      <protection locked="0"/>
    </xf>
    <xf numFmtId="0" fontId="15" fillId="2" borderId="6" xfId="0" applyFont="1" applyFill="1" applyBorder="1" applyAlignment="1" applyProtection="1">
      <alignment horizontal="left" vertical="top" wrapText="1"/>
      <protection locked="0"/>
    </xf>
    <xf numFmtId="0" fontId="15" fillId="2" borderId="0" xfId="0" applyFont="1" applyFill="1" applyBorder="1" applyAlignment="1" applyProtection="1">
      <alignment horizontal="left" vertical="top" wrapText="1"/>
      <protection locked="0"/>
    </xf>
    <xf numFmtId="0" fontId="15" fillId="2" borderId="5" xfId="0" applyFont="1" applyFill="1" applyBorder="1" applyAlignment="1" applyProtection="1">
      <alignment horizontal="left" vertical="top" wrapText="1"/>
      <protection locked="0"/>
    </xf>
    <xf numFmtId="0" fontId="15" fillId="2" borderId="11" xfId="0" applyFont="1" applyFill="1" applyBorder="1" applyAlignment="1" applyProtection="1">
      <alignment horizontal="left" vertical="top" wrapText="1"/>
      <protection locked="0"/>
    </xf>
    <xf numFmtId="0" fontId="15" fillId="2" borderId="4" xfId="0" applyFont="1" applyFill="1" applyBorder="1" applyAlignment="1" applyProtection="1">
      <alignment horizontal="left" vertical="top" wrapText="1"/>
      <protection locked="0"/>
    </xf>
    <xf numFmtId="0" fontId="15" fillId="2" borderId="12" xfId="0" applyFont="1" applyFill="1" applyBorder="1" applyAlignment="1" applyProtection="1">
      <alignment horizontal="left" vertical="top" wrapText="1"/>
      <protection locked="0"/>
    </xf>
    <xf numFmtId="0" fontId="30" fillId="0" borderId="3" xfId="0" applyFont="1" applyBorder="1" applyAlignment="1" applyProtection="1">
      <alignment horizontal="center"/>
      <protection locked="0"/>
    </xf>
    <xf numFmtId="0" fontId="30" fillId="0" borderId="2" xfId="0" applyFont="1" applyBorder="1" applyAlignment="1" applyProtection="1">
      <alignment horizontal="center"/>
      <protection locked="0"/>
    </xf>
    <xf numFmtId="165" fontId="27" fillId="8" borderId="3" xfId="1" applyNumberFormat="1" applyFont="1" applyFill="1" applyBorder="1" applyAlignment="1" applyProtection="1">
      <alignment horizontal="right"/>
    </xf>
    <xf numFmtId="165" fontId="27" fillId="8" borderId="13" xfId="1" applyNumberFormat="1" applyFont="1" applyFill="1" applyBorder="1" applyAlignment="1" applyProtection="1">
      <alignment horizontal="right"/>
    </xf>
    <xf numFmtId="0" fontId="1" fillId="6" borderId="44" xfId="0" applyFont="1" applyFill="1" applyBorder="1" applyAlignment="1" applyProtection="1">
      <alignment horizontal="center" textRotation="90" wrapText="1"/>
    </xf>
    <xf numFmtId="0" fontId="1" fillId="6" borderId="45" xfId="0" applyFont="1" applyFill="1" applyBorder="1" applyAlignment="1" applyProtection="1">
      <alignment horizontal="center" textRotation="90" wrapText="1"/>
    </xf>
    <xf numFmtId="0" fontId="1" fillId="6" borderId="46" xfId="0" applyFont="1" applyFill="1" applyBorder="1" applyAlignment="1" applyProtection="1">
      <alignment horizontal="center" vertical="center" wrapText="1"/>
    </xf>
    <xf numFmtId="0" fontId="1" fillId="6" borderId="19" xfId="0" applyFont="1" applyFill="1" applyBorder="1" applyAlignment="1" applyProtection="1">
      <alignment horizontal="center" vertical="center" wrapText="1"/>
    </xf>
    <xf numFmtId="9" fontId="31" fillId="0" borderId="3" xfId="1" applyFont="1" applyBorder="1" applyAlignment="1" applyProtection="1">
      <alignment horizontal="center" shrinkToFit="1"/>
    </xf>
    <xf numFmtId="9" fontId="31" fillId="0" borderId="2" xfId="1" applyFont="1" applyBorder="1" applyAlignment="1" applyProtection="1">
      <alignment horizontal="center" shrinkToFi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26</xdr:col>
      <xdr:colOff>0</xdr:colOff>
      <xdr:row>5</xdr:row>
      <xdr:rowOff>0</xdr:rowOff>
    </xdr:from>
    <xdr:to>
      <xdr:col>26</xdr:col>
      <xdr:colOff>371475</xdr:colOff>
      <xdr:row>5</xdr:row>
      <xdr:rowOff>0</xdr:rowOff>
    </xdr:to>
    <xdr:pic>
      <xdr:nvPicPr>
        <xdr:cNvPr id="2186" name="Picture 40" descr="raindro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44550" y="84772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333375</xdr:colOff>
      <xdr:row>0</xdr:row>
      <xdr:rowOff>38100</xdr:rowOff>
    </xdr:from>
    <xdr:to>
      <xdr:col>1</xdr:col>
      <xdr:colOff>695325</xdr:colOff>
      <xdr:row>2</xdr:row>
      <xdr:rowOff>152400</xdr:rowOff>
    </xdr:to>
    <xdr:pic>
      <xdr:nvPicPr>
        <xdr:cNvPr id="2187" name="Picture 117" descr="NRCS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33375" y="38100"/>
          <a:ext cx="15240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409575</xdr:colOff>
      <xdr:row>48</xdr:row>
      <xdr:rowOff>66675</xdr:rowOff>
    </xdr:from>
    <xdr:to>
      <xdr:col>1</xdr:col>
      <xdr:colOff>676275</xdr:colOff>
      <xdr:row>50</xdr:row>
      <xdr:rowOff>161925</xdr:rowOff>
    </xdr:to>
    <xdr:pic>
      <xdr:nvPicPr>
        <xdr:cNvPr id="2188" name="Picture 118" descr="NRCScolo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9575" y="11334750"/>
          <a:ext cx="142875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2"/>
  <sheetViews>
    <sheetView workbookViewId="0">
      <selection activeCell="C25" sqref="C25"/>
    </sheetView>
  </sheetViews>
  <sheetFormatPr defaultRowHeight="12.75" x14ac:dyDescent="0.2"/>
  <cols>
    <col min="1" max="1" width="6.42578125" style="1" bestFit="1" customWidth="1"/>
    <col min="2" max="2" width="17.140625" style="1" customWidth="1"/>
    <col min="3" max="3" width="72.5703125" style="1" customWidth="1"/>
  </cols>
  <sheetData>
    <row r="1" spans="1:3" x14ac:dyDescent="0.2">
      <c r="A1" s="133" t="s">
        <v>39</v>
      </c>
      <c r="B1" s="134"/>
      <c r="C1" s="131" t="s">
        <v>43</v>
      </c>
    </row>
    <row r="2" spans="1:3" ht="45" customHeight="1" x14ac:dyDescent="0.2">
      <c r="A2" s="135" t="s">
        <v>40</v>
      </c>
      <c r="B2" s="137" t="s">
        <v>41</v>
      </c>
      <c r="C2" s="139" t="s">
        <v>101</v>
      </c>
    </row>
    <row r="3" spans="1:3" ht="13.5" customHeight="1" x14ac:dyDescent="0.2">
      <c r="A3" s="136"/>
      <c r="B3" s="138"/>
      <c r="C3" s="140"/>
    </row>
    <row r="4" spans="1:3" ht="65.25" customHeight="1" x14ac:dyDescent="0.2">
      <c r="A4" s="4" t="s">
        <v>21</v>
      </c>
      <c r="B4" s="3" t="s">
        <v>96</v>
      </c>
      <c r="C4" s="2" t="s">
        <v>102</v>
      </c>
    </row>
    <row r="5" spans="1:3" ht="38.25" x14ac:dyDescent="0.2">
      <c r="A5" s="4" t="s">
        <v>22</v>
      </c>
      <c r="B5" s="3" t="s">
        <v>44</v>
      </c>
      <c r="C5" s="2" t="s">
        <v>98</v>
      </c>
    </row>
    <row r="6" spans="1:3" ht="72.75" customHeight="1" x14ac:dyDescent="0.2">
      <c r="A6" s="4" t="s">
        <v>80</v>
      </c>
      <c r="B6" s="3" t="s">
        <v>45</v>
      </c>
      <c r="C6" s="5" t="s">
        <v>97</v>
      </c>
    </row>
    <row r="7" spans="1:3" ht="25.5" x14ac:dyDescent="0.2">
      <c r="A7" s="4" t="s">
        <v>79</v>
      </c>
      <c r="B7" s="3" t="s">
        <v>46</v>
      </c>
      <c r="C7" s="2" t="s">
        <v>99</v>
      </c>
    </row>
    <row r="8" spans="1:3" ht="38.25" x14ac:dyDescent="0.2">
      <c r="A8" s="4" t="s">
        <v>26</v>
      </c>
      <c r="B8" s="3" t="s">
        <v>47</v>
      </c>
      <c r="C8" s="2" t="s">
        <v>100</v>
      </c>
    </row>
    <row r="9" spans="1:3" x14ac:dyDescent="0.2">
      <c r="A9" s="4" t="s">
        <v>58</v>
      </c>
      <c r="B9" s="3" t="s">
        <v>48</v>
      </c>
      <c r="C9" s="2" t="s">
        <v>69</v>
      </c>
    </row>
    <row r="10" spans="1:3" ht="25.5" x14ac:dyDescent="0.2">
      <c r="A10" s="4" t="s">
        <v>59</v>
      </c>
      <c r="B10" s="3" t="s">
        <v>49</v>
      </c>
      <c r="C10" s="2" t="s">
        <v>62</v>
      </c>
    </row>
    <row r="11" spans="1:3" ht="25.5" x14ac:dyDescent="0.2">
      <c r="A11" s="4" t="s">
        <v>60</v>
      </c>
      <c r="B11" s="3" t="s">
        <v>50</v>
      </c>
      <c r="C11" s="2" t="s">
        <v>63</v>
      </c>
    </row>
    <row r="12" spans="1:3" ht="38.25" x14ac:dyDescent="0.2">
      <c r="A12" s="4" t="s">
        <v>61</v>
      </c>
      <c r="B12" s="3" t="s">
        <v>51</v>
      </c>
      <c r="C12" s="2" t="s">
        <v>64</v>
      </c>
    </row>
    <row r="13" spans="1:3" ht="38.25" x14ac:dyDescent="0.2">
      <c r="A13" s="4" t="s">
        <v>27</v>
      </c>
      <c r="B13" s="3" t="s">
        <v>52</v>
      </c>
      <c r="C13" s="2" t="s">
        <v>65</v>
      </c>
    </row>
    <row r="14" spans="1:3" ht="25.5" x14ac:dyDescent="0.2">
      <c r="A14" s="4" t="s">
        <v>28</v>
      </c>
      <c r="B14" s="3" t="s">
        <v>53</v>
      </c>
      <c r="C14" s="2" t="s">
        <v>66</v>
      </c>
    </row>
    <row r="15" spans="1:3" ht="38.25" x14ac:dyDescent="0.2">
      <c r="A15" s="4" t="s">
        <v>29</v>
      </c>
      <c r="B15" s="3" t="s">
        <v>55</v>
      </c>
      <c r="C15" s="2" t="s">
        <v>67</v>
      </c>
    </row>
    <row r="16" spans="1:3" ht="38.25" x14ac:dyDescent="0.2">
      <c r="A16" s="4" t="s">
        <v>30</v>
      </c>
      <c r="B16" s="3" t="s">
        <v>56</v>
      </c>
      <c r="C16" s="2" t="s">
        <v>68</v>
      </c>
    </row>
    <row r="17" spans="1:3" x14ac:dyDescent="0.2">
      <c r="A17" s="4"/>
      <c r="B17" s="3" t="s">
        <v>129</v>
      </c>
      <c r="C17" s="132" t="s">
        <v>135</v>
      </c>
    </row>
    <row r="18" spans="1:3" x14ac:dyDescent="0.2">
      <c r="A18" s="4"/>
      <c r="B18" s="3" t="s">
        <v>130</v>
      </c>
      <c r="C18" s="132" t="s">
        <v>134</v>
      </c>
    </row>
    <row r="19" spans="1:3" ht="25.5" x14ac:dyDescent="0.2">
      <c r="A19" s="4"/>
      <c r="B19" s="3" t="s">
        <v>42</v>
      </c>
      <c r="C19" s="2" t="s">
        <v>128</v>
      </c>
    </row>
    <row r="20" spans="1:3" ht="25.5" x14ac:dyDescent="0.2">
      <c r="A20" s="4"/>
      <c r="B20" s="3" t="s">
        <v>57</v>
      </c>
      <c r="C20" s="2" t="s">
        <v>70</v>
      </c>
    </row>
    <row r="22" spans="1:3" ht="18" x14ac:dyDescent="0.2">
      <c r="A22" s="141" t="s">
        <v>136</v>
      </c>
      <c r="B22" s="141"/>
      <c r="C22" s="141"/>
    </row>
  </sheetData>
  <sheetProtection password="B37F" sheet="1" objects="1" scenarios="1" selectLockedCells="1" selectUnlockedCells="1"/>
  <mergeCells count="5">
    <mergeCell ref="A1:B1"/>
    <mergeCell ref="A2:A3"/>
    <mergeCell ref="B2:B3"/>
    <mergeCell ref="C2:C3"/>
    <mergeCell ref="A22:C22"/>
  </mergeCells>
  <phoneticPr fontId="0" type="noConversion"/>
  <pageMargins left="0.5" right="0.5" top="1" bottom="1" header="0.5" footer="0.5"/>
  <pageSetup orientation="portrait" r:id="rId1"/>
  <headerFooter alignWithMargins="0">
    <oddHeader xml:space="preserve">&amp;C&amp;"Arial,Bold"&amp;12Instructions for Idaho Worksheet for Determining Similarity Index
ID-CPA-006&amp;"Arial,Regular"&amp;10
</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IV500"/>
  <sheetViews>
    <sheetView showZeros="0" tabSelected="1" zoomScale="75" zoomScaleNormal="75" zoomScaleSheetLayoutView="55" workbookViewId="0">
      <selection activeCell="K74" sqref="K74"/>
    </sheetView>
  </sheetViews>
  <sheetFormatPr defaultRowHeight="12.75" x14ac:dyDescent="0.2"/>
  <cols>
    <col min="1" max="1" width="17.42578125" style="12" customWidth="1"/>
    <col min="2" max="2" width="16.7109375" style="12" customWidth="1"/>
    <col min="3" max="3" width="5.5703125" style="12" customWidth="1"/>
    <col min="4" max="4" width="6.28515625" style="12" customWidth="1"/>
    <col min="5" max="12" width="5.7109375" style="12" customWidth="1"/>
    <col min="13" max="13" width="8" style="12" customWidth="1"/>
    <col min="14" max="14" width="10.7109375" style="12" customWidth="1"/>
    <col min="15" max="16" width="6.5703125" style="12" customWidth="1"/>
    <col min="17" max="17" width="9.28515625" style="12" customWidth="1"/>
    <col min="18" max="18" width="8.140625" style="12" customWidth="1"/>
    <col min="19" max="22" width="7.7109375" style="12" customWidth="1"/>
    <col min="23" max="23" width="7.42578125" style="12" customWidth="1"/>
    <col min="24" max="24" width="8.42578125" style="12" customWidth="1"/>
    <col min="25" max="26" width="7.7109375" style="12" customWidth="1"/>
    <col min="27" max="32" width="9.140625" style="12" hidden="1" customWidth="1"/>
    <col min="33" max="16384" width="9.140625" style="12"/>
  </cols>
  <sheetData>
    <row r="1" spans="1:256" ht="12" customHeight="1" x14ac:dyDescent="0.2">
      <c r="A1" s="182"/>
      <c r="B1" s="183"/>
      <c r="C1" s="188" t="s">
        <v>3</v>
      </c>
      <c r="D1" s="189"/>
      <c r="E1" s="189"/>
      <c r="F1" s="189"/>
      <c r="G1" s="189"/>
      <c r="H1" s="189"/>
      <c r="I1" s="189"/>
      <c r="J1" s="189"/>
      <c r="K1" s="99"/>
      <c r="L1" s="99"/>
      <c r="M1" s="99"/>
      <c r="N1" s="99"/>
      <c r="O1" s="99"/>
      <c r="P1" s="99"/>
      <c r="Q1" s="99"/>
      <c r="R1" s="99"/>
      <c r="S1" s="99"/>
      <c r="T1" s="99"/>
      <c r="U1" s="99"/>
      <c r="V1" s="99"/>
      <c r="W1" s="99"/>
      <c r="X1" s="167" t="s">
        <v>4</v>
      </c>
      <c r="Y1" s="168"/>
      <c r="Z1" s="169"/>
    </row>
    <row r="2" spans="1:256" ht="15" customHeight="1" x14ac:dyDescent="0.3">
      <c r="A2" s="184"/>
      <c r="B2" s="185"/>
      <c r="C2" s="190"/>
      <c r="D2" s="191"/>
      <c r="E2" s="191"/>
      <c r="F2" s="191"/>
      <c r="G2" s="191"/>
      <c r="H2" s="191"/>
      <c r="I2" s="191"/>
      <c r="J2" s="191"/>
      <c r="K2" s="60"/>
      <c r="L2" s="60"/>
      <c r="M2" s="60"/>
      <c r="N2" s="60"/>
      <c r="O2" s="60"/>
      <c r="P2" s="60"/>
      <c r="Q2" s="60"/>
      <c r="R2" s="60"/>
      <c r="S2" s="60"/>
      <c r="T2" s="60"/>
      <c r="U2" s="60"/>
      <c r="V2" s="60"/>
      <c r="W2" s="60"/>
      <c r="X2" s="170"/>
      <c r="Y2" s="170"/>
      <c r="Z2" s="171"/>
    </row>
    <row r="3" spans="1:256" ht="15" customHeight="1" x14ac:dyDescent="0.25">
      <c r="A3" s="186"/>
      <c r="B3" s="187"/>
      <c r="C3" s="61" t="s">
        <v>2</v>
      </c>
      <c r="D3" s="100"/>
      <c r="E3" s="100"/>
      <c r="F3" s="100"/>
      <c r="G3" s="100"/>
      <c r="H3" s="100"/>
      <c r="I3" s="100"/>
      <c r="J3" s="100"/>
      <c r="K3" s="100"/>
      <c r="L3" s="100"/>
      <c r="M3" s="100"/>
      <c r="N3" s="100"/>
      <c r="O3" s="100"/>
      <c r="P3" s="100"/>
      <c r="Q3" s="100"/>
      <c r="R3" s="100"/>
      <c r="S3" s="100"/>
      <c r="T3" s="100"/>
      <c r="U3" s="100"/>
      <c r="V3" s="100"/>
      <c r="W3" s="100"/>
      <c r="X3" s="100"/>
      <c r="Y3" s="101"/>
      <c r="Z3" s="102" t="s">
        <v>5</v>
      </c>
    </row>
    <row r="4" spans="1:256" s="37" customFormat="1" ht="12" customHeight="1" x14ac:dyDescent="0.2">
      <c r="A4" s="62" t="s">
        <v>110</v>
      </c>
      <c r="B4" s="103"/>
      <c r="C4" s="103"/>
      <c r="D4" s="103"/>
      <c r="E4" s="63"/>
      <c r="F4" s="64"/>
      <c r="G4" s="64"/>
      <c r="H4" s="64"/>
      <c r="I4" s="64"/>
      <c r="J4" s="64"/>
      <c r="K4" s="64"/>
      <c r="L4" s="64"/>
      <c r="M4" s="64"/>
      <c r="N4" s="64"/>
      <c r="O4" s="64"/>
      <c r="P4" s="64"/>
      <c r="Q4" s="64"/>
      <c r="R4" s="64"/>
      <c r="S4" s="64"/>
      <c r="T4" s="64"/>
      <c r="U4" s="64"/>
      <c r="V4" s="64"/>
      <c r="W4" s="157" t="s">
        <v>132</v>
      </c>
      <c r="X4" s="158"/>
      <c r="Y4" s="158"/>
      <c r="Z4" s="159"/>
    </row>
    <row r="5" spans="1:256" s="10" customFormat="1" ht="12.95" customHeight="1" x14ac:dyDescent="0.25">
      <c r="A5" s="48"/>
      <c r="B5" s="35"/>
      <c r="C5" s="35"/>
      <c r="D5" s="35"/>
      <c r="E5" s="35"/>
      <c r="F5" s="35"/>
      <c r="G5" s="35"/>
      <c r="H5" s="35"/>
      <c r="I5" s="35"/>
      <c r="J5" s="35"/>
      <c r="K5" s="35"/>
      <c r="L5" s="35"/>
      <c r="M5" s="35"/>
      <c r="N5" s="35"/>
      <c r="O5" s="35"/>
      <c r="P5" s="35"/>
      <c r="Q5" s="35"/>
      <c r="R5" s="35"/>
      <c r="S5" s="35"/>
      <c r="T5" s="179" t="s">
        <v>82</v>
      </c>
      <c r="U5" s="179"/>
      <c r="V5" s="35"/>
      <c r="W5" s="35"/>
      <c r="X5" s="35"/>
      <c r="Y5" s="35"/>
      <c r="Z5" s="49"/>
    </row>
    <row r="6" spans="1:256" s="11" customFormat="1" ht="14.1" customHeight="1" x14ac:dyDescent="0.2">
      <c r="A6" s="50" t="s">
        <v>77</v>
      </c>
      <c r="B6" s="178"/>
      <c r="C6" s="178"/>
      <c r="D6" s="178"/>
      <c r="E6" s="178"/>
      <c r="F6" s="178"/>
      <c r="G6" s="178"/>
      <c r="H6" s="165" t="s">
        <v>81</v>
      </c>
      <c r="I6" s="248"/>
      <c r="J6" s="177"/>
      <c r="K6" s="177"/>
      <c r="L6" s="177"/>
      <c r="M6" s="23"/>
      <c r="N6" s="96" t="s">
        <v>112</v>
      </c>
      <c r="O6" s="178"/>
      <c r="P6" s="178"/>
      <c r="Q6" s="178"/>
      <c r="R6" s="96"/>
      <c r="S6" s="180"/>
      <c r="T6" s="181"/>
      <c r="U6" s="181"/>
      <c r="V6" s="253"/>
      <c r="W6" s="96"/>
      <c r="X6" s="165" t="s">
        <v>89</v>
      </c>
      <c r="Y6" s="166"/>
      <c r="Z6" s="58"/>
    </row>
    <row r="7" spans="1:256" s="11" customFormat="1" ht="14.1" customHeight="1" x14ac:dyDescent="0.2">
      <c r="A7" s="51"/>
      <c r="B7" s="21"/>
      <c r="C7" s="96"/>
      <c r="D7" s="96"/>
      <c r="E7" s="96"/>
      <c r="F7" s="96"/>
      <c r="G7" s="96"/>
      <c r="H7" s="96"/>
      <c r="I7" s="97"/>
      <c r="J7" s="97"/>
      <c r="K7" s="97"/>
      <c r="L7" s="96"/>
      <c r="M7" s="97"/>
      <c r="N7" s="96"/>
      <c r="O7" s="96"/>
      <c r="P7" s="96"/>
      <c r="Q7" s="96"/>
      <c r="R7" s="96"/>
      <c r="S7" s="156"/>
      <c r="T7" s="164"/>
      <c r="U7" s="164"/>
      <c r="V7" s="176"/>
      <c r="W7" s="96"/>
      <c r="X7" s="96"/>
      <c r="Y7" s="97"/>
      <c r="Z7" s="52"/>
      <c r="AA7" s="12"/>
    </row>
    <row r="8" spans="1:256" s="11" customFormat="1" ht="14.1" customHeight="1" x14ac:dyDescent="0.2">
      <c r="A8" s="50"/>
      <c r="B8" s="96"/>
      <c r="C8" s="96"/>
      <c r="D8" s="96"/>
      <c r="E8" s="96"/>
      <c r="F8" s="96"/>
      <c r="G8" s="96"/>
      <c r="H8" s="96"/>
      <c r="I8" s="97"/>
      <c r="J8" s="97"/>
      <c r="K8" s="97"/>
      <c r="L8" s="96"/>
      <c r="M8" s="97"/>
      <c r="N8" s="96"/>
      <c r="O8" s="96"/>
      <c r="P8" s="96"/>
      <c r="Q8" s="96"/>
      <c r="R8" s="96"/>
      <c r="S8" s="155"/>
      <c r="T8" s="163"/>
      <c r="U8" s="163"/>
      <c r="V8" s="174"/>
      <c r="W8" s="96"/>
      <c r="X8" s="96"/>
      <c r="Y8" s="97"/>
      <c r="Z8" s="52"/>
    </row>
    <row r="9" spans="1:256" ht="14.1" customHeight="1" x14ac:dyDescent="0.2">
      <c r="A9" s="50" t="s">
        <v>111</v>
      </c>
      <c r="B9" s="178"/>
      <c r="C9" s="178"/>
      <c r="D9" s="178"/>
      <c r="E9" s="178"/>
      <c r="F9" s="178"/>
      <c r="G9" s="178"/>
      <c r="H9" s="165" t="s">
        <v>78</v>
      </c>
      <c r="I9" s="165"/>
      <c r="J9" s="178"/>
      <c r="K9" s="178"/>
      <c r="L9" s="178"/>
      <c r="M9" s="104"/>
      <c r="N9" s="96" t="s">
        <v>124</v>
      </c>
      <c r="O9" s="178"/>
      <c r="P9" s="178"/>
      <c r="Q9" s="178"/>
      <c r="R9" s="252" t="s">
        <v>83</v>
      </c>
      <c r="S9" s="156"/>
      <c r="T9" s="164"/>
      <c r="U9" s="164"/>
      <c r="V9" s="176"/>
      <c r="W9" s="251" t="s">
        <v>60</v>
      </c>
      <c r="X9" s="165" t="s">
        <v>88</v>
      </c>
      <c r="Y9" s="166"/>
      <c r="Z9" s="58"/>
      <c r="AA9" s="11"/>
    </row>
    <row r="10" spans="1:256" s="11" customFormat="1" ht="14.1" customHeight="1" x14ac:dyDescent="0.2">
      <c r="A10" s="50"/>
      <c r="B10" s="96"/>
      <c r="C10" s="96"/>
      <c r="D10" s="96"/>
      <c r="E10" s="96"/>
      <c r="F10" s="96"/>
      <c r="G10" s="96"/>
      <c r="H10" s="96"/>
      <c r="I10" s="96"/>
      <c r="J10" s="96"/>
      <c r="K10" s="96"/>
      <c r="L10" s="96"/>
      <c r="M10" s="96"/>
      <c r="N10" s="96"/>
      <c r="O10" s="254"/>
      <c r="P10" s="254"/>
      <c r="Q10" s="254"/>
      <c r="R10" s="252"/>
      <c r="S10" s="155"/>
      <c r="T10" s="163"/>
      <c r="U10" s="163"/>
      <c r="V10" s="174"/>
      <c r="W10" s="251"/>
      <c r="X10" s="165"/>
      <c r="Y10" s="166"/>
      <c r="Z10" s="52"/>
    </row>
    <row r="11" spans="1:256" s="11" customFormat="1" ht="14.1" customHeight="1" x14ac:dyDescent="0.2">
      <c r="A11" s="50"/>
      <c r="B11" s="96"/>
      <c r="C11" s="96"/>
      <c r="D11" s="96"/>
      <c r="E11" s="96"/>
      <c r="F11" s="96"/>
      <c r="G11" s="96"/>
      <c r="H11" s="96"/>
      <c r="I11" s="96"/>
      <c r="J11" s="96"/>
      <c r="K11" s="96"/>
      <c r="L11" s="96"/>
      <c r="M11" s="96"/>
      <c r="N11" s="96"/>
      <c r="O11" s="96"/>
      <c r="P11" s="96"/>
      <c r="Q11" s="96"/>
      <c r="R11" s="20"/>
      <c r="S11" s="156"/>
      <c r="T11" s="164"/>
      <c r="U11" s="164"/>
      <c r="V11" s="176"/>
      <c r="W11" s="98"/>
      <c r="X11" s="96"/>
      <c r="Y11" s="97"/>
      <c r="Z11" s="52"/>
      <c r="AA11" s="12"/>
    </row>
    <row r="12" spans="1:256" s="11" customFormat="1" ht="14.1" customHeight="1" x14ac:dyDescent="0.2">
      <c r="A12" s="50" t="s">
        <v>85</v>
      </c>
      <c r="B12" s="178"/>
      <c r="C12" s="178"/>
      <c r="D12" s="178"/>
      <c r="E12" s="178"/>
      <c r="F12" s="178"/>
      <c r="G12" s="165" t="s">
        <v>86</v>
      </c>
      <c r="H12" s="166"/>
      <c r="I12" s="178"/>
      <c r="J12" s="178"/>
      <c r="K12" s="229" t="s">
        <v>87</v>
      </c>
      <c r="L12" s="229"/>
      <c r="M12" s="229"/>
      <c r="N12" s="229"/>
      <c r="O12" s="178"/>
      <c r="P12" s="178"/>
      <c r="Q12" s="178"/>
      <c r="R12" s="105"/>
      <c r="S12" s="155"/>
      <c r="T12" s="163"/>
      <c r="U12" s="163"/>
      <c r="V12" s="174"/>
      <c r="W12" s="98"/>
      <c r="X12" s="165" t="s">
        <v>90</v>
      </c>
      <c r="Y12" s="166"/>
      <c r="Z12" s="58"/>
      <c r="AA12" s="14"/>
      <c r="AB12" s="12"/>
    </row>
    <row r="13" spans="1:256" s="22" customFormat="1" ht="14.1" customHeight="1" x14ac:dyDescent="0.2">
      <c r="A13" s="53"/>
      <c r="B13" s="6"/>
      <c r="C13" s="7"/>
      <c r="D13" s="7"/>
      <c r="E13" s="8"/>
      <c r="F13" s="9"/>
      <c r="G13" s="9"/>
      <c r="H13" s="9"/>
      <c r="I13" s="9"/>
      <c r="J13" s="9"/>
      <c r="K13" s="9"/>
      <c r="L13" s="9"/>
      <c r="M13" s="9"/>
      <c r="N13" s="9"/>
      <c r="O13" s="9"/>
      <c r="P13" s="9"/>
      <c r="Q13" s="9"/>
      <c r="R13" s="9"/>
      <c r="S13" s="172"/>
      <c r="T13" s="173"/>
      <c r="U13" s="173"/>
      <c r="V13" s="175"/>
      <c r="W13" s="9"/>
      <c r="X13" s="96"/>
      <c r="Y13" s="96"/>
      <c r="Z13" s="54"/>
      <c r="AA13" s="6"/>
      <c r="AB13" s="27"/>
    </row>
    <row r="14" spans="1:256" s="6" customFormat="1" ht="14.1" customHeight="1" x14ac:dyDescent="0.25">
      <c r="A14" s="53"/>
      <c r="S14" s="13"/>
      <c r="T14" s="249" t="s">
        <v>84</v>
      </c>
      <c r="U14" s="249"/>
      <c r="V14" s="13"/>
      <c r="W14" s="13"/>
      <c r="X14" s="165"/>
      <c r="Y14" s="248"/>
      <c r="Z14" s="54"/>
      <c r="AA14" s="24"/>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row>
    <row r="15" spans="1:256" s="6" customFormat="1" ht="2.1" customHeight="1" x14ac:dyDescent="0.25">
      <c r="A15" s="55"/>
      <c r="B15" s="15"/>
      <c r="C15" s="15"/>
      <c r="D15" s="15"/>
      <c r="E15" s="15"/>
      <c r="F15" s="15"/>
      <c r="G15" s="15"/>
      <c r="H15" s="15"/>
      <c r="I15" s="15"/>
      <c r="J15" s="15"/>
      <c r="K15" s="15"/>
      <c r="L15" s="15"/>
      <c r="M15" s="15"/>
      <c r="N15" s="15"/>
      <c r="O15" s="15"/>
      <c r="P15" s="15"/>
      <c r="Q15" s="15"/>
      <c r="R15" s="15"/>
      <c r="S15" s="15"/>
      <c r="T15" s="250"/>
      <c r="U15" s="250"/>
      <c r="V15" s="15"/>
      <c r="W15" s="15"/>
      <c r="X15" s="15"/>
      <c r="Y15" s="15"/>
      <c r="Z15" s="56"/>
      <c r="AA15" s="22"/>
      <c r="AB15" s="24"/>
    </row>
    <row r="16" spans="1:256" s="40" customFormat="1" ht="15" customHeight="1" x14ac:dyDescent="0.2">
      <c r="A16" s="106" t="s">
        <v>19</v>
      </c>
      <c r="B16" s="107"/>
      <c r="C16" s="107"/>
      <c r="D16" s="107"/>
      <c r="E16" s="107"/>
      <c r="F16" s="107"/>
      <c r="G16" s="107"/>
      <c r="H16" s="107"/>
      <c r="I16" s="107"/>
      <c r="J16" s="107"/>
      <c r="K16" s="107"/>
      <c r="L16" s="107"/>
      <c r="M16" s="108" t="s">
        <v>21</v>
      </c>
      <c r="N16" s="108" t="s">
        <v>22</v>
      </c>
      <c r="O16" s="108" t="s">
        <v>24</v>
      </c>
      <c r="P16" s="108" t="s">
        <v>25</v>
      </c>
      <c r="Q16" s="108" t="s">
        <v>79</v>
      </c>
      <c r="R16" s="108" t="s">
        <v>26</v>
      </c>
      <c r="S16" s="108" t="s">
        <v>34</v>
      </c>
      <c r="T16" s="108" t="s">
        <v>35</v>
      </c>
      <c r="U16" s="108" t="s">
        <v>36</v>
      </c>
      <c r="V16" s="108" t="s">
        <v>37</v>
      </c>
      <c r="W16" s="108" t="s">
        <v>27</v>
      </c>
      <c r="X16" s="108" t="s">
        <v>28</v>
      </c>
      <c r="Y16" s="108" t="s">
        <v>29</v>
      </c>
      <c r="Z16" s="109" t="s">
        <v>30</v>
      </c>
      <c r="AA16" s="38"/>
      <c r="AB16" s="33"/>
      <c r="AC16" s="39"/>
      <c r="AD16" s="39"/>
      <c r="AE16" s="39"/>
      <c r="AF16" s="39"/>
      <c r="AG16" s="39"/>
      <c r="AH16" s="33"/>
      <c r="AI16" s="33"/>
      <c r="AJ16" s="33"/>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c r="CG16" s="39"/>
      <c r="CH16" s="39"/>
      <c r="CI16" s="39"/>
      <c r="CJ16" s="39"/>
      <c r="CK16" s="39"/>
      <c r="CL16" s="39"/>
      <c r="CM16" s="39"/>
      <c r="CN16" s="39"/>
      <c r="CO16" s="39"/>
      <c r="CP16" s="39"/>
      <c r="CQ16" s="39"/>
      <c r="CR16" s="39"/>
      <c r="CS16" s="39"/>
      <c r="CT16" s="39"/>
      <c r="CU16" s="39"/>
      <c r="CV16" s="39"/>
      <c r="CW16" s="39"/>
      <c r="CX16" s="39"/>
      <c r="CY16" s="39"/>
      <c r="CZ16" s="39"/>
      <c r="DA16" s="39"/>
      <c r="DB16" s="39"/>
      <c r="DC16" s="39"/>
      <c r="DD16" s="39"/>
      <c r="DE16" s="39"/>
      <c r="DF16" s="39"/>
      <c r="DG16" s="39"/>
      <c r="DH16" s="39"/>
      <c r="DI16" s="39"/>
      <c r="DJ16" s="39"/>
      <c r="DK16" s="39"/>
      <c r="DL16" s="39"/>
      <c r="DM16" s="39"/>
      <c r="DN16" s="39"/>
      <c r="DO16" s="39"/>
      <c r="DP16" s="39"/>
      <c r="DQ16" s="39"/>
      <c r="DR16" s="39"/>
      <c r="DS16" s="39"/>
      <c r="DT16" s="39"/>
      <c r="DU16" s="39"/>
      <c r="DV16" s="39"/>
      <c r="DW16" s="39"/>
      <c r="DX16" s="39"/>
      <c r="DY16" s="39"/>
      <c r="DZ16" s="39"/>
      <c r="EA16" s="39"/>
      <c r="EB16" s="39"/>
      <c r="EC16" s="39"/>
      <c r="ED16" s="39"/>
      <c r="EE16" s="39"/>
      <c r="EF16" s="39"/>
      <c r="EG16" s="39"/>
      <c r="EH16" s="39"/>
      <c r="EI16" s="39"/>
      <c r="EJ16" s="39"/>
      <c r="EK16" s="39"/>
      <c r="EL16" s="39"/>
      <c r="EM16" s="39"/>
      <c r="EN16" s="39"/>
      <c r="EO16" s="39"/>
      <c r="EP16" s="39"/>
      <c r="EQ16" s="39"/>
      <c r="ER16" s="39"/>
      <c r="ES16" s="39"/>
      <c r="ET16" s="39"/>
      <c r="EU16" s="39"/>
      <c r="EV16" s="39"/>
      <c r="EW16" s="39"/>
      <c r="EX16" s="39"/>
      <c r="EY16" s="39"/>
      <c r="EZ16" s="39"/>
      <c r="FA16" s="39"/>
      <c r="FB16" s="39"/>
      <c r="FC16" s="39"/>
      <c r="FD16" s="39"/>
      <c r="FE16" s="39"/>
      <c r="FF16" s="39"/>
      <c r="FG16" s="39"/>
      <c r="FH16" s="39"/>
      <c r="FI16" s="39"/>
      <c r="FJ16" s="39"/>
      <c r="FK16" s="39"/>
      <c r="FL16" s="39"/>
      <c r="FM16" s="39"/>
      <c r="FN16" s="39"/>
      <c r="FO16" s="39"/>
      <c r="FP16" s="39"/>
      <c r="FQ16" s="39"/>
      <c r="FR16" s="39"/>
      <c r="FS16" s="39"/>
      <c r="FT16" s="39"/>
      <c r="FU16" s="39"/>
      <c r="FV16" s="39"/>
      <c r="FW16" s="39"/>
      <c r="FX16" s="39"/>
      <c r="FY16" s="39"/>
      <c r="FZ16" s="39"/>
      <c r="GA16" s="39"/>
      <c r="GB16" s="39"/>
      <c r="GC16" s="39"/>
      <c r="GD16" s="39"/>
      <c r="GE16" s="39"/>
      <c r="GF16" s="39"/>
      <c r="GG16" s="39"/>
      <c r="GH16" s="39"/>
      <c r="GI16" s="39"/>
      <c r="GJ16" s="39"/>
      <c r="GK16" s="39"/>
      <c r="GL16" s="39"/>
      <c r="GM16" s="39"/>
      <c r="GN16" s="39"/>
      <c r="GO16" s="39"/>
      <c r="GP16" s="39"/>
      <c r="GQ16" s="39"/>
      <c r="GR16" s="39"/>
      <c r="GS16" s="39"/>
      <c r="GT16" s="39"/>
      <c r="GU16" s="39"/>
      <c r="GV16" s="39"/>
      <c r="GW16" s="39"/>
      <c r="GX16" s="39"/>
      <c r="GY16" s="39"/>
      <c r="GZ16" s="39"/>
      <c r="HA16" s="39"/>
      <c r="HB16" s="39"/>
      <c r="HC16" s="39"/>
      <c r="HD16" s="39"/>
      <c r="HE16" s="39"/>
      <c r="HF16" s="39"/>
      <c r="HG16" s="39"/>
      <c r="HH16" s="39"/>
      <c r="HI16" s="39"/>
      <c r="HJ16" s="39"/>
      <c r="HK16" s="39"/>
      <c r="HL16" s="39"/>
      <c r="HM16" s="39"/>
      <c r="HN16" s="39"/>
      <c r="HO16" s="39"/>
      <c r="HP16" s="39"/>
      <c r="HQ16" s="39"/>
      <c r="HR16" s="39"/>
      <c r="HS16" s="39"/>
      <c r="HT16" s="39"/>
      <c r="HU16" s="39"/>
      <c r="HV16" s="39"/>
      <c r="HW16" s="39"/>
      <c r="HX16" s="39"/>
      <c r="HY16" s="39"/>
      <c r="HZ16" s="39"/>
      <c r="IA16" s="39"/>
      <c r="IB16" s="39"/>
      <c r="IC16" s="39"/>
      <c r="ID16" s="39"/>
      <c r="IE16" s="39"/>
      <c r="IF16" s="39"/>
      <c r="IG16" s="39"/>
      <c r="IH16" s="39"/>
      <c r="II16" s="39"/>
      <c r="IJ16" s="39"/>
      <c r="IK16" s="39"/>
      <c r="IL16" s="39"/>
      <c r="IM16" s="39"/>
      <c r="IN16" s="39"/>
      <c r="IO16" s="39"/>
      <c r="IP16" s="39"/>
      <c r="IQ16" s="39"/>
      <c r="IR16" s="39"/>
      <c r="IS16" s="39"/>
      <c r="IT16" s="39"/>
      <c r="IU16" s="39"/>
      <c r="IV16" s="39"/>
    </row>
    <row r="17" spans="1:31" s="33" customFormat="1" ht="18.95" customHeight="1" x14ac:dyDescent="0.2">
      <c r="A17" s="110"/>
      <c r="B17" s="111"/>
      <c r="C17" s="111"/>
      <c r="D17" s="111"/>
      <c r="E17" s="111"/>
      <c r="F17" s="111"/>
      <c r="G17" s="111"/>
      <c r="H17" s="111"/>
      <c r="I17" s="111"/>
      <c r="J17" s="111"/>
      <c r="K17" s="111"/>
      <c r="L17" s="111"/>
      <c r="M17" s="204" t="s">
        <v>91</v>
      </c>
      <c r="N17" s="111"/>
      <c r="O17" s="230" t="s">
        <v>23</v>
      </c>
      <c r="P17" s="231"/>
      <c r="Q17" s="232"/>
      <c r="R17" s="192" t="s">
        <v>116</v>
      </c>
      <c r="S17" s="192" t="s">
        <v>16</v>
      </c>
      <c r="T17" s="192" t="s">
        <v>17</v>
      </c>
      <c r="U17" s="192" t="s">
        <v>109</v>
      </c>
      <c r="V17" s="192" t="s">
        <v>108</v>
      </c>
      <c r="W17" s="192" t="s">
        <v>115</v>
      </c>
      <c r="X17" s="192" t="s">
        <v>117</v>
      </c>
      <c r="Y17" s="192" t="s">
        <v>93</v>
      </c>
      <c r="Z17" s="160" t="s">
        <v>94</v>
      </c>
      <c r="AA17" s="38"/>
      <c r="AB17" s="41" t="s">
        <v>71</v>
      </c>
    </row>
    <row r="18" spans="1:31" s="38" customFormat="1" ht="27" customHeight="1" x14ac:dyDescent="0.2">
      <c r="A18" s="195" t="s">
        <v>113</v>
      </c>
      <c r="B18" s="196"/>
      <c r="C18" s="199" t="s">
        <v>103</v>
      </c>
      <c r="D18" s="200"/>
      <c r="E18" s="200"/>
      <c r="F18" s="200"/>
      <c r="G18" s="200"/>
      <c r="H18" s="200"/>
      <c r="I18" s="65">
        <v>10</v>
      </c>
      <c r="J18" s="112"/>
      <c r="K18" s="112"/>
      <c r="L18" s="113"/>
      <c r="M18" s="205"/>
      <c r="N18" s="114" t="s">
        <v>104</v>
      </c>
      <c r="O18" s="192" t="s">
        <v>31</v>
      </c>
      <c r="P18" s="192" t="s">
        <v>32</v>
      </c>
      <c r="Q18" s="192" t="s">
        <v>114</v>
      </c>
      <c r="R18" s="224"/>
      <c r="S18" s="224"/>
      <c r="T18" s="224"/>
      <c r="U18" s="224"/>
      <c r="V18" s="224"/>
      <c r="W18" s="224"/>
      <c r="X18" s="224"/>
      <c r="Y18" s="224"/>
      <c r="Z18" s="161"/>
      <c r="AB18" s="42" t="s">
        <v>72</v>
      </c>
      <c r="AC18" s="43" t="s">
        <v>73</v>
      </c>
      <c r="AD18" s="43"/>
      <c r="AE18" s="43"/>
    </row>
    <row r="19" spans="1:31" s="38" customFormat="1" ht="27" customHeight="1" x14ac:dyDescent="0.2">
      <c r="A19" s="197"/>
      <c r="B19" s="198"/>
      <c r="C19" s="201" t="s">
        <v>20</v>
      </c>
      <c r="D19" s="202"/>
      <c r="E19" s="202"/>
      <c r="F19" s="202"/>
      <c r="G19" s="202"/>
      <c r="H19" s="202"/>
      <c r="I19" s="202"/>
      <c r="J19" s="202"/>
      <c r="K19" s="202"/>
      <c r="L19" s="203"/>
      <c r="M19" s="205"/>
      <c r="N19" s="66">
        <v>9.6</v>
      </c>
      <c r="O19" s="213"/>
      <c r="P19" s="213"/>
      <c r="Q19" s="213"/>
      <c r="R19" s="224"/>
      <c r="S19" s="224"/>
      <c r="T19" s="224"/>
      <c r="U19" s="224"/>
      <c r="V19" s="224"/>
      <c r="W19" s="224"/>
      <c r="X19" s="224"/>
      <c r="Y19" s="224"/>
      <c r="Z19" s="161"/>
      <c r="AA19" s="33"/>
      <c r="AB19" s="42" t="s">
        <v>121</v>
      </c>
      <c r="AC19" s="43" t="s">
        <v>74</v>
      </c>
    </row>
    <row r="20" spans="1:31" s="47" customFormat="1" ht="27" customHeight="1" x14ac:dyDescent="0.2">
      <c r="A20" s="211" t="s">
        <v>122</v>
      </c>
      <c r="B20" s="212"/>
      <c r="C20" s="115" t="s">
        <v>6</v>
      </c>
      <c r="D20" s="115" t="s">
        <v>7</v>
      </c>
      <c r="E20" s="115" t="s">
        <v>8</v>
      </c>
      <c r="F20" s="115" t="s">
        <v>9</v>
      </c>
      <c r="G20" s="115" t="s">
        <v>10</v>
      </c>
      <c r="H20" s="115" t="s">
        <v>11</v>
      </c>
      <c r="I20" s="115" t="s">
        <v>12</v>
      </c>
      <c r="J20" s="115" t="s">
        <v>13</v>
      </c>
      <c r="K20" s="115" t="s">
        <v>14</v>
      </c>
      <c r="L20" s="115" t="s">
        <v>15</v>
      </c>
      <c r="M20" s="206"/>
      <c r="N20" s="116" t="s">
        <v>105</v>
      </c>
      <c r="O20" s="214"/>
      <c r="P20" s="214"/>
      <c r="Q20" s="214"/>
      <c r="R20" s="225"/>
      <c r="S20" s="225"/>
      <c r="T20" s="225"/>
      <c r="U20" s="225"/>
      <c r="V20" s="225"/>
      <c r="W20" s="117" t="s">
        <v>133</v>
      </c>
      <c r="X20" s="244"/>
      <c r="Y20" s="244"/>
      <c r="Z20" s="162"/>
      <c r="AA20" s="44"/>
      <c r="AB20" s="45">
        <v>1.92</v>
      </c>
      <c r="AC20" s="46">
        <v>50</v>
      </c>
    </row>
    <row r="21" spans="1:31" ht="21.95" customHeight="1" x14ac:dyDescent="0.25">
      <c r="A21" s="142"/>
      <c r="B21" s="143"/>
      <c r="C21" s="87"/>
      <c r="D21" s="87"/>
      <c r="E21" s="87"/>
      <c r="F21" s="87"/>
      <c r="G21" s="87"/>
      <c r="H21" s="87"/>
      <c r="I21" s="87"/>
      <c r="J21" s="87"/>
      <c r="K21" s="87"/>
      <c r="L21" s="87"/>
      <c r="M21" s="118" t="str">
        <f>IF(A21=0,"",((SUM(C21:L21)/$I$18)*$N21))</f>
        <v/>
      </c>
      <c r="N21" s="119" t="str">
        <f t="shared" ref="N21:N41" si="0">IF(A21="","",VLOOKUP($N$19,$AB$20:$AC$25,2))</f>
        <v/>
      </c>
      <c r="O21" s="120"/>
      <c r="P21" s="120"/>
      <c r="Q21" s="121" t="str">
        <f>IF(P21="","",P21/O21)</f>
        <v/>
      </c>
      <c r="R21" s="118" t="str">
        <f>IF(Q21="","",M21*Q21)</f>
        <v/>
      </c>
      <c r="S21" s="122"/>
      <c r="T21" s="122"/>
      <c r="U21" s="122"/>
      <c r="V21" s="122"/>
      <c r="W21" s="119" t="str">
        <f>IF(V21="","",S21/(T21*U21*V21))</f>
        <v/>
      </c>
      <c r="X21" s="123" t="str">
        <f>IF(W21="","",R21*W21)</f>
        <v/>
      </c>
      <c r="Y21" s="120"/>
      <c r="Z21" s="124" t="str">
        <f>IF(Y21="","",IF(X21&lt;Y21,X21,Y21))</f>
        <v/>
      </c>
      <c r="AB21" s="16">
        <v>2.4</v>
      </c>
      <c r="AC21" s="17">
        <v>40</v>
      </c>
    </row>
    <row r="22" spans="1:31" ht="21.95" customHeight="1" x14ac:dyDescent="0.25">
      <c r="A22" s="142"/>
      <c r="B22" s="143"/>
      <c r="C22" s="87"/>
      <c r="D22" s="87"/>
      <c r="E22" s="87"/>
      <c r="F22" s="87"/>
      <c r="G22" s="87"/>
      <c r="H22" s="87"/>
      <c r="I22" s="87"/>
      <c r="J22" s="87"/>
      <c r="K22" s="87"/>
      <c r="L22" s="87"/>
      <c r="M22" s="118" t="str">
        <f t="shared" ref="M22:M41" si="1">IF(A22=0,"",((SUM(C22:L22)/$I$18)*$N22))</f>
        <v/>
      </c>
      <c r="N22" s="119" t="str">
        <f t="shared" si="0"/>
        <v/>
      </c>
      <c r="O22" s="120"/>
      <c r="P22" s="120"/>
      <c r="Q22" s="121" t="str">
        <f t="shared" ref="Q22:Q41" si="2">IF(P22="","",P22/O22)</f>
        <v/>
      </c>
      <c r="R22" s="118" t="str">
        <f t="shared" ref="R22:R41" si="3">IF(Q22="","",M22*Q22)</f>
        <v/>
      </c>
      <c r="S22" s="122"/>
      <c r="T22" s="122"/>
      <c r="U22" s="122"/>
      <c r="V22" s="122"/>
      <c r="W22" s="119" t="str">
        <f t="shared" ref="W22:W41" si="4">IF(V22="","",S22/(T22*U22*V22))</f>
        <v/>
      </c>
      <c r="X22" s="123" t="str">
        <f>IF(W22="","",R22*W22)</f>
        <v/>
      </c>
      <c r="Y22" s="120"/>
      <c r="Z22" s="124" t="str">
        <f>IF(Y22="","",IF(X22&lt;Y22,X22,Y22))</f>
        <v/>
      </c>
      <c r="AB22" s="16">
        <v>4.8</v>
      </c>
      <c r="AC22" s="17">
        <v>20</v>
      </c>
    </row>
    <row r="23" spans="1:31" ht="21.95" customHeight="1" x14ac:dyDescent="0.25">
      <c r="A23" s="142"/>
      <c r="B23" s="143"/>
      <c r="C23" s="87"/>
      <c r="D23" s="87"/>
      <c r="E23" s="87"/>
      <c r="F23" s="87"/>
      <c r="G23" s="87"/>
      <c r="H23" s="87"/>
      <c r="I23" s="87"/>
      <c r="J23" s="87"/>
      <c r="K23" s="87"/>
      <c r="L23" s="87"/>
      <c r="M23" s="118" t="str">
        <f t="shared" si="1"/>
        <v/>
      </c>
      <c r="N23" s="119" t="str">
        <f t="shared" si="0"/>
        <v/>
      </c>
      <c r="O23" s="120"/>
      <c r="P23" s="120"/>
      <c r="Q23" s="121" t="str">
        <f t="shared" si="2"/>
        <v/>
      </c>
      <c r="R23" s="118" t="str">
        <f t="shared" si="3"/>
        <v/>
      </c>
      <c r="S23" s="122"/>
      <c r="T23" s="122"/>
      <c r="U23" s="122"/>
      <c r="V23" s="122"/>
      <c r="W23" s="119" t="str">
        <f t="shared" si="4"/>
        <v/>
      </c>
      <c r="X23" s="123" t="str">
        <f>IF(W23="","",R23*W23)</f>
        <v/>
      </c>
      <c r="Y23" s="120"/>
      <c r="Z23" s="124" t="str">
        <f t="shared" ref="Z23:Z41" si="5">IF(Y23="","",IF(X23&lt;Y23,X23,Y23))</f>
        <v/>
      </c>
      <c r="AB23" s="16">
        <v>9.6</v>
      </c>
      <c r="AC23" s="17">
        <v>10</v>
      </c>
    </row>
    <row r="24" spans="1:31" ht="21.95" customHeight="1" x14ac:dyDescent="0.25">
      <c r="A24" s="142"/>
      <c r="B24" s="143"/>
      <c r="C24" s="87"/>
      <c r="D24" s="87"/>
      <c r="E24" s="87"/>
      <c r="F24" s="87"/>
      <c r="G24" s="87"/>
      <c r="H24" s="87"/>
      <c r="I24" s="87"/>
      <c r="J24" s="87"/>
      <c r="K24" s="87"/>
      <c r="L24" s="87"/>
      <c r="M24" s="118" t="str">
        <f t="shared" si="1"/>
        <v/>
      </c>
      <c r="N24" s="119" t="str">
        <f t="shared" si="0"/>
        <v/>
      </c>
      <c r="O24" s="120"/>
      <c r="P24" s="120"/>
      <c r="Q24" s="121" t="str">
        <f t="shared" si="2"/>
        <v/>
      </c>
      <c r="R24" s="118" t="str">
        <f t="shared" si="3"/>
        <v/>
      </c>
      <c r="S24" s="122"/>
      <c r="T24" s="122"/>
      <c r="U24" s="122"/>
      <c r="V24" s="122"/>
      <c r="W24" s="119" t="str">
        <f t="shared" si="4"/>
        <v/>
      </c>
      <c r="X24" s="123" t="str">
        <f t="shared" ref="X24:X41" si="6">IF(W24="","",R24*W24)</f>
        <v/>
      </c>
      <c r="Y24" s="120"/>
      <c r="Z24" s="124" t="str">
        <f t="shared" si="5"/>
        <v/>
      </c>
      <c r="AB24" s="16">
        <v>21</v>
      </c>
      <c r="AC24" s="16">
        <v>4.57</v>
      </c>
    </row>
    <row r="25" spans="1:31" ht="21.95" customHeight="1" x14ac:dyDescent="0.25">
      <c r="A25" s="142"/>
      <c r="B25" s="143"/>
      <c r="C25" s="87"/>
      <c r="D25" s="87"/>
      <c r="E25" s="87"/>
      <c r="F25" s="87"/>
      <c r="G25" s="87"/>
      <c r="H25" s="87"/>
      <c r="I25" s="87"/>
      <c r="J25" s="87"/>
      <c r="K25" s="87"/>
      <c r="L25" s="87"/>
      <c r="M25" s="118" t="str">
        <f t="shared" si="1"/>
        <v/>
      </c>
      <c r="N25" s="119" t="str">
        <f t="shared" si="0"/>
        <v/>
      </c>
      <c r="O25" s="120"/>
      <c r="P25" s="120"/>
      <c r="Q25" s="121" t="str">
        <f t="shared" si="2"/>
        <v/>
      </c>
      <c r="R25" s="118" t="str">
        <f t="shared" si="3"/>
        <v/>
      </c>
      <c r="S25" s="122"/>
      <c r="T25" s="122"/>
      <c r="U25" s="122"/>
      <c r="V25" s="122"/>
      <c r="W25" s="119" t="str">
        <f t="shared" si="4"/>
        <v/>
      </c>
      <c r="X25" s="123" t="str">
        <f t="shared" si="6"/>
        <v/>
      </c>
      <c r="Y25" s="120"/>
      <c r="Z25" s="124" t="str">
        <f t="shared" si="5"/>
        <v/>
      </c>
      <c r="AB25" s="16">
        <v>96</v>
      </c>
      <c r="AC25" s="17">
        <v>1</v>
      </c>
    </row>
    <row r="26" spans="1:31" ht="21.95" customHeight="1" x14ac:dyDescent="0.25">
      <c r="A26" s="142"/>
      <c r="B26" s="143"/>
      <c r="C26" s="87"/>
      <c r="D26" s="87"/>
      <c r="E26" s="87"/>
      <c r="F26" s="87"/>
      <c r="G26" s="87"/>
      <c r="H26" s="87"/>
      <c r="I26" s="87"/>
      <c r="J26" s="87"/>
      <c r="K26" s="87"/>
      <c r="L26" s="87"/>
      <c r="M26" s="118" t="str">
        <f t="shared" si="1"/>
        <v/>
      </c>
      <c r="N26" s="119" t="str">
        <f t="shared" si="0"/>
        <v/>
      </c>
      <c r="O26" s="120"/>
      <c r="P26" s="120"/>
      <c r="Q26" s="121" t="str">
        <f t="shared" si="2"/>
        <v/>
      </c>
      <c r="R26" s="118" t="str">
        <f t="shared" si="3"/>
        <v/>
      </c>
      <c r="S26" s="122"/>
      <c r="T26" s="122"/>
      <c r="U26" s="122"/>
      <c r="V26" s="122"/>
      <c r="W26" s="119" t="str">
        <f t="shared" si="4"/>
        <v/>
      </c>
      <c r="X26" s="123" t="str">
        <f t="shared" si="6"/>
        <v/>
      </c>
      <c r="Y26" s="120"/>
      <c r="Z26" s="124" t="str">
        <f t="shared" si="5"/>
        <v/>
      </c>
      <c r="AB26" s="16">
        <v>436</v>
      </c>
      <c r="AC26" s="16">
        <v>0.22</v>
      </c>
    </row>
    <row r="27" spans="1:31" ht="21.95" customHeight="1" x14ac:dyDescent="0.25">
      <c r="A27" s="142"/>
      <c r="B27" s="143"/>
      <c r="C27" s="87"/>
      <c r="D27" s="87"/>
      <c r="E27" s="87"/>
      <c r="F27" s="87"/>
      <c r="G27" s="87"/>
      <c r="H27" s="87"/>
      <c r="I27" s="87"/>
      <c r="J27" s="87"/>
      <c r="K27" s="87"/>
      <c r="L27" s="87"/>
      <c r="M27" s="118" t="str">
        <f t="shared" si="1"/>
        <v/>
      </c>
      <c r="N27" s="119" t="str">
        <f t="shared" si="0"/>
        <v/>
      </c>
      <c r="O27" s="120"/>
      <c r="P27" s="120"/>
      <c r="Q27" s="121" t="str">
        <f t="shared" si="2"/>
        <v/>
      </c>
      <c r="R27" s="118" t="str">
        <f t="shared" si="3"/>
        <v/>
      </c>
      <c r="S27" s="122"/>
      <c r="T27" s="122"/>
      <c r="U27" s="122"/>
      <c r="V27" s="122"/>
      <c r="W27" s="119" t="str">
        <f t="shared" si="4"/>
        <v/>
      </c>
      <c r="X27" s="123" t="str">
        <f t="shared" si="6"/>
        <v/>
      </c>
      <c r="Y27" s="120"/>
      <c r="Z27" s="124" t="str">
        <f t="shared" si="5"/>
        <v/>
      </c>
      <c r="AB27" s="16"/>
      <c r="AC27" s="17"/>
    </row>
    <row r="28" spans="1:31" ht="21.95" customHeight="1" x14ac:dyDescent="0.25">
      <c r="A28" s="142"/>
      <c r="B28" s="143"/>
      <c r="C28" s="87"/>
      <c r="D28" s="87"/>
      <c r="E28" s="87"/>
      <c r="F28" s="87"/>
      <c r="G28" s="87"/>
      <c r="H28" s="87"/>
      <c r="I28" s="87"/>
      <c r="J28" s="87"/>
      <c r="K28" s="87"/>
      <c r="L28" s="87"/>
      <c r="M28" s="118" t="str">
        <f t="shared" si="1"/>
        <v/>
      </c>
      <c r="N28" s="119" t="str">
        <f t="shared" si="0"/>
        <v/>
      </c>
      <c r="O28" s="120"/>
      <c r="P28" s="120"/>
      <c r="Q28" s="121" t="str">
        <f t="shared" si="2"/>
        <v/>
      </c>
      <c r="R28" s="118" t="str">
        <f t="shared" si="3"/>
        <v/>
      </c>
      <c r="S28" s="122"/>
      <c r="T28" s="122"/>
      <c r="U28" s="122"/>
      <c r="V28" s="122"/>
      <c r="W28" s="119" t="str">
        <f t="shared" si="4"/>
        <v/>
      </c>
      <c r="X28" s="123" t="str">
        <f t="shared" si="6"/>
        <v/>
      </c>
      <c r="Y28" s="120"/>
      <c r="Z28" s="124" t="str">
        <f t="shared" si="5"/>
        <v/>
      </c>
      <c r="AB28" s="16"/>
      <c r="AC28" s="17"/>
    </row>
    <row r="29" spans="1:31" ht="21.95" customHeight="1" x14ac:dyDescent="0.25">
      <c r="A29" s="142"/>
      <c r="B29" s="143"/>
      <c r="C29" s="87"/>
      <c r="D29" s="87"/>
      <c r="E29" s="87"/>
      <c r="F29" s="87"/>
      <c r="G29" s="87"/>
      <c r="H29" s="87"/>
      <c r="I29" s="87"/>
      <c r="J29" s="87"/>
      <c r="K29" s="87"/>
      <c r="L29" s="87"/>
      <c r="M29" s="118" t="str">
        <f t="shared" si="1"/>
        <v/>
      </c>
      <c r="N29" s="119" t="str">
        <f t="shared" si="0"/>
        <v/>
      </c>
      <c r="O29" s="120"/>
      <c r="P29" s="120"/>
      <c r="Q29" s="121" t="str">
        <f t="shared" si="2"/>
        <v/>
      </c>
      <c r="R29" s="118" t="str">
        <f t="shared" si="3"/>
        <v/>
      </c>
      <c r="S29" s="122"/>
      <c r="T29" s="122"/>
      <c r="U29" s="122"/>
      <c r="V29" s="122"/>
      <c r="W29" s="119" t="str">
        <f t="shared" si="4"/>
        <v/>
      </c>
      <c r="X29" s="123" t="str">
        <f t="shared" si="6"/>
        <v/>
      </c>
      <c r="Y29" s="120"/>
      <c r="Z29" s="124" t="str">
        <f t="shared" si="5"/>
        <v/>
      </c>
      <c r="AB29" s="16"/>
      <c r="AC29" s="17"/>
    </row>
    <row r="30" spans="1:31" ht="21.95" customHeight="1" x14ac:dyDescent="0.25">
      <c r="A30" s="142"/>
      <c r="B30" s="143"/>
      <c r="C30" s="87"/>
      <c r="D30" s="87"/>
      <c r="E30" s="87"/>
      <c r="F30" s="87"/>
      <c r="G30" s="87"/>
      <c r="H30" s="87"/>
      <c r="I30" s="87"/>
      <c r="J30" s="87"/>
      <c r="K30" s="87"/>
      <c r="L30" s="87"/>
      <c r="M30" s="118" t="str">
        <f t="shared" si="1"/>
        <v/>
      </c>
      <c r="N30" s="119" t="str">
        <f t="shared" si="0"/>
        <v/>
      </c>
      <c r="O30" s="120"/>
      <c r="P30" s="120"/>
      <c r="Q30" s="121" t="str">
        <f t="shared" si="2"/>
        <v/>
      </c>
      <c r="R30" s="118" t="str">
        <f t="shared" si="3"/>
        <v/>
      </c>
      <c r="S30" s="122"/>
      <c r="T30" s="122"/>
      <c r="U30" s="122"/>
      <c r="V30" s="122"/>
      <c r="W30" s="119" t="str">
        <f t="shared" si="4"/>
        <v/>
      </c>
      <c r="X30" s="123" t="str">
        <f t="shared" si="6"/>
        <v/>
      </c>
      <c r="Y30" s="120"/>
      <c r="Z30" s="124" t="str">
        <f t="shared" si="5"/>
        <v/>
      </c>
      <c r="AB30" s="16"/>
      <c r="AC30" s="17"/>
    </row>
    <row r="31" spans="1:31" ht="21.95" customHeight="1" x14ac:dyDescent="0.25">
      <c r="A31" s="142"/>
      <c r="B31" s="143"/>
      <c r="C31" s="87"/>
      <c r="D31" s="87"/>
      <c r="E31" s="87"/>
      <c r="F31" s="87"/>
      <c r="G31" s="87"/>
      <c r="H31" s="87"/>
      <c r="I31" s="87"/>
      <c r="J31" s="87"/>
      <c r="K31" s="87"/>
      <c r="L31" s="87"/>
      <c r="M31" s="118" t="str">
        <f>IF(A31=0,"",((SUM(C31:L31)/$I$18)*$N31))</f>
        <v/>
      </c>
      <c r="N31" s="119" t="str">
        <f t="shared" si="0"/>
        <v/>
      </c>
      <c r="O31" s="120"/>
      <c r="P31" s="120"/>
      <c r="Q31" s="121" t="str">
        <f t="shared" si="2"/>
        <v/>
      </c>
      <c r="R31" s="118" t="str">
        <f t="shared" si="3"/>
        <v/>
      </c>
      <c r="S31" s="122"/>
      <c r="T31" s="122"/>
      <c r="U31" s="122"/>
      <c r="V31" s="122"/>
      <c r="W31" s="119" t="str">
        <f t="shared" si="4"/>
        <v/>
      </c>
      <c r="X31" s="123" t="str">
        <f t="shared" si="6"/>
        <v/>
      </c>
      <c r="Y31" s="120"/>
      <c r="Z31" s="124" t="str">
        <f t="shared" si="5"/>
        <v/>
      </c>
      <c r="AB31" s="16"/>
      <c r="AC31" s="17"/>
    </row>
    <row r="32" spans="1:31" ht="21.95" customHeight="1" x14ac:dyDescent="0.25">
      <c r="A32" s="142"/>
      <c r="B32" s="143"/>
      <c r="C32" s="87"/>
      <c r="D32" s="87"/>
      <c r="E32" s="87"/>
      <c r="F32" s="87"/>
      <c r="G32" s="87"/>
      <c r="H32" s="87"/>
      <c r="I32" s="87"/>
      <c r="J32" s="87"/>
      <c r="K32" s="87"/>
      <c r="L32" s="87"/>
      <c r="M32" s="118" t="str">
        <f t="shared" si="1"/>
        <v/>
      </c>
      <c r="N32" s="118" t="str">
        <f t="shared" si="0"/>
        <v/>
      </c>
      <c r="O32" s="120"/>
      <c r="P32" s="120"/>
      <c r="Q32" s="121" t="str">
        <f t="shared" si="2"/>
        <v/>
      </c>
      <c r="R32" s="118" t="str">
        <f t="shared" si="3"/>
        <v/>
      </c>
      <c r="S32" s="122"/>
      <c r="T32" s="122"/>
      <c r="U32" s="122"/>
      <c r="V32" s="122"/>
      <c r="W32" s="119" t="str">
        <f t="shared" si="4"/>
        <v/>
      </c>
      <c r="X32" s="123" t="str">
        <f t="shared" si="6"/>
        <v/>
      </c>
      <c r="Y32" s="120"/>
      <c r="Z32" s="124" t="str">
        <f t="shared" si="5"/>
        <v/>
      </c>
      <c r="AC32" s="18"/>
    </row>
    <row r="33" spans="1:29" ht="21.95" customHeight="1" x14ac:dyDescent="0.25">
      <c r="A33" s="142"/>
      <c r="B33" s="143"/>
      <c r="C33" s="87"/>
      <c r="D33" s="87"/>
      <c r="E33" s="87"/>
      <c r="F33" s="87"/>
      <c r="G33" s="87"/>
      <c r="H33" s="87"/>
      <c r="I33" s="87"/>
      <c r="J33" s="87"/>
      <c r="K33" s="87"/>
      <c r="L33" s="87"/>
      <c r="M33" s="118" t="str">
        <f t="shared" si="1"/>
        <v/>
      </c>
      <c r="N33" s="118" t="str">
        <f t="shared" si="0"/>
        <v/>
      </c>
      <c r="O33" s="120"/>
      <c r="P33" s="120"/>
      <c r="Q33" s="121" t="str">
        <f t="shared" si="2"/>
        <v/>
      </c>
      <c r="R33" s="118" t="str">
        <f t="shared" si="3"/>
        <v/>
      </c>
      <c r="S33" s="122"/>
      <c r="T33" s="122"/>
      <c r="U33" s="122"/>
      <c r="V33" s="122"/>
      <c r="W33" s="119" t="str">
        <f t="shared" si="4"/>
        <v/>
      </c>
      <c r="X33" s="123" t="str">
        <f t="shared" si="6"/>
        <v/>
      </c>
      <c r="Y33" s="120"/>
      <c r="Z33" s="124" t="str">
        <f t="shared" si="5"/>
        <v/>
      </c>
      <c r="AC33" s="18"/>
    </row>
    <row r="34" spans="1:29" ht="21.95" customHeight="1" x14ac:dyDescent="0.25">
      <c r="A34" s="142"/>
      <c r="B34" s="143"/>
      <c r="C34" s="87"/>
      <c r="D34" s="87"/>
      <c r="E34" s="87"/>
      <c r="F34" s="87"/>
      <c r="G34" s="87"/>
      <c r="H34" s="87"/>
      <c r="I34" s="87"/>
      <c r="J34" s="87"/>
      <c r="K34" s="87"/>
      <c r="L34" s="87"/>
      <c r="M34" s="118" t="str">
        <f t="shared" si="1"/>
        <v/>
      </c>
      <c r="N34" s="118" t="str">
        <f t="shared" si="0"/>
        <v/>
      </c>
      <c r="O34" s="120"/>
      <c r="P34" s="120"/>
      <c r="Q34" s="121" t="str">
        <f t="shared" si="2"/>
        <v/>
      </c>
      <c r="R34" s="118" t="str">
        <f t="shared" si="3"/>
        <v/>
      </c>
      <c r="S34" s="122"/>
      <c r="T34" s="122"/>
      <c r="U34" s="122"/>
      <c r="V34" s="122"/>
      <c r="W34" s="119" t="str">
        <f t="shared" si="4"/>
        <v/>
      </c>
      <c r="X34" s="123" t="str">
        <f t="shared" si="6"/>
        <v/>
      </c>
      <c r="Y34" s="120"/>
      <c r="Z34" s="124" t="str">
        <f t="shared" si="5"/>
        <v/>
      </c>
      <c r="AC34" s="18"/>
    </row>
    <row r="35" spans="1:29" ht="21.95" customHeight="1" x14ac:dyDescent="0.25">
      <c r="A35" s="142"/>
      <c r="B35" s="143"/>
      <c r="C35" s="87"/>
      <c r="D35" s="87"/>
      <c r="E35" s="87"/>
      <c r="F35" s="87"/>
      <c r="G35" s="87"/>
      <c r="H35" s="87"/>
      <c r="I35" s="87"/>
      <c r="J35" s="87"/>
      <c r="K35" s="87"/>
      <c r="L35" s="87"/>
      <c r="M35" s="118" t="str">
        <f t="shared" si="1"/>
        <v/>
      </c>
      <c r="N35" s="118" t="str">
        <f t="shared" si="0"/>
        <v/>
      </c>
      <c r="O35" s="120"/>
      <c r="P35" s="120"/>
      <c r="Q35" s="121" t="str">
        <f t="shared" si="2"/>
        <v/>
      </c>
      <c r="R35" s="118" t="str">
        <f t="shared" si="3"/>
        <v/>
      </c>
      <c r="S35" s="122"/>
      <c r="T35" s="122"/>
      <c r="U35" s="122"/>
      <c r="V35" s="122"/>
      <c r="W35" s="119" t="str">
        <f t="shared" si="4"/>
        <v/>
      </c>
      <c r="X35" s="123" t="str">
        <f t="shared" si="6"/>
        <v/>
      </c>
      <c r="Y35" s="120"/>
      <c r="Z35" s="124" t="str">
        <f t="shared" si="5"/>
        <v/>
      </c>
      <c r="AC35" s="18"/>
    </row>
    <row r="36" spans="1:29" ht="21.95" customHeight="1" x14ac:dyDescent="0.25">
      <c r="A36" s="142"/>
      <c r="B36" s="143"/>
      <c r="C36" s="87"/>
      <c r="D36" s="87"/>
      <c r="E36" s="87"/>
      <c r="F36" s="87"/>
      <c r="G36" s="87"/>
      <c r="H36" s="87"/>
      <c r="I36" s="87"/>
      <c r="J36" s="87"/>
      <c r="K36" s="87"/>
      <c r="L36" s="87"/>
      <c r="M36" s="118" t="str">
        <f t="shared" si="1"/>
        <v/>
      </c>
      <c r="N36" s="118" t="str">
        <f t="shared" si="0"/>
        <v/>
      </c>
      <c r="O36" s="120"/>
      <c r="P36" s="120"/>
      <c r="Q36" s="121" t="str">
        <f t="shared" si="2"/>
        <v/>
      </c>
      <c r="R36" s="118" t="str">
        <f t="shared" si="3"/>
        <v/>
      </c>
      <c r="S36" s="122"/>
      <c r="T36" s="122"/>
      <c r="U36" s="122"/>
      <c r="V36" s="122"/>
      <c r="W36" s="119" t="str">
        <f t="shared" si="4"/>
        <v/>
      </c>
      <c r="X36" s="123" t="str">
        <f t="shared" si="6"/>
        <v/>
      </c>
      <c r="Y36" s="120"/>
      <c r="Z36" s="124" t="str">
        <f t="shared" si="5"/>
        <v/>
      </c>
      <c r="AC36" s="18"/>
    </row>
    <row r="37" spans="1:29" ht="21.95" customHeight="1" x14ac:dyDescent="0.25">
      <c r="A37" s="142"/>
      <c r="B37" s="143"/>
      <c r="C37" s="87"/>
      <c r="D37" s="87"/>
      <c r="E37" s="87"/>
      <c r="F37" s="87"/>
      <c r="G37" s="87"/>
      <c r="H37" s="87"/>
      <c r="I37" s="87"/>
      <c r="J37" s="87"/>
      <c r="K37" s="87"/>
      <c r="L37" s="87"/>
      <c r="M37" s="118" t="str">
        <f t="shared" si="1"/>
        <v/>
      </c>
      <c r="N37" s="118" t="str">
        <f t="shared" si="0"/>
        <v/>
      </c>
      <c r="O37" s="120"/>
      <c r="P37" s="120"/>
      <c r="Q37" s="121" t="str">
        <f t="shared" si="2"/>
        <v/>
      </c>
      <c r="R37" s="118" t="str">
        <f t="shared" si="3"/>
        <v/>
      </c>
      <c r="S37" s="122"/>
      <c r="T37" s="122"/>
      <c r="U37" s="122"/>
      <c r="V37" s="122"/>
      <c r="W37" s="119" t="str">
        <f t="shared" si="4"/>
        <v/>
      </c>
      <c r="X37" s="123" t="str">
        <f t="shared" si="6"/>
        <v/>
      </c>
      <c r="Y37" s="120"/>
      <c r="Z37" s="124" t="str">
        <f t="shared" si="5"/>
        <v/>
      </c>
      <c r="AC37" s="18"/>
    </row>
    <row r="38" spans="1:29" ht="21.95" customHeight="1" x14ac:dyDescent="0.25">
      <c r="A38" s="142"/>
      <c r="B38" s="143"/>
      <c r="C38" s="87"/>
      <c r="D38" s="87"/>
      <c r="E38" s="87"/>
      <c r="F38" s="87"/>
      <c r="G38" s="87"/>
      <c r="H38" s="87"/>
      <c r="I38" s="87"/>
      <c r="J38" s="87"/>
      <c r="K38" s="87"/>
      <c r="L38" s="87"/>
      <c r="M38" s="118" t="str">
        <f t="shared" si="1"/>
        <v/>
      </c>
      <c r="N38" s="118" t="str">
        <f t="shared" si="0"/>
        <v/>
      </c>
      <c r="O38" s="120"/>
      <c r="P38" s="120"/>
      <c r="Q38" s="121" t="str">
        <f t="shared" si="2"/>
        <v/>
      </c>
      <c r="R38" s="118" t="str">
        <f t="shared" si="3"/>
        <v/>
      </c>
      <c r="S38" s="122"/>
      <c r="T38" s="122"/>
      <c r="U38" s="122"/>
      <c r="V38" s="122"/>
      <c r="W38" s="119" t="str">
        <f t="shared" si="4"/>
        <v/>
      </c>
      <c r="X38" s="123" t="str">
        <f t="shared" si="6"/>
        <v/>
      </c>
      <c r="Y38" s="120"/>
      <c r="Z38" s="124" t="str">
        <f t="shared" si="5"/>
        <v/>
      </c>
    </row>
    <row r="39" spans="1:29" ht="21.95" customHeight="1" x14ac:dyDescent="0.25">
      <c r="A39" s="142"/>
      <c r="B39" s="143"/>
      <c r="C39" s="87"/>
      <c r="D39" s="87"/>
      <c r="E39" s="87"/>
      <c r="F39" s="87"/>
      <c r="G39" s="87"/>
      <c r="H39" s="87"/>
      <c r="I39" s="87"/>
      <c r="J39" s="87"/>
      <c r="K39" s="87"/>
      <c r="L39" s="87"/>
      <c r="M39" s="118" t="str">
        <f t="shared" si="1"/>
        <v/>
      </c>
      <c r="N39" s="118" t="str">
        <f t="shared" si="0"/>
        <v/>
      </c>
      <c r="O39" s="120"/>
      <c r="P39" s="120"/>
      <c r="Q39" s="121" t="str">
        <f t="shared" si="2"/>
        <v/>
      </c>
      <c r="R39" s="118" t="str">
        <f t="shared" si="3"/>
        <v/>
      </c>
      <c r="S39" s="122"/>
      <c r="T39" s="122"/>
      <c r="U39" s="122"/>
      <c r="V39" s="122"/>
      <c r="W39" s="119" t="str">
        <f t="shared" si="4"/>
        <v/>
      </c>
      <c r="X39" s="123" t="str">
        <f t="shared" si="6"/>
        <v/>
      </c>
      <c r="Y39" s="120"/>
      <c r="Z39" s="124" t="str">
        <f t="shared" si="5"/>
        <v/>
      </c>
    </row>
    <row r="40" spans="1:29" ht="21.95" customHeight="1" x14ac:dyDescent="0.25">
      <c r="A40" s="142"/>
      <c r="B40" s="143"/>
      <c r="C40" s="87"/>
      <c r="D40" s="87"/>
      <c r="E40" s="87"/>
      <c r="F40" s="87"/>
      <c r="G40" s="87"/>
      <c r="H40" s="87"/>
      <c r="I40" s="87"/>
      <c r="J40" s="87"/>
      <c r="K40" s="87"/>
      <c r="L40" s="87"/>
      <c r="M40" s="118" t="str">
        <f t="shared" si="1"/>
        <v/>
      </c>
      <c r="N40" s="118" t="str">
        <f t="shared" si="0"/>
        <v/>
      </c>
      <c r="O40" s="120"/>
      <c r="P40" s="120"/>
      <c r="Q40" s="121" t="str">
        <f t="shared" si="2"/>
        <v/>
      </c>
      <c r="R40" s="118" t="str">
        <f t="shared" si="3"/>
        <v/>
      </c>
      <c r="S40" s="122"/>
      <c r="T40" s="122"/>
      <c r="U40" s="122"/>
      <c r="V40" s="122"/>
      <c r="W40" s="119" t="str">
        <f t="shared" si="4"/>
        <v/>
      </c>
      <c r="X40" s="123" t="str">
        <f t="shared" si="6"/>
        <v/>
      </c>
      <c r="Y40" s="120"/>
      <c r="Z40" s="124" t="str">
        <f t="shared" si="5"/>
        <v/>
      </c>
    </row>
    <row r="41" spans="1:29" ht="21.95" customHeight="1" thickBot="1" x14ac:dyDescent="0.3">
      <c r="A41" s="142"/>
      <c r="B41" s="143"/>
      <c r="C41" s="88"/>
      <c r="D41" s="88"/>
      <c r="E41" s="88"/>
      <c r="F41" s="88"/>
      <c r="G41" s="88"/>
      <c r="H41" s="88"/>
      <c r="I41" s="88"/>
      <c r="J41" s="88"/>
      <c r="K41" s="88"/>
      <c r="L41" s="88"/>
      <c r="M41" s="125" t="str">
        <f t="shared" si="1"/>
        <v/>
      </c>
      <c r="N41" s="125" t="str">
        <f t="shared" si="0"/>
        <v/>
      </c>
      <c r="O41" s="120"/>
      <c r="P41" s="120"/>
      <c r="Q41" s="126" t="str">
        <f t="shared" si="2"/>
        <v/>
      </c>
      <c r="R41" s="125" t="str">
        <f t="shared" si="3"/>
        <v/>
      </c>
      <c r="S41" s="122"/>
      <c r="T41" s="122"/>
      <c r="U41" s="122"/>
      <c r="V41" s="122"/>
      <c r="W41" s="127" t="str">
        <f t="shared" si="4"/>
        <v/>
      </c>
      <c r="X41" s="128" t="str">
        <f t="shared" si="6"/>
        <v/>
      </c>
      <c r="Y41" s="129"/>
      <c r="Z41" s="124" t="str">
        <f t="shared" si="5"/>
        <v/>
      </c>
    </row>
    <row r="42" spans="1:29" ht="18" customHeight="1" thickBot="1" x14ac:dyDescent="0.3">
      <c r="A42" s="207" t="s">
        <v>129</v>
      </c>
      <c r="B42" s="208"/>
      <c r="C42" s="89"/>
      <c r="D42" s="89"/>
      <c r="E42" s="90"/>
      <c r="F42" s="90"/>
      <c r="G42" s="90"/>
      <c r="H42" s="90"/>
      <c r="I42" s="90"/>
      <c r="J42" s="90"/>
      <c r="K42" s="90"/>
      <c r="L42" s="90"/>
      <c r="M42" s="95">
        <f>IF($W$45=0,"",((SUM(C42:L42)/$I$18)))</f>
        <v>0</v>
      </c>
      <c r="N42" s="36"/>
      <c r="O42" s="36"/>
      <c r="P42" s="36"/>
      <c r="Q42" s="36"/>
      <c r="R42" s="36"/>
      <c r="S42" s="36"/>
      <c r="T42" s="36"/>
      <c r="U42" s="36"/>
      <c r="V42" s="36"/>
      <c r="W42" s="36"/>
      <c r="X42" s="36"/>
      <c r="Y42" s="36"/>
      <c r="Z42" s="36"/>
    </row>
    <row r="43" spans="1:29" ht="18" customHeight="1" thickBot="1" x14ac:dyDescent="0.3">
      <c r="A43" s="209" t="s">
        <v>131</v>
      </c>
      <c r="B43" s="210"/>
      <c r="C43" s="91"/>
      <c r="D43" s="91"/>
      <c r="E43" s="91"/>
      <c r="F43" s="91"/>
      <c r="G43" s="91"/>
      <c r="H43" s="91"/>
      <c r="I43" s="91"/>
      <c r="J43" s="91"/>
      <c r="K43" s="91"/>
      <c r="L43" s="91"/>
      <c r="M43" s="95">
        <f t="shared" ref="M43:M45" si="7">IF($W$45=0,"",((SUM(C43:L43)/$I$18)))</f>
        <v>0</v>
      </c>
      <c r="N43" s="28"/>
      <c r="O43" s="28"/>
      <c r="P43" s="218" t="s">
        <v>1</v>
      </c>
      <c r="Q43" s="239"/>
      <c r="R43" s="239"/>
      <c r="S43" s="239"/>
      <c r="T43" s="239"/>
      <c r="U43" s="239"/>
      <c r="V43" s="240"/>
      <c r="W43" s="30"/>
      <c r="X43" s="130">
        <f>W84</f>
        <v>0</v>
      </c>
      <c r="Y43" s="130">
        <f>X85</f>
        <v>0</v>
      </c>
      <c r="Z43" s="130">
        <f>Y86</f>
        <v>0</v>
      </c>
    </row>
    <row r="44" spans="1:29" ht="18" customHeight="1" thickBot="1" x14ac:dyDescent="0.3">
      <c r="A44" s="209" t="s">
        <v>126</v>
      </c>
      <c r="B44" s="210"/>
      <c r="C44" s="91"/>
      <c r="D44" s="91"/>
      <c r="E44" s="92"/>
      <c r="F44" s="92"/>
      <c r="G44" s="92"/>
      <c r="H44" s="92"/>
      <c r="I44" s="93"/>
      <c r="J44" s="93"/>
      <c r="K44" s="93"/>
      <c r="L44" s="93"/>
      <c r="M44" s="95">
        <f t="shared" si="7"/>
        <v>0</v>
      </c>
      <c r="N44" s="268" t="s">
        <v>54</v>
      </c>
      <c r="O44" s="269"/>
      <c r="P44" s="269"/>
      <c r="Q44" s="269"/>
      <c r="R44" s="269"/>
      <c r="S44" s="269"/>
      <c r="T44" s="269"/>
      <c r="U44" s="269"/>
      <c r="V44" s="266"/>
      <c r="W44" s="267"/>
      <c r="X44" s="29"/>
      <c r="Y44" s="29"/>
      <c r="Z44" s="30"/>
      <c r="AA44" s="19"/>
    </row>
    <row r="45" spans="1:29" ht="18" customHeight="1" x14ac:dyDescent="0.25">
      <c r="A45" s="209" t="s">
        <v>127</v>
      </c>
      <c r="B45" s="210"/>
      <c r="C45" s="91"/>
      <c r="D45" s="91"/>
      <c r="E45" s="91"/>
      <c r="F45" s="91"/>
      <c r="G45" s="91"/>
      <c r="H45" s="91"/>
      <c r="I45" s="91"/>
      <c r="J45" s="91"/>
      <c r="K45" s="91"/>
      <c r="L45" s="91"/>
      <c r="M45" s="95">
        <f t="shared" si="7"/>
        <v>0</v>
      </c>
      <c r="N45" s="215" t="s">
        <v>95</v>
      </c>
      <c r="O45" s="215"/>
      <c r="P45" s="215"/>
      <c r="Q45" s="215"/>
      <c r="R45" s="215"/>
      <c r="S45" s="215"/>
      <c r="T45" s="215"/>
      <c r="U45" s="215"/>
      <c r="V45" s="215"/>
      <c r="W45" s="216" t="str">
        <f>IF(X21="","",SUM(X21:X41)+X43)</f>
        <v/>
      </c>
      <c r="X45" s="217"/>
      <c r="Y45" s="31"/>
      <c r="Z45" s="32"/>
      <c r="AA45" s="19"/>
      <c r="AB45" s="19"/>
    </row>
    <row r="46" spans="1:29" s="19" customFormat="1" ht="18" customHeight="1" x14ac:dyDescent="0.25">
      <c r="A46" s="146" t="s">
        <v>125</v>
      </c>
      <c r="B46" s="147"/>
      <c r="C46" s="147"/>
      <c r="D46" s="147"/>
      <c r="E46" s="147"/>
      <c r="F46" s="147"/>
      <c r="G46" s="147"/>
      <c r="H46" s="147"/>
      <c r="I46" s="147"/>
      <c r="J46" s="147"/>
      <c r="K46" s="147"/>
      <c r="L46" s="147"/>
      <c r="M46" s="148"/>
      <c r="N46" s="218" t="s">
        <v>107</v>
      </c>
      <c r="O46" s="219"/>
      <c r="P46" s="219"/>
      <c r="Q46" s="219"/>
      <c r="R46" s="219"/>
      <c r="S46" s="219"/>
      <c r="T46" s="219"/>
      <c r="U46" s="219"/>
      <c r="V46" s="219"/>
      <c r="W46" s="219"/>
      <c r="X46" s="220" t="str">
        <f>IF(Y21="","",SUM(Y21:Y41)+Y43)</f>
        <v/>
      </c>
      <c r="Y46" s="221"/>
      <c r="Z46" s="31"/>
    </row>
    <row r="47" spans="1:29" s="19" customFormat="1" ht="18" customHeight="1" x14ac:dyDescent="0.25">
      <c r="A47" s="149"/>
      <c r="B47" s="150"/>
      <c r="C47" s="150"/>
      <c r="D47" s="150"/>
      <c r="E47" s="150"/>
      <c r="F47" s="150"/>
      <c r="G47" s="150"/>
      <c r="H47" s="150"/>
      <c r="I47" s="150"/>
      <c r="J47" s="150"/>
      <c r="K47" s="150"/>
      <c r="L47" s="150"/>
      <c r="M47" s="151"/>
      <c r="N47" s="218" t="s">
        <v>76</v>
      </c>
      <c r="O47" s="219"/>
      <c r="P47" s="219"/>
      <c r="Q47" s="219"/>
      <c r="R47" s="219"/>
      <c r="S47" s="219"/>
      <c r="T47" s="219"/>
      <c r="U47" s="219"/>
      <c r="V47" s="219"/>
      <c r="W47" s="219"/>
      <c r="X47" s="219"/>
      <c r="Y47" s="222" t="str">
        <f>IF(Z21="","",SUM(Z21:Z41)+Z43)</f>
        <v/>
      </c>
      <c r="Z47" s="223"/>
      <c r="AA47" s="12"/>
    </row>
    <row r="48" spans="1:29" s="19" customFormat="1" ht="18" customHeight="1" x14ac:dyDescent="0.25">
      <c r="A48" s="152"/>
      <c r="B48" s="153"/>
      <c r="C48" s="153"/>
      <c r="D48" s="153"/>
      <c r="E48" s="153"/>
      <c r="F48" s="153"/>
      <c r="G48" s="153"/>
      <c r="H48" s="153"/>
      <c r="I48" s="153"/>
      <c r="J48" s="153"/>
      <c r="K48" s="153"/>
      <c r="L48" s="153"/>
      <c r="M48" s="154"/>
      <c r="N48" s="218" t="s">
        <v>75</v>
      </c>
      <c r="O48" s="219"/>
      <c r="P48" s="219"/>
      <c r="Q48" s="219"/>
      <c r="R48" s="219"/>
      <c r="S48" s="219"/>
      <c r="T48" s="219"/>
      <c r="U48" s="219"/>
      <c r="V48" s="219"/>
      <c r="W48" s="219"/>
      <c r="X48" s="219"/>
      <c r="Y48" s="274" t="str">
        <f>IF(Y47="","",Y47/V44)</f>
        <v/>
      </c>
      <c r="Z48" s="275"/>
      <c r="AA48" s="12"/>
      <c r="AB48" s="12"/>
    </row>
    <row r="49" spans="1:26" ht="12" customHeight="1" x14ac:dyDescent="0.2">
      <c r="A49" s="182"/>
      <c r="B49" s="183"/>
      <c r="C49" s="188" t="s">
        <v>3</v>
      </c>
      <c r="D49" s="189"/>
      <c r="E49" s="189"/>
      <c r="F49" s="189"/>
      <c r="G49" s="189"/>
      <c r="H49" s="189"/>
      <c r="I49" s="189"/>
      <c r="J49" s="189"/>
      <c r="K49" s="99"/>
      <c r="L49" s="99"/>
      <c r="M49" s="99"/>
      <c r="N49" s="99"/>
      <c r="O49" s="99"/>
      <c r="P49" s="99"/>
      <c r="Q49" s="99"/>
      <c r="R49" s="99"/>
      <c r="S49" s="99"/>
      <c r="T49" s="99"/>
      <c r="U49" s="99"/>
      <c r="V49" s="99"/>
      <c r="W49" s="99"/>
      <c r="X49" s="234" t="s">
        <v>4</v>
      </c>
      <c r="Y49" s="235"/>
      <c r="Z49" s="236"/>
    </row>
    <row r="50" spans="1:26" ht="15" customHeight="1" x14ac:dyDescent="0.3">
      <c r="A50" s="184"/>
      <c r="B50" s="185"/>
      <c r="C50" s="190"/>
      <c r="D50" s="191"/>
      <c r="E50" s="191"/>
      <c r="F50" s="191"/>
      <c r="G50" s="191"/>
      <c r="H50" s="191"/>
      <c r="I50" s="191"/>
      <c r="J50" s="191"/>
      <c r="K50" s="60"/>
      <c r="L50" s="60"/>
      <c r="M50" s="60"/>
      <c r="N50" s="60"/>
      <c r="O50" s="60"/>
      <c r="P50" s="60"/>
      <c r="Q50" s="60"/>
      <c r="R50" s="60"/>
      <c r="S50" s="60"/>
      <c r="T50" s="60"/>
      <c r="U50" s="60"/>
      <c r="V50" s="60"/>
      <c r="W50" s="60"/>
      <c r="X50" s="237"/>
      <c r="Y50" s="237"/>
      <c r="Z50" s="238"/>
    </row>
    <row r="51" spans="1:26" ht="15" customHeight="1" x14ac:dyDescent="0.25">
      <c r="A51" s="186"/>
      <c r="B51" s="187"/>
      <c r="C51" s="61" t="s">
        <v>2</v>
      </c>
      <c r="D51" s="100"/>
      <c r="E51" s="100"/>
      <c r="F51" s="100"/>
      <c r="G51" s="100"/>
      <c r="H51" s="100"/>
      <c r="I51" s="100"/>
      <c r="J51" s="100"/>
      <c r="K51" s="100"/>
      <c r="L51" s="100"/>
      <c r="M51" s="100"/>
      <c r="N51" s="100"/>
      <c r="O51" s="100"/>
      <c r="P51" s="100"/>
      <c r="Q51" s="100"/>
      <c r="R51" s="100"/>
      <c r="S51" s="100"/>
      <c r="T51" s="100"/>
      <c r="U51" s="100"/>
      <c r="V51" s="100"/>
      <c r="W51" s="100"/>
      <c r="X51" s="100"/>
      <c r="Y51" s="101"/>
      <c r="Z51" s="102" t="s">
        <v>5</v>
      </c>
    </row>
    <row r="52" spans="1:26" s="59" customFormat="1" ht="12" customHeight="1" x14ac:dyDescent="0.2">
      <c r="A52" s="67" t="s">
        <v>110</v>
      </c>
      <c r="B52" s="103"/>
      <c r="C52" s="103"/>
      <c r="D52" s="103"/>
      <c r="E52" s="68"/>
      <c r="F52" s="69"/>
      <c r="G52" s="69"/>
      <c r="H52" s="69"/>
      <c r="I52" s="69"/>
      <c r="J52" s="69"/>
      <c r="K52" s="69"/>
      <c r="L52" s="69"/>
      <c r="M52" s="69"/>
      <c r="N52" s="69"/>
      <c r="O52" s="69"/>
      <c r="P52" s="69"/>
      <c r="Q52" s="69"/>
      <c r="R52" s="69"/>
      <c r="S52" s="69"/>
      <c r="T52" s="69"/>
      <c r="U52" s="69"/>
      <c r="V52" s="69"/>
      <c r="W52" s="245" t="s">
        <v>132</v>
      </c>
      <c r="X52" s="246"/>
      <c r="Y52" s="246"/>
      <c r="Z52" s="247"/>
    </row>
    <row r="53" spans="1:26" ht="20.25" x14ac:dyDescent="0.3">
      <c r="A53" s="26" t="s">
        <v>0</v>
      </c>
      <c r="B53" s="22"/>
      <c r="C53" s="22"/>
      <c r="D53" s="22"/>
      <c r="E53" s="22"/>
      <c r="F53" s="22"/>
      <c r="G53" s="22"/>
      <c r="H53" s="22"/>
      <c r="I53" s="22"/>
      <c r="J53" s="22"/>
      <c r="K53" s="22"/>
      <c r="L53" s="22"/>
      <c r="M53" s="22"/>
      <c r="N53" s="22"/>
      <c r="O53" s="22"/>
      <c r="P53" s="22"/>
      <c r="Q53" s="22"/>
      <c r="R53" s="22"/>
      <c r="S53" s="22"/>
      <c r="T53" s="22"/>
      <c r="U53" s="22"/>
      <c r="V53" s="22"/>
      <c r="W53" s="22"/>
      <c r="X53" s="22"/>
      <c r="Y53" s="22"/>
      <c r="Z53" s="25"/>
    </row>
    <row r="54" spans="1:26" ht="15" customHeight="1" x14ac:dyDescent="0.2">
      <c r="A54" s="70" t="s">
        <v>19</v>
      </c>
      <c r="B54" s="71"/>
      <c r="C54" s="71"/>
      <c r="D54" s="71"/>
      <c r="E54" s="71"/>
      <c r="F54" s="71"/>
      <c r="G54" s="71"/>
      <c r="H54" s="71"/>
      <c r="I54" s="71"/>
      <c r="J54" s="71"/>
      <c r="K54" s="71"/>
      <c r="L54" s="71"/>
      <c r="M54" s="72" t="s">
        <v>21</v>
      </c>
      <c r="N54" s="72" t="s">
        <v>22</v>
      </c>
      <c r="O54" s="72" t="s">
        <v>24</v>
      </c>
      <c r="P54" s="73" t="s">
        <v>25</v>
      </c>
      <c r="Q54" s="73" t="s">
        <v>79</v>
      </c>
      <c r="R54" s="72" t="s">
        <v>26</v>
      </c>
      <c r="S54" s="74" t="s">
        <v>34</v>
      </c>
      <c r="T54" s="74" t="s">
        <v>35</v>
      </c>
      <c r="U54" s="74" t="s">
        <v>36</v>
      </c>
      <c r="V54" s="74" t="s">
        <v>37</v>
      </c>
      <c r="W54" s="72" t="s">
        <v>27</v>
      </c>
      <c r="X54" s="72" t="s">
        <v>28</v>
      </c>
      <c r="Y54" s="72" t="s">
        <v>29</v>
      </c>
      <c r="Z54" s="75" t="s">
        <v>30</v>
      </c>
    </row>
    <row r="55" spans="1:26" ht="22.5" customHeight="1" x14ac:dyDescent="0.2">
      <c r="A55" s="76"/>
      <c r="B55" s="77"/>
      <c r="C55" s="78"/>
      <c r="D55" s="77"/>
      <c r="E55" s="77"/>
      <c r="F55" s="77"/>
      <c r="G55" s="77"/>
      <c r="H55" s="77"/>
      <c r="I55" s="77"/>
      <c r="J55" s="77"/>
      <c r="K55" s="77"/>
      <c r="L55" s="77"/>
      <c r="M55" s="192" t="s">
        <v>91</v>
      </c>
      <c r="N55" s="79"/>
      <c r="O55" s="233" t="s">
        <v>23</v>
      </c>
      <c r="P55" s="202"/>
      <c r="Q55" s="203"/>
      <c r="R55" s="226" t="s">
        <v>92</v>
      </c>
      <c r="S55" s="227" t="s">
        <v>16</v>
      </c>
      <c r="T55" s="227" t="s">
        <v>17</v>
      </c>
      <c r="U55" s="227" t="s">
        <v>18</v>
      </c>
      <c r="V55" s="227" t="s">
        <v>33</v>
      </c>
      <c r="W55" s="226" t="s">
        <v>119</v>
      </c>
      <c r="X55" s="226" t="s">
        <v>117</v>
      </c>
      <c r="Y55" s="226" t="s">
        <v>93</v>
      </c>
      <c r="Z55" s="270" t="s">
        <v>94</v>
      </c>
    </row>
    <row r="56" spans="1:26" ht="27.75" customHeight="1" x14ac:dyDescent="0.2">
      <c r="A56" s="272" t="s">
        <v>113</v>
      </c>
      <c r="B56" s="273"/>
      <c r="C56" s="242" t="s">
        <v>103</v>
      </c>
      <c r="D56" s="242"/>
      <c r="E56" s="242"/>
      <c r="F56" s="242"/>
      <c r="G56" s="242"/>
      <c r="H56" s="243"/>
      <c r="I56" s="85">
        <v>10</v>
      </c>
      <c r="J56" s="80"/>
      <c r="K56" s="80"/>
      <c r="L56" s="80"/>
      <c r="M56" s="193"/>
      <c r="N56" s="79" t="s">
        <v>104</v>
      </c>
      <c r="O56" s="227" t="s">
        <v>31</v>
      </c>
      <c r="P56" s="227" t="s">
        <v>32</v>
      </c>
      <c r="Q56" s="226" t="s">
        <v>38</v>
      </c>
      <c r="R56" s="227"/>
      <c r="S56" s="227"/>
      <c r="T56" s="227"/>
      <c r="U56" s="227"/>
      <c r="V56" s="227"/>
      <c r="W56" s="227"/>
      <c r="X56" s="227"/>
      <c r="Y56" s="227"/>
      <c r="Z56" s="270"/>
    </row>
    <row r="57" spans="1:26" ht="27.75" customHeight="1" x14ac:dyDescent="0.2">
      <c r="A57" s="272"/>
      <c r="B57" s="273"/>
      <c r="C57" s="241" t="s">
        <v>20</v>
      </c>
      <c r="D57" s="241"/>
      <c r="E57" s="241"/>
      <c r="F57" s="241"/>
      <c r="G57" s="241"/>
      <c r="H57" s="241"/>
      <c r="I57" s="241"/>
      <c r="J57" s="241"/>
      <c r="K57" s="241"/>
      <c r="L57" s="201"/>
      <c r="M57" s="193"/>
      <c r="N57" s="86">
        <v>436</v>
      </c>
      <c r="O57" s="227"/>
      <c r="P57" s="227"/>
      <c r="Q57" s="226"/>
      <c r="R57" s="227"/>
      <c r="S57" s="227"/>
      <c r="T57" s="227"/>
      <c r="U57" s="227"/>
      <c r="V57" s="227"/>
      <c r="W57" s="227"/>
      <c r="X57" s="227"/>
      <c r="Y57" s="227"/>
      <c r="Z57" s="270"/>
    </row>
    <row r="58" spans="1:26" ht="27.75" customHeight="1" x14ac:dyDescent="0.2">
      <c r="A58" s="144" t="s">
        <v>123</v>
      </c>
      <c r="B58" s="145"/>
      <c r="C58" s="81" t="s">
        <v>6</v>
      </c>
      <c r="D58" s="81" t="s">
        <v>7</v>
      </c>
      <c r="E58" s="81" t="s">
        <v>8</v>
      </c>
      <c r="F58" s="81" t="s">
        <v>9</v>
      </c>
      <c r="G58" s="81" t="s">
        <v>10</v>
      </c>
      <c r="H58" s="81" t="s">
        <v>11</v>
      </c>
      <c r="I58" s="81" t="s">
        <v>12</v>
      </c>
      <c r="J58" s="81" t="s">
        <v>13</v>
      </c>
      <c r="K58" s="81" t="s">
        <v>14</v>
      </c>
      <c r="L58" s="82" t="s">
        <v>15</v>
      </c>
      <c r="M58" s="194"/>
      <c r="N58" s="83" t="s">
        <v>105</v>
      </c>
      <c r="O58" s="228"/>
      <c r="P58" s="228" t="s">
        <v>31</v>
      </c>
      <c r="Q58" s="228"/>
      <c r="R58" s="228"/>
      <c r="S58" s="228"/>
      <c r="T58" s="228"/>
      <c r="U58" s="228"/>
      <c r="V58" s="228"/>
      <c r="W58" s="84" t="s">
        <v>120</v>
      </c>
      <c r="X58" s="228"/>
      <c r="Y58" s="228"/>
      <c r="Z58" s="271"/>
    </row>
    <row r="59" spans="1:26" ht="21.95" customHeight="1" x14ac:dyDescent="0.25">
      <c r="A59" s="142"/>
      <c r="B59" s="143"/>
      <c r="C59" s="87"/>
      <c r="D59" s="87"/>
      <c r="E59" s="87"/>
      <c r="F59" s="87"/>
      <c r="G59" s="87"/>
      <c r="H59" s="87"/>
      <c r="I59" s="87"/>
      <c r="J59" s="87"/>
      <c r="K59" s="87"/>
      <c r="L59" s="87"/>
      <c r="M59" s="118" t="str">
        <f t="shared" ref="M59:M82" si="8">IF(A59=0,"",((SUM(C59:L59)/$I$56)*$N59))</f>
        <v/>
      </c>
      <c r="N59" s="119" t="str">
        <f t="shared" ref="N59:N82" si="9">IF(A59="","",VLOOKUP($N$57,$AB$20:$AC$26,2))</f>
        <v/>
      </c>
      <c r="O59" s="120"/>
      <c r="P59" s="120"/>
      <c r="Q59" s="121" t="str">
        <f t="shared" ref="Q59:Q82" si="10">IF(P59="","",P59/O59)</f>
        <v/>
      </c>
      <c r="R59" s="118" t="str">
        <f t="shared" ref="R59:R82" si="11">IF(Q59="","",M59*Q59)</f>
        <v/>
      </c>
      <c r="S59" s="122"/>
      <c r="T59" s="122"/>
      <c r="U59" s="122"/>
      <c r="V59" s="122"/>
      <c r="W59" s="118" t="str">
        <f t="shared" ref="W59:W82" si="12">IF(V59="","",S59/(T59*U59*V59))</f>
        <v/>
      </c>
      <c r="X59" s="118" t="str">
        <f t="shared" ref="X59:X82" si="13">IF(W59="","",R59*W59)</f>
        <v/>
      </c>
      <c r="Y59" s="120"/>
      <c r="Z59" s="124" t="str">
        <f t="shared" ref="Z59:Z82" si="14">IF(Y59="","",IF(X59&lt;Y59,X59,Y59))</f>
        <v/>
      </c>
    </row>
    <row r="60" spans="1:26" ht="21.95" customHeight="1" x14ac:dyDescent="0.25">
      <c r="A60" s="142"/>
      <c r="B60" s="143"/>
      <c r="C60" s="87"/>
      <c r="D60" s="87"/>
      <c r="E60" s="87"/>
      <c r="F60" s="87"/>
      <c r="G60" s="87"/>
      <c r="H60" s="87"/>
      <c r="I60" s="87"/>
      <c r="J60" s="87"/>
      <c r="K60" s="87"/>
      <c r="L60" s="87"/>
      <c r="M60" s="118" t="str">
        <f t="shared" si="8"/>
        <v/>
      </c>
      <c r="N60" s="119" t="str">
        <f t="shared" si="9"/>
        <v/>
      </c>
      <c r="O60" s="120"/>
      <c r="P60" s="120"/>
      <c r="Q60" s="121" t="str">
        <f t="shared" si="10"/>
        <v/>
      </c>
      <c r="R60" s="118" t="str">
        <f t="shared" si="11"/>
        <v/>
      </c>
      <c r="S60" s="122"/>
      <c r="T60" s="122"/>
      <c r="U60" s="122"/>
      <c r="V60" s="122"/>
      <c r="W60" s="118" t="str">
        <f t="shared" si="12"/>
        <v/>
      </c>
      <c r="X60" s="118" t="str">
        <f t="shared" si="13"/>
        <v/>
      </c>
      <c r="Y60" s="120"/>
      <c r="Z60" s="124" t="str">
        <f t="shared" si="14"/>
        <v/>
      </c>
    </row>
    <row r="61" spans="1:26" ht="21.95" customHeight="1" x14ac:dyDescent="0.25">
      <c r="A61" s="142"/>
      <c r="B61" s="143"/>
      <c r="C61" s="87"/>
      <c r="D61" s="87"/>
      <c r="E61" s="87"/>
      <c r="F61" s="87"/>
      <c r="G61" s="87"/>
      <c r="H61" s="87"/>
      <c r="I61" s="87"/>
      <c r="J61" s="87"/>
      <c r="K61" s="87"/>
      <c r="L61" s="87"/>
      <c r="M61" s="118" t="str">
        <f t="shared" si="8"/>
        <v/>
      </c>
      <c r="N61" s="119" t="str">
        <f t="shared" si="9"/>
        <v/>
      </c>
      <c r="O61" s="120"/>
      <c r="P61" s="120"/>
      <c r="Q61" s="121" t="str">
        <f t="shared" si="10"/>
        <v/>
      </c>
      <c r="R61" s="118" t="str">
        <f t="shared" si="11"/>
        <v/>
      </c>
      <c r="S61" s="122"/>
      <c r="T61" s="122"/>
      <c r="U61" s="122"/>
      <c r="V61" s="122"/>
      <c r="W61" s="118" t="str">
        <f t="shared" si="12"/>
        <v/>
      </c>
      <c r="X61" s="118" t="str">
        <f t="shared" si="13"/>
        <v/>
      </c>
      <c r="Y61" s="120"/>
      <c r="Z61" s="124" t="str">
        <f t="shared" si="14"/>
        <v/>
      </c>
    </row>
    <row r="62" spans="1:26" ht="21.95" customHeight="1" x14ac:dyDescent="0.25">
      <c r="A62" s="142"/>
      <c r="B62" s="143"/>
      <c r="C62" s="87"/>
      <c r="D62" s="87"/>
      <c r="E62" s="87"/>
      <c r="F62" s="87"/>
      <c r="G62" s="87"/>
      <c r="H62" s="87"/>
      <c r="I62" s="87"/>
      <c r="J62" s="87"/>
      <c r="K62" s="87"/>
      <c r="L62" s="87"/>
      <c r="M62" s="118" t="str">
        <f t="shared" si="8"/>
        <v/>
      </c>
      <c r="N62" s="119" t="str">
        <f t="shared" si="9"/>
        <v/>
      </c>
      <c r="O62" s="120"/>
      <c r="P62" s="120"/>
      <c r="Q62" s="121" t="str">
        <f t="shared" si="10"/>
        <v/>
      </c>
      <c r="R62" s="118" t="str">
        <f t="shared" si="11"/>
        <v/>
      </c>
      <c r="S62" s="122"/>
      <c r="T62" s="122"/>
      <c r="U62" s="122"/>
      <c r="V62" s="122"/>
      <c r="W62" s="118" t="str">
        <f t="shared" si="12"/>
        <v/>
      </c>
      <c r="X62" s="118" t="str">
        <f t="shared" si="13"/>
        <v/>
      </c>
      <c r="Y62" s="120"/>
      <c r="Z62" s="124" t="str">
        <f t="shared" si="14"/>
        <v/>
      </c>
    </row>
    <row r="63" spans="1:26" ht="21.95" customHeight="1" x14ac:dyDescent="0.25">
      <c r="A63" s="142"/>
      <c r="B63" s="143"/>
      <c r="C63" s="87"/>
      <c r="D63" s="87"/>
      <c r="E63" s="87"/>
      <c r="F63" s="87"/>
      <c r="G63" s="87"/>
      <c r="H63" s="87"/>
      <c r="I63" s="87"/>
      <c r="J63" s="87"/>
      <c r="K63" s="87"/>
      <c r="L63" s="87"/>
      <c r="M63" s="118" t="str">
        <f t="shared" si="8"/>
        <v/>
      </c>
      <c r="N63" s="119" t="str">
        <f t="shared" si="9"/>
        <v/>
      </c>
      <c r="O63" s="120"/>
      <c r="P63" s="120"/>
      <c r="Q63" s="121" t="str">
        <f t="shared" si="10"/>
        <v/>
      </c>
      <c r="R63" s="118" t="str">
        <f t="shared" si="11"/>
        <v/>
      </c>
      <c r="S63" s="122"/>
      <c r="T63" s="122"/>
      <c r="U63" s="122"/>
      <c r="V63" s="122"/>
      <c r="W63" s="118" t="str">
        <f t="shared" si="12"/>
        <v/>
      </c>
      <c r="X63" s="118" t="str">
        <f t="shared" si="13"/>
        <v/>
      </c>
      <c r="Y63" s="120"/>
      <c r="Z63" s="124" t="str">
        <f t="shared" si="14"/>
        <v/>
      </c>
    </row>
    <row r="64" spans="1:26" ht="21.95" customHeight="1" x14ac:dyDescent="0.25">
      <c r="A64" s="142"/>
      <c r="B64" s="143"/>
      <c r="C64" s="87"/>
      <c r="D64" s="87"/>
      <c r="E64" s="87"/>
      <c r="F64" s="87"/>
      <c r="G64" s="87"/>
      <c r="H64" s="87"/>
      <c r="I64" s="87"/>
      <c r="J64" s="87"/>
      <c r="K64" s="87"/>
      <c r="L64" s="87"/>
      <c r="M64" s="118" t="str">
        <f t="shared" si="8"/>
        <v/>
      </c>
      <c r="N64" s="119" t="str">
        <f t="shared" si="9"/>
        <v/>
      </c>
      <c r="O64" s="120"/>
      <c r="P64" s="120"/>
      <c r="Q64" s="121" t="str">
        <f t="shared" si="10"/>
        <v/>
      </c>
      <c r="R64" s="118" t="str">
        <f t="shared" si="11"/>
        <v/>
      </c>
      <c r="S64" s="122"/>
      <c r="T64" s="122"/>
      <c r="U64" s="122"/>
      <c r="V64" s="122"/>
      <c r="W64" s="118" t="str">
        <f t="shared" si="12"/>
        <v/>
      </c>
      <c r="X64" s="118" t="str">
        <f t="shared" si="13"/>
        <v/>
      </c>
      <c r="Y64" s="120"/>
      <c r="Z64" s="124" t="str">
        <f t="shared" si="14"/>
        <v/>
      </c>
    </row>
    <row r="65" spans="1:26" ht="21.95" customHeight="1" x14ac:dyDescent="0.25">
      <c r="A65" s="142"/>
      <c r="B65" s="143"/>
      <c r="C65" s="87"/>
      <c r="D65" s="87"/>
      <c r="E65" s="87"/>
      <c r="F65" s="87"/>
      <c r="G65" s="87"/>
      <c r="H65" s="87"/>
      <c r="I65" s="87"/>
      <c r="J65" s="87"/>
      <c r="K65" s="87"/>
      <c r="L65" s="87"/>
      <c r="M65" s="118" t="str">
        <f t="shared" si="8"/>
        <v/>
      </c>
      <c r="N65" s="119" t="str">
        <f t="shared" si="9"/>
        <v/>
      </c>
      <c r="O65" s="120"/>
      <c r="P65" s="120"/>
      <c r="Q65" s="121" t="str">
        <f t="shared" si="10"/>
        <v/>
      </c>
      <c r="R65" s="118" t="str">
        <f t="shared" si="11"/>
        <v/>
      </c>
      <c r="S65" s="122"/>
      <c r="T65" s="122"/>
      <c r="U65" s="122"/>
      <c r="V65" s="122"/>
      <c r="W65" s="118" t="str">
        <f t="shared" si="12"/>
        <v/>
      </c>
      <c r="X65" s="118" t="str">
        <f t="shared" si="13"/>
        <v/>
      </c>
      <c r="Y65" s="120"/>
      <c r="Z65" s="124" t="str">
        <f t="shared" si="14"/>
        <v/>
      </c>
    </row>
    <row r="66" spans="1:26" ht="21.95" customHeight="1" x14ac:dyDescent="0.25">
      <c r="A66" s="142"/>
      <c r="B66" s="143"/>
      <c r="C66" s="87"/>
      <c r="D66" s="87"/>
      <c r="E66" s="87"/>
      <c r="F66" s="87"/>
      <c r="G66" s="87"/>
      <c r="H66" s="87"/>
      <c r="I66" s="87"/>
      <c r="J66" s="87"/>
      <c r="K66" s="87"/>
      <c r="L66" s="87"/>
      <c r="M66" s="118" t="str">
        <f t="shared" si="8"/>
        <v/>
      </c>
      <c r="N66" s="119" t="str">
        <f t="shared" si="9"/>
        <v/>
      </c>
      <c r="O66" s="120"/>
      <c r="P66" s="120"/>
      <c r="Q66" s="121" t="str">
        <f t="shared" si="10"/>
        <v/>
      </c>
      <c r="R66" s="118" t="str">
        <f t="shared" si="11"/>
        <v/>
      </c>
      <c r="S66" s="122"/>
      <c r="T66" s="122"/>
      <c r="U66" s="122"/>
      <c r="V66" s="122"/>
      <c r="W66" s="118" t="str">
        <f t="shared" si="12"/>
        <v/>
      </c>
      <c r="X66" s="118" t="str">
        <f t="shared" si="13"/>
        <v/>
      </c>
      <c r="Y66" s="120"/>
      <c r="Z66" s="124" t="str">
        <f t="shared" si="14"/>
        <v/>
      </c>
    </row>
    <row r="67" spans="1:26" ht="21.95" customHeight="1" x14ac:dyDescent="0.25">
      <c r="A67" s="142"/>
      <c r="B67" s="143"/>
      <c r="C67" s="87"/>
      <c r="D67" s="87"/>
      <c r="E67" s="87"/>
      <c r="F67" s="87"/>
      <c r="G67" s="87"/>
      <c r="H67" s="87"/>
      <c r="I67" s="87"/>
      <c r="J67" s="87"/>
      <c r="K67" s="87"/>
      <c r="L67" s="87"/>
      <c r="M67" s="118" t="str">
        <f t="shared" si="8"/>
        <v/>
      </c>
      <c r="N67" s="119" t="str">
        <f t="shared" si="9"/>
        <v/>
      </c>
      <c r="O67" s="120"/>
      <c r="P67" s="120"/>
      <c r="Q67" s="121" t="str">
        <f t="shared" si="10"/>
        <v/>
      </c>
      <c r="R67" s="118" t="str">
        <f t="shared" si="11"/>
        <v/>
      </c>
      <c r="S67" s="122"/>
      <c r="T67" s="122"/>
      <c r="U67" s="122"/>
      <c r="V67" s="122"/>
      <c r="W67" s="118" t="str">
        <f t="shared" si="12"/>
        <v/>
      </c>
      <c r="X67" s="118" t="str">
        <f t="shared" si="13"/>
        <v/>
      </c>
      <c r="Y67" s="120"/>
      <c r="Z67" s="124" t="str">
        <f t="shared" si="14"/>
        <v/>
      </c>
    </row>
    <row r="68" spans="1:26" ht="21.95" customHeight="1" x14ac:dyDescent="0.25">
      <c r="A68" s="142"/>
      <c r="B68" s="143"/>
      <c r="C68" s="87"/>
      <c r="D68" s="87"/>
      <c r="E68" s="87"/>
      <c r="F68" s="87"/>
      <c r="G68" s="87"/>
      <c r="H68" s="87"/>
      <c r="I68" s="87"/>
      <c r="J68" s="87"/>
      <c r="K68" s="87"/>
      <c r="L68" s="87"/>
      <c r="M68" s="118" t="str">
        <f t="shared" si="8"/>
        <v/>
      </c>
      <c r="N68" s="119" t="str">
        <f t="shared" si="9"/>
        <v/>
      </c>
      <c r="O68" s="120"/>
      <c r="P68" s="120"/>
      <c r="Q68" s="121" t="str">
        <f t="shared" si="10"/>
        <v/>
      </c>
      <c r="R68" s="118" t="str">
        <f t="shared" si="11"/>
        <v/>
      </c>
      <c r="S68" s="122"/>
      <c r="T68" s="122"/>
      <c r="U68" s="122"/>
      <c r="V68" s="122"/>
      <c r="W68" s="118" t="str">
        <f t="shared" si="12"/>
        <v/>
      </c>
      <c r="X68" s="118" t="str">
        <f t="shared" si="13"/>
        <v/>
      </c>
      <c r="Y68" s="120"/>
      <c r="Z68" s="124" t="str">
        <f t="shared" si="14"/>
        <v/>
      </c>
    </row>
    <row r="69" spans="1:26" ht="21.95" customHeight="1" x14ac:dyDescent="0.25">
      <c r="A69" s="142"/>
      <c r="B69" s="143"/>
      <c r="C69" s="87"/>
      <c r="D69" s="87"/>
      <c r="E69" s="87"/>
      <c r="F69" s="87"/>
      <c r="G69" s="87"/>
      <c r="H69" s="87"/>
      <c r="I69" s="87"/>
      <c r="J69" s="87"/>
      <c r="K69" s="87"/>
      <c r="L69" s="87"/>
      <c r="M69" s="118" t="str">
        <f t="shared" si="8"/>
        <v/>
      </c>
      <c r="N69" s="119" t="str">
        <f t="shared" si="9"/>
        <v/>
      </c>
      <c r="O69" s="120"/>
      <c r="P69" s="120"/>
      <c r="Q69" s="121" t="str">
        <f t="shared" si="10"/>
        <v/>
      </c>
      <c r="R69" s="118" t="str">
        <f t="shared" si="11"/>
        <v/>
      </c>
      <c r="S69" s="122"/>
      <c r="T69" s="122"/>
      <c r="U69" s="122"/>
      <c r="V69" s="122"/>
      <c r="W69" s="118" t="str">
        <f t="shared" si="12"/>
        <v/>
      </c>
      <c r="X69" s="118" t="str">
        <f t="shared" si="13"/>
        <v/>
      </c>
      <c r="Y69" s="120"/>
      <c r="Z69" s="124" t="str">
        <f t="shared" si="14"/>
        <v/>
      </c>
    </row>
    <row r="70" spans="1:26" ht="21.95" customHeight="1" x14ac:dyDescent="0.25">
      <c r="A70" s="142"/>
      <c r="B70" s="143"/>
      <c r="C70" s="87"/>
      <c r="D70" s="87"/>
      <c r="E70" s="87"/>
      <c r="F70" s="87"/>
      <c r="G70" s="87"/>
      <c r="H70" s="87"/>
      <c r="I70" s="87"/>
      <c r="J70" s="87"/>
      <c r="K70" s="87"/>
      <c r="L70" s="87"/>
      <c r="M70" s="118" t="str">
        <f t="shared" si="8"/>
        <v/>
      </c>
      <c r="N70" s="119" t="str">
        <f t="shared" si="9"/>
        <v/>
      </c>
      <c r="O70" s="120"/>
      <c r="P70" s="120"/>
      <c r="Q70" s="121" t="str">
        <f t="shared" si="10"/>
        <v/>
      </c>
      <c r="R70" s="118" t="str">
        <f t="shared" si="11"/>
        <v/>
      </c>
      <c r="S70" s="122"/>
      <c r="T70" s="122"/>
      <c r="U70" s="122"/>
      <c r="V70" s="122"/>
      <c r="W70" s="118" t="str">
        <f t="shared" si="12"/>
        <v/>
      </c>
      <c r="X70" s="118" t="str">
        <f t="shared" si="13"/>
        <v/>
      </c>
      <c r="Y70" s="120"/>
      <c r="Z70" s="124" t="str">
        <f t="shared" si="14"/>
        <v/>
      </c>
    </row>
    <row r="71" spans="1:26" ht="21.95" customHeight="1" x14ac:dyDescent="0.25">
      <c r="A71" s="142"/>
      <c r="B71" s="143"/>
      <c r="C71" s="87"/>
      <c r="D71" s="87"/>
      <c r="E71" s="87"/>
      <c r="F71" s="87"/>
      <c r="G71" s="87"/>
      <c r="H71" s="87"/>
      <c r="I71" s="87"/>
      <c r="J71" s="87"/>
      <c r="K71" s="87"/>
      <c r="L71" s="87"/>
      <c r="M71" s="118" t="str">
        <f t="shared" si="8"/>
        <v/>
      </c>
      <c r="N71" s="119" t="str">
        <f t="shared" si="9"/>
        <v/>
      </c>
      <c r="O71" s="120"/>
      <c r="P71" s="120"/>
      <c r="Q71" s="121" t="str">
        <f t="shared" si="10"/>
        <v/>
      </c>
      <c r="R71" s="118" t="str">
        <f t="shared" si="11"/>
        <v/>
      </c>
      <c r="S71" s="122"/>
      <c r="T71" s="122"/>
      <c r="U71" s="122"/>
      <c r="V71" s="122"/>
      <c r="W71" s="118" t="str">
        <f t="shared" si="12"/>
        <v/>
      </c>
      <c r="X71" s="118" t="str">
        <f t="shared" si="13"/>
        <v/>
      </c>
      <c r="Y71" s="120"/>
      <c r="Z71" s="124" t="str">
        <f t="shared" si="14"/>
        <v/>
      </c>
    </row>
    <row r="72" spans="1:26" ht="21.95" customHeight="1" x14ac:dyDescent="0.25">
      <c r="A72" s="142"/>
      <c r="B72" s="143"/>
      <c r="C72" s="87"/>
      <c r="D72" s="87"/>
      <c r="E72" s="87"/>
      <c r="F72" s="87"/>
      <c r="G72" s="87"/>
      <c r="H72" s="87"/>
      <c r="I72" s="87"/>
      <c r="J72" s="87"/>
      <c r="K72" s="87"/>
      <c r="L72" s="87"/>
      <c r="M72" s="118" t="str">
        <f t="shared" si="8"/>
        <v/>
      </c>
      <c r="N72" s="119" t="str">
        <f t="shared" si="9"/>
        <v/>
      </c>
      <c r="O72" s="120"/>
      <c r="P72" s="120"/>
      <c r="Q72" s="121" t="str">
        <f t="shared" si="10"/>
        <v/>
      </c>
      <c r="R72" s="118" t="str">
        <f t="shared" si="11"/>
        <v/>
      </c>
      <c r="S72" s="122"/>
      <c r="T72" s="122"/>
      <c r="U72" s="122"/>
      <c r="V72" s="122"/>
      <c r="W72" s="118" t="str">
        <f t="shared" si="12"/>
        <v/>
      </c>
      <c r="X72" s="118" t="str">
        <f t="shared" si="13"/>
        <v/>
      </c>
      <c r="Y72" s="120"/>
      <c r="Z72" s="124" t="str">
        <f t="shared" si="14"/>
        <v/>
      </c>
    </row>
    <row r="73" spans="1:26" ht="21.95" customHeight="1" x14ac:dyDescent="0.25">
      <c r="A73" s="142"/>
      <c r="B73" s="143"/>
      <c r="C73" s="87"/>
      <c r="D73" s="87"/>
      <c r="E73" s="87"/>
      <c r="F73" s="87"/>
      <c r="G73" s="87"/>
      <c r="H73" s="87"/>
      <c r="I73" s="87"/>
      <c r="J73" s="87"/>
      <c r="K73" s="87"/>
      <c r="L73" s="87"/>
      <c r="M73" s="118" t="str">
        <f t="shared" si="8"/>
        <v/>
      </c>
      <c r="N73" s="119" t="str">
        <f t="shared" si="9"/>
        <v/>
      </c>
      <c r="O73" s="120"/>
      <c r="P73" s="120"/>
      <c r="Q73" s="121" t="str">
        <f t="shared" si="10"/>
        <v/>
      </c>
      <c r="R73" s="118" t="str">
        <f t="shared" si="11"/>
        <v/>
      </c>
      <c r="S73" s="122"/>
      <c r="T73" s="122"/>
      <c r="U73" s="122"/>
      <c r="V73" s="122"/>
      <c r="W73" s="118" t="str">
        <f t="shared" si="12"/>
        <v/>
      </c>
      <c r="X73" s="118" t="str">
        <f t="shared" si="13"/>
        <v/>
      </c>
      <c r="Y73" s="120"/>
      <c r="Z73" s="124" t="str">
        <f t="shared" si="14"/>
        <v/>
      </c>
    </row>
    <row r="74" spans="1:26" ht="21.95" customHeight="1" x14ac:dyDescent="0.25">
      <c r="A74" s="142"/>
      <c r="B74" s="143"/>
      <c r="C74" s="87"/>
      <c r="D74" s="87"/>
      <c r="E74" s="87"/>
      <c r="F74" s="87"/>
      <c r="G74" s="87"/>
      <c r="H74" s="87"/>
      <c r="I74" s="87"/>
      <c r="J74" s="87"/>
      <c r="K74" s="87"/>
      <c r="L74" s="87"/>
      <c r="M74" s="118" t="str">
        <f t="shared" si="8"/>
        <v/>
      </c>
      <c r="N74" s="119" t="str">
        <f t="shared" si="9"/>
        <v/>
      </c>
      <c r="O74" s="120"/>
      <c r="P74" s="120"/>
      <c r="Q74" s="121" t="str">
        <f t="shared" si="10"/>
        <v/>
      </c>
      <c r="R74" s="118" t="str">
        <f t="shared" si="11"/>
        <v/>
      </c>
      <c r="S74" s="122"/>
      <c r="T74" s="122"/>
      <c r="U74" s="122"/>
      <c r="V74" s="122"/>
      <c r="W74" s="118" t="str">
        <f t="shared" si="12"/>
        <v/>
      </c>
      <c r="X74" s="118" t="str">
        <f t="shared" si="13"/>
        <v/>
      </c>
      <c r="Y74" s="120"/>
      <c r="Z74" s="124" t="str">
        <f t="shared" si="14"/>
        <v/>
      </c>
    </row>
    <row r="75" spans="1:26" ht="21.95" customHeight="1" x14ac:dyDescent="0.25">
      <c r="A75" s="142"/>
      <c r="B75" s="143"/>
      <c r="C75" s="87"/>
      <c r="D75" s="87"/>
      <c r="E75" s="87"/>
      <c r="F75" s="87"/>
      <c r="G75" s="87"/>
      <c r="H75" s="87"/>
      <c r="I75" s="87"/>
      <c r="J75" s="87"/>
      <c r="K75" s="87"/>
      <c r="L75" s="87"/>
      <c r="M75" s="118" t="str">
        <f t="shared" si="8"/>
        <v/>
      </c>
      <c r="N75" s="119" t="str">
        <f t="shared" si="9"/>
        <v/>
      </c>
      <c r="O75" s="120"/>
      <c r="P75" s="120"/>
      <c r="Q75" s="121" t="str">
        <f t="shared" si="10"/>
        <v/>
      </c>
      <c r="R75" s="118" t="str">
        <f t="shared" si="11"/>
        <v/>
      </c>
      <c r="S75" s="122"/>
      <c r="T75" s="122"/>
      <c r="U75" s="122"/>
      <c r="V75" s="122"/>
      <c r="W75" s="118" t="str">
        <f t="shared" si="12"/>
        <v/>
      </c>
      <c r="X75" s="118" t="str">
        <f t="shared" si="13"/>
        <v/>
      </c>
      <c r="Y75" s="120"/>
      <c r="Z75" s="124" t="str">
        <f t="shared" si="14"/>
        <v/>
      </c>
    </row>
    <row r="76" spans="1:26" ht="21.95" customHeight="1" x14ac:dyDescent="0.25">
      <c r="A76" s="142"/>
      <c r="B76" s="143"/>
      <c r="C76" s="87"/>
      <c r="D76" s="87"/>
      <c r="E76" s="87"/>
      <c r="F76" s="87"/>
      <c r="G76" s="87"/>
      <c r="H76" s="87"/>
      <c r="I76" s="87"/>
      <c r="J76" s="87"/>
      <c r="K76" s="87"/>
      <c r="L76" s="87"/>
      <c r="M76" s="118" t="str">
        <f t="shared" si="8"/>
        <v/>
      </c>
      <c r="N76" s="119" t="str">
        <f t="shared" si="9"/>
        <v/>
      </c>
      <c r="O76" s="120"/>
      <c r="P76" s="120"/>
      <c r="Q76" s="121" t="str">
        <f t="shared" si="10"/>
        <v/>
      </c>
      <c r="R76" s="118" t="str">
        <f t="shared" si="11"/>
        <v/>
      </c>
      <c r="S76" s="122"/>
      <c r="T76" s="122"/>
      <c r="U76" s="122"/>
      <c r="V76" s="122"/>
      <c r="W76" s="118" t="str">
        <f t="shared" si="12"/>
        <v/>
      </c>
      <c r="X76" s="118" t="str">
        <f t="shared" si="13"/>
        <v/>
      </c>
      <c r="Y76" s="120"/>
      <c r="Z76" s="124" t="str">
        <f t="shared" si="14"/>
        <v/>
      </c>
    </row>
    <row r="77" spans="1:26" ht="21.95" customHeight="1" x14ac:dyDescent="0.25">
      <c r="A77" s="142"/>
      <c r="B77" s="143"/>
      <c r="C77" s="87"/>
      <c r="D77" s="87"/>
      <c r="E77" s="87"/>
      <c r="F77" s="87"/>
      <c r="G77" s="87"/>
      <c r="H77" s="87"/>
      <c r="I77" s="87"/>
      <c r="J77" s="87"/>
      <c r="K77" s="87"/>
      <c r="L77" s="87"/>
      <c r="M77" s="118" t="str">
        <f t="shared" si="8"/>
        <v/>
      </c>
      <c r="N77" s="119" t="str">
        <f t="shared" si="9"/>
        <v/>
      </c>
      <c r="O77" s="120"/>
      <c r="P77" s="120"/>
      <c r="Q77" s="121" t="str">
        <f t="shared" si="10"/>
        <v/>
      </c>
      <c r="R77" s="118" t="str">
        <f t="shared" si="11"/>
        <v/>
      </c>
      <c r="S77" s="122"/>
      <c r="T77" s="122"/>
      <c r="U77" s="122"/>
      <c r="V77" s="122"/>
      <c r="W77" s="118" t="str">
        <f t="shared" si="12"/>
        <v/>
      </c>
      <c r="X77" s="118" t="str">
        <f t="shared" si="13"/>
        <v/>
      </c>
      <c r="Y77" s="120"/>
      <c r="Z77" s="124" t="str">
        <f t="shared" si="14"/>
        <v/>
      </c>
    </row>
    <row r="78" spans="1:26" ht="21.95" customHeight="1" x14ac:dyDescent="0.25">
      <c r="A78" s="142"/>
      <c r="B78" s="143"/>
      <c r="C78" s="87"/>
      <c r="D78" s="87"/>
      <c r="E78" s="87"/>
      <c r="F78" s="87"/>
      <c r="G78" s="87"/>
      <c r="H78" s="87"/>
      <c r="I78" s="87"/>
      <c r="J78" s="87"/>
      <c r="K78" s="87"/>
      <c r="L78" s="87"/>
      <c r="M78" s="118" t="str">
        <f t="shared" si="8"/>
        <v/>
      </c>
      <c r="N78" s="119" t="str">
        <f t="shared" si="9"/>
        <v/>
      </c>
      <c r="O78" s="120"/>
      <c r="P78" s="120"/>
      <c r="Q78" s="121" t="str">
        <f t="shared" si="10"/>
        <v/>
      </c>
      <c r="R78" s="118" t="str">
        <f t="shared" si="11"/>
        <v/>
      </c>
      <c r="S78" s="122"/>
      <c r="T78" s="122"/>
      <c r="U78" s="122"/>
      <c r="V78" s="122"/>
      <c r="W78" s="118" t="str">
        <f t="shared" si="12"/>
        <v/>
      </c>
      <c r="X78" s="118" t="str">
        <f t="shared" si="13"/>
        <v/>
      </c>
      <c r="Y78" s="120"/>
      <c r="Z78" s="124" t="str">
        <f t="shared" si="14"/>
        <v/>
      </c>
    </row>
    <row r="79" spans="1:26" ht="21.95" customHeight="1" x14ac:dyDescent="0.25">
      <c r="A79" s="142"/>
      <c r="B79" s="143"/>
      <c r="C79" s="87"/>
      <c r="D79" s="87"/>
      <c r="E79" s="87"/>
      <c r="F79" s="87"/>
      <c r="G79" s="87"/>
      <c r="H79" s="87"/>
      <c r="I79" s="87"/>
      <c r="J79" s="87"/>
      <c r="K79" s="87"/>
      <c r="L79" s="87"/>
      <c r="M79" s="118" t="str">
        <f t="shared" si="8"/>
        <v/>
      </c>
      <c r="N79" s="119" t="str">
        <f t="shared" si="9"/>
        <v/>
      </c>
      <c r="O79" s="120"/>
      <c r="P79" s="120"/>
      <c r="Q79" s="121" t="str">
        <f t="shared" si="10"/>
        <v/>
      </c>
      <c r="R79" s="118" t="str">
        <f t="shared" si="11"/>
        <v/>
      </c>
      <c r="S79" s="122"/>
      <c r="T79" s="122"/>
      <c r="U79" s="122"/>
      <c r="V79" s="122"/>
      <c r="W79" s="118" t="str">
        <f t="shared" si="12"/>
        <v/>
      </c>
      <c r="X79" s="118" t="str">
        <f t="shared" si="13"/>
        <v/>
      </c>
      <c r="Y79" s="120"/>
      <c r="Z79" s="124" t="str">
        <f t="shared" si="14"/>
        <v/>
      </c>
    </row>
    <row r="80" spans="1:26" ht="21.95" customHeight="1" x14ac:dyDescent="0.25">
      <c r="A80" s="142"/>
      <c r="B80" s="143"/>
      <c r="C80" s="87"/>
      <c r="D80" s="87"/>
      <c r="E80" s="87"/>
      <c r="F80" s="87"/>
      <c r="G80" s="87"/>
      <c r="H80" s="87"/>
      <c r="I80" s="87"/>
      <c r="J80" s="87"/>
      <c r="K80" s="87"/>
      <c r="L80" s="87"/>
      <c r="M80" s="118" t="str">
        <f t="shared" si="8"/>
        <v/>
      </c>
      <c r="N80" s="119" t="str">
        <f t="shared" si="9"/>
        <v/>
      </c>
      <c r="O80" s="120"/>
      <c r="P80" s="120"/>
      <c r="Q80" s="121" t="str">
        <f t="shared" si="10"/>
        <v/>
      </c>
      <c r="R80" s="118" t="str">
        <f t="shared" si="11"/>
        <v/>
      </c>
      <c r="S80" s="122"/>
      <c r="T80" s="122"/>
      <c r="U80" s="122"/>
      <c r="V80" s="122"/>
      <c r="W80" s="118" t="str">
        <f t="shared" si="12"/>
        <v/>
      </c>
      <c r="X80" s="118" t="str">
        <f t="shared" si="13"/>
        <v/>
      </c>
      <c r="Y80" s="120"/>
      <c r="Z80" s="124" t="str">
        <f t="shared" si="14"/>
        <v/>
      </c>
    </row>
    <row r="81" spans="1:26" ht="21.95" customHeight="1" x14ac:dyDescent="0.25">
      <c r="A81" s="142"/>
      <c r="B81" s="143"/>
      <c r="C81" s="87"/>
      <c r="D81" s="87"/>
      <c r="E81" s="87"/>
      <c r="F81" s="87"/>
      <c r="G81" s="87"/>
      <c r="H81" s="87"/>
      <c r="I81" s="87"/>
      <c r="J81" s="87"/>
      <c r="K81" s="87"/>
      <c r="L81" s="87"/>
      <c r="M81" s="118" t="str">
        <f t="shared" si="8"/>
        <v/>
      </c>
      <c r="N81" s="119" t="str">
        <f t="shared" si="9"/>
        <v/>
      </c>
      <c r="O81" s="120"/>
      <c r="P81" s="120"/>
      <c r="Q81" s="121" t="str">
        <f t="shared" si="10"/>
        <v/>
      </c>
      <c r="R81" s="118" t="str">
        <f t="shared" si="11"/>
        <v/>
      </c>
      <c r="S81" s="122"/>
      <c r="T81" s="122"/>
      <c r="U81" s="122"/>
      <c r="V81" s="122"/>
      <c r="W81" s="118" t="str">
        <f t="shared" si="12"/>
        <v/>
      </c>
      <c r="X81" s="118" t="str">
        <f t="shared" si="13"/>
        <v/>
      </c>
      <c r="Y81" s="120"/>
      <c r="Z81" s="124" t="str">
        <f t="shared" si="14"/>
        <v/>
      </c>
    </row>
    <row r="82" spans="1:26" ht="21.95" customHeight="1" x14ac:dyDescent="0.25">
      <c r="A82" s="142"/>
      <c r="B82" s="143"/>
      <c r="C82" s="87"/>
      <c r="D82" s="87"/>
      <c r="E82" s="87"/>
      <c r="F82" s="87"/>
      <c r="G82" s="87"/>
      <c r="H82" s="87"/>
      <c r="I82" s="87"/>
      <c r="J82" s="87"/>
      <c r="K82" s="87"/>
      <c r="L82" s="87"/>
      <c r="M82" s="118" t="str">
        <f t="shared" si="8"/>
        <v/>
      </c>
      <c r="N82" s="119" t="str">
        <f t="shared" si="9"/>
        <v/>
      </c>
      <c r="O82" s="120"/>
      <c r="P82" s="120"/>
      <c r="Q82" s="121" t="str">
        <f t="shared" si="10"/>
        <v/>
      </c>
      <c r="R82" s="118" t="str">
        <f t="shared" si="11"/>
        <v/>
      </c>
      <c r="S82" s="122"/>
      <c r="T82" s="122"/>
      <c r="U82" s="122"/>
      <c r="V82" s="122"/>
      <c r="W82" s="118" t="str">
        <f t="shared" si="12"/>
        <v/>
      </c>
      <c r="X82" s="118" t="str">
        <f t="shared" si="13"/>
        <v/>
      </c>
      <c r="Y82" s="120"/>
      <c r="Z82" s="124" t="str">
        <f t="shared" si="14"/>
        <v/>
      </c>
    </row>
    <row r="83" spans="1:26" ht="18" customHeight="1" x14ac:dyDescent="0.2">
      <c r="A83" s="257" t="s">
        <v>118</v>
      </c>
      <c r="B83" s="258"/>
      <c r="C83" s="258"/>
      <c r="D83" s="258"/>
      <c r="E83" s="258"/>
      <c r="F83" s="258"/>
      <c r="G83" s="258"/>
      <c r="H83" s="258"/>
      <c r="I83" s="258"/>
      <c r="J83" s="258"/>
      <c r="K83" s="258"/>
      <c r="L83" s="258"/>
      <c r="M83" s="259"/>
      <c r="N83" s="94"/>
      <c r="O83" s="94"/>
      <c r="P83" s="94"/>
      <c r="Q83" s="94"/>
      <c r="R83" s="94"/>
      <c r="S83" s="94"/>
      <c r="T83" s="94"/>
      <c r="U83" s="94"/>
      <c r="V83" s="94"/>
      <c r="W83" s="34"/>
      <c r="X83" s="28"/>
      <c r="Y83" s="28"/>
      <c r="Z83" s="28"/>
    </row>
    <row r="84" spans="1:26" ht="18" customHeight="1" x14ac:dyDescent="0.25">
      <c r="A84" s="260"/>
      <c r="B84" s="261"/>
      <c r="C84" s="261"/>
      <c r="D84" s="261"/>
      <c r="E84" s="261"/>
      <c r="F84" s="261"/>
      <c r="G84" s="261"/>
      <c r="H84" s="261"/>
      <c r="I84" s="261"/>
      <c r="J84" s="261"/>
      <c r="K84" s="261"/>
      <c r="L84" s="261"/>
      <c r="M84" s="262"/>
      <c r="N84" s="218" t="s">
        <v>95</v>
      </c>
      <c r="O84" s="219"/>
      <c r="P84" s="219"/>
      <c r="Q84" s="219"/>
      <c r="R84" s="219"/>
      <c r="S84" s="219"/>
      <c r="T84" s="219"/>
      <c r="U84" s="219"/>
      <c r="V84" s="219"/>
      <c r="W84" s="255">
        <f>SUM(X59:X82)</f>
        <v>0</v>
      </c>
      <c r="X84" s="255"/>
      <c r="Y84" s="57"/>
      <c r="Z84" s="30"/>
    </row>
    <row r="85" spans="1:26" ht="18" customHeight="1" x14ac:dyDescent="0.25">
      <c r="A85" s="260"/>
      <c r="B85" s="261"/>
      <c r="C85" s="261"/>
      <c r="D85" s="261"/>
      <c r="E85" s="261"/>
      <c r="F85" s="261"/>
      <c r="G85" s="261"/>
      <c r="H85" s="261"/>
      <c r="I85" s="261"/>
      <c r="J85" s="261"/>
      <c r="K85" s="261"/>
      <c r="L85" s="261"/>
      <c r="M85" s="262"/>
      <c r="N85" s="218" t="s">
        <v>107</v>
      </c>
      <c r="O85" s="219"/>
      <c r="P85" s="219"/>
      <c r="Q85" s="219"/>
      <c r="R85" s="219"/>
      <c r="S85" s="219"/>
      <c r="T85" s="219"/>
      <c r="U85" s="219"/>
      <c r="V85" s="219"/>
      <c r="W85" s="219"/>
      <c r="X85" s="256">
        <f>SUM(Y59:Y82)</f>
        <v>0</v>
      </c>
      <c r="Y85" s="256"/>
      <c r="Z85" s="30"/>
    </row>
    <row r="86" spans="1:26" ht="18" customHeight="1" x14ac:dyDescent="0.25">
      <c r="A86" s="263"/>
      <c r="B86" s="264"/>
      <c r="C86" s="264"/>
      <c r="D86" s="264"/>
      <c r="E86" s="264"/>
      <c r="F86" s="264"/>
      <c r="G86" s="264"/>
      <c r="H86" s="264"/>
      <c r="I86" s="264"/>
      <c r="J86" s="264"/>
      <c r="K86" s="264"/>
      <c r="L86" s="264"/>
      <c r="M86" s="265"/>
      <c r="N86" s="218" t="s">
        <v>106</v>
      </c>
      <c r="O86" s="219"/>
      <c r="P86" s="219"/>
      <c r="Q86" s="219"/>
      <c r="R86" s="219"/>
      <c r="S86" s="219"/>
      <c r="T86" s="219"/>
      <c r="U86" s="219"/>
      <c r="V86" s="219"/>
      <c r="W86" s="219"/>
      <c r="X86" s="219"/>
      <c r="Y86" s="256">
        <f>SUM(Z59:Z82)</f>
        <v>0</v>
      </c>
      <c r="Z86" s="256"/>
    </row>
    <row r="87" spans="1:26" x14ac:dyDescent="0.2">
      <c r="V87" s="22"/>
      <c r="W87" s="23"/>
      <c r="X87" s="23"/>
      <c r="Y87" s="23"/>
      <c r="Z87" s="23"/>
    </row>
    <row r="350" spans="7:7" x14ac:dyDescent="0.2">
      <c r="G350" s="12" t="e">
        <f>IF(#REF!="","",#REF!)</f>
        <v>#REF!</v>
      </c>
    </row>
    <row r="351" spans="7:7" x14ac:dyDescent="0.2">
      <c r="G351" s="12" t="e">
        <f>IF(#REF!="","",#REF!)</f>
        <v>#REF!</v>
      </c>
    </row>
    <row r="352" spans="7:7" x14ac:dyDescent="0.2">
      <c r="G352" s="12" t="e">
        <f>IF(#REF!="","",#REF!)</f>
        <v>#REF!</v>
      </c>
    </row>
    <row r="353" spans="7:7" x14ac:dyDescent="0.2">
      <c r="G353" s="12" t="e">
        <f>IF(#REF!="","",#REF!)</f>
        <v>#REF!</v>
      </c>
    </row>
    <row r="354" spans="7:7" x14ac:dyDescent="0.2">
      <c r="G354" s="12" t="e">
        <f>IF(#REF!="","",#REF!)</f>
        <v>#REF!</v>
      </c>
    </row>
    <row r="355" spans="7:7" x14ac:dyDescent="0.2">
      <c r="G355" s="12" t="e">
        <f>IF(#REF!="","",#REF!)</f>
        <v>#REF!</v>
      </c>
    </row>
    <row r="356" spans="7:7" x14ac:dyDescent="0.2">
      <c r="G356" s="12" t="e">
        <f>IF(#REF!="","",#REF!)</f>
        <v>#REF!</v>
      </c>
    </row>
    <row r="357" spans="7:7" x14ac:dyDescent="0.2">
      <c r="G357" s="12" t="e">
        <f>IF(#REF!="","",#REF!)</f>
        <v>#REF!</v>
      </c>
    </row>
    <row r="358" spans="7:7" x14ac:dyDescent="0.2">
      <c r="G358" s="12" t="e">
        <f>IF(#REF!="","",#REF!)</f>
        <v>#REF!</v>
      </c>
    </row>
    <row r="359" spans="7:7" x14ac:dyDescent="0.2">
      <c r="G359" s="12" t="e">
        <f>IF(#REF!="","",#REF!)</f>
        <v>#REF!</v>
      </c>
    </row>
    <row r="360" spans="7:7" x14ac:dyDescent="0.2">
      <c r="G360" s="12" t="e">
        <f>IF(#REF!="","",#REF!)</f>
        <v>#REF!</v>
      </c>
    </row>
    <row r="361" spans="7:7" x14ac:dyDescent="0.2">
      <c r="G361" s="12" t="e">
        <f>IF(#REF!="","",#REF!)</f>
        <v>#REF!</v>
      </c>
    </row>
    <row r="362" spans="7:7" x14ac:dyDescent="0.2">
      <c r="G362" s="12" t="e">
        <f>IF(#REF!="","",#REF!)</f>
        <v>#REF!</v>
      </c>
    </row>
    <row r="363" spans="7:7" x14ac:dyDescent="0.2">
      <c r="G363" s="12" t="e">
        <f>IF(#REF!="","",#REF!)</f>
        <v>#REF!</v>
      </c>
    </row>
    <row r="364" spans="7:7" x14ac:dyDescent="0.2">
      <c r="G364" s="12" t="e">
        <f>IF(#REF!="","",#REF!)</f>
        <v>#REF!</v>
      </c>
    </row>
    <row r="365" spans="7:7" x14ac:dyDescent="0.2">
      <c r="G365" s="12" t="e">
        <f>IF(#REF!="","",#REF!)</f>
        <v>#REF!</v>
      </c>
    </row>
    <row r="366" spans="7:7" x14ac:dyDescent="0.2">
      <c r="G366" s="12" t="e">
        <f>IF(#REF!="","",#REF!)</f>
        <v>#REF!</v>
      </c>
    </row>
    <row r="367" spans="7:7" x14ac:dyDescent="0.2">
      <c r="G367" s="12" t="e">
        <f>IF(#REF!="","",#REF!)</f>
        <v>#REF!</v>
      </c>
    </row>
    <row r="368" spans="7:7" x14ac:dyDescent="0.2">
      <c r="G368" s="12" t="e">
        <f>IF(#REF!="","",#REF!)</f>
        <v>#REF!</v>
      </c>
    </row>
    <row r="369" spans="7:7" x14ac:dyDescent="0.2">
      <c r="G369" s="12" t="e">
        <f>IF(#REF!="","",#REF!)</f>
        <v>#REF!</v>
      </c>
    </row>
    <row r="370" spans="7:7" x14ac:dyDescent="0.2">
      <c r="G370" s="12" t="e">
        <f>IF(#REF!="","",#REF!)</f>
        <v>#REF!</v>
      </c>
    </row>
    <row r="371" spans="7:7" x14ac:dyDescent="0.2">
      <c r="G371" s="12" t="e">
        <f>IF(#REF!="","",#REF!)</f>
        <v>#REF!</v>
      </c>
    </row>
    <row r="372" spans="7:7" x14ac:dyDescent="0.2">
      <c r="G372" s="12" t="e">
        <f>IF(#REF!="","",#REF!)</f>
        <v>#REF!</v>
      </c>
    </row>
    <row r="373" spans="7:7" x14ac:dyDescent="0.2">
      <c r="G373" s="12" t="e">
        <f>IF(#REF!="","",#REF!)</f>
        <v>#REF!</v>
      </c>
    </row>
    <row r="374" spans="7:7" x14ac:dyDescent="0.2">
      <c r="G374" s="12" t="e">
        <f>IF(#REF!="","",#REF!)</f>
        <v>#REF!</v>
      </c>
    </row>
    <row r="375" spans="7:7" x14ac:dyDescent="0.2">
      <c r="G375" s="12" t="e">
        <f>IF(#REF!="","",#REF!)</f>
        <v>#REF!</v>
      </c>
    </row>
    <row r="376" spans="7:7" x14ac:dyDescent="0.2">
      <c r="G376" s="12" t="e">
        <f>IF(#REF!="","",#REF!)</f>
        <v>#REF!</v>
      </c>
    </row>
    <row r="377" spans="7:7" x14ac:dyDescent="0.2">
      <c r="G377" s="12" t="e">
        <f>IF(#REF!="","",#REF!)</f>
        <v>#REF!</v>
      </c>
    </row>
    <row r="378" spans="7:7" x14ac:dyDescent="0.2">
      <c r="G378" s="12" t="e">
        <f>IF(#REF!="","",#REF!)</f>
        <v>#REF!</v>
      </c>
    </row>
    <row r="379" spans="7:7" x14ac:dyDescent="0.2">
      <c r="G379" s="12" t="e">
        <f>IF(#REF!="","",#REF!)</f>
        <v>#REF!</v>
      </c>
    </row>
    <row r="380" spans="7:7" x14ac:dyDescent="0.2">
      <c r="G380" s="12" t="e">
        <f>IF(#REF!="","",#REF!)</f>
        <v>#REF!</v>
      </c>
    </row>
    <row r="381" spans="7:7" x14ac:dyDescent="0.2">
      <c r="G381" s="12" t="e">
        <f>IF(#REF!="","",#REF!)</f>
        <v>#REF!</v>
      </c>
    </row>
    <row r="382" spans="7:7" x14ac:dyDescent="0.2">
      <c r="G382" s="12" t="e">
        <f>IF(#REF!="","",#REF!)</f>
        <v>#REF!</v>
      </c>
    </row>
    <row r="383" spans="7:7" x14ac:dyDescent="0.2">
      <c r="G383" s="12" t="e">
        <f>IF(#REF!="","",#REF!)</f>
        <v>#REF!</v>
      </c>
    </row>
    <row r="384" spans="7:7" x14ac:dyDescent="0.2">
      <c r="G384" s="12" t="e">
        <f>IF(#REF!="","",#REF!)</f>
        <v>#REF!</v>
      </c>
    </row>
    <row r="385" spans="7:7" x14ac:dyDescent="0.2">
      <c r="G385" s="12" t="e">
        <f>IF(#REF!="","",#REF!)</f>
        <v>#REF!</v>
      </c>
    </row>
    <row r="386" spans="7:7" x14ac:dyDescent="0.2">
      <c r="G386" s="12" t="e">
        <f>IF(#REF!="","",#REF!)</f>
        <v>#REF!</v>
      </c>
    </row>
    <row r="387" spans="7:7" x14ac:dyDescent="0.2">
      <c r="G387" s="12" t="e">
        <f>IF(#REF!="","",#REF!)</f>
        <v>#REF!</v>
      </c>
    </row>
    <row r="388" spans="7:7" x14ac:dyDescent="0.2">
      <c r="G388" s="12" t="e">
        <f>IF(#REF!="","",#REF!)</f>
        <v>#REF!</v>
      </c>
    </row>
    <row r="389" spans="7:7" x14ac:dyDescent="0.2">
      <c r="G389" s="12" t="e">
        <f>IF(#REF!="","",#REF!)</f>
        <v>#REF!</v>
      </c>
    </row>
    <row r="390" spans="7:7" x14ac:dyDescent="0.2">
      <c r="G390" s="12" t="e">
        <f>IF(#REF!="","",#REF!)</f>
        <v>#REF!</v>
      </c>
    </row>
    <row r="391" spans="7:7" x14ac:dyDescent="0.2">
      <c r="G391" s="12" t="e">
        <f>IF(#REF!="","",#REF!)</f>
        <v>#REF!</v>
      </c>
    </row>
    <row r="392" spans="7:7" x14ac:dyDescent="0.2">
      <c r="G392" s="12" t="e">
        <f>IF(#REF!="","",#REF!)</f>
        <v>#REF!</v>
      </c>
    </row>
    <row r="393" spans="7:7" x14ac:dyDescent="0.2">
      <c r="G393" s="12" t="e">
        <f>IF(#REF!="","",#REF!)</f>
        <v>#REF!</v>
      </c>
    </row>
    <row r="394" spans="7:7" x14ac:dyDescent="0.2">
      <c r="G394" s="12" t="e">
        <f>IF(#REF!="","",#REF!)</f>
        <v>#REF!</v>
      </c>
    </row>
    <row r="395" spans="7:7" x14ac:dyDescent="0.2">
      <c r="G395" s="12" t="e">
        <f>IF(#REF!="","",#REF!)</f>
        <v>#REF!</v>
      </c>
    </row>
    <row r="396" spans="7:7" x14ac:dyDescent="0.2">
      <c r="G396" s="12" t="e">
        <f>IF(#REF!="","",#REF!)</f>
        <v>#REF!</v>
      </c>
    </row>
    <row r="397" spans="7:7" x14ac:dyDescent="0.2">
      <c r="G397" s="12" t="e">
        <f>IF(#REF!="","",#REF!)</f>
        <v>#REF!</v>
      </c>
    </row>
    <row r="398" spans="7:7" x14ac:dyDescent="0.2">
      <c r="G398" s="12" t="e">
        <f>IF(#REF!="","",#REF!)</f>
        <v>#REF!</v>
      </c>
    </row>
    <row r="399" spans="7:7" x14ac:dyDescent="0.2">
      <c r="G399" s="12" t="e">
        <f>IF(#REF!="","",#REF!)</f>
        <v>#REF!</v>
      </c>
    </row>
    <row r="400" spans="7:7" x14ac:dyDescent="0.2">
      <c r="G400" s="12" t="e">
        <f>IF(#REF!="","",#REF!)</f>
        <v>#REF!</v>
      </c>
    </row>
    <row r="401" spans="7:7" x14ac:dyDescent="0.2">
      <c r="G401" s="12" t="e">
        <f>IF(#REF!="","",#REF!)</f>
        <v>#REF!</v>
      </c>
    </row>
    <row r="402" spans="7:7" x14ac:dyDescent="0.2">
      <c r="G402" s="12" t="e">
        <f>IF(#REF!="","",#REF!)</f>
        <v>#REF!</v>
      </c>
    </row>
    <row r="403" spans="7:7" x14ac:dyDescent="0.2">
      <c r="G403" s="12" t="e">
        <f>IF(#REF!="","",#REF!)</f>
        <v>#REF!</v>
      </c>
    </row>
    <row r="404" spans="7:7" x14ac:dyDescent="0.2">
      <c r="G404" s="12" t="e">
        <f>IF(#REF!="","",#REF!)</f>
        <v>#REF!</v>
      </c>
    </row>
    <row r="405" spans="7:7" x14ac:dyDescent="0.2">
      <c r="G405" s="12" t="e">
        <f>IF(#REF!="","",#REF!)</f>
        <v>#REF!</v>
      </c>
    </row>
    <row r="406" spans="7:7" x14ac:dyDescent="0.2">
      <c r="G406" s="12" t="e">
        <f>IF(#REF!="","",#REF!)</f>
        <v>#REF!</v>
      </c>
    </row>
    <row r="407" spans="7:7" x14ac:dyDescent="0.2">
      <c r="G407" s="12" t="e">
        <f>IF(#REF!="","",#REF!)</f>
        <v>#REF!</v>
      </c>
    </row>
    <row r="408" spans="7:7" x14ac:dyDescent="0.2">
      <c r="G408" s="12" t="e">
        <f>IF(#REF!="","",#REF!)</f>
        <v>#REF!</v>
      </c>
    </row>
    <row r="409" spans="7:7" x14ac:dyDescent="0.2">
      <c r="G409" s="12" t="e">
        <f>IF(#REF!="","",#REF!)</f>
        <v>#REF!</v>
      </c>
    </row>
    <row r="410" spans="7:7" x14ac:dyDescent="0.2">
      <c r="G410" s="12" t="e">
        <f>IF(#REF!="","",#REF!)</f>
        <v>#REF!</v>
      </c>
    </row>
    <row r="411" spans="7:7" x14ac:dyDescent="0.2">
      <c r="G411" s="12" t="e">
        <f>IF(#REF!="","",#REF!)</f>
        <v>#REF!</v>
      </c>
    </row>
    <row r="412" spans="7:7" x14ac:dyDescent="0.2">
      <c r="G412" s="12" t="e">
        <f>IF(#REF!="","",#REF!)</f>
        <v>#REF!</v>
      </c>
    </row>
    <row r="413" spans="7:7" x14ac:dyDescent="0.2">
      <c r="G413" s="12" t="e">
        <f>IF(#REF!="","",#REF!)</f>
        <v>#REF!</v>
      </c>
    </row>
    <row r="414" spans="7:7" x14ac:dyDescent="0.2">
      <c r="G414" s="12" t="e">
        <f>IF(#REF!="","",#REF!)</f>
        <v>#REF!</v>
      </c>
    </row>
    <row r="415" spans="7:7" x14ac:dyDescent="0.2">
      <c r="G415" s="12" t="e">
        <f>IF(#REF!="","",#REF!)</f>
        <v>#REF!</v>
      </c>
    </row>
    <row r="416" spans="7:7" x14ac:dyDescent="0.2">
      <c r="G416" s="12" t="e">
        <f>IF(#REF!="","",#REF!)</f>
        <v>#REF!</v>
      </c>
    </row>
    <row r="417" spans="7:7" x14ac:dyDescent="0.2">
      <c r="G417" s="12" t="e">
        <f>IF(#REF!="","",#REF!)</f>
        <v>#REF!</v>
      </c>
    </row>
    <row r="418" spans="7:7" x14ac:dyDescent="0.2">
      <c r="G418" s="12" t="e">
        <f>IF(#REF!="","",#REF!)</f>
        <v>#REF!</v>
      </c>
    </row>
    <row r="419" spans="7:7" x14ac:dyDescent="0.2">
      <c r="G419" s="12" t="e">
        <f>IF(#REF!="","",#REF!)</f>
        <v>#REF!</v>
      </c>
    </row>
    <row r="420" spans="7:7" x14ac:dyDescent="0.2">
      <c r="G420" s="12" t="e">
        <f>IF(#REF!="","",#REF!)</f>
        <v>#REF!</v>
      </c>
    </row>
    <row r="421" spans="7:7" x14ac:dyDescent="0.2">
      <c r="G421" s="12" t="e">
        <f>IF(#REF!="","",#REF!)</f>
        <v>#REF!</v>
      </c>
    </row>
    <row r="422" spans="7:7" x14ac:dyDescent="0.2">
      <c r="G422" s="12" t="e">
        <f>IF(#REF!="","",#REF!)</f>
        <v>#REF!</v>
      </c>
    </row>
    <row r="423" spans="7:7" x14ac:dyDescent="0.2">
      <c r="G423" s="12" t="e">
        <f>IF(#REF!="","",#REF!)</f>
        <v>#REF!</v>
      </c>
    </row>
    <row r="424" spans="7:7" x14ac:dyDescent="0.2">
      <c r="G424" s="12" t="e">
        <f>IF(#REF!="","",#REF!)</f>
        <v>#REF!</v>
      </c>
    </row>
    <row r="425" spans="7:7" x14ac:dyDescent="0.2">
      <c r="G425" s="12" t="e">
        <f>IF(#REF!="","",#REF!)</f>
        <v>#REF!</v>
      </c>
    </row>
    <row r="426" spans="7:7" x14ac:dyDescent="0.2">
      <c r="G426" s="12" t="e">
        <f>IF(#REF!="","",#REF!)</f>
        <v>#REF!</v>
      </c>
    </row>
    <row r="427" spans="7:7" x14ac:dyDescent="0.2">
      <c r="G427" s="12" t="e">
        <f>IF(#REF!="","",#REF!)</f>
        <v>#REF!</v>
      </c>
    </row>
    <row r="428" spans="7:7" x14ac:dyDescent="0.2">
      <c r="G428" s="12" t="e">
        <f>IF(#REF!="","",#REF!)</f>
        <v>#REF!</v>
      </c>
    </row>
    <row r="429" spans="7:7" x14ac:dyDescent="0.2">
      <c r="G429" s="12" t="e">
        <f>IF(#REF!="","",#REF!)</f>
        <v>#REF!</v>
      </c>
    </row>
    <row r="430" spans="7:7" x14ac:dyDescent="0.2">
      <c r="G430" s="12" t="e">
        <f>IF(#REF!="","",#REF!)</f>
        <v>#REF!</v>
      </c>
    </row>
    <row r="431" spans="7:7" x14ac:dyDescent="0.2">
      <c r="G431" s="12" t="e">
        <f>IF(#REF!="","",#REF!)</f>
        <v>#REF!</v>
      </c>
    </row>
    <row r="432" spans="7:7" x14ac:dyDescent="0.2">
      <c r="G432" s="12" t="e">
        <f>IF(#REF!="","",#REF!)</f>
        <v>#REF!</v>
      </c>
    </row>
    <row r="433" spans="7:7" x14ac:dyDescent="0.2">
      <c r="G433" s="12" t="e">
        <f>IF(#REF!="","",#REF!)</f>
        <v>#REF!</v>
      </c>
    </row>
    <row r="434" spans="7:7" x14ac:dyDescent="0.2">
      <c r="G434" s="12" t="e">
        <f>IF(#REF!="","",#REF!)</f>
        <v>#REF!</v>
      </c>
    </row>
    <row r="435" spans="7:7" x14ac:dyDescent="0.2">
      <c r="G435" s="12" t="e">
        <f>IF(#REF!="","",#REF!)</f>
        <v>#REF!</v>
      </c>
    </row>
    <row r="436" spans="7:7" x14ac:dyDescent="0.2">
      <c r="G436" s="12" t="e">
        <f>IF(#REF!="","",#REF!)</f>
        <v>#REF!</v>
      </c>
    </row>
    <row r="437" spans="7:7" x14ac:dyDescent="0.2">
      <c r="G437" s="12" t="e">
        <f>IF(#REF!="","",#REF!)</f>
        <v>#REF!</v>
      </c>
    </row>
    <row r="438" spans="7:7" x14ac:dyDescent="0.2">
      <c r="G438" s="12" t="e">
        <f>IF(#REF!="","",#REF!)</f>
        <v>#REF!</v>
      </c>
    </row>
    <row r="439" spans="7:7" x14ac:dyDescent="0.2">
      <c r="G439" s="12" t="e">
        <f>IF(#REF!="","",#REF!)</f>
        <v>#REF!</v>
      </c>
    </row>
    <row r="440" spans="7:7" x14ac:dyDescent="0.2">
      <c r="G440" s="12" t="e">
        <f>IF(#REF!="","",#REF!)</f>
        <v>#REF!</v>
      </c>
    </row>
    <row r="441" spans="7:7" x14ac:dyDescent="0.2">
      <c r="G441" s="12" t="e">
        <f>IF(#REF!="","",#REF!)</f>
        <v>#REF!</v>
      </c>
    </row>
    <row r="442" spans="7:7" x14ac:dyDescent="0.2">
      <c r="G442" s="12" t="e">
        <f>IF(#REF!="","",#REF!)</f>
        <v>#REF!</v>
      </c>
    </row>
    <row r="443" spans="7:7" x14ac:dyDescent="0.2">
      <c r="G443" s="12" t="e">
        <f>IF(#REF!="","",#REF!)</f>
        <v>#REF!</v>
      </c>
    </row>
    <row r="444" spans="7:7" x14ac:dyDescent="0.2">
      <c r="G444" s="12" t="e">
        <f>IF(#REF!="","",#REF!)</f>
        <v>#REF!</v>
      </c>
    </row>
    <row r="445" spans="7:7" x14ac:dyDescent="0.2">
      <c r="G445" s="12" t="e">
        <f>IF(#REF!="","",#REF!)</f>
        <v>#REF!</v>
      </c>
    </row>
    <row r="446" spans="7:7" x14ac:dyDescent="0.2">
      <c r="G446" s="12" t="e">
        <f>IF(#REF!="","",#REF!)</f>
        <v>#REF!</v>
      </c>
    </row>
    <row r="447" spans="7:7" x14ac:dyDescent="0.2">
      <c r="G447" s="12" t="e">
        <f>IF(#REF!="","",#REF!)</f>
        <v>#REF!</v>
      </c>
    </row>
    <row r="448" spans="7:7" x14ac:dyDescent="0.2">
      <c r="G448" s="12" t="e">
        <f>IF(#REF!="","",#REF!)</f>
        <v>#REF!</v>
      </c>
    </row>
    <row r="449" spans="7:7" x14ac:dyDescent="0.2">
      <c r="G449" s="12" t="e">
        <f>IF(#REF!="","",#REF!)</f>
        <v>#REF!</v>
      </c>
    </row>
    <row r="450" spans="7:7" x14ac:dyDescent="0.2">
      <c r="G450" s="12" t="e">
        <f>IF(#REF!="","",#REF!)</f>
        <v>#REF!</v>
      </c>
    </row>
    <row r="451" spans="7:7" x14ac:dyDescent="0.2">
      <c r="G451" s="12" t="e">
        <f>IF(#REF!="","",#REF!)</f>
        <v>#REF!</v>
      </c>
    </row>
    <row r="452" spans="7:7" x14ac:dyDescent="0.2">
      <c r="G452" s="12" t="e">
        <f>IF(#REF!="","",#REF!)</f>
        <v>#REF!</v>
      </c>
    </row>
    <row r="453" spans="7:7" x14ac:dyDescent="0.2">
      <c r="G453" s="12" t="e">
        <f>IF(#REF!="","",#REF!)</f>
        <v>#REF!</v>
      </c>
    </row>
    <row r="454" spans="7:7" x14ac:dyDescent="0.2">
      <c r="G454" s="12" t="e">
        <f>IF(#REF!="","",#REF!)</f>
        <v>#REF!</v>
      </c>
    </row>
    <row r="455" spans="7:7" x14ac:dyDescent="0.2">
      <c r="G455" s="12" t="e">
        <f>IF(#REF!="","",#REF!)</f>
        <v>#REF!</v>
      </c>
    </row>
    <row r="456" spans="7:7" x14ac:dyDescent="0.2">
      <c r="G456" s="12" t="e">
        <f>IF(#REF!="","",#REF!)</f>
        <v>#REF!</v>
      </c>
    </row>
    <row r="457" spans="7:7" x14ac:dyDescent="0.2">
      <c r="G457" s="12" t="e">
        <f>IF(#REF!="","",#REF!)</f>
        <v>#REF!</v>
      </c>
    </row>
    <row r="458" spans="7:7" x14ac:dyDescent="0.2">
      <c r="G458" s="12" t="e">
        <f>IF(#REF!="","",#REF!)</f>
        <v>#REF!</v>
      </c>
    </row>
    <row r="459" spans="7:7" x14ac:dyDescent="0.2">
      <c r="G459" s="12" t="e">
        <f>IF(#REF!="","",#REF!)</f>
        <v>#REF!</v>
      </c>
    </row>
    <row r="460" spans="7:7" x14ac:dyDescent="0.2">
      <c r="G460" s="12" t="e">
        <f>IF(#REF!="","",#REF!)</f>
        <v>#REF!</v>
      </c>
    </row>
    <row r="461" spans="7:7" x14ac:dyDescent="0.2">
      <c r="G461" s="12" t="e">
        <f>IF(#REF!="","",#REF!)</f>
        <v>#REF!</v>
      </c>
    </row>
    <row r="462" spans="7:7" x14ac:dyDescent="0.2">
      <c r="G462" s="12" t="e">
        <f>IF(#REF!="","",#REF!)</f>
        <v>#REF!</v>
      </c>
    </row>
    <row r="463" spans="7:7" x14ac:dyDescent="0.2">
      <c r="G463" s="12" t="e">
        <f>IF(#REF!="","",#REF!)</f>
        <v>#REF!</v>
      </c>
    </row>
    <row r="464" spans="7:7" x14ac:dyDescent="0.2">
      <c r="G464" s="12" t="e">
        <f>IF(#REF!="","",#REF!)</f>
        <v>#REF!</v>
      </c>
    </row>
    <row r="465" spans="7:7" x14ac:dyDescent="0.2">
      <c r="G465" s="12" t="e">
        <f>IF(#REF!="","",#REF!)</f>
        <v>#REF!</v>
      </c>
    </row>
    <row r="466" spans="7:7" x14ac:dyDescent="0.2">
      <c r="G466" s="12" t="e">
        <f>IF(#REF!="","",#REF!)</f>
        <v>#REF!</v>
      </c>
    </row>
    <row r="467" spans="7:7" x14ac:dyDescent="0.2">
      <c r="G467" s="12" t="e">
        <f>IF(#REF!="","",#REF!)</f>
        <v>#REF!</v>
      </c>
    </row>
    <row r="468" spans="7:7" x14ac:dyDescent="0.2">
      <c r="G468" s="12" t="e">
        <f>IF(#REF!="","",#REF!)</f>
        <v>#REF!</v>
      </c>
    </row>
    <row r="469" spans="7:7" x14ac:dyDescent="0.2">
      <c r="G469" s="12" t="e">
        <f>IF(#REF!="","",#REF!)</f>
        <v>#REF!</v>
      </c>
    </row>
    <row r="470" spans="7:7" x14ac:dyDescent="0.2">
      <c r="G470" s="12" t="e">
        <f>IF(#REF!="","",#REF!)</f>
        <v>#REF!</v>
      </c>
    </row>
    <row r="471" spans="7:7" x14ac:dyDescent="0.2">
      <c r="G471" s="12" t="e">
        <f>IF(#REF!="","",#REF!)</f>
        <v>#REF!</v>
      </c>
    </row>
    <row r="472" spans="7:7" x14ac:dyDescent="0.2">
      <c r="G472" s="12" t="e">
        <f>IF(#REF!="","",#REF!)</f>
        <v>#REF!</v>
      </c>
    </row>
    <row r="473" spans="7:7" x14ac:dyDescent="0.2">
      <c r="G473" s="12" t="e">
        <f>IF(#REF!="","",#REF!)</f>
        <v>#REF!</v>
      </c>
    </row>
    <row r="474" spans="7:7" x14ac:dyDescent="0.2">
      <c r="G474" s="12" t="e">
        <f>IF(#REF!="","",#REF!)</f>
        <v>#REF!</v>
      </c>
    </row>
    <row r="475" spans="7:7" x14ac:dyDescent="0.2">
      <c r="G475" s="12" t="e">
        <f>IF(#REF!="","",#REF!)</f>
        <v>#REF!</v>
      </c>
    </row>
    <row r="476" spans="7:7" x14ac:dyDescent="0.2">
      <c r="G476" s="12" t="e">
        <f>IF(#REF!="","",#REF!)</f>
        <v>#REF!</v>
      </c>
    </row>
    <row r="477" spans="7:7" x14ac:dyDescent="0.2">
      <c r="G477" s="12" t="e">
        <f>IF(#REF!="","",#REF!)</f>
        <v>#REF!</v>
      </c>
    </row>
    <row r="478" spans="7:7" x14ac:dyDescent="0.2">
      <c r="G478" s="12" t="e">
        <f>IF(#REF!="","",#REF!)</f>
        <v>#REF!</v>
      </c>
    </row>
    <row r="479" spans="7:7" x14ac:dyDescent="0.2">
      <c r="G479" s="12" t="e">
        <f>IF(#REF!="","",#REF!)</f>
        <v>#REF!</v>
      </c>
    </row>
    <row r="480" spans="7:7" x14ac:dyDescent="0.2">
      <c r="G480" s="12" t="e">
        <f>IF(#REF!="","",#REF!)</f>
        <v>#REF!</v>
      </c>
    </row>
    <row r="481" spans="7:7" x14ac:dyDescent="0.2">
      <c r="G481" s="12" t="e">
        <f>IF(#REF!="","",#REF!)</f>
        <v>#REF!</v>
      </c>
    </row>
    <row r="482" spans="7:7" x14ac:dyDescent="0.2">
      <c r="G482" s="12" t="e">
        <f>IF(#REF!="","",#REF!)</f>
        <v>#REF!</v>
      </c>
    </row>
    <row r="483" spans="7:7" x14ac:dyDescent="0.2">
      <c r="G483" s="12" t="e">
        <f>IF(#REF!="","",#REF!)</f>
        <v>#REF!</v>
      </c>
    </row>
    <row r="484" spans="7:7" x14ac:dyDescent="0.2">
      <c r="G484" s="12" t="e">
        <f>IF(#REF!="","",#REF!)</f>
        <v>#REF!</v>
      </c>
    </row>
    <row r="485" spans="7:7" x14ac:dyDescent="0.2">
      <c r="G485" s="12" t="e">
        <f>IF(#REF!="","",#REF!)</f>
        <v>#REF!</v>
      </c>
    </row>
    <row r="486" spans="7:7" x14ac:dyDescent="0.2">
      <c r="G486" s="12" t="e">
        <f>IF(#REF!="","",#REF!)</f>
        <v>#REF!</v>
      </c>
    </row>
    <row r="487" spans="7:7" x14ac:dyDescent="0.2">
      <c r="G487" s="12" t="e">
        <f>IF(#REF!="","",#REF!)</f>
        <v>#REF!</v>
      </c>
    </row>
    <row r="488" spans="7:7" x14ac:dyDescent="0.2">
      <c r="G488" s="12" t="e">
        <f>IF(#REF!="","",#REF!)</f>
        <v>#REF!</v>
      </c>
    </row>
    <row r="489" spans="7:7" x14ac:dyDescent="0.2">
      <c r="G489" s="12" t="e">
        <f>IF(#REF!="","",#REF!)</f>
        <v>#REF!</v>
      </c>
    </row>
    <row r="490" spans="7:7" x14ac:dyDescent="0.2">
      <c r="G490" s="12" t="e">
        <f>IF(#REF!="","",#REF!)</f>
        <v>#REF!</v>
      </c>
    </row>
    <row r="491" spans="7:7" x14ac:dyDescent="0.2">
      <c r="G491" s="12" t="e">
        <f>IF(#REF!="","",#REF!)</f>
        <v>#REF!</v>
      </c>
    </row>
    <row r="492" spans="7:7" x14ac:dyDescent="0.2">
      <c r="G492" s="12" t="e">
        <f>IF(#REF!="","",#REF!)</f>
        <v>#REF!</v>
      </c>
    </row>
    <row r="493" spans="7:7" x14ac:dyDescent="0.2">
      <c r="G493" s="12" t="e">
        <f>IF(#REF!="","",#REF!)</f>
        <v>#REF!</v>
      </c>
    </row>
    <row r="494" spans="7:7" x14ac:dyDescent="0.2">
      <c r="G494" s="12" t="e">
        <f>IF(#REF!="","",#REF!)</f>
        <v>#REF!</v>
      </c>
    </row>
    <row r="495" spans="7:7" x14ac:dyDescent="0.2">
      <c r="G495" s="12" t="e">
        <f>IF(#REF!="","",#REF!)</f>
        <v>#REF!</v>
      </c>
    </row>
    <row r="496" spans="7:7" x14ac:dyDescent="0.2">
      <c r="G496" s="12" t="e">
        <f>IF(#REF!="","",#REF!)</f>
        <v>#REF!</v>
      </c>
    </row>
    <row r="497" spans="7:7" x14ac:dyDescent="0.2">
      <c r="G497" s="12" t="e">
        <f>IF(#REF!="","",#REF!)</f>
        <v>#REF!</v>
      </c>
    </row>
    <row r="498" spans="7:7" x14ac:dyDescent="0.2">
      <c r="G498" s="12" t="e">
        <f>IF(#REF!="","",#REF!)</f>
        <v>#REF!</v>
      </c>
    </row>
    <row r="499" spans="7:7" x14ac:dyDescent="0.2">
      <c r="G499" s="12" t="e">
        <f>IF(#REF!="","",#REF!)</f>
        <v>#REF!</v>
      </c>
    </row>
    <row r="500" spans="7:7" x14ac:dyDescent="0.2">
      <c r="G500" s="12" t="e">
        <f>IF(#REF!="","",#REF!)</f>
        <v>#REF!</v>
      </c>
    </row>
  </sheetData>
  <sheetProtection password="CE5A" sheet="1" objects="1" scenarios="1" selectLockedCells="1"/>
  <mergeCells count="151">
    <mergeCell ref="W84:X84"/>
    <mergeCell ref="N84:V84"/>
    <mergeCell ref="X85:Y85"/>
    <mergeCell ref="N85:W85"/>
    <mergeCell ref="Y86:Z86"/>
    <mergeCell ref="N86:X86"/>
    <mergeCell ref="A83:M86"/>
    <mergeCell ref="V44:W44"/>
    <mergeCell ref="N44:U44"/>
    <mergeCell ref="Z55:Z58"/>
    <mergeCell ref="A56:B57"/>
    <mergeCell ref="Y48:Z48"/>
    <mergeCell ref="A68:B68"/>
    <mergeCell ref="A69:B69"/>
    <mergeCell ref="A70:B70"/>
    <mergeCell ref="A71:B71"/>
    <mergeCell ref="A64:B64"/>
    <mergeCell ref="A65:B65"/>
    <mergeCell ref="A66:B66"/>
    <mergeCell ref="A67:B67"/>
    <mergeCell ref="A60:B60"/>
    <mergeCell ref="A61:B61"/>
    <mergeCell ref="A62:B62"/>
    <mergeCell ref="A63:B63"/>
    <mergeCell ref="B6:G6"/>
    <mergeCell ref="B9:G9"/>
    <mergeCell ref="B12:F12"/>
    <mergeCell ref="W52:Z52"/>
    <mergeCell ref="X12:Y12"/>
    <mergeCell ref="X14:Y14"/>
    <mergeCell ref="T14:U15"/>
    <mergeCell ref="X55:X58"/>
    <mergeCell ref="H6:I6"/>
    <mergeCell ref="W9:W10"/>
    <mergeCell ref="R9:R10"/>
    <mergeCell ref="H9:I9"/>
    <mergeCell ref="G12:H12"/>
    <mergeCell ref="R17:R20"/>
    <mergeCell ref="X9:Y9"/>
    <mergeCell ref="X10:Y10"/>
    <mergeCell ref="V6:V7"/>
    <mergeCell ref="V8:V9"/>
    <mergeCell ref="Y17:Y20"/>
    <mergeCell ref="T17:T20"/>
    <mergeCell ref="V17:V20"/>
    <mergeCell ref="O10:Q10"/>
    <mergeCell ref="Y55:Y58"/>
    <mergeCell ref="O12:Q12"/>
    <mergeCell ref="I12:J12"/>
    <mergeCell ref="K12:N12"/>
    <mergeCell ref="T55:T58"/>
    <mergeCell ref="U55:U58"/>
    <mergeCell ref="V55:V58"/>
    <mergeCell ref="U17:U20"/>
    <mergeCell ref="O17:Q17"/>
    <mergeCell ref="O55:Q55"/>
    <mergeCell ref="O18:O20"/>
    <mergeCell ref="N48:X48"/>
    <mergeCell ref="S55:S58"/>
    <mergeCell ref="R55:R58"/>
    <mergeCell ref="X49:Z50"/>
    <mergeCell ref="P43:V43"/>
    <mergeCell ref="C57:L57"/>
    <mergeCell ref="C56:H56"/>
    <mergeCell ref="O56:O58"/>
    <mergeCell ref="P56:P58"/>
    <mergeCell ref="Q56:Q58"/>
    <mergeCell ref="W55:W57"/>
    <mergeCell ref="W17:W19"/>
    <mergeCell ref="X17:X20"/>
    <mergeCell ref="Q18:Q20"/>
    <mergeCell ref="N45:V45"/>
    <mergeCell ref="W45:X45"/>
    <mergeCell ref="N46:W46"/>
    <mergeCell ref="X46:Y46"/>
    <mergeCell ref="Y47:Z47"/>
    <mergeCell ref="N47:X47"/>
    <mergeCell ref="S17:S20"/>
    <mergeCell ref="P18:P20"/>
    <mergeCell ref="A1:B3"/>
    <mergeCell ref="A49:B51"/>
    <mergeCell ref="C1:J2"/>
    <mergeCell ref="A24:B24"/>
    <mergeCell ref="A25:B25"/>
    <mergeCell ref="M55:M58"/>
    <mergeCell ref="A18:B19"/>
    <mergeCell ref="C18:H18"/>
    <mergeCell ref="C19:L19"/>
    <mergeCell ref="M17:M20"/>
    <mergeCell ref="A26:B26"/>
    <mergeCell ref="A27:B27"/>
    <mergeCell ref="C49:J50"/>
    <mergeCell ref="A42:B42"/>
    <mergeCell ref="A43:B43"/>
    <mergeCell ref="A44:B44"/>
    <mergeCell ref="A45:B45"/>
    <mergeCell ref="A28:B28"/>
    <mergeCell ref="A29:B29"/>
    <mergeCell ref="A30:B30"/>
    <mergeCell ref="A31:B31"/>
    <mergeCell ref="A20:B20"/>
    <mergeCell ref="A21:B21"/>
    <mergeCell ref="A22:B22"/>
    <mergeCell ref="S10:S11"/>
    <mergeCell ref="W4:Z4"/>
    <mergeCell ref="Z17:Z20"/>
    <mergeCell ref="S8:S9"/>
    <mergeCell ref="T8:T9"/>
    <mergeCell ref="U8:U9"/>
    <mergeCell ref="X6:Y6"/>
    <mergeCell ref="A33:B33"/>
    <mergeCell ref="X1:Z2"/>
    <mergeCell ref="S12:S13"/>
    <mergeCell ref="T12:T13"/>
    <mergeCell ref="U12:U13"/>
    <mergeCell ref="V12:V13"/>
    <mergeCell ref="T10:T11"/>
    <mergeCell ref="U10:U11"/>
    <mergeCell ref="V10:V11"/>
    <mergeCell ref="J6:L6"/>
    <mergeCell ref="O6:Q6"/>
    <mergeCell ref="O9:Q9"/>
    <mergeCell ref="T5:U5"/>
    <mergeCell ref="S6:S7"/>
    <mergeCell ref="T6:T7"/>
    <mergeCell ref="U6:U7"/>
    <mergeCell ref="J9:L9"/>
    <mergeCell ref="A23:B23"/>
    <mergeCell ref="A32:B32"/>
    <mergeCell ref="A39:B39"/>
    <mergeCell ref="A40:B40"/>
    <mergeCell ref="A41:B41"/>
    <mergeCell ref="A59:B59"/>
    <mergeCell ref="A58:B58"/>
    <mergeCell ref="A36:B36"/>
    <mergeCell ref="A37:B37"/>
    <mergeCell ref="A38:B38"/>
    <mergeCell ref="A34:B34"/>
    <mergeCell ref="A35:B35"/>
    <mergeCell ref="A46:M48"/>
    <mergeCell ref="A81:B81"/>
    <mergeCell ref="A82:B82"/>
    <mergeCell ref="A76:B76"/>
    <mergeCell ref="A77:B77"/>
    <mergeCell ref="A78:B78"/>
    <mergeCell ref="A72:B72"/>
    <mergeCell ref="A73:B73"/>
    <mergeCell ref="A74:B74"/>
    <mergeCell ref="A75:B75"/>
    <mergeCell ref="A79:B79"/>
    <mergeCell ref="A80:B80"/>
  </mergeCells>
  <phoneticPr fontId="0" type="noConversion"/>
  <dataValidations count="2">
    <dataValidation type="list" allowBlank="1" showInputMessage="1" showErrorMessage="1" sqref="N57">
      <formula1>$AB$20:$AB$26</formula1>
    </dataValidation>
    <dataValidation type="list" allowBlank="1" showInputMessage="1" showErrorMessage="1" sqref="N19">
      <formula1>$AB$20:$AB$25</formula1>
    </dataValidation>
  </dataValidations>
  <printOptions horizontalCentered="1"/>
  <pageMargins left="0.5" right="0.5" top="0.5" bottom="0.5" header="0.5" footer="0.5"/>
  <pageSetup scale="60" fitToHeight="2" orientation="landscape" r:id="rId1"/>
  <headerFooter alignWithMargins="0"/>
  <rowBreaks count="1" manualBreakCount="1">
    <brk id="48" max="31"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vt:lpstr>
      <vt:lpstr>ID-CPA-006</vt:lpstr>
      <vt:lpstr>'ID-CPA-006'!Print_Area</vt:lpstr>
      <vt:lpstr>Instructions!Print_Area</vt:lpstr>
    </vt:vector>
  </TitlesOfParts>
  <Company>USDA NRCS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ID-CPA-006</dc:title>
  <dc:subject>Similarity Index - Production</dc:subject>
  <dc:creator>Brendan Brazee</dc:creator>
  <cp:lastModifiedBy>Kathy.Dingman</cp:lastModifiedBy>
  <cp:lastPrinted>2009-06-08T15:21:11Z</cp:lastPrinted>
  <dcterms:created xsi:type="dcterms:W3CDTF">1999-02-03T17:20:35Z</dcterms:created>
  <dcterms:modified xsi:type="dcterms:W3CDTF">2014-02-07T18:52:31Z</dcterms:modified>
</cp:coreProperties>
</file>