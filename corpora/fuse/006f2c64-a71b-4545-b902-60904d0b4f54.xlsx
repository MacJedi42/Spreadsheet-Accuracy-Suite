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7400" windowHeight="12015"/>
  </bookViews>
  <sheets>
    <sheet name="Sheet1" sheetId="1" r:id="rId1"/>
    <sheet name="Sheet2" sheetId="2" r:id="rId2"/>
    <sheet name="Sheet3" sheetId="3" r:id="rId3"/>
  </sheets>
  <calcPr calcId="145621" fullPrecision="0"/>
</workbook>
</file>

<file path=xl/calcChain.xml><?xml version="1.0" encoding="utf-8"?>
<calcChain xmlns="http://schemas.openxmlformats.org/spreadsheetml/2006/main">
  <c r="D15" i="1" l="1"/>
  <c r="D14" i="1"/>
  <c r="D13" i="1"/>
  <c r="D12" i="1"/>
  <c r="D11" i="1"/>
  <c r="D10" i="1"/>
  <c r="F4" i="1" l="1"/>
  <c r="I30" i="1" l="1"/>
  <c r="H30" i="1"/>
  <c r="G30" i="1"/>
  <c r="F30" i="1"/>
  <c r="E30" i="1"/>
  <c r="D30" i="1"/>
  <c r="F5" i="1" l="1"/>
  <c r="F25" i="1" l="1"/>
  <c r="F21" i="1"/>
  <c r="E25" i="1"/>
  <c r="E21" i="1"/>
  <c r="D25" i="1"/>
  <c r="D21" i="1"/>
  <c r="H10" i="1" l="1"/>
  <c r="J10" i="1" s="1"/>
  <c r="H11" i="1"/>
  <c r="J11" i="1" s="1"/>
  <c r="H12" i="1"/>
  <c r="J12" i="1" s="1"/>
  <c r="D18" i="1"/>
  <c r="E18" i="1" s="1"/>
  <c r="E14" i="1"/>
  <c r="F6" i="1"/>
  <c r="E15" i="1" s="1"/>
  <c r="E13" i="1"/>
  <c r="F15" i="1" l="1"/>
  <c r="H15" i="1" s="1"/>
  <c r="J15" i="1" s="1"/>
  <c r="F14" i="1"/>
  <c r="H14" i="1" s="1"/>
  <c r="J14" i="1" s="1"/>
  <c r="F13" i="1"/>
  <c r="H13" i="1" s="1"/>
  <c r="J13" i="1" s="1"/>
  <c r="I21" i="1" l="1"/>
  <c r="I25" i="1"/>
  <c r="G25" i="1"/>
  <c r="G21" i="1"/>
  <c r="J16" i="1"/>
  <c r="F18" i="1" s="1"/>
  <c r="H21" i="1"/>
  <c r="H25" i="1"/>
  <c r="H18" i="1" l="1"/>
  <c r="I22" i="1" s="1"/>
  <c r="I23" i="1" s="1"/>
  <c r="I26" i="1" s="1"/>
  <c r="I27" i="1" s="1"/>
  <c r="I31" i="1" s="1"/>
  <c r="I32" i="1" s="1"/>
  <c r="D22" i="1" l="1"/>
  <c r="D23" i="1" s="1"/>
  <c r="D26" i="1" s="1"/>
  <c r="D27" i="1" s="1"/>
  <c r="D31" i="1" s="1"/>
  <c r="D32" i="1" s="1"/>
  <c r="F22" i="1"/>
  <c r="F23" i="1" s="1"/>
  <c r="F26" i="1" s="1"/>
  <c r="F27" i="1" s="1"/>
  <c r="F31" i="1" s="1"/>
  <c r="F32" i="1" s="1"/>
  <c r="H22" i="1"/>
  <c r="H23" i="1" s="1"/>
  <c r="H26" i="1" s="1"/>
  <c r="H27" i="1" s="1"/>
  <c r="H31" i="1" s="1"/>
  <c r="H32" i="1" s="1"/>
  <c r="G22" i="1"/>
  <c r="G23" i="1" s="1"/>
  <c r="G26" i="1" s="1"/>
  <c r="G27" i="1" s="1"/>
  <c r="G31" i="1" s="1"/>
  <c r="G32" i="1" s="1"/>
  <c r="E22" i="1"/>
  <c r="E23" i="1" s="1"/>
  <c r="E26" i="1" s="1"/>
  <c r="E27" i="1" s="1"/>
  <c r="E31" i="1" s="1"/>
  <c r="E32" i="1" s="1"/>
</calcChain>
</file>

<file path=xl/sharedStrings.xml><?xml version="1.0" encoding="utf-8"?>
<sst xmlns="http://schemas.openxmlformats.org/spreadsheetml/2006/main" count="58" uniqueCount="49">
  <si>
    <t>Total Number Menus in Month</t>
  </si>
  <si>
    <t>% Menus Containing Milk</t>
  </si>
  <si>
    <t>AM Snack</t>
  </si>
  <si>
    <t>PM Snack</t>
  </si>
  <si>
    <t>Eve Snack</t>
  </si>
  <si>
    <t>(D) Use number of ounces required for the age group with the greatest attendance at that meal/snack service.</t>
  </si>
  <si>
    <t>Meal Types</t>
  </si>
  <si>
    <t>Breakfast</t>
  </si>
  <si>
    <t>Lunch</t>
  </si>
  <si>
    <t>Supper</t>
  </si>
  <si>
    <t>(H)</t>
  </si>
  <si>
    <t>10% Variance</t>
  </si>
  <si>
    <t xml:space="preserve">                          Total Number Gallons Needed in Month </t>
  </si>
  <si>
    <t>( C)            Eve Snack</t>
  </si>
  <si>
    <t>( C)                       PM Snack</t>
  </si>
  <si>
    <t>(A)                               Supper</t>
  </si>
  <si>
    <t>(A)                         Breakfast</t>
  </si>
  <si>
    <t>(A)                                         Lunch</t>
  </si>
  <si>
    <t>(J) No. of Meals</t>
  </si>
  <si>
    <t>(L) No. Meals Allowed</t>
  </si>
  <si>
    <t>(M) No. Meals Verified</t>
  </si>
  <si>
    <t>(N) No. Meals Allowed</t>
  </si>
  <si>
    <t>(O) No. Meals Disallowed</t>
  </si>
  <si>
    <t xml:space="preserve"> Round to whole # on meal counts</t>
  </si>
  <si>
    <r>
      <t xml:space="preserve">(K) % Meals Allowed </t>
    </r>
    <r>
      <rPr>
        <b/>
        <sz val="9"/>
        <color theme="1"/>
        <rFont val="Calibri"/>
        <family val="2"/>
        <scheme val="minor"/>
      </rPr>
      <t>(I)</t>
    </r>
  </si>
  <si>
    <t>(Q) Minus no. meals disallowed (line O)</t>
  </si>
  <si>
    <t>( R) Total no. meals to be claimed</t>
  </si>
  <si>
    <t>(B)                                                    % snacks w/milk</t>
  </si>
  <si>
    <t>( C)                                     no. snacks w/milk</t>
  </si>
  <si>
    <t>(D)                 oz. required</t>
  </si>
  <si>
    <t>(E)                       Total oz. needed</t>
  </si>
  <si>
    <t>(F)                 oz per gallon</t>
  </si>
  <si>
    <t>(G)            gallons needed</t>
  </si>
  <si>
    <t>No. Menus Containing Milk</t>
  </si>
  <si>
    <t>(H) No. Gallons Needed</t>
  </si>
  <si>
    <t>(I)    % Meals Meeting Milk Requirement</t>
  </si>
  <si>
    <t>Total Gallons</t>
  </si>
  <si>
    <t>Note:  Deduct out infant (under 1 yr. of age) meals from meals verified and ALL numbers (except for meal counts) are to be carried out to two decimal points.</t>
  </si>
  <si>
    <t>(A)                   Meals Verified   (minus infant meals)</t>
  </si>
  <si>
    <t>Month/Year:</t>
  </si>
  <si>
    <t xml:space="preserve">Consultant :   </t>
  </si>
  <si>
    <t xml:space="preserve">Sponsor:   </t>
  </si>
  <si>
    <t>Number Gallons Milk Purchased</t>
  </si>
  <si>
    <t>*Remember, may need to still subtract no. meals disallowed from grand total meals vended including infant meals (column AA) to obtain final number of meals to claim.</t>
  </si>
  <si>
    <t xml:space="preserve"> (AA)                                  Total Meals Verified including infant meals                          </t>
  </si>
  <si>
    <t>Total Infant Meals Deducted (under 1 year of age)</t>
  </si>
  <si>
    <t>( C)              AM Snack</t>
  </si>
  <si>
    <t>(P) Grand total of each meal verified (including infant meals, columm AA)</t>
  </si>
  <si>
    <t>If section (l), % of meals meeting milk requirements, is 100% or above then there is no milk purchase shortage and the charts below are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</si>
</sst>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.300000000000000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1" xfId="0" applyBorder="1"/>
    <xf numFmtId="0" fontId="0" fillId="0" borderId="0" xfId="0" applyBorder="1"/>
    <xf numFmtId="10" fontId="0" fillId="0" borderId="1" xfId="0" applyNumberFormat="1" applyBorder="1"/>
    <xf numFmtId="0" fontId="2" fillId="0" borderId="0" xfId="0" applyFont="1" applyBorder="1"/>
    <xf numFmtId="0" fontId="2" fillId="0" borderId="0" xfId="0" applyFont="1"/>
    <xf numFmtId="0" fontId="0" fillId="2" borderId="1" xfId="0" applyFill="1" applyBorder="1"/>
    <xf numFmtId="1" fontId="0" fillId="0" borderId="1" xfId="0" applyNumberFormat="1" applyBorder="1"/>
    <xf numFmtId="0" fontId="4" fillId="0" borderId="0" xfId="0" applyFont="1"/>
    <xf numFmtId="0" fontId="3" fillId="0" borderId="0" xfId="0" applyFont="1"/>
    <xf numFmtId="10" fontId="0" fillId="0" borderId="0" xfId="0" applyNumberFormat="1" applyBorder="1"/>
    <xf numFmtId="1" fontId="0" fillId="0" borderId="11" xfId="0" applyNumberFormat="1" applyBorder="1"/>
    <xf numFmtId="1" fontId="0" fillId="2" borderId="1" xfId="0" applyNumberFormat="1" applyFill="1" applyBorder="1"/>
    <xf numFmtId="0" fontId="0" fillId="2" borderId="5" xfId="0" applyFill="1" applyBorder="1"/>
    <xf numFmtId="0" fontId="0" fillId="0" borderId="20" xfId="0" applyBorder="1"/>
    <xf numFmtId="0" fontId="0" fillId="0" borderId="0" xfId="0" applyFill="1" applyBorder="1"/>
    <xf numFmtId="10" fontId="0" fillId="0" borderId="5" xfId="0" applyNumberFormat="1" applyBorder="1"/>
    <xf numFmtId="1" fontId="0" fillId="0" borderId="5" xfId="0" applyNumberFormat="1" applyBorder="1"/>
    <xf numFmtId="0" fontId="6" fillId="0" borderId="0" xfId="0" applyFont="1" applyBorder="1"/>
    <xf numFmtId="1" fontId="0" fillId="0" borderId="19" xfId="0" applyNumberFormat="1" applyBorder="1"/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13" xfId="0" applyFont="1" applyBorder="1"/>
    <xf numFmtId="0" fontId="7" fillId="0" borderId="2" xfId="0" applyFont="1" applyBorder="1"/>
    <xf numFmtId="0" fontId="7" fillId="0" borderId="2" xfId="0" applyFont="1" applyFill="1" applyBorder="1"/>
    <xf numFmtId="0" fontId="7" fillId="0" borderId="3" xfId="0" applyFont="1" applyFill="1" applyBorder="1"/>
    <xf numFmtId="0" fontId="0" fillId="0" borderId="5" xfId="0" applyBorder="1"/>
    <xf numFmtId="0" fontId="7" fillId="0" borderId="2" xfId="0" applyNumberFormat="1" applyFont="1" applyBorder="1" applyAlignment="1">
      <alignment horizontal="center" wrapText="1"/>
    </xf>
    <xf numFmtId="0" fontId="2" fillId="0" borderId="4" xfId="0" applyFont="1" applyBorder="1"/>
    <xf numFmtId="0" fontId="2" fillId="0" borderId="1" xfId="0" applyFont="1" applyBorder="1"/>
    <xf numFmtId="10" fontId="2" fillId="0" borderId="5" xfId="0" applyNumberFormat="1" applyFont="1" applyBorder="1" applyProtection="1"/>
    <xf numFmtId="0" fontId="2" fillId="0" borderId="11" xfId="0" applyFont="1" applyBorder="1"/>
    <xf numFmtId="10" fontId="2" fillId="0" borderId="19" xfId="0" applyNumberFormat="1" applyFont="1" applyBorder="1" applyProtection="1"/>
    <xf numFmtId="0" fontId="2" fillId="2" borderId="1" xfId="0" applyFont="1" applyFill="1" applyBorder="1"/>
    <xf numFmtId="2" fontId="2" fillId="0" borderId="5" xfId="0" applyNumberFormat="1" applyFont="1" applyBorder="1"/>
    <xf numFmtId="10" fontId="2" fillId="0" borderId="1" xfId="0" applyNumberFormat="1" applyFont="1" applyBorder="1"/>
    <xf numFmtId="1" fontId="2" fillId="0" borderId="1" xfId="0" applyNumberFormat="1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2" fontId="2" fillId="0" borderId="15" xfId="0" applyNumberFormat="1" applyFont="1" applyBorder="1"/>
    <xf numFmtId="2" fontId="2" fillId="0" borderId="12" xfId="0" applyNumberFormat="1" applyFont="1" applyBorder="1"/>
    <xf numFmtId="0" fontId="2" fillId="0" borderId="9" xfId="0" applyFont="1" applyBorder="1"/>
    <xf numFmtId="10" fontId="2" fillId="0" borderId="8" xfId="0" applyNumberFormat="1" applyFont="1" applyBorder="1"/>
    <xf numFmtId="0" fontId="2" fillId="0" borderId="8" xfId="0" applyFont="1" applyBorder="1"/>
    <xf numFmtId="0" fontId="2" fillId="0" borderId="10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1" fontId="0" fillId="0" borderId="22" xfId="0" applyNumberFormat="1" applyBorder="1"/>
    <xf numFmtId="1" fontId="0" fillId="0" borderId="21" xfId="0" applyNumberFormat="1" applyBorder="1"/>
    <xf numFmtId="1" fontId="0" fillId="0" borderId="23" xfId="0" applyNumberFormat="1" applyBorder="1"/>
    <xf numFmtId="1" fontId="0" fillId="0" borderId="12" xfId="0" applyNumberFormat="1" applyBorder="1"/>
    <xf numFmtId="0" fontId="1" fillId="0" borderId="24" xfId="0" applyFont="1" applyBorder="1"/>
    <xf numFmtId="0" fontId="1" fillId="0" borderId="24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2" fillId="0" borderId="6" xfId="0" applyFont="1" applyBorder="1"/>
    <xf numFmtId="0" fontId="5" fillId="0" borderId="25" xfId="0" applyFont="1" applyBorder="1" applyAlignment="1">
      <alignment horizontal="center" wrapText="1"/>
    </xf>
    <xf numFmtId="0" fontId="2" fillId="0" borderId="31" xfId="0" applyFont="1" applyBorder="1"/>
    <xf numFmtId="0" fontId="7" fillId="0" borderId="33" xfId="0" applyFont="1" applyBorder="1" applyAlignment="1">
      <alignment horizontal="center"/>
    </xf>
    <xf numFmtId="164" fontId="0" fillId="0" borderId="5" xfId="0" applyNumberFormat="1" applyBorder="1"/>
    <xf numFmtId="0" fontId="3" fillId="0" borderId="0" xfId="0" applyFont="1" applyBorder="1"/>
    <xf numFmtId="2" fontId="3" fillId="0" borderId="0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2" fillId="0" borderId="26" xfId="0" applyFont="1" applyBorder="1" applyProtection="1">
      <protection locked="0"/>
    </xf>
    <xf numFmtId="0" fontId="1" fillId="0" borderId="24" xfId="0" applyFont="1" applyBorder="1" applyProtection="1">
      <protection locked="0"/>
    </xf>
    <xf numFmtId="14" fontId="1" fillId="0" borderId="24" xfId="0" applyNumberFormat="1" applyFont="1" applyBorder="1" applyProtection="1">
      <protection locked="0"/>
    </xf>
    <xf numFmtId="0" fontId="0" fillId="0" borderId="24" xfId="0" applyBorder="1" applyProtection="1">
      <protection locked="0"/>
    </xf>
    <xf numFmtId="0" fontId="3" fillId="0" borderId="28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5" fillId="0" borderId="29" xfId="0" applyFont="1" applyBorder="1"/>
    <xf numFmtId="0" fontId="3" fillId="0" borderId="28" xfId="0" applyFont="1" applyBorder="1" applyAlignment="1">
      <alignment shrinkToFit="1"/>
    </xf>
    <xf numFmtId="0" fontId="3" fillId="0" borderId="30" xfId="0" applyFont="1" applyBorder="1" applyAlignment="1">
      <alignment shrinkToFit="1"/>
    </xf>
    <xf numFmtId="0" fontId="3" fillId="0" borderId="26" xfId="0" applyFont="1" applyBorder="1" applyAlignment="1">
      <alignment shrinkToFit="1"/>
    </xf>
    <xf numFmtId="0" fontId="0" fillId="0" borderId="28" xfId="0" applyBorder="1" applyAlignment="1">
      <alignment shrinkToFit="1"/>
    </xf>
    <xf numFmtId="0" fontId="0" fillId="0" borderId="30" xfId="0" applyBorder="1" applyAlignment="1">
      <alignment shrinkToFit="1"/>
    </xf>
    <xf numFmtId="0" fontId="0" fillId="0" borderId="26" xfId="0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27" xfId="0" applyBorder="1" applyAlignment="1">
      <alignment shrinkToFi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3" fillId="2" borderId="28" xfId="0" applyFont="1" applyFill="1" applyBorder="1" applyAlignment="1">
      <alignment shrinkToFit="1"/>
    </xf>
    <xf numFmtId="0" fontId="3" fillId="2" borderId="30" xfId="0" applyFont="1" applyFill="1" applyBorder="1" applyAlignment="1">
      <alignment shrinkToFit="1"/>
    </xf>
    <xf numFmtId="0" fontId="3" fillId="2" borderId="26" xfId="0" applyFont="1" applyFill="1" applyBorder="1" applyAlignment="1">
      <alignment shrinkToFit="1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27" xfId="0" applyFont="1" applyBorder="1" applyProtection="1">
      <protection locked="0"/>
    </xf>
    <xf numFmtId="0" fontId="7" fillId="0" borderId="16" xfId="0" applyFont="1" applyBorder="1"/>
    <xf numFmtId="0" fontId="7" fillId="0" borderId="17" xfId="0" applyFont="1" applyBorder="1"/>
    <xf numFmtId="0" fontId="7" fillId="0" borderId="25" xfId="0" applyFont="1" applyBorder="1"/>
    <xf numFmtId="0" fontId="2" fillId="0" borderId="28" xfId="0" applyFont="1" applyBorder="1"/>
    <xf numFmtId="0" fontId="2" fillId="0" borderId="30" xfId="0" applyFont="1" applyBorder="1"/>
    <xf numFmtId="0" fontId="2" fillId="0" borderId="26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view="pageLayout" zoomScaleNormal="90" workbookViewId="0">
      <selection activeCell="G10" sqref="G10:G15"/>
    </sheetView>
  </sheetViews>
  <sheetFormatPr defaultRowHeight="15" x14ac:dyDescent="0.25"/>
  <cols>
    <col min="1" max="1" width="15.42578125" customWidth="1"/>
    <col min="2" max="2" width="17.5703125" customWidth="1"/>
    <col min="3" max="3" width="15.7109375" customWidth="1"/>
    <col min="4" max="5" width="12.42578125" customWidth="1"/>
    <col min="6" max="6" width="11.28515625" customWidth="1"/>
    <col min="7" max="7" width="11" customWidth="1"/>
    <col min="8" max="8" width="11.85546875" customWidth="1"/>
    <col min="9" max="9" width="10.28515625" customWidth="1"/>
    <col min="10" max="10" width="11.28515625" customWidth="1"/>
    <col min="11" max="11" width="10.28515625" customWidth="1"/>
    <col min="15" max="15" width="10.7109375" customWidth="1"/>
  </cols>
  <sheetData>
    <row r="1" spans="1:11" x14ac:dyDescent="0.25">
      <c r="A1" s="72" t="s">
        <v>41</v>
      </c>
      <c r="B1" s="72"/>
      <c r="C1" s="72"/>
      <c r="D1" s="2"/>
      <c r="E1" s="57" t="s">
        <v>39</v>
      </c>
      <c r="F1" s="73"/>
      <c r="G1" s="2"/>
      <c r="H1" s="56" t="s">
        <v>40</v>
      </c>
      <c r="I1" s="74"/>
      <c r="J1" s="74"/>
      <c r="K1" s="2"/>
    </row>
    <row r="2" spans="1:11" ht="9.9499999999999993" customHeight="1" thickBot="1" x14ac:dyDescent="0.3"/>
    <row r="3" spans="1:11" ht="39.75" thickTop="1" x14ac:dyDescent="0.25">
      <c r="A3" s="103"/>
      <c r="B3" s="104"/>
      <c r="C3" s="105"/>
      <c r="D3" s="20" t="s">
        <v>33</v>
      </c>
      <c r="E3" s="20" t="s">
        <v>0</v>
      </c>
      <c r="F3" s="21" t="s">
        <v>1</v>
      </c>
    </row>
    <row r="4" spans="1:11" x14ac:dyDescent="0.25">
      <c r="A4" s="106" t="s">
        <v>2</v>
      </c>
      <c r="B4" s="107"/>
      <c r="C4" s="108"/>
      <c r="D4" s="68"/>
      <c r="E4" s="68"/>
      <c r="F4" s="30">
        <f>IF(D4=0,0,D4/E4)</f>
        <v>0</v>
      </c>
    </row>
    <row r="5" spans="1:11" x14ac:dyDescent="0.25">
      <c r="A5" s="106" t="s">
        <v>3</v>
      </c>
      <c r="B5" s="107"/>
      <c r="C5" s="108"/>
      <c r="D5" s="68"/>
      <c r="E5" s="68"/>
      <c r="F5" s="30" t="e">
        <f t="shared" ref="F5:F6" si="0">+D5/E5</f>
        <v>#DIV/0!</v>
      </c>
    </row>
    <row r="6" spans="1:11" ht="15.75" thickBot="1" x14ac:dyDescent="0.3">
      <c r="A6" s="109" t="s">
        <v>4</v>
      </c>
      <c r="B6" s="110"/>
      <c r="C6" s="111"/>
      <c r="D6" s="69"/>
      <c r="E6" s="69"/>
      <c r="F6" s="32" t="e">
        <f t="shared" si="0"/>
        <v>#DIV/0!</v>
      </c>
    </row>
    <row r="7" spans="1:11" ht="12" customHeight="1" thickTop="1" x14ac:dyDescent="0.25">
      <c r="A7" s="58" t="s">
        <v>37</v>
      </c>
      <c r="B7" s="58"/>
      <c r="C7" s="58"/>
      <c r="D7" s="4"/>
      <c r="E7" s="2"/>
      <c r="F7" s="2"/>
    </row>
    <row r="8" spans="1:11" ht="12" customHeight="1" thickBot="1" x14ac:dyDescent="0.3">
      <c r="A8" s="59" t="s">
        <v>5</v>
      </c>
      <c r="B8" s="59"/>
      <c r="C8" s="59"/>
      <c r="D8" s="5"/>
    </row>
    <row r="9" spans="1:11" ht="48" customHeight="1" thickTop="1" x14ac:dyDescent="0.25">
      <c r="A9" s="63" t="s">
        <v>6</v>
      </c>
      <c r="B9" s="20" t="s">
        <v>44</v>
      </c>
      <c r="C9" s="20" t="s">
        <v>45</v>
      </c>
      <c r="D9" s="61" t="s">
        <v>38</v>
      </c>
      <c r="E9" s="20" t="s">
        <v>27</v>
      </c>
      <c r="F9" s="27" t="s">
        <v>28</v>
      </c>
      <c r="G9" s="20" t="s">
        <v>29</v>
      </c>
      <c r="H9" s="20" t="s">
        <v>30</v>
      </c>
      <c r="I9" s="20" t="s">
        <v>31</v>
      </c>
      <c r="J9" s="21" t="s">
        <v>32</v>
      </c>
    </row>
    <row r="10" spans="1:11" x14ac:dyDescent="0.25">
      <c r="A10" s="62" t="s">
        <v>7</v>
      </c>
      <c r="B10" s="70"/>
      <c r="C10" s="70"/>
      <c r="D10" s="29">
        <f>+B10-C10</f>
        <v>0</v>
      </c>
      <c r="E10" s="33"/>
      <c r="F10" s="33"/>
      <c r="G10" s="68"/>
      <c r="H10" s="67">
        <f>+D10*G10</f>
        <v>0</v>
      </c>
      <c r="I10" s="29">
        <v>128</v>
      </c>
      <c r="J10" s="34">
        <f>+H10/I10</f>
        <v>0</v>
      </c>
    </row>
    <row r="11" spans="1:11" x14ac:dyDescent="0.25">
      <c r="A11" s="28" t="s">
        <v>8</v>
      </c>
      <c r="B11" s="71"/>
      <c r="C11" s="71"/>
      <c r="D11" s="29">
        <f t="shared" ref="D11:D15" si="1">+B11-C11</f>
        <v>0</v>
      </c>
      <c r="E11" s="33"/>
      <c r="F11" s="33"/>
      <c r="G11" s="68"/>
      <c r="H11" s="67">
        <f t="shared" ref="H11:H12" si="2">+D11*G11</f>
        <v>0</v>
      </c>
      <c r="I11" s="29">
        <v>128</v>
      </c>
      <c r="J11" s="34">
        <f t="shared" ref="J11:J15" si="3">+H11/I11</f>
        <v>0</v>
      </c>
    </row>
    <row r="12" spans="1:11" x14ac:dyDescent="0.25">
      <c r="A12" s="28" t="s">
        <v>9</v>
      </c>
      <c r="B12" s="71"/>
      <c r="C12" s="71"/>
      <c r="D12" s="29">
        <f t="shared" si="1"/>
        <v>0</v>
      </c>
      <c r="E12" s="33"/>
      <c r="F12" s="33"/>
      <c r="G12" s="68"/>
      <c r="H12" s="67">
        <f t="shared" si="2"/>
        <v>0</v>
      </c>
      <c r="I12" s="29">
        <v>128</v>
      </c>
      <c r="J12" s="34">
        <f t="shared" si="3"/>
        <v>0</v>
      </c>
    </row>
    <row r="13" spans="1:11" x14ac:dyDescent="0.25">
      <c r="A13" s="28" t="s">
        <v>2</v>
      </c>
      <c r="B13" s="71"/>
      <c r="C13" s="71"/>
      <c r="D13" s="29">
        <f t="shared" si="1"/>
        <v>0</v>
      </c>
      <c r="E13" s="35">
        <f>+F4</f>
        <v>0</v>
      </c>
      <c r="F13" s="36">
        <f>+D13*E13</f>
        <v>0</v>
      </c>
      <c r="G13" s="68"/>
      <c r="H13" s="67">
        <f>+F13*G13</f>
        <v>0</v>
      </c>
      <c r="I13" s="29">
        <v>128</v>
      </c>
      <c r="J13" s="34">
        <f t="shared" si="3"/>
        <v>0</v>
      </c>
    </row>
    <row r="14" spans="1:11" x14ac:dyDescent="0.25">
      <c r="A14" s="28" t="s">
        <v>3</v>
      </c>
      <c r="B14" s="71"/>
      <c r="C14" s="71"/>
      <c r="D14" s="29">
        <f t="shared" si="1"/>
        <v>0</v>
      </c>
      <c r="E14" s="35" t="e">
        <f>+F5</f>
        <v>#DIV/0!</v>
      </c>
      <c r="F14" s="36" t="e">
        <f t="shared" ref="F14:F15" si="4">+D14*E14</f>
        <v>#DIV/0!</v>
      </c>
      <c r="G14" s="68"/>
      <c r="H14" s="67" t="e">
        <f>+F14*G14</f>
        <v>#DIV/0!</v>
      </c>
      <c r="I14" s="29">
        <v>128</v>
      </c>
      <c r="J14" s="34" t="e">
        <f t="shared" si="3"/>
        <v>#DIV/0!</v>
      </c>
    </row>
    <row r="15" spans="1:11" ht="15.75" thickBot="1" x14ac:dyDescent="0.3">
      <c r="A15" s="28" t="s">
        <v>4</v>
      </c>
      <c r="B15" s="71"/>
      <c r="C15" s="71"/>
      <c r="D15" s="29">
        <f t="shared" si="1"/>
        <v>0</v>
      </c>
      <c r="E15" s="35" t="e">
        <f>+F6</f>
        <v>#DIV/0!</v>
      </c>
      <c r="F15" s="36" t="e">
        <f t="shared" si="4"/>
        <v>#DIV/0!</v>
      </c>
      <c r="G15" s="68"/>
      <c r="H15" s="67" t="e">
        <f>+F15*G15</f>
        <v>#DIV/0!</v>
      </c>
      <c r="I15" s="29">
        <v>128</v>
      </c>
      <c r="J15" s="34" t="e">
        <f t="shared" si="3"/>
        <v>#DIV/0!</v>
      </c>
    </row>
    <row r="16" spans="1:11" ht="16.5" thickTop="1" thickBot="1" x14ac:dyDescent="0.3">
      <c r="A16" s="60"/>
      <c r="B16" s="37"/>
      <c r="C16" s="37"/>
      <c r="D16" s="37"/>
      <c r="E16" s="37"/>
      <c r="F16" s="38" t="s">
        <v>12</v>
      </c>
      <c r="G16" s="39"/>
      <c r="H16" s="4"/>
      <c r="I16" s="40" t="s">
        <v>10</v>
      </c>
      <c r="J16" s="41" t="e">
        <f>SUM(J10:J15)</f>
        <v>#DIV/0!</v>
      </c>
    </row>
    <row r="17" spans="1:10" ht="27.95" customHeight="1" thickTop="1" x14ac:dyDescent="0.25">
      <c r="A17" s="94" t="s">
        <v>42</v>
      </c>
      <c r="B17" s="95"/>
      <c r="C17" s="96"/>
      <c r="D17" s="20" t="s">
        <v>11</v>
      </c>
      <c r="E17" s="50" t="s">
        <v>36</v>
      </c>
      <c r="F17" s="51" t="s">
        <v>34</v>
      </c>
      <c r="G17" s="47" t="s">
        <v>35</v>
      </c>
      <c r="H17" s="48"/>
      <c r="I17" s="48"/>
      <c r="J17" s="49"/>
    </row>
    <row r="18" spans="1:10" ht="15.75" thickBot="1" x14ac:dyDescent="0.3">
      <c r="A18" s="100"/>
      <c r="B18" s="101"/>
      <c r="C18" s="102"/>
      <c r="D18" s="31">
        <f>+A18*0.1</f>
        <v>0</v>
      </c>
      <c r="E18" s="31">
        <f>+A18+D18</f>
        <v>0</v>
      </c>
      <c r="F18" s="42" t="e">
        <f>+J16</f>
        <v>#DIV/0!</v>
      </c>
      <c r="G18" s="43"/>
      <c r="H18" s="44" t="e">
        <f>+E18/F18</f>
        <v>#DIV/0!</v>
      </c>
      <c r="I18" s="45"/>
      <c r="J18" s="46"/>
    </row>
    <row r="19" spans="1:10" ht="14.25" customHeight="1" thickTop="1" thickBot="1" x14ac:dyDescent="0.3">
      <c r="A19" s="58" t="s">
        <v>48</v>
      </c>
      <c r="B19" s="65"/>
      <c r="C19" s="65"/>
      <c r="D19" s="65"/>
      <c r="E19" s="65"/>
      <c r="F19" s="66"/>
      <c r="G19" s="65"/>
      <c r="H19" s="10"/>
      <c r="I19" s="2"/>
      <c r="J19" s="2"/>
    </row>
    <row r="20" spans="1:10" ht="32.1" customHeight="1" thickTop="1" x14ac:dyDescent="0.25">
      <c r="A20" s="94" t="s">
        <v>23</v>
      </c>
      <c r="B20" s="95"/>
      <c r="C20" s="96"/>
      <c r="D20" s="20" t="s">
        <v>16</v>
      </c>
      <c r="E20" s="20" t="s">
        <v>17</v>
      </c>
      <c r="F20" s="20" t="s">
        <v>15</v>
      </c>
      <c r="G20" s="20" t="s">
        <v>46</v>
      </c>
      <c r="H20" s="20" t="s">
        <v>14</v>
      </c>
      <c r="I20" s="21" t="s">
        <v>13</v>
      </c>
      <c r="J20" s="2"/>
    </row>
    <row r="21" spans="1:10" x14ac:dyDescent="0.25">
      <c r="A21" s="82" t="s">
        <v>18</v>
      </c>
      <c r="B21" s="83"/>
      <c r="C21" s="84"/>
      <c r="D21" s="1">
        <f>+D10</f>
        <v>0</v>
      </c>
      <c r="E21" s="1">
        <f>+D11</f>
        <v>0</v>
      </c>
      <c r="F21" s="1">
        <f>+D12</f>
        <v>0</v>
      </c>
      <c r="G21" s="7">
        <f>+F13</f>
        <v>0</v>
      </c>
      <c r="H21" s="7" t="e">
        <f>+F14</f>
        <v>#DIV/0!</v>
      </c>
      <c r="I21" s="17" t="e">
        <f>+F15</f>
        <v>#DIV/0!</v>
      </c>
      <c r="J21" s="2"/>
    </row>
    <row r="22" spans="1:10" x14ac:dyDescent="0.25">
      <c r="A22" s="82" t="s">
        <v>24</v>
      </c>
      <c r="B22" s="83"/>
      <c r="C22" s="84"/>
      <c r="D22" s="3" t="e">
        <f>+H18</f>
        <v>#DIV/0!</v>
      </c>
      <c r="E22" s="3" t="e">
        <f>+H18</f>
        <v>#DIV/0!</v>
      </c>
      <c r="F22" s="3" t="e">
        <f>+H18</f>
        <v>#DIV/0!</v>
      </c>
      <c r="G22" s="3" t="e">
        <f>+H18</f>
        <v>#DIV/0!</v>
      </c>
      <c r="H22" s="3" t="e">
        <f>+H18</f>
        <v>#DIV/0!</v>
      </c>
      <c r="I22" s="16" t="e">
        <f>+H18</f>
        <v>#DIV/0!</v>
      </c>
      <c r="J22" s="2"/>
    </row>
    <row r="23" spans="1:10" x14ac:dyDescent="0.25">
      <c r="A23" s="82" t="s">
        <v>19</v>
      </c>
      <c r="B23" s="83"/>
      <c r="C23" s="84"/>
      <c r="D23" s="7" t="e">
        <f t="shared" ref="D23:H23" si="5">+D21*D22</f>
        <v>#DIV/0!</v>
      </c>
      <c r="E23" s="7" t="e">
        <f t="shared" si="5"/>
        <v>#DIV/0!</v>
      </c>
      <c r="F23" s="7" t="e">
        <f t="shared" si="5"/>
        <v>#DIV/0!</v>
      </c>
      <c r="G23" s="7" t="e">
        <f t="shared" si="5"/>
        <v>#DIV/0!</v>
      </c>
      <c r="H23" s="7" t="e">
        <f t="shared" si="5"/>
        <v>#DIV/0!</v>
      </c>
      <c r="I23" s="17" t="e">
        <f>+I21*I22+ROUNDUP(0,1)</f>
        <v>#DIV/0!</v>
      </c>
      <c r="J23" s="2"/>
    </row>
    <row r="24" spans="1:10" ht="8.1" customHeight="1" x14ac:dyDescent="0.25">
      <c r="A24" s="97"/>
      <c r="B24" s="98"/>
      <c r="C24" s="99"/>
      <c r="D24" s="12"/>
      <c r="E24" s="12"/>
      <c r="F24" s="6"/>
      <c r="G24" s="6"/>
      <c r="H24" s="6"/>
      <c r="I24" s="13"/>
      <c r="J24" s="15"/>
    </row>
    <row r="25" spans="1:10" x14ac:dyDescent="0.25">
      <c r="A25" s="82" t="s">
        <v>20</v>
      </c>
      <c r="B25" s="83"/>
      <c r="C25" s="84"/>
      <c r="D25" s="1">
        <f>+D10</f>
        <v>0</v>
      </c>
      <c r="E25" s="1">
        <f>+D11</f>
        <v>0</v>
      </c>
      <c r="F25" s="1">
        <f>+D12</f>
        <v>0</v>
      </c>
      <c r="G25" s="7">
        <f>+F13</f>
        <v>0</v>
      </c>
      <c r="H25" s="7" t="e">
        <f>+F14</f>
        <v>#DIV/0!</v>
      </c>
      <c r="I25" s="64" t="e">
        <f>+F15</f>
        <v>#DIV/0!</v>
      </c>
      <c r="J25" s="2"/>
    </row>
    <row r="26" spans="1:10" x14ac:dyDescent="0.25">
      <c r="A26" s="85" t="s">
        <v>21</v>
      </c>
      <c r="B26" s="86"/>
      <c r="C26" s="87"/>
      <c r="D26" s="7" t="e">
        <f t="shared" ref="D26:I26" si="6">+D23</f>
        <v>#DIV/0!</v>
      </c>
      <c r="E26" s="7" t="e">
        <f t="shared" si="6"/>
        <v>#DIV/0!</v>
      </c>
      <c r="F26" s="7" t="e">
        <f t="shared" si="6"/>
        <v>#DIV/0!</v>
      </c>
      <c r="G26" s="7" t="e">
        <f t="shared" si="6"/>
        <v>#DIV/0!</v>
      </c>
      <c r="H26" s="7" t="e">
        <f t="shared" si="6"/>
        <v>#DIV/0!</v>
      </c>
      <c r="I26" s="17" t="e">
        <f t="shared" si="6"/>
        <v>#DIV/0!</v>
      </c>
      <c r="J26" s="2"/>
    </row>
    <row r="27" spans="1:10" ht="15.75" thickBot="1" x14ac:dyDescent="0.3">
      <c r="A27" s="88" t="s">
        <v>22</v>
      </c>
      <c r="B27" s="89"/>
      <c r="C27" s="90"/>
      <c r="D27" s="11" t="e">
        <f t="shared" ref="D27:H27" si="7">+D25-D26</f>
        <v>#DIV/0!</v>
      </c>
      <c r="E27" s="11" t="e">
        <f t="shared" si="7"/>
        <v>#DIV/0!</v>
      </c>
      <c r="F27" s="11" t="e">
        <f t="shared" si="7"/>
        <v>#DIV/0!</v>
      </c>
      <c r="G27" s="11" t="e">
        <f t="shared" si="7"/>
        <v>#DIV/0!</v>
      </c>
      <c r="H27" s="11" t="e">
        <f t="shared" si="7"/>
        <v>#DIV/0!</v>
      </c>
      <c r="I27" s="19" t="e">
        <f>+I25-I26+ROUNDUP(0,1)</f>
        <v>#DIV/0!</v>
      </c>
      <c r="J27" s="2"/>
    </row>
    <row r="28" spans="1:10" ht="14.25" customHeight="1" thickTop="1" thickBot="1" x14ac:dyDescent="0.3">
      <c r="A28" s="81" t="s">
        <v>43</v>
      </c>
      <c r="B28" s="81"/>
      <c r="C28" s="81"/>
      <c r="D28" s="81"/>
      <c r="E28" s="81"/>
      <c r="F28" s="81"/>
      <c r="G28" s="81"/>
      <c r="H28" s="81"/>
      <c r="I28" s="81"/>
      <c r="J28" s="2"/>
    </row>
    <row r="29" spans="1:10" ht="15.75" thickTop="1" x14ac:dyDescent="0.25">
      <c r="A29" s="91"/>
      <c r="B29" s="92"/>
      <c r="C29" s="93"/>
      <c r="D29" s="22" t="s">
        <v>7</v>
      </c>
      <c r="E29" s="23" t="s">
        <v>8</v>
      </c>
      <c r="F29" s="23" t="s">
        <v>9</v>
      </c>
      <c r="G29" s="23" t="s">
        <v>2</v>
      </c>
      <c r="H29" s="24" t="s">
        <v>3</v>
      </c>
      <c r="I29" s="25" t="s">
        <v>4</v>
      </c>
      <c r="J29" s="2"/>
    </row>
    <row r="30" spans="1:10" ht="24.95" customHeight="1" x14ac:dyDescent="0.25">
      <c r="A30" s="75" t="s">
        <v>47</v>
      </c>
      <c r="B30" s="76"/>
      <c r="C30" s="77"/>
      <c r="D30" s="14">
        <f>+B10</f>
        <v>0</v>
      </c>
      <c r="E30" s="7">
        <f>+B11</f>
        <v>0</v>
      </c>
      <c r="F30" s="1">
        <f>+B12</f>
        <v>0</v>
      </c>
      <c r="G30" s="1">
        <f>+B13</f>
        <v>0</v>
      </c>
      <c r="H30" s="1">
        <f>+B14</f>
        <v>0</v>
      </c>
      <c r="I30" s="26">
        <f>+B15</f>
        <v>0</v>
      </c>
      <c r="J30" s="2"/>
    </row>
    <row r="31" spans="1:10" ht="15" customHeight="1" x14ac:dyDescent="0.25">
      <c r="A31" s="75" t="s">
        <v>25</v>
      </c>
      <c r="B31" s="76"/>
      <c r="C31" s="77"/>
      <c r="D31" s="53" t="e">
        <f t="shared" ref="D31:I31" si="8">+D27</f>
        <v>#DIV/0!</v>
      </c>
      <c r="E31" s="52" t="e">
        <f t="shared" si="8"/>
        <v>#DIV/0!</v>
      </c>
      <c r="F31" s="52" t="e">
        <f t="shared" si="8"/>
        <v>#DIV/0!</v>
      </c>
      <c r="G31" s="52" t="e">
        <f t="shared" si="8"/>
        <v>#DIV/0!</v>
      </c>
      <c r="H31" s="52" t="e">
        <f t="shared" si="8"/>
        <v>#DIV/0!</v>
      </c>
      <c r="I31" s="54" t="e">
        <f t="shared" si="8"/>
        <v>#DIV/0!</v>
      </c>
      <c r="J31" s="2"/>
    </row>
    <row r="32" spans="1:10" ht="15.75" customHeight="1" thickBot="1" x14ac:dyDescent="0.3">
      <c r="A32" s="78" t="s">
        <v>26</v>
      </c>
      <c r="B32" s="79"/>
      <c r="C32" s="80"/>
      <c r="D32" s="55" t="e">
        <f>+D30-D31</f>
        <v>#DIV/0!</v>
      </c>
      <c r="E32" s="55" t="e">
        <f t="shared" ref="E32:I32" si="9">+E30-E31</f>
        <v>#DIV/0!</v>
      </c>
      <c r="F32" s="55" t="e">
        <f t="shared" si="9"/>
        <v>#DIV/0!</v>
      </c>
      <c r="G32" s="55" t="e">
        <f t="shared" si="9"/>
        <v>#DIV/0!</v>
      </c>
      <c r="H32" s="55" t="e">
        <f t="shared" si="9"/>
        <v>#DIV/0!</v>
      </c>
      <c r="I32" s="19" t="e">
        <f t="shared" si="9"/>
        <v>#DIV/0!</v>
      </c>
      <c r="J32" s="2"/>
    </row>
    <row r="33" spans="1:8" ht="15.75" thickTop="1" x14ac:dyDescent="0.25">
      <c r="A33" s="18"/>
      <c r="B33" s="18"/>
      <c r="C33" s="18"/>
      <c r="H33" s="8"/>
    </row>
    <row r="34" spans="1:8" ht="15" customHeight="1" x14ac:dyDescent="0.25">
      <c r="A34" s="9"/>
      <c r="B34" s="9"/>
      <c r="C34" s="9"/>
    </row>
  </sheetData>
  <sheetProtection sheet="1" objects="1" scenarios="1"/>
  <mergeCells count="19">
    <mergeCell ref="A17:C17"/>
    <mergeCell ref="A18:C18"/>
    <mergeCell ref="A3:C3"/>
    <mergeCell ref="A4:C4"/>
    <mergeCell ref="A5:C5"/>
    <mergeCell ref="A6:C6"/>
    <mergeCell ref="A20:C20"/>
    <mergeCell ref="A21:C21"/>
    <mergeCell ref="A22:C22"/>
    <mergeCell ref="A23:C23"/>
    <mergeCell ref="A24:C24"/>
    <mergeCell ref="A30:C30"/>
    <mergeCell ref="A31:C31"/>
    <mergeCell ref="A32:C32"/>
    <mergeCell ref="A28:I28"/>
    <mergeCell ref="A25:C25"/>
    <mergeCell ref="A26:C26"/>
    <mergeCell ref="A27:C27"/>
    <mergeCell ref="A29:C29"/>
  </mergeCells>
  <pageMargins left="0.25" right="0.25" top="0.5" bottom="0.25" header="0.3" footer="0.3"/>
  <pageSetup orientation="landscape" horizontalDpi="4294967295" verticalDpi="4294967295" r:id="rId1"/>
  <headerFooter>
    <oddHeader>&amp;C&amp;"-,Bold"Child and Adult Care Food Program Monthly Milk Calculation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sheri.roe</cp:lastModifiedBy>
  <cp:lastPrinted>2013-08-27T17:51:24Z</cp:lastPrinted>
  <dcterms:created xsi:type="dcterms:W3CDTF">2012-12-21T20:55:26Z</dcterms:created>
  <dcterms:modified xsi:type="dcterms:W3CDTF">2013-08-27T20:43:47Z</dcterms:modified>
</cp:coreProperties>
</file>