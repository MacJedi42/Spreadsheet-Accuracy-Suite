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workbookProtection lockStructure="1"/>
  <bookViews>
    <workbookView xWindow="120" yWindow="90" windowWidth="12120" windowHeight="8070" activeTab="1"/>
  </bookViews>
  <sheets>
    <sheet name="Instructions" sheetId="11" r:id="rId1"/>
    <sheet name="Provider Order Form" sheetId="10" r:id="rId2"/>
    <sheet name="Table" sheetId="9" state="hidden" r:id="rId3"/>
    <sheet name="List" sheetId="3" state="hidden" r:id="rId4"/>
    <sheet name="Seasonality" sheetId="1" state="hidden" r:id="rId5"/>
  </sheets>
  <definedNames>
    <definedName name="am">List!#REF!</definedName>
    <definedName name="AMPM">List!$N$2:$N$3</definedName>
    <definedName name="FREQ">List!$C$2:$C$6</definedName>
    <definedName name="list">List!$B$2:$B$13</definedName>
    <definedName name="pm">List!#REF!</definedName>
    <definedName name="_xlnm.Print_Area" localSheetId="1">'Provider Order Form'!$B$4:$R$43</definedName>
    <definedName name="_xlnm.Print_Area" localSheetId="4">Seasonality!$A$1:$U$28</definedName>
    <definedName name="time">List!$L$2:$L$26</definedName>
  </definedNames>
  <calcPr calcId="144525"/>
</workbook>
</file>

<file path=xl/calcChain.xml><?xml version="1.0" encoding="utf-8"?>
<calcChain xmlns="http://schemas.openxmlformats.org/spreadsheetml/2006/main">
  <c r="V3" i="9" l="1"/>
  <c r="V2" i="9"/>
  <c r="V48" i="9" s="1"/>
  <c r="U3" i="9"/>
  <c r="T3" i="9"/>
  <c r="U2" i="9"/>
  <c r="T2" i="9"/>
  <c r="D43" i="10"/>
  <c r="B43" i="10"/>
  <c r="N10" i="10"/>
  <c r="S3" i="9"/>
  <c r="S48" i="9" s="1"/>
  <c r="R3" i="9"/>
  <c r="Q3" i="9"/>
  <c r="P3" i="9"/>
  <c r="O3" i="9"/>
  <c r="N3" i="9"/>
  <c r="M3" i="9"/>
  <c r="L3" i="9"/>
  <c r="K3" i="9"/>
  <c r="K54" i="9" s="1"/>
  <c r="J3" i="9"/>
  <c r="I3" i="9"/>
  <c r="I54" i="9" s="1"/>
  <c r="H3" i="9"/>
  <c r="G3" i="9"/>
  <c r="F3" i="9"/>
  <c r="E3" i="9"/>
  <c r="E48" i="9" s="1"/>
  <c r="D3" i="9"/>
  <c r="C3" i="9"/>
  <c r="C54" i="9" s="1"/>
  <c r="S2" i="9"/>
  <c r="S54" i="9"/>
  <c r="R2" i="9"/>
  <c r="R54" i="9" s="1"/>
  <c r="Q2" i="9"/>
  <c r="P2" i="9"/>
  <c r="O2" i="9"/>
  <c r="O54" i="9" s="1"/>
  <c r="N2" i="9"/>
  <c r="N54" i="9" s="1"/>
  <c r="M2" i="9"/>
  <c r="L2" i="9"/>
  <c r="L48" i="9"/>
  <c r="K2" i="9"/>
  <c r="K48" i="9"/>
  <c r="J2" i="9"/>
  <c r="J48" i="9"/>
  <c r="I2" i="9"/>
  <c r="I48" i="9"/>
  <c r="H2" i="9"/>
  <c r="H48" i="9"/>
  <c r="G2" i="9"/>
  <c r="F2" i="9"/>
  <c r="F54" i="9" s="1"/>
  <c r="E2" i="9"/>
  <c r="D2" i="9"/>
  <c r="D48" i="9" s="1"/>
  <c r="C2" i="9"/>
  <c r="J2" i="3"/>
  <c r="I2" i="3"/>
  <c r="I3" i="3" s="1"/>
  <c r="H2" i="3"/>
  <c r="G2" i="3"/>
  <c r="F2" i="3"/>
  <c r="F3" i="3" s="1"/>
  <c r="F4" i="3" s="1"/>
  <c r="B9" i="9" s="1"/>
  <c r="L54" i="9"/>
  <c r="H54" i="9"/>
  <c r="J54" i="9"/>
  <c r="B27" i="9"/>
  <c r="B4" i="9"/>
  <c r="N48" i="9"/>
  <c r="H9" i="9" l="1"/>
  <c r="P9" i="9"/>
  <c r="R48" i="9"/>
  <c r="V54" i="9"/>
  <c r="T9" i="9"/>
  <c r="D9" i="9"/>
  <c r="V9" i="9"/>
  <c r="S9" i="9"/>
  <c r="N9" i="9"/>
  <c r="E9" i="9"/>
  <c r="I9" i="9"/>
  <c r="M9" i="9"/>
  <c r="J9" i="9"/>
  <c r="U9" i="9"/>
  <c r="O9" i="9"/>
  <c r="Q9" i="9"/>
  <c r="K9" i="9"/>
  <c r="C9" i="9"/>
  <c r="R9" i="9"/>
  <c r="F5" i="3"/>
  <c r="B36" i="9"/>
  <c r="B8" i="9"/>
  <c r="B35" i="9"/>
  <c r="H3" i="3"/>
  <c r="H4" i="3" s="1"/>
  <c r="H5" i="3" s="1"/>
  <c r="H6" i="3" s="1"/>
  <c r="H7" i="3" s="1"/>
  <c r="B24" i="9"/>
  <c r="J3" i="3"/>
  <c r="B30" i="9"/>
  <c r="M48" i="9"/>
  <c r="M54" i="9"/>
  <c r="Q54" i="9"/>
  <c r="Q48" i="9"/>
  <c r="G54" i="9"/>
  <c r="G48" i="9"/>
  <c r="L9" i="9"/>
  <c r="F9" i="9"/>
  <c r="G9" i="9"/>
  <c r="D54" i="9"/>
  <c r="F48" i="9"/>
  <c r="O48" i="9"/>
  <c r="B7" i="9"/>
  <c r="B34" i="9"/>
  <c r="G3" i="3"/>
  <c r="G4" i="3" s="1"/>
  <c r="G5" i="3" s="1"/>
  <c r="B21" i="9"/>
  <c r="C48" i="9"/>
  <c r="E54" i="9"/>
  <c r="P48" i="9"/>
  <c r="P54" i="9"/>
  <c r="G7" i="9" l="1"/>
  <c r="E7" i="9"/>
  <c r="D7" i="9"/>
  <c r="J7" i="9"/>
  <c r="T7" i="9"/>
  <c r="M7" i="9"/>
  <c r="P7" i="9"/>
  <c r="C7" i="9"/>
  <c r="K7" i="9"/>
  <c r="S7" i="9"/>
  <c r="R7" i="9"/>
  <c r="O7" i="9"/>
  <c r="H7" i="9"/>
  <c r="I7" i="9"/>
  <c r="Q7" i="9"/>
  <c r="L7" i="9"/>
  <c r="N7" i="9"/>
  <c r="F7" i="9"/>
  <c r="V7" i="9"/>
  <c r="U7" i="9"/>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B31" i="9"/>
  <c r="G8" i="9"/>
  <c r="D8" i="9"/>
  <c r="V8" i="9"/>
  <c r="O8" i="9"/>
  <c r="N8" i="9"/>
  <c r="E8" i="9"/>
  <c r="C8" i="9"/>
  <c r="I8" i="9"/>
  <c r="J8" i="9"/>
  <c r="T8" i="9"/>
  <c r="P8" i="9"/>
  <c r="U8" i="9"/>
  <c r="L8" i="9"/>
  <c r="F8" i="9"/>
  <c r="H8" i="9"/>
  <c r="S8" i="9"/>
  <c r="M8" i="9"/>
  <c r="K8" i="9"/>
  <c r="Q8" i="9"/>
  <c r="R8" i="9"/>
  <c r="B37" i="9"/>
  <c r="F6" i="3"/>
  <c r="B10" i="9"/>
  <c r="J10" i="9" l="1"/>
  <c r="N10" i="9"/>
  <c r="T10" i="9"/>
  <c r="L10" i="9"/>
  <c r="M10" i="9"/>
  <c r="E10" i="9"/>
  <c r="I10" i="9"/>
  <c r="C10" i="9"/>
  <c r="G10" i="9"/>
  <c r="P10" i="9"/>
  <c r="F10" i="9"/>
  <c r="U10" i="9"/>
  <c r="V10" i="9"/>
  <c r="S10" i="9"/>
  <c r="D10" i="9"/>
  <c r="H10" i="9"/>
  <c r="O10" i="9"/>
  <c r="Q10" i="9"/>
  <c r="K10" i="9"/>
  <c r="R10" i="9"/>
  <c r="F7" i="3"/>
  <c r="B38" i="9"/>
  <c r="B11" i="9"/>
  <c r="T11" i="9" l="1"/>
  <c r="V11" i="9"/>
  <c r="O11" i="9"/>
  <c r="D11" i="9"/>
  <c r="C11" i="9"/>
  <c r="J11" i="9"/>
  <c r="S11" i="9"/>
  <c r="U11" i="9"/>
  <c r="H11" i="9"/>
  <c r="L11" i="9"/>
  <c r="P11" i="9"/>
  <c r="Q11" i="9"/>
  <c r="R11" i="9"/>
  <c r="E11" i="9"/>
  <c r="G11" i="9"/>
  <c r="I11" i="9"/>
  <c r="K11" i="9"/>
  <c r="N11" i="9"/>
  <c r="M11" i="9"/>
  <c r="F11" i="9"/>
  <c r="B39" i="9"/>
  <c r="B12" i="9"/>
  <c r="F8" i="3"/>
  <c r="B13" i="9" l="1"/>
  <c r="F9" i="3"/>
  <c r="B40" i="9"/>
  <c r="Q12" i="9"/>
  <c r="H12" i="9"/>
  <c r="G12" i="9"/>
  <c r="K12" i="9"/>
  <c r="V12" i="9"/>
  <c r="N12" i="9"/>
  <c r="I12" i="9"/>
  <c r="F12" i="9"/>
  <c r="C12" i="9"/>
  <c r="L12" i="9"/>
  <c r="R12" i="9"/>
  <c r="P12" i="9"/>
  <c r="J12" i="9"/>
  <c r="M12" i="9"/>
  <c r="O12" i="9"/>
  <c r="S12" i="9"/>
  <c r="T12" i="9"/>
  <c r="U12" i="9"/>
  <c r="E12" i="9"/>
  <c r="D12" i="9"/>
  <c r="B14" i="9" l="1"/>
  <c r="B41" i="9"/>
  <c r="F10" i="3"/>
  <c r="V13" i="9"/>
  <c r="G13" i="9"/>
  <c r="H13" i="9"/>
  <c r="P13" i="9"/>
  <c r="R13" i="9"/>
  <c r="Q13" i="9"/>
  <c r="O13" i="9"/>
  <c r="F13" i="9"/>
  <c r="U13" i="9"/>
  <c r="M13" i="9"/>
  <c r="D13" i="9"/>
  <c r="J13" i="9"/>
  <c r="K13" i="9"/>
  <c r="I13" i="9"/>
  <c r="T13" i="9"/>
  <c r="L13" i="9"/>
  <c r="C13" i="9"/>
  <c r="S13" i="9"/>
  <c r="E13" i="9"/>
  <c r="N13" i="9"/>
  <c r="B15" i="9" l="1"/>
  <c r="B42" i="9"/>
  <c r="F11" i="3"/>
  <c r="T14" i="9"/>
  <c r="F14" i="9"/>
  <c r="I14" i="9"/>
  <c r="C14" i="9"/>
  <c r="R14" i="9"/>
  <c r="D14" i="9"/>
  <c r="N14" i="9"/>
  <c r="J14" i="9"/>
  <c r="V14" i="9"/>
  <c r="E14" i="9"/>
  <c r="G14" i="9"/>
  <c r="M14" i="9"/>
  <c r="U14" i="9"/>
  <c r="P14" i="9"/>
  <c r="O14" i="9"/>
  <c r="K14" i="9"/>
  <c r="S14" i="9"/>
  <c r="H14" i="9"/>
  <c r="L14" i="9"/>
  <c r="Q14" i="9"/>
  <c r="B43" i="9" l="1"/>
  <c r="F12" i="3"/>
  <c r="B16" i="9"/>
  <c r="J15" i="9"/>
  <c r="M15" i="9"/>
  <c r="O15" i="9"/>
  <c r="K15" i="9"/>
  <c r="D15" i="9"/>
  <c r="Q15" i="9"/>
  <c r="R15" i="9"/>
  <c r="T15" i="9"/>
  <c r="U15" i="9"/>
  <c r="N15" i="9"/>
  <c r="G15" i="9"/>
  <c r="F15" i="9"/>
  <c r="P15" i="9"/>
  <c r="S15" i="9"/>
  <c r="L15" i="9"/>
  <c r="I15" i="9"/>
  <c r="C15" i="9"/>
  <c r="V15" i="9"/>
  <c r="E15" i="9"/>
  <c r="H15" i="9"/>
  <c r="B17" i="9" l="1"/>
  <c r="B44" i="9"/>
  <c r="F13" i="3"/>
  <c r="K16" i="9"/>
  <c r="N16" i="9"/>
  <c r="R16" i="9"/>
  <c r="Q16" i="9"/>
  <c r="P16" i="9"/>
  <c r="F16" i="9"/>
  <c r="D16" i="9"/>
  <c r="V16" i="9"/>
  <c r="G16" i="9"/>
  <c r="S16" i="9"/>
  <c r="J16" i="9"/>
  <c r="L16" i="9"/>
  <c r="O16" i="9"/>
  <c r="M16" i="9"/>
  <c r="U16" i="9"/>
  <c r="T16" i="9"/>
  <c r="I16" i="9"/>
  <c r="H16" i="9"/>
  <c r="E16" i="9"/>
  <c r="C16" i="9"/>
  <c r="B45" i="9" l="1"/>
  <c r="B18" i="9"/>
  <c r="I17" i="9"/>
  <c r="L17" i="9"/>
  <c r="C17" i="9"/>
  <c r="T17" i="9"/>
  <c r="V17" i="9"/>
  <c r="H17" i="9"/>
  <c r="Q17" i="9"/>
  <c r="E17" i="9"/>
  <c r="K17" i="9"/>
  <c r="S17" i="9"/>
  <c r="N17" i="9"/>
  <c r="U17" i="9"/>
  <c r="O17" i="9"/>
  <c r="M17" i="9"/>
  <c r="R17" i="9"/>
  <c r="F17" i="9"/>
  <c r="P17" i="9"/>
  <c r="D17" i="9"/>
  <c r="G17" i="9"/>
  <c r="J17" i="9"/>
  <c r="H18" i="9" l="1"/>
  <c r="V18" i="9"/>
  <c r="C18" i="9"/>
  <c r="F18" i="9"/>
  <c r="P18" i="9"/>
  <c r="U18" i="9"/>
  <c r="T18" i="9"/>
  <c r="G18" i="9"/>
  <c r="R18" i="9"/>
  <c r="N18" i="9"/>
  <c r="J18" i="9"/>
  <c r="M18" i="9"/>
  <c r="L18" i="9"/>
  <c r="D18" i="9"/>
  <c r="Q18" i="9"/>
  <c r="E18" i="9"/>
  <c r="K18" i="9"/>
  <c r="I18" i="9"/>
  <c r="O18" i="9"/>
  <c r="S18" i="9"/>
  <c r="K27" i="9" l="1"/>
  <c r="K21" i="9"/>
  <c r="K4" i="9"/>
  <c r="K24" i="9"/>
  <c r="L27" i="9"/>
  <c r="L24" i="9"/>
  <c r="L21" i="9"/>
  <c r="L4" i="9"/>
  <c r="S4" i="9"/>
  <c r="S21" i="9"/>
  <c r="S24" i="9"/>
  <c r="S27" i="9"/>
  <c r="I27" i="9"/>
  <c r="I4" i="9"/>
  <c r="I24" i="9"/>
  <c r="I21" i="9"/>
  <c r="E21" i="9"/>
  <c r="E4" i="9"/>
  <c r="E27" i="9"/>
  <c r="E24" i="9"/>
  <c r="D27" i="9"/>
  <c r="D24" i="9"/>
  <c r="D21" i="9"/>
  <c r="D4" i="9"/>
  <c r="M21" i="9"/>
  <c r="M4" i="9"/>
  <c r="M24" i="9"/>
  <c r="M27" i="9"/>
  <c r="N24" i="9"/>
  <c r="N21" i="9"/>
  <c r="N27" i="9"/>
  <c r="N4" i="9"/>
  <c r="G4" i="9"/>
  <c r="G27" i="9"/>
  <c r="G24" i="9"/>
  <c r="G21" i="9"/>
  <c r="U4" i="9"/>
  <c r="U21" i="9"/>
  <c r="U24" i="9"/>
  <c r="U27" i="9"/>
  <c r="F27" i="9"/>
  <c r="F21" i="9"/>
  <c r="F4" i="9"/>
  <c r="F24" i="9"/>
  <c r="V24" i="9"/>
  <c r="V21" i="9"/>
  <c r="V4" i="9"/>
  <c r="V27" i="9"/>
  <c r="O21" i="9"/>
  <c r="O27" i="9"/>
  <c r="O24" i="9"/>
  <c r="O4" i="9"/>
  <c r="Q27" i="9"/>
  <c r="Q21" i="9"/>
  <c r="Q24" i="9"/>
  <c r="Q4" i="9"/>
  <c r="J27" i="9"/>
  <c r="J24" i="9"/>
  <c r="J4" i="9"/>
  <c r="J21" i="9"/>
  <c r="R24" i="9"/>
  <c r="R4" i="9"/>
  <c r="R27" i="9"/>
  <c r="R21" i="9"/>
  <c r="T4" i="9"/>
  <c r="T21" i="9"/>
  <c r="T24" i="9"/>
  <c r="T27" i="9"/>
  <c r="P4" i="9"/>
  <c r="P21" i="9"/>
  <c r="P27" i="9"/>
  <c r="P24" i="9"/>
  <c r="C4" i="9"/>
  <c r="C24" i="9"/>
  <c r="C21" i="9"/>
  <c r="C27" i="9"/>
  <c r="H21" i="9"/>
  <c r="H4" i="9"/>
  <c r="H24" i="9"/>
  <c r="H27" i="9"/>
  <c r="O24" i="10" l="1" a="1"/>
  <c r="O24" i="10" s="1"/>
  <c r="H30" i="9"/>
  <c r="H31" i="9"/>
  <c r="R30" i="9"/>
  <c r="O36" i="10" a="1"/>
  <c r="O36" i="10" s="1"/>
  <c r="R31" i="9"/>
  <c r="O35" i="10" a="1"/>
  <c r="O35" i="10" s="1"/>
  <c r="Q30" i="9"/>
  <c r="Q31" i="9"/>
  <c r="O30" i="9"/>
  <c r="O31" i="9"/>
  <c r="O32" i="10" a="1"/>
  <c r="O32" i="10" s="1"/>
  <c r="N30" i="9"/>
  <c r="O33" i="10" a="1"/>
  <c r="O33" i="10" s="1"/>
  <c r="N31" i="9"/>
  <c r="O31" i="10" a="1"/>
  <c r="O31" i="10" s="1"/>
  <c r="M30" i="9"/>
  <c r="M31" i="9" s="1"/>
  <c r="D30" i="9"/>
  <c r="O20" i="10" a="1"/>
  <c r="O20" i="10" s="1"/>
  <c r="D31" i="9"/>
  <c r="E30" i="9"/>
  <c r="E31" i="9" s="1"/>
  <c r="O21" i="10" a="1"/>
  <c r="O21" i="10" s="1"/>
  <c r="O25" i="10" a="1"/>
  <c r="O25" i="10" s="1"/>
  <c r="I30" i="9"/>
  <c r="I31" i="9" s="1"/>
  <c r="L30" i="9"/>
  <c r="O30" i="10" a="1"/>
  <c r="O30" i="10" s="1"/>
  <c r="L31" i="9"/>
  <c r="C30" i="9"/>
  <c r="O19" i="10" a="1"/>
  <c r="O19" i="10" s="1"/>
  <c r="C31" i="9"/>
  <c r="O34" i="10" a="1"/>
  <c r="O34" i="10" s="1"/>
  <c r="P30" i="9"/>
  <c r="P31" i="9"/>
  <c r="T30" i="9"/>
  <c r="O23" i="10" a="1"/>
  <c r="O23" i="10" s="1"/>
  <c r="T31" i="9"/>
  <c r="J30" i="9"/>
  <c r="J31" i="9" s="1"/>
  <c r="O27" i="10" a="1"/>
  <c r="O27" i="10" s="1"/>
  <c r="V30" i="9"/>
  <c r="V31" i="9" s="1"/>
  <c r="O38" i="10" a="1"/>
  <c r="O38" i="10" s="1"/>
  <c r="O22" i="10" a="1"/>
  <c r="O22" i="10" s="1"/>
  <c r="F30" i="9"/>
  <c r="F31" i="9" s="1"/>
  <c r="O26" i="10" a="1"/>
  <c r="O26" i="10" s="1"/>
  <c r="U30" i="9"/>
  <c r="U31" i="9" s="1"/>
  <c r="G30" i="9"/>
  <c r="O29" i="10" a="1"/>
  <c r="O29" i="10" s="1"/>
  <c r="G31" i="9"/>
  <c r="S30" i="9"/>
  <c r="S31" i="9"/>
  <c r="O37" i="10" a="1"/>
  <c r="O37" i="10" s="1"/>
  <c r="K31" i="9"/>
  <c r="K30" i="9"/>
  <c r="O28" i="10" a="1"/>
  <c r="O28" i="10" s="1"/>
</calcChain>
</file>

<file path=xl/sharedStrings.xml><?xml version="1.0" encoding="utf-8"?>
<sst xmlns="http://schemas.openxmlformats.org/spreadsheetml/2006/main" count="408" uniqueCount="140">
  <si>
    <t>December</t>
  </si>
  <si>
    <t>January</t>
  </si>
  <si>
    <t>February</t>
  </si>
  <si>
    <t>March</t>
  </si>
  <si>
    <t>April</t>
  </si>
  <si>
    <t>May</t>
  </si>
  <si>
    <t>June</t>
  </si>
  <si>
    <t>July</t>
  </si>
  <si>
    <t>August</t>
  </si>
  <si>
    <t>September</t>
  </si>
  <si>
    <t>October</t>
  </si>
  <si>
    <t>November</t>
  </si>
  <si>
    <t>Monthly</t>
  </si>
  <si>
    <t>DT</t>
  </si>
  <si>
    <t>HPV</t>
  </si>
  <si>
    <t>MMR</t>
  </si>
  <si>
    <t>Doses On Hand</t>
  </si>
  <si>
    <t>Quarterly</t>
  </si>
  <si>
    <t>Every 2 Months</t>
  </si>
  <si>
    <t>Twice Monthly</t>
  </si>
  <si>
    <t>Twice Yearly</t>
  </si>
  <si>
    <t>last</t>
  </si>
  <si>
    <t>oh</t>
  </si>
  <si>
    <t>Seasonality</t>
  </si>
  <si>
    <t>Yearly</t>
  </si>
  <si>
    <t>PCV</t>
  </si>
  <si>
    <t>DTaP</t>
  </si>
  <si>
    <t>DTaP-Hep B-IPV</t>
  </si>
  <si>
    <t>DTaP-IPV-Hib</t>
  </si>
  <si>
    <t>e-IPV</t>
  </si>
  <si>
    <t>Hep A</t>
  </si>
  <si>
    <t>Hep B</t>
  </si>
  <si>
    <t>Hib</t>
  </si>
  <si>
    <t>MCV</t>
  </si>
  <si>
    <t>PPSV</t>
  </si>
  <si>
    <t>Rotavirus</t>
  </si>
  <si>
    <t>Td</t>
  </si>
  <si>
    <t>Tdap</t>
  </si>
  <si>
    <t>Varicella</t>
  </si>
  <si>
    <t>PROVIDER REQUEST FOR CHILDHOOD VACCINES</t>
  </si>
  <si>
    <t>DATE ORDERED:</t>
  </si>
  <si>
    <t xml:space="preserve"> SHIPPING ADDRESS:</t>
  </si>
  <si>
    <t xml:space="preserve"> CONTACT:</t>
  </si>
  <si>
    <t>IPV</t>
  </si>
  <si>
    <t>Rota</t>
  </si>
  <si>
    <t xml:space="preserve">Td  </t>
  </si>
  <si>
    <r>
      <t xml:space="preserve"> </t>
    </r>
    <r>
      <rPr>
        <b/>
        <sz val="9"/>
        <rFont val="Arial"/>
        <family val="2"/>
      </rPr>
      <t xml:space="preserve">TELEPHONE: </t>
    </r>
  </si>
  <si>
    <t>FAX:</t>
  </si>
  <si>
    <t>Monday</t>
  </si>
  <si>
    <t>Thursday</t>
  </si>
  <si>
    <t>AM</t>
  </si>
  <si>
    <t>Tuesday</t>
  </si>
  <si>
    <t>Wednesday</t>
  </si>
  <si>
    <t>Friday</t>
  </si>
  <si>
    <t>PM</t>
  </si>
  <si>
    <t>to</t>
  </si>
  <si>
    <t>Doses used Last Month</t>
  </si>
  <si>
    <t xml:space="preserve">Hep B  </t>
  </si>
  <si>
    <t>6:00</t>
  </si>
  <si>
    <t>7:00</t>
  </si>
  <si>
    <t>6:30</t>
  </si>
  <si>
    <t>7:30</t>
  </si>
  <si>
    <t>8:00</t>
  </si>
  <si>
    <t>8:30</t>
  </si>
  <si>
    <t>9:00</t>
  </si>
  <si>
    <t>9:30</t>
  </si>
  <si>
    <t>10:00</t>
  </si>
  <si>
    <t>11:00</t>
  </si>
  <si>
    <t>10:30</t>
  </si>
  <si>
    <t>11:30</t>
  </si>
  <si>
    <t>12:00</t>
  </si>
  <si>
    <t>12:30</t>
  </si>
  <si>
    <t>1:00</t>
  </si>
  <si>
    <t>1:30</t>
  </si>
  <si>
    <t>2:00</t>
  </si>
  <si>
    <t>2:30</t>
  </si>
  <si>
    <t>3:00</t>
  </si>
  <si>
    <t>3:30</t>
  </si>
  <si>
    <t>4:00</t>
  </si>
  <si>
    <t>4:30</t>
  </si>
  <si>
    <t>5:00</t>
  </si>
  <si>
    <t>5:30</t>
  </si>
  <si>
    <t>CITY:</t>
  </si>
  <si>
    <t>ZIP:</t>
  </si>
  <si>
    <t>Twice a Month</t>
  </si>
  <si>
    <t>Every 6 Months</t>
  </si>
  <si>
    <t>CLINIC NAME:</t>
  </si>
  <si>
    <t>DTaP-HEP B-IPV</t>
  </si>
  <si>
    <t>Ordering Frequency</t>
  </si>
  <si>
    <t>Ordering Month</t>
  </si>
  <si>
    <t>Order Number:</t>
  </si>
  <si>
    <t>Order Entry Date:</t>
  </si>
  <si>
    <t>Approved By:</t>
  </si>
  <si>
    <t>Entered By:</t>
  </si>
  <si>
    <r>
      <t xml:space="preserve">DELIVERY TIMES: </t>
    </r>
    <r>
      <rPr>
        <sz val="10"/>
        <rFont val="Arial"/>
        <family val="2"/>
      </rPr>
      <t>Please specify all days and hours you may receive vaccine.
(e.g., 9AM- 3PM)</t>
    </r>
  </si>
  <si>
    <r>
      <t>Special Shipping Instructions:</t>
    </r>
    <r>
      <rPr>
        <sz val="10"/>
        <rFont val="Arial"/>
        <family val="2"/>
      </rPr>
      <t xml:space="preserve">
</t>
    </r>
    <r>
      <rPr>
        <sz val="8"/>
        <rFont val="Arial"/>
        <family val="2"/>
      </rPr>
      <t>(e.g., Closed 12-1 Lunch)</t>
    </r>
  </si>
  <si>
    <t>Vaccine</t>
  </si>
  <si>
    <t>Description</t>
  </si>
  <si>
    <t>DOH Use</t>
  </si>
  <si>
    <t>Immunization Guidelines For the Use of State-Supplied Vaccine</t>
  </si>
  <si>
    <t>Provider/LHJ Use - Online Vaccine Order</t>
  </si>
  <si>
    <t>Recommended Order</t>
  </si>
  <si>
    <t>Doses Ordered</t>
  </si>
  <si>
    <t>Provider PIN #:</t>
  </si>
  <si>
    <t>Email:</t>
  </si>
  <si>
    <t>Pediarix = Average all DTaP Containing vaccines</t>
  </si>
  <si>
    <t>Average</t>
  </si>
  <si>
    <t>DTAP-IPV</t>
  </si>
  <si>
    <t>HEP B-HIB</t>
  </si>
  <si>
    <t>DTaP-IPV</t>
  </si>
  <si>
    <t>Hep B-Hib</t>
  </si>
  <si>
    <t>Diphtheria &amp; Tetanus</t>
  </si>
  <si>
    <t>Diphtheria &amp; tetanus toxoids &amp; acellular pertussis vaccine (Daptacel / Infanrix)</t>
  </si>
  <si>
    <t>Human Papillomavirus vaccine (Cervarix / Gardasil)</t>
  </si>
  <si>
    <t>Inactivated Poliovirus vaccine (IPOL)</t>
  </si>
  <si>
    <t>Measles, Mumps, and Rubella combination vaccine (MMRII)</t>
  </si>
  <si>
    <t>Pneumococcal polysaccharide vaccine (Special Circumstances Only) (Pneumovax 23)</t>
  </si>
  <si>
    <t>Rotavirus (Rotarix / RotaTeq)</t>
  </si>
  <si>
    <t>Tetanus &amp; diphtheria toxoids adsorbed (Decavac / Td)</t>
  </si>
  <si>
    <t>Tetanus &amp; diphtheria toxoids and acellular pertussis vaccine
(Adacel / Boostrix)</t>
  </si>
  <si>
    <r>
      <rPr>
        <b/>
        <sz val="10"/>
        <rFont val="Arial"/>
        <family val="2"/>
      </rPr>
      <t>Pediarix</t>
    </r>
    <r>
      <rPr>
        <sz val="10"/>
        <rFont val="Arial"/>
        <family val="2"/>
      </rPr>
      <t>: Diphtheria &amp; tetanus toxoids and acellular pertussis, Hepatitis B, and IPV combination vaccine</t>
    </r>
  </si>
  <si>
    <t>DTaP - IPV - Hib</t>
  </si>
  <si>
    <t>DTaP - IPV</t>
  </si>
  <si>
    <t>Hep B - Hib</t>
  </si>
  <si>
    <t>Meningococcal (Groups A, C, Y &amp; W-135) Conjugate vaccine
(Menactra / Menveo)</t>
  </si>
  <si>
    <t xml:space="preserve">Hepatitis A Pediatric/Adolescent (Havrix / VAQTA)  </t>
  </si>
  <si>
    <t>Hepatitis B Pediatric/Adolescent (Engerix B / Recombivax)</t>
  </si>
  <si>
    <t>Pneumococcal Conjugate 13-valent (Prevnar 13)</t>
  </si>
  <si>
    <r>
      <rPr>
        <b/>
        <sz val="10"/>
        <rFont val="Arial"/>
        <family val="2"/>
      </rPr>
      <t>Kinrix</t>
    </r>
    <r>
      <rPr>
        <sz val="10"/>
        <rFont val="Arial"/>
        <family val="2"/>
      </rPr>
      <t>: Diphtheria &amp; tetanus toxoids and acellular pertussis and IPV combination vaccine</t>
    </r>
  </si>
  <si>
    <r>
      <t xml:space="preserve">Varicella vaccine </t>
    </r>
    <r>
      <rPr>
        <b/>
        <sz val="10"/>
        <rFont val="Arial"/>
        <family val="2"/>
      </rPr>
      <t>(Freezer Storage Only)</t>
    </r>
    <r>
      <rPr>
        <sz val="10"/>
        <rFont val="Arial"/>
        <family val="2"/>
      </rPr>
      <t xml:space="preserve"> (Varivax)</t>
    </r>
  </si>
  <si>
    <r>
      <rPr>
        <b/>
        <sz val="10"/>
        <rFont val="Arial"/>
        <family val="2"/>
      </rPr>
      <t>Pentacel</t>
    </r>
    <r>
      <rPr>
        <sz val="10"/>
        <rFont val="Arial"/>
        <family val="2"/>
      </rPr>
      <t xml:space="preserve">: Diphtheria &amp; tetanus toxoids and acellular pertussis, IPV, and </t>
    </r>
    <r>
      <rPr>
        <i/>
        <sz val="10"/>
        <rFont val="Arial"/>
        <family val="2"/>
      </rPr>
      <t>Haemophilus influenzae</t>
    </r>
    <r>
      <rPr>
        <sz val="10"/>
        <rFont val="Arial"/>
        <family val="2"/>
      </rPr>
      <t xml:space="preserve"> type b Conjugate combination vaccine</t>
    </r>
  </si>
  <si>
    <r>
      <rPr>
        <b/>
        <sz val="10"/>
        <rFont val="Arial"/>
        <family val="2"/>
      </rPr>
      <t>Comvax</t>
    </r>
    <r>
      <rPr>
        <sz val="10"/>
        <rFont val="Arial"/>
        <family val="2"/>
      </rPr>
      <t xml:space="preserve">: Hepatitis B Pediatric/Adolescent and </t>
    </r>
    <r>
      <rPr>
        <i/>
        <sz val="10"/>
        <rFont val="Arial"/>
        <family val="2"/>
      </rPr>
      <t>Haemophilus influenzae</t>
    </r>
    <r>
      <rPr>
        <sz val="10"/>
        <rFont val="Arial"/>
        <family val="2"/>
      </rPr>
      <t xml:space="preserve"> type b Conjugate combination vaccine</t>
    </r>
  </si>
  <si>
    <r>
      <rPr>
        <i/>
        <sz val="10"/>
        <rFont val="Arial"/>
        <family val="2"/>
      </rPr>
      <t>Haemophilus influenzae</t>
    </r>
    <r>
      <rPr>
        <sz val="10"/>
        <rFont val="Arial"/>
        <family val="2"/>
      </rPr>
      <t xml:space="preserve"> type b Conjugate (ActHIB / PedvaxHIB)</t>
    </r>
  </si>
  <si>
    <t>MMRV</t>
  </si>
  <si>
    <r>
      <t xml:space="preserve">MMR &amp; Varicella combination vaccine </t>
    </r>
    <r>
      <rPr>
        <b/>
        <sz val="10"/>
        <rFont val="Arial"/>
        <family val="2"/>
      </rPr>
      <t>(Freezer Storage Only)</t>
    </r>
    <r>
      <rPr>
        <sz val="10"/>
        <rFont val="Arial"/>
        <family val="2"/>
      </rPr>
      <t xml:space="preserve"> (ProQuad)</t>
    </r>
  </si>
  <si>
    <t>Public Health Seattle &amp; King County</t>
  </si>
  <si>
    <t>401 Fifth Avenue, 9th floor</t>
  </si>
  <si>
    <t>Seattle WA 98104</t>
  </si>
  <si>
    <t>Telephone: (206) 296-4774</t>
  </si>
  <si>
    <t>Fax: (206) 205-5780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</si>
</sst>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mm"/>
    <numFmt numFmtId="165" formatCode="[&lt;=9999999]###\-####;\(###\)\ ###\-####"/>
  </numFmts>
  <fonts count="24" x14ac:knownFonts="1">
    <font>
      <sz val="11"/>
      <color theme="1"/>
      <name val="Calibri"/>
      <family val="2"/>
      <scheme val="minor"/>
    </font>
    <font>
      <sz val="8"/>
      <name val="Arial"/>
      <family val="2"/>
    </font>
    <font>
      <b/>
      <sz val="14"/>
      <name val="Arial"/>
      <family val="2"/>
    </font>
    <font>
      <sz val="11"/>
      <name val="Arial"/>
      <family val="2"/>
    </font>
    <font>
      <sz val="9.5"/>
      <name val="Arial"/>
      <family val="2"/>
    </font>
    <font>
      <b/>
      <sz val="9"/>
      <name val="Arial"/>
      <family val="2"/>
    </font>
    <font>
      <sz val="9"/>
      <name val="Arial"/>
      <family val="2"/>
    </font>
    <font>
      <sz val="9"/>
      <name val="Arial"/>
      <family val="2"/>
    </font>
    <font>
      <sz val="10"/>
      <name val="Arial"/>
      <family val="2"/>
    </font>
    <font>
      <b/>
      <sz val="10"/>
      <name val="Arial"/>
      <family val="2"/>
    </font>
    <font>
      <b/>
      <sz val="11"/>
      <name val="Arial"/>
      <family val="2"/>
    </font>
    <font>
      <sz val="8"/>
      <name val="Arial"/>
      <family val="2"/>
    </font>
    <font>
      <b/>
      <sz val="12"/>
      <name val="Arial"/>
      <family val="2"/>
    </font>
    <font>
      <b/>
      <sz val="10.5"/>
      <name val="Arial"/>
      <family val="2"/>
    </font>
    <font>
      <sz val="12"/>
      <name val="Arial"/>
      <family val="2"/>
    </font>
    <font>
      <b/>
      <sz val="11"/>
      <color indexed="8"/>
      <name val="Calibri"/>
      <family val="2"/>
    </font>
    <font>
      <sz val="9"/>
      <color indexed="8"/>
      <name val="Calibri"/>
      <family val="2"/>
    </font>
    <font>
      <sz val="12"/>
      <color indexed="8"/>
      <name val="Calibri"/>
      <family val="2"/>
    </font>
    <font>
      <b/>
      <u/>
      <sz val="10"/>
      <name val="Arial"/>
      <family val="2"/>
    </font>
    <font>
      <b/>
      <sz val="8"/>
      <name val="Arial"/>
      <family val="2"/>
    </font>
    <font>
      <u/>
      <sz val="10"/>
      <color indexed="12"/>
      <name val="Calibri"/>
      <family val="2"/>
    </font>
    <font>
      <sz val="14"/>
      <name val="Arial"/>
      <family val="2"/>
    </font>
    <font>
      <i/>
      <sz val="10"/>
      <name val="Arial"/>
      <family val="2"/>
    </font>
    <font>
      <u/>
      <sz val="12.65"/>
      <color theme="10"/>
      <name val="Calibri"/>
      <family val="2"/>
    </font>
  </fonts>
  <fills count="7">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13"/>
        <bgColor indexed="64"/>
      </patternFill>
    </fill>
    <fill>
      <patternFill patternType="solid">
        <fgColor theme="1"/>
        <bgColor indexed="64"/>
      </patternFill>
    </fill>
    <fill>
      <patternFill patternType="solid">
        <fgColor rgb="FFFFFF0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medium">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s>
  <cellStyleXfs count="3">
    <xf numFmtId="0" fontId="0" fillId="0" borderId="0"/>
    <xf numFmtId="0" fontId="23" fillId="0" borderId="0" applyNumberFormat="0" applyFill="0" applyBorder="0" applyAlignment="0" applyProtection="0">
      <alignment vertical="top"/>
      <protection locked="0"/>
    </xf>
    <xf numFmtId="0" fontId="1" fillId="0" borderId="0"/>
  </cellStyleXfs>
  <cellXfs count="144">
    <xf numFmtId="0" fontId="0" fillId="0" borderId="0" xfId="0"/>
    <xf numFmtId="10" fontId="0" fillId="0" borderId="0" xfId="0" applyNumberFormat="1"/>
    <xf numFmtId="3" fontId="0" fillId="0" borderId="0" xfId="0" applyNumberFormat="1"/>
    <xf numFmtId="0" fontId="0" fillId="0" borderId="0" xfId="0" applyAlignment="1">
      <alignment horizontal="left"/>
    </xf>
    <xf numFmtId="0" fontId="0" fillId="0" borderId="0" xfId="0" applyBorder="1" applyAlignment="1">
      <alignment horizontal="left"/>
    </xf>
    <xf numFmtId="164" fontId="0" fillId="0" borderId="0" xfId="0" applyNumberFormat="1" applyBorder="1" applyAlignment="1">
      <alignment horizontal="left"/>
    </xf>
    <xf numFmtId="0" fontId="0" fillId="0" borderId="1" xfId="0" applyBorder="1"/>
    <xf numFmtId="10" fontId="0" fillId="0" borderId="1" xfId="0" applyNumberFormat="1" applyBorder="1"/>
    <xf numFmtId="10" fontId="0" fillId="0" borderId="1" xfId="0" applyNumberFormat="1" applyFill="1" applyBorder="1"/>
    <xf numFmtId="18" fontId="0" fillId="0" borderId="0" xfId="0" quotePrefix="1" applyNumberFormat="1"/>
    <xf numFmtId="0" fontId="9" fillId="0" borderId="2" xfId="2" applyFont="1" applyFill="1" applyBorder="1" applyAlignment="1" applyProtection="1">
      <alignment wrapText="1"/>
    </xf>
    <xf numFmtId="0" fontId="1" fillId="2" borderId="0" xfId="2" applyFill="1" applyProtection="1"/>
    <xf numFmtId="0" fontId="1" fillId="2" borderId="0" xfId="2" applyFill="1" applyAlignment="1" applyProtection="1">
      <alignment vertical="center"/>
    </xf>
    <xf numFmtId="0" fontId="6" fillId="2" borderId="0" xfId="2" applyFont="1" applyFill="1" applyProtection="1"/>
    <xf numFmtId="0" fontId="12" fillId="0" borderId="3" xfId="2" applyFont="1" applyFill="1" applyBorder="1" applyAlignment="1" applyProtection="1">
      <alignment horizontal="right" vertical="center"/>
    </xf>
    <xf numFmtId="0" fontId="2" fillId="0" borderId="4" xfId="2" applyFont="1" applyFill="1" applyBorder="1" applyAlignment="1" applyProtection="1">
      <alignment horizontal="center" vertical="center"/>
      <protection locked="0"/>
    </xf>
    <xf numFmtId="0" fontId="4" fillId="0" borderId="0" xfId="2" applyFont="1" applyFill="1" applyBorder="1" applyAlignment="1" applyProtection="1">
      <alignment vertical="center"/>
    </xf>
    <xf numFmtId="0" fontId="5" fillId="0" borderId="5" xfId="2" applyFont="1" applyFill="1" applyBorder="1" applyAlignment="1" applyProtection="1">
      <alignment horizontal="right" vertical="center"/>
    </xf>
    <xf numFmtId="0" fontId="5" fillId="0" borderId="6" xfId="2" applyFont="1" applyFill="1" applyBorder="1" applyAlignment="1" applyProtection="1">
      <alignment horizontal="right" vertical="center"/>
    </xf>
    <xf numFmtId="0" fontId="5" fillId="0" borderId="1" xfId="2" applyFont="1" applyFill="1" applyBorder="1" applyAlignment="1" applyProtection="1">
      <alignment horizontal="right" vertical="center"/>
    </xf>
    <xf numFmtId="0" fontId="7" fillId="0" borderId="6" xfId="2" applyFont="1" applyFill="1" applyBorder="1" applyAlignment="1" applyProtection="1">
      <alignment horizontal="right" vertical="center"/>
    </xf>
    <xf numFmtId="0" fontId="7" fillId="0" borderId="7" xfId="2" applyFont="1" applyFill="1" applyBorder="1" applyAlignment="1" applyProtection="1"/>
    <xf numFmtId="0" fontId="7" fillId="0" borderId="2" xfId="2" applyFont="1" applyFill="1" applyBorder="1" applyAlignment="1" applyProtection="1"/>
    <xf numFmtId="0" fontId="7" fillId="0" borderId="8" xfId="2" applyFont="1" applyFill="1" applyBorder="1" applyAlignment="1" applyProtection="1">
      <alignment horizontal="center" vertical="center"/>
    </xf>
    <xf numFmtId="0" fontId="6" fillId="0" borderId="9" xfId="2" applyFont="1" applyFill="1" applyBorder="1" applyAlignment="1" applyProtection="1">
      <alignment horizontal="center" vertical="center"/>
    </xf>
    <xf numFmtId="0" fontId="11" fillId="2" borderId="0" xfId="2" applyFont="1" applyFill="1" applyProtection="1"/>
    <xf numFmtId="0" fontId="11" fillId="2" borderId="0" xfId="2" applyFont="1" applyFill="1" applyAlignment="1" applyProtection="1">
      <alignment vertical="center"/>
    </xf>
    <xf numFmtId="0" fontId="7" fillId="2" borderId="0" xfId="2" applyFont="1" applyFill="1" applyProtection="1">
      <protection locked="0"/>
    </xf>
    <xf numFmtId="49" fontId="10" fillId="3" borderId="10" xfId="2" applyNumberFormat="1" applyFont="1" applyFill="1" applyBorder="1" applyAlignment="1" applyProtection="1">
      <alignment horizontal="center" vertical="center"/>
    </xf>
    <xf numFmtId="0" fontId="19" fillId="0" borderId="1" xfId="2" applyFont="1" applyFill="1" applyBorder="1" applyAlignment="1" applyProtection="1">
      <alignment horizontal="center" vertical="center" wrapText="1"/>
    </xf>
    <xf numFmtId="0" fontId="3" fillId="0" borderId="0" xfId="2" applyFont="1" applyFill="1" applyBorder="1" applyAlignment="1" applyProtection="1">
      <alignment vertical="center"/>
    </xf>
    <xf numFmtId="0" fontId="3" fillId="0" borderId="0" xfId="2" applyFont="1" applyFill="1" applyBorder="1" applyAlignment="1" applyProtection="1">
      <alignment horizontal="left" vertical="center"/>
    </xf>
    <xf numFmtId="0" fontId="16" fillId="0" borderId="11" xfId="0" applyFont="1" applyFill="1" applyBorder="1" applyAlignment="1" applyProtection="1">
      <alignment horizontal="center"/>
      <protection locked="0"/>
    </xf>
    <xf numFmtId="0" fontId="16" fillId="0" borderId="12" xfId="0" applyFont="1" applyFill="1" applyBorder="1" applyAlignment="1" applyProtection="1">
      <alignment horizontal="center"/>
      <protection locked="0"/>
    </xf>
    <xf numFmtId="20" fontId="8" fillId="0" borderId="13" xfId="2" applyNumberFormat="1" applyFont="1" applyFill="1" applyBorder="1" applyAlignment="1" applyProtection="1">
      <protection locked="0"/>
    </xf>
    <xf numFmtId="0" fontId="8" fillId="0" borderId="13" xfId="2" applyFont="1" applyFill="1" applyBorder="1" applyAlignment="1" applyProtection="1">
      <protection locked="0"/>
    </xf>
    <xf numFmtId="0" fontId="0" fillId="5" borderId="0" xfId="0" applyFill="1"/>
    <xf numFmtId="0" fontId="0" fillId="0" borderId="0" xfId="0" applyFill="1"/>
    <xf numFmtId="0" fontId="1" fillId="5" borderId="0" xfId="2" applyFill="1" applyProtection="1"/>
    <xf numFmtId="0" fontId="15" fillId="4" borderId="1" xfId="0" applyFont="1" applyFill="1" applyBorder="1" applyAlignment="1" applyProtection="1">
      <alignment horizontal="center"/>
      <protection locked="0"/>
    </xf>
    <xf numFmtId="49" fontId="3" fillId="0" borderId="14" xfId="2" applyNumberFormat="1" applyFont="1" applyFill="1" applyBorder="1" applyAlignment="1" applyProtection="1">
      <alignment horizontal="center" vertical="center"/>
      <protection locked="0"/>
    </xf>
    <xf numFmtId="1" fontId="3" fillId="0" borderId="15" xfId="2" applyNumberFormat="1" applyFont="1" applyFill="1" applyBorder="1" applyAlignment="1" applyProtection="1">
      <alignment horizontal="center" vertical="center" wrapText="1"/>
      <protection locked="0"/>
    </xf>
    <xf numFmtId="0" fontId="0" fillId="6" borderId="1" xfId="0" applyFill="1" applyBorder="1"/>
    <xf numFmtId="10" fontId="0" fillId="6" borderId="1" xfId="0" applyNumberFormat="1" applyFill="1" applyBorder="1"/>
    <xf numFmtId="0" fontId="13" fillId="0" borderId="5" xfId="2" applyFont="1" applyFill="1" applyBorder="1" applyAlignment="1" applyProtection="1">
      <alignment horizontal="left" vertical="center" wrapText="1" indent="1"/>
    </xf>
    <xf numFmtId="0" fontId="13" fillId="0" borderId="6" xfId="2" applyFont="1" applyFill="1" applyBorder="1" applyAlignment="1" applyProtection="1">
      <alignment horizontal="left" vertical="center" wrapText="1" indent="1"/>
    </xf>
    <xf numFmtId="0" fontId="8" fillId="0" borderId="1" xfId="2" applyFont="1" applyFill="1" applyBorder="1" applyAlignment="1" applyProtection="1">
      <alignment horizontal="left" vertical="center" wrapText="1"/>
    </xf>
    <xf numFmtId="0" fontId="14" fillId="0" borderId="16" xfId="2" applyFont="1" applyFill="1" applyBorder="1" applyAlignment="1" applyProtection="1">
      <alignment horizontal="center" vertical="center"/>
      <protection locked="0"/>
    </xf>
    <xf numFmtId="0" fontId="14" fillId="0" borderId="12" xfId="2" applyFont="1" applyFill="1" applyBorder="1" applyAlignment="1" applyProtection="1">
      <alignment horizontal="center" vertical="center"/>
      <protection locked="0"/>
    </xf>
    <xf numFmtId="0" fontId="14" fillId="0" borderId="17" xfId="2" applyFont="1" applyFill="1" applyBorder="1" applyAlignment="1" applyProtection="1">
      <alignment horizontal="center" vertical="center"/>
      <protection locked="0"/>
    </xf>
    <xf numFmtId="0" fontId="12" fillId="0" borderId="18" xfId="2" applyFont="1" applyFill="1" applyBorder="1" applyAlignment="1" applyProtection="1">
      <alignment horizontal="center" vertical="center"/>
    </xf>
    <xf numFmtId="0" fontId="12" fillId="0" borderId="19" xfId="2" applyFont="1" applyFill="1" applyBorder="1" applyAlignment="1" applyProtection="1">
      <alignment horizontal="center" vertical="center"/>
    </xf>
    <xf numFmtId="0" fontId="12" fillId="0" borderId="1" xfId="2" applyFont="1" applyFill="1" applyBorder="1" applyAlignment="1" applyProtection="1">
      <alignment horizontal="center" vertical="center"/>
      <protection locked="0"/>
    </xf>
    <xf numFmtId="0" fontId="12" fillId="0" borderId="20" xfId="2" applyFont="1" applyFill="1" applyBorder="1" applyAlignment="1" applyProtection="1">
      <alignment horizontal="center" vertical="center"/>
      <protection locked="0"/>
    </xf>
    <xf numFmtId="0" fontId="2" fillId="0" borderId="0" xfId="2" applyFont="1" applyFill="1" applyBorder="1" applyAlignment="1" applyProtection="1">
      <alignment horizontal="center" vertical="center" wrapText="1"/>
    </xf>
    <xf numFmtId="0" fontId="14" fillId="0" borderId="21" xfId="2" applyFont="1" applyFill="1" applyBorder="1" applyAlignment="1" applyProtection="1">
      <alignment horizontal="center" vertical="center"/>
    </xf>
    <xf numFmtId="0" fontId="14" fillId="0" borderId="22" xfId="2" applyFont="1" applyFill="1" applyBorder="1" applyAlignment="1" applyProtection="1">
      <alignment horizontal="center" vertical="center"/>
    </xf>
    <xf numFmtId="0" fontId="14" fillId="0" borderId="23" xfId="2" applyFont="1" applyFill="1" applyBorder="1" applyAlignment="1" applyProtection="1">
      <alignment horizontal="center" vertical="center"/>
    </xf>
    <xf numFmtId="0" fontId="14" fillId="0" borderId="24" xfId="2" applyFont="1" applyFill="1" applyBorder="1" applyAlignment="1" applyProtection="1">
      <alignment horizontal="center" vertical="center"/>
    </xf>
    <xf numFmtId="0" fontId="14" fillId="0" borderId="0" xfId="2" applyFont="1" applyFill="1" applyBorder="1" applyAlignment="1" applyProtection="1">
      <alignment horizontal="center" vertical="center"/>
    </xf>
    <xf numFmtId="0" fontId="14" fillId="0" borderId="25" xfId="2" applyFont="1" applyFill="1" applyBorder="1" applyAlignment="1" applyProtection="1">
      <alignment horizontal="center" vertical="center"/>
    </xf>
    <xf numFmtId="0" fontId="14" fillId="0" borderId="26" xfId="2" applyFont="1" applyFill="1" applyBorder="1" applyAlignment="1" applyProtection="1">
      <alignment horizontal="center" vertical="center"/>
    </xf>
    <xf numFmtId="0" fontId="14" fillId="0" borderId="27" xfId="2" applyFont="1" applyFill="1" applyBorder="1" applyAlignment="1" applyProtection="1">
      <alignment horizontal="center" vertical="center"/>
    </xf>
    <xf numFmtId="0" fontId="14" fillId="0" borderId="28" xfId="2" applyFont="1" applyFill="1" applyBorder="1" applyAlignment="1" applyProtection="1">
      <alignment horizontal="center" vertical="center"/>
    </xf>
    <xf numFmtId="0" fontId="19" fillId="3" borderId="29" xfId="2" applyFont="1" applyFill="1" applyBorder="1" applyAlignment="1" applyProtection="1">
      <alignment horizontal="center" vertical="center" wrapText="1"/>
    </xf>
    <xf numFmtId="0" fontId="19" fillId="3" borderId="30" xfId="2" applyFont="1" applyFill="1" applyBorder="1" applyAlignment="1" applyProtection="1">
      <alignment horizontal="center" vertical="center" wrapText="1"/>
    </xf>
    <xf numFmtId="49" fontId="10" fillId="0" borderId="11" xfId="2" applyNumberFormat="1" applyFont="1" applyFill="1" applyBorder="1" applyAlignment="1" applyProtection="1">
      <alignment horizontal="left"/>
      <protection locked="0"/>
    </xf>
    <xf numFmtId="49" fontId="10" fillId="0" borderId="13" xfId="2" applyNumberFormat="1" applyFont="1" applyFill="1" applyBorder="1" applyAlignment="1" applyProtection="1">
      <alignment horizontal="left"/>
      <protection locked="0"/>
    </xf>
    <xf numFmtId="49" fontId="10" fillId="0" borderId="7" xfId="2" applyNumberFormat="1" applyFont="1" applyFill="1" applyBorder="1" applyAlignment="1" applyProtection="1">
      <alignment horizontal="left"/>
      <protection locked="0"/>
    </xf>
    <xf numFmtId="0" fontId="19" fillId="3" borderId="31" xfId="2" applyFont="1" applyFill="1" applyBorder="1" applyAlignment="1" applyProtection="1">
      <alignment horizontal="center" vertical="center" wrapText="1"/>
    </xf>
    <xf numFmtId="0" fontId="8" fillId="0" borderId="32" xfId="2" applyFont="1" applyFill="1" applyBorder="1" applyAlignment="1" applyProtection="1">
      <alignment horizontal="left" vertical="center" wrapText="1"/>
    </xf>
    <xf numFmtId="0" fontId="10" fillId="0" borderId="11" xfId="2" applyFont="1" applyFill="1" applyBorder="1" applyAlignment="1" applyProtection="1">
      <alignment horizontal="left" vertical="center" wrapText="1" indent="2"/>
    </xf>
    <xf numFmtId="0" fontId="10" fillId="0" borderId="13" xfId="2" applyFont="1" applyFill="1" applyBorder="1" applyAlignment="1" applyProtection="1">
      <alignment horizontal="left" vertical="center" wrapText="1" indent="2"/>
    </xf>
    <xf numFmtId="0" fontId="10" fillId="0" borderId="7" xfId="2" applyFont="1" applyFill="1" applyBorder="1" applyAlignment="1" applyProtection="1">
      <alignment horizontal="left" vertical="center" wrapText="1" indent="2"/>
    </xf>
    <xf numFmtId="0" fontId="18" fillId="3" borderId="33" xfId="2" applyFont="1" applyFill="1" applyBorder="1" applyAlignment="1" applyProtection="1">
      <alignment horizontal="center" vertical="center"/>
    </xf>
    <xf numFmtId="0" fontId="18" fillId="3" borderId="34" xfId="2" applyFont="1" applyFill="1" applyBorder="1" applyAlignment="1" applyProtection="1">
      <alignment horizontal="center" vertical="center"/>
    </xf>
    <xf numFmtId="0" fontId="18" fillId="3" borderId="35" xfId="2" applyFont="1" applyFill="1" applyBorder="1" applyAlignment="1" applyProtection="1">
      <alignment horizontal="center" vertical="center"/>
    </xf>
    <xf numFmtId="0" fontId="18" fillId="3" borderId="36" xfId="2" applyFont="1" applyFill="1" applyBorder="1" applyAlignment="1" applyProtection="1">
      <alignment horizontal="center" vertical="center"/>
    </xf>
    <xf numFmtId="0" fontId="18" fillId="3" borderId="37" xfId="2" applyFont="1" applyFill="1" applyBorder="1" applyAlignment="1" applyProtection="1">
      <alignment horizontal="center" vertical="center"/>
    </xf>
    <xf numFmtId="0" fontId="18" fillId="3" borderId="38" xfId="2" applyFont="1" applyFill="1" applyBorder="1" applyAlignment="1" applyProtection="1">
      <alignment horizontal="center" vertical="center"/>
    </xf>
    <xf numFmtId="0" fontId="6" fillId="0" borderId="39" xfId="2" applyFont="1" applyFill="1" applyBorder="1" applyAlignment="1" applyProtection="1">
      <alignment horizontal="center" vertical="center"/>
    </xf>
    <xf numFmtId="0" fontId="7" fillId="0" borderId="40" xfId="2" applyFont="1" applyFill="1" applyBorder="1" applyAlignment="1" applyProtection="1">
      <alignment horizontal="center" vertical="center"/>
    </xf>
    <xf numFmtId="0" fontId="1" fillId="0" borderId="41" xfId="2" applyFill="1" applyBorder="1" applyAlignment="1" applyProtection="1">
      <alignment horizontal="center"/>
      <protection locked="0"/>
    </xf>
    <xf numFmtId="0" fontId="1" fillId="0" borderId="27" xfId="2" applyFill="1" applyBorder="1" applyAlignment="1" applyProtection="1">
      <alignment horizontal="center"/>
      <protection locked="0"/>
    </xf>
    <xf numFmtId="0" fontId="7" fillId="0" borderId="42" xfId="2" applyFont="1" applyFill="1" applyBorder="1" applyAlignment="1" applyProtection="1">
      <alignment horizontal="center" vertical="center"/>
    </xf>
    <xf numFmtId="14" fontId="3" fillId="0" borderId="27" xfId="2" applyNumberFormat="1" applyFont="1" applyFill="1" applyBorder="1" applyAlignment="1" applyProtection="1">
      <alignment horizontal="center" vertical="center"/>
      <protection locked="0"/>
    </xf>
    <xf numFmtId="14" fontId="3" fillId="0" borderId="43" xfId="2" applyNumberFormat="1" applyFont="1" applyFill="1" applyBorder="1" applyAlignment="1" applyProtection="1">
      <alignment horizontal="center" vertical="center"/>
      <protection locked="0"/>
    </xf>
    <xf numFmtId="49" fontId="10" fillId="0" borderId="44" xfId="2" applyNumberFormat="1" applyFont="1" applyFill="1" applyBorder="1" applyAlignment="1" applyProtection="1">
      <alignment horizontal="left"/>
      <protection locked="0"/>
    </xf>
    <xf numFmtId="49" fontId="10" fillId="0" borderId="37" xfId="2" applyNumberFormat="1" applyFont="1" applyFill="1" applyBorder="1" applyAlignment="1" applyProtection="1">
      <alignment horizontal="left"/>
      <protection locked="0"/>
    </xf>
    <xf numFmtId="49" fontId="10" fillId="0" borderId="45" xfId="2" applyNumberFormat="1" applyFont="1" applyFill="1" applyBorder="1" applyAlignment="1" applyProtection="1">
      <alignment horizontal="left"/>
      <protection locked="0"/>
    </xf>
    <xf numFmtId="0" fontId="14" fillId="0" borderId="44" xfId="2" applyFont="1" applyFill="1" applyBorder="1" applyAlignment="1" applyProtection="1">
      <alignment horizontal="center" vertical="center"/>
      <protection locked="0"/>
    </xf>
    <xf numFmtId="0" fontId="14" fillId="0" borderId="45" xfId="2" applyFont="1" applyFill="1" applyBorder="1" applyAlignment="1" applyProtection="1">
      <alignment horizontal="center" vertical="center"/>
      <protection locked="0"/>
    </xf>
    <xf numFmtId="0" fontId="14" fillId="0" borderId="32" xfId="2" applyFont="1" applyFill="1" applyBorder="1" applyAlignment="1" applyProtection="1">
      <alignment horizontal="center" vertical="center"/>
      <protection locked="0"/>
    </xf>
    <xf numFmtId="0" fontId="10" fillId="3" borderId="29" xfId="2" applyFont="1" applyFill="1" applyBorder="1" applyAlignment="1" applyProtection="1">
      <alignment horizontal="center" vertical="center"/>
    </xf>
    <xf numFmtId="0" fontId="10" fillId="3" borderId="46" xfId="2" applyFont="1" applyFill="1" applyBorder="1" applyAlignment="1" applyProtection="1">
      <alignment horizontal="center" vertical="center"/>
    </xf>
    <xf numFmtId="0" fontId="10" fillId="3" borderId="30" xfId="2" applyFont="1" applyFill="1" applyBorder="1" applyAlignment="1" applyProtection="1">
      <alignment horizontal="center" vertical="center"/>
    </xf>
    <xf numFmtId="1" fontId="10" fillId="0" borderId="39" xfId="2" applyNumberFormat="1" applyFont="1" applyFill="1" applyBorder="1" applyAlignment="1" applyProtection="1">
      <alignment horizontal="left"/>
      <protection locked="0"/>
    </xf>
    <xf numFmtId="1" fontId="10" fillId="0" borderId="40" xfId="2" applyNumberFormat="1" applyFont="1" applyFill="1" applyBorder="1" applyAlignment="1" applyProtection="1">
      <alignment horizontal="left"/>
      <protection locked="0"/>
    </xf>
    <xf numFmtId="1" fontId="10" fillId="0" borderId="13" xfId="2" applyNumberFormat="1" applyFont="1" applyFill="1" applyBorder="1" applyAlignment="1" applyProtection="1">
      <alignment horizontal="left"/>
      <protection locked="0"/>
    </xf>
    <xf numFmtId="1" fontId="10" fillId="0" borderId="2" xfId="2" applyNumberFormat="1" applyFont="1" applyFill="1" applyBorder="1" applyAlignment="1" applyProtection="1">
      <alignment horizontal="left"/>
      <protection locked="0"/>
    </xf>
    <xf numFmtId="0" fontId="9" fillId="0" borderId="47" xfId="2" applyFont="1" applyFill="1" applyBorder="1" applyAlignment="1" applyProtection="1">
      <alignment horizontal="right" vertical="center" wrapText="1"/>
    </xf>
    <xf numFmtId="0" fontId="8" fillId="0" borderId="19" xfId="2" applyFont="1" applyFill="1" applyBorder="1" applyAlignment="1" applyProtection="1">
      <alignment horizontal="right" vertical="center" wrapText="1"/>
    </xf>
    <xf numFmtId="0" fontId="21" fillId="0" borderId="0" xfId="2" applyFont="1" applyFill="1" applyAlignment="1" applyProtection="1">
      <alignment horizontal="center" vertical="center"/>
      <protection locked="0"/>
    </xf>
    <xf numFmtId="0" fontId="10" fillId="0" borderId="1" xfId="2" applyFont="1" applyFill="1" applyBorder="1" applyAlignment="1" applyProtection="1">
      <alignment horizontal="left" vertical="center" wrapText="1" indent="2"/>
    </xf>
    <xf numFmtId="0" fontId="8" fillId="0" borderId="11" xfId="2" applyFont="1" applyFill="1" applyBorder="1" applyAlignment="1" applyProtection="1">
      <alignment horizontal="center" vertical="center" wrapText="1"/>
    </xf>
    <xf numFmtId="0" fontId="8" fillId="0" borderId="13" xfId="2" applyFont="1" applyFill="1" applyBorder="1" applyAlignment="1" applyProtection="1">
      <alignment horizontal="center" vertical="center" wrapText="1"/>
    </xf>
    <xf numFmtId="0" fontId="5" fillId="0" borderId="44" xfId="2" applyFont="1" applyFill="1" applyBorder="1" applyAlignment="1" applyProtection="1">
      <alignment horizontal="right" vertical="center"/>
    </xf>
    <xf numFmtId="0" fontId="5" fillId="0" borderId="37" xfId="2" applyFont="1" applyFill="1" applyBorder="1" applyAlignment="1" applyProtection="1">
      <alignment horizontal="right" vertical="center"/>
    </xf>
    <xf numFmtId="0" fontId="5" fillId="0" borderId="45" xfId="2" applyFont="1" applyFill="1" applyBorder="1" applyAlignment="1" applyProtection="1">
      <alignment horizontal="right" vertical="center"/>
    </xf>
    <xf numFmtId="14" fontId="10" fillId="0" borderId="44" xfId="2" applyNumberFormat="1" applyFont="1" applyFill="1" applyBorder="1" applyAlignment="1" applyProtection="1">
      <alignment horizontal="center"/>
      <protection locked="0"/>
    </xf>
    <xf numFmtId="14" fontId="10" fillId="0" borderId="38" xfId="2" applyNumberFormat="1" applyFont="1" applyFill="1" applyBorder="1" applyAlignment="1" applyProtection="1">
      <alignment horizontal="center"/>
      <protection locked="0"/>
    </xf>
    <xf numFmtId="0" fontId="10" fillId="0" borderId="2" xfId="2" applyFont="1" applyFill="1" applyBorder="1" applyAlignment="1" applyProtection="1">
      <alignment horizontal="left" vertical="center" wrapText="1" indent="2"/>
    </xf>
    <xf numFmtId="0" fontId="14" fillId="0" borderId="0" xfId="2" applyFont="1" applyFill="1" applyAlignment="1" applyProtection="1">
      <alignment horizontal="center" vertical="center"/>
      <protection locked="0"/>
    </xf>
    <xf numFmtId="165" fontId="10" fillId="0" borderId="11" xfId="2" applyNumberFormat="1" applyFont="1" applyFill="1" applyBorder="1" applyAlignment="1" applyProtection="1">
      <alignment horizontal="left"/>
      <protection locked="0"/>
    </xf>
    <xf numFmtId="165" fontId="10" fillId="0" borderId="13" xfId="2" applyNumberFormat="1" applyFont="1" applyFill="1" applyBorder="1" applyAlignment="1" applyProtection="1">
      <alignment horizontal="left"/>
      <protection locked="0"/>
    </xf>
    <xf numFmtId="165" fontId="10" fillId="0" borderId="2" xfId="2" applyNumberFormat="1" applyFont="1" applyFill="1" applyBorder="1" applyAlignment="1" applyProtection="1">
      <alignment horizontal="left"/>
      <protection locked="0"/>
    </xf>
    <xf numFmtId="165" fontId="10" fillId="0" borderId="48" xfId="2" applyNumberFormat="1" applyFont="1" applyFill="1" applyBorder="1" applyAlignment="1" applyProtection="1">
      <alignment horizontal="left"/>
      <protection locked="0"/>
    </xf>
    <xf numFmtId="165" fontId="10" fillId="0" borderId="17" xfId="2" applyNumberFormat="1" applyFont="1" applyFill="1" applyBorder="1" applyAlignment="1" applyProtection="1">
      <alignment horizontal="left"/>
      <protection locked="0"/>
    </xf>
    <xf numFmtId="0" fontId="12" fillId="0" borderId="11" xfId="2" applyFont="1" applyFill="1" applyBorder="1" applyAlignment="1" applyProtection="1">
      <alignment horizontal="center" vertical="center"/>
    </xf>
    <xf numFmtId="0" fontId="12" fillId="0" borderId="7" xfId="2" applyFont="1" applyFill="1" applyBorder="1" applyAlignment="1" applyProtection="1">
      <alignment horizontal="center" vertical="center"/>
    </xf>
    <xf numFmtId="0" fontId="12" fillId="0" borderId="32" xfId="2" applyFont="1" applyFill="1" applyBorder="1" applyAlignment="1" applyProtection="1">
      <alignment horizontal="center" vertical="center"/>
      <protection locked="0"/>
    </xf>
    <xf numFmtId="0" fontId="12" fillId="0" borderId="49" xfId="2" applyFont="1" applyFill="1" applyBorder="1" applyAlignment="1" applyProtection="1">
      <alignment horizontal="center" vertical="center"/>
      <protection locked="0"/>
    </xf>
    <xf numFmtId="0" fontId="9" fillId="0" borderId="50" xfId="2" applyFont="1" applyFill="1" applyBorder="1" applyAlignment="1" applyProtection="1">
      <alignment horizontal="right" vertical="center" wrapText="1"/>
    </xf>
    <xf numFmtId="0" fontId="8" fillId="0" borderId="42" xfId="2" applyFont="1" applyFill="1" applyBorder="1" applyAlignment="1" applyProtection="1">
      <alignment horizontal="right" vertical="center" wrapText="1"/>
    </xf>
    <xf numFmtId="0" fontId="8" fillId="0" borderId="24" xfId="2" applyFont="1" applyFill="1" applyBorder="1" applyAlignment="1" applyProtection="1">
      <alignment horizontal="right" vertical="center" wrapText="1"/>
    </xf>
    <xf numFmtId="0" fontId="8" fillId="0" borderId="51" xfId="2" applyFont="1" applyFill="1" applyBorder="1" applyAlignment="1" applyProtection="1">
      <alignment horizontal="right" vertical="center" wrapText="1"/>
    </xf>
    <xf numFmtId="0" fontId="8" fillId="0" borderId="52" xfId="2" applyFont="1" applyFill="1" applyBorder="1" applyAlignment="1" applyProtection="1">
      <alignment horizontal="right" vertical="center" wrapText="1"/>
    </xf>
    <xf numFmtId="0" fontId="8" fillId="0" borderId="17" xfId="2" applyFont="1" applyFill="1" applyBorder="1" applyAlignment="1" applyProtection="1">
      <alignment horizontal="right" vertical="center" wrapText="1"/>
    </xf>
    <xf numFmtId="0" fontId="1" fillId="6" borderId="39" xfId="2" applyFill="1" applyBorder="1" applyAlignment="1" applyProtection="1">
      <alignment horizontal="left" vertical="center"/>
      <protection locked="0"/>
    </xf>
    <xf numFmtId="0" fontId="1" fillId="6" borderId="40" xfId="2" applyFill="1" applyBorder="1" applyAlignment="1" applyProtection="1">
      <alignment horizontal="left" vertical="center"/>
      <protection locked="0"/>
    </xf>
    <xf numFmtId="0" fontId="1" fillId="6" borderId="53" xfId="2" applyFill="1" applyBorder="1" applyAlignment="1" applyProtection="1">
      <alignment horizontal="left" vertical="center"/>
      <protection locked="0"/>
    </xf>
    <xf numFmtId="0" fontId="19" fillId="3" borderId="4" xfId="2" applyFont="1" applyFill="1" applyBorder="1" applyAlignment="1" applyProtection="1">
      <alignment horizontal="center" vertical="center" wrapText="1"/>
    </xf>
    <xf numFmtId="0" fontId="12" fillId="0" borderId="44" xfId="2" applyFont="1" applyFill="1" applyBorder="1" applyAlignment="1" applyProtection="1">
      <alignment horizontal="center" vertical="center"/>
    </xf>
    <xf numFmtId="0" fontId="17" fillId="0" borderId="45" xfId="0" applyFont="1" applyFill="1" applyBorder="1" applyProtection="1"/>
    <xf numFmtId="0" fontId="14" fillId="0" borderId="27" xfId="2" applyFont="1" applyFill="1" applyBorder="1" applyAlignment="1" applyProtection="1">
      <alignment horizontal="left" vertical="center"/>
      <protection locked="0"/>
    </xf>
    <xf numFmtId="0" fontId="20" fillId="0" borderId="46" xfId="1" applyFont="1" applyFill="1" applyBorder="1" applyAlignment="1" applyProtection="1">
      <alignment horizontal="left" vertical="center" wrapText="1"/>
      <protection locked="0"/>
    </xf>
    <xf numFmtId="0" fontId="8" fillId="0" borderId="3" xfId="2" applyFont="1" applyFill="1" applyBorder="1" applyAlignment="1" applyProtection="1">
      <alignment horizontal="left" vertical="center"/>
    </xf>
    <xf numFmtId="0" fontId="8" fillId="0" borderId="30" xfId="2" applyFont="1" applyFill="1" applyBorder="1" applyAlignment="1" applyProtection="1">
      <alignment horizontal="left" vertical="center"/>
    </xf>
    <xf numFmtId="0" fontId="8" fillId="0" borderId="29" xfId="2" applyFont="1" applyFill="1" applyBorder="1" applyAlignment="1" applyProtection="1">
      <alignment horizontal="left" vertical="center"/>
    </xf>
    <xf numFmtId="0" fontId="8" fillId="0" borderId="46" xfId="2" applyFont="1" applyFill="1" applyBorder="1" applyAlignment="1" applyProtection="1">
      <alignment horizontal="left" vertical="center"/>
    </xf>
    <xf numFmtId="0" fontId="8" fillId="0" borderId="54" xfId="2" applyFont="1" applyFill="1" applyBorder="1" applyAlignment="1" applyProtection="1">
      <alignment horizontal="left" vertical="center"/>
    </xf>
    <xf numFmtId="49" fontId="5" fillId="0" borderId="11" xfId="2" applyNumberFormat="1" applyFont="1" applyFill="1" applyBorder="1" applyAlignment="1" applyProtection="1">
      <alignment horizontal="right" vertical="center"/>
    </xf>
    <xf numFmtId="49" fontId="5" fillId="0" borderId="7" xfId="2" applyNumberFormat="1" applyFont="1" applyFill="1" applyBorder="1" applyAlignment="1" applyProtection="1">
      <alignment horizontal="right" vertical="center"/>
    </xf>
    <xf numFmtId="49" fontId="10" fillId="0" borderId="2" xfId="2" applyNumberFormat="1" applyFont="1" applyFill="1" applyBorder="1" applyAlignment="1" applyProtection="1">
      <alignment horizontal="left"/>
      <protection locked="0"/>
    </xf>
  </cellXfs>
  <cellStyles count="3">
    <cellStyle name="Hyperlink" xfId="1" builtinId="8"/>
    <cellStyle name="Normal" xfId="0" builtinId="0"/>
    <cellStyle name="Normal 2" xfId="2"/>
  </cellStyles>
  <dxfs count="22">
    <dxf>
      <fill>
        <patternFill>
          <bgColor rgb="FFFFFF00"/>
        </patternFill>
      </fill>
    </dxf>
    <dxf>
      <fill>
        <patternFill>
          <bgColor rgb="FFFFFF00"/>
        </patternFill>
      </fill>
    </dxf>
    <dxf>
      <fill>
        <patternFill>
          <bgColor rgb="FFFFFF00"/>
        </patternFill>
      </fill>
    </dxf>
    <dxf>
      <font>
        <b/>
        <i val="0"/>
      </font>
      <numFmt numFmtId="30" formatCode="@"/>
    </dxf>
    <dxf>
      <fill>
        <patternFill>
          <bgColor rgb="FFFFFF00"/>
        </patternFill>
      </fill>
    </dxf>
    <dxf>
      <fill>
        <patternFill>
          <bgColor theme="0" tint="-0.14996795556505021"/>
        </patternFill>
      </fill>
    </dxf>
    <dxf>
      <fill>
        <patternFill>
          <bgColor theme="0" tint="-0.14996795556505021"/>
        </patternFill>
      </fill>
    </dxf>
    <dxf>
      <fill>
        <patternFill>
          <bgColor rgb="FFFFFF00"/>
        </patternFill>
      </fill>
    </dxf>
    <dxf>
      <fill>
        <patternFill>
          <bgColor theme="0" tint="-0.14996795556505021"/>
        </patternFill>
      </fill>
    </dxf>
    <dxf>
      <fill>
        <patternFill>
          <bgColor theme="0" tint="-0.14996795556505021"/>
        </patternFill>
      </fill>
    </dxf>
    <dxf>
      <fill>
        <patternFill>
          <bgColor rgb="FFFFFF00"/>
        </patternFill>
      </fill>
    </dxf>
    <dxf>
      <fill>
        <patternFill>
          <bgColor theme="0" tint="-0.14996795556505021"/>
        </patternFill>
      </fill>
    </dxf>
    <dxf>
      <fill>
        <patternFill>
          <bgColor theme="0" tint="-0.14996795556505021"/>
        </patternFill>
      </fill>
    </dxf>
    <dxf>
      <fill>
        <patternFill>
          <bgColor rgb="FFFFFF00"/>
        </patternFill>
      </fill>
    </dxf>
    <dxf>
      <fill>
        <patternFill>
          <bgColor theme="0" tint="-0.14996795556505021"/>
        </patternFill>
      </fill>
    </dxf>
    <dxf>
      <fill>
        <patternFill>
          <bgColor theme="0" tint="-0.14996795556505021"/>
        </patternFill>
      </fill>
    </dxf>
    <dxf>
      <fill>
        <patternFill>
          <bgColor rgb="FFFFFF00"/>
        </patternFill>
      </fill>
    </dxf>
    <dxf>
      <fill>
        <patternFill>
          <bgColor rgb="FFFFFF00"/>
        </patternFill>
      </fill>
    </dxf>
    <dxf>
      <fill>
        <patternFill>
          <bgColor theme="0" tint="-0.14996795556505021"/>
        </patternFill>
      </fill>
    </dxf>
    <dxf>
      <fill>
        <patternFill>
          <bgColor theme="0" tint="-0.14996795556505021"/>
        </patternFill>
      </fill>
    </dxf>
    <dxf>
      <fill>
        <patternFill>
          <bgColor rgb="FFFFFF0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fmlaLink="$U$10"/>
</file>

<file path=xl/ctrlProps/ctrlProp2.xml><?xml version="1.0" encoding="utf-8"?>
<formControlPr xmlns="http://schemas.microsoft.com/office/spreadsheetml/2009/9/main" objectType="CheckBox" checked="Checked" fmlaLink="$T$9"/>
</file>

<file path=xl/ctrlProps/ctrlProp3.xml><?xml version="1.0" encoding="utf-8"?>
<formControlPr xmlns="http://schemas.microsoft.com/office/spreadsheetml/2009/9/main" objectType="CheckBox" checked="Checked" fmlaLink="$T$12"/>
</file>

<file path=xl/ctrlProps/ctrlProp4.xml><?xml version="1.0" encoding="utf-8"?>
<formControlPr xmlns="http://schemas.microsoft.com/office/spreadsheetml/2009/9/main" objectType="CheckBox" checked="Checked" fmlaLink="$T$11"/>
</file>

<file path=xl/ctrlProps/ctrlProp5.xml><?xml version="1.0" encoding="utf-8"?>
<formControlPr xmlns="http://schemas.microsoft.com/office/spreadsheetml/2009/9/main" objectType="CheckBox" checked="Checked" fmlaLink="$T$13"/>
</file>

<file path=xl/ctrlProps/ctrlProp6.xml><?xml version="1.0" encoding="utf-8"?>
<formControlPr xmlns="http://schemas.microsoft.com/office/spreadsheetml/2009/9/main" objectType="CheckBox" checked="Checked" fmlaLink="$T$1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133349</xdr:rowOff>
    </xdr:from>
    <xdr:to>
      <xdr:col>8</xdr:col>
      <xdr:colOff>19050</xdr:colOff>
      <xdr:row>24</xdr:row>
      <xdr:rowOff>161925</xdr:rowOff>
    </xdr:to>
    <xdr:sp macro="" textlink="">
      <xdr:nvSpPr>
        <xdr:cNvPr id="2" name="TextBox 1"/>
        <xdr:cNvSpPr txBox="1"/>
      </xdr:nvSpPr>
      <xdr:spPr>
        <a:xfrm>
          <a:off x="76200" y="133349"/>
          <a:ext cx="4457700" cy="460057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base" latinLnBrk="0" hangingPunct="1"/>
          <a:r>
            <a:rPr lang="en-US" sz="1100" b="1" i="0" u="sng" baseline="0">
              <a:solidFill>
                <a:schemeClr val="dk1"/>
              </a:solidFill>
              <a:latin typeface="+mn-lt"/>
              <a:ea typeface="+mn-ea"/>
              <a:cs typeface="+mn-cs"/>
            </a:rPr>
            <a:t>I</a:t>
          </a:r>
          <a:r>
            <a:rPr lang="en-US" sz="1100" b="1" i="0" baseline="0">
              <a:solidFill>
                <a:schemeClr val="dk1"/>
              </a:solidFill>
              <a:latin typeface="+mn-lt"/>
              <a:ea typeface="+mn-ea"/>
              <a:cs typeface="+mn-cs"/>
            </a:rPr>
            <a:t>nstructions</a:t>
          </a:r>
          <a:r>
            <a:rPr lang="en-US" sz="1100" b="0" i="0" baseline="0">
              <a:solidFill>
                <a:schemeClr val="dk1"/>
              </a:solidFill>
              <a:latin typeface="+mn-lt"/>
              <a:ea typeface="+mn-ea"/>
              <a:cs typeface="+mn-cs"/>
            </a:rPr>
            <a:t> (Complete all highlighted fields)</a:t>
          </a:r>
          <a:r>
            <a:rPr lang="en-US" sz="1100" b="1" i="0" baseline="0">
              <a:solidFill>
                <a:schemeClr val="dk1"/>
              </a:solidFill>
              <a:latin typeface="+mn-lt"/>
              <a:ea typeface="+mn-ea"/>
              <a:cs typeface="+mn-cs"/>
            </a:rPr>
            <a:t>:</a:t>
          </a:r>
        </a:p>
        <a:p>
          <a:pPr rtl="0" eaLnBrk="1" fontAlgn="base" latinLnBrk="0" hangingPunct="1"/>
          <a:endParaRPr lang="en-US" sz="1100" b="0" i="0" baseline="0">
            <a:solidFill>
              <a:schemeClr val="dk1"/>
            </a:solidFill>
            <a:latin typeface="+mn-lt"/>
            <a:ea typeface="+mn-ea"/>
            <a:cs typeface="+mn-cs"/>
          </a:endParaRPr>
        </a:p>
        <a:p>
          <a:pPr rtl="0"/>
          <a:r>
            <a:rPr lang="en-US" sz="1100" b="0" i="0" baseline="0">
              <a:solidFill>
                <a:schemeClr val="dk1"/>
              </a:solidFill>
              <a:latin typeface="+mn-lt"/>
              <a:ea typeface="+mn-ea"/>
              <a:cs typeface="+mn-cs"/>
            </a:rPr>
            <a:t>1.  Select Order Frequency from the drop down list.  This should be your assigned EOQ Order Frequency.</a:t>
          </a:r>
          <a:endParaRPr lang="en-US"/>
        </a:p>
        <a:p>
          <a:pPr rtl="0" fontAlgn="base"/>
          <a:endParaRPr lang="en-US" sz="1100" b="0" i="0" baseline="0">
            <a:solidFill>
              <a:schemeClr val="dk1"/>
            </a:solidFill>
            <a:latin typeface="+mn-lt"/>
            <a:ea typeface="+mn-ea"/>
            <a:cs typeface="+mn-cs"/>
          </a:endParaRPr>
        </a:p>
        <a:p>
          <a:pPr rtl="0"/>
          <a:r>
            <a:rPr lang="en-US" sz="1100" b="0" i="0" baseline="0">
              <a:solidFill>
                <a:schemeClr val="dk1"/>
              </a:solidFill>
              <a:latin typeface="+mn-lt"/>
              <a:ea typeface="+mn-ea"/>
              <a:cs typeface="+mn-cs"/>
            </a:rPr>
            <a:t>2.  Select Order Month from the drop down list.  This should be the month for which the order is being placed, not necessarily the current month.  E.g. If you're placing an order at the end of August for September, select September.</a:t>
          </a:r>
          <a:endParaRPr lang="en-US"/>
        </a:p>
        <a:p>
          <a:pPr rtl="0" fontAlgn="base"/>
          <a:endParaRPr lang="en-US" sz="1100" b="0" i="0" baseline="0">
            <a:solidFill>
              <a:schemeClr val="dk1"/>
            </a:solidFill>
            <a:latin typeface="+mn-lt"/>
            <a:ea typeface="+mn-ea"/>
            <a:cs typeface="+mn-cs"/>
          </a:endParaRPr>
        </a:p>
        <a:p>
          <a:pPr rtl="0"/>
          <a:r>
            <a:rPr lang="en-US" sz="1100" b="0" i="0" baseline="0">
              <a:solidFill>
                <a:schemeClr val="dk1"/>
              </a:solidFill>
              <a:latin typeface="+mn-lt"/>
              <a:ea typeface="+mn-ea"/>
              <a:cs typeface="+mn-cs"/>
            </a:rPr>
            <a:t>3.  Enter clinic shipping information (PIN, name, address, phone, days &amp; times).  Un-check days of the week if deliveries should not be made on specific days.</a:t>
          </a:r>
          <a:endParaRPr lang="en-US"/>
        </a:p>
        <a:p>
          <a:pPr rtl="0" fontAlgn="base"/>
          <a:endParaRPr lang="en-US" sz="1100" b="0" i="0" baseline="0">
            <a:solidFill>
              <a:schemeClr val="dk1"/>
            </a:solidFill>
            <a:latin typeface="+mn-lt"/>
            <a:ea typeface="+mn-ea"/>
            <a:cs typeface="+mn-cs"/>
          </a:endParaRPr>
        </a:p>
        <a:p>
          <a:pPr rtl="0"/>
          <a:r>
            <a:rPr lang="en-US" sz="1100" b="0" i="0" baseline="0">
              <a:solidFill>
                <a:schemeClr val="dk1"/>
              </a:solidFill>
              <a:latin typeface="+mn-lt"/>
              <a:ea typeface="+mn-ea"/>
              <a:cs typeface="+mn-cs"/>
            </a:rPr>
            <a:t>4.  Enter Doses Used Last Month and Current Doses on Hand for each vaccine.</a:t>
          </a:r>
          <a:endParaRPr lang="en-US"/>
        </a:p>
        <a:p>
          <a:pPr rtl="0" fontAlgn="base"/>
          <a:endParaRPr lang="en-US" sz="1100" b="0" i="0" baseline="0">
            <a:solidFill>
              <a:schemeClr val="dk1"/>
            </a:solidFill>
            <a:latin typeface="+mn-lt"/>
            <a:ea typeface="+mn-ea"/>
            <a:cs typeface="+mn-cs"/>
          </a:endParaRPr>
        </a:p>
        <a:p>
          <a:pPr rtl="0"/>
          <a:r>
            <a:rPr lang="en-US" sz="1100" b="0" i="0" baseline="0">
              <a:solidFill>
                <a:schemeClr val="dk1"/>
              </a:solidFill>
              <a:latin typeface="+mn-lt"/>
              <a:ea typeface="+mn-ea"/>
              <a:cs typeface="+mn-cs"/>
            </a:rPr>
            <a:t>5.  The Recommended Order Quantity for each vaccine for the month selected will display in the Recommended Order column.</a:t>
          </a:r>
          <a:endParaRPr lang="en-US"/>
        </a:p>
        <a:p>
          <a:pPr rtl="0" fontAlgn="base"/>
          <a:endParaRPr lang="en-US" sz="1100" b="0" i="0" baseline="0">
            <a:solidFill>
              <a:schemeClr val="dk1"/>
            </a:solidFill>
            <a:latin typeface="+mn-lt"/>
            <a:ea typeface="+mn-ea"/>
            <a:cs typeface="+mn-cs"/>
          </a:endParaRPr>
        </a:p>
        <a:p>
          <a:r>
            <a:rPr lang="en-US" sz="1100" b="0" i="0" baseline="0">
              <a:solidFill>
                <a:schemeClr val="dk1"/>
              </a:solidFill>
              <a:latin typeface="+mn-lt"/>
              <a:ea typeface="+mn-ea"/>
              <a:cs typeface="+mn-cs"/>
            </a:rPr>
            <a:t>6.  Enter the number of doses requested in the Doses Ordered column.  </a:t>
          </a:r>
          <a:r>
            <a:rPr lang="en-US" sz="1100" b="0">
              <a:solidFill>
                <a:schemeClr val="dk1"/>
              </a:solidFill>
              <a:latin typeface="+mn-lt"/>
              <a:ea typeface="+mn-ea"/>
              <a:cs typeface="+mn-cs"/>
            </a:rPr>
            <a:t>Recommended Order Quantities</a:t>
          </a:r>
          <a:r>
            <a:rPr lang="en-US" sz="1100" b="0" baseline="0">
              <a:solidFill>
                <a:schemeClr val="dk1"/>
              </a:solidFill>
              <a:latin typeface="+mn-lt"/>
              <a:ea typeface="+mn-ea"/>
              <a:cs typeface="+mn-cs"/>
            </a:rPr>
            <a:t> are </a:t>
          </a:r>
          <a:r>
            <a:rPr lang="en-US" sz="1100" b="0" u="sng" baseline="0">
              <a:solidFill>
                <a:schemeClr val="dk1"/>
              </a:solidFill>
              <a:latin typeface="+mn-lt"/>
              <a:ea typeface="+mn-ea"/>
              <a:cs typeface="+mn-cs"/>
            </a:rPr>
            <a:t>not</a:t>
          </a:r>
          <a:r>
            <a:rPr lang="en-US" sz="1100" b="0" baseline="0">
              <a:solidFill>
                <a:schemeClr val="dk1"/>
              </a:solidFill>
              <a:latin typeface="+mn-lt"/>
              <a:ea typeface="+mn-ea"/>
              <a:cs typeface="+mn-cs"/>
            </a:rPr>
            <a:t> provider specific.  You may need to adjust  order quantities to meet your clinic's specific needs.</a:t>
          </a:r>
          <a:endParaRPr lang="en-US" b="0"/>
        </a:p>
        <a:p>
          <a:pPr rtl="0" fontAlgn="base"/>
          <a:endParaRPr lang="en-US" sz="1100" b="0" i="0" baseline="0">
            <a:solidFill>
              <a:schemeClr val="dk1"/>
            </a:solidFill>
            <a:latin typeface="+mn-lt"/>
            <a:ea typeface="+mn-ea"/>
            <a:cs typeface="+mn-cs"/>
          </a:endParaRPr>
        </a:p>
        <a:p>
          <a:pPr rtl="0"/>
          <a:r>
            <a:rPr lang="en-US" sz="1100" b="0" i="0" baseline="0">
              <a:solidFill>
                <a:schemeClr val="dk1"/>
              </a:solidFill>
              <a:latin typeface="+mn-lt"/>
              <a:ea typeface="+mn-ea"/>
              <a:cs typeface="+mn-cs"/>
            </a:rPr>
            <a:t>7.  Print and fax completed order form to your Local Health Jurisdiction.  Please note any reasons for adjusted quantities on the printed order form.</a:t>
          </a:r>
          <a:endParaRPr lang="en-US"/>
        </a:p>
        <a:p>
          <a:endParaRPr lang="en-US" sz="1100"/>
        </a:p>
      </xdr:txBody>
    </xdr:sp>
    <xdr:clientData/>
  </xdr:twoCellAnchor>
  <xdr:twoCellAnchor>
    <xdr:from>
      <xdr:col>9</xdr:col>
      <xdr:colOff>19050</xdr:colOff>
      <xdr:row>7</xdr:row>
      <xdr:rowOff>171449</xdr:rowOff>
    </xdr:from>
    <xdr:to>
      <xdr:col>16</xdr:col>
      <xdr:colOff>190500</xdr:colOff>
      <xdr:row>19</xdr:row>
      <xdr:rowOff>38100</xdr:rowOff>
    </xdr:to>
    <xdr:sp macro="" textlink="">
      <xdr:nvSpPr>
        <xdr:cNvPr id="3" name="TextBox 2"/>
        <xdr:cNvSpPr txBox="1"/>
      </xdr:nvSpPr>
      <xdr:spPr>
        <a:xfrm>
          <a:off x="4781550" y="1504949"/>
          <a:ext cx="4438650" cy="2152651"/>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fontAlgn="base"/>
          <a:r>
            <a:rPr lang="en-US" sz="1100" b="1" i="0" baseline="0">
              <a:solidFill>
                <a:schemeClr val="dk1"/>
              </a:solidFill>
              <a:latin typeface="+mn-lt"/>
              <a:ea typeface="+mn-ea"/>
              <a:cs typeface="+mn-cs"/>
            </a:rPr>
            <a:t>Notes:</a:t>
          </a:r>
          <a:endParaRPr lang="en-US" sz="1100" b="0" i="0" baseline="0">
            <a:solidFill>
              <a:schemeClr val="dk1"/>
            </a:solidFill>
            <a:latin typeface="+mn-lt"/>
            <a:ea typeface="+mn-ea"/>
            <a:cs typeface="+mn-cs"/>
          </a:endParaRPr>
        </a:p>
        <a:p>
          <a:pPr rtl="0"/>
          <a:r>
            <a:rPr lang="en-US" sz="1100" b="0" i="0" baseline="0">
              <a:solidFill>
                <a:schemeClr val="dk1"/>
              </a:solidFill>
              <a:latin typeface="+mn-lt"/>
              <a:ea typeface="+mn-ea"/>
              <a:cs typeface="+mn-cs"/>
            </a:rPr>
            <a:t> - Recommended Order Quantity calculations are based on statewide historical ordering data.</a:t>
          </a:r>
          <a:endParaRPr lang="en-US"/>
        </a:p>
        <a:p>
          <a:pPr rtl="0"/>
          <a:r>
            <a:rPr lang="en-US" sz="1100" b="0" i="0" baseline="0">
              <a:solidFill>
                <a:schemeClr val="dk1"/>
              </a:solidFill>
              <a:latin typeface="+mn-lt"/>
              <a:ea typeface="+mn-ea"/>
              <a:cs typeface="+mn-cs"/>
            </a:rPr>
            <a:t> - Calculations include adjustments for seasonal fluctuations in vaccine volumes.</a:t>
          </a:r>
          <a:endParaRPr lang="en-US"/>
        </a:p>
        <a:p>
          <a:pPr rtl="0"/>
          <a:r>
            <a:rPr lang="en-US" sz="1100" b="0" i="0" baseline="0">
              <a:solidFill>
                <a:schemeClr val="dk1"/>
              </a:solidFill>
              <a:latin typeface="+mn-lt"/>
              <a:ea typeface="+mn-ea"/>
              <a:cs typeface="+mn-cs"/>
            </a:rPr>
            <a:t>- Calculations include one month (30 days) of safety stock.</a:t>
          </a:r>
          <a:endParaRPr lang="en-US"/>
        </a:p>
        <a:p>
          <a:pPr rtl="0"/>
          <a:r>
            <a:rPr lang="en-US" sz="1100" b="0" i="0" baseline="0">
              <a:solidFill>
                <a:schemeClr val="dk1"/>
              </a:solidFill>
              <a:latin typeface="+mn-lt"/>
              <a:ea typeface="+mn-ea"/>
              <a:cs typeface="+mn-cs"/>
            </a:rPr>
            <a:t>- If Recommended Order returns the #NAME? error, install and load the Analysis ToolPak add-in.</a:t>
          </a:r>
          <a:endParaRPr lang="en-US"/>
        </a:p>
        <a:p>
          <a:pPr rtl="0"/>
          <a:r>
            <a:rPr lang="en-US" sz="1100" b="0" i="0" baseline="0">
              <a:solidFill>
                <a:schemeClr val="dk1"/>
              </a:solidFill>
              <a:latin typeface="+mn-lt"/>
              <a:ea typeface="+mn-ea"/>
              <a:cs typeface="+mn-cs"/>
            </a:rPr>
            <a:t>          Step 1: On the Tools menu, click Add-Ins.</a:t>
          </a:r>
          <a:endParaRPr lang="en-US"/>
        </a:p>
        <a:p>
          <a:pPr rtl="0"/>
          <a:r>
            <a:rPr lang="en-US" sz="1100" b="0" i="0" baseline="0">
              <a:solidFill>
                <a:schemeClr val="dk1"/>
              </a:solidFill>
              <a:latin typeface="+mn-lt"/>
              <a:ea typeface="+mn-ea"/>
              <a:cs typeface="+mn-cs"/>
            </a:rPr>
            <a:t>          Step 2: In the Add-Ins available list, select the </a:t>
          </a:r>
          <a:endParaRPr lang="en-US"/>
        </a:p>
        <a:p>
          <a:pPr rtl="0"/>
          <a:r>
            <a:rPr lang="en-US" sz="1100" b="0" i="0" baseline="0">
              <a:solidFill>
                <a:schemeClr val="dk1"/>
              </a:solidFill>
              <a:latin typeface="+mn-lt"/>
              <a:ea typeface="+mn-ea"/>
              <a:cs typeface="+mn-cs"/>
            </a:rPr>
            <a:t>                         "Analysis ToolPak" box, and then click OK.</a:t>
          </a:r>
          <a:endParaRPr lang="en-US"/>
        </a:p>
        <a:p>
          <a:pPr rtl="0" fontAlgn="base"/>
          <a:endParaRPr lang="en-US" sz="1100" b="0" i="0" baseline="0">
            <a:solidFill>
              <a:schemeClr val="dk1"/>
            </a:solidFill>
            <a:latin typeface="+mn-lt"/>
            <a:ea typeface="+mn-ea"/>
            <a:cs typeface="+mn-cs"/>
          </a:endParaRPr>
        </a:p>
        <a:p>
          <a:endParaRPr lang="en-US" sz="1100"/>
        </a:p>
      </xdr:txBody>
    </xdr:sp>
    <xdr:clientData/>
  </xdr:twoCellAnchor>
  <xdr:twoCellAnchor editAs="oneCell">
    <xdr:from>
      <xdr:col>11</xdr:col>
      <xdr:colOff>180975</xdr:colOff>
      <xdr:row>3</xdr:row>
      <xdr:rowOff>9525</xdr:rowOff>
    </xdr:from>
    <xdr:to>
      <xdr:col>14</xdr:col>
      <xdr:colOff>19050</xdr:colOff>
      <xdr:row>6</xdr:row>
      <xdr:rowOff>180975</xdr:rowOff>
    </xdr:to>
    <xdr:pic>
      <xdr:nvPicPr>
        <xdr:cNvPr id="2208" name="Picture 3" descr="H:\EOQ Work in Progress\doh.tif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62675" y="581025"/>
          <a:ext cx="16668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219075</xdr:colOff>
      <xdr:row>20</xdr:row>
      <xdr:rowOff>123825</xdr:rowOff>
    </xdr:from>
    <xdr:to>
      <xdr:col>15</xdr:col>
      <xdr:colOff>600075</xdr:colOff>
      <xdr:row>24</xdr:row>
      <xdr:rowOff>19050</xdr:rowOff>
    </xdr:to>
    <xdr:sp macro="" textlink="">
      <xdr:nvSpPr>
        <xdr:cNvPr id="5" name="TextBox 4"/>
        <xdr:cNvSpPr txBox="1"/>
      </xdr:nvSpPr>
      <xdr:spPr>
        <a:xfrm>
          <a:off x="4981575" y="3933825"/>
          <a:ext cx="4038600" cy="65722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lIns="91440" tIns="0" rIns="0" bIns="0" rtlCol="0" anchor="ctr"/>
        <a:lstStyle/>
        <a:p>
          <a:pPr algn="ctr"/>
          <a:r>
            <a:rPr lang="en-US" sz="900"/>
            <a:t>If you have a disability and need this document in another format, please call</a:t>
          </a:r>
        </a:p>
        <a:p>
          <a:pPr algn="ctr"/>
          <a:r>
            <a:rPr lang="en-US" sz="900"/>
            <a:t> 1-800-322-2588 (711-TTY relay).</a:t>
          </a:r>
        </a:p>
        <a:p>
          <a:pPr algn="ctr"/>
          <a:endParaRPr lang="en-US" sz="900"/>
        </a:p>
        <a:p>
          <a:pPr algn="ctr"/>
          <a:r>
            <a:rPr lang="en-US" sz="900"/>
            <a:t>DOH Pub 348-208</a:t>
          </a:r>
          <a:endParaRPr lang="en-US" sz="1100"/>
        </a:p>
      </xdr:txBody>
    </xdr:sp>
    <xdr:clientData/>
  </xdr:twoCellAnchor>
  <xdr:twoCellAnchor>
    <xdr:from>
      <xdr:col>9</xdr:col>
      <xdr:colOff>342900</xdr:colOff>
      <xdr:row>0</xdr:row>
      <xdr:rowOff>180975</xdr:rowOff>
    </xdr:from>
    <xdr:to>
      <xdr:col>15</xdr:col>
      <xdr:colOff>333375</xdr:colOff>
      <xdr:row>2</xdr:row>
      <xdr:rowOff>76200</xdr:rowOff>
    </xdr:to>
    <xdr:sp macro="" textlink="">
      <xdr:nvSpPr>
        <xdr:cNvPr id="6" name="TextBox 5"/>
        <xdr:cNvSpPr txBox="1"/>
      </xdr:nvSpPr>
      <xdr:spPr>
        <a:xfrm>
          <a:off x="5105400" y="180975"/>
          <a:ext cx="3648075" cy="27622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400" b="1"/>
            <a:t>Recommended</a:t>
          </a:r>
          <a:r>
            <a:rPr lang="en-US" sz="1400" b="1" baseline="0"/>
            <a:t> Order Quantity Calculator</a:t>
          </a:r>
          <a:endParaRPr lang="en-US"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257175</xdr:rowOff>
    </xdr:from>
    <xdr:to>
      <xdr:col>3</xdr:col>
      <xdr:colOff>2241</xdr:colOff>
      <xdr:row>5</xdr:row>
      <xdr:rowOff>7740</xdr:rowOff>
    </xdr:to>
    <xdr:sp macro="" textlink="" fLocksText="0">
      <xdr:nvSpPr>
        <xdr:cNvPr id="8" name="Rectangle 12"/>
        <xdr:cNvSpPr>
          <a:spLocks noChangeArrowheads="1"/>
        </xdr:cNvSpPr>
      </xdr:nvSpPr>
      <xdr:spPr bwMode="auto">
        <a:xfrm>
          <a:off x="0" y="304800"/>
          <a:ext cx="1933575" cy="228600"/>
        </a:xfrm>
        <a:prstGeom prst="rect">
          <a:avLst/>
        </a:prstGeom>
        <a:noFill/>
        <a:ln w="12700">
          <a:noFill/>
          <a:miter lim="800000"/>
          <a:headEnd/>
          <a:tailEnd/>
        </a:ln>
      </xdr:spPr>
      <xdr:txBody>
        <a:bodyPr vertOverflow="clip" wrap="square" lIns="27432" tIns="22860" rIns="27432" bIns="22860" anchor="ctr" upright="1"/>
        <a:lstStyle/>
        <a:p>
          <a:pPr algn="ctr" rtl="0">
            <a:defRPr sz="1000"/>
          </a:pPr>
          <a:r>
            <a:rPr lang="en-US" sz="1100" b="0" i="0" u="none" strike="noStrike" baseline="0">
              <a:solidFill>
                <a:srgbClr val="000000"/>
              </a:solidFill>
              <a:latin typeface="Arial"/>
              <a:cs typeface="Arial"/>
            </a:rPr>
            <a:t>Fax Completed Request To: </a:t>
          </a:r>
        </a:p>
      </xdr:txBody>
    </xdr:sp>
    <xdr:clientData/>
  </xdr:twoCellAnchor>
  <xdr:twoCellAnchor>
    <xdr:from>
      <xdr:col>3</xdr:col>
      <xdr:colOff>60463</xdr:colOff>
      <xdr:row>1</xdr:row>
      <xdr:rowOff>54762</xdr:rowOff>
    </xdr:from>
    <xdr:to>
      <xdr:col>8</xdr:col>
      <xdr:colOff>209550</xdr:colOff>
      <xdr:row>3</xdr:row>
      <xdr:rowOff>702</xdr:rowOff>
    </xdr:to>
    <xdr:sp macro="" textlink="">
      <xdr:nvSpPr>
        <xdr:cNvPr id="3" name="Left Arrow 2"/>
        <xdr:cNvSpPr/>
      </xdr:nvSpPr>
      <xdr:spPr>
        <a:xfrm>
          <a:off x="2489338" y="197637"/>
          <a:ext cx="1854062" cy="555540"/>
        </a:xfrm>
        <a:prstGeom prst="leftArrow">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a:solidFill>
                <a:sysClr val="windowText" lastClr="000000"/>
              </a:solidFill>
              <a:latin typeface="Arial" pitchFamily="34" charset="0"/>
              <a:cs typeface="Arial" pitchFamily="34" charset="0"/>
            </a:rPr>
            <a:t>Select Frequency</a:t>
          </a:r>
          <a:r>
            <a:rPr lang="en-US" sz="1000" baseline="0">
              <a:solidFill>
                <a:sysClr val="windowText" lastClr="000000"/>
              </a:solidFill>
              <a:latin typeface="Arial" pitchFamily="34" charset="0"/>
              <a:cs typeface="Arial" pitchFamily="34" charset="0"/>
            </a:rPr>
            <a:t> &amp; Month</a:t>
          </a:r>
          <a:endParaRPr lang="en-US" sz="1000">
            <a:solidFill>
              <a:sysClr val="windowText" lastClr="000000"/>
            </a:solidFill>
            <a:latin typeface="Arial" pitchFamily="34" charset="0"/>
            <a:cs typeface="Arial" pitchFamily="34" charset="0"/>
          </a:endParaRPr>
        </a:p>
      </xdr:txBody>
    </xdr:sp>
    <xdr:clientData/>
  </xdr:twoCellAnchor>
  <xdr:twoCellAnchor>
    <xdr:from>
      <xdr:col>8</xdr:col>
      <xdr:colOff>228600</xdr:colOff>
      <xdr:row>0</xdr:row>
      <xdr:rowOff>47625</xdr:rowOff>
    </xdr:from>
    <xdr:to>
      <xdr:col>18</xdr:col>
      <xdr:colOff>0</xdr:colOff>
      <xdr:row>2</xdr:row>
      <xdr:rowOff>152400</xdr:rowOff>
    </xdr:to>
    <xdr:sp macro="" textlink="">
      <xdr:nvSpPr>
        <xdr:cNvPr id="6" name="TextBox 5"/>
        <xdr:cNvSpPr txBox="1"/>
      </xdr:nvSpPr>
      <xdr:spPr>
        <a:xfrm>
          <a:off x="4362450" y="47625"/>
          <a:ext cx="3476625" cy="495300"/>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algn="ctr"/>
          <a:r>
            <a:rPr lang="en-US" sz="900" b="1"/>
            <a:t>Recommended Order Quantities</a:t>
          </a:r>
          <a:r>
            <a:rPr lang="en-US" sz="900" b="1" baseline="0"/>
            <a:t> are </a:t>
          </a:r>
          <a:r>
            <a:rPr lang="en-US" sz="900" b="1" u="sng" baseline="0"/>
            <a:t>not</a:t>
          </a:r>
          <a:r>
            <a:rPr lang="en-US" sz="900" b="1" baseline="0"/>
            <a:t> provider specific.  </a:t>
          </a:r>
        </a:p>
        <a:p>
          <a:pPr algn="ctr"/>
          <a:r>
            <a:rPr lang="en-US" sz="900" b="1" baseline="0"/>
            <a:t>You may need to adjust quantities to meet your clinic's specific needs.</a:t>
          </a:r>
          <a:endParaRPr lang="en-US" sz="900" b="1"/>
        </a:p>
      </xdr:txBody>
    </xdr:sp>
    <xdr:clientData/>
  </xdr:twoCellAnchor>
  <mc:AlternateContent xmlns:mc="http://schemas.openxmlformats.org/markup-compatibility/2006">
    <mc:Choice xmlns:a14="http://schemas.microsoft.com/office/drawing/2010/main" Requires="a14">
      <xdr:twoCellAnchor editAs="oneCell">
        <xdr:from>
          <xdr:col>17</xdr:col>
          <xdr:colOff>0</xdr:colOff>
          <xdr:row>9</xdr:row>
          <xdr:rowOff>0</xdr:rowOff>
        </xdr:from>
        <xdr:to>
          <xdr:col>17</xdr:col>
          <xdr:colOff>304800</xdr:colOff>
          <xdr:row>10</xdr:row>
          <xdr:rowOff>0</xdr:rowOff>
        </xdr:to>
        <xdr:sp macro="" textlink="">
          <xdr:nvSpPr>
            <xdr:cNvPr id="1025" name="Check Box 1" hidden="1">
              <a:extLst>
                <a:ext uri="{63B3BB69-23CF-44E3-9099-C40C66FF867C}">
                  <a14:compatExt spid="_x0000_s1025"/>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1057275</xdr:colOff>
          <xdr:row>12</xdr:row>
          <xdr:rowOff>190500</xdr:rowOff>
        </xdr:from>
        <xdr:to>
          <xdr:col>6</xdr:col>
          <xdr:colOff>0</xdr:colOff>
          <xdr:row>14</xdr:row>
          <xdr:rowOff>28575</xdr:rowOff>
        </xdr:to>
        <xdr:sp macro="" textlink="">
          <xdr:nvSpPr>
            <xdr:cNvPr id="1030" name="Check Box 6" hidden="1">
              <a:extLst>
                <a:ext uri="{63B3BB69-23CF-44E3-9099-C40C66FF867C}">
                  <a14:compatExt spid="_x0000_s1030"/>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342900</xdr:colOff>
          <xdr:row>12</xdr:row>
          <xdr:rowOff>190500</xdr:rowOff>
        </xdr:from>
        <xdr:to>
          <xdr:col>14</xdr:col>
          <xdr:colOff>342900</xdr:colOff>
          <xdr:row>14</xdr:row>
          <xdr:rowOff>28575</xdr:rowOff>
        </xdr:to>
        <xdr:sp macro="" textlink="">
          <xdr:nvSpPr>
            <xdr:cNvPr id="1033" name="Check Box 9" hidden="1">
              <a:extLst>
                <a:ext uri="{63B3BB69-23CF-44E3-9099-C40C66FF867C}">
                  <a14:compatExt spid="_x0000_s1033"/>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342900</xdr:colOff>
          <xdr:row>12</xdr:row>
          <xdr:rowOff>190500</xdr:rowOff>
        </xdr:from>
        <xdr:to>
          <xdr:col>12</xdr:col>
          <xdr:colOff>0</xdr:colOff>
          <xdr:row>14</xdr:row>
          <xdr:rowOff>28575</xdr:rowOff>
        </xdr:to>
        <xdr:sp macro="" textlink="">
          <xdr:nvSpPr>
            <xdr:cNvPr id="1034" name="Check Box 10" hidden="1">
              <a:extLst>
                <a:ext uri="{63B3BB69-23CF-44E3-9099-C40C66FF867C}">
                  <a14:compatExt spid="_x0000_s1034"/>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361950</xdr:colOff>
          <xdr:row>12</xdr:row>
          <xdr:rowOff>190500</xdr:rowOff>
        </xdr:from>
        <xdr:to>
          <xdr:col>17</xdr:col>
          <xdr:colOff>95250</xdr:colOff>
          <xdr:row>14</xdr:row>
          <xdr:rowOff>28575</xdr:rowOff>
        </xdr:to>
        <xdr:sp macro="" textlink="">
          <xdr:nvSpPr>
            <xdr:cNvPr id="1035" name="Check Box 11" hidden="1">
              <a:extLst>
                <a:ext uri="{63B3BB69-23CF-44E3-9099-C40C66FF867C}">
                  <a14:compatExt spid="_x0000_s1035"/>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190500</xdr:rowOff>
        </xdr:from>
        <xdr:to>
          <xdr:col>9</xdr:col>
          <xdr:colOff>9525</xdr:colOff>
          <xdr:row>14</xdr:row>
          <xdr:rowOff>28575</xdr:rowOff>
        </xdr:to>
        <xdr:sp macro="" textlink="">
          <xdr:nvSpPr>
            <xdr:cNvPr id="1072" name="Check Box 48" hidden="1">
              <a:extLst>
                <a:ext uri="{63B3BB69-23CF-44E3-9099-C40C66FF867C}">
                  <a14:compatExt spid="_x0000_s1072"/>
                </a:ext>
              </a:extLst>
            </xdr:cNvPr>
            <xdr:cNvSpPr/>
          </xdr:nvSpPr>
          <xdr:spPr>
            <a:xfrm>
              <a:off x="0" y="0"/>
              <a:ext cx="0" cy="0"/>
            </a:xfrm>
            <a:prstGeom prst="rect">
              <a:avLst/>
            </a:prstGeom>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drawing" Target="../drawings/drawing2.xml"/><Relationship Id="rId7" Type="http://schemas.openxmlformats.org/officeDocument/2006/relationships/ctrlProp" Target="../ctrlProps/ctrlProp3.xml"/><Relationship Id="rId2" Type="http://schemas.openxmlformats.org/officeDocument/2006/relationships/printerSettings" Target="../printerSettings/printerSettings2.bin"/><Relationship Id="rId1" Type="http://schemas.openxmlformats.org/officeDocument/2006/relationships/hyperlink" Target="http://www.doh.wa.gov/cfh/Immunize/documents/vacusage.pdf" TargetMode="External"/><Relationship Id="rId6" Type="http://schemas.openxmlformats.org/officeDocument/2006/relationships/ctrlProp" Target="../ctrlProps/ctrlProp2.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5"/>
  <sheetViews>
    <sheetView showGridLines="0" workbookViewId="0"/>
  </sheetViews>
  <sheetFormatPr defaultRowHeight="15" x14ac:dyDescent="0.25"/>
  <cols>
    <col min="1" max="1" width="3.7109375" customWidth="1"/>
    <col min="9" max="9" width="3.7109375" customWidth="1"/>
    <col min="17" max="17" width="5.7109375" customWidth="1"/>
  </cols>
  <sheetData>
    <row r="1" spans="1:17" x14ac:dyDescent="0.25">
      <c r="A1" s="36"/>
      <c r="B1" s="36"/>
      <c r="C1" s="36"/>
      <c r="D1" s="36"/>
      <c r="E1" s="36"/>
      <c r="F1" s="36"/>
      <c r="G1" s="36"/>
      <c r="H1" s="36"/>
      <c r="I1" s="36"/>
      <c r="J1" s="36"/>
      <c r="K1" s="36"/>
      <c r="L1" s="36"/>
      <c r="M1" s="36"/>
      <c r="N1" s="36"/>
      <c r="O1" s="36"/>
      <c r="P1" s="36"/>
      <c r="Q1" s="36"/>
    </row>
    <row r="2" spans="1:17" x14ac:dyDescent="0.25">
      <c r="A2" s="36"/>
      <c r="B2" s="36"/>
      <c r="C2" s="36"/>
      <c r="D2" s="36"/>
      <c r="E2" s="36"/>
      <c r="F2" s="36"/>
      <c r="G2" s="36"/>
      <c r="H2" s="36"/>
      <c r="I2" s="36"/>
      <c r="J2" s="36"/>
      <c r="K2" s="36"/>
      <c r="L2" s="36"/>
      <c r="M2" s="36"/>
      <c r="N2" s="36"/>
      <c r="O2" s="36"/>
      <c r="P2" s="36"/>
      <c r="Q2" s="36"/>
    </row>
    <row r="3" spans="1:17" x14ac:dyDescent="0.25">
      <c r="A3" s="36"/>
      <c r="B3" s="36"/>
      <c r="C3" s="36"/>
      <c r="D3" s="36"/>
      <c r="E3" s="36"/>
      <c r="F3" s="36"/>
      <c r="G3" s="36"/>
      <c r="H3" s="36"/>
      <c r="I3" s="36"/>
      <c r="J3" s="36"/>
      <c r="K3" s="36"/>
      <c r="L3" s="36"/>
      <c r="M3" s="36"/>
      <c r="N3" s="36"/>
      <c r="O3" s="36"/>
      <c r="P3" s="36"/>
      <c r="Q3" s="36"/>
    </row>
    <row r="4" spans="1:17" x14ac:dyDescent="0.25">
      <c r="A4" s="36"/>
      <c r="B4" s="36"/>
      <c r="C4" s="36"/>
      <c r="D4" s="36"/>
      <c r="E4" s="36"/>
      <c r="F4" s="36"/>
      <c r="G4" s="36"/>
      <c r="H4" s="36"/>
      <c r="I4" s="36"/>
      <c r="J4" s="36"/>
      <c r="K4" s="36"/>
      <c r="L4" s="36"/>
      <c r="M4" s="36"/>
      <c r="N4" s="36"/>
      <c r="O4" s="36"/>
      <c r="P4" s="36"/>
      <c r="Q4" s="36"/>
    </row>
    <row r="5" spans="1:17" x14ac:dyDescent="0.25">
      <c r="A5" s="36"/>
      <c r="B5" s="36"/>
      <c r="C5" s="36"/>
      <c r="D5" s="36"/>
      <c r="E5" s="36"/>
      <c r="F5" s="36"/>
      <c r="G5" s="36"/>
      <c r="H5" s="36"/>
      <c r="I5" s="36"/>
      <c r="J5" s="36"/>
      <c r="K5" s="36"/>
      <c r="L5" s="36"/>
      <c r="M5" s="36"/>
      <c r="N5" s="36"/>
      <c r="O5" s="36"/>
      <c r="P5" s="36"/>
      <c r="Q5" s="36"/>
    </row>
    <row r="6" spans="1:17" x14ac:dyDescent="0.25">
      <c r="A6" s="36"/>
      <c r="B6" s="36"/>
      <c r="C6" s="36"/>
      <c r="D6" s="36"/>
      <c r="E6" s="36"/>
      <c r="F6" s="36"/>
      <c r="G6" s="36"/>
      <c r="H6" s="36"/>
      <c r="I6" s="36"/>
      <c r="J6" s="36"/>
      <c r="K6" s="36"/>
      <c r="L6" s="36"/>
      <c r="M6" s="36"/>
      <c r="N6" s="36"/>
      <c r="O6" s="36"/>
      <c r="P6" s="36"/>
      <c r="Q6" s="36"/>
    </row>
    <row r="7" spans="1:17" x14ac:dyDescent="0.25">
      <c r="A7" s="36"/>
      <c r="B7" s="36"/>
      <c r="C7" s="36"/>
      <c r="D7" s="36"/>
      <c r="E7" s="36"/>
      <c r="F7" s="36"/>
      <c r="G7" s="36"/>
      <c r="H7" s="36"/>
      <c r="I7" s="36"/>
      <c r="J7" s="36"/>
      <c r="K7" s="36"/>
      <c r="L7" s="36"/>
      <c r="M7" s="36"/>
      <c r="N7" s="36"/>
      <c r="O7" s="36"/>
      <c r="P7" s="36"/>
      <c r="Q7" s="36"/>
    </row>
    <row r="8" spans="1:17" x14ac:dyDescent="0.25">
      <c r="A8" s="36"/>
      <c r="B8" s="36"/>
      <c r="C8" s="36"/>
      <c r="D8" s="36"/>
      <c r="E8" s="36"/>
      <c r="F8" s="36"/>
      <c r="G8" s="36"/>
      <c r="H8" s="36"/>
      <c r="I8" s="36"/>
      <c r="J8" s="36"/>
      <c r="K8" s="36"/>
      <c r="L8" s="36"/>
      <c r="M8" s="36"/>
      <c r="N8" s="36"/>
      <c r="O8" s="36"/>
      <c r="P8" s="36"/>
      <c r="Q8" s="36"/>
    </row>
    <row r="9" spans="1:17" x14ac:dyDescent="0.25">
      <c r="A9" s="36"/>
      <c r="B9" s="36"/>
      <c r="C9" s="36"/>
      <c r="D9" s="36"/>
      <c r="E9" s="36"/>
      <c r="F9" s="36"/>
      <c r="G9" s="36"/>
      <c r="H9" s="36"/>
      <c r="I9" s="36"/>
      <c r="J9" s="36"/>
      <c r="K9" s="36"/>
      <c r="L9" s="36"/>
      <c r="M9" s="36"/>
      <c r="N9" s="36"/>
      <c r="O9" s="36"/>
      <c r="P9" s="36"/>
      <c r="Q9" s="36"/>
    </row>
    <row r="10" spans="1:17" x14ac:dyDescent="0.25">
      <c r="A10" s="36"/>
      <c r="B10" s="36"/>
      <c r="C10" s="36"/>
      <c r="D10" s="36"/>
      <c r="E10" s="36"/>
      <c r="F10" s="36"/>
      <c r="G10" s="36"/>
      <c r="H10" s="36"/>
      <c r="I10" s="36"/>
      <c r="J10" s="36"/>
      <c r="K10" s="36"/>
      <c r="L10" s="36"/>
      <c r="M10" s="36"/>
      <c r="N10" s="36"/>
      <c r="O10" s="36"/>
      <c r="P10" s="36"/>
      <c r="Q10" s="36"/>
    </row>
    <row r="11" spans="1:17" x14ac:dyDescent="0.25">
      <c r="A11" s="36"/>
      <c r="B11" s="36"/>
      <c r="C11" s="36"/>
      <c r="D11" s="36"/>
      <c r="E11" s="36"/>
      <c r="F11" s="36"/>
      <c r="G11" s="36"/>
      <c r="H11" s="36"/>
      <c r="I11" s="36"/>
      <c r="J11" s="36"/>
      <c r="K11" s="36"/>
      <c r="L11" s="36"/>
      <c r="M11" s="36"/>
      <c r="N11" s="36"/>
      <c r="O11" s="36"/>
      <c r="P11" s="36"/>
      <c r="Q11" s="36"/>
    </row>
    <row r="12" spans="1:17" x14ac:dyDescent="0.25">
      <c r="A12" s="36"/>
      <c r="B12" s="36"/>
      <c r="C12" s="36"/>
      <c r="D12" s="36"/>
      <c r="E12" s="36"/>
      <c r="F12" s="36"/>
      <c r="G12" s="36"/>
      <c r="H12" s="36"/>
      <c r="I12" s="36"/>
      <c r="J12" s="36"/>
      <c r="K12" s="36"/>
      <c r="L12" s="36"/>
      <c r="M12" s="36"/>
      <c r="N12" s="36"/>
      <c r="O12" s="36"/>
      <c r="P12" s="36"/>
      <c r="Q12" s="36"/>
    </row>
    <row r="13" spans="1:17" x14ac:dyDescent="0.25">
      <c r="A13" s="36"/>
      <c r="B13" s="36"/>
      <c r="C13" s="36"/>
      <c r="D13" s="36"/>
      <c r="E13" s="36"/>
      <c r="F13" s="36"/>
      <c r="G13" s="36"/>
      <c r="H13" s="36"/>
      <c r="I13" s="36"/>
      <c r="J13" s="36"/>
      <c r="K13" s="36"/>
      <c r="L13" s="36"/>
      <c r="M13" s="36"/>
      <c r="N13" s="36"/>
      <c r="O13" s="36"/>
      <c r="P13" s="36"/>
      <c r="Q13" s="36"/>
    </row>
    <row r="14" spans="1:17" x14ac:dyDescent="0.25">
      <c r="A14" s="36"/>
      <c r="B14" s="36"/>
      <c r="C14" s="36"/>
      <c r="D14" s="36"/>
      <c r="E14" s="36"/>
      <c r="F14" s="36"/>
      <c r="G14" s="36"/>
      <c r="H14" s="36"/>
      <c r="I14" s="36"/>
      <c r="J14" s="36"/>
      <c r="K14" s="36"/>
      <c r="L14" s="36"/>
      <c r="M14" s="36"/>
      <c r="N14" s="36"/>
      <c r="O14" s="36"/>
      <c r="P14" s="36"/>
      <c r="Q14" s="36"/>
    </row>
    <row r="15" spans="1:17" x14ac:dyDescent="0.25">
      <c r="A15" s="36"/>
      <c r="B15" s="36"/>
      <c r="C15" s="36"/>
      <c r="D15" s="36"/>
      <c r="E15" s="36"/>
      <c r="F15" s="36"/>
      <c r="G15" s="36"/>
      <c r="H15" s="36"/>
      <c r="I15" s="36"/>
      <c r="J15" s="36"/>
      <c r="K15" s="36"/>
      <c r="L15" s="36"/>
      <c r="M15" s="36"/>
      <c r="N15" s="36"/>
      <c r="O15" s="36"/>
      <c r="P15" s="36"/>
      <c r="Q15" s="36"/>
    </row>
    <row r="16" spans="1:17" x14ac:dyDescent="0.25">
      <c r="A16" s="36"/>
      <c r="B16" s="36"/>
      <c r="C16" s="36"/>
      <c r="D16" s="36"/>
      <c r="E16" s="36"/>
      <c r="F16" s="36"/>
      <c r="G16" s="36"/>
      <c r="H16" s="36"/>
      <c r="I16" s="36"/>
      <c r="J16" s="36"/>
      <c r="K16" s="36"/>
      <c r="L16" s="36"/>
      <c r="M16" s="36"/>
      <c r="N16" s="36"/>
      <c r="O16" s="36"/>
      <c r="P16" s="36"/>
      <c r="Q16" s="36"/>
    </row>
    <row r="17" spans="1:17" x14ac:dyDescent="0.25">
      <c r="A17" s="36"/>
      <c r="B17" s="36"/>
      <c r="C17" s="36"/>
      <c r="D17" s="36"/>
      <c r="E17" s="36"/>
      <c r="F17" s="36"/>
      <c r="G17" s="36"/>
      <c r="H17" s="36"/>
      <c r="I17" s="36"/>
      <c r="J17" s="36"/>
      <c r="K17" s="36"/>
      <c r="L17" s="36"/>
      <c r="M17" s="36"/>
      <c r="N17" s="36"/>
      <c r="O17" s="36"/>
      <c r="P17" s="36"/>
      <c r="Q17" s="36"/>
    </row>
    <row r="18" spans="1:17" x14ac:dyDescent="0.25">
      <c r="A18" s="36"/>
      <c r="B18" s="36"/>
      <c r="C18" s="36"/>
      <c r="D18" s="36"/>
      <c r="E18" s="36"/>
      <c r="F18" s="36"/>
      <c r="G18" s="36"/>
      <c r="H18" s="36"/>
      <c r="I18" s="36"/>
      <c r="J18" s="36"/>
      <c r="K18" s="36"/>
      <c r="L18" s="36"/>
      <c r="M18" s="36"/>
      <c r="N18" s="36"/>
      <c r="O18" s="36"/>
      <c r="P18" s="36"/>
      <c r="Q18" s="36"/>
    </row>
    <row r="19" spans="1:17" x14ac:dyDescent="0.25">
      <c r="A19" s="36"/>
      <c r="B19" s="36"/>
      <c r="C19" s="36"/>
      <c r="D19" s="36"/>
      <c r="E19" s="36"/>
      <c r="F19" s="36"/>
      <c r="G19" s="36"/>
      <c r="H19" s="36"/>
      <c r="I19" s="36"/>
      <c r="J19" s="36"/>
      <c r="K19" s="36"/>
      <c r="L19" s="36"/>
      <c r="M19" s="36"/>
      <c r="N19" s="36"/>
      <c r="O19" s="36"/>
      <c r="P19" s="36"/>
      <c r="Q19" s="36"/>
    </row>
    <row r="20" spans="1:17" x14ac:dyDescent="0.25">
      <c r="A20" s="36"/>
      <c r="B20" s="36"/>
      <c r="C20" s="36"/>
      <c r="D20" s="36"/>
      <c r="E20" s="36"/>
      <c r="F20" s="36"/>
      <c r="G20" s="36"/>
      <c r="H20" s="36"/>
      <c r="I20" s="36"/>
      <c r="J20" s="36"/>
      <c r="K20" s="36"/>
      <c r="L20" s="36"/>
      <c r="M20" s="36"/>
      <c r="N20" s="36"/>
      <c r="O20" s="36"/>
      <c r="P20" s="36"/>
      <c r="Q20" s="36"/>
    </row>
    <row r="21" spans="1:17" x14ac:dyDescent="0.25">
      <c r="A21" s="36"/>
      <c r="B21" s="36"/>
      <c r="C21" s="36"/>
      <c r="D21" s="36"/>
      <c r="E21" s="36"/>
      <c r="F21" s="36"/>
      <c r="G21" s="36"/>
      <c r="H21" s="36"/>
      <c r="I21" s="36"/>
      <c r="J21" s="36"/>
      <c r="K21" s="36"/>
      <c r="L21" s="36"/>
      <c r="M21" s="36"/>
      <c r="N21" s="36"/>
      <c r="O21" s="36"/>
      <c r="P21" s="36"/>
      <c r="Q21" s="36"/>
    </row>
    <row r="22" spans="1:17" x14ac:dyDescent="0.25">
      <c r="A22" s="36"/>
      <c r="B22" s="36"/>
      <c r="C22" s="36"/>
      <c r="D22" s="36"/>
      <c r="E22" s="36"/>
      <c r="F22" s="36"/>
      <c r="G22" s="36"/>
      <c r="H22" s="36"/>
      <c r="I22" s="36"/>
      <c r="J22" s="36"/>
      <c r="K22" s="36"/>
      <c r="L22" s="36"/>
      <c r="M22" s="36"/>
      <c r="N22" s="36"/>
      <c r="O22" s="36"/>
      <c r="P22" s="36"/>
      <c r="Q22" s="36"/>
    </row>
    <row r="23" spans="1:17" x14ac:dyDescent="0.25">
      <c r="A23" s="36"/>
      <c r="B23" s="36"/>
      <c r="C23" s="36"/>
      <c r="D23" s="36"/>
      <c r="E23" s="36"/>
      <c r="F23" s="36"/>
      <c r="G23" s="36"/>
      <c r="H23" s="36"/>
      <c r="I23" s="36"/>
      <c r="J23" s="36"/>
      <c r="K23" s="36"/>
      <c r="L23" s="36"/>
      <c r="M23" s="36"/>
      <c r="N23" s="36"/>
      <c r="O23" s="36"/>
      <c r="P23" s="36"/>
      <c r="Q23" s="36"/>
    </row>
    <row r="24" spans="1:17" x14ac:dyDescent="0.25">
      <c r="A24" s="36"/>
      <c r="B24" s="36"/>
      <c r="C24" s="36"/>
      <c r="D24" s="36"/>
      <c r="E24" s="36"/>
      <c r="F24" s="36"/>
      <c r="G24" s="36"/>
      <c r="H24" s="36"/>
      <c r="I24" s="36"/>
      <c r="J24" s="36"/>
      <c r="K24" s="36"/>
      <c r="L24" s="36"/>
      <c r="M24" s="36"/>
      <c r="N24" s="36"/>
      <c r="O24" s="36"/>
      <c r="P24" s="36"/>
      <c r="Q24" s="36"/>
    </row>
    <row r="25" spans="1:17" x14ac:dyDescent="0.25">
      <c r="A25" s="36"/>
      <c r="B25" s="36"/>
      <c r="C25" s="36"/>
      <c r="D25" s="36"/>
      <c r="E25" s="36"/>
      <c r="F25" s="36"/>
      <c r="G25" s="36"/>
      <c r="H25" s="36"/>
      <c r="I25" s="36"/>
      <c r="J25" s="36"/>
      <c r="K25" s="36"/>
      <c r="L25" s="36"/>
      <c r="M25" s="36"/>
      <c r="N25" s="36"/>
      <c r="O25" s="36"/>
      <c r="P25" s="36"/>
      <c r="Q25" s="36"/>
    </row>
    <row r="26" spans="1:17" x14ac:dyDescent="0.25">
      <c r="A26" s="36"/>
      <c r="B26" s="36"/>
      <c r="C26" s="36"/>
      <c r="D26" s="36"/>
      <c r="E26" s="36"/>
      <c r="F26" s="36"/>
      <c r="G26" s="36"/>
      <c r="H26" s="36"/>
      <c r="I26" s="36"/>
      <c r="J26" s="36"/>
      <c r="K26" s="36"/>
      <c r="L26" s="36"/>
      <c r="M26" s="36"/>
      <c r="N26" s="36"/>
      <c r="O26" s="36"/>
      <c r="P26" s="36"/>
      <c r="Q26" s="36"/>
    </row>
    <row r="27" spans="1:17" x14ac:dyDescent="0.25">
      <c r="A27" s="37"/>
      <c r="B27" s="37"/>
      <c r="C27" s="37"/>
      <c r="D27" s="37"/>
      <c r="E27" s="37"/>
      <c r="F27" s="37"/>
      <c r="G27" s="37"/>
      <c r="H27" s="37"/>
      <c r="I27" s="37"/>
    </row>
    <row r="28" spans="1:17" x14ac:dyDescent="0.25">
      <c r="A28" s="37"/>
      <c r="B28" s="37"/>
      <c r="C28" s="37"/>
      <c r="D28" s="37"/>
      <c r="E28" s="37"/>
      <c r="F28" s="37"/>
      <c r="G28" s="37"/>
      <c r="H28" s="37"/>
      <c r="I28" s="37"/>
    </row>
    <row r="29" spans="1:17" x14ac:dyDescent="0.25">
      <c r="A29" s="37"/>
      <c r="B29" s="37"/>
      <c r="C29" s="37"/>
      <c r="D29" s="37"/>
      <c r="E29" s="37"/>
      <c r="F29" s="37"/>
      <c r="G29" s="37"/>
      <c r="H29" s="37"/>
      <c r="I29" s="37"/>
    </row>
    <row r="30" spans="1:17" x14ac:dyDescent="0.25">
      <c r="A30" s="37"/>
      <c r="B30" s="37"/>
      <c r="C30" s="37"/>
      <c r="D30" s="37"/>
      <c r="E30" s="37"/>
      <c r="F30" s="37"/>
      <c r="G30" s="37"/>
      <c r="H30" s="37"/>
      <c r="I30" s="37"/>
    </row>
    <row r="31" spans="1:17" x14ac:dyDescent="0.25">
      <c r="A31" s="37"/>
      <c r="B31" s="37"/>
      <c r="C31" s="37"/>
      <c r="D31" s="37"/>
      <c r="E31" s="37"/>
      <c r="F31" s="37"/>
      <c r="G31" s="37"/>
      <c r="H31" s="37"/>
      <c r="I31" s="37"/>
    </row>
    <row r="32" spans="1:17" x14ac:dyDescent="0.25">
      <c r="A32" s="37"/>
      <c r="B32" s="37"/>
      <c r="C32" s="37"/>
      <c r="D32" s="37"/>
      <c r="E32" s="37"/>
      <c r="F32" s="37"/>
      <c r="G32" s="37"/>
      <c r="H32" s="37"/>
      <c r="I32" s="37"/>
    </row>
    <row r="33" spans="1:9" x14ac:dyDescent="0.25">
      <c r="A33" s="37"/>
      <c r="B33" s="37"/>
      <c r="C33" s="37"/>
      <c r="D33" s="37"/>
      <c r="E33" s="37"/>
      <c r="F33" s="37"/>
      <c r="G33" s="37"/>
      <c r="H33" s="37"/>
      <c r="I33" s="37"/>
    </row>
    <row r="34" spans="1:9" x14ac:dyDescent="0.25">
      <c r="A34" s="37"/>
      <c r="B34" s="37"/>
      <c r="C34" s="37"/>
      <c r="D34" s="37"/>
      <c r="E34" s="37"/>
      <c r="F34" s="37"/>
      <c r="G34" s="37"/>
      <c r="H34" s="37"/>
      <c r="I34" s="37"/>
    </row>
    <row r="35" spans="1:9" x14ac:dyDescent="0.25">
      <c r="A35" s="37"/>
      <c r="B35" s="37"/>
      <c r="C35" s="37"/>
      <c r="D35" s="37"/>
      <c r="E35" s="37"/>
      <c r="F35" s="37"/>
      <c r="G35" s="37"/>
      <c r="H35" s="37"/>
      <c r="I35" s="37"/>
    </row>
  </sheetData>
  <sheetProtection password="CCB6" sheet="1" objects="1" scenarios="1" selectLockedCells="1"/>
  <pageMargins left="0.7" right="0.7" top="0.75" bottom="0.75" header="0.3" footer="0.3"/>
  <pageSetup scale="86" orientation="landscape" r:id="rId1"/>
  <headerFooter>
    <oddHeader>&amp;C&amp;"-,Bold"&amp;16Recommended Order Quantity Calculator</odd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2:IU43"/>
  <sheetViews>
    <sheetView showRowColHeaders="0" tabSelected="1" topLeftCell="A13" zoomScaleNormal="100" workbookViewId="0">
      <selection activeCell="C9" sqref="C9:M9"/>
    </sheetView>
  </sheetViews>
  <sheetFormatPr defaultColWidth="0" defaultRowHeight="11.25" x14ac:dyDescent="0.2"/>
  <cols>
    <col min="1" max="1" width="2.42578125" style="11" customWidth="1"/>
    <col min="2" max="2" width="18" style="11" customWidth="1"/>
    <col min="3" max="3" width="16" style="11" customWidth="1"/>
    <col min="4" max="4" width="4.42578125" style="11" customWidth="1"/>
    <col min="5" max="5" width="5.7109375" style="11" customWidth="1"/>
    <col min="6" max="6" width="5.28515625" style="11" customWidth="1"/>
    <col min="7" max="7" width="4.42578125" style="11" customWidth="1"/>
    <col min="8" max="8" width="5.7109375" style="11" customWidth="1"/>
    <col min="9" max="9" width="5.28515625" style="11" customWidth="1"/>
    <col min="10" max="10" width="4.42578125" style="11" customWidth="1"/>
    <col min="11" max="11" width="5.7109375" style="11" customWidth="1"/>
    <col min="12" max="12" width="5.28515625" style="11" customWidth="1"/>
    <col min="13" max="13" width="4.42578125" style="11" customWidth="1"/>
    <col min="14" max="15" width="5.7109375" style="11" customWidth="1"/>
    <col min="16" max="16" width="8" style="11" customWidth="1"/>
    <col min="17" max="17" width="5.7109375" style="11" customWidth="1"/>
    <col min="18" max="18" width="5.28515625" style="11" customWidth="1"/>
    <col min="19" max="19" width="3.28515625" style="11" customWidth="1"/>
    <col min="20" max="21" width="9.140625" style="11" hidden="1" customWidth="1"/>
    <col min="22" max="25" width="0" style="11" hidden="1" customWidth="1"/>
    <col min="26" max="251" width="9.140625" style="11" hidden="1" customWidth="1"/>
    <col min="252" max="252" width="9.7109375" style="11" hidden="1" customWidth="1"/>
    <col min="253" max="253" width="27.28515625" style="11" hidden="1" customWidth="1"/>
    <col min="254" max="254" width="8.85546875" style="11" hidden="1" customWidth="1"/>
    <col min="255" max="255" width="8.7109375" style="11" hidden="1" customWidth="1"/>
    <col min="256" max="16384" width="9.140625" style="11" hidden="1"/>
  </cols>
  <sheetData>
    <row r="2" spans="2:21" ht="19.5" customHeight="1" x14ac:dyDescent="0.2">
      <c r="B2" s="29" t="s">
        <v>88</v>
      </c>
      <c r="C2" s="29" t="s">
        <v>89</v>
      </c>
    </row>
    <row r="3" spans="2:21" ht="15" x14ac:dyDescent="0.25">
      <c r="B3" s="39" t="s">
        <v>12</v>
      </c>
      <c r="C3" s="39" t="s">
        <v>1</v>
      </c>
    </row>
    <row r="4" spans="2:21" ht="18" x14ac:dyDescent="0.2">
      <c r="B4" s="54" t="s">
        <v>39</v>
      </c>
      <c r="C4" s="54"/>
      <c r="D4" s="54"/>
      <c r="E4" s="54"/>
      <c r="F4" s="54"/>
      <c r="G4" s="54"/>
      <c r="H4" s="54"/>
      <c r="I4" s="54"/>
      <c r="J4" s="54"/>
      <c r="K4" s="54"/>
      <c r="L4" s="54"/>
      <c r="M4" s="54"/>
      <c r="N4" s="54"/>
      <c r="O4" s="54"/>
      <c r="P4" s="54"/>
      <c r="Q4" s="54"/>
      <c r="R4" s="54"/>
    </row>
    <row r="5" spans="2:21" ht="18" x14ac:dyDescent="0.2">
      <c r="B5" s="102" t="s">
        <v>135</v>
      </c>
      <c r="C5" s="102"/>
      <c r="D5" s="102"/>
      <c r="E5" s="102"/>
      <c r="F5" s="102"/>
      <c r="G5" s="102"/>
      <c r="H5" s="102"/>
      <c r="I5" s="102"/>
      <c r="J5" s="102"/>
      <c r="K5" s="102"/>
      <c r="L5" s="102"/>
      <c r="M5" s="102"/>
      <c r="N5" s="102"/>
      <c r="O5" s="102"/>
      <c r="P5" s="102"/>
      <c r="Q5" s="102"/>
      <c r="R5" s="102"/>
    </row>
    <row r="6" spans="2:21" ht="15.75" customHeight="1" x14ac:dyDescent="0.2">
      <c r="B6" s="112" t="s">
        <v>136</v>
      </c>
      <c r="C6" s="112"/>
      <c r="D6" s="112"/>
      <c r="E6" s="112"/>
      <c r="F6" s="112"/>
      <c r="G6" s="112"/>
      <c r="H6" s="112"/>
      <c r="I6" s="112"/>
      <c r="J6" s="112"/>
      <c r="K6" s="112"/>
      <c r="L6" s="112"/>
      <c r="M6" s="112"/>
      <c r="N6" s="112"/>
      <c r="O6" s="112"/>
      <c r="P6" s="112"/>
      <c r="Q6" s="112"/>
      <c r="R6" s="112"/>
    </row>
    <row r="7" spans="2:21" ht="15.75" customHeight="1" thickBot="1" x14ac:dyDescent="0.25">
      <c r="B7" s="112" t="s">
        <v>137</v>
      </c>
      <c r="C7" s="112"/>
      <c r="D7" s="112"/>
      <c r="E7" s="112"/>
      <c r="F7" s="112"/>
      <c r="G7" s="112"/>
      <c r="H7" s="112"/>
      <c r="I7" s="112"/>
      <c r="J7" s="112"/>
      <c r="K7" s="112"/>
      <c r="L7" s="112"/>
      <c r="M7" s="112"/>
      <c r="N7" s="112"/>
      <c r="O7" s="112"/>
      <c r="P7" s="112"/>
      <c r="Q7" s="112"/>
      <c r="R7" s="112"/>
      <c r="T7" s="25"/>
      <c r="U7" s="25"/>
    </row>
    <row r="8" spans="2:21" s="12" customFormat="1" ht="24.75" customHeight="1" thickBot="1" x14ac:dyDescent="0.3">
      <c r="B8" s="14" t="s">
        <v>103</v>
      </c>
      <c r="C8" s="15"/>
      <c r="D8" s="16"/>
      <c r="E8" s="134" t="s">
        <v>138</v>
      </c>
      <c r="F8" s="134"/>
      <c r="G8" s="134"/>
      <c r="H8" s="134"/>
      <c r="I8" s="134"/>
      <c r="J8" s="134"/>
      <c r="K8" s="134" t="s">
        <v>139</v>
      </c>
      <c r="L8" s="134"/>
      <c r="M8" s="134"/>
      <c r="N8" s="134"/>
      <c r="O8" s="134"/>
      <c r="P8" s="30"/>
      <c r="Q8" s="31"/>
      <c r="R8" s="31"/>
      <c r="T8" s="26"/>
      <c r="U8" s="26"/>
    </row>
    <row r="9" spans="2:21" s="13" customFormat="1" ht="18.600000000000001" customHeight="1" x14ac:dyDescent="0.25">
      <c r="B9" s="17" t="s">
        <v>86</v>
      </c>
      <c r="C9" s="87"/>
      <c r="D9" s="88"/>
      <c r="E9" s="88"/>
      <c r="F9" s="88"/>
      <c r="G9" s="88"/>
      <c r="H9" s="88"/>
      <c r="I9" s="88"/>
      <c r="J9" s="88"/>
      <c r="K9" s="88"/>
      <c r="L9" s="88"/>
      <c r="M9" s="89"/>
      <c r="N9" s="106" t="s">
        <v>40</v>
      </c>
      <c r="O9" s="107"/>
      <c r="P9" s="108"/>
      <c r="Q9" s="109"/>
      <c r="R9" s="110"/>
      <c r="T9" s="27" t="b">
        <v>1</v>
      </c>
      <c r="U9" s="27"/>
    </row>
    <row r="10" spans="2:21" s="13" customFormat="1" ht="18.600000000000001" customHeight="1" x14ac:dyDescent="0.25">
      <c r="B10" s="18" t="s">
        <v>41</v>
      </c>
      <c r="C10" s="66"/>
      <c r="D10" s="67"/>
      <c r="E10" s="67"/>
      <c r="F10" s="67"/>
      <c r="G10" s="67"/>
      <c r="H10" s="67"/>
      <c r="I10" s="67"/>
      <c r="J10" s="67"/>
      <c r="K10" s="67"/>
      <c r="L10" s="67"/>
      <c r="M10" s="68"/>
      <c r="N10" s="104" t="str">
        <f>IF(U10=TRUE,"!!!NEW ADDRESS!!!","Check if New Address")</f>
        <v>Check if New Address</v>
      </c>
      <c r="O10" s="105"/>
      <c r="P10" s="105"/>
      <c r="Q10" s="105"/>
      <c r="R10" s="10"/>
      <c r="T10" s="27" t="b">
        <v>1</v>
      </c>
      <c r="U10" s="27" t="b">
        <v>0</v>
      </c>
    </row>
    <row r="11" spans="2:21" s="13" customFormat="1" ht="18.600000000000001" customHeight="1" x14ac:dyDescent="0.25">
      <c r="B11" s="18" t="s">
        <v>82</v>
      </c>
      <c r="C11" s="66"/>
      <c r="D11" s="67"/>
      <c r="E11" s="67"/>
      <c r="F11" s="67"/>
      <c r="G11" s="68"/>
      <c r="H11" s="19" t="s">
        <v>83</v>
      </c>
      <c r="I11" s="96"/>
      <c r="J11" s="97"/>
      <c r="K11" s="98"/>
      <c r="L11" s="98"/>
      <c r="M11" s="98"/>
      <c r="N11" s="98"/>
      <c r="O11" s="98"/>
      <c r="P11" s="98"/>
      <c r="Q11" s="98"/>
      <c r="R11" s="99"/>
      <c r="T11" s="27" t="b">
        <v>1</v>
      </c>
      <c r="U11" s="27"/>
    </row>
    <row r="12" spans="2:21" s="13" customFormat="1" ht="18.600000000000001" customHeight="1" x14ac:dyDescent="0.25">
      <c r="B12" s="18" t="s">
        <v>42</v>
      </c>
      <c r="C12" s="66"/>
      <c r="D12" s="67"/>
      <c r="E12" s="67"/>
      <c r="F12" s="67"/>
      <c r="G12" s="67"/>
      <c r="H12" s="68"/>
      <c r="I12" s="141" t="s">
        <v>104</v>
      </c>
      <c r="J12" s="142"/>
      <c r="K12" s="66"/>
      <c r="L12" s="67"/>
      <c r="M12" s="67"/>
      <c r="N12" s="67"/>
      <c r="O12" s="67"/>
      <c r="P12" s="67"/>
      <c r="Q12" s="67"/>
      <c r="R12" s="143"/>
      <c r="T12" s="27" t="b">
        <v>1</v>
      </c>
      <c r="U12" s="27"/>
    </row>
    <row r="13" spans="2:21" s="13" customFormat="1" ht="18.600000000000001" customHeight="1" x14ac:dyDescent="0.25">
      <c r="B13" s="20" t="s">
        <v>46</v>
      </c>
      <c r="C13" s="113"/>
      <c r="D13" s="114"/>
      <c r="E13" s="114"/>
      <c r="F13" s="114"/>
      <c r="G13" s="114"/>
      <c r="H13" s="114"/>
      <c r="I13" s="116"/>
      <c r="J13" s="117"/>
      <c r="K13" s="19" t="s">
        <v>47</v>
      </c>
      <c r="L13" s="113"/>
      <c r="M13" s="114"/>
      <c r="N13" s="114"/>
      <c r="O13" s="114"/>
      <c r="P13" s="114"/>
      <c r="Q13" s="114"/>
      <c r="R13" s="115"/>
      <c r="T13" s="27" t="b">
        <v>1</v>
      </c>
      <c r="U13" s="27"/>
    </row>
    <row r="14" spans="2:21" ht="18.600000000000001" customHeight="1" x14ac:dyDescent="0.2">
      <c r="B14" s="122" t="s">
        <v>94</v>
      </c>
      <c r="C14" s="123"/>
      <c r="D14" s="103" t="s">
        <v>48</v>
      </c>
      <c r="E14" s="103"/>
      <c r="F14" s="103"/>
      <c r="G14" s="71" t="s">
        <v>51</v>
      </c>
      <c r="H14" s="72"/>
      <c r="I14" s="73"/>
      <c r="J14" s="71" t="s">
        <v>52</v>
      </c>
      <c r="K14" s="72"/>
      <c r="L14" s="73"/>
      <c r="M14" s="71" t="s">
        <v>49</v>
      </c>
      <c r="N14" s="72"/>
      <c r="O14" s="73"/>
      <c r="P14" s="71" t="s">
        <v>53</v>
      </c>
      <c r="Q14" s="72"/>
      <c r="R14" s="111"/>
    </row>
    <row r="15" spans="2:21" ht="18.600000000000001" customHeight="1" x14ac:dyDescent="0.2">
      <c r="B15" s="124"/>
      <c r="C15" s="125"/>
      <c r="D15" s="32" t="s">
        <v>50</v>
      </c>
      <c r="E15" s="34"/>
      <c r="F15" s="21" t="s">
        <v>55</v>
      </c>
      <c r="G15" s="32" t="s">
        <v>50</v>
      </c>
      <c r="H15" s="35"/>
      <c r="I15" s="21" t="s">
        <v>55</v>
      </c>
      <c r="J15" s="32" t="s">
        <v>50</v>
      </c>
      <c r="K15" s="35"/>
      <c r="L15" s="21" t="s">
        <v>55</v>
      </c>
      <c r="M15" s="32" t="s">
        <v>50</v>
      </c>
      <c r="N15" s="35"/>
      <c r="O15" s="21" t="s">
        <v>55</v>
      </c>
      <c r="P15" s="32" t="s">
        <v>50</v>
      </c>
      <c r="Q15" s="35"/>
      <c r="R15" s="22" t="s">
        <v>55</v>
      </c>
    </row>
    <row r="16" spans="2:21" ht="18.600000000000001" customHeight="1" x14ac:dyDescent="0.2">
      <c r="B16" s="126"/>
      <c r="C16" s="127"/>
      <c r="D16" s="33" t="s">
        <v>54</v>
      </c>
      <c r="E16" s="34"/>
      <c r="F16" s="21"/>
      <c r="G16" s="32" t="s">
        <v>54</v>
      </c>
      <c r="H16" s="35"/>
      <c r="I16" s="21"/>
      <c r="J16" s="32" t="s">
        <v>54</v>
      </c>
      <c r="K16" s="35"/>
      <c r="L16" s="21"/>
      <c r="M16" s="32" t="s">
        <v>54</v>
      </c>
      <c r="N16" s="35"/>
      <c r="O16" s="21"/>
      <c r="P16" s="32" t="s">
        <v>54</v>
      </c>
      <c r="Q16" s="35"/>
      <c r="R16" s="22"/>
    </row>
    <row r="17" spans="2:20" ht="26.25" customHeight="1" thickBot="1" x14ac:dyDescent="0.25">
      <c r="B17" s="100" t="s">
        <v>95</v>
      </c>
      <c r="C17" s="101"/>
      <c r="D17" s="128"/>
      <c r="E17" s="129"/>
      <c r="F17" s="129"/>
      <c r="G17" s="129"/>
      <c r="H17" s="129"/>
      <c r="I17" s="129"/>
      <c r="J17" s="129"/>
      <c r="K17" s="129"/>
      <c r="L17" s="129"/>
      <c r="M17" s="129"/>
      <c r="N17" s="129"/>
      <c r="O17" s="129"/>
      <c r="P17" s="129"/>
      <c r="Q17" s="129"/>
      <c r="R17" s="130"/>
      <c r="T17" s="25"/>
    </row>
    <row r="18" spans="2:20" ht="31.5" customHeight="1" thickBot="1" x14ac:dyDescent="0.25">
      <c r="B18" s="28" t="s">
        <v>96</v>
      </c>
      <c r="C18" s="93" t="s">
        <v>97</v>
      </c>
      <c r="D18" s="94"/>
      <c r="E18" s="94"/>
      <c r="F18" s="94"/>
      <c r="G18" s="94"/>
      <c r="H18" s="94"/>
      <c r="I18" s="94"/>
      <c r="J18" s="95"/>
      <c r="K18" s="69" t="s">
        <v>56</v>
      </c>
      <c r="L18" s="69"/>
      <c r="M18" s="64" t="s">
        <v>16</v>
      </c>
      <c r="N18" s="65"/>
      <c r="O18" s="64" t="s">
        <v>101</v>
      </c>
      <c r="P18" s="65"/>
      <c r="Q18" s="69" t="s">
        <v>102</v>
      </c>
      <c r="R18" s="131"/>
    </row>
    <row r="19" spans="2:20" ht="27.75" customHeight="1" x14ac:dyDescent="0.25">
      <c r="B19" s="44" t="s">
        <v>13</v>
      </c>
      <c r="C19" s="70" t="s">
        <v>111</v>
      </c>
      <c r="D19" s="70"/>
      <c r="E19" s="70"/>
      <c r="F19" s="70"/>
      <c r="G19" s="70"/>
      <c r="H19" s="70"/>
      <c r="I19" s="70"/>
      <c r="J19" s="70"/>
      <c r="K19" s="92"/>
      <c r="L19" s="92"/>
      <c r="M19" s="90"/>
      <c r="N19" s="91"/>
      <c r="O19" s="132">
        <f t="array" ref="O19">INDEX(Table!$C$4:$C$31,MATCH(1,(Table!$A$4:$A$31='Provider Order Form'!$B$3)*(Table!$B$4:$B$31='Provider Order Form'!$C$3),0))</f>
        <v>0</v>
      </c>
      <c r="P19" s="133"/>
      <c r="Q19" s="120"/>
      <c r="R19" s="121"/>
    </row>
    <row r="20" spans="2:20" ht="27.75" customHeight="1" x14ac:dyDescent="0.2">
      <c r="B20" s="45" t="s">
        <v>26</v>
      </c>
      <c r="C20" s="46" t="s">
        <v>112</v>
      </c>
      <c r="D20" s="46"/>
      <c r="E20" s="46"/>
      <c r="F20" s="46"/>
      <c r="G20" s="46"/>
      <c r="H20" s="46"/>
      <c r="I20" s="46"/>
      <c r="J20" s="46"/>
      <c r="K20" s="47"/>
      <c r="L20" s="47"/>
      <c r="M20" s="48"/>
      <c r="N20" s="49"/>
      <c r="O20" s="118">
        <f t="array" ref="O20">INDEX(Table!$D$4:$D$31,MATCH(1,(Table!$A$4:$A$31='Provider Order Form'!$B$3)*(Table!$B$4:$B$31='Provider Order Form'!$C$3),0))</f>
        <v>0</v>
      </c>
      <c r="P20" s="119"/>
      <c r="Q20" s="52"/>
      <c r="R20" s="53"/>
    </row>
    <row r="21" spans="2:20" ht="27.75" customHeight="1" x14ac:dyDescent="0.2">
      <c r="B21" s="45" t="s">
        <v>87</v>
      </c>
      <c r="C21" s="46" t="s">
        <v>120</v>
      </c>
      <c r="D21" s="46"/>
      <c r="E21" s="46"/>
      <c r="F21" s="46"/>
      <c r="G21" s="46"/>
      <c r="H21" s="46"/>
      <c r="I21" s="46"/>
      <c r="J21" s="46"/>
      <c r="K21" s="47"/>
      <c r="L21" s="47"/>
      <c r="M21" s="48"/>
      <c r="N21" s="49"/>
      <c r="O21" s="118">
        <f t="array" ref="O21">INDEX(Table!$E$4:$E$31,MATCH(1,(Table!$A$4:$A$31='Provider Order Form'!$B$3)*(Table!$B$4:$B$31='Provider Order Form'!$C$3),0))</f>
        <v>0</v>
      </c>
      <c r="P21" s="119"/>
      <c r="Q21" s="52"/>
      <c r="R21" s="53"/>
    </row>
    <row r="22" spans="2:20" ht="39.75" customHeight="1" x14ac:dyDescent="0.2">
      <c r="B22" s="45" t="s">
        <v>121</v>
      </c>
      <c r="C22" s="46" t="s">
        <v>130</v>
      </c>
      <c r="D22" s="46"/>
      <c r="E22" s="46"/>
      <c r="F22" s="46"/>
      <c r="G22" s="46"/>
      <c r="H22" s="46"/>
      <c r="I22" s="46"/>
      <c r="J22" s="46"/>
      <c r="K22" s="47"/>
      <c r="L22" s="47"/>
      <c r="M22" s="48"/>
      <c r="N22" s="49"/>
      <c r="O22" s="118">
        <f t="array" ref="O22">INDEX(Table!$F$4:$F$31,MATCH(1,(Table!$A$4:$A$31='Provider Order Form'!$B$3)*(Table!$B$4:$B$31='Provider Order Form'!$C$3),0))</f>
        <v>0</v>
      </c>
      <c r="P22" s="119"/>
      <c r="Q22" s="52"/>
      <c r="R22" s="53"/>
    </row>
    <row r="23" spans="2:20" ht="27.75" customHeight="1" x14ac:dyDescent="0.2">
      <c r="B23" s="45" t="s">
        <v>122</v>
      </c>
      <c r="C23" s="46" t="s">
        <v>128</v>
      </c>
      <c r="D23" s="46"/>
      <c r="E23" s="46"/>
      <c r="F23" s="46"/>
      <c r="G23" s="46"/>
      <c r="H23" s="46"/>
      <c r="I23" s="46"/>
      <c r="J23" s="46"/>
      <c r="K23" s="47"/>
      <c r="L23" s="47"/>
      <c r="M23" s="48"/>
      <c r="N23" s="49"/>
      <c r="O23" s="118">
        <f t="array" ref="O23">INDEX(Table!$T$4:$T$31,MATCH(1,(Table!$A$4:$A$31='Provider Order Form'!$B$3)*(Table!$B$4:$B$31='Provider Order Form'!$C$3),0))</f>
        <v>0</v>
      </c>
      <c r="P23" s="119"/>
      <c r="Q23" s="52"/>
      <c r="R23" s="53"/>
    </row>
    <row r="24" spans="2:20" ht="27.75" customHeight="1" x14ac:dyDescent="0.2">
      <c r="B24" s="45" t="s">
        <v>30</v>
      </c>
      <c r="C24" s="46" t="s">
        <v>125</v>
      </c>
      <c r="D24" s="46"/>
      <c r="E24" s="46"/>
      <c r="F24" s="46"/>
      <c r="G24" s="46"/>
      <c r="H24" s="46"/>
      <c r="I24" s="46"/>
      <c r="J24" s="46"/>
      <c r="K24" s="47"/>
      <c r="L24" s="47"/>
      <c r="M24" s="48"/>
      <c r="N24" s="49"/>
      <c r="O24" s="118">
        <f t="array" ref="O24">INDEX(Table!$H$4:$H$31,MATCH(1,(Table!$A$4:$A$31='Provider Order Form'!$B$3)*(Table!$B$4:$B$31='Provider Order Form'!$C$3),0))</f>
        <v>0</v>
      </c>
      <c r="P24" s="119"/>
      <c r="Q24" s="52"/>
      <c r="R24" s="53"/>
    </row>
    <row r="25" spans="2:20" ht="27.75" customHeight="1" x14ac:dyDescent="0.2">
      <c r="B25" s="45" t="s">
        <v>57</v>
      </c>
      <c r="C25" s="46" t="s">
        <v>126</v>
      </c>
      <c r="D25" s="46"/>
      <c r="E25" s="46"/>
      <c r="F25" s="46"/>
      <c r="G25" s="46"/>
      <c r="H25" s="46"/>
      <c r="I25" s="46"/>
      <c r="J25" s="46"/>
      <c r="K25" s="47"/>
      <c r="L25" s="47"/>
      <c r="M25" s="48"/>
      <c r="N25" s="49"/>
      <c r="O25" s="118">
        <f t="array" ref="O25">INDEX(Table!$I$4:$I$31,MATCH(1,(Table!$A$4:$A$31='Provider Order Form'!$B$3)*(Table!$B$4:$B$31='Provider Order Form'!$C$3),0))</f>
        <v>0</v>
      </c>
      <c r="P25" s="119"/>
      <c r="Q25" s="52"/>
      <c r="R25" s="53"/>
    </row>
    <row r="26" spans="2:20" ht="27.75" customHeight="1" x14ac:dyDescent="0.2">
      <c r="B26" s="45" t="s">
        <v>123</v>
      </c>
      <c r="C26" s="46" t="s">
        <v>131</v>
      </c>
      <c r="D26" s="46"/>
      <c r="E26" s="46"/>
      <c r="F26" s="46"/>
      <c r="G26" s="46"/>
      <c r="H26" s="46"/>
      <c r="I26" s="46"/>
      <c r="J26" s="46"/>
      <c r="K26" s="47"/>
      <c r="L26" s="47"/>
      <c r="M26" s="48"/>
      <c r="N26" s="49"/>
      <c r="O26" s="118">
        <f t="array" ref="O26">INDEX(Table!$U$4:$U$31,MATCH(1,(Table!$A$4:$A$31='Provider Order Form'!$B$3)*(Table!$B$4:$B$31='Provider Order Form'!$C$3),0))</f>
        <v>0</v>
      </c>
      <c r="P26" s="119"/>
      <c r="Q26" s="52"/>
      <c r="R26" s="53"/>
    </row>
    <row r="27" spans="2:20" ht="27.75" customHeight="1" x14ac:dyDescent="0.2">
      <c r="B27" s="45" t="s">
        <v>32</v>
      </c>
      <c r="C27" s="46" t="s">
        <v>132</v>
      </c>
      <c r="D27" s="46"/>
      <c r="E27" s="46"/>
      <c r="F27" s="46"/>
      <c r="G27" s="46"/>
      <c r="H27" s="46"/>
      <c r="I27" s="46"/>
      <c r="J27" s="46"/>
      <c r="K27" s="47"/>
      <c r="L27" s="47"/>
      <c r="M27" s="48"/>
      <c r="N27" s="49"/>
      <c r="O27" s="118">
        <f t="array" ref="O27">INDEX(Table!$J$4:$J$31,MATCH(1,(Table!$A$4:$A$31='Provider Order Form'!$B$3)*(Table!$B$4:$B$31='Provider Order Form'!$C$3),0))</f>
        <v>0</v>
      </c>
      <c r="P27" s="119"/>
      <c r="Q27" s="52"/>
      <c r="R27" s="53"/>
    </row>
    <row r="28" spans="2:20" ht="27.75" customHeight="1" x14ac:dyDescent="0.2">
      <c r="B28" s="45" t="s">
        <v>14</v>
      </c>
      <c r="C28" s="46" t="s">
        <v>113</v>
      </c>
      <c r="D28" s="46"/>
      <c r="E28" s="46"/>
      <c r="F28" s="46"/>
      <c r="G28" s="46"/>
      <c r="H28" s="46"/>
      <c r="I28" s="46"/>
      <c r="J28" s="46"/>
      <c r="K28" s="47"/>
      <c r="L28" s="47"/>
      <c r="M28" s="48"/>
      <c r="N28" s="49"/>
      <c r="O28" s="118">
        <f t="array" ref="O28">INDEX(Table!$K$4:$K$31,MATCH(1,(Table!$A$4:$A$31='Provider Order Form'!$B$3)*(Table!$B$4:$B$31='Provider Order Form'!$C$3),0))</f>
        <v>0</v>
      </c>
      <c r="P28" s="119"/>
      <c r="Q28" s="52"/>
      <c r="R28" s="53"/>
    </row>
    <row r="29" spans="2:20" ht="27.75" customHeight="1" x14ac:dyDescent="0.2">
      <c r="B29" s="45" t="s">
        <v>43</v>
      </c>
      <c r="C29" s="46" t="s">
        <v>114</v>
      </c>
      <c r="D29" s="46"/>
      <c r="E29" s="46"/>
      <c r="F29" s="46"/>
      <c r="G29" s="46"/>
      <c r="H29" s="46"/>
      <c r="I29" s="46"/>
      <c r="J29" s="46"/>
      <c r="K29" s="47"/>
      <c r="L29" s="47"/>
      <c r="M29" s="48"/>
      <c r="N29" s="49"/>
      <c r="O29" s="118">
        <f t="array" ref="O29">INDEX(Table!$G$4:$G$31,MATCH(1,(Table!$A$4:$A$31='Provider Order Form'!$B$3)*(Table!$B$4:$B$31='Provider Order Form'!$C$3),0))</f>
        <v>0</v>
      </c>
      <c r="P29" s="119"/>
      <c r="Q29" s="52"/>
      <c r="R29" s="53"/>
    </row>
    <row r="30" spans="2:20" ht="27.75" customHeight="1" x14ac:dyDescent="0.2">
      <c r="B30" s="45" t="s">
        <v>33</v>
      </c>
      <c r="C30" s="46" t="s">
        <v>124</v>
      </c>
      <c r="D30" s="46"/>
      <c r="E30" s="46"/>
      <c r="F30" s="46"/>
      <c r="G30" s="46"/>
      <c r="H30" s="46"/>
      <c r="I30" s="46"/>
      <c r="J30" s="46"/>
      <c r="K30" s="47"/>
      <c r="L30" s="47"/>
      <c r="M30" s="48"/>
      <c r="N30" s="49"/>
      <c r="O30" s="118">
        <f t="array" ref="O30">INDEX(Table!$L$4:$L$31,MATCH(1,(Table!$A$4:$A$31='Provider Order Form'!$B$3)*(Table!$B$4:$B$31='Provider Order Form'!$C$3),0))</f>
        <v>0</v>
      </c>
      <c r="P30" s="119"/>
      <c r="Q30" s="52"/>
      <c r="R30" s="53"/>
    </row>
    <row r="31" spans="2:20" ht="27.75" customHeight="1" x14ac:dyDescent="0.2">
      <c r="B31" s="45" t="s">
        <v>15</v>
      </c>
      <c r="C31" s="46" t="s">
        <v>115</v>
      </c>
      <c r="D31" s="46"/>
      <c r="E31" s="46"/>
      <c r="F31" s="46"/>
      <c r="G31" s="46"/>
      <c r="H31" s="46"/>
      <c r="I31" s="46"/>
      <c r="J31" s="46"/>
      <c r="K31" s="47"/>
      <c r="L31" s="47"/>
      <c r="M31" s="48"/>
      <c r="N31" s="49"/>
      <c r="O31" s="118">
        <f t="array" ref="O31">INDEX(Table!$M$4:$M$31,MATCH(1,(Table!$A$4:$A$31='Provider Order Form'!$B$3)*(Table!$B$4:$B$31='Provider Order Form'!$C$3),0))</f>
        <v>0</v>
      </c>
      <c r="P31" s="119"/>
      <c r="Q31" s="52"/>
      <c r="R31" s="53"/>
    </row>
    <row r="32" spans="2:20" ht="27.75" customHeight="1" x14ac:dyDescent="0.2">
      <c r="B32" s="45" t="s">
        <v>25</v>
      </c>
      <c r="C32" s="46" t="s">
        <v>127</v>
      </c>
      <c r="D32" s="46"/>
      <c r="E32" s="46"/>
      <c r="F32" s="46"/>
      <c r="G32" s="46"/>
      <c r="H32" s="46"/>
      <c r="I32" s="46"/>
      <c r="J32" s="46"/>
      <c r="K32" s="47"/>
      <c r="L32" s="47"/>
      <c r="M32" s="48"/>
      <c r="N32" s="49"/>
      <c r="O32" s="118">
        <f t="array" ref="O32">INDEX(Table!$O$4:$O$31,MATCH(1,(Table!$A$4:$A$31='Provider Order Form'!$B$3)*(Table!$B$4:$B$31='Provider Order Form'!$C$3),0))</f>
        <v>0</v>
      </c>
      <c r="P32" s="119"/>
      <c r="Q32" s="52"/>
      <c r="R32" s="53"/>
    </row>
    <row r="33" spans="2:18" ht="27.75" customHeight="1" x14ac:dyDescent="0.2">
      <c r="B33" s="45" t="s">
        <v>34</v>
      </c>
      <c r="C33" s="46" t="s">
        <v>116</v>
      </c>
      <c r="D33" s="46"/>
      <c r="E33" s="46"/>
      <c r="F33" s="46"/>
      <c r="G33" s="46"/>
      <c r="H33" s="46"/>
      <c r="I33" s="46"/>
      <c r="J33" s="46"/>
      <c r="K33" s="47"/>
      <c r="L33" s="47"/>
      <c r="M33" s="48"/>
      <c r="N33" s="49"/>
      <c r="O33" s="118">
        <f t="array" ref="O33">INDEX(Table!$N$4:$N$31,MATCH(1,(Table!$A$4:$A$31='Provider Order Form'!$B$3)*(Table!$B$4:$B$31='Provider Order Form'!$C$3),0))</f>
        <v>0</v>
      </c>
      <c r="P33" s="119"/>
      <c r="Q33" s="52"/>
      <c r="R33" s="53"/>
    </row>
    <row r="34" spans="2:18" ht="27.75" customHeight="1" x14ac:dyDescent="0.2">
      <c r="B34" s="45" t="s">
        <v>44</v>
      </c>
      <c r="C34" s="46" t="s">
        <v>117</v>
      </c>
      <c r="D34" s="46"/>
      <c r="E34" s="46"/>
      <c r="F34" s="46"/>
      <c r="G34" s="46"/>
      <c r="H34" s="46"/>
      <c r="I34" s="46"/>
      <c r="J34" s="46"/>
      <c r="K34" s="47"/>
      <c r="L34" s="47"/>
      <c r="M34" s="48"/>
      <c r="N34" s="49"/>
      <c r="O34" s="118">
        <f t="array" ref="O34">INDEX(Table!$P$4:$P$31,MATCH(1,(Table!$A$4:$A$31='Provider Order Form'!$B$3)*(Table!$B$4:$B$31='Provider Order Form'!$C$3),0))</f>
        <v>0</v>
      </c>
      <c r="P34" s="119"/>
      <c r="Q34" s="52"/>
      <c r="R34" s="53"/>
    </row>
    <row r="35" spans="2:18" ht="27.75" customHeight="1" x14ac:dyDescent="0.2">
      <c r="B35" s="45" t="s">
        <v>45</v>
      </c>
      <c r="C35" s="46" t="s">
        <v>118</v>
      </c>
      <c r="D35" s="46"/>
      <c r="E35" s="46"/>
      <c r="F35" s="46"/>
      <c r="G35" s="46"/>
      <c r="H35" s="46"/>
      <c r="I35" s="46"/>
      <c r="J35" s="46"/>
      <c r="K35" s="47"/>
      <c r="L35" s="47"/>
      <c r="M35" s="48"/>
      <c r="N35" s="49"/>
      <c r="O35" s="118">
        <f t="array" ref="O35">INDEX(Table!$Q$4:$Q$31,MATCH(1,(Table!$A$4:$A$31='Provider Order Form'!$B$3)*(Table!$B$4:$B$31='Provider Order Form'!$C$3),0))</f>
        <v>0</v>
      </c>
      <c r="P35" s="119"/>
      <c r="Q35" s="52"/>
      <c r="R35" s="53"/>
    </row>
    <row r="36" spans="2:18" ht="27.75" customHeight="1" x14ac:dyDescent="0.2">
      <c r="B36" s="45" t="s">
        <v>37</v>
      </c>
      <c r="C36" s="46" t="s">
        <v>119</v>
      </c>
      <c r="D36" s="46"/>
      <c r="E36" s="46"/>
      <c r="F36" s="46"/>
      <c r="G36" s="46"/>
      <c r="H36" s="46"/>
      <c r="I36" s="46"/>
      <c r="J36" s="46"/>
      <c r="K36" s="47"/>
      <c r="L36" s="47"/>
      <c r="M36" s="48"/>
      <c r="N36" s="49"/>
      <c r="O36" s="118">
        <f t="array" ref="O36">INDEX(Table!$R$4:$R$31,MATCH(1,(Table!$A$4:$A$31='Provider Order Form'!$B$3)*(Table!$B$4:$B$31='Provider Order Form'!$C$3),0))</f>
        <v>0</v>
      </c>
      <c r="P36" s="119"/>
      <c r="Q36" s="52"/>
      <c r="R36" s="53"/>
    </row>
    <row r="37" spans="2:18" ht="27.75" customHeight="1" x14ac:dyDescent="0.2">
      <c r="B37" s="45" t="s">
        <v>38</v>
      </c>
      <c r="C37" s="46" t="s">
        <v>129</v>
      </c>
      <c r="D37" s="46"/>
      <c r="E37" s="46"/>
      <c r="F37" s="46"/>
      <c r="G37" s="46"/>
      <c r="H37" s="46"/>
      <c r="I37" s="46"/>
      <c r="J37" s="46"/>
      <c r="K37" s="47"/>
      <c r="L37" s="47"/>
      <c r="M37" s="48"/>
      <c r="N37" s="49"/>
      <c r="O37" s="118">
        <f t="array" ref="O37">INDEX(Table!$S$4:$S$31,MATCH(1,(Table!$A$4:$A$31='Provider Order Form'!$B$3)*(Table!$B$4:$B$31='Provider Order Form'!$C$3),0))</f>
        <v>0</v>
      </c>
      <c r="P37" s="119"/>
      <c r="Q37" s="52"/>
      <c r="R37" s="53"/>
    </row>
    <row r="38" spans="2:18" ht="27.75" customHeight="1" thickBot="1" x14ac:dyDescent="0.25">
      <c r="B38" s="45" t="s">
        <v>133</v>
      </c>
      <c r="C38" s="46" t="s">
        <v>134</v>
      </c>
      <c r="D38" s="46"/>
      <c r="E38" s="46"/>
      <c r="F38" s="46"/>
      <c r="G38" s="46"/>
      <c r="H38" s="46"/>
      <c r="I38" s="46"/>
      <c r="J38" s="46"/>
      <c r="K38" s="47"/>
      <c r="L38" s="47"/>
      <c r="M38" s="48"/>
      <c r="N38" s="49"/>
      <c r="O38" s="50">
        <f t="array" ref="O38">INDEX(Table!$V$4:$V$31,MATCH(1,(Table!$A$4:$A$31='Provider Order Form'!$B$3)*(Table!$B$4:$B$31='Provider Order Form'!$C$3),0))</f>
        <v>0</v>
      </c>
      <c r="P38" s="51"/>
      <c r="Q38" s="52"/>
      <c r="R38" s="53"/>
    </row>
    <row r="39" spans="2:18" ht="15.75" customHeight="1" thickBot="1" x14ac:dyDescent="0.25">
      <c r="B39" s="135" t="s">
        <v>99</v>
      </c>
      <c r="C39" s="135"/>
      <c r="D39" s="135"/>
      <c r="E39" s="135"/>
      <c r="F39" s="135"/>
      <c r="G39" s="135"/>
      <c r="H39" s="135"/>
      <c r="I39" s="135"/>
      <c r="J39" s="135"/>
      <c r="K39" s="135"/>
      <c r="L39" s="135"/>
      <c r="M39" s="135"/>
      <c r="N39" s="135"/>
      <c r="O39" s="135"/>
      <c r="P39" s="135"/>
      <c r="Q39" s="135"/>
      <c r="R39" s="135"/>
    </row>
    <row r="40" spans="2:18" ht="15" customHeight="1" thickBot="1" x14ac:dyDescent="0.25">
      <c r="B40" s="77" t="s">
        <v>100</v>
      </c>
      <c r="C40" s="78"/>
      <c r="D40" s="78"/>
      <c r="E40" s="78"/>
      <c r="F40" s="78"/>
      <c r="G40" s="78"/>
      <c r="H40" s="78"/>
      <c r="I40" s="78"/>
      <c r="J40" s="79"/>
      <c r="K40" s="74" t="s">
        <v>98</v>
      </c>
      <c r="L40" s="75"/>
      <c r="M40" s="75"/>
      <c r="N40" s="75"/>
      <c r="O40" s="75"/>
      <c r="P40" s="75"/>
      <c r="Q40" s="75"/>
      <c r="R40" s="76"/>
    </row>
    <row r="41" spans="2:18" ht="15" customHeight="1" x14ac:dyDescent="0.2">
      <c r="B41" s="23" t="s">
        <v>90</v>
      </c>
      <c r="C41" s="24" t="s">
        <v>93</v>
      </c>
      <c r="D41" s="81" t="s">
        <v>91</v>
      </c>
      <c r="E41" s="81"/>
      <c r="F41" s="84"/>
      <c r="G41" s="80" t="s">
        <v>92</v>
      </c>
      <c r="H41" s="81"/>
      <c r="I41" s="81"/>
      <c r="J41" s="81"/>
      <c r="K41" s="55"/>
      <c r="L41" s="56"/>
      <c r="M41" s="56"/>
      <c r="N41" s="56"/>
      <c r="O41" s="56"/>
      <c r="P41" s="56"/>
      <c r="Q41" s="56"/>
      <c r="R41" s="57"/>
    </row>
    <row r="42" spans="2:18" ht="17.25" customHeight="1" thickBot="1" x14ac:dyDescent="0.25">
      <c r="B42" s="41"/>
      <c r="C42" s="40"/>
      <c r="D42" s="85"/>
      <c r="E42" s="85"/>
      <c r="F42" s="86"/>
      <c r="G42" s="82"/>
      <c r="H42" s="83"/>
      <c r="I42" s="83"/>
      <c r="J42" s="83"/>
      <c r="K42" s="58"/>
      <c r="L42" s="59"/>
      <c r="M42" s="59"/>
      <c r="N42" s="59"/>
      <c r="O42" s="59"/>
      <c r="P42" s="59"/>
      <c r="Q42" s="59"/>
      <c r="R42" s="60"/>
    </row>
    <row r="43" spans="2:18" s="38" customFormat="1" ht="15" customHeight="1" thickBot="1" x14ac:dyDescent="0.25">
      <c r="B43" s="136" t="str">
        <f>"Ordering Frequency: "&amp;B3</f>
        <v>Ordering Frequency: Monthly</v>
      </c>
      <c r="C43" s="137"/>
      <c r="D43" s="138" t="str">
        <f>"Ordering Month: "&amp;C3</f>
        <v>Ordering Month: January</v>
      </c>
      <c r="E43" s="139"/>
      <c r="F43" s="139"/>
      <c r="G43" s="139"/>
      <c r="H43" s="139"/>
      <c r="I43" s="139"/>
      <c r="J43" s="140"/>
      <c r="K43" s="61"/>
      <c r="L43" s="62"/>
      <c r="M43" s="62"/>
      <c r="N43" s="62"/>
      <c r="O43" s="62"/>
      <c r="P43" s="62"/>
      <c r="Q43" s="62"/>
      <c r="R43" s="63"/>
    </row>
  </sheetData>
  <sheetProtection password="CCB6" sheet="1" selectLockedCells="1"/>
  <mergeCells count="141">
    <mergeCell ref="B43:C43"/>
    <mergeCell ref="D43:J43"/>
    <mergeCell ref="I12:J12"/>
    <mergeCell ref="C12:H12"/>
    <mergeCell ref="K12:R12"/>
    <mergeCell ref="Q35:R35"/>
    <mergeCell ref="M32:N32"/>
    <mergeCell ref="O32:P32"/>
    <mergeCell ref="Q32:R32"/>
    <mergeCell ref="O37:P37"/>
    <mergeCell ref="C23:J23"/>
    <mergeCell ref="K23:L23"/>
    <mergeCell ref="M23:N23"/>
    <mergeCell ref="O23:P23"/>
    <mergeCell ref="Q23:R23"/>
    <mergeCell ref="C26:J26"/>
    <mergeCell ref="K26:L26"/>
    <mergeCell ref="M26:N26"/>
    <mergeCell ref="O26:P26"/>
    <mergeCell ref="Q26:R26"/>
    <mergeCell ref="E8:J8"/>
    <mergeCell ref="K8:O8"/>
    <mergeCell ref="B39:R39"/>
    <mergeCell ref="Q36:R36"/>
    <mergeCell ref="M33:N33"/>
    <mergeCell ref="O33:P33"/>
    <mergeCell ref="Q33:R33"/>
    <mergeCell ref="M36:N36"/>
    <mergeCell ref="O36:P36"/>
    <mergeCell ref="M37:N37"/>
    <mergeCell ref="M28:N28"/>
    <mergeCell ref="O28:P28"/>
    <mergeCell ref="K29:L29"/>
    <mergeCell ref="O29:P29"/>
    <mergeCell ref="Q37:R37"/>
    <mergeCell ref="O34:P34"/>
    <mergeCell ref="Q34:R34"/>
    <mergeCell ref="M35:N35"/>
    <mergeCell ref="M34:N34"/>
    <mergeCell ref="O35:P35"/>
    <mergeCell ref="Q29:R29"/>
    <mergeCell ref="C34:J34"/>
    <mergeCell ref="C33:J33"/>
    <mergeCell ref="K33:L33"/>
    <mergeCell ref="C30:J30"/>
    <mergeCell ref="C29:J29"/>
    <mergeCell ref="M29:N29"/>
    <mergeCell ref="C24:J24"/>
    <mergeCell ref="M25:N25"/>
    <mergeCell ref="Q28:R28"/>
    <mergeCell ref="M27:N27"/>
    <mergeCell ref="O27:P27"/>
    <mergeCell ref="Q25:R25"/>
    <mergeCell ref="Q27:R27"/>
    <mergeCell ref="K28:L28"/>
    <mergeCell ref="O25:P25"/>
    <mergeCell ref="Q24:R24"/>
    <mergeCell ref="O24:P24"/>
    <mergeCell ref="M30:N30"/>
    <mergeCell ref="O30:P30"/>
    <mergeCell ref="Q30:R30"/>
    <mergeCell ref="K31:L31"/>
    <mergeCell ref="M31:N31"/>
    <mergeCell ref="O31:P31"/>
    <mergeCell ref="K34:L34"/>
    <mergeCell ref="K27:L27"/>
    <mergeCell ref="K35:L35"/>
    <mergeCell ref="C32:J32"/>
    <mergeCell ref="C25:J25"/>
    <mergeCell ref="K25:L25"/>
    <mergeCell ref="K32:L32"/>
    <mergeCell ref="K30:L30"/>
    <mergeCell ref="K24:L24"/>
    <mergeCell ref="B14:C16"/>
    <mergeCell ref="D17:R17"/>
    <mergeCell ref="M18:N18"/>
    <mergeCell ref="Q18:R18"/>
    <mergeCell ref="O19:P19"/>
    <mergeCell ref="C20:J20"/>
    <mergeCell ref="Q20:R20"/>
    <mergeCell ref="K20:L20"/>
    <mergeCell ref="C27:J27"/>
    <mergeCell ref="M24:N24"/>
    <mergeCell ref="C22:J22"/>
    <mergeCell ref="C21:J21"/>
    <mergeCell ref="Q22:R22"/>
    <mergeCell ref="M20:N20"/>
    <mergeCell ref="M21:N21"/>
    <mergeCell ref="K21:L21"/>
    <mergeCell ref="O21:P21"/>
    <mergeCell ref="K22:L22"/>
    <mergeCell ref="O22:P22"/>
    <mergeCell ref="M22:N22"/>
    <mergeCell ref="K41:R43"/>
    <mergeCell ref="Q21:R21"/>
    <mergeCell ref="O18:P18"/>
    <mergeCell ref="C11:G11"/>
    <mergeCell ref="K18:L18"/>
    <mergeCell ref="C19:J19"/>
    <mergeCell ref="C28:J28"/>
    <mergeCell ref="J14:L14"/>
    <mergeCell ref="K40:R40"/>
    <mergeCell ref="B40:J40"/>
    <mergeCell ref="G41:J41"/>
    <mergeCell ref="G42:J42"/>
    <mergeCell ref="D41:F41"/>
    <mergeCell ref="D42:F42"/>
    <mergeCell ref="C37:J37"/>
    <mergeCell ref="C36:J36"/>
    <mergeCell ref="K37:L37"/>
    <mergeCell ref="C35:J35"/>
    <mergeCell ref="M19:N19"/>
    <mergeCell ref="K19:L19"/>
    <mergeCell ref="M14:O14"/>
    <mergeCell ref="C18:J18"/>
    <mergeCell ref="I11:R11"/>
    <mergeCell ref="G14:I14"/>
    <mergeCell ref="C38:J38"/>
    <mergeCell ref="K38:L38"/>
    <mergeCell ref="M38:N38"/>
    <mergeCell ref="O38:P38"/>
    <mergeCell ref="Q38:R38"/>
    <mergeCell ref="C31:J31"/>
    <mergeCell ref="K36:L36"/>
    <mergeCell ref="Q31:R31"/>
    <mergeCell ref="B4:R4"/>
    <mergeCell ref="C10:M10"/>
    <mergeCell ref="C9:M9"/>
    <mergeCell ref="B17:C17"/>
    <mergeCell ref="B5:R5"/>
    <mergeCell ref="D14:F14"/>
    <mergeCell ref="N10:Q10"/>
    <mergeCell ref="N9:P9"/>
    <mergeCell ref="Q9:R9"/>
    <mergeCell ref="P14:R14"/>
    <mergeCell ref="B6:R6"/>
    <mergeCell ref="B7:R7"/>
    <mergeCell ref="L13:R13"/>
    <mergeCell ref="C13:J13"/>
    <mergeCell ref="O20:P20"/>
    <mergeCell ref="Q19:R19"/>
  </mergeCells>
  <phoneticPr fontId="0" type="noConversion"/>
  <conditionalFormatting sqref="K19:L38">
    <cfRule type="expression" dxfId="21" priority="38">
      <formula>IF($K19="",1,0)</formula>
    </cfRule>
  </conditionalFormatting>
  <conditionalFormatting sqref="M19:N38">
    <cfRule type="expression" dxfId="20" priority="37">
      <formula>IF($M19="",1,0)</formula>
    </cfRule>
  </conditionalFormatting>
  <conditionalFormatting sqref="D15:D16 F15:F16 D14:F14">
    <cfRule type="expression" dxfId="19" priority="36">
      <formula>IF($T$9=FALSE,1,0)</formula>
    </cfRule>
  </conditionalFormatting>
  <conditionalFormatting sqref="E15:E16">
    <cfRule type="expression" dxfId="18" priority="32">
      <formula>IF($T$9=FALSE,1,0)</formula>
    </cfRule>
    <cfRule type="cellIs" dxfId="17" priority="33" operator="equal">
      <formula>0</formula>
    </cfRule>
  </conditionalFormatting>
  <conditionalFormatting sqref="C8 C9:M10 C11:G11 Q9:R9 C13:J13 L13:R13 C12 I11:K12 L11:R11">
    <cfRule type="cellIs" dxfId="16" priority="31" stopIfTrue="1" operator="equal">
      <formula>0</formula>
    </cfRule>
  </conditionalFormatting>
  <conditionalFormatting sqref="G15:G16 I15:I16 G14:I14">
    <cfRule type="expression" dxfId="15" priority="30" stopIfTrue="1">
      <formula>IF($T$10=FALSE,1,0)</formula>
    </cfRule>
  </conditionalFormatting>
  <conditionalFormatting sqref="H15:H16">
    <cfRule type="expression" dxfId="14" priority="26" stopIfTrue="1">
      <formula>IF($T$10=FALSE,1,0)</formula>
    </cfRule>
    <cfRule type="cellIs" dxfId="13" priority="27" stopIfTrue="1" operator="equal">
      <formula>0</formula>
    </cfRule>
  </conditionalFormatting>
  <conditionalFormatting sqref="J15:J16 L15:L16 J14:L14">
    <cfRule type="expression" dxfId="12" priority="18" stopIfTrue="1">
      <formula>IF($T$11=FALSE,1,0)</formula>
    </cfRule>
  </conditionalFormatting>
  <conditionalFormatting sqref="K15:K16">
    <cfRule type="expression" dxfId="11" priority="6" stopIfTrue="1">
      <formula>IF($T$11=FALSE,1,0)</formula>
    </cfRule>
    <cfRule type="cellIs" dxfId="10" priority="15" stopIfTrue="1" operator="equal">
      <formula>0</formula>
    </cfRule>
  </conditionalFormatting>
  <conditionalFormatting sqref="O15:O16 M15:M16 M14:O14">
    <cfRule type="expression" dxfId="9" priority="14" stopIfTrue="1">
      <formula>IF($T$12=FALSE,1,0)</formula>
    </cfRule>
  </conditionalFormatting>
  <conditionalFormatting sqref="N15:N16">
    <cfRule type="expression" dxfId="8" priority="5" stopIfTrue="1">
      <formula>IF($T$12=FALSE,1,0)</formula>
    </cfRule>
    <cfRule type="cellIs" dxfId="7" priority="12" stopIfTrue="1" operator="equal">
      <formula>0</formula>
    </cfRule>
  </conditionalFormatting>
  <conditionalFormatting sqref="P15:P16 R15:R16 P14:R14">
    <cfRule type="expression" dxfId="6" priority="10" stopIfTrue="1">
      <formula>IF($T$13=FALSE,1,0)</formula>
    </cfRule>
  </conditionalFormatting>
  <conditionalFormatting sqref="Q15:Q16">
    <cfRule type="expression" dxfId="5" priority="4" stopIfTrue="1">
      <formula>IF($T$13=FALSE,1,0)</formula>
    </cfRule>
    <cfRule type="cellIs" dxfId="4" priority="8" stopIfTrue="1" operator="equal">
      <formula>0</formula>
    </cfRule>
  </conditionalFormatting>
  <conditionalFormatting sqref="N10:Q10">
    <cfRule type="expression" dxfId="3" priority="39" stopIfTrue="1">
      <formula>IF($U$9=TRUE,1,0)</formula>
    </cfRule>
  </conditionalFormatting>
  <conditionalFormatting sqref="B42">
    <cfRule type="expression" dxfId="2" priority="3" stopIfTrue="1">
      <formula>IF($B$42="",1,0)</formula>
    </cfRule>
  </conditionalFormatting>
  <conditionalFormatting sqref="C42">
    <cfRule type="expression" dxfId="1" priority="2" stopIfTrue="1">
      <formula>IF($C$42="",1,0)</formula>
    </cfRule>
  </conditionalFormatting>
  <conditionalFormatting sqref="D42:F42">
    <cfRule type="expression" dxfId="0" priority="1" stopIfTrue="1">
      <formula>IF($D$42="",1,0)</formula>
    </cfRule>
  </conditionalFormatting>
  <dataValidations count="5">
    <dataValidation type="list" allowBlank="1" showInputMessage="1" showErrorMessage="1" sqref="Q15:Q16 N15:N16 K15:K16 H15:H16 E15:E16">
      <formula1>time</formula1>
    </dataValidation>
    <dataValidation type="list" allowBlank="1" showInputMessage="1" showErrorMessage="1" sqref="D15:D16 P15:P16 M15:M16 J15:J16 G15:G16">
      <formula1>AMPM</formula1>
    </dataValidation>
    <dataValidation type="whole" operator="greaterThanOrEqual" allowBlank="1" showInputMessage="1" showErrorMessage="1" errorTitle="Invalid Value" error="The value you entered is not vailid._x000a__x000a_Please enter a positive whole number into this cell." sqref="K19:N38">
      <formula1>0</formula1>
    </dataValidation>
    <dataValidation type="list" allowBlank="1" showInputMessage="1" showErrorMessage="1" sqref="B3">
      <formula1>FREQ</formula1>
    </dataValidation>
    <dataValidation type="list" allowBlank="1" showInputMessage="1" showErrorMessage="1" sqref="C3">
      <formula1>list</formula1>
    </dataValidation>
  </dataValidations>
  <hyperlinks>
    <hyperlink ref="B39:R39" r:id="rId1" display="Immunization Guidelines For the Use of State-Supplied Vaccine"/>
  </hyperlinks>
  <printOptions horizontalCentered="1" verticalCentered="1"/>
  <pageMargins left="0.25" right="0.25" top="0.25" bottom="0.25" header="0.24" footer="0.21"/>
  <pageSetup scale="79" orientation="portrait" blackAndWhite="1" r:id="rId2"/>
  <headerFooter alignWithMargins="0">
    <oddFooter>&amp;CDOH 348-208 11/2012 - Official Vaccine Order Form     Washington State - Department of Health, Office of Immunization and Child Profile</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locked="0" defaultSize="0" autoFill="0" autoLine="0" autoPict="0">
                <anchor moveWithCells="1">
                  <from>
                    <xdr:col>17</xdr:col>
                    <xdr:colOff>0</xdr:colOff>
                    <xdr:row>9</xdr:row>
                    <xdr:rowOff>0</xdr:rowOff>
                  </from>
                  <to>
                    <xdr:col>17</xdr:col>
                    <xdr:colOff>304800</xdr:colOff>
                    <xdr:row>10</xdr:row>
                    <xdr:rowOff>0</xdr:rowOff>
                  </to>
                </anchor>
              </controlPr>
            </control>
          </mc:Choice>
        </mc:AlternateContent>
        <mc:AlternateContent xmlns:mc="http://schemas.openxmlformats.org/markup-compatibility/2006">
          <mc:Choice Requires="x14">
            <control shapeId="1030" r:id="rId6" name="Check Box 6">
              <controlPr locked="0" defaultSize="0" autoFill="0" autoLine="0" autoPict="0">
                <anchor moveWithCells="1">
                  <from>
                    <xdr:col>2</xdr:col>
                    <xdr:colOff>1057275</xdr:colOff>
                    <xdr:row>12</xdr:row>
                    <xdr:rowOff>190500</xdr:rowOff>
                  </from>
                  <to>
                    <xdr:col>6</xdr:col>
                    <xdr:colOff>0</xdr:colOff>
                    <xdr:row>14</xdr:row>
                    <xdr:rowOff>28575</xdr:rowOff>
                  </to>
                </anchor>
              </controlPr>
            </control>
          </mc:Choice>
        </mc:AlternateContent>
        <mc:AlternateContent xmlns:mc="http://schemas.openxmlformats.org/markup-compatibility/2006">
          <mc:Choice Requires="x14">
            <control shapeId="1033" r:id="rId7" name="Check Box 9">
              <controlPr locked="0" defaultSize="0" autoFill="0" autoLine="0" autoPict="0">
                <anchor moveWithCells="1">
                  <from>
                    <xdr:col>11</xdr:col>
                    <xdr:colOff>342900</xdr:colOff>
                    <xdr:row>12</xdr:row>
                    <xdr:rowOff>190500</xdr:rowOff>
                  </from>
                  <to>
                    <xdr:col>14</xdr:col>
                    <xdr:colOff>342900</xdr:colOff>
                    <xdr:row>14</xdr:row>
                    <xdr:rowOff>28575</xdr:rowOff>
                  </to>
                </anchor>
              </controlPr>
            </control>
          </mc:Choice>
        </mc:AlternateContent>
        <mc:AlternateContent xmlns:mc="http://schemas.openxmlformats.org/markup-compatibility/2006">
          <mc:Choice Requires="x14">
            <control shapeId="1034" r:id="rId8" name="Check Box 10">
              <controlPr locked="0" defaultSize="0" autoFill="0" autoLine="0" autoPict="0">
                <anchor moveWithCells="1">
                  <from>
                    <xdr:col>8</xdr:col>
                    <xdr:colOff>342900</xdr:colOff>
                    <xdr:row>12</xdr:row>
                    <xdr:rowOff>190500</xdr:rowOff>
                  </from>
                  <to>
                    <xdr:col>12</xdr:col>
                    <xdr:colOff>0</xdr:colOff>
                    <xdr:row>14</xdr:row>
                    <xdr:rowOff>28575</xdr:rowOff>
                  </to>
                </anchor>
              </controlPr>
            </control>
          </mc:Choice>
        </mc:AlternateContent>
        <mc:AlternateContent xmlns:mc="http://schemas.openxmlformats.org/markup-compatibility/2006">
          <mc:Choice Requires="x14">
            <control shapeId="1035" r:id="rId9" name="Check Box 11">
              <controlPr locked="0" defaultSize="0" autoFill="0" autoLine="0" autoPict="0">
                <anchor moveWithCells="1">
                  <from>
                    <xdr:col>14</xdr:col>
                    <xdr:colOff>361950</xdr:colOff>
                    <xdr:row>12</xdr:row>
                    <xdr:rowOff>190500</xdr:rowOff>
                  </from>
                  <to>
                    <xdr:col>17</xdr:col>
                    <xdr:colOff>95250</xdr:colOff>
                    <xdr:row>14</xdr:row>
                    <xdr:rowOff>28575</xdr:rowOff>
                  </to>
                </anchor>
              </controlPr>
            </control>
          </mc:Choice>
        </mc:AlternateContent>
        <mc:AlternateContent xmlns:mc="http://schemas.openxmlformats.org/markup-compatibility/2006">
          <mc:Choice Requires="x14">
            <control shapeId="1072" r:id="rId10" name="Check Box 48">
              <controlPr locked="0" defaultSize="0" autoFill="0" autoLine="0" autoPict="0">
                <anchor moveWithCells="1">
                  <from>
                    <xdr:col>6</xdr:col>
                    <xdr:colOff>0</xdr:colOff>
                    <xdr:row>12</xdr:row>
                    <xdr:rowOff>190500</xdr:rowOff>
                  </from>
                  <to>
                    <xdr:col>9</xdr:col>
                    <xdr:colOff>9525</xdr:colOff>
                    <xdr:row>14</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V89"/>
  <sheetViews>
    <sheetView zoomScale="85" zoomScaleNormal="85" workbookViewId="0">
      <pane xSplit="2" ySplit="3" topLeftCell="E4" activePane="bottomRight" state="frozen"/>
      <selection pane="topRight" activeCell="D1" sqref="D1"/>
      <selection pane="bottomLeft" activeCell="A4" sqref="A4"/>
      <selection pane="bottomRight" activeCell="V4" sqref="V4"/>
    </sheetView>
  </sheetViews>
  <sheetFormatPr defaultRowHeight="15" x14ac:dyDescent="0.25"/>
  <cols>
    <col min="1" max="1" width="14.7109375" bestFit="1" customWidth="1"/>
    <col min="2" max="2" width="11.85546875" style="3" bestFit="1" customWidth="1"/>
    <col min="3" max="3" width="9.28515625" bestFit="1" customWidth="1"/>
    <col min="4" max="4" width="10.85546875" bestFit="1" customWidth="1"/>
    <col min="5" max="5" width="9.42578125" bestFit="1" customWidth="1"/>
    <col min="6" max="10" width="10.85546875" bestFit="1" customWidth="1"/>
  </cols>
  <sheetData>
    <row r="1" spans="1:22" x14ac:dyDescent="0.25">
      <c r="C1" t="s">
        <v>13</v>
      </c>
      <c r="D1" t="s">
        <v>26</v>
      </c>
      <c r="E1" t="s">
        <v>27</v>
      </c>
      <c r="F1" t="s">
        <v>28</v>
      </c>
      <c r="G1" t="s">
        <v>29</v>
      </c>
      <c r="H1" t="s">
        <v>30</v>
      </c>
      <c r="I1" t="s">
        <v>31</v>
      </c>
      <c r="J1" t="s">
        <v>32</v>
      </c>
      <c r="K1" t="s">
        <v>14</v>
      </c>
      <c r="L1" t="s">
        <v>33</v>
      </c>
      <c r="M1" t="s">
        <v>15</v>
      </c>
      <c r="N1" t="s">
        <v>34</v>
      </c>
      <c r="O1" t="s">
        <v>25</v>
      </c>
      <c r="P1" t="s">
        <v>35</v>
      </c>
      <c r="Q1" t="s">
        <v>36</v>
      </c>
      <c r="R1" t="s">
        <v>37</v>
      </c>
      <c r="S1" t="s">
        <v>38</v>
      </c>
      <c r="T1" t="s">
        <v>109</v>
      </c>
      <c r="U1" t="s">
        <v>110</v>
      </c>
      <c r="V1" t="s">
        <v>133</v>
      </c>
    </row>
    <row r="2" spans="1:22" x14ac:dyDescent="0.25">
      <c r="B2" s="3" t="s">
        <v>21</v>
      </c>
      <c r="C2" s="2">
        <f>'Provider Order Form'!$K$19</f>
        <v>0</v>
      </c>
      <c r="D2" s="2">
        <f>'Provider Order Form'!$K$20</f>
        <v>0</v>
      </c>
      <c r="E2" s="2">
        <f>'Provider Order Form'!$K$21</f>
        <v>0</v>
      </c>
      <c r="F2" s="2">
        <f>'Provider Order Form'!$K$22</f>
        <v>0</v>
      </c>
      <c r="G2" s="2">
        <f>'Provider Order Form'!$K$29</f>
        <v>0</v>
      </c>
      <c r="H2" s="2">
        <f>'Provider Order Form'!$K$24</f>
        <v>0</v>
      </c>
      <c r="I2" s="2">
        <f>'Provider Order Form'!$K$25</f>
        <v>0</v>
      </c>
      <c r="J2" s="2">
        <f>'Provider Order Form'!$K$27</f>
        <v>0</v>
      </c>
      <c r="K2" s="2">
        <f>'Provider Order Form'!$K$28</f>
        <v>0</v>
      </c>
      <c r="L2" s="2">
        <f>'Provider Order Form'!$K$30</f>
        <v>0</v>
      </c>
      <c r="M2" s="2">
        <f>'Provider Order Form'!$K$31</f>
        <v>0</v>
      </c>
      <c r="N2" s="2">
        <f>'Provider Order Form'!$K$33</f>
        <v>0</v>
      </c>
      <c r="O2" s="2">
        <f>'Provider Order Form'!$K$32</f>
        <v>0</v>
      </c>
      <c r="P2" s="2">
        <f>'Provider Order Form'!$K$34</f>
        <v>0</v>
      </c>
      <c r="Q2" s="2">
        <f>'Provider Order Form'!$K$35</f>
        <v>0</v>
      </c>
      <c r="R2" s="2">
        <f>'Provider Order Form'!$K$36</f>
        <v>0</v>
      </c>
      <c r="S2" s="2">
        <f>'Provider Order Form'!$K$37</f>
        <v>0</v>
      </c>
      <c r="T2">
        <f>'Provider Order Form'!$K$23</f>
        <v>0</v>
      </c>
      <c r="U2">
        <f>'Provider Order Form'!$K$26</f>
        <v>0</v>
      </c>
      <c r="V2" s="2">
        <f>'Provider Order Form'!$K$38</f>
        <v>0</v>
      </c>
    </row>
    <row r="3" spans="1:22" x14ac:dyDescent="0.25">
      <c r="B3" s="3" t="s">
        <v>22</v>
      </c>
      <c r="C3" s="2">
        <f>'Provider Order Form'!$M$19</f>
        <v>0</v>
      </c>
      <c r="D3" s="2">
        <f>'Provider Order Form'!$M$20</f>
        <v>0</v>
      </c>
      <c r="E3" s="2">
        <f>'Provider Order Form'!$M$21</f>
        <v>0</v>
      </c>
      <c r="F3" s="2">
        <f>'Provider Order Form'!$M$22</f>
        <v>0</v>
      </c>
      <c r="G3" s="2">
        <f>'Provider Order Form'!$M$29</f>
        <v>0</v>
      </c>
      <c r="H3" s="2">
        <f>'Provider Order Form'!$M$24</f>
        <v>0</v>
      </c>
      <c r="I3" s="2">
        <f>'Provider Order Form'!$M$25</f>
        <v>0</v>
      </c>
      <c r="J3" s="2">
        <f>'Provider Order Form'!$M$27</f>
        <v>0</v>
      </c>
      <c r="K3" s="2">
        <f>'Provider Order Form'!$M$28</f>
        <v>0</v>
      </c>
      <c r="L3" s="2">
        <f>'Provider Order Form'!$M$30</f>
        <v>0</v>
      </c>
      <c r="M3" s="2">
        <f>'Provider Order Form'!$M$31</f>
        <v>0</v>
      </c>
      <c r="N3" s="2">
        <f>'Provider Order Form'!$M$33</f>
        <v>0</v>
      </c>
      <c r="O3" s="2">
        <f>'Provider Order Form'!$M$32</f>
        <v>0</v>
      </c>
      <c r="P3" s="2">
        <f>'Provider Order Form'!$M$34</f>
        <v>0</v>
      </c>
      <c r="Q3" s="2">
        <f>'Provider Order Form'!$M$35</f>
        <v>0</v>
      </c>
      <c r="R3" s="2">
        <f>'Provider Order Form'!$M$36</f>
        <v>0</v>
      </c>
      <c r="S3" s="2">
        <f>'Provider Order Form'!$M$37</f>
        <v>0</v>
      </c>
      <c r="T3">
        <f>'Provider Order Form'!$M$23</f>
        <v>0</v>
      </c>
      <c r="U3">
        <f>'Provider Order Form'!$M$26</f>
        <v>0</v>
      </c>
      <c r="V3" s="2">
        <f>'Provider Order Form'!$M$38</f>
        <v>0</v>
      </c>
    </row>
    <row r="4" spans="1:22" x14ac:dyDescent="0.25">
      <c r="A4" t="s">
        <v>12</v>
      </c>
      <c r="B4" s="4" t="str">
        <f>List!F2</f>
        <v>January</v>
      </c>
      <c r="C4" s="2">
        <f>IF(AND(C2&lt;5,C3&lt;5,(C2*2)&gt;C3,(ROUND((IF((((C$2/C18)*C7)+((C2/C18)*C8)-C3)&gt;0,(((C$2/C18)*C7)+((C2/C18)*C8)-C3),0)),-1))=0),10,(ROUNDUP((IF((((C$2/C18)*C7)+((C2/C18)*C8)-C3)&gt;0,(((C$2/C18)*C7)+((C2/C18)*C8)-C3),0)),-1)))</f>
        <v>0</v>
      </c>
      <c r="D4" s="2">
        <f>IF(AND(D2&lt;5,D3&lt;5,(D2*2)&gt;D3,(ROUND((IF((((D$2/D18)*D7)+((D2/D18)*D8)-D3)&gt;0,(((D$2/D18)*D7)+((D2/D18)*D8)-D3),0)),-1))=0),10,(ROUNDUP((IF((((D$2/D18)*D7)+((D2/D18)*D8)-D3)&gt;0,(((D$2/D18)*D7)+((D2/D18)*D8)-D3),0)),-1)))</f>
        <v>0</v>
      </c>
      <c r="E4" s="2">
        <f>IF(AND(E2&lt;5,E3&lt;5,(E2*2)&gt;E3,(ROUND((IF((((E$2/E18)*E7)+((E2/E18)*E8)-E3)&gt;0,(((E$2/E18)*E7)+((E2/E18)*E8)-E3),0)),-1))=0),10,(ROUNDUP((IF((((E$2/E18)*E7)+((E2/E18)*E8)-E3)&gt;0,(((E$2/E18)*E7)+((E2/E18)*E8)-E3),0)),-1)))</f>
        <v>0</v>
      </c>
      <c r="F4" s="2">
        <f>IF(AND(F2&lt;5,F3&lt;5,(F2*2)&gt;F3,(MROUND((IF((((F$2/F18)*F7)+((F2/F18)*F8)-F3)&gt;0,(((F$2/F18)*F7)+((F2/F18)*F8)-F3),0)),5))=0),5,(MROUND((IF((((F$2/F18)*F7)+((F2/F18)*F8)-F3)&gt;0,((((F$2/F18)*F7)+((F2/F18)*F8)-F3)+2.25),0)),5)))</f>
        <v>0</v>
      </c>
      <c r="G4" s="2">
        <f>IF(AND(G2&lt;5,G3&lt;5,(G2*2)&gt;G3,(ROUND((IF((((G$2/G18)*G7)+((G2/G18)*G8)-G3)&gt;0,(((G$2/G18)*G7)+((G2/G18)*G8)-G3),0)),-1))=0),10,(ROUNDUP((IF((((G$2/G18)*G7)+((G2/G18)*G8)-G3)&gt;0,(((G$2/G18)*G7)+((G2/G18)*G8)-G3),0)),-1)))</f>
        <v>0</v>
      </c>
      <c r="H4" s="2">
        <f>IF(AND(H2&lt;5,H3&lt;5,(H2*2)&gt;H3,(ROUND((IF((((H$2/H18)*H7)+((H2/H18)*H8)-H3)&gt;0,(((H$2/H18)*H7)+((H2/H18)*H8)-H3),0)),-1))=0),10,(ROUNDUP((IF((((H$2/H18)*H7)+((H2/H18)*H8)-H3)&gt;0,(((H$2/H18)*H7)+((H2/H18)*H8)-H3),0)),-1)))</f>
        <v>0</v>
      </c>
      <c r="I4" s="2">
        <f>IF(AND(I2&lt;5,I3&lt;5,(I2*2)&gt;I3,(ROUND((IF((((I$2/I18)*I7)+((I2/I18)*I8)-I3)&gt;0,(((I$2/I18)*I7)+((I2/I18)*I8)-I3),0)),-1))=0),10,(ROUNDUP((IF((((I$2/I18)*I7)+((I2/I18)*I8)-I3)&gt;0,(((I$2/I18)*I7)+((I2/I18)*I8)-I3),0)),-1)))</f>
        <v>0</v>
      </c>
      <c r="J4" s="2">
        <f>IF(AND(J2&lt;5,J3&lt;5,(J2*2)&gt;J3,(MROUND((IF((((J$2/J18)*J7)+((J2/J18)*J8)-J3)&gt;0,(((J$2/J18)*J7)+((J2/J18)*J8)-J3),0)),5))=0),5,(MROUND((IF((((J$2/J18)*J7)+((J2/J18)*J8)-J3)&gt;0,((((J$2/J18)*J7)+((J2/J18)*J8)-J3)+2.25),0)),5)))</f>
        <v>0</v>
      </c>
      <c r="K4" s="2">
        <f>IF(AND(K2&lt;5,K3&lt;5,(K2*2)&gt;K3,(ROUND((IF((((K$2/K18)*K7)+((K2/K18)*K8)-K3)&gt;0,(((K$2/K18)*K7)+((K2/K18)*K8)-K3),0)),-1))=0),10,(ROUNDUP((IF((((K$2/K18)*K7)+((K2/K18)*K8)-K3)&gt;0,(((K$2/K18)*K7)+((K2/K18)*K8)-K3),0)),-1)))</f>
        <v>0</v>
      </c>
      <c r="L4" s="2">
        <f>IF(AND(L2&lt;5,L3&lt;5,(L2*2)&gt;L3,(MROUND((IF((((L$2/L18)*L7)+((L2/L18)*L8)-L3)&gt;0,(((L$2/L18)*L7)+((L2/L18)*L8)-L3),0)),5))=0),5,(MROUND((IF((((L$2/L18)*L7)+((L2/L18)*L8)-L3)&gt;0,((((L$2/L18)*L7)+((L2/L18)*L8)-L3)+2.25),0)),5)))</f>
        <v>0</v>
      </c>
      <c r="M4" s="2">
        <f t="shared" ref="M4:U4" si="0">IF(AND(M2&lt;5,M3&lt;5,(M2*2)&gt;M3,(ROUND((IF((((M$2/M18)*M7)+((M2/M18)*M8)-M3)&gt;0,(((M$2/M18)*M7)+((M2/M18)*M8)-M3),0)),-1))=0),10,(ROUNDUP((IF((((M$2/M18)*M7)+((M2/M18)*M8)-M3)&gt;0,(((M$2/M18)*M7)+((M2/M18)*M8)-M3),0)),-1)))</f>
        <v>0</v>
      </c>
      <c r="N4" s="2">
        <f t="shared" si="0"/>
        <v>0</v>
      </c>
      <c r="O4" s="2">
        <f t="shared" si="0"/>
        <v>0</v>
      </c>
      <c r="P4" s="2">
        <f t="shared" si="0"/>
        <v>0</v>
      </c>
      <c r="Q4" s="2">
        <f t="shared" si="0"/>
        <v>0</v>
      </c>
      <c r="R4" s="2">
        <f t="shared" si="0"/>
        <v>0</v>
      </c>
      <c r="S4" s="2">
        <f t="shared" si="0"/>
        <v>0</v>
      </c>
      <c r="T4" s="2">
        <f t="shared" si="0"/>
        <v>0</v>
      </c>
      <c r="U4" s="2">
        <f t="shared" si="0"/>
        <v>0</v>
      </c>
      <c r="V4" s="2">
        <f>IF(AND(V2&lt;5,V3&lt;5,(V2*2)&gt;V3,(ROUND((IF((((V$2/V18)*V7)+((V2/V18)*V8)-V3)&gt;0,(((V$2/V18)*V7)+((V2/V18)*V8)-V3),0)),-1))=0),10,(ROUNDUP((IF((((V$2/V18)*V7)+((V2/V18)*V8)-V3)&gt;0,(((V$2/V18)*V7)+((V2/V18)*V8)-V3),0)),-1)))</f>
        <v>0</v>
      </c>
    </row>
    <row r="5" spans="1:22" x14ac:dyDescent="0.25">
      <c r="C5" s="2"/>
    </row>
    <row r="6" spans="1:22" x14ac:dyDescent="0.25">
      <c r="C6" t="s">
        <v>13</v>
      </c>
      <c r="D6" t="s">
        <v>26</v>
      </c>
      <c r="E6" t="s">
        <v>27</v>
      </c>
      <c r="F6" t="s">
        <v>28</v>
      </c>
      <c r="G6" t="s">
        <v>29</v>
      </c>
      <c r="H6" t="s">
        <v>30</v>
      </c>
      <c r="I6" t="s">
        <v>31</v>
      </c>
      <c r="J6" t="s">
        <v>32</v>
      </c>
      <c r="K6" t="s">
        <v>14</v>
      </c>
      <c r="L6" t="s">
        <v>33</v>
      </c>
      <c r="M6" t="s">
        <v>15</v>
      </c>
      <c r="N6" t="s">
        <v>34</v>
      </c>
      <c r="O6" t="s">
        <v>25</v>
      </c>
      <c r="P6" t="s">
        <v>35</v>
      </c>
      <c r="Q6" t="s">
        <v>36</v>
      </c>
      <c r="R6" t="s">
        <v>37</v>
      </c>
      <c r="S6" t="s">
        <v>38</v>
      </c>
      <c r="T6" t="s">
        <v>109</v>
      </c>
      <c r="U6" t="s">
        <v>110</v>
      </c>
      <c r="V6" t="s">
        <v>38</v>
      </c>
    </row>
    <row r="7" spans="1:22" x14ac:dyDescent="0.25">
      <c r="A7" t="s">
        <v>23</v>
      </c>
      <c r="B7" s="5" t="str">
        <f>List!F2</f>
        <v>January</v>
      </c>
      <c r="C7" s="1">
        <f>SUMIF(Seasonality!$A$17:$A$28,Table!$B7,Seasonality!B$17:B$28)</f>
        <v>8.3333333333333329E-2</v>
      </c>
      <c r="D7" s="1">
        <f>SUMIF(Seasonality!$A$17:$A$28,Table!$B7,Seasonality!C$17:C$28)</f>
        <v>6.9969600576648847E-2</v>
      </c>
      <c r="E7" s="1">
        <f>SUMIF(Seasonality!$A$17:$A$28,Table!$B7,Seasonality!D$17:D$28)</f>
        <v>7.3262757951457202E-2</v>
      </c>
      <c r="F7" s="1">
        <f>SUMIF(Seasonality!$A$17:$A$28,Table!$B7,Seasonality!E$17:E$28)</f>
        <v>6.9075372386898801E-2</v>
      </c>
      <c r="G7" s="1">
        <f>SUMIF(Seasonality!$A$17:$A$28,Table!$B7,Seasonality!F$17:F$28)</f>
        <v>7.1272423326689385E-2</v>
      </c>
      <c r="H7" s="1">
        <f>SUMIF(Seasonality!$A$17:$A$28,Table!$B7,Seasonality!G$17:G$28)</f>
        <v>5.792222741043989E-2</v>
      </c>
      <c r="I7" s="1">
        <f>SUMIF(Seasonality!$A$17:$A$28,Table!$B7,Seasonality!H$17:H$28)</f>
        <v>8.3741525184548693E-2</v>
      </c>
      <c r="J7" s="1">
        <f>SUMIF(Seasonality!$A$17:$A$28,Table!$B7,Seasonality!I$17:I$28)</f>
        <v>7.3772437783214129E-2</v>
      </c>
      <c r="K7" s="1">
        <f>SUMIF(Seasonality!$A$17:$A$28,Table!$B7,Seasonality!J$17:J$28)</f>
        <v>6.389724412649378E-2</v>
      </c>
      <c r="L7" s="1">
        <f>SUMIF(Seasonality!$A$17:$A$28,Table!$B7,Seasonality!K$17:K$28)</f>
        <v>3.2085245804861495E-2</v>
      </c>
      <c r="M7" s="1">
        <f>SUMIF(Seasonality!$A$17:$A$28,Table!$B7,Seasonality!L$17:L$28)</f>
        <v>4.993966898986079E-2</v>
      </c>
      <c r="N7" s="1">
        <f>SUMIF(Seasonality!$A$17:$A$28,Table!$B7,Seasonality!M$17:M$28)</f>
        <v>8.7685364281108957E-2</v>
      </c>
      <c r="O7" s="1">
        <f>SUMIF(Seasonality!$A$17:$A$28,Table!$B7,Seasonality!N$17:N$28)</f>
        <v>7.2492505028272175E-2</v>
      </c>
      <c r="P7" s="1">
        <f>SUMIF(Seasonality!$A$17:$A$28,Table!$B7,Seasonality!O$17:O$28)</f>
        <v>8.2094563935021306E-2</v>
      </c>
      <c r="Q7" s="1">
        <f>SUMIF(Seasonality!$A$17:$A$28,Table!$B7,Seasonality!P$17:P$28)</f>
        <v>6.0443250503693743E-2</v>
      </c>
      <c r="R7" s="1">
        <f>SUMIF(Seasonality!$A$17:$A$28,Table!$B7,Seasonality!Q$17:Q$28)</f>
        <v>2.8337859709763259E-2</v>
      </c>
      <c r="S7" s="1">
        <f>SUMIF(Seasonality!$A$17:$A$28,Table!$B7,Seasonality!R$17:R$28)</f>
        <v>4.0326642204475141E-2</v>
      </c>
      <c r="T7" s="1">
        <f>SUMIF(Seasonality!$A$17:$A$28,Table!$B7,Seasonality!S$17:S$28)</f>
        <v>7.0569332572250065E-2</v>
      </c>
      <c r="U7" s="1">
        <f>SUMIF(Seasonality!$A$17:$A$28,Table!$B7,Seasonality!T$17:T$28)</f>
        <v>7.8272711572164297E-2</v>
      </c>
      <c r="V7" s="1">
        <f>SUMIF(Seasonality!$A$17:$A$28,Table!$B7,Seasonality!U$17:U$28)</f>
        <v>4.0326642204475141E-2</v>
      </c>
    </row>
    <row r="8" spans="1:22" x14ac:dyDescent="0.25">
      <c r="A8" t="s">
        <v>23</v>
      </c>
      <c r="B8" s="5" t="str">
        <f>List!F3</f>
        <v>February</v>
      </c>
      <c r="C8" s="1">
        <f>SUMIF(Seasonality!$A$17:$A$28,Table!$B8,Seasonality!B$17:B$28)</f>
        <v>8.3333333333333329E-2</v>
      </c>
      <c r="D8" s="1">
        <f>SUMIF(Seasonality!$A$17:$A$28,Table!$B8,Seasonality!C$17:C$28)</f>
        <v>7.6738956704326414E-2</v>
      </c>
      <c r="E8" s="1">
        <f>SUMIF(Seasonality!$A$17:$A$28,Table!$B8,Seasonality!D$17:D$28)</f>
        <v>7.7847910149779681E-2</v>
      </c>
      <c r="F8" s="1">
        <f>SUMIF(Seasonality!$A$17:$A$28,Table!$B8,Seasonality!E$17:E$28)</f>
        <v>7.5670722611716063E-2</v>
      </c>
      <c r="G8" s="1">
        <f>SUMIF(Seasonality!$A$17:$A$28,Table!$B8,Seasonality!F$17:F$28)</f>
        <v>7.4285163174766466E-2</v>
      </c>
      <c r="H8" s="1">
        <f>SUMIF(Seasonality!$A$17:$A$28,Table!$B8,Seasonality!G$17:G$28)</f>
        <v>7.1300589646971946E-2</v>
      </c>
      <c r="I8" s="1">
        <f>SUMIF(Seasonality!$A$17:$A$28,Table!$B8,Seasonality!H$17:H$28)</f>
        <v>8.2085761055675055E-2</v>
      </c>
      <c r="J8" s="1">
        <f>SUMIF(Seasonality!$A$17:$A$28,Table!$B8,Seasonality!I$17:I$28)</f>
        <v>7.7116815821798329E-2</v>
      </c>
      <c r="K8" s="1">
        <f>SUMIF(Seasonality!$A$17:$A$28,Table!$B8,Seasonality!J$17:J$28)</f>
        <v>7.7121101265479761E-2</v>
      </c>
      <c r="L8" s="1">
        <f>SUMIF(Seasonality!$A$17:$A$28,Table!$B8,Seasonality!K$17:K$28)</f>
        <v>3.5922487713446583E-2</v>
      </c>
      <c r="M8" s="1">
        <f>SUMIF(Seasonality!$A$17:$A$28,Table!$B8,Seasonality!L$17:L$28)</f>
        <v>6.7120499936967601E-2</v>
      </c>
      <c r="N8" s="1">
        <f>SUMIF(Seasonality!$A$17:$A$28,Table!$B8,Seasonality!M$17:M$28)</f>
        <v>8.7685364281108957E-2</v>
      </c>
      <c r="O8" s="1">
        <f>SUMIF(Seasonality!$A$17:$A$28,Table!$B8,Seasonality!N$17:N$28)</f>
        <v>7.7131797654737974E-2</v>
      </c>
      <c r="P8" s="1">
        <f>SUMIF(Seasonality!$A$17:$A$28,Table!$B8,Seasonality!O$17:O$28)</f>
        <v>8.1586350848534342E-2</v>
      </c>
      <c r="Q8" s="1">
        <f>SUMIF(Seasonality!$A$17:$A$28,Table!$B8,Seasonality!P$17:P$28)</f>
        <v>8.5963734049697774E-2</v>
      </c>
      <c r="R8" s="1">
        <f>SUMIF(Seasonality!$A$17:$A$28,Table!$B8,Seasonality!Q$17:Q$28)</f>
        <v>3.1821797931583136E-2</v>
      </c>
      <c r="S8" s="1">
        <f>SUMIF(Seasonality!$A$17:$A$28,Table!$B8,Seasonality!R$17:R$28)</f>
        <v>5.4908026956375762E-2</v>
      </c>
      <c r="T8" s="1">
        <f>SUMIF(Seasonality!$A$17:$A$28,Table!$B8,Seasonality!S$17:S$28)</f>
        <v>7.5609395150208245E-2</v>
      </c>
      <c r="U8" s="1">
        <f>SUMIF(Seasonality!$A$17:$A$28,Table!$B8,Seasonality!T$17:T$28)</f>
        <v>7.9359911212029413E-2</v>
      </c>
      <c r="V8" s="1">
        <f>SUMIF(Seasonality!$A$17:$A$28,Table!$B8,Seasonality!U$17:U$28)</f>
        <v>5.4908026956375762E-2</v>
      </c>
    </row>
    <row r="9" spans="1:22" x14ac:dyDescent="0.25">
      <c r="A9" t="s">
        <v>23</v>
      </c>
      <c r="B9" s="5" t="str">
        <f>List!F4</f>
        <v>March</v>
      </c>
      <c r="C9" s="1">
        <f>SUMIF(Seasonality!$A$17:$A$28,Table!$B9,Seasonality!B$17:B$28)</f>
        <v>8.3333333333333329E-2</v>
      </c>
      <c r="D9" s="1">
        <f>SUMIF(Seasonality!$A$17:$A$28,Table!$B9,Seasonality!C$17:C$28)</f>
        <v>7.108999169500288E-2</v>
      </c>
      <c r="E9" s="1">
        <f>SUMIF(Seasonality!$A$17:$A$28,Table!$B9,Seasonality!D$17:D$28)</f>
        <v>7.5959906303411609E-2</v>
      </c>
      <c r="F9" s="1">
        <f>SUMIF(Seasonality!$A$17:$A$28,Table!$B9,Seasonality!E$17:E$28)</f>
        <v>7.4735759797131707E-2</v>
      </c>
      <c r="G9" s="1">
        <f>SUMIF(Seasonality!$A$17:$A$28,Table!$B9,Seasonality!F$17:F$28)</f>
        <v>6.949049792874136E-2</v>
      </c>
      <c r="H9" s="1">
        <f>SUMIF(Seasonality!$A$17:$A$28,Table!$B9,Seasonality!G$17:G$28)</f>
        <v>7.5807099653595972E-2</v>
      </c>
      <c r="I9" s="1">
        <f>SUMIF(Seasonality!$A$17:$A$28,Table!$B9,Seasonality!H$17:H$28)</f>
        <v>7.5450160872537517E-2</v>
      </c>
      <c r="J9" s="1">
        <f>SUMIF(Seasonality!$A$17:$A$28,Table!$B9,Seasonality!I$17:I$28)</f>
        <v>7.316859174846975E-2</v>
      </c>
      <c r="K9" s="1">
        <f>SUMIF(Seasonality!$A$17:$A$28,Table!$B9,Seasonality!J$17:J$28)</f>
        <v>8.2622009050754674E-2</v>
      </c>
      <c r="L9" s="1">
        <f>SUMIF(Seasonality!$A$17:$A$28,Table!$B9,Seasonality!K$17:K$28)</f>
        <v>5.9742904792124803E-2</v>
      </c>
      <c r="M9" s="1">
        <f>SUMIF(Seasonality!$A$17:$A$28,Table!$B9,Seasonality!L$17:L$28)</f>
        <v>6.9821888450663644E-2</v>
      </c>
      <c r="N9" s="1">
        <f>SUMIF(Seasonality!$A$17:$A$28,Table!$B9,Seasonality!M$17:M$28)</f>
        <v>5.6092843326885883E-2</v>
      </c>
      <c r="O9" s="1">
        <f>SUMIF(Seasonality!$A$17:$A$28,Table!$B9,Seasonality!N$17:N$28)</f>
        <v>6.3811620052369941E-2</v>
      </c>
      <c r="P9" s="1">
        <f>SUMIF(Seasonality!$A$17:$A$28,Table!$B9,Seasonality!O$17:O$28)</f>
        <v>7.2329612487521552E-2</v>
      </c>
      <c r="Q9" s="1">
        <f>SUMIF(Seasonality!$A$17:$A$28,Table!$B9,Seasonality!P$17:P$28)</f>
        <v>9.133646742780388E-2</v>
      </c>
      <c r="R9" s="1">
        <f>SUMIF(Seasonality!$A$17:$A$28,Table!$B9,Seasonality!Q$17:Q$28)</f>
        <v>4.2246180012618983E-2</v>
      </c>
      <c r="S9" s="1">
        <f>SUMIF(Seasonality!$A$17:$A$28,Table!$B9,Seasonality!R$17:R$28)</f>
        <v>6.115547881142528E-2</v>
      </c>
      <c r="T9" s="1">
        <f>SUMIF(Seasonality!$A$17:$A$28,Table!$B9,Seasonality!S$17:S$28)</f>
        <v>7.0353692310944807E-2</v>
      </c>
      <c r="U9" s="1">
        <f>SUMIF(Seasonality!$A$17:$A$28,Table!$B9,Seasonality!T$17:T$28)</f>
        <v>7.4198544171732245E-2</v>
      </c>
      <c r="V9" s="1">
        <f>SUMIF(Seasonality!$A$17:$A$28,Table!$B9,Seasonality!U$17:U$28)</f>
        <v>6.115547881142528E-2</v>
      </c>
    </row>
    <row r="10" spans="1:22" x14ac:dyDescent="0.25">
      <c r="A10" t="s">
        <v>23</v>
      </c>
      <c r="B10" s="5" t="str">
        <f>List!F5</f>
        <v>April</v>
      </c>
      <c r="C10" s="1">
        <f>SUMIF(Seasonality!$A$17:$A$28,Table!$B10,Seasonality!B$17:B$28)</f>
        <v>8.3333333333333329E-2</v>
      </c>
      <c r="D10" s="1">
        <f>SUMIF(Seasonality!$A$17:$A$28,Table!$B10,Seasonality!C$17:C$28)</f>
        <v>8.5482708369243293E-2</v>
      </c>
      <c r="E10" s="1">
        <f>SUMIF(Seasonality!$A$17:$A$28,Table!$B10,Seasonality!D$17:D$28)</f>
        <v>8.9196455008926992E-2</v>
      </c>
      <c r="F10" s="1">
        <f>SUMIF(Seasonality!$A$17:$A$28,Table!$B10,Seasonality!E$17:E$28)</f>
        <v>8.5856756238412851E-2</v>
      </c>
      <c r="G10" s="1">
        <f>SUMIF(Seasonality!$A$17:$A$28,Table!$B10,Seasonality!F$17:F$28)</f>
        <v>8.3314197536534074E-2</v>
      </c>
      <c r="H10" s="1">
        <f>SUMIF(Seasonality!$A$17:$A$28,Table!$B10,Seasonality!G$17:G$28)</f>
        <v>8.5873448511765788E-2</v>
      </c>
      <c r="I10" s="1">
        <f>SUMIF(Seasonality!$A$17:$A$28,Table!$B10,Seasonality!H$17:H$28)</f>
        <v>8.5930395188249076E-2</v>
      </c>
      <c r="J10" s="1">
        <f>SUMIF(Seasonality!$A$17:$A$28,Table!$B10,Seasonality!I$17:I$28)</f>
        <v>8.0037985528339489E-2</v>
      </c>
      <c r="K10" s="1">
        <f>SUMIF(Seasonality!$A$17:$A$28,Table!$B10,Seasonality!J$17:J$28)</f>
        <v>9.031786033655799E-2</v>
      </c>
      <c r="L10" s="1">
        <f>SUMIF(Seasonality!$A$17:$A$28,Table!$B10,Seasonality!K$17:K$28)</f>
        <v>6.3772008796139146E-2</v>
      </c>
      <c r="M10" s="1">
        <f>SUMIF(Seasonality!$A$17:$A$28,Table!$B10,Seasonality!L$17:L$28)</f>
        <v>8.1491886829830537E-2</v>
      </c>
      <c r="N10" s="1">
        <f>SUMIF(Seasonality!$A$17:$A$28,Table!$B10,Seasonality!M$17:M$28)</f>
        <v>6.2540296582849778E-2</v>
      </c>
      <c r="O10" s="1">
        <f>SUMIF(Seasonality!$A$17:$A$28,Table!$B10,Seasonality!N$17:N$28)</f>
        <v>9.3079959014838148E-2</v>
      </c>
      <c r="P10" s="1">
        <f>SUMIF(Seasonality!$A$17:$A$28,Table!$B10,Seasonality!O$17:O$28)</f>
        <v>8.0315818132316891E-2</v>
      </c>
      <c r="Q10" s="1">
        <f>SUMIF(Seasonality!$A$17:$A$28,Table!$B10,Seasonality!P$17:P$28)</f>
        <v>0.13767629281396909</v>
      </c>
      <c r="R10" s="1">
        <f>SUMIF(Seasonality!$A$17:$A$28,Table!$B10,Seasonality!Q$17:Q$28)</f>
        <v>5.8842893589005019E-2</v>
      </c>
      <c r="S10" s="1">
        <f>SUMIF(Seasonality!$A$17:$A$28,Table!$B10,Seasonality!R$17:R$28)</f>
        <v>8.0737223301436553E-2</v>
      </c>
      <c r="T10" s="1">
        <f>SUMIF(Seasonality!$A$17:$A$28,Table!$B10,Seasonality!S$17:S$28)</f>
        <v>8.4484471787065835E-2</v>
      </c>
      <c r="U10" s="1">
        <f>SUMIF(Seasonality!$A$17:$A$28,Table!$B10,Seasonality!T$17:T$28)</f>
        <v>8.2697953856302811E-2</v>
      </c>
      <c r="V10" s="1">
        <f>SUMIF(Seasonality!$A$17:$A$28,Table!$B10,Seasonality!U$17:U$28)</f>
        <v>8.0737223301436553E-2</v>
      </c>
    </row>
    <row r="11" spans="1:22" x14ac:dyDescent="0.25">
      <c r="A11" t="s">
        <v>23</v>
      </c>
      <c r="B11" s="5" t="str">
        <f>List!F6</f>
        <v>May</v>
      </c>
      <c r="C11" s="1">
        <f>SUMIF(Seasonality!$A$17:$A$28,Table!$B11,Seasonality!B$17:B$28)</f>
        <v>8.3333333333333329E-2</v>
      </c>
      <c r="D11" s="1">
        <f>SUMIF(Seasonality!$A$17:$A$28,Table!$B11,Seasonality!C$17:C$28)</f>
        <v>8.417819703213876E-2</v>
      </c>
      <c r="E11" s="1">
        <f>SUMIF(Seasonality!$A$17:$A$28,Table!$B11,Seasonality!D$17:D$28)</f>
        <v>8.8302291696594273E-2</v>
      </c>
      <c r="F11" s="1">
        <f>SUMIF(Seasonality!$A$17:$A$28,Table!$B11,Seasonality!E$17:E$28)</f>
        <v>8.4277175186992556E-2</v>
      </c>
      <c r="G11" s="1">
        <f>SUMIF(Seasonality!$A$17:$A$28,Table!$B11,Seasonality!F$17:F$28)</f>
        <v>8.1527679547354209E-2</v>
      </c>
      <c r="H11" s="1">
        <f>SUMIF(Seasonality!$A$17:$A$28,Table!$B11,Seasonality!G$17:G$28)</f>
        <v>8.6090629716904288E-2</v>
      </c>
      <c r="I11" s="1">
        <f>SUMIF(Seasonality!$A$17:$A$28,Table!$B11,Seasonality!H$17:H$28)</f>
        <v>8.3490651831689064E-2</v>
      </c>
      <c r="J11" s="1">
        <f>SUMIF(Seasonality!$A$17:$A$28,Table!$B11,Seasonality!I$17:I$28)</f>
        <v>7.6543936250374187E-2</v>
      </c>
      <c r="K11" s="1">
        <f>SUMIF(Seasonality!$A$17:$A$28,Table!$B11,Seasonality!J$17:J$28)</f>
        <v>9.375931496084329E-2</v>
      </c>
      <c r="L11" s="1">
        <f>SUMIF(Seasonality!$A$17:$A$28,Table!$B11,Seasonality!K$17:K$28)</f>
        <v>7.2095872013223733E-2</v>
      </c>
      <c r="M11" s="1">
        <f>SUMIF(Seasonality!$A$17:$A$28,Table!$B11,Seasonality!L$17:L$28)</f>
        <v>0.10609253156122248</v>
      </c>
      <c r="N11" s="1">
        <f>SUMIF(Seasonality!$A$17:$A$28,Table!$B11,Seasonality!M$17:M$28)</f>
        <v>4.0618955512572531E-2</v>
      </c>
      <c r="O11" s="1">
        <f>SUMIF(Seasonality!$A$17:$A$28,Table!$B11,Seasonality!N$17:N$28)</f>
        <v>8.6552692497438438E-2</v>
      </c>
      <c r="P11" s="1">
        <f>SUMIF(Seasonality!$A$17:$A$28,Table!$B11,Seasonality!O$17:O$28)</f>
        <v>7.733914148289317E-2</v>
      </c>
      <c r="Q11" s="1">
        <f>SUMIF(Seasonality!$A$17:$A$28,Table!$B11,Seasonality!P$17:P$28)</f>
        <v>8.2269979852249819E-2</v>
      </c>
      <c r="R11" s="1">
        <f>SUMIF(Seasonality!$A$17:$A$28,Table!$B11,Seasonality!Q$17:Q$28)</f>
        <v>6.4192247551641837E-2</v>
      </c>
      <c r="S11" s="1">
        <f>SUMIF(Seasonality!$A$17:$A$28,Table!$B11,Seasonality!R$17:R$28)</f>
        <v>9.3208144470825233E-2</v>
      </c>
      <c r="T11" s="1">
        <f>SUMIF(Seasonality!$A$17:$A$28,Table!$B11,Seasonality!S$17:S$28)</f>
        <v>8.2958076996258026E-2</v>
      </c>
      <c r="U11" s="1">
        <f>SUMIF(Seasonality!$A$17:$A$28,Table!$B11,Seasonality!T$17:T$28)</f>
        <v>7.967984235605223E-2</v>
      </c>
      <c r="V11" s="1">
        <f>SUMIF(Seasonality!$A$17:$A$28,Table!$B11,Seasonality!U$17:U$28)</f>
        <v>9.3208144470825233E-2</v>
      </c>
    </row>
    <row r="12" spans="1:22" x14ac:dyDescent="0.25">
      <c r="A12" t="s">
        <v>23</v>
      </c>
      <c r="B12" s="5" t="str">
        <f>List!F7</f>
        <v>June</v>
      </c>
      <c r="C12" s="1">
        <f>SUMIF(Seasonality!$A$17:$A$28,Table!$B12,Seasonality!B$17:B$28)</f>
        <v>8.3333333333333329E-2</v>
      </c>
      <c r="D12" s="1">
        <f>SUMIF(Seasonality!$A$17:$A$28,Table!$B12,Seasonality!C$17:C$28)</f>
        <v>8.1964836955670098E-2</v>
      </c>
      <c r="E12" s="1">
        <f>SUMIF(Seasonality!$A$17:$A$28,Table!$B12,Seasonality!D$17:D$28)</f>
        <v>8.9161274813031932E-2</v>
      </c>
      <c r="F12" s="1">
        <f>SUMIF(Seasonality!$A$17:$A$28,Table!$B12,Seasonality!E$17:E$28)</f>
        <v>8.4817908666652453E-2</v>
      </c>
      <c r="G12" s="1">
        <f>SUMIF(Seasonality!$A$17:$A$28,Table!$B12,Seasonality!F$17:F$28)</f>
        <v>8.1302642576994794E-2</v>
      </c>
      <c r="H12" s="1">
        <f>SUMIF(Seasonality!$A$17:$A$28,Table!$B12,Seasonality!G$17:G$28)</f>
        <v>8.2431126410320438E-2</v>
      </c>
      <c r="I12" s="1">
        <f>SUMIF(Seasonality!$A$17:$A$28,Table!$B12,Seasonality!H$17:H$28)</f>
        <v>8.53533864766719E-2</v>
      </c>
      <c r="J12" s="1">
        <f>SUMIF(Seasonality!$A$17:$A$28,Table!$B12,Seasonality!I$17:I$28)</f>
        <v>7.7612279234921921E-2</v>
      </c>
      <c r="K12" s="1">
        <f>SUMIF(Seasonality!$A$17:$A$28,Table!$B12,Seasonality!J$17:J$28)</f>
        <v>8.3868520174511546E-2</v>
      </c>
      <c r="L12" s="1">
        <f>SUMIF(Seasonality!$A$17:$A$28,Table!$B12,Seasonality!K$17:K$28)</f>
        <v>7.8427321162389124E-2</v>
      </c>
      <c r="M12" s="1">
        <f>SUMIF(Seasonality!$A$17:$A$28,Table!$B12,Seasonality!L$17:L$28)</f>
        <v>9.2009292776487117E-2</v>
      </c>
      <c r="N12" s="1">
        <f>SUMIF(Seasonality!$A$17:$A$28,Table!$B12,Seasonality!M$17:M$28)</f>
        <v>5.6092843326885883E-2</v>
      </c>
      <c r="O12" s="1">
        <f>SUMIF(Seasonality!$A$17:$A$28,Table!$B12,Seasonality!N$17:N$28)</f>
        <v>8.7501423095897701E-2</v>
      </c>
      <c r="P12" s="1">
        <f>SUMIF(Seasonality!$A$17:$A$28,Table!$B12,Seasonality!O$17:O$28)</f>
        <v>8.5851710681550036E-2</v>
      </c>
      <c r="Q12" s="1">
        <f>SUMIF(Seasonality!$A$17:$A$28,Table!$B12,Seasonality!P$17:P$28)</f>
        <v>9.9731363331094683E-2</v>
      </c>
      <c r="R12" s="1">
        <f>SUMIF(Seasonality!$A$17:$A$28,Table!$B12,Seasonality!Q$17:Q$28)</f>
        <v>8.3148163388472834E-2</v>
      </c>
      <c r="S12" s="1">
        <f>SUMIF(Seasonality!$A$17:$A$28,Table!$B12,Seasonality!R$17:R$28)</f>
        <v>9.229680792383145E-2</v>
      </c>
      <c r="T12" s="1">
        <f>SUMIF(Seasonality!$A$17:$A$28,Table!$B12,Seasonality!S$17:S$28)</f>
        <v>8.1660007188008712E-2</v>
      </c>
      <c r="U12" s="1">
        <f>SUMIF(Seasonality!$A$17:$A$28,Table!$B12,Seasonality!T$17:T$28)</f>
        <v>8.1106791883375204E-2</v>
      </c>
      <c r="V12" s="1">
        <f>SUMIF(Seasonality!$A$17:$A$28,Table!$B12,Seasonality!U$17:U$28)</f>
        <v>9.229680792383145E-2</v>
      </c>
    </row>
    <row r="13" spans="1:22" x14ac:dyDescent="0.25">
      <c r="A13" t="s">
        <v>23</v>
      </c>
      <c r="B13" s="5" t="str">
        <f>List!F8</f>
        <v>July</v>
      </c>
      <c r="C13" s="1">
        <f>SUMIF(Seasonality!$A$17:$A$28,Table!$B13,Seasonality!B$17:B$28)</f>
        <v>8.3333333333333329E-2</v>
      </c>
      <c r="D13" s="1">
        <f>SUMIF(Seasonality!$A$17:$A$28,Table!$B13,Seasonality!C$17:C$28)</f>
        <v>9.534293370105143E-2</v>
      </c>
      <c r="E13" s="1">
        <f>SUMIF(Seasonality!$A$17:$A$28,Table!$B13,Seasonality!D$17:D$28)</f>
        <v>9.5045162576480297E-2</v>
      </c>
      <c r="F13" s="1">
        <f>SUMIF(Seasonality!$A$17:$A$28,Table!$B13,Seasonality!E$17:E$28)</f>
        <v>9.6748673471562213E-2</v>
      </c>
      <c r="G13" s="1">
        <f>SUMIF(Seasonality!$A$17:$A$28,Table!$B13,Seasonality!F$17:F$28)</f>
        <v>9.3707231494153637E-2</v>
      </c>
      <c r="H13" s="1">
        <f>SUMIF(Seasonality!$A$17:$A$28,Table!$B13,Seasonality!G$17:G$28)</f>
        <v>9.0694871265840638E-2</v>
      </c>
      <c r="I13" s="1">
        <f>SUMIF(Seasonality!$A$17:$A$28,Table!$B13,Seasonality!H$17:H$28)</f>
        <v>9.1405706114410776E-2</v>
      </c>
      <c r="J13" s="1">
        <f>SUMIF(Seasonality!$A$17:$A$28,Table!$B13,Seasonality!I$17:I$28)</f>
        <v>9.5350901640190361E-2</v>
      </c>
      <c r="K13" s="1">
        <f>SUMIF(Seasonality!$A$17:$A$28,Table!$B13,Seasonality!J$17:J$28)</f>
        <v>8.1754870877706401E-2</v>
      </c>
      <c r="L13" s="1">
        <f>SUMIF(Seasonality!$A$17:$A$28,Table!$B13,Seasonality!K$17:K$28)</f>
        <v>0.11870360257980726</v>
      </c>
      <c r="M13" s="1">
        <f>SUMIF(Seasonality!$A$17:$A$28,Table!$B13,Seasonality!L$17:L$28)</f>
        <v>9.7213967979541474E-2</v>
      </c>
      <c r="N13" s="1">
        <f>SUMIF(Seasonality!$A$17:$A$28,Table!$B13,Seasonality!M$17:M$28)</f>
        <v>8.9619600257898127E-2</v>
      </c>
      <c r="O13" s="1">
        <f>SUMIF(Seasonality!$A$17:$A$28,Table!$B13,Seasonality!N$17:N$28)</f>
        <v>8.9304011232970298E-2</v>
      </c>
      <c r="P13" s="1">
        <f>SUMIF(Seasonality!$A$17:$A$28,Table!$B13,Seasonality!O$17:O$28)</f>
        <v>8.4544877030583526E-2</v>
      </c>
      <c r="Q13" s="1">
        <f>SUMIF(Seasonality!$A$17:$A$28,Table!$B13,Seasonality!P$17:P$28)</f>
        <v>7.8576225654801865E-2</v>
      </c>
      <c r="R13" s="1">
        <f>SUMIF(Seasonality!$A$17:$A$28,Table!$B13,Seasonality!Q$17:Q$28)</f>
        <v>0.12174580967272927</v>
      </c>
      <c r="S13" s="1">
        <f>SUMIF(Seasonality!$A$17:$A$28,Table!$B13,Seasonality!R$17:R$28)</f>
        <v>9.6277909681751678E-2</v>
      </c>
      <c r="T13" s="1">
        <f>SUMIF(Seasonality!$A$17:$A$28,Table!$B13,Seasonality!S$17:S$28)</f>
        <v>9.4589966385488694E-2</v>
      </c>
      <c r="U13" s="1">
        <f>SUMIF(Seasonality!$A$17:$A$28,Table!$B13,Seasonality!T$17:T$28)</f>
        <v>9.3569950254954001E-2</v>
      </c>
      <c r="V13" s="1">
        <f>SUMIF(Seasonality!$A$17:$A$28,Table!$B13,Seasonality!U$17:U$28)</f>
        <v>9.6277909681751678E-2</v>
      </c>
    </row>
    <row r="14" spans="1:22" x14ac:dyDescent="0.25">
      <c r="A14" t="s">
        <v>23</v>
      </c>
      <c r="B14" s="5" t="str">
        <f>List!F9</f>
        <v>August</v>
      </c>
      <c r="C14" s="1">
        <f>SUMIF(Seasonality!$A$17:$A$28,Table!$B14,Seasonality!B$17:B$28)</f>
        <v>8.3333333333333329E-2</v>
      </c>
      <c r="D14" s="1">
        <f>SUMIF(Seasonality!$A$17:$A$28,Table!$B14,Seasonality!C$17:C$28)</f>
        <v>9.7658147515552268E-2</v>
      </c>
      <c r="E14" s="1">
        <f>SUMIF(Seasonality!$A$17:$A$28,Table!$B14,Seasonality!D$17:D$28)</f>
        <v>9.9671358336680352E-2</v>
      </c>
      <c r="F14" s="1">
        <f>SUMIF(Seasonality!$A$17:$A$28,Table!$B14,Seasonality!E$17:E$28)</f>
        <v>9.3967758433311302E-2</v>
      </c>
      <c r="G14" s="1">
        <f>SUMIF(Seasonality!$A$17:$A$28,Table!$B14,Seasonality!F$17:F$28)</f>
        <v>9.9948562978203564E-2</v>
      </c>
      <c r="H14" s="1">
        <f>SUMIF(Seasonality!$A$17:$A$28,Table!$B14,Seasonality!G$17:G$28)</f>
        <v>0.10787390459229658</v>
      </c>
      <c r="I14" s="1">
        <f>SUMIF(Seasonality!$A$17:$A$28,Table!$B14,Seasonality!H$17:H$28)</f>
        <v>9.4127681992937903E-2</v>
      </c>
      <c r="J14" s="1">
        <f>SUMIF(Seasonality!$A$17:$A$28,Table!$B14,Seasonality!I$17:I$28)</f>
        <v>8.4058464682748593E-2</v>
      </c>
      <c r="K14" s="1">
        <f>SUMIF(Seasonality!$A$17:$A$28,Table!$B14,Seasonality!J$17:J$28)</f>
        <v>0.10454434598813103</v>
      </c>
      <c r="L14" s="1">
        <f>SUMIF(Seasonality!$A$17:$A$28,Table!$B14,Seasonality!K$17:K$28)</f>
        <v>0.16610829877355845</v>
      </c>
      <c r="M14" s="1">
        <f>SUMIF(Seasonality!$A$17:$A$28,Table!$B14,Seasonality!L$17:L$28)</f>
        <v>0.10807354980459956</v>
      </c>
      <c r="N14" s="1">
        <f>SUMIF(Seasonality!$A$17:$A$28,Table!$B14,Seasonality!M$17:M$28)</f>
        <v>8.6395873629916187E-2</v>
      </c>
      <c r="O14" s="1">
        <f>SUMIF(Seasonality!$A$17:$A$28,Table!$B14,Seasonality!N$17:N$28)</f>
        <v>9.3525862396114004E-2</v>
      </c>
      <c r="P14" s="1">
        <f>SUMIF(Seasonality!$A$17:$A$28,Table!$B14,Seasonality!O$17:O$28)</f>
        <v>8.9118794808966312E-2</v>
      </c>
      <c r="Q14" s="1">
        <f>SUMIF(Seasonality!$A$17:$A$28,Table!$B14,Seasonality!P$17:P$28)</f>
        <v>0.10275352585627937</v>
      </c>
      <c r="R14" s="1">
        <f>SUMIF(Seasonality!$A$17:$A$28,Table!$B14,Seasonality!Q$17:Q$28)</f>
        <v>0.16818917510218639</v>
      </c>
      <c r="S14" s="1">
        <f>SUMIF(Seasonality!$A$17:$A$28,Table!$B14,Seasonality!R$17:R$28)</f>
        <v>0.11918123606014822</v>
      </c>
      <c r="T14" s="1">
        <f>SUMIF(Seasonality!$A$17:$A$28,Table!$B14,Seasonality!S$17:S$28)</f>
        <v>9.8712500792795088E-2</v>
      </c>
      <c r="U14" s="1">
        <f>SUMIF(Seasonality!$A$17:$A$28,Table!$B14,Seasonality!T$17:T$28)</f>
        <v>8.8603939399945084E-2</v>
      </c>
      <c r="V14" s="1">
        <f>SUMIF(Seasonality!$A$17:$A$28,Table!$B14,Seasonality!U$17:U$28)</f>
        <v>0.11918123606014822</v>
      </c>
    </row>
    <row r="15" spans="1:22" x14ac:dyDescent="0.25">
      <c r="A15" t="s">
        <v>23</v>
      </c>
      <c r="B15" s="5" t="str">
        <f>List!F10</f>
        <v>September</v>
      </c>
      <c r="C15" s="1">
        <f>SUMIF(Seasonality!$A$17:$A$28,Table!$B15,Seasonality!B$17:B$28)</f>
        <v>8.3333333333333329E-2</v>
      </c>
      <c r="D15" s="1">
        <f>SUMIF(Seasonality!$A$17:$A$28,Table!$B15,Seasonality!C$17:C$28)</f>
        <v>9.5456539793471934E-2</v>
      </c>
      <c r="E15" s="1">
        <f>SUMIF(Seasonality!$A$17:$A$28,Table!$B15,Seasonality!D$17:D$28)</f>
        <v>9.9002934614674257E-2</v>
      </c>
      <c r="F15" s="1">
        <f>SUMIF(Seasonality!$A$17:$A$28,Table!$B15,Seasonality!E$17:E$28)</f>
        <v>9.587763973831695E-2</v>
      </c>
      <c r="G15" s="1">
        <f>SUMIF(Seasonality!$A$17:$A$28,Table!$B15,Seasonality!F$17:F$28)</f>
        <v>0.10019656290472211</v>
      </c>
      <c r="H15" s="1">
        <f>SUMIF(Seasonality!$A$17:$A$28,Table!$B15,Seasonality!G$17:G$28)</f>
        <v>0.12991779691385505</v>
      </c>
      <c r="I15" s="1">
        <f>SUMIF(Seasonality!$A$17:$A$28,Table!$B15,Seasonality!H$17:H$28)</f>
        <v>8.4569407248985512E-2</v>
      </c>
      <c r="J15" s="1">
        <f>SUMIF(Seasonality!$A$17:$A$28,Table!$B15,Seasonality!I$17:I$28)</f>
        <v>8.1070200972346962E-2</v>
      </c>
      <c r="K15" s="1">
        <f>SUMIF(Seasonality!$A$17:$A$28,Table!$B15,Seasonality!J$17:J$28)</f>
        <v>0.13776657724304256</v>
      </c>
      <c r="L15" s="1">
        <f>SUMIF(Seasonality!$A$17:$A$28,Table!$B15,Seasonality!K$17:K$28)</f>
        <v>0.23016072140147883</v>
      </c>
      <c r="M15" s="1">
        <f>SUMIF(Seasonality!$A$17:$A$28,Table!$B15,Seasonality!L$17:L$28)</f>
        <v>0.11241378068327121</v>
      </c>
      <c r="N15" s="1">
        <f>SUMIF(Seasonality!$A$17:$A$28,Table!$B15,Seasonality!M$17:M$28)</f>
        <v>0.12314635718891037</v>
      </c>
      <c r="O15" s="1">
        <f>SUMIF(Seasonality!$A$17:$A$28,Table!$B15,Seasonality!N$17:N$28)</f>
        <v>8.6903722818868365E-2</v>
      </c>
      <c r="P15" s="1">
        <f>SUMIF(Seasonality!$A$17:$A$28,Table!$B15,Seasonality!O$17:O$28)</f>
        <v>8.2820582630002706E-2</v>
      </c>
      <c r="Q15" s="1">
        <f>SUMIF(Seasonality!$A$17:$A$28,Table!$B15,Seasonality!P$17:P$28)</f>
        <v>8.2605775688381455E-2</v>
      </c>
      <c r="R15" s="1">
        <f>SUMIF(Seasonality!$A$17:$A$28,Table!$B15,Seasonality!Q$17:Q$28)</f>
        <v>0.24538446767069927</v>
      </c>
      <c r="S15" s="1">
        <f>SUMIF(Seasonality!$A$17:$A$28,Table!$B15,Seasonality!R$17:R$28)</f>
        <v>0.14840396191572536</v>
      </c>
      <c r="T15" s="1">
        <f>SUMIF(Seasonality!$A$17:$A$28,Table!$B15,Seasonality!S$17:S$28)</f>
        <v>9.7638527726686547E-2</v>
      </c>
      <c r="U15" s="1">
        <f>SUMIF(Seasonality!$A$17:$A$28,Table!$B15,Seasonality!T$17:T$28)</f>
        <v>8.2649822622246252E-2</v>
      </c>
      <c r="V15" s="1">
        <f>SUMIF(Seasonality!$A$17:$A$28,Table!$B15,Seasonality!U$17:U$28)</f>
        <v>0.14840396191572536</v>
      </c>
    </row>
    <row r="16" spans="1:22" x14ac:dyDescent="0.25">
      <c r="A16" t="s">
        <v>23</v>
      </c>
      <c r="B16" s="5" t="str">
        <f>List!F11</f>
        <v>October</v>
      </c>
      <c r="C16" s="1">
        <f>SUMIF(Seasonality!$A$17:$A$28,Table!$B16,Seasonality!B$17:B$28)</f>
        <v>8.3333333333333329E-2</v>
      </c>
      <c r="D16" s="1">
        <f>SUMIF(Seasonality!$A$17:$A$28,Table!$B16,Seasonality!C$17:C$28)</f>
        <v>9.0144475609947164E-2</v>
      </c>
      <c r="E16" s="1">
        <f>SUMIF(Seasonality!$A$17:$A$28,Table!$B16,Seasonality!D$17:D$28)</f>
        <v>8.20753970231691E-2</v>
      </c>
      <c r="F16" s="1">
        <f>SUMIF(Seasonality!$A$17:$A$28,Table!$B16,Seasonality!E$17:E$28)</f>
        <v>8.7529567200119326E-2</v>
      </c>
      <c r="G16" s="1">
        <f>SUMIF(Seasonality!$A$17:$A$28,Table!$B16,Seasonality!F$17:F$28)</f>
        <v>9.047863985818079E-2</v>
      </c>
      <c r="H16" s="1">
        <f>SUMIF(Seasonality!$A$17:$A$28,Table!$B16,Seasonality!G$17:G$28)</f>
        <v>8.2691743856486644E-2</v>
      </c>
      <c r="I16" s="1">
        <f>SUMIF(Seasonality!$A$17:$A$28,Table!$B16,Seasonality!H$17:H$28)</f>
        <v>8.4055116875623254E-2</v>
      </c>
      <c r="J16" s="1">
        <f>SUMIF(Seasonality!$A$17:$A$28,Table!$B16,Seasonality!I$17:I$28)</f>
        <v>9.4272236501202547E-2</v>
      </c>
      <c r="K16" s="1">
        <f>SUMIF(Seasonality!$A$17:$A$28,Table!$B16,Seasonality!J$17:J$28)</f>
        <v>6.275912527436793E-2</v>
      </c>
      <c r="L16" s="1">
        <f>SUMIF(Seasonality!$A$17:$A$28,Table!$B16,Seasonality!K$17:K$28)</f>
        <v>7.1461251236034654E-2</v>
      </c>
      <c r="M16" s="1">
        <f>SUMIF(Seasonality!$A$17:$A$28,Table!$B16,Seasonality!L$17:L$28)</f>
        <v>8.7524987843751692E-2</v>
      </c>
      <c r="N16" s="1">
        <f>SUMIF(Seasonality!$A$17:$A$28,Table!$B16,Seasonality!M$17:M$28)</f>
        <v>0.14442295293359123</v>
      </c>
      <c r="O16" s="1">
        <f>SUMIF(Seasonality!$A$17:$A$28,Table!$B16,Seasonality!N$17:N$28)</f>
        <v>8.9275549315016522E-2</v>
      </c>
      <c r="P16" s="1">
        <f>SUMIF(Seasonality!$A$17:$A$28,Table!$B16,Seasonality!O$17:O$28)</f>
        <v>9.2095471458390032E-2</v>
      </c>
      <c r="Q16" s="1">
        <f>SUMIF(Seasonality!$A$17:$A$28,Table!$B16,Seasonality!P$17:P$28)</f>
        <v>6.2458025520483539E-2</v>
      </c>
      <c r="R16" s="1">
        <f>SUMIF(Seasonality!$A$17:$A$28,Table!$B16,Seasonality!Q$17:Q$28)</f>
        <v>8.051463528379009E-2</v>
      </c>
      <c r="S16" s="1">
        <f>SUMIF(Seasonality!$A$17:$A$28,Table!$B16,Seasonality!R$17:R$28)</f>
        <v>8.7644195026021054E-2</v>
      </c>
      <c r="T16" s="1">
        <f>SUMIF(Seasonality!$A$17:$A$28,Table!$B16,Seasonality!S$17:S$28)</f>
        <v>9.029830236147228E-2</v>
      </c>
      <c r="U16" s="1">
        <f>SUMIF(Seasonality!$A$17:$A$28,Table!$B16,Seasonality!T$17:T$28)</f>
        <v>8.9659995300126569E-2</v>
      </c>
      <c r="V16" s="1">
        <f>SUMIF(Seasonality!$A$17:$A$28,Table!$B16,Seasonality!U$17:U$28)</f>
        <v>8.7644195026021054E-2</v>
      </c>
    </row>
    <row r="17" spans="1:22" x14ac:dyDescent="0.25">
      <c r="A17" t="s">
        <v>23</v>
      </c>
      <c r="B17" s="5" t="str">
        <f>List!F12</f>
        <v>November</v>
      </c>
      <c r="C17" s="1">
        <f>SUMIF(Seasonality!$A$17:$A$28,Table!$B17,Seasonality!B$17:B$28)</f>
        <v>8.3333333333333329E-2</v>
      </c>
      <c r="D17" s="1">
        <f>SUMIF(Seasonality!$A$17:$A$28,Table!$B17,Seasonality!C$17:C$28)</f>
        <v>7.9485090179732654E-2</v>
      </c>
      <c r="E17" s="1">
        <f>SUMIF(Seasonality!$A$17:$A$28,Table!$B17,Seasonality!D$17:D$28)</f>
        <v>6.9346029475140805E-2</v>
      </c>
      <c r="F17" s="1">
        <f>SUMIF(Seasonality!$A$17:$A$28,Table!$B17,Seasonality!E$17:E$28)</f>
        <v>8.1842542672661792E-2</v>
      </c>
      <c r="G17" s="1">
        <f>SUMIF(Seasonality!$A$17:$A$28,Table!$B17,Seasonality!F$17:F$28)</f>
        <v>8.0636716848380197E-2</v>
      </c>
      <c r="H17" s="1">
        <f>SUMIF(Seasonality!$A$17:$A$28,Table!$B17,Seasonality!G$17:G$28)</f>
        <v>7.1832683599561284E-2</v>
      </c>
      <c r="I17" s="1">
        <f>SUMIF(Seasonality!$A$17:$A$28,Table!$B17,Seasonality!H$17:H$28)</f>
        <v>7.6855051648551498E-2</v>
      </c>
      <c r="J17" s="1">
        <f>SUMIF(Seasonality!$A$17:$A$28,Table!$B17,Seasonality!I$17:I$28)</f>
        <v>9.9737817277222113E-2</v>
      </c>
      <c r="K17" s="1">
        <f>SUMIF(Seasonality!$A$17:$A$28,Table!$B17,Seasonality!J$17:J$28)</f>
        <v>6.723030647914803E-2</v>
      </c>
      <c r="L17" s="1">
        <f>SUMIF(Seasonality!$A$17:$A$28,Table!$B17,Seasonality!K$17:K$28)</f>
        <v>3.9700695131130365E-2</v>
      </c>
      <c r="M17" s="1">
        <f>SUMIF(Seasonality!$A$17:$A$28,Table!$B17,Seasonality!L$17:L$28)</f>
        <v>7.1820915950798717E-2</v>
      </c>
      <c r="N17" s="1">
        <f>SUMIF(Seasonality!$A$17:$A$28,Table!$B17,Seasonality!M$17:M$28)</f>
        <v>8.1237911025145063E-2</v>
      </c>
      <c r="O17" s="1">
        <f>SUMIF(Seasonality!$A$17:$A$28,Table!$B17,Seasonality!N$17:N$28)</f>
        <v>8.7093468938560223E-2</v>
      </c>
      <c r="P17" s="1">
        <f>SUMIF(Seasonality!$A$17:$A$28,Table!$B17,Seasonality!O$17:O$28)</f>
        <v>8.9554406025955158E-2</v>
      </c>
      <c r="Q17" s="1">
        <f>SUMIF(Seasonality!$A$17:$A$28,Table!$B17,Seasonality!P$17:P$28)</f>
        <v>5.3391537944929478E-2</v>
      </c>
      <c r="R17" s="1">
        <f>SUMIF(Seasonality!$A$17:$A$28,Table!$B17,Seasonality!Q$17:Q$28)</f>
        <v>3.9365758648122237E-2</v>
      </c>
      <c r="S17" s="1">
        <f>SUMIF(Seasonality!$A$17:$A$28,Table!$B17,Seasonality!R$17:R$28)</f>
        <v>7.7643475549799737E-2</v>
      </c>
      <c r="T17" s="1">
        <f>SUMIF(Seasonality!$A$17:$A$28,Table!$B17,Seasonality!S$17:S$28)</f>
        <v>8.0015221665503913E-2</v>
      </c>
      <c r="U17" s="1">
        <f>SUMIF(Seasonality!$A$17:$A$28,Table!$B17,Seasonality!T$17:T$28)</f>
        <v>8.9408014133595323E-2</v>
      </c>
      <c r="V17" s="1">
        <f>SUMIF(Seasonality!$A$17:$A$28,Table!$B17,Seasonality!U$17:U$28)</f>
        <v>7.7643475549799737E-2</v>
      </c>
    </row>
    <row r="18" spans="1:22" x14ac:dyDescent="0.25">
      <c r="A18" t="s">
        <v>23</v>
      </c>
      <c r="B18" s="5" t="str">
        <f>List!F13</f>
        <v>December</v>
      </c>
      <c r="C18" s="1">
        <f>SUMIF(Seasonality!$A$17:$A$28,Table!$B18,Seasonality!B$17:B$28)</f>
        <v>8.3333333333333329E-2</v>
      </c>
      <c r="D18" s="1">
        <f>SUMIF(Seasonality!$A$17:$A$28,Table!$B18,Seasonality!C$17:C$28)</f>
        <v>7.2488521867214051E-2</v>
      </c>
      <c r="E18" s="1">
        <f>SUMIF(Seasonality!$A$17:$A$28,Table!$B18,Seasonality!D$17:D$28)</f>
        <v>6.1128522050653618E-2</v>
      </c>
      <c r="F18" s="1">
        <f>SUMIF(Seasonality!$A$17:$A$28,Table!$B18,Seasonality!E$17:E$28)</f>
        <v>6.9600123596223917E-2</v>
      </c>
      <c r="G18" s="1">
        <f>SUMIF(Seasonality!$A$17:$A$28,Table!$B18,Seasonality!F$17:F$28)</f>
        <v>7.383968182527946E-2</v>
      </c>
      <c r="H18" s="1">
        <f>SUMIF(Seasonality!$A$17:$A$28,Table!$B18,Seasonality!G$17:G$28)</f>
        <v>5.7563878421961354E-2</v>
      </c>
      <c r="I18" s="1">
        <f>SUMIF(Seasonality!$A$17:$A$28,Table!$B18,Seasonality!H$17:H$28)</f>
        <v>7.2935155510119601E-2</v>
      </c>
      <c r="J18" s="1">
        <f>SUMIF(Seasonality!$A$17:$A$28,Table!$B18,Seasonality!I$17:I$28)</f>
        <v>8.7258332559171758E-2</v>
      </c>
      <c r="K18" s="1">
        <f>SUMIF(Seasonality!$A$17:$A$28,Table!$B18,Seasonality!J$17:J$28)</f>
        <v>5.4358724222962902E-2</v>
      </c>
      <c r="L18" s="1">
        <f>SUMIF(Seasonality!$A$17:$A$28,Table!$B18,Seasonality!K$17:K$28)</f>
        <v>3.1819590595805601E-2</v>
      </c>
      <c r="M18" s="1">
        <f>SUMIF(Seasonality!$A$17:$A$28,Table!$B18,Seasonality!L$17:L$28)</f>
        <v>5.6477029193005207E-2</v>
      </c>
      <c r="N18" s="1">
        <f>SUMIF(Seasonality!$A$17:$A$28,Table!$B18,Seasonality!M$17:M$28)</f>
        <v>8.4461637653127017E-2</v>
      </c>
      <c r="O18" s="1">
        <f>SUMIF(Seasonality!$A$17:$A$28,Table!$B18,Seasonality!N$17:N$28)</f>
        <v>7.332738795491632E-2</v>
      </c>
      <c r="P18" s="1">
        <f>SUMIF(Seasonality!$A$17:$A$28,Table!$B18,Seasonality!O$17:O$28)</f>
        <v>8.2348670478264802E-2</v>
      </c>
      <c r="Q18" s="1">
        <f>SUMIF(Seasonality!$A$17:$A$28,Table!$B18,Seasonality!P$17:P$28)</f>
        <v>6.2793821356615168E-2</v>
      </c>
      <c r="R18" s="1">
        <f>SUMIF(Seasonality!$A$17:$A$28,Table!$B18,Seasonality!Q$17:Q$28)</f>
        <v>3.6211011439387708E-2</v>
      </c>
      <c r="S18" s="1">
        <f>SUMIF(Seasonality!$A$17:$A$28,Table!$B18,Seasonality!R$17:R$28)</f>
        <v>4.8216898098184524E-2</v>
      </c>
      <c r="T18" s="1">
        <f>SUMIF(Seasonality!$A$17:$A$28,Table!$B18,Seasonality!S$17:S$28)</f>
        <v>7.3110505063317913E-2</v>
      </c>
      <c r="U18" s="1">
        <f>SUMIF(Seasonality!$A$17:$A$28,Table!$B18,Seasonality!T$17:T$28)</f>
        <v>8.0792523237476682E-2</v>
      </c>
      <c r="V18" s="1">
        <f>SUMIF(Seasonality!$A$17:$A$28,Table!$B18,Seasonality!U$17:U$28)</f>
        <v>4.8216898098184524E-2</v>
      </c>
    </row>
    <row r="20" spans="1:22" x14ac:dyDescent="0.25">
      <c r="C20" t="s">
        <v>13</v>
      </c>
      <c r="D20" t="s">
        <v>26</v>
      </c>
      <c r="E20" t="s">
        <v>27</v>
      </c>
      <c r="F20" t="s">
        <v>28</v>
      </c>
      <c r="G20" t="s">
        <v>29</v>
      </c>
      <c r="H20" t="s">
        <v>30</v>
      </c>
      <c r="I20" t="s">
        <v>31</v>
      </c>
      <c r="J20" t="s">
        <v>32</v>
      </c>
      <c r="K20" t="s">
        <v>14</v>
      </c>
      <c r="L20" t="s">
        <v>33</v>
      </c>
      <c r="M20" t="s">
        <v>15</v>
      </c>
      <c r="N20" t="s">
        <v>34</v>
      </c>
      <c r="O20" t="s">
        <v>25</v>
      </c>
      <c r="P20" t="s">
        <v>35</v>
      </c>
      <c r="Q20" t="s">
        <v>36</v>
      </c>
      <c r="R20" t="s">
        <v>37</v>
      </c>
      <c r="S20" t="s">
        <v>38</v>
      </c>
      <c r="T20" t="s">
        <v>109</v>
      </c>
      <c r="U20" t="s">
        <v>110</v>
      </c>
      <c r="V20" t="s">
        <v>38</v>
      </c>
    </row>
    <row r="21" spans="1:22" x14ac:dyDescent="0.25">
      <c r="A21" t="s">
        <v>17</v>
      </c>
      <c r="B21" s="4" t="str">
        <f>List!G2</f>
        <v>January</v>
      </c>
      <c r="C21">
        <f>IF(AND(C2&lt;5,C3&lt;5,(C2*4)&gt;C3,(ROUND((IF((((C$2/C18)*C7)+((C2/C18)*C8)+((C2/C18)*C9)+((C2/C18)*C10)-C3)&gt;0,(((C$2/C18)*C7)+((C2/C18)*C8)+((C2/C18)*C9)+((C2/C18)*C10)-C3),0)),-1))=0),10,(ROUNDUP((IF((((C$2/C18)*C7)+((C2/C18)*C8)+((C2/C18)*C9)+((C2/C18)*C10)-C3)&gt;0,(((C$2/C18)*C7)+((C2/C18)*C8)+((C2/C18)*C9)+((C2/C18)*C10)-C3),0)),-1)))</f>
        <v>0</v>
      </c>
      <c r="D21">
        <f>IF(AND(D2&lt;5,D3&lt;5,(D2*4)&gt;D3,(ROUND((IF((((D$2/D18)*D7)+((D2/D18)*D8)+((D2/D18)*D9)+((D2/D18)*D10)-D3)&gt;0,(((D$2/D18)*D7)+((D2/D18)*D8)+((D2/D18)*D9)+((D2/D18)*D10)-D3),0)),-1))=0),10,(ROUNDUP((IF((((D$2/D18)*D7)+((D2/D18)*D8)+((D2/D18)*D9)+((D2/D18)*D10)-D3)&gt;0,(((D$2/D18)*D7)+((D2/D18)*D8)+((D2/D18)*D9)+((D2/D18)*D10)-D3),0)),-1)))</f>
        <v>0</v>
      </c>
      <c r="E21">
        <f>IF(AND(E2&lt;5,E3&lt;5,(E2*4)&gt;E3,(ROUND((IF((((E$2/E18)*E7)+((E2/E18)*E8)+((E2/E18)*E9)+((E2/E18)*E10)-E3)&gt;0,(((E$2/E18)*E7)+((E2/E18)*E8)+((E2/E18)*E9)+((E2/E18)*E10)-E3),0)),-1))=0),10,(ROUNDUP((IF((((E$2/E18)*E7)+((E2/E18)*E8)+((E2/E18)*E9)+((E2/E18)*E10)-E3)&gt;0,(((E$2/E18)*E7)+((E2/E18)*E8)+((E2/E18)*E9)+((E2/E18)*E10)-E3),0)),-1)))</f>
        <v>0</v>
      </c>
      <c r="F21">
        <f>IF(AND(F2&lt;5,F3&lt;5,(F2*4)&gt;F3,(MROUND((IF((((F$2/F18)*F7)+((F2/F18)*F8)+((F2/F18)*F9)+((F2/F18)*F10)-F3)&gt;0,(((F$2/F18)*F7)+((F2/F18)*F8)+((F2/F18)*F9)+((F2/F18)*F10)-F3),0)),5))=0),5,(MROUND((IF((((F$2/F18)*F7)+((F2/F18)*F8)+((F2/F18)*F9)+((F2/F18)*F10)-F3)&gt;0,((((F$2/F18)*F7)+((F2/F18)*F8)+((F2/F18)*F9)+((F2/F18)*F10)-F3)+2.25),0)),5)))</f>
        <v>0</v>
      </c>
      <c r="G21">
        <f>IF(AND(G2&lt;5,G3&lt;5,(G2*4)&gt;G3,(ROUND((IF((((G$2/G18)*G7)+((G2/G18)*G8)+((G2/G18)*G9)+((G2/G18)*G10)-G3)&gt;0,(((G$2/G18)*G7)+((G2/G18)*G8)+((G2/G18)*G9)+((G2/G18)*G10)-G3),0)),-1))=0),10,(ROUNDUP((IF((((G$2/G18)*G7)+((G2/G18)*G8)+((G2/G18)*G9)+((G2/G18)*G10)-G3)&gt;0,(((G$2/G18)*G7)+((G2/G18)*G8)+((G2/G18)*G9)+((G2/G18)*G10)-G3),0)),-1)))</f>
        <v>0</v>
      </c>
      <c r="H21">
        <f>IF(AND(H2&lt;5,H3&lt;5,(H2*4)&gt;H3,(ROUND((IF((((H$2/H18)*H7)+((H2/H18)*H8)+((H2/H18)*H9)+((H2/H18)*H10)-H3)&gt;0,(((H$2/H18)*H7)+((H2/H18)*H8)+((H2/H18)*H9)+((H2/H18)*H10)-H3),0)),-1))=0),10,(ROUNDUP((IF((((H$2/H18)*H7)+((H2/H18)*H8)+((H2/H18)*H9)+((H2/H18)*H10)-H3)&gt;0,(((H$2/H18)*H7)+((H2/H18)*H8)+((H2/H18)*H9)+((H2/H18)*H10)-H3),0)),-1)))</f>
        <v>0</v>
      </c>
      <c r="I21">
        <f>IF(AND(I2&lt;5,I3&lt;5,(I2*4)&gt;I3,(ROUND((IF((((I$2/I18)*I7)+((I2/I18)*I8)+((I2/I18)*I9)+((I2/I18)*I10)-I3)&gt;0,(((I$2/I18)*I7)+((I2/I18)*I8)+((I2/I18)*I9)+((I2/I18)*I10)-I3),0)),-1))=0),10,(ROUNDUP((IF((((I$2/I18)*I7)+((I2/I18)*I8)+((I2/I18)*I9)+((I2/I18)*I10)-I3)&gt;0,(((I$2/I18)*I7)+((I2/I18)*I8)+((I2/I18)*I9)+((I2/I18)*I10)-I3),0)),-1)))</f>
        <v>0</v>
      </c>
      <c r="J21">
        <f>IF(AND(J2&lt;5,J3&lt;5,(J2*4)&gt;J3,(ROUND((IF((((J$2/J18)*J7)+((J2/J18)*J8)+((J2/J18)*J9)+((J2/J18)*J10)-J3)&gt;0,(((J$2/J18)*J7)+((J2/J18)*J8)+((J2/J18)*J9)+((J2/J18)*J10)-J3),0)),-1))=0),10,(ROUNDUP((IF((((J$2/J18)*J7)+((J2/J18)*J8)+((J2/J18)*J9)+((J2/J18)*J10)-J3)&gt;0,(((J$2/J18)*J7)+((J2/J18)*J8)+((J2/J18)*J9)+((J2/J18)*J10)-J3),0)),-1)))</f>
        <v>0</v>
      </c>
      <c r="K21">
        <f>IF(AND(K2&lt;5,K3&lt;5,(K2*4)&gt;K3,(ROUND((IF((((K$2/K18)*K7)+((K2/K18)*K8)+((K2/K18)*K9)+((K2/K18)*K10)-K3)&gt;0,(((K$2/K18)*K7)+((K2/K18)*K8)+((K2/K18)*K9)+((K2/K18)*K10)-K3),0)),-1))=0),10,(ROUNDUP((IF((((K$2/K18)*K7)+((K2/K18)*K8)+((K2/K18)*K9)+((K2/K18)*K10)-K3)&gt;0,(((K$2/K18)*K7)+((K2/K18)*K8)+((K2/K18)*K9)+((K2/K18)*K10)-K3),0)),-1)))</f>
        <v>0</v>
      </c>
      <c r="L21">
        <f>IF(AND(L2&lt;5,L3&lt;5,(L2*4)&gt;L3,(MROUND((IF((((L$2/L18)*L7)+((L2/L18)*L8)+((L2/L18)*L9)+((L2/L18)*L10)-L3)&gt;0,(((L$2/L18)*L7)+((L2/L18)*L8)+((L2/L18)*L9)+((L2/L18)*L10)-L3),0)),5))=0),5,(MROUND((IF((((L$2/L18)*L7)+((L2/L18)*L8)+((L2/L18)*L9)+((L2/L18)*L10)-L3)&gt;0,((((L$2/L18)*L7)+((L2/L18)*L8)+((L2/L18)*L9)+((L2/L18)*L10)-L3)+2.25),0)),5)))</f>
        <v>0</v>
      </c>
      <c r="M21">
        <f t="shared" ref="M21:U21" si="1">IF(AND(M2&lt;5,M3&lt;5,(M2*4)&gt;M3,(ROUND((IF((((M$2/M18)*M7)+((M2/M18)*M8)+((M2/M18)*M9)+((M2/M18)*M10)-M3)&gt;0,(((M$2/M18)*M7)+((M2/M18)*M8)+((M2/M18)*M9)+((M2/M18)*M10)-M3),0)),-1))=0),10,(ROUNDUP((IF((((M$2/M18)*M7)+((M2/M18)*M8)+((M2/M18)*M9)+((M2/M18)*M10)-M3)&gt;0,(((M$2/M18)*M7)+((M2/M18)*M8)+((M2/M18)*M9)+((M2/M18)*M10)-M3),0)),-1)))</f>
        <v>0</v>
      </c>
      <c r="N21">
        <f t="shared" si="1"/>
        <v>0</v>
      </c>
      <c r="O21">
        <f t="shared" si="1"/>
        <v>0</v>
      </c>
      <c r="P21">
        <f t="shared" si="1"/>
        <v>0</v>
      </c>
      <c r="Q21">
        <f t="shared" si="1"/>
        <v>0</v>
      </c>
      <c r="R21">
        <f t="shared" si="1"/>
        <v>0</v>
      </c>
      <c r="S21">
        <f t="shared" si="1"/>
        <v>0</v>
      </c>
      <c r="T21">
        <f t="shared" si="1"/>
        <v>0</v>
      </c>
      <c r="U21">
        <f t="shared" si="1"/>
        <v>0</v>
      </c>
      <c r="V21">
        <f>IF(AND(V2&lt;5,V3&lt;5,(V2*4)&gt;V3,(ROUND((IF((((V$2/V18)*V7)+((V2/V18)*V8)+((V2/V18)*V9)+((V2/V18)*V10)-V3)&gt;0,(((V$2/V18)*V7)+((V2/V18)*V8)+((V2/V18)*V9)+((V2/V18)*V10)-V3),0)),-1))=0),10,(ROUNDUP((IF((((V$2/V18)*V7)+((V2/V18)*V8)+((V2/V18)*V9)+((V2/V18)*V10)-V3)&gt;0,(((V$2/V18)*V7)+((V2/V18)*V8)+((V2/V18)*V9)+((V2/V18)*V10)-V3),0)),-1)))</f>
        <v>0</v>
      </c>
    </row>
    <row r="23" spans="1:22" x14ac:dyDescent="0.25">
      <c r="C23" t="s">
        <v>13</v>
      </c>
      <c r="D23" t="s">
        <v>26</v>
      </c>
      <c r="E23" t="s">
        <v>27</v>
      </c>
      <c r="F23" t="s">
        <v>28</v>
      </c>
      <c r="G23" t="s">
        <v>29</v>
      </c>
      <c r="H23" t="s">
        <v>30</v>
      </c>
      <c r="I23" t="s">
        <v>31</v>
      </c>
      <c r="J23" t="s">
        <v>32</v>
      </c>
      <c r="K23" t="s">
        <v>14</v>
      </c>
      <c r="L23" t="s">
        <v>33</v>
      </c>
      <c r="M23" t="s">
        <v>15</v>
      </c>
      <c r="N23" t="s">
        <v>34</v>
      </c>
      <c r="O23" t="s">
        <v>25</v>
      </c>
      <c r="P23" t="s">
        <v>35</v>
      </c>
      <c r="Q23" t="s">
        <v>36</v>
      </c>
      <c r="R23" t="s">
        <v>37</v>
      </c>
      <c r="S23" t="s">
        <v>38</v>
      </c>
      <c r="T23" t="s">
        <v>109</v>
      </c>
      <c r="U23" t="s">
        <v>110</v>
      </c>
      <c r="V23" t="s">
        <v>38</v>
      </c>
    </row>
    <row r="24" spans="1:22" x14ac:dyDescent="0.25">
      <c r="A24" t="s">
        <v>18</v>
      </c>
      <c r="B24" s="4" t="str">
        <f>List!H2</f>
        <v>January</v>
      </c>
      <c r="C24">
        <f>IF(AND(C2&lt;5,C3&lt;5,(C2*3)&gt;C3,(ROUND((IF((((C$2/C$18)*C7)+((C$2/C$18)*C8)+((C$2/C$18)*C9)-C3)&gt;0,(((C$2/C$18)*C7)+((C$2/C$18)*C8)+((C$2/C$18)*C9)-C3),0)),-1))=0),10,(ROUNDUP((IF((((C$2/C$18)*C7)+((C$2/C$18)*C8)+((C$2/C$18)*C9)-C3)&gt;0,(((C$2/C$18)*C7)+((C$2/C$18)*C8)+((C$2/C$18)*C9)-C3),0)),-1)))</f>
        <v>0</v>
      </c>
      <c r="D24">
        <f>IF(AND(D2&lt;5,D3&lt;5,(D2*3)&gt;D3,(ROUND((IF((((D$2/D$18)*D7)+((D$2/D$18)*D8)+((D$2/D$18)*D9)-D3)&gt;0,(((D$2/D$18)*D7)+((D$2/D$18)*D8)+((D$2/D$18)*D9)-D3),0)),-1))=0),10,(ROUNDUP((IF((((D$2/D$18)*D7)+((D$2/D$18)*D8)+((D$2/D$18)*D9)-D3)&gt;0,(((D$2/D$18)*D7)+((D$2/D$18)*D8)+((D$2/D$18)*D9)-D3),0)),-1)))</f>
        <v>0</v>
      </c>
      <c r="E24">
        <f>IF(AND(E2&lt;5,E3&lt;5,(E2*3)&gt;E3,(ROUND((IF((((E$2/E$18)*E7)+((E$2/E$18)*E8)+((E$2/E$18)*E9)-E3)&gt;0,(((E$2/E$18)*E7)+((E$2/E$18)*E8)+((E$2/E$18)*E9)-E3),0)),-1))=0),10,(ROUNDUP((IF((((E$2/E$18)*E7)+((E$2/E$18)*E8)+((E$2/E$18)*E9)-E3)&gt;0,(((E$2/E$18)*E7)+((E$2/E$18)*E8)+((E$2/E$18)*E9)-E3),0)),-1)))</f>
        <v>0</v>
      </c>
      <c r="F24">
        <f>IF(AND(F2&lt;5,F3&lt;5,(F2*3)&gt;F3,(MROUND((IF((((F$2/F$18)*F7)+((F$2/F$18)*F8)+((F$2/F$18)*F9)-F3)&gt;0,(((F$2/F$18)*F7)+((F$2/F$18)*F8)+((F$2/F$18)*F9)-F3),0)),5))=0),5,(MROUND((IF((((F$2/F$18)*F7)+((F$2/F$18)*F8)+((F$2/F$18)*F9)-F3)&gt;0,((((F$2/F$18)*F7)+((F$2/F$18)*F8)+((F$2/F$18)*F9)-F3)+2.25),0)),5)))</f>
        <v>0</v>
      </c>
      <c r="G24">
        <f>IF(AND(G2&lt;5,G3&lt;5,(G2*3)&gt;G3,(ROUND((IF((((G$2/G$18)*G7)+((G$2/G$18)*G8)+((G$2/G$18)*G9)-G3)&gt;0,(((G$2/G$18)*G7)+((G$2/G$18)*G8)+((G$2/G$18)*G9)-G3),0)),-1))=0),10,(ROUNDUP((IF((((G$2/G$18)*G7)+((G$2/G$18)*G8)+((G$2/G$18)*G9)-G3)&gt;0,(((G$2/G$18)*G7)+((G$2/G$18)*G8)+((G$2/G$18)*G9)-G3),0)),-1)))</f>
        <v>0</v>
      </c>
      <c r="H24">
        <f>IF(AND(H2&lt;5,H3&lt;5,(H2*3)&gt;H3,(ROUND((IF((((H$2/H$18)*H7)+((H$2/H$18)*H8)+((H$2/H$18)*H9)-H3)&gt;0,(((H$2/H$18)*H7)+((H$2/H$18)*H8)+((H$2/H$18)*H9)-H3),0)),-1))=0),10,(ROUNDUP((IF((((H$2/H$18)*H7)+((H$2/H$18)*H8)+((H$2/H$18)*H9)-H3)&gt;0,(((H$2/H$18)*H7)+((H$2/H$18)*H8)+((H$2/H$18)*H9)-H3),0)),-1)))</f>
        <v>0</v>
      </c>
      <c r="I24">
        <f>IF(AND(I2&lt;5,I3&lt;5,(I2*3)&gt;I3,(ROUND((IF((((I$2/I$18)*I7)+((I$2/I$18)*I8)+((I$2/I$18)*I9)-I3)&gt;0,(((I$2/I$18)*I7)+((I$2/I$18)*I8)+((I$2/I$18)*I9)-I3),0)),-1))=0),10,(ROUNDUP((IF((((I$2/I$18)*I7)+((I$2/I$18)*I8)+((I$2/I$18)*I9)-I3)&gt;0,(((I$2/I$18)*I7)+((I$2/I$18)*I8)+((I$2/I$18)*I9)-I3),0)),-1)))</f>
        <v>0</v>
      </c>
      <c r="J24">
        <f>IF(AND(J2&lt;5,J3&lt;5,(J2*3)&gt;J3,(ROUND((IF((((J$2/J$18)*J7)+((J$2/J$18)*J8)+((J$2/J$18)*J9)-J3)&gt;0,(((J$2/J$18)*J7)+((J$2/J$18)*J8)+((J$2/J$18)*J9)-J3),0)),-1))=0),10,(ROUNDUP((IF((((J$2/J$18)*J7)+((J$2/J$18)*J8)+((J$2/J$18)*J9)-J3)&gt;0,(((J$2/J$18)*J7)+((J$2/J$18)*J8)+((J$2/J$18)*J9)-J3),0)),-1)))</f>
        <v>0</v>
      </c>
      <c r="K24">
        <f>IF(AND(K2&lt;5,K3&lt;5,(K2*3)&gt;K3,(ROUND((IF((((K$2/K$18)*K7)+((K$2/K$18)*K8)+((K$2/K$18)*K9)-K3)&gt;0,(((K$2/K$18)*K7)+((K$2/K$18)*K8)+((K$2/K$18)*K9)-K3),0)),-1))=0),10,(ROUNDUP((IF((((K$2/K$18)*K7)+((K$2/K$18)*K8)+((K$2/K$18)*K9)-K3)&gt;0,(((K$2/K$18)*K7)+((K$2/K$18)*K8)+((K$2/K$18)*K9)-K3),0)),-1)))</f>
        <v>0</v>
      </c>
      <c r="L24">
        <f>IF(AND(L2&lt;5,L3&lt;5,(L2*3)&gt;L3,(MROUND((IF((((L$2/L$18)*L7)+((L$2/L$18)*L8)+((L$2/L$18)*L9)-L3)&gt;0,(((L$2/L$18)*L7)+((L$2/L$18)*L8)+((L$2/L$18)*L9)-L3),0)),5))=0),5,(MROUND((IF((((L$2/L$18)*L7)+((L$2/L$18)*L8)+((L$2/L$18)*L9)-L3)&gt;0,((((L$2/L$18)*L7)+((L$2/L$18)*L8)+((L$2/L$18)*L9)-L3)+2.25),0)),5)))</f>
        <v>0</v>
      </c>
      <c r="M24">
        <f t="shared" ref="M24:U24" si="2">IF(AND(M2&lt;5,M3&lt;5,(M2*3)&gt;M3,(ROUND((IF((((M$2/M$18)*M7)+((M$2/M$18)*M8)+((M$2/M$18)*M9)-M3)&gt;0,(((M$2/M$18)*M7)+((M$2/M$18)*M8)+((M$2/M$18)*M9)-M3),0)),-1))=0),10,(ROUNDUP((IF((((M$2/M$18)*M7)+((M$2/M$18)*M8)+((M$2/M$18)*M9)-M3)&gt;0,(((M$2/M$18)*M7)+((M$2/M$18)*M8)+((M$2/M$18)*M9)-M3),0)),-1)))</f>
        <v>0</v>
      </c>
      <c r="N24">
        <f t="shared" si="2"/>
        <v>0</v>
      </c>
      <c r="O24">
        <f t="shared" si="2"/>
        <v>0</v>
      </c>
      <c r="P24">
        <f t="shared" si="2"/>
        <v>0</v>
      </c>
      <c r="Q24">
        <f t="shared" si="2"/>
        <v>0</v>
      </c>
      <c r="R24">
        <f t="shared" si="2"/>
        <v>0</v>
      </c>
      <c r="S24">
        <f t="shared" si="2"/>
        <v>0</v>
      </c>
      <c r="T24">
        <f t="shared" si="2"/>
        <v>0</v>
      </c>
      <c r="U24">
        <f t="shared" si="2"/>
        <v>0</v>
      </c>
      <c r="V24">
        <f>IF(AND(V2&lt;5,V3&lt;5,(V2*3)&gt;V3,(ROUND((IF((((V$2/V$18)*V7)+((V$2/V$18)*V8)+((V$2/V$18)*V9)-V3)&gt;0,(((V$2/V$18)*V7)+((V$2/V$18)*V8)+((V$2/V$18)*V9)-V3),0)),-1))=0),10,(ROUNDUP((IF((((V$2/V$18)*V7)+((V$2/V$18)*V8)+((V$2/V$18)*V9)-V3)&gt;0,(((V$2/V$18)*V7)+((V$2/V$18)*V8)+((V$2/V$18)*V9)-V3),0)),-1)))</f>
        <v>0</v>
      </c>
    </row>
    <row r="25" spans="1:22" x14ac:dyDescent="0.25">
      <c r="B25" s="4"/>
    </row>
    <row r="26" spans="1:22" x14ac:dyDescent="0.25">
      <c r="C26" t="s">
        <v>13</v>
      </c>
      <c r="D26" t="s">
        <v>26</v>
      </c>
      <c r="E26" t="s">
        <v>27</v>
      </c>
      <c r="F26" t="s">
        <v>28</v>
      </c>
      <c r="G26" t="s">
        <v>29</v>
      </c>
      <c r="H26" t="s">
        <v>30</v>
      </c>
      <c r="I26" t="s">
        <v>31</v>
      </c>
      <c r="J26" t="s">
        <v>32</v>
      </c>
      <c r="K26" t="s">
        <v>14</v>
      </c>
      <c r="L26" t="s">
        <v>33</v>
      </c>
      <c r="M26" t="s">
        <v>15</v>
      </c>
      <c r="N26" t="s">
        <v>34</v>
      </c>
      <c r="O26" t="s">
        <v>25</v>
      </c>
      <c r="P26" t="s">
        <v>35</v>
      </c>
      <c r="Q26" t="s">
        <v>36</v>
      </c>
      <c r="R26" t="s">
        <v>37</v>
      </c>
      <c r="S26" t="s">
        <v>38</v>
      </c>
      <c r="T26" t="s">
        <v>109</v>
      </c>
      <c r="U26" t="s">
        <v>110</v>
      </c>
      <c r="V26" t="s">
        <v>38</v>
      </c>
    </row>
    <row r="27" spans="1:22" x14ac:dyDescent="0.25">
      <c r="A27" t="s">
        <v>85</v>
      </c>
      <c r="B27" s="4" t="str">
        <f>List!I2</f>
        <v>January</v>
      </c>
      <c r="C27">
        <f>IF(AND(C2&lt;5,C3&lt;5,(C2*7)&gt;C3,(ROUND((IF((((C$2/C$18)*C7)+((C$2/C$18)*C8)+((C$2/C$18)*C9)+((C$2/C$18)*C10)+((C$2/C$18)*C11)+((C$2/C$18)*C12)+((C$2/C$18)*C13)-C3)&gt;0,(((C$2/C$18)*C7)+((C$2/C$18)*C8)+((C$2/C$18)*C9)+((C$2/C$18)*C10)+((C$2/C$18)*C11)+((C$2/C$18)*C12)+((C$2/C$18)*C13)-C3),0)),-1))=0),10,(ROUNDUP((IF((((C$2/C$18)*C7)+((C$2/C$18)*C8)+((C$2/C$18)*C9)+((C$2/C$18)*C10)+((C$2/C$18)*C11)+((C$2/C$18)*C12)+((C$2/C$18)*C13)-C3)&gt;0,(((C$2/C$18)*C7)+((C$2/C$18)*C8)+((C$2/C$18)*C9)+((C$2/C$18)*C10)+((C$2/C$18)*C11)+((C$2/C$18)*C12)+((C$2/C$18)*C13)-C3),0)),-1)))</f>
        <v>0</v>
      </c>
      <c r="D27">
        <f>IF(AND(D2&lt;5,D3&lt;5,(D2*7)&gt;D3,(ROUND((IF((((D$2/D$18)*D7)+((D$2/D$18)*D8)+((D$2/D$18)*D9)+((D$2/D$18)*D10)+((D$2/D$18)*D11)+((D$2/D$18)*D12)+((D$2/D$18)*D13)-D3)&gt;0,(((D$2/D$18)*D7)+((D$2/D$18)*D8)+((D$2/D$18)*D9)+((D$2/D$18)*D10)+((D$2/D$18)*D11)+((D$2/D$18)*D12)+((D$2/D$18)*D13)-D3),0)),-1))=0),10,(ROUNDUP((IF((((D$2/D$18)*D7)+((D$2/D$18)*D8)+((D$2/D$18)*D9)+((D$2/D$18)*D10)+((D$2/D$18)*D11)+((D$2/D$18)*D12)+((D$2/D$18)*D13)-D3)&gt;0,(((D$2/D$18)*D7)+((D$2/D$18)*D8)+((D$2/D$18)*D9)+((D$2/D$18)*D10)+((D$2/D$18)*D11)+((D$2/D$18)*D12)+((D$2/D$18)*D13)-D3),0)),-1)))</f>
        <v>0</v>
      </c>
      <c r="E27">
        <f>IF(AND(E2&lt;5,E3&lt;5,(E2*7)&gt;E3,(ROUND((IF((((E$2/E$18)*E7)+((E$2/E$18)*E8)+((E$2/E$18)*E9)+((E$2/E$18)*E10)+((E$2/E$18)*E11)+((E$2/E$18)*E12)+((E$2/E$18)*E13)-E3)&gt;0,(((E$2/E$18)*E7)+((E$2/E$18)*E8)+((E$2/E$18)*E9)+((E$2/E$18)*E10)+((E$2/E$18)*E11)+((E$2/E$18)*E12)+((E$2/E$18)*E13)-E3),0)),-1))=0),10,(ROUNDUP((IF((((E$2/E$18)*E7)+((E$2/E$18)*E8)+((E$2/E$18)*E9)+((E$2/E$18)*E10)+((E$2/E$18)*E11)+((E$2/E$18)*E12)+((E$2/E$18)*E13)-E3)&gt;0,(((E$2/E$18)*E7)+((E$2/E$18)*E8)+((E$2/E$18)*E9)+((E$2/E$18)*E10)+((E$2/E$18)*E11)+((E$2/E$18)*E12)+((E$2/E$18)*E13)-E3),0)),-1)))</f>
        <v>0</v>
      </c>
      <c r="F27">
        <f>IF(AND(F2&lt;5,F3&lt;5,(F2*7)&gt;F3,(MROUND((IF((((F$2/F$18)*F7)+((F$2/F$18)*F8)+((F$2/F$18)*F9)+((F$2/F$18)*F10)+((F$2/F$18)*F11)+((F$2/F$18)*F12)+((F$2/F$18)*F13)-F3)&gt;0,(((F$2/F$18)*F7)+((F$2/F$18)*F8)+((F$2/F$18)*F9)+((F$2/F$18)*F10)+((F$2/F$18)*F11)+((F$2/F$18)*F12)+((F$2/F$18)*F13)-F3),0)),5))=0),5,(MROUND((IF((((F$2/F$18)*F7)+((F$2/F$18)*F8)+((F$2/F$18)*F9)+((F$2/F$18)*F10)+((F$2/F$18)*F11)+((F$2/F$18)*F12)+((F$2/F$18)*F13)-F3)&gt;0,((((F$2/F$18)*F7)+((F$2/F$18)*F8)+((F$2/F$18)*F9)+((F$2/F$18)*F10)+((F$2/F$18)*F11)+((F$2/F$18)*F12)+((F$2/F$18)*F13)-F3)+2.25),0)),5)))</f>
        <v>0</v>
      </c>
      <c r="G27">
        <f>IF(AND(G2&lt;5,G3&lt;5,(G2*7)&gt;G3,(ROUND((IF((((G$2/G$18)*G7)+((G$2/G$18)*G8)+((G$2/G$18)*G9)+((G$2/G$18)*G10)+((G$2/G$18)*G11)+((G$2/G$18)*G12)+((G$2/G$18)*G13)-G3)&gt;0,(((G$2/G$18)*G7)+((G$2/G$18)*G8)+((G$2/G$18)*G9)+((G$2/G$18)*G10)+((G$2/G$18)*G11)+((G$2/G$18)*G12)+((G$2/G$18)*G13)-G3),0)),-1))=0),10,(ROUNDUP((IF((((G$2/G$18)*G7)+((G$2/G$18)*G8)+((G$2/G$18)*G9)+((G$2/G$18)*G10)+((G$2/G$18)*G11)+((G$2/G$18)*G12)+((G$2/G$18)*G13)-G3)&gt;0,(((G$2/G$18)*G7)+((G$2/G$18)*G8)+((G$2/G$18)*G9)+((G$2/G$18)*G10)+((G$2/G$18)*G11)+((G$2/G$18)*G12)+((G$2/G$18)*G13)-G3),0)),-1)))</f>
        <v>0</v>
      </c>
      <c r="H27">
        <f>IF(AND(H2&lt;5,H3&lt;5,(H2*7)&gt;H3,(ROUND((IF((((H$2/H$18)*H7)+((H$2/H$18)*H8)+((H$2/H$18)*H9)+((H$2/H$18)*H10)+((H$2/H$18)*H11)+((H$2/H$18)*H12)+((H$2/H$18)*H13)-H3)&gt;0,(((H$2/H$18)*H7)+((H$2/H$18)*H8)+((H$2/H$18)*H9)+((H$2/H$18)*H10)+((H$2/H$18)*H11)+((H$2/H$18)*H12)+((H$2/H$18)*H13)-H3),0)),-1))=0),10,(ROUNDUP((IF((((H$2/H$18)*H7)+((H$2/H$18)*H8)+((H$2/H$18)*H9)+((H$2/H$18)*H10)+((H$2/H$18)*H11)+((H$2/H$18)*H12)+((H$2/H$18)*H13)-H3)&gt;0,(((H$2/H$18)*H7)+((H$2/H$18)*H8)+((H$2/H$18)*H9)+((H$2/H$18)*H10)+((H$2/H$18)*H11)+((H$2/H$18)*H12)+((H$2/H$18)*H13)-H3),0)),-1)))</f>
        <v>0</v>
      </c>
      <c r="I27">
        <f>IF(AND(I2&lt;5,I3&lt;5,(I2*7)&gt;I3,(ROUND((IF((((I$2/I$18)*I7)+((I$2/I$18)*I8)+((I$2/I$18)*I9)+((I$2/I$18)*I10)+((I$2/I$18)*I11)+((I$2/I$18)*I12)+((I$2/I$18)*I13)-I3)&gt;0,(((I$2/I$18)*I7)+((I$2/I$18)*I8)+((I$2/I$18)*I9)+((I$2/I$18)*I10)+((I$2/I$18)*I11)+((I$2/I$18)*I12)+((I$2/I$18)*I13)-I3),0)),-1))=0),10,(ROUNDUP((IF((((I$2/I$18)*I7)+((I$2/I$18)*I8)+((I$2/I$18)*I9)+((I$2/I$18)*I10)+((I$2/I$18)*I11)+((I$2/I$18)*I12)+((I$2/I$18)*I13)-I3)&gt;0,(((I$2/I$18)*I7)+((I$2/I$18)*I8)+((I$2/I$18)*I9)+((I$2/I$18)*I10)+((I$2/I$18)*I11)+((I$2/I$18)*I12)+((I$2/I$18)*I13)-I3),0)),-1)))</f>
        <v>0</v>
      </c>
      <c r="J27">
        <f>IF(AND(J2&lt;5,J3&lt;5,(J2*7)&gt;J3,(ROUND((IF((((J$2/J$18)*J7)+((J$2/J$18)*J8)+((J$2/J$18)*J9)+((J$2/J$18)*J10)+((J$2/J$18)*J11)+((J$2/J$18)*J12)+((J$2/J$18)*J13)-J3)&gt;0,(((J$2/J$18)*J7)+((J$2/J$18)*J8)+((J$2/J$18)*J9)+((J$2/J$18)*J10)+((J$2/J$18)*J11)+((J$2/J$18)*J12)+((J$2/J$18)*J13)-J3),0)),-1))=0),10,(ROUNDUP((IF((((J$2/J$18)*J7)+((J$2/J$18)*J8)+((J$2/J$18)*J9)+((J$2/J$18)*J10)+((J$2/J$18)*J11)+((J$2/J$18)*J12)+((J$2/J$18)*J13)-J3)&gt;0,(((J$2/J$18)*J7)+((J$2/J$18)*J8)+((J$2/J$18)*J9)+((J$2/J$18)*J10)+((J$2/J$18)*J11)+((J$2/J$18)*J12)+((J$2/J$18)*J13)-J3),0)),-1)))</f>
        <v>0</v>
      </c>
      <c r="K27">
        <f>IF(AND(K2&lt;5,K3&lt;5,(K2*7)&gt;K3,(ROUND((IF((((K$2/K$18)*K7)+((K$2/K$18)*K8)+((K$2/K$18)*K9)+((K$2/K$18)*K10)+((K$2/K$18)*K11)+((K$2/K$18)*K12)+((K$2/K$18)*K13)-K3)&gt;0,(((K$2/K$18)*K7)+((K$2/K$18)*K8)+((K$2/K$18)*K9)+((K$2/K$18)*K10)+((K$2/K$18)*K11)+((K$2/K$18)*K12)+((K$2/K$18)*K13)-K3),0)),-1))=0),10,(ROUNDUP((IF((((K$2/K$18)*K7)+((K$2/K$18)*K8)+((K$2/K$18)*K9)+((K$2/K$18)*K10)+((K$2/K$18)*K11)+((K$2/K$18)*K12)+((K$2/K$18)*K13)-K3)&gt;0,(((K$2/K$18)*K7)+((K$2/K$18)*K8)+((K$2/K$18)*K9)+((K$2/K$18)*K10)+((K$2/K$18)*K11)+((K$2/K$18)*K12)+((K$2/K$18)*K13)-K3),0)),-1)))</f>
        <v>0</v>
      </c>
      <c r="L27">
        <f>IF(AND(L2&lt;5,L3&lt;5,(L2*7)&gt;L3,(MROUND((IF((((L$2/L$18)*L7)+((L$2/L$18)*L8)+((L$2/L$18)*L9)+((L$2/L$18)*L10)+((L$2/L$18)*L11)+((L$2/L$18)*L12)+((L$2/L$18)*L13)-L3)&gt;0,(((L$2/L$18)*L7)+((L$2/L$18)*L8)+((L$2/L$18)*L9)+((L$2/L$18)*L10)+((L$2/L$18)*L11)+((L$2/L$18)*L12)+((L$2/L$18)*L13)-L3),0)),5))=0),5,(MROUND((IF((((L$2/L$18)*L7)+((L$2/L$18)*L8)+((L$2/L$18)*L9)+((L$2/L$18)*L10)+((L$2/L$18)*L11)+((L$2/L$18)*L12)+((L$2/L$18)*L13)-L3)&gt;0,((((L$2/L$18)*L7)+((L$2/L$18)*L8)+((L$2/L$18)*L9)+((L$2/L$18)*L10)+((L$2/L$18)*L11)+((L$2/L$18)*L12)+((L$2/L$18)*L13)-L3)+2.25),0)),5)))</f>
        <v>0</v>
      </c>
      <c r="M27">
        <f t="shared" ref="M27:U27" si="3">IF(AND(M2&lt;5,M3&lt;5,(M2*7)&gt;M3,(ROUND((IF((((M$2/M$18)*M7)+((M$2/M$18)*M8)+((M$2/M$18)*M9)+((M$2/M$18)*M10)+((M$2/M$18)*M11)+((M$2/M$18)*M12)+((M$2/M$18)*M13)-M3)&gt;0,(((M$2/M$18)*M7)+((M$2/M$18)*M8)+((M$2/M$18)*M9)+((M$2/M$18)*M10)+((M$2/M$18)*M11)+((M$2/M$18)*M12)+((M$2/M$18)*M13)-M3),0)),-1))=0),10,(ROUNDUP((IF((((M$2/M$18)*M7)+((M$2/M$18)*M8)+((M$2/M$18)*M9)+((M$2/M$18)*M10)+((M$2/M$18)*M11)+((M$2/M$18)*M12)+((M$2/M$18)*M13)-M3)&gt;0,(((M$2/M$18)*M7)+((M$2/M$18)*M8)+((M$2/M$18)*M9)+((M$2/M$18)*M10)+((M$2/M$18)*M11)+((M$2/M$18)*M12)+((M$2/M$18)*M13)-M3),0)),-1)))</f>
        <v>0</v>
      </c>
      <c r="N27">
        <f t="shared" si="3"/>
        <v>0</v>
      </c>
      <c r="O27">
        <f t="shared" si="3"/>
        <v>0</v>
      </c>
      <c r="P27">
        <f t="shared" si="3"/>
        <v>0</v>
      </c>
      <c r="Q27">
        <f t="shared" si="3"/>
        <v>0</v>
      </c>
      <c r="R27">
        <f t="shared" si="3"/>
        <v>0</v>
      </c>
      <c r="S27">
        <f t="shared" si="3"/>
        <v>0</v>
      </c>
      <c r="T27">
        <f t="shared" si="3"/>
        <v>0</v>
      </c>
      <c r="U27">
        <f t="shared" si="3"/>
        <v>0</v>
      </c>
      <c r="V27">
        <f>IF(AND(V2&lt;5,V3&lt;5,(V2*7)&gt;V3,(ROUND((IF((((V$2/V$18)*V7)+((V$2/V$18)*V8)+((V$2/V$18)*V9)+((V$2/V$18)*V10)+((V$2/V$18)*V11)+((V$2/V$18)*V12)+((V$2/V$18)*V13)-V3)&gt;0,(((V$2/V$18)*V7)+((V$2/V$18)*V8)+((V$2/V$18)*V9)+((V$2/V$18)*V10)+((V$2/V$18)*V11)+((V$2/V$18)*V12)+((V$2/V$18)*V13)-V3),0)),-1))=0),10,(ROUNDUP((IF((((V$2/V$18)*V7)+((V$2/V$18)*V8)+((V$2/V$18)*V9)+((V$2/V$18)*V10)+((V$2/V$18)*V11)+((V$2/V$18)*V12)+((V$2/V$18)*V13)-V3)&gt;0,(((V$2/V$18)*V7)+((V$2/V$18)*V8)+((V$2/V$18)*V9)+((V$2/V$18)*V10)+((V$2/V$18)*V11)+((V$2/V$18)*V12)+((V$2/V$18)*V13)-V3),0)),-1)))</f>
        <v>0</v>
      </c>
    </row>
    <row r="29" spans="1:22" x14ac:dyDescent="0.25">
      <c r="C29" t="s">
        <v>13</v>
      </c>
      <c r="D29" t="s">
        <v>26</v>
      </c>
      <c r="E29" t="s">
        <v>27</v>
      </c>
      <c r="F29" t="s">
        <v>28</v>
      </c>
      <c r="G29" t="s">
        <v>29</v>
      </c>
      <c r="H29" t="s">
        <v>30</v>
      </c>
      <c r="I29" t="s">
        <v>31</v>
      </c>
      <c r="J29" t="s">
        <v>32</v>
      </c>
      <c r="K29" t="s">
        <v>14</v>
      </c>
      <c r="L29" t="s">
        <v>33</v>
      </c>
      <c r="M29" t="s">
        <v>15</v>
      </c>
      <c r="N29" t="s">
        <v>34</v>
      </c>
      <c r="O29" t="s">
        <v>25</v>
      </c>
      <c r="P29" t="s">
        <v>35</v>
      </c>
      <c r="Q29" t="s">
        <v>36</v>
      </c>
      <c r="R29" t="s">
        <v>37</v>
      </c>
      <c r="S29" t="s">
        <v>38</v>
      </c>
      <c r="T29" t="s">
        <v>109</v>
      </c>
      <c r="U29" t="s">
        <v>110</v>
      </c>
      <c r="V29" t="s">
        <v>38</v>
      </c>
    </row>
    <row r="30" spans="1:22" x14ac:dyDescent="0.25">
      <c r="A30" t="s">
        <v>84</v>
      </c>
      <c r="B30" s="4" t="str">
        <f>List!J2</f>
        <v>January</v>
      </c>
      <c r="C30" s="2">
        <f>ROUNDUP((C4/2),-1)</f>
        <v>0</v>
      </c>
      <c r="D30" s="2">
        <f>ROUNDUP((D4/2),-1)</f>
        <v>0</v>
      </c>
      <c r="E30" s="2">
        <f>MROUND(((E4/2)+2.25),5)</f>
        <v>0</v>
      </c>
      <c r="F30" s="2">
        <f>MROUND(((F4/2)+2.25),5)</f>
        <v>0</v>
      </c>
      <c r="G30" s="2">
        <f>ROUNDUP((G4/2),-1)</f>
        <v>0</v>
      </c>
      <c r="H30" s="2">
        <f>ROUNDUP((H4/2),-1)</f>
        <v>0</v>
      </c>
      <c r="I30" s="2">
        <f>ROUNDUP((I4/2),-1)</f>
        <v>0</v>
      </c>
      <c r="J30" s="2">
        <f>ROUNDUP((J4/2),-1)</f>
        <v>0</v>
      </c>
      <c r="K30" s="2">
        <f>ROUNDUP((K4/2),-1)</f>
        <v>0</v>
      </c>
      <c r="L30" s="2">
        <f>MROUND(((L4/2)+2.25),5)</f>
        <v>0</v>
      </c>
      <c r="M30" s="2">
        <f t="shared" ref="M30:R30" si="4">ROUNDUP((M4/2),-1)</f>
        <v>0</v>
      </c>
      <c r="N30" s="2">
        <f t="shared" si="4"/>
        <v>0</v>
      </c>
      <c r="O30" s="2">
        <f t="shared" si="4"/>
        <v>0</v>
      </c>
      <c r="P30" s="2">
        <f t="shared" si="4"/>
        <v>0</v>
      </c>
      <c r="Q30" s="2">
        <f t="shared" si="4"/>
        <v>0</v>
      </c>
      <c r="R30" s="2">
        <f t="shared" si="4"/>
        <v>0</v>
      </c>
      <c r="S30" s="2">
        <f>ROUNDUP((S4/2),-1)</f>
        <v>0</v>
      </c>
      <c r="T30" s="2">
        <f>ROUNDUP((T4/2),-1)</f>
        <v>0</v>
      </c>
      <c r="U30" s="2">
        <f>ROUNDUP((U4/2),-1)</f>
        <v>0</v>
      </c>
      <c r="V30" s="2">
        <f>ROUNDUP((V4/2),-1)</f>
        <v>0</v>
      </c>
    </row>
    <row r="31" spans="1:22" x14ac:dyDescent="0.25">
      <c r="A31" t="s">
        <v>84</v>
      </c>
      <c r="B31" s="4" t="str">
        <f>List!J3</f>
        <v>January</v>
      </c>
      <c r="C31" s="2">
        <f t="shared" ref="C31:S31" si="5">C4-C30</f>
        <v>0</v>
      </c>
      <c r="D31" s="2">
        <f t="shared" si="5"/>
        <v>0</v>
      </c>
      <c r="E31" s="2">
        <f t="shared" si="5"/>
        <v>0</v>
      </c>
      <c r="F31" s="2">
        <f t="shared" si="5"/>
        <v>0</v>
      </c>
      <c r="G31" s="2">
        <f t="shared" si="5"/>
        <v>0</v>
      </c>
      <c r="H31" s="2">
        <f t="shared" si="5"/>
        <v>0</v>
      </c>
      <c r="I31" s="2">
        <f t="shared" si="5"/>
        <v>0</v>
      </c>
      <c r="J31" s="2">
        <f t="shared" si="5"/>
        <v>0</v>
      </c>
      <c r="K31" s="2">
        <f t="shared" si="5"/>
        <v>0</v>
      </c>
      <c r="L31" s="2">
        <f t="shared" si="5"/>
        <v>0</v>
      </c>
      <c r="M31" s="2">
        <f t="shared" si="5"/>
        <v>0</v>
      </c>
      <c r="N31" s="2">
        <f t="shared" si="5"/>
        <v>0</v>
      </c>
      <c r="O31" s="2">
        <f t="shared" si="5"/>
        <v>0</v>
      </c>
      <c r="P31" s="2">
        <f t="shared" si="5"/>
        <v>0</v>
      </c>
      <c r="Q31" s="2">
        <f t="shared" si="5"/>
        <v>0</v>
      </c>
      <c r="R31" s="2">
        <f t="shared" si="5"/>
        <v>0</v>
      </c>
      <c r="S31" s="2">
        <f t="shared" si="5"/>
        <v>0</v>
      </c>
      <c r="T31" s="2">
        <f>T4-T30</f>
        <v>0</v>
      </c>
      <c r="U31" s="2">
        <f>U4-U30</f>
        <v>0</v>
      </c>
      <c r="V31" s="2">
        <f>V4-V30</f>
        <v>0</v>
      </c>
    </row>
    <row r="33" spans="2:22" x14ac:dyDescent="0.25">
      <c r="B33" s="4"/>
      <c r="C33" t="s">
        <v>13</v>
      </c>
      <c r="D33" t="s">
        <v>26</v>
      </c>
      <c r="E33" t="s">
        <v>27</v>
      </c>
      <c r="F33" t="s">
        <v>28</v>
      </c>
      <c r="G33" t="s">
        <v>29</v>
      </c>
      <c r="H33" t="s">
        <v>30</v>
      </c>
      <c r="I33" t="s">
        <v>31</v>
      </c>
      <c r="J33" t="s">
        <v>32</v>
      </c>
      <c r="K33" t="s">
        <v>14</v>
      </c>
      <c r="L33" t="s">
        <v>33</v>
      </c>
      <c r="M33" t="s">
        <v>15</v>
      </c>
      <c r="N33" t="s">
        <v>34</v>
      </c>
      <c r="O33" t="s">
        <v>25</v>
      </c>
      <c r="P33" t="s">
        <v>35</v>
      </c>
      <c r="Q33" t="s">
        <v>36</v>
      </c>
      <c r="R33" t="s">
        <v>37</v>
      </c>
      <c r="S33" t="s">
        <v>38</v>
      </c>
      <c r="T33" t="s">
        <v>109</v>
      </c>
      <c r="U33" t="s">
        <v>110</v>
      </c>
      <c r="V33" t="s">
        <v>38</v>
      </c>
    </row>
    <row r="34" spans="2:22" x14ac:dyDescent="0.25">
      <c r="B34" s="3" t="str">
        <f>List!F2</f>
        <v>January</v>
      </c>
      <c r="C34" s="1">
        <v>8.3333333333333329E-2</v>
      </c>
      <c r="D34" s="1">
        <v>8.3333333333333329E-2</v>
      </c>
      <c r="E34" s="1">
        <v>8.3333333333333329E-2</v>
      </c>
      <c r="F34" s="1">
        <v>8.3333333333333329E-2</v>
      </c>
      <c r="G34" s="1">
        <v>8.3333333333333329E-2</v>
      </c>
      <c r="H34" s="1">
        <v>8.3333333333333329E-2</v>
      </c>
      <c r="I34" s="1">
        <v>8.3333333333333329E-2</v>
      </c>
      <c r="J34" s="1">
        <v>8.3333333333333329E-2</v>
      </c>
      <c r="K34" s="1">
        <v>8.3333333333333329E-2</v>
      </c>
      <c r="L34" s="1">
        <v>8.3333333333333329E-2</v>
      </c>
      <c r="M34" s="1">
        <v>8.3333333333333329E-2</v>
      </c>
      <c r="N34" s="1">
        <v>8.3333333333333329E-2</v>
      </c>
      <c r="O34" s="1">
        <v>8.3333333333333329E-2</v>
      </c>
      <c r="P34" s="1">
        <v>8.3333333333333329E-2</v>
      </c>
      <c r="Q34" s="1">
        <v>8.3333333333333329E-2</v>
      </c>
      <c r="R34" s="1">
        <v>8.3333333333333329E-2</v>
      </c>
      <c r="S34" s="1">
        <v>8.3333333333333329E-2</v>
      </c>
      <c r="T34" s="1">
        <v>8.3333333333333329E-2</v>
      </c>
      <c r="U34" s="1">
        <v>8.3333333333333329E-2</v>
      </c>
      <c r="V34" s="1">
        <v>8.3333333333333329E-2</v>
      </c>
    </row>
    <row r="35" spans="2:22" x14ac:dyDescent="0.25">
      <c r="B35" s="3" t="str">
        <f>List!F3</f>
        <v>February</v>
      </c>
      <c r="C35" s="1">
        <v>8.3333333333333329E-2</v>
      </c>
      <c r="D35" s="1">
        <v>8.3333333333333329E-2</v>
      </c>
      <c r="E35" s="1">
        <v>8.3333333333333329E-2</v>
      </c>
      <c r="F35" s="1">
        <v>8.3333333333333329E-2</v>
      </c>
      <c r="G35" s="1">
        <v>8.3333333333333329E-2</v>
      </c>
      <c r="H35" s="1">
        <v>8.3333333333333329E-2</v>
      </c>
      <c r="I35" s="1">
        <v>8.3333333333333329E-2</v>
      </c>
      <c r="J35" s="1">
        <v>8.3333333333333329E-2</v>
      </c>
      <c r="K35" s="1">
        <v>8.3333333333333329E-2</v>
      </c>
      <c r="L35" s="1">
        <v>8.3333333333333329E-2</v>
      </c>
      <c r="M35" s="1">
        <v>8.3333333333333329E-2</v>
      </c>
      <c r="N35" s="1">
        <v>8.3333333333333329E-2</v>
      </c>
      <c r="O35" s="1">
        <v>8.3333333333333329E-2</v>
      </c>
      <c r="P35" s="1">
        <v>8.3333333333333329E-2</v>
      </c>
      <c r="Q35" s="1">
        <v>8.3333333333333329E-2</v>
      </c>
      <c r="R35" s="1">
        <v>8.3333333333333329E-2</v>
      </c>
      <c r="S35" s="1">
        <v>8.3333333333333329E-2</v>
      </c>
      <c r="T35" s="1">
        <v>8.3333333333333329E-2</v>
      </c>
      <c r="U35" s="1">
        <v>8.3333333333333329E-2</v>
      </c>
      <c r="V35" s="1">
        <v>8.3333333333333329E-2</v>
      </c>
    </row>
    <row r="36" spans="2:22" x14ac:dyDescent="0.25">
      <c r="B36" s="3" t="str">
        <f>List!F4</f>
        <v>March</v>
      </c>
      <c r="C36" s="1">
        <v>8.3333333333333329E-2</v>
      </c>
      <c r="D36" s="1">
        <v>8.3333333333333329E-2</v>
      </c>
      <c r="E36" s="1">
        <v>8.3333333333333329E-2</v>
      </c>
      <c r="F36" s="1">
        <v>8.3333333333333329E-2</v>
      </c>
      <c r="G36" s="1">
        <v>8.3333333333333329E-2</v>
      </c>
      <c r="H36" s="1">
        <v>8.3333333333333329E-2</v>
      </c>
      <c r="I36" s="1">
        <v>8.3333333333333329E-2</v>
      </c>
      <c r="J36" s="1">
        <v>8.3333333333333329E-2</v>
      </c>
      <c r="K36" s="1">
        <v>8.3333333333333329E-2</v>
      </c>
      <c r="L36" s="1">
        <v>8.3333333333333329E-2</v>
      </c>
      <c r="M36" s="1">
        <v>8.3333333333333329E-2</v>
      </c>
      <c r="N36" s="1">
        <v>8.3333333333333329E-2</v>
      </c>
      <c r="O36" s="1">
        <v>8.3333333333333329E-2</v>
      </c>
      <c r="P36" s="1">
        <v>8.3333333333333329E-2</v>
      </c>
      <c r="Q36" s="1">
        <v>8.3333333333333329E-2</v>
      </c>
      <c r="R36" s="1">
        <v>8.3333333333333329E-2</v>
      </c>
      <c r="S36" s="1">
        <v>8.3333333333333329E-2</v>
      </c>
      <c r="T36" s="1">
        <v>8.3333333333333329E-2</v>
      </c>
      <c r="U36" s="1">
        <v>8.3333333333333329E-2</v>
      </c>
      <c r="V36" s="1">
        <v>8.3333333333333329E-2</v>
      </c>
    </row>
    <row r="37" spans="2:22" x14ac:dyDescent="0.25">
      <c r="B37" s="3" t="str">
        <f>List!F5</f>
        <v>April</v>
      </c>
      <c r="C37" s="1">
        <v>8.3333333333333329E-2</v>
      </c>
      <c r="D37" s="1">
        <v>8.3333333333333329E-2</v>
      </c>
      <c r="E37" s="1">
        <v>8.3333333333333329E-2</v>
      </c>
      <c r="F37" s="1">
        <v>8.3333333333333329E-2</v>
      </c>
      <c r="G37" s="1">
        <v>8.3333333333333329E-2</v>
      </c>
      <c r="H37" s="1">
        <v>8.3333333333333329E-2</v>
      </c>
      <c r="I37" s="1">
        <v>8.3333333333333329E-2</v>
      </c>
      <c r="J37" s="1">
        <v>8.3333333333333329E-2</v>
      </c>
      <c r="K37" s="1">
        <v>8.3333333333333329E-2</v>
      </c>
      <c r="L37" s="1">
        <v>8.3333333333333329E-2</v>
      </c>
      <c r="M37" s="1">
        <v>8.3333333333333329E-2</v>
      </c>
      <c r="N37" s="1">
        <v>8.3333333333333329E-2</v>
      </c>
      <c r="O37" s="1">
        <v>8.3333333333333329E-2</v>
      </c>
      <c r="P37" s="1">
        <v>8.3333333333333329E-2</v>
      </c>
      <c r="Q37" s="1">
        <v>8.3333333333333329E-2</v>
      </c>
      <c r="R37" s="1">
        <v>8.3333333333333329E-2</v>
      </c>
      <c r="S37" s="1">
        <v>8.3333333333333329E-2</v>
      </c>
      <c r="T37" s="1">
        <v>8.3333333333333329E-2</v>
      </c>
      <c r="U37" s="1">
        <v>8.3333333333333329E-2</v>
      </c>
      <c r="V37" s="1">
        <v>8.3333333333333329E-2</v>
      </c>
    </row>
    <row r="38" spans="2:22" x14ac:dyDescent="0.25">
      <c r="B38" s="3" t="str">
        <f>List!F6</f>
        <v>May</v>
      </c>
      <c r="C38" s="1">
        <v>8.3333333333333329E-2</v>
      </c>
      <c r="D38" s="1">
        <v>8.3333333333333329E-2</v>
      </c>
      <c r="E38" s="1">
        <v>8.3333333333333329E-2</v>
      </c>
      <c r="F38" s="1">
        <v>8.3333333333333329E-2</v>
      </c>
      <c r="G38" s="1">
        <v>8.3333333333333329E-2</v>
      </c>
      <c r="H38" s="1">
        <v>8.3333333333333329E-2</v>
      </c>
      <c r="I38" s="1">
        <v>8.3333333333333329E-2</v>
      </c>
      <c r="J38" s="1">
        <v>8.3333333333333329E-2</v>
      </c>
      <c r="K38" s="1">
        <v>8.3333333333333329E-2</v>
      </c>
      <c r="L38" s="1">
        <v>8.3333333333333329E-2</v>
      </c>
      <c r="M38" s="1">
        <v>8.3333333333333329E-2</v>
      </c>
      <c r="N38" s="1">
        <v>8.3333333333333329E-2</v>
      </c>
      <c r="O38" s="1">
        <v>8.3333333333333329E-2</v>
      </c>
      <c r="P38" s="1">
        <v>8.3333333333333329E-2</v>
      </c>
      <c r="Q38" s="1">
        <v>8.3333333333333329E-2</v>
      </c>
      <c r="R38" s="1">
        <v>8.3333333333333329E-2</v>
      </c>
      <c r="S38" s="1">
        <v>8.3333333333333329E-2</v>
      </c>
      <c r="T38" s="1">
        <v>8.3333333333333329E-2</v>
      </c>
      <c r="U38" s="1">
        <v>8.3333333333333329E-2</v>
      </c>
      <c r="V38" s="1">
        <v>8.3333333333333329E-2</v>
      </c>
    </row>
    <row r="39" spans="2:22" x14ac:dyDescent="0.25">
      <c r="B39" s="3" t="str">
        <f>List!F7</f>
        <v>June</v>
      </c>
      <c r="C39" s="1">
        <v>8.3333333333333329E-2</v>
      </c>
      <c r="D39" s="1">
        <v>8.3333333333333329E-2</v>
      </c>
      <c r="E39" s="1">
        <v>8.3333333333333329E-2</v>
      </c>
      <c r="F39" s="1">
        <v>8.3333333333333329E-2</v>
      </c>
      <c r="G39" s="1">
        <v>8.3333333333333329E-2</v>
      </c>
      <c r="H39" s="1">
        <v>8.3333333333333329E-2</v>
      </c>
      <c r="I39" s="1">
        <v>8.3333333333333329E-2</v>
      </c>
      <c r="J39" s="1">
        <v>8.3333333333333329E-2</v>
      </c>
      <c r="K39" s="1">
        <v>8.3333333333333329E-2</v>
      </c>
      <c r="L39" s="1">
        <v>8.3333333333333329E-2</v>
      </c>
      <c r="M39" s="1">
        <v>8.3333333333333329E-2</v>
      </c>
      <c r="N39" s="1">
        <v>8.3333333333333329E-2</v>
      </c>
      <c r="O39" s="1">
        <v>8.3333333333333329E-2</v>
      </c>
      <c r="P39" s="1">
        <v>8.3333333333333329E-2</v>
      </c>
      <c r="Q39" s="1">
        <v>8.3333333333333329E-2</v>
      </c>
      <c r="R39" s="1">
        <v>8.3333333333333329E-2</v>
      </c>
      <c r="S39" s="1">
        <v>8.3333333333333329E-2</v>
      </c>
      <c r="T39" s="1">
        <v>8.3333333333333329E-2</v>
      </c>
      <c r="U39" s="1">
        <v>8.3333333333333329E-2</v>
      </c>
      <c r="V39" s="1">
        <v>8.3333333333333329E-2</v>
      </c>
    </row>
    <row r="40" spans="2:22" x14ac:dyDescent="0.25">
      <c r="B40" s="3" t="str">
        <f>List!F8</f>
        <v>July</v>
      </c>
      <c r="C40" s="1">
        <v>8.3333333333333329E-2</v>
      </c>
      <c r="D40" s="1">
        <v>8.3333333333333329E-2</v>
      </c>
      <c r="E40" s="1">
        <v>8.3333333333333329E-2</v>
      </c>
      <c r="F40" s="1">
        <v>8.3333333333333329E-2</v>
      </c>
      <c r="G40" s="1">
        <v>8.3333333333333329E-2</v>
      </c>
      <c r="H40" s="1">
        <v>8.3333333333333329E-2</v>
      </c>
      <c r="I40" s="1">
        <v>8.3333333333333329E-2</v>
      </c>
      <c r="J40" s="1">
        <v>8.3333333333333329E-2</v>
      </c>
      <c r="K40" s="1">
        <v>8.3333333333333329E-2</v>
      </c>
      <c r="L40" s="1">
        <v>8.3333333333333329E-2</v>
      </c>
      <c r="M40" s="1">
        <v>8.3333333333333329E-2</v>
      </c>
      <c r="N40" s="1">
        <v>8.3333333333333329E-2</v>
      </c>
      <c r="O40" s="1">
        <v>8.3333333333333329E-2</v>
      </c>
      <c r="P40" s="1">
        <v>8.3333333333333329E-2</v>
      </c>
      <c r="Q40" s="1">
        <v>8.3333333333333329E-2</v>
      </c>
      <c r="R40" s="1">
        <v>8.3333333333333329E-2</v>
      </c>
      <c r="S40" s="1">
        <v>8.3333333333333329E-2</v>
      </c>
      <c r="T40" s="1">
        <v>8.3333333333333329E-2</v>
      </c>
      <c r="U40" s="1">
        <v>8.3333333333333329E-2</v>
      </c>
      <c r="V40" s="1">
        <v>8.3333333333333329E-2</v>
      </c>
    </row>
    <row r="41" spans="2:22" x14ac:dyDescent="0.25">
      <c r="B41" s="3" t="str">
        <f>List!F9</f>
        <v>August</v>
      </c>
      <c r="C41" s="1">
        <v>8.3333333333333329E-2</v>
      </c>
      <c r="D41" s="1">
        <v>8.3333333333333329E-2</v>
      </c>
      <c r="E41" s="1">
        <v>8.3333333333333329E-2</v>
      </c>
      <c r="F41" s="1">
        <v>8.3333333333333329E-2</v>
      </c>
      <c r="G41" s="1">
        <v>8.3333333333333329E-2</v>
      </c>
      <c r="H41" s="1">
        <v>8.3333333333333329E-2</v>
      </c>
      <c r="I41" s="1">
        <v>8.3333333333333329E-2</v>
      </c>
      <c r="J41" s="1">
        <v>8.3333333333333329E-2</v>
      </c>
      <c r="K41" s="1">
        <v>8.3333333333333329E-2</v>
      </c>
      <c r="L41" s="1">
        <v>8.3333333333333329E-2</v>
      </c>
      <c r="M41" s="1">
        <v>8.3333333333333329E-2</v>
      </c>
      <c r="N41" s="1">
        <v>8.3333333333333329E-2</v>
      </c>
      <c r="O41" s="1">
        <v>8.3333333333333329E-2</v>
      </c>
      <c r="P41" s="1">
        <v>8.3333333333333329E-2</v>
      </c>
      <c r="Q41" s="1">
        <v>8.3333333333333329E-2</v>
      </c>
      <c r="R41" s="1">
        <v>8.3333333333333329E-2</v>
      </c>
      <c r="S41" s="1">
        <v>8.3333333333333329E-2</v>
      </c>
      <c r="T41" s="1">
        <v>8.3333333333333329E-2</v>
      </c>
      <c r="U41" s="1">
        <v>8.3333333333333329E-2</v>
      </c>
      <c r="V41" s="1">
        <v>8.3333333333333329E-2</v>
      </c>
    </row>
    <row r="42" spans="2:22" x14ac:dyDescent="0.25">
      <c r="B42" s="3" t="str">
        <f>List!F10</f>
        <v>September</v>
      </c>
      <c r="C42" s="1">
        <v>8.3333333333333329E-2</v>
      </c>
      <c r="D42" s="1">
        <v>8.3333333333333329E-2</v>
      </c>
      <c r="E42" s="1">
        <v>8.3333333333333329E-2</v>
      </c>
      <c r="F42" s="1">
        <v>8.3333333333333329E-2</v>
      </c>
      <c r="G42" s="1">
        <v>8.3333333333333329E-2</v>
      </c>
      <c r="H42" s="1">
        <v>8.3333333333333329E-2</v>
      </c>
      <c r="I42" s="1">
        <v>8.3333333333333329E-2</v>
      </c>
      <c r="J42" s="1">
        <v>8.3333333333333329E-2</v>
      </c>
      <c r="K42" s="1">
        <v>8.3333333333333329E-2</v>
      </c>
      <c r="L42" s="1">
        <v>8.3333333333333329E-2</v>
      </c>
      <c r="M42" s="1">
        <v>8.3333333333333329E-2</v>
      </c>
      <c r="N42" s="1">
        <v>8.3333333333333329E-2</v>
      </c>
      <c r="O42" s="1">
        <v>8.3333333333333329E-2</v>
      </c>
      <c r="P42" s="1">
        <v>8.3333333333333329E-2</v>
      </c>
      <c r="Q42" s="1">
        <v>8.3333333333333329E-2</v>
      </c>
      <c r="R42" s="1">
        <v>8.3333333333333329E-2</v>
      </c>
      <c r="S42" s="1">
        <v>8.3333333333333329E-2</v>
      </c>
      <c r="T42" s="1">
        <v>8.3333333333333329E-2</v>
      </c>
      <c r="U42" s="1">
        <v>8.3333333333333329E-2</v>
      </c>
      <c r="V42" s="1">
        <v>8.3333333333333329E-2</v>
      </c>
    </row>
    <row r="43" spans="2:22" x14ac:dyDescent="0.25">
      <c r="B43" s="3" t="str">
        <f>List!F11</f>
        <v>October</v>
      </c>
      <c r="C43" s="1">
        <v>8.3333333333333329E-2</v>
      </c>
      <c r="D43" s="1">
        <v>8.3333333333333329E-2</v>
      </c>
      <c r="E43" s="1">
        <v>8.3333333333333329E-2</v>
      </c>
      <c r="F43" s="1">
        <v>8.3333333333333329E-2</v>
      </c>
      <c r="G43" s="1">
        <v>8.3333333333333329E-2</v>
      </c>
      <c r="H43" s="1">
        <v>8.3333333333333329E-2</v>
      </c>
      <c r="I43" s="1">
        <v>8.3333333333333329E-2</v>
      </c>
      <c r="J43" s="1">
        <v>8.3333333333333329E-2</v>
      </c>
      <c r="K43" s="1">
        <v>8.3333333333333329E-2</v>
      </c>
      <c r="L43" s="1">
        <v>8.3333333333333329E-2</v>
      </c>
      <c r="M43" s="1">
        <v>8.3333333333333329E-2</v>
      </c>
      <c r="N43" s="1">
        <v>8.3333333333333329E-2</v>
      </c>
      <c r="O43" s="1">
        <v>8.3333333333333329E-2</v>
      </c>
      <c r="P43" s="1">
        <v>8.3333333333333329E-2</v>
      </c>
      <c r="Q43" s="1">
        <v>8.3333333333333329E-2</v>
      </c>
      <c r="R43" s="1">
        <v>8.3333333333333329E-2</v>
      </c>
      <c r="S43" s="1">
        <v>8.3333333333333329E-2</v>
      </c>
      <c r="T43" s="1">
        <v>8.3333333333333329E-2</v>
      </c>
      <c r="U43" s="1">
        <v>8.3333333333333329E-2</v>
      </c>
      <c r="V43" s="1">
        <v>8.3333333333333329E-2</v>
      </c>
    </row>
    <row r="44" spans="2:22" x14ac:dyDescent="0.25">
      <c r="B44" s="3" t="str">
        <f>List!F12</f>
        <v>November</v>
      </c>
      <c r="C44" s="1">
        <v>8.3333333333333329E-2</v>
      </c>
      <c r="D44" s="1">
        <v>8.3333333333333329E-2</v>
      </c>
      <c r="E44" s="1">
        <v>8.3333333333333329E-2</v>
      </c>
      <c r="F44" s="1">
        <v>8.3333333333333329E-2</v>
      </c>
      <c r="G44" s="1">
        <v>8.3333333333333329E-2</v>
      </c>
      <c r="H44" s="1">
        <v>8.3333333333333329E-2</v>
      </c>
      <c r="I44" s="1">
        <v>8.3333333333333329E-2</v>
      </c>
      <c r="J44" s="1">
        <v>8.3333333333333329E-2</v>
      </c>
      <c r="K44" s="1">
        <v>8.3333333333333329E-2</v>
      </c>
      <c r="L44" s="1">
        <v>8.3333333333333329E-2</v>
      </c>
      <c r="M44" s="1">
        <v>8.3333333333333329E-2</v>
      </c>
      <c r="N44" s="1">
        <v>8.3333333333333329E-2</v>
      </c>
      <c r="O44" s="1">
        <v>8.3333333333333329E-2</v>
      </c>
      <c r="P44" s="1">
        <v>8.3333333333333329E-2</v>
      </c>
      <c r="Q44" s="1">
        <v>8.3333333333333329E-2</v>
      </c>
      <c r="R44" s="1">
        <v>8.3333333333333329E-2</v>
      </c>
      <c r="S44" s="1">
        <v>8.3333333333333329E-2</v>
      </c>
      <c r="T44" s="1">
        <v>8.3333333333333329E-2</v>
      </c>
      <c r="U44" s="1">
        <v>8.3333333333333329E-2</v>
      </c>
      <c r="V44" s="1">
        <v>8.3333333333333329E-2</v>
      </c>
    </row>
    <row r="45" spans="2:22" x14ac:dyDescent="0.25">
      <c r="B45" s="3" t="str">
        <f>List!F13</f>
        <v>December</v>
      </c>
      <c r="C45" s="1">
        <v>8.3333333333333329E-2</v>
      </c>
      <c r="D45" s="1">
        <v>8.3333333333333329E-2</v>
      </c>
      <c r="E45" s="1">
        <v>8.3333333333333329E-2</v>
      </c>
      <c r="F45" s="1">
        <v>8.3333333333333329E-2</v>
      </c>
      <c r="G45" s="1">
        <v>8.3333333333333329E-2</v>
      </c>
      <c r="H45" s="1">
        <v>8.3333333333333329E-2</v>
      </c>
      <c r="I45" s="1">
        <v>8.3333333333333329E-2</v>
      </c>
      <c r="J45" s="1">
        <v>8.3333333333333329E-2</v>
      </c>
      <c r="K45" s="1">
        <v>8.3333333333333329E-2</v>
      </c>
      <c r="L45" s="1">
        <v>8.3333333333333329E-2</v>
      </c>
      <c r="M45" s="1">
        <v>8.3333333333333329E-2</v>
      </c>
      <c r="N45" s="1">
        <v>8.3333333333333329E-2</v>
      </c>
      <c r="O45" s="1">
        <v>8.3333333333333329E-2</v>
      </c>
      <c r="P45" s="1">
        <v>8.3333333333333329E-2</v>
      </c>
      <c r="Q45" s="1">
        <v>8.3333333333333329E-2</v>
      </c>
      <c r="R45" s="1">
        <v>8.3333333333333329E-2</v>
      </c>
      <c r="S45" s="1">
        <v>8.3333333333333329E-2</v>
      </c>
      <c r="T45" s="1">
        <v>8.3333333333333329E-2</v>
      </c>
      <c r="U45" s="1">
        <v>8.3333333333333329E-2</v>
      </c>
      <c r="V45" s="1">
        <v>8.3333333333333329E-2</v>
      </c>
    </row>
    <row r="46" spans="2:22" x14ac:dyDescent="0.25">
      <c r="B46" s="4"/>
    </row>
    <row r="47" spans="2:22" x14ac:dyDescent="0.25">
      <c r="B47" s="4"/>
    </row>
    <row r="48" spans="2:22" x14ac:dyDescent="0.25">
      <c r="C48">
        <f>IF(AND(C2&lt;5,C3&lt;5,(C2*4)&gt;C3,(ROUND((IF((((C$2/C45)*C34)+((C2/C45)*C35)+((C2/C45)*C36)+((C2/C45)*C37)-C3)&gt;0,(((C$2/C45)*C34)+((C2/C45)*C35)+((C2/C45)*C36)+((C2/C45)*C37)-C3),0)),-1))=0),10,(ROUNDUP((IF((((C$2/C45)*C34)+((C2/C45)*C35)+((C2/C45)*C36)+((C2/C45)*C37)-C3)&gt;0,(((C$2/C45)*C34)+((C2/C45)*C35)+((C2/C45)*C36)+((C2/C45)*C37)-C3),0)),-1)))</f>
        <v>0</v>
      </c>
      <c r="D48">
        <f t="shared" ref="D48:S48" si="6">IF(AND(D2&lt;5,D3&lt;5,(D2*4)&gt;D3,(ROUND((IF((((D$2/D45)*D34)+((D2/D45)*D35)+((D2/D45)*D36)+((D2/D45)*D37)-D3)&gt;0,(((D$2/D45)*D34)+((D2/D45)*D35)+((D2/D45)*D36)+((D2/D45)*D37)-D3),0)),-1))=0),10,(ROUNDUP((IF((((D$2/D45)*D34)+((D2/D45)*D35)+((D2/D45)*D36)+((D2/D45)*D37)-D3)&gt;0,(((D$2/D45)*D34)+((D2/D45)*D35)+((D2/D45)*D36)+((D2/D45)*D37)-D3),0)),-1)))</f>
        <v>0</v>
      </c>
      <c r="E48">
        <f t="shared" si="6"/>
        <v>0</v>
      </c>
      <c r="F48">
        <f>IF(AND(F2&lt;5,F3&lt;5,(F2*4)&gt;F3,(MROUND((IF((((F$2/F45)*F34)+((F2/F45)*F35)+((F2/F45)*F36)+((F2/F45)*F37)-F3)&gt;0,(((F$2/F45)*F34)+((F2/F45)*F35)+((F2/F45)*F36)+((F2/F45)*F37)-F3),0)),5))=0),5,(MROUND((IF((((F$2/F45)*F34)+((F2/F45)*F35)+((F2/F45)*F36)+((F2/F45)*F37)-F3)&gt;0,((((F$2/F45)*F34)+((F2/F45)*F35)+((F2/F45)*F36)+((F2/F45)*F37)-F3)+2.25),0)),5)))</f>
        <v>0</v>
      </c>
      <c r="G48">
        <f t="shared" si="6"/>
        <v>0</v>
      </c>
      <c r="H48">
        <f t="shared" si="6"/>
        <v>0</v>
      </c>
      <c r="I48">
        <f t="shared" si="6"/>
        <v>0</v>
      </c>
      <c r="J48">
        <f>IF(AND(J2&lt;5,J3&lt;5,(J2*4)&gt;J3,(MROUND((IF((((J$2/J45)*J34)+((J2/J45)*J35)+((J2/J45)*J36)+((J2/J45)*J37)-J3)&gt;0,(((J$2/J45)*J34)+((J2/J45)*J35)+((J2/J45)*J36)+((J2/J45)*J37)-J3),0)),5))=0),5,(MROUND((IF((((J$2/J45)*J34)+((J2/J45)*J35)+((J2/J45)*J36)+((J2/J45)*J37)-J3)&gt;0,((((J$2/J45)*J34)+((J2/J45)*J35)+((J2/J45)*J36)+((J2/J45)*J37)-J3)+2.25),0)),5)))</f>
        <v>0</v>
      </c>
      <c r="K48">
        <f t="shared" si="6"/>
        <v>0</v>
      </c>
      <c r="L48">
        <f>IF(AND(L2&lt;5,L3&lt;5,(L2*4)&gt;L3,(MROUND((IF((((L$2/L45)*L34)+((L2/L45)*L35)+((L2/L45)*L36)+((L2/L45)*L37)-L3)&gt;0,(((L$2/L45)*L34)+((L2/L45)*L35)+((L2/L45)*L36)+((L2/L45)*L37)-L3),0)),5))=0),5,(MROUND((IF((((L$2/L45)*L34)+((L2/L45)*L35)+((L2/L45)*L36)+((L2/L45)*L37)-L3)&gt;0,((((L$2/L45)*L34)+((L2/L45)*L35)+((L2/L45)*L36)+((L2/L45)*L37)-L3)+2.25),0)),5)))</f>
        <v>0</v>
      </c>
      <c r="M48">
        <f t="shared" si="6"/>
        <v>0</v>
      </c>
      <c r="N48">
        <f t="shared" si="6"/>
        <v>0</v>
      </c>
      <c r="O48">
        <f t="shared" si="6"/>
        <v>0</v>
      </c>
      <c r="P48">
        <f t="shared" si="6"/>
        <v>0</v>
      </c>
      <c r="Q48">
        <f t="shared" si="6"/>
        <v>0</v>
      </c>
      <c r="R48">
        <f t="shared" si="6"/>
        <v>0</v>
      </c>
      <c r="S48">
        <f t="shared" si="6"/>
        <v>0</v>
      </c>
      <c r="V48">
        <f>IF(AND(V2&lt;5,V3&lt;5,(V2*4)&gt;V3,(ROUND((IF((((V$2/V45)*V34)+((V2/V45)*V35)+((V2/V45)*V36)+((V2/V45)*V37)-V3)&gt;0,(((V$2/V45)*V34)+((V2/V45)*V35)+((V2/V45)*V36)+((V2/V45)*V37)-V3),0)),-1))=0),10,(ROUNDUP((IF((((V$2/V45)*V34)+((V2/V45)*V35)+((V2/V45)*V36)+((V2/V45)*V37)-V3)&gt;0,(((V$2/V45)*V34)+((V2/V45)*V35)+((V2/V45)*V36)+((V2/V45)*V37)-V3),0)),-1)))</f>
        <v>0</v>
      </c>
    </row>
    <row r="50" spans="2:22" x14ac:dyDescent="0.25">
      <c r="B50" s="4"/>
    </row>
    <row r="51" spans="2:22" x14ac:dyDescent="0.25">
      <c r="B51" s="4"/>
    </row>
    <row r="52" spans="2:22" x14ac:dyDescent="0.25">
      <c r="B52" s="4"/>
    </row>
    <row r="53" spans="2:22" x14ac:dyDescent="0.25">
      <c r="B53" s="4"/>
    </row>
    <row r="54" spans="2:22" x14ac:dyDescent="0.25">
      <c r="B54" s="4"/>
      <c r="C54">
        <f>IF(AND(C2&lt;5,C3&lt;5,(C2*7)&gt;C3,(ROUND((IF((((C$2/C$45)*C34)+((C$2/C$45)*C35)+((C$2/C$45)*C36)+((C$2/C$45)*C37)+((C$2/C$45)*C38)+((C$2/C$45)*C39)+((C$2/C$45)*C40)-C3)&gt;0,(((C$2/C$45)*C34)+((C$2/C$45)*C35)+((C$2/C$45)*C36)+((C$2/C$45)*C37)+((C$2/C$45)*C38)+((C$2/C$45)*C39)+((C$2/C$45)*C40)-C3),0)),-1))=0),10,(ROUNDUP((IF((((C$2/C$45)*C34)+((C$2/C$45)*C35)+((C$2/C$45)*C36)+((C$2/C$45)*C37)+((C$2/C$45)*C38)+((C$2/C$45)*C39)+((C$2/C$45)*C40)-C3)&gt;0,(((C$2/C$45)*C34)+((C$2/C$45)*C35)+((C$2/C$45)*C36)+((C$2/C$45)*C37)+((C$2/C$45)*C38)+((C$2/C$45)*C39)+((C$2/C$45)*C40)-C3),0)),-1)))</f>
        <v>0</v>
      </c>
      <c r="D54">
        <f t="shared" ref="D54:S54" si="7">IF(AND(D2&lt;5,D3&lt;5,(D2*7)&gt;D3,(ROUND((IF((((D$2/D$45)*D34)+((D$2/D$45)*D35)+((D$2/D$45)*D36)+((D$2/D$45)*D37)+((D$2/D$45)*D38)+((D$2/D$45)*D39)+((D$2/D$45)*D40)-D3)&gt;0,(((D$2/D$45)*D34)+((D$2/D$45)*D35)+((D$2/D$45)*D36)+((D$2/D$45)*D37)+((D$2/D$45)*D38)+((D$2/D$45)*D39)+((D$2/D$45)*D40)-D3),0)),-1))=0),10,(ROUNDUP((IF((((D$2/D$45)*D34)+((D$2/D$45)*D35)+((D$2/D$45)*D36)+((D$2/D$45)*D37)+((D$2/D$45)*D38)+((D$2/D$45)*D39)+((D$2/D$45)*D40)-D3)&gt;0,(((D$2/D$45)*D34)+((D$2/D$45)*D35)+((D$2/D$45)*D36)+((D$2/D$45)*D37)+((D$2/D$45)*D38)+((D$2/D$45)*D39)+((D$2/D$45)*D40)-D3),0)),-1)))</f>
        <v>0</v>
      </c>
      <c r="E54">
        <f t="shared" si="7"/>
        <v>0</v>
      </c>
      <c r="F54">
        <f>IF(AND(F2&lt;5,F3&lt;5,(F2*7)&gt;F3,(MROUND((IF((((F$2/F$45)*F34)+((F$2/F$45)*F35)+((F$2/F$45)*F36)+((F$2/F$45)*F37)+((F$2/F$45)*F38)+((F$2/F$45)*F39)+((F$2/F$45)*F40)-F3)&gt;0,(((F$2/F$45)*F34)+((F$2/F$45)*F35)+((F$2/F$45)*F36)+((F$2/F$45)*F37)+((F$2/F$45)*F38)+((F$2/F$45)*F39)+((F$2/F$45)*F40)-F3),0)),5))=0),5,(MROUND((IF((((F$2/F$45)*F34)+((F$2/F$45)*F35)+((F$2/F$45)*F36)+((F$2/F$45)*F37)+((F$2/F$45)*F38)+((F$2/F$45)*F39)+((F$2/F$45)*F40)-F3)&gt;0,((((F$2/F$45)*F34)+((F$2/F$45)*F35)+((F$2/F$45)*F36)+((F$2/F$45)*F37)+((F$2/F$45)*F38)+((F$2/F$45)*F39)+((F$2/F$45)*F40)-F3)+2.25),0)),5)))</f>
        <v>0</v>
      </c>
      <c r="G54">
        <f t="shared" si="7"/>
        <v>0</v>
      </c>
      <c r="H54">
        <f t="shared" si="7"/>
        <v>0</v>
      </c>
      <c r="I54">
        <f t="shared" si="7"/>
        <v>0</v>
      </c>
      <c r="J54">
        <f>IF(AND(J2&lt;5,J3&lt;5,(J2*7)&gt;J3,(MROUND((IF((((J$2/J$45)*J34)+((J$2/J$45)*J35)+((J$2/J$45)*J36)+((J$2/J$45)*J37)+((J$2/J$45)*J38)+((J$2/J$45)*J39)+((J$2/J$45)*J40)-J3)&gt;0,(((J$2/J$45)*J34)+((J$2/J$45)*J35)+((J$2/J$45)*J36)+((J$2/J$45)*J37)+((J$2/J$45)*J38)+((J$2/J$45)*J39)+((J$2/J$45)*J40)-J3),0)),5))=0),5,(MROUND((IF((((J$2/J$45)*J34)+((J$2/J$45)*J35)+((J$2/J$45)*J36)+((J$2/J$45)*J37)+((J$2/J$45)*J38)+((J$2/J$45)*J39)+((J$2/J$45)*J40)-J3)&gt;0,((((J$2/J$45)*J34)+((J$2/J$45)*J35)+((J$2/J$45)*J36)+((J$2/J$45)*J37)+((J$2/J$45)*J38)+((J$2/J$45)*J39)+((J$2/J$45)*J40)-J3)+2.25),0)),5)))</f>
        <v>0</v>
      </c>
      <c r="K54">
        <f t="shared" si="7"/>
        <v>0</v>
      </c>
      <c r="L54">
        <f>IF(AND(L2&lt;5,L3&lt;5,(L2*7)&gt;L3,(MROUND((IF((((L$2/L$45)*L34)+((L$2/L$45)*L35)+((L$2/L$45)*L36)+((L$2/L$45)*L37)+((L$2/L$45)*L38)+((L$2/L$45)*L39)+((L$2/L$45)*L40)-L3)&gt;0,(((L$2/L$45)*L34)+((L$2/L$45)*L35)+((L$2/L$45)*L36)+((L$2/L$45)*L37)+((L$2/L$45)*L38)+((L$2/L$45)*L39)+((L$2/L$45)*L40)-L3),0)),5))=0),5,(MROUND((IF((((L$2/L$45)*L34)+((L$2/L$45)*L35)+((L$2/L$45)*L36)+((L$2/L$45)*L37)+((L$2/L$45)*L38)+((L$2/L$45)*L39)+((L$2/L$45)*L40)-L3)&gt;0,((((L$2/L$45)*L34)+((L$2/L$45)*L35)+((L$2/L$45)*L36)+((L$2/L$45)*L37)+((L$2/L$45)*L38)+((L$2/L$45)*L39)+((L$2/L$45)*L40)-L3)+2.25),0)),5)))</f>
        <v>0</v>
      </c>
      <c r="M54">
        <f t="shared" si="7"/>
        <v>0</v>
      </c>
      <c r="N54">
        <f t="shared" si="7"/>
        <v>0</v>
      </c>
      <c r="O54">
        <f t="shared" si="7"/>
        <v>0</v>
      </c>
      <c r="P54">
        <f t="shared" si="7"/>
        <v>0</v>
      </c>
      <c r="Q54">
        <f t="shared" si="7"/>
        <v>0</v>
      </c>
      <c r="R54">
        <f t="shared" si="7"/>
        <v>0</v>
      </c>
      <c r="S54">
        <f t="shared" si="7"/>
        <v>0</v>
      </c>
      <c r="V54">
        <f>IF(AND(V2&lt;5,V3&lt;5,(V2*7)&gt;V3,(ROUND((IF((((V$2/V$45)*V34)+((V$2/V$45)*V35)+((V$2/V$45)*V36)+((V$2/V$45)*V37)+((V$2/V$45)*V38)+((V$2/V$45)*V39)+((V$2/V$45)*V40)-V3)&gt;0,(((V$2/V$45)*V34)+((V$2/V$45)*V35)+((V$2/V$45)*V36)+((V$2/V$45)*V37)+((V$2/V$45)*V38)+((V$2/V$45)*V39)+((V$2/V$45)*V40)-V3),0)),-1))=0),10,(ROUNDUP((IF((((V$2/V$45)*V34)+((V$2/V$45)*V35)+((V$2/V$45)*V36)+((V$2/V$45)*V37)+((V$2/V$45)*V38)+((V$2/V$45)*V39)+((V$2/V$45)*V40)-V3)&gt;0,(((V$2/V$45)*V34)+((V$2/V$45)*V35)+((V$2/V$45)*V36)+((V$2/V$45)*V37)+((V$2/V$45)*V38)+((V$2/V$45)*V39)+((V$2/V$45)*V40)-V3),0)),-1)))</f>
        <v>0</v>
      </c>
    </row>
    <row r="55" spans="2:22" x14ac:dyDescent="0.25">
      <c r="B55" s="4"/>
    </row>
    <row r="56" spans="2:22" x14ac:dyDescent="0.25">
      <c r="B56" s="4"/>
    </row>
    <row r="57" spans="2:22" x14ac:dyDescent="0.25">
      <c r="B57" s="4"/>
    </row>
    <row r="58" spans="2:22" x14ac:dyDescent="0.25">
      <c r="B58" s="4"/>
    </row>
    <row r="59" spans="2:22" x14ac:dyDescent="0.25">
      <c r="B59" s="4"/>
    </row>
    <row r="60" spans="2:22" x14ac:dyDescent="0.25">
      <c r="B60" s="4"/>
    </row>
    <row r="61" spans="2:22" x14ac:dyDescent="0.25">
      <c r="B61" s="4"/>
    </row>
    <row r="64" spans="2:22" x14ac:dyDescent="0.25">
      <c r="B64" s="4"/>
    </row>
    <row r="65" spans="2:2" x14ac:dyDescent="0.25">
      <c r="B65" s="4"/>
    </row>
    <row r="66" spans="2:2" x14ac:dyDescent="0.25">
      <c r="B66" s="4"/>
    </row>
    <row r="67" spans="2:2" x14ac:dyDescent="0.25">
      <c r="B67" s="4"/>
    </row>
    <row r="68" spans="2:2" x14ac:dyDescent="0.25">
      <c r="B68" s="4"/>
    </row>
    <row r="69" spans="2:2" x14ac:dyDescent="0.25">
      <c r="B69" s="4"/>
    </row>
    <row r="70" spans="2:2" x14ac:dyDescent="0.25">
      <c r="B70" s="4"/>
    </row>
    <row r="71" spans="2:2" x14ac:dyDescent="0.25">
      <c r="B71" s="4"/>
    </row>
    <row r="72" spans="2:2" x14ac:dyDescent="0.25">
      <c r="B72" s="4"/>
    </row>
    <row r="73" spans="2:2" x14ac:dyDescent="0.25">
      <c r="B73" s="4"/>
    </row>
    <row r="74" spans="2:2" x14ac:dyDescent="0.25">
      <c r="B74" s="4"/>
    </row>
    <row r="75" spans="2:2" x14ac:dyDescent="0.25">
      <c r="B75" s="4"/>
    </row>
    <row r="78" spans="2:2" x14ac:dyDescent="0.25">
      <c r="B78" s="4"/>
    </row>
    <row r="79" spans="2:2" x14ac:dyDescent="0.25">
      <c r="B79" s="4"/>
    </row>
    <row r="80" spans="2:2" x14ac:dyDescent="0.25">
      <c r="B80" s="4"/>
    </row>
    <row r="81" spans="2:2" x14ac:dyDescent="0.25">
      <c r="B81" s="4"/>
    </row>
    <row r="82" spans="2:2" x14ac:dyDescent="0.25">
      <c r="B82" s="4"/>
    </row>
    <row r="83" spans="2:2" x14ac:dyDescent="0.25">
      <c r="B83" s="4"/>
    </row>
    <row r="84" spans="2:2" x14ac:dyDescent="0.25">
      <c r="B84" s="4"/>
    </row>
    <row r="85" spans="2:2" x14ac:dyDescent="0.25">
      <c r="B85" s="4"/>
    </row>
    <row r="86" spans="2:2" x14ac:dyDescent="0.25">
      <c r="B86" s="4"/>
    </row>
    <row r="87" spans="2:2" x14ac:dyDescent="0.25">
      <c r="B87" s="4"/>
    </row>
    <row r="88" spans="2:2" x14ac:dyDescent="0.25">
      <c r="B88" s="4"/>
    </row>
    <row r="89" spans="2:2" x14ac:dyDescent="0.25">
      <c r="B89" s="4"/>
    </row>
  </sheetData>
  <sheetProtection password="CCB6" sheet="1" selectLockedCells="1"/>
  <phoneticPr fontId="0"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N27"/>
  <sheetViews>
    <sheetView workbookViewId="0">
      <selection activeCell="C25" sqref="C25:C26"/>
    </sheetView>
  </sheetViews>
  <sheetFormatPr defaultRowHeight="15" x14ac:dyDescent="0.25"/>
  <cols>
    <col min="2" max="2" width="11" customWidth="1"/>
    <col min="3" max="3" width="14.5703125" bestFit="1" customWidth="1"/>
    <col min="6" max="10" width="14.42578125" customWidth="1"/>
  </cols>
  <sheetData>
    <row r="1" spans="1:14" x14ac:dyDescent="0.25">
      <c r="F1" t="s">
        <v>24</v>
      </c>
      <c r="G1" t="s">
        <v>17</v>
      </c>
      <c r="H1" t="s">
        <v>18</v>
      </c>
      <c r="I1" t="s">
        <v>20</v>
      </c>
      <c r="J1" t="s">
        <v>19</v>
      </c>
    </row>
    <row r="2" spans="1:14" x14ac:dyDescent="0.25">
      <c r="A2">
        <v>1</v>
      </c>
      <c r="B2" t="s">
        <v>1</v>
      </c>
      <c r="C2" t="s">
        <v>84</v>
      </c>
      <c r="D2" t="s">
        <v>4</v>
      </c>
      <c r="E2">
        <v>4</v>
      </c>
      <c r="F2" t="str">
        <f>'Provider Order Form'!C3</f>
        <v>January</v>
      </c>
      <c r="G2" t="str">
        <f>'Provider Order Form'!C3</f>
        <v>January</v>
      </c>
      <c r="H2" t="str">
        <f>'Provider Order Form'!C3</f>
        <v>January</v>
      </c>
      <c r="I2" t="str">
        <f>'Provider Order Form'!C3</f>
        <v>January</v>
      </c>
      <c r="J2" t="str">
        <f>'Provider Order Form'!C3</f>
        <v>January</v>
      </c>
      <c r="L2" s="9" t="s">
        <v>58</v>
      </c>
      <c r="N2" t="s">
        <v>50</v>
      </c>
    </row>
    <row r="3" spans="1:14" x14ac:dyDescent="0.25">
      <c r="A3">
        <v>2</v>
      </c>
      <c r="B3" t="s">
        <v>2</v>
      </c>
      <c r="C3" t="s">
        <v>12</v>
      </c>
      <c r="D3" t="s">
        <v>4</v>
      </c>
      <c r="E3">
        <v>16</v>
      </c>
      <c r="F3" t="str">
        <f t="shared" ref="F3:F13" si="0">VLOOKUP((VLOOKUP(F2,D:E,2,FALSE)+1),A:B,2,FALSE)</f>
        <v>February</v>
      </c>
      <c r="G3" t="str">
        <f>VLOOKUP((VLOOKUP(G2,D:E,2,FALSE)+3),A:B,2,FALSE)</f>
        <v>April</v>
      </c>
      <c r="H3" t="str">
        <f>VLOOKUP((VLOOKUP(H2,D:E,2,FALSE)+2),A:B,2,FALSE)</f>
        <v>March</v>
      </c>
      <c r="I3" t="str">
        <f>VLOOKUP((VLOOKUP(I2,D:E,2,FALSE)+6),A:B,2,FALSE)</f>
        <v>July</v>
      </c>
      <c r="J3" t="str">
        <f>J2</f>
        <v>January</v>
      </c>
      <c r="L3" s="9" t="s">
        <v>60</v>
      </c>
      <c r="N3" t="s">
        <v>54</v>
      </c>
    </row>
    <row r="4" spans="1:14" x14ac:dyDescent="0.25">
      <c r="A4">
        <v>3</v>
      </c>
      <c r="B4" t="s">
        <v>3</v>
      </c>
      <c r="C4" t="s">
        <v>18</v>
      </c>
      <c r="D4" t="s">
        <v>8</v>
      </c>
      <c r="E4">
        <v>8</v>
      </c>
      <c r="F4" t="str">
        <f t="shared" si="0"/>
        <v>March</v>
      </c>
      <c r="G4" t="str">
        <f>VLOOKUP((VLOOKUP(G3,D:E,2,FALSE)+3),A:B,2,FALSE)</f>
        <v>July</v>
      </c>
      <c r="H4" t="str">
        <f>VLOOKUP((VLOOKUP(H3,D:E,2,FALSE)+2),A:B,2,FALSE)</f>
        <v>May</v>
      </c>
      <c r="J4" t="str">
        <f>VLOOKUP((VLOOKUP(J3,D:E,2,FALSE)+1),A:B,2,FALSE)</f>
        <v>February</v>
      </c>
      <c r="L4" s="9" t="s">
        <v>59</v>
      </c>
    </row>
    <row r="5" spans="1:14" x14ac:dyDescent="0.25">
      <c r="A5">
        <v>4</v>
      </c>
      <c r="B5" t="s">
        <v>4</v>
      </c>
      <c r="C5" t="s">
        <v>17</v>
      </c>
      <c r="D5" t="s">
        <v>8</v>
      </c>
      <c r="E5">
        <v>20</v>
      </c>
      <c r="F5" t="str">
        <f t="shared" si="0"/>
        <v>April</v>
      </c>
      <c r="G5" t="str">
        <f>VLOOKUP((VLOOKUP(G4,D:E,2,FALSE)+3),A:B,2,FALSE)</f>
        <v>October</v>
      </c>
      <c r="H5" t="str">
        <f>VLOOKUP((VLOOKUP(H4,D:E,2,FALSE)+2),A:B,2,FALSE)</f>
        <v>July</v>
      </c>
      <c r="J5" t="str">
        <f>J4</f>
        <v>February</v>
      </c>
      <c r="L5" s="9" t="s">
        <v>61</v>
      </c>
    </row>
    <row r="6" spans="1:14" x14ac:dyDescent="0.25">
      <c r="A6">
        <v>5</v>
      </c>
      <c r="B6" t="s">
        <v>5</v>
      </c>
      <c r="C6" t="s">
        <v>85</v>
      </c>
      <c r="D6" t="s">
        <v>0</v>
      </c>
      <c r="E6">
        <v>12</v>
      </c>
      <c r="F6" t="str">
        <f t="shared" si="0"/>
        <v>May</v>
      </c>
      <c r="H6" t="str">
        <f>VLOOKUP((VLOOKUP(H5,D:E,2,FALSE)+2),A:B,2,FALSE)</f>
        <v>September</v>
      </c>
      <c r="J6" t="str">
        <f>VLOOKUP((VLOOKUP(J5,D:E,2,FALSE)+1),A:B,2,FALSE)</f>
        <v>March</v>
      </c>
      <c r="L6" s="9" t="s">
        <v>62</v>
      </c>
    </row>
    <row r="7" spans="1:14" x14ac:dyDescent="0.25">
      <c r="A7">
        <v>6</v>
      </c>
      <c r="B7" t="s">
        <v>6</v>
      </c>
      <c r="D7" t="s">
        <v>0</v>
      </c>
      <c r="E7">
        <v>24</v>
      </c>
      <c r="F7" t="str">
        <f t="shared" si="0"/>
        <v>June</v>
      </c>
      <c r="H7" t="str">
        <f>VLOOKUP((VLOOKUP(H6,D:E,2,FALSE)+2),A:B,2,FALSE)</f>
        <v>November</v>
      </c>
      <c r="J7" t="str">
        <f>J6</f>
        <v>March</v>
      </c>
      <c r="L7" s="9" t="s">
        <v>63</v>
      </c>
    </row>
    <row r="8" spans="1:14" x14ac:dyDescent="0.25">
      <c r="A8">
        <v>7</v>
      </c>
      <c r="B8" t="s">
        <v>7</v>
      </c>
      <c r="D8" t="s">
        <v>2</v>
      </c>
      <c r="E8">
        <v>2</v>
      </c>
      <c r="F8" t="str">
        <f t="shared" si="0"/>
        <v>July</v>
      </c>
      <c r="J8" t="str">
        <f>VLOOKUP((VLOOKUP(J7,D:E,2,FALSE)+1),A:B,2,FALSE)</f>
        <v>April</v>
      </c>
      <c r="L8" s="9" t="s">
        <v>64</v>
      </c>
    </row>
    <row r="9" spans="1:14" x14ac:dyDescent="0.25">
      <c r="A9">
        <v>8</v>
      </c>
      <c r="B9" t="s">
        <v>8</v>
      </c>
      <c r="D9" t="s">
        <v>2</v>
      </c>
      <c r="E9">
        <v>14</v>
      </c>
      <c r="F9" t="str">
        <f t="shared" si="0"/>
        <v>August</v>
      </c>
      <c r="J9" t="str">
        <f>J8</f>
        <v>April</v>
      </c>
      <c r="L9" s="9" t="s">
        <v>65</v>
      </c>
    </row>
    <row r="10" spans="1:14" x14ac:dyDescent="0.25">
      <c r="A10">
        <v>9</v>
      </c>
      <c r="B10" t="s">
        <v>9</v>
      </c>
      <c r="D10" t="s">
        <v>1</v>
      </c>
      <c r="E10">
        <v>1</v>
      </c>
      <c r="F10" t="str">
        <f t="shared" si="0"/>
        <v>September</v>
      </c>
      <c r="J10" t="str">
        <f>VLOOKUP((VLOOKUP(J9,D:E,2,FALSE)+1),A:B,2,FALSE)</f>
        <v>May</v>
      </c>
      <c r="L10" s="9" t="s">
        <v>66</v>
      </c>
    </row>
    <row r="11" spans="1:14" x14ac:dyDescent="0.25">
      <c r="A11">
        <v>10</v>
      </c>
      <c r="B11" t="s">
        <v>10</v>
      </c>
      <c r="D11" t="s">
        <v>1</v>
      </c>
      <c r="E11">
        <v>13</v>
      </c>
      <c r="F11" t="str">
        <f t="shared" si="0"/>
        <v>October</v>
      </c>
      <c r="J11" t="str">
        <f>J10</f>
        <v>May</v>
      </c>
      <c r="L11" s="9" t="s">
        <v>68</v>
      </c>
    </row>
    <row r="12" spans="1:14" x14ac:dyDescent="0.25">
      <c r="A12">
        <v>11</v>
      </c>
      <c r="B12" t="s">
        <v>11</v>
      </c>
      <c r="D12" t="s">
        <v>7</v>
      </c>
      <c r="E12">
        <v>7</v>
      </c>
      <c r="F12" t="str">
        <f t="shared" si="0"/>
        <v>November</v>
      </c>
      <c r="J12" t="str">
        <f>VLOOKUP((VLOOKUP(J11,D:E,2,FALSE)+1),A:B,2,FALSE)</f>
        <v>June</v>
      </c>
      <c r="L12" s="9" t="s">
        <v>67</v>
      </c>
    </row>
    <row r="13" spans="1:14" x14ac:dyDescent="0.25">
      <c r="A13">
        <v>12</v>
      </c>
      <c r="B13" t="s">
        <v>0</v>
      </c>
      <c r="D13" t="s">
        <v>7</v>
      </c>
      <c r="E13">
        <v>19</v>
      </c>
      <c r="F13" t="str">
        <f t="shared" si="0"/>
        <v>December</v>
      </c>
      <c r="J13" t="str">
        <f>J12</f>
        <v>June</v>
      </c>
      <c r="L13" s="9" t="s">
        <v>69</v>
      </c>
    </row>
    <row r="14" spans="1:14" x14ac:dyDescent="0.25">
      <c r="A14">
        <v>13</v>
      </c>
      <c r="B14" t="s">
        <v>1</v>
      </c>
      <c r="D14" t="s">
        <v>6</v>
      </c>
      <c r="E14">
        <v>6</v>
      </c>
      <c r="J14" t="str">
        <f>VLOOKUP((VLOOKUP(J13,D:E,2,FALSE)+1),A:B,2,FALSE)</f>
        <v>July</v>
      </c>
      <c r="L14" s="9" t="s">
        <v>70</v>
      </c>
    </row>
    <row r="15" spans="1:14" x14ac:dyDescent="0.25">
      <c r="A15">
        <v>14</v>
      </c>
      <c r="B15" t="s">
        <v>2</v>
      </c>
      <c r="D15" t="s">
        <v>6</v>
      </c>
      <c r="E15">
        <v>18</v>
      </c>
      <c r="J15" t="str">
        <f>J14</f>
        <v>July</v>
      </c>
      <c r="L15" s="9" t="s">
        <v>71</v>
      </c>
    </row>
    <row r="16" spans="1:14" x14ac:dyDescent="0.25">
      <c r="A16">
        <v>15</v>
      </c>
      <c r="B16" t="s">
        <v>3</v>
      </c>
      <c r="D16" t="s">
        <v>3</v>
      </c>
      <c r="E16">
        <v>3</v>
      </c>
      <c r="J16" t="str">
        <f>VLOOKUP((VLOOKUP(J15,D:E,2,FALSE)+1),A:B,2,FALSE)</f>
        <v>August</v>
      </c>
      <c r="L16" s="9" t="s">
        <v>72</v>
      </c>
    </row>
    <row r="17" spans="1:12" x14ac:dyDescent="0.25">
      <c r="A17">
        <v>16</v>
      </c>
      <c r="B17" t="s">
        <v>4</v>
      </c>
      <c r="D17" t="s">
        <v>3</v>
      </c>
      <c r="E17">
        <v>15</v>
      </c>
      <c r="J17" t="str">
        <f>J16</f>
        <v>August</v>
      </c>
      <c r="L17" s="9" t="s">
        <v>73</v>
      </c>
    </row>
    <row r="18" spans="1:12" x14ac:dyDescent="0.25">
      <c r="A18">
        <v>17</v>
      </c>
      <c r="B18" t="s">
        <v>5</v>
      </c>
      <c r="D18" t="s">
        <v>5</v>
      </c>
      <c r="E18">
        <v>5</v>
      </c>
      <c r="J18" t="str">
        <f>VLOOKUP((VLOOKUP(J17,D:E,2,FALSE)+1),A:B,2,FALSE)</f>
        <v>September</v>
      </c>
      <c r="L18" s="9" t="s">
        <v>74</v>
      </c>
    </row>
    <row r="19" spans="1:12" x14ac:dyDescent="0.25">
      <c r="A19">
        <v>18</v>
      </c>
      <c r="B19" t="s">
        <v>6</v>
      </c>
      <c r="D19" t="s">
        <v>5</v>
      </c>
      <c r="E19">
        <v>17</v>
      </c>
      <c r="J19" t="str">
        <f>J18</f>
        <v>September</v>
      </c>
      <c r="L19" s="9" t="s">
        <v>75</v>
      </c>
    </row>
    <row r="20" spans="1:12" x14ac:dyDescent="0.25">
      <c r="A20">
        <v>19</v>
      </c>
      <c r="B20" t="s">
        <v>7</v>
      </c>
      <c r="D20" t="s">
        <v>11</v>
      </c>
      <c r="E20">
        <v>11</v>
      </c>
      <c r="J20" t="str">
        <f>VLOOKUP((VLOOKUP(J19,D:E,2,FALSE)+1),A:B,2,FALSE)</f>
        <v>October</v>
      </c>
      <c r="L20" s="9" t="s">
        <v>76</v>
      </c>
    </row>
    <row r="21" spans="1:12" x14ac:dyDescent="0.25">
      <c r="A21">
        <v>20</v>
      </c>
      <c r="B21" t="s">
        <v>8</v>
      </c>
      <c r="D21" t="s">
        <v>11</v>
      </c>
      <c r="E21">
        <v>23</v>
      </c>
      <c r="J21" t="str">
        <f>J20</f>
        <v>October</v>
      </c>
      <c r="L21" s="9" t="s">
        <v>77</v>
      </c>
    </row>
    <row r="22" spans="1:12" x14ac:dyDescent="0.25">
      <c r="A22">
        <v>21</v>
      </c>
      <c r="B22" t="s">
        <v>9</v>
      </c>
      <c r="D22" t="s">
        <v>10</v>
      </c>
      <c r="E22">
        <v>10</v>
      </c>
      <c r="J22" t="str">
        <f>VLOOKUP((VLOOKUP(J21,D:E,2,FALSE)+1),A:B,2,FALSE)</f>
        <v>November</v>
      </c>
      <c r="L22" s="9" t="s">
        <v>78</v>
      </c>
    </row>
    <row r="23" spans="1:12" x14ac:dyDescent="0.25">
      <c r="A23">
        <v>22</v>
      </c>
      <c r="B23" t="s">
        <v>10</v>
      </c>
      <c r="D23" t="s">
        <v>10</v>
      </c>
      <c r="E23">
        <v>22</v>
      </c>
      <c r="J23" t="str">
        <f>J22</f>
        <v>November</v>
      </c>
      <c r="L23" s="9" t="s">
        <v>79</v>
      </c>
    </row>
    <row r="24" spans="1:12" x14ac:dyDescent="0.25">
      <c r="A24">
        <v>23</v>
      </c>
      <c r="B24" t="s">
        <v>11</v>
      </c>
      <c r="D24" t="s">
        <v>9</v>
      </c>
      <c r="E24">
        <v>9</v>
      </c>
      <c r="J24" t="str">
        <f>VLOOKUP((VLOOKUP(J23,D:E,2,FALSE)+1),A:B,2,FALSE)</f>
        <v>December</v>
      </c>
      <c r="L24" s="9" t="s">
        <v>80</v>
      </c>
    </row>
    <row r="25" spans="1:12" x14ac:dyDescent="0.25">
      <c r="A25">
        <v>24</v>
      </c>
      <c r="B25" t="s">
        <v>0</v>
      </c>
      <c r="D25" t="s">
        <v>9</v>
      </c>
      <c r="E25">
        <v>21</v>
      </c>
      <c r="J25" t="str">
        <f>J24</f>
        <v>December</v>
      </c>
      <c r="L25" s="9" t="s">
        <v>81</v>
      </c>
    </row>
    <row r="26" spans="1:12" x14ac:dyDescent="0.25">
      <c r="L26" s="9" t="s">
        <v>58</v>
      </c>
    </row>
    <row r="27" spans="1:12" x14ac:dyDescent="0.25">
      <c r="L27" s="9" t="s">
        <v>60</v>
      </c>
    </row>
  </sheetData>
  <sheetProtection password="CCB6" sheet="1" objects="1" scenarios="1"/>
  <phoneticPr fontId="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U29"/>
  <sheetViews>
    <sheetView view="pageBreakPreview" topLeftCell="D1" zoomScaleNormal="100" zoomScaleSheetLayoutView="100" workbookViewId="0">
      <pane ySplit="1" topLeftCell="A2" activePane="bottomLeft" state="frozen"/>
      <selection pane="bottomLeft" activeCell="V4" sqref="V4"/>
    </sheetView>
  </sheetViews>
  <sheetFormatPr defaultRowHeight="15" x14ac:dyDescent="0.25"/>
  <cols>
    <col min="1" max="1" width="15.140625" bestFit="1" customWidth="1"/>
    <col min="5" max="5" width="12.85546875" bestFit="1" customWidth="1"/>
    <col min="13" max="13" width="10.140625" bestFit="1" customWidth="1"/>
  </cols>
  <sheetData>
    <row r="1" spans="1:21" x14ac:dyDescent="0.25">
      <c r="A1" s="6" t="s">
        <v>106</v>
      </c>
      <c r="B1" s="6" t="s">
        <v>13</v>
      </c>
      <c r="C1" s="6" t="s">
        <v>26</v>
      </c>
      <c r="D1" s="6" t="s">
        <v>27</v>
      </c>
      <c r="E1" s="6" t="s">
        <v>28</v>
      </c>
      <c r="F1" s="6" t="s">
        <v>29</v>
      </c>
      <c r="G1" s="6" t="s">
        <v>30</v>
      </c>
      <c r="H1" s="6" t="s">
        <v>31</v>
      </c>
      <c r="I1" s="6" t="s">
        <v>32</v>
      </c>
      <c r="J1" s="6" t="s">
        <v>14</v>
      </c>
      <c r="K1" s="6" t="s">
        <v>33</v>
      </c>
      <c r="L1" s="6" t="s">
        <v>15</v>
      </c>
      <c r="M1" s="6" t="s">
        <v>34</v>
      </c>
      <c r="N1" s="6" t="s">
        <v>25</v>
      </c>
      <c r="O1" s="6" t="s">
        <v>35</v>
      </c>
      <c r="P1" s="6" t="s">
        <v>36</v>
      </c>
      <c r="Q1" s="6" t="s">
        <v>37</v>
      </c>
      <c r="R1" s="6" t="s">
        <v>38</v>
      </c>
      <c r="S1" s="6" t="s">
        <v>107</v>
      </c>
      <c r="T1" s="6" t="s">
        <v>108</v>
      </c>
      <c r="U1" s="6" t="s">
        <v>133</v>
      </c>
    </row>
    <row r="2" spans="1:21" x14ac:dyDescent="0.25">
      <c r="A2" s="6" t="s">
        <v>1</v>
      </c>
      <c r="B2" s="6">
        <v>526.66666666666663</v>
      </c>
      <c r="C2" s="6">
        <v>29768.333333333332</v>
      </c>
      <c r="D2" s="6">
        <v>41650</v>
      </c>
      <c r="E2" s="6">
        <v>43220</v>
      </c>
      <c r="F2" s="6">
        <v>25865</v>
      </c>
      <c r="G2" s="6">
        <v>17780</v>
      </c>
      <c r="H2" s="6">
        <v>22253.333333333332</v>
      </c>
      <c r="I2" s="6">
        <v>23823.333333333332</v>
      </c>
      <c r="J2" s="6">
        <v>7860</v>
      </c>
      <c r="K2" s="6">
        <v>3623.3333333333335</v>
      </c>
      <c r="L2" s="6">
        <v>9243.3333333333339</v>
      </c>
      <c r="M2" s="6">
        <v>226.66666666666666</v>
      </c>
      <c r="N2" s="6">
        <v>25470</v>
      </c>
      <c r="O2" s="6">
        <v>15076.666666666666</v>
      </c>
      <c r="P2" s="6">
        <v>600</v>
      </c>
      <c r="Q2" s="6">
        <v>3443.3333333333335</v>
      </c>
      <c r="R2" s="6">
        <v>11210</v>
      </c>
      <c r="S2" s="6">
        <v>27816.666666666664</v>
      </c>
      <c r="T2" s="6">
        <v>23038.333333333332</v>
      </c>
      <c r="U2" s="6">
        <v>11210</v>
      </c>
    </row>
    <row r="3" spans="1:21" x14ac:dyDescent="0.25">
      <c r="A3" s="6" t="s">
        <v>2</v>
      </c>
      <c r="B3" s="6">
        <v>391.66666666666669</v>
      </c>
      <c r="C3" s="6">
        <v>32648.333333333332</v>
      </c>
      <c r="D3" s="6">
        <v>44256.666666666664</v>
      </c>
      <c r="E3" s="6">
        <v>47346.666666666664</v>
      </c>
      <c r="F3" s="6">
        <v>26958.333333333332</v>
      </c>
      <c r="G3" s="6">
        <v>21886.666666666668</v>
      </c>
      <c r="H3" s="6">
        <v>21813.333333333332</v>
      </c>
      <c r="I3" s="6">
        <v>24903.333333333332</v>
      </c>
      <c r="J3" s="6">
        <v>9486.6666666666661</v>
      </c>
      <c r="K3" s="6">
        <v>4056.6666666666665</v>
      </c>
      <c r="L3" s="6">
        <v>12423.333333333334</v>
      </c>
      <c r="M3" s="6">
        <v>226.66666666666666</v>
      </c>
      <c r="N3" s="6">
        <v>27100</v>
      </c>
      <c r="O3" s="6">
        <v>14983.333333333334</v>
      </c>
      <c r="P3" s="6">
        <v>853.33333333333337</v>
      </c>
      <c r="Q3" s="6">
        <v>3866.6666666666665</v>
      </c>
      <c r="R3" s="6">
        <v>15263.333333333334</v>
      </c>
      <c r="S3" s="6">
        <v>29803.333333333332</v>
      </c>
      <c r="T3" s="6">
        <v>23358.333333333332</v>
      </c>
      <c r="U3" s="6">
        <v>15263.333333333334</v>
      </c>
    </row>
    <row r="4" spans="1:21" x14ac:dyDescent="0.25">
      <c r="A4" s="6" t="s">
        <v>3</v>
      </c>
      <c r="B4" s="6">
        <v>220</v>
      </c>
      <c r="C4" s="6">
        <v>30245</v>
      </c>
      <c r="D4" s="6">
        <v>43183.333333333336</v>
      </c>
      <c r="E4" s="6">
        <v>46761.666666666664</v>
      </c>
      <c r="F4" s="6">
        <v>25218.333333333332</v>
      </c>
      <c r="G4" s="6">
        <v>23270</v>
      </c>
      <c r="H4" s="6">
        <v>20050</v>
      </c>
      <c r="I4" s="6">
        <v>23628.333333333332</v>
      </c>
      <c r="J4" s="6">
        <v>10163.333333333334</v>
      </c>
      <c r="K4" s="6">
        <v>6746.666666666667</v>
      </c>
      <c r="L4" s="6">
        <v>12923.333333333334</v>
      </c>
      <c r="M4" s="6">
        <v>145</v>
      </c>
      <c r="N4" s="6">
        <v>22420</v>
      </c>
      <c r="O4" s="6">
        <v>13283.333333333334</v>
      </c>
      <c r="P4" s="6">
        <v>906.66666666666663</v>
      </c>
      <c r="Q4" s="6">
        <v>5133.333333333333</v>
      </c>
      <c r="R4" s="6">
        <v>17000</v>
      </c>
      <c r="S4" s="6">
        <v>27731.666666666664</v>
      </c>
      <c r="T4" s="6">
        <v>21839.166666666664</v>
      </c>
      <c r="U4" s="6">
        <v>17000</v>
      </c>
    </row>
    <row r="5" spans="1:21" x14ac:dyDescent="0.25">
      <c r="A5" s="6" t="s">
        <v>4</v>
      </c>
      <c r="B5" s="6">
        <v>183.33333333333334</v>
      </c>
      <c r="C5" s="6">
        <v>36368.333333333336</v>
      </c>
      <c r="D5" s="6">
        <v>50708.333333333336</v>
      </c>
      <c r="E5" s="6">
        <v>53720</v>
      </c>
      <c r="F5" s="6">
        <v>30235</v>
      </c>
      <c r="G5" s="6">
        <v>26360</v>
      </c>
      <c r="H5" s="6">
        <v>22835</v>
      </c>
      <c r="I5" s="6">
        <v>25846.666666666668</v>
      </c>
      <c r="J5" s="6">
        <v>11110</v>
      </c>
      <c r="K5" s="6">
        <v>7201.666666666667</v>
      </c>
      <c r="L5" s="6">
        <v>15083.333333333334</v>
      </c>
      <c r="M5" s="6">
        <v>161.66666666666666</v>
      </c>
      <c r="N5" s="6">
        <v>32703.333333333332</v>
      </c>
      <c r="O5" s="6">
        <v>14750</v>
      </c>
      <c r="P5" s="6">
        <v>1366.6666666666667</v>
      </c>
      <c r="Q5" s="6">
        <v>7150</v>
      </c>
      <c r="R5" s="6">
        <v>22443.333333333332</v>
      </c>
      <c r="S5" s="6">
        <v>33301.666666666672</v>
      </c>
      <c r="T5" s="6">
        <v>24340.833333333336</v>
      </c>
      <c r="U5" s="6">
        <v>22443.333333333332</v>
      </c>
    </row>
    <row r="6" spans="1:21" x14ac:dyDescent="0.25">
      <c r="A6" s="6" t="s">
        <v>5</v>
      </c>
      <c r="B6" s="6">
        <v>126.66666666666667</v>
      </c>
      <c r="C6" s="6">
        <v>35813.333333333336</v>
      </c>
      <c r="D6" s="6">
        <v>50200</v>
      </c>
      <c r="E6" s="6">
        <v>52731.666666666664</v>
      </c>
      <c r="F6" s="6">
        <v>29586.666666666668</v>
      </c>
      <c r="G6" s="6">
        <v>26426.666666666668</v>
      </c>
      <c r="H6" s="6">
        <v>22186.666666666668</v>
      </c>
      <c r="I6" s="6">
        <v>24718.333333333332</v>
      </c>
      <c r="J6" s="6">
        <v>11533.333333333334</v>
      </c>
      <c r="K6" s="6">
        <v>8141.666666666667</v>
      </c>
      <c r="L6" s="6">
        <v>19636.666666666668</v>
      </c>
      <c r="M6" s="6">
        <v>105</v>
      </c>
      <c r="N6" s="6">
        <v>30410</v>
      </c>
      <c r="O6" s="6">
        <v>14203.333333333334</v>
      </c>
      <c r="P6" s="6">
        <v>816.66666666666663</v>
      </c>
      <c r="Q6" s="6">
        <v>7800</v>
      </c>
      <c r="R6" s="6">
        <v>25910</v>
      </c>
      <c r="S6" s="6">
        <v>32700</v>
      </c>
      <c r="T6" s="6">
        <v>23452.5</v>
      </c>
      <c r="U6" s="6">
        <v>25910</v>
      </c>
    </row>
    <row r="7" spans="1:21" x14ac:dyDescent="0.25">
      <c r="A7" s="6" t="s">
        <v>6</v>
      </c>
      <c r="B7" s="6">
        <v>170</v>
      </c>
      <c r="C7" s="6">
        <v>34871.666666666664</v>
      </c>
      <c r="D7" s="6">
        <v>50688.333333333336</v>
      </c>
      <c r="E7" s="6">
        <v>53070</v>
      </c>
      <c r="F7" s="6">
        <v>29505</v>
      </c>
      <c r="G7" s="6">
        <v>25303.333333333332</v>
      </c>
      <c r="H7" s="6">
        <v>22681.666666666668</v>
      </c>
      <c r="I7" s="6">
        <v>25063.333333333332</v>
      </c>
      <c r="J7" s="6">
        <v>10316.666666666666</v>
      </c>
      <c r="K7" s="6">
        <v>8856.6666666666661</v>
      </c>
      <c r="L7" s="6">
        <v>17030</v>
      </c>
      <c r="M7" s="6">
        <v>145</v>
      </c>
      <c r="N7" s="6">
        <v>30743.333333333332</v>
      </c>
      <c r="O7" s="6">
        <v>15766.666666666666</v>
      </c>
      <c r="P7" s="6">
        <v>990</v>
      </c>
      <c r="Q7" s="6">
        <v>10103.333333333334</v>
      </c>
      <c r="R7" s="6">
        <v>25656.666666666668</v>
      </c>
      <c r="S7" s="6">
        <v>32188.333333333332</v>
      </c>
      <c r="T7" s="6">
        <v>23872.5</v>
      </c>
      <c r="U7" s="6">
        <v>25656.666666666668</v>
      </c>
    </row>
    <row r="8" spans="1:21" x14ac:dyDescent="0.25">
      <c r="A8" s="6" t="s">
        <v>7</v>
      </c>
      <c r="B8" s="6">
        <v>193.33333333333334</v>
      </c>
      <c r="C8" s="6">
        <v>40563.333333333336</v>
      </c>
      <c r="D8" s="6">
        <v>54033.333333333336</v>
      </c>
      <c r="E8" s="6">
        <v>60535</v>
      </c>
      <c r="F8" s="6">
        <v>34006.666666666664</v>
      </c>
      <c r="G8" s="6">
        <v>27840</v>
      </c>
      <c r="H8" s="6">
        <v>24290</v>
      </c>
      <c r="I8" s="6">
        <v>30791.666666666668</v>
      </c>
      <c r="J8" s="6">
        <v>10056.666666666666</v>
      </c>
      <c r="K8" s="6">
        <v>13405</v>
      </c>
      <c r="L8" s="6">
        <v>17993.333333333332</v>
      </c>
      <c r="M8" s="6">
        <v>231.66666666666666</v>
      </c>
      <c r="N8" s="6">
        <v>31376.666666666668</v>
      </c>
      <c r="O8" s="6">
        <v>15526.666666666666</v>
      </c>
      <c r="P8" s="6">
        <v>780</v>
      </c>
      <c r="Q8" s="6">
        <v>14793.333333333334</v>
      </c>
      <c r="R8" s="6">
        <v>26763.333333333332</v>
      </c>
      <c r="S8" s="6">
        <v>37285</v>
      </c>
      <c r="T8" s="6">
        <v>27540.833333333336</v>
      </c>
      <c r="U8" s="6">
        <v>26763.333333333332</v>
      </c>
    </row>
    <row r="9" spans="1:21" x14ac:dyDescent="0.25">
      <c r="A9" s="6" t="s">
        <v>8</v>
      </c>
      <c r="B9" s="6">
        <v>146.66666666666666</v>
      </c>
      <c r="C9" s="6">
        <v>41548.333333333336</v>
      </c>
      <c r="D9" s="6">
        <v>56663.333333333336</v>
      </c>
      <c r="E9" s="6">
        <v>58795</v>
      </c>
      <c r="F9" s="6">
        <v>36271.666666666664</v>
      </c>
      <c r="G9" s="6">
        <v>33113.333333333336</v>
      </c>
      <c r="H9" s="6">
        <v>25013.333333333332</v>
      </c>
      <c r="I9" s="6">
        <v>27145</v>
      </c>
      <c r="J9" s="6">
        <v>12860</v>
      </c>
      <c r="K9" s="6">
        <v>18758.333333333332</v>
      </c>
      <c r="L9" s="6">
        <v>20003.333333333332</v>
      </c>
      <c r="M9" s="6">
        <v>223.33333333333334</v>
      </c>
      <c r="N9" s="6">
        <v>32860</v>
      </c>
      <c r="O9" s="6">
        <v>16366.666666666666</v>
      </c>
      <c r="P9" s="6">
        <v>1020</v>
      </c>
      <c r="Q9" s="6">
        <v>20436.666666666668</v>
      </c>
      <c r="R9" s="6">
        <v>33130</v>
      </c>
      <c r="S9" s="6">
        <v>38910</v>
      </c>
      <c r="T9" s="6">
        <v>26079.166666666664</v>
      </c>
      <c r="U9" s="6">
        <v>33130</v>
      </c>
    </row>
    <row r="10" spans="1:21" x14ac:dyDescent="0.25">
      <c r="A10" s="6" t="s">
        <v>9</v>
      </c>
      <c r="B10" s="6">
        <v>170</v>
      </c>
      <c r="C10" s="6">
        <v>40611.666666666664</v>
      </c>
      <c r="D10" s="6">
        <v>56283.333333333336</v>
      </c>
      <c r="E10" s="6">
        <v>59990</v>
      </c>
      <c r="F10" s="6">
        <v>36361.666666666664</v>
      </c>
      <c r="G10" s="6">
        <v>39880</v>
      </c>
      <c r="H10" s="6">
        <v>22473.333333333332</v>
      </c>
      <c r="I10" s="6">
        <v>26180</v>
      </c>
      <c r="J10" s="6">
        <v>16946.666666666668</v>
      </c>
      <c r="K10" s="6">
        <v>25991.666666666668</v>
      </c>
      <c r="L10" s="6">
        <v>20806.666666666668</v>
      </c>
      <c r="M10" s="6">
        <v>318.33333333333331</v>
      </c>
      <c r="N10" s="6">
        <v>30533.333333333332</v>
      </c>
      <c r="O10" s="6">
        <v>15210</v>
      </c>
      <c r="P10" s="6">
        <v>820</v>
      </c>
      <c r="Q10" s="6">
        <v>29816.666666666668</v>
      </c>
      <c r="R10" s="6">
        <v>41253.333333333336</v>
      </c>
      <c r="S10" s="6">
        <v>38486.666666666664</v>
      </c>
      <c r="T10" s="6">
        <v>24326.666666666664</v>
      </c>
      <c r="U10" s="6">
        <v>41253.333333333336</v>
      </c>
    </row>
    <row r="11" spans="1:21" x14ac:dyDescent="0.25">
      <c r="A11" s="6" t="s">
        <v>10</v>
      </c>
      <c r="B11" s="6">
        <v>120</v>
      </c>
      <c r="C11" s="6">
        <v>38351.666666666664</v>
      </c>
      <c r="D11" s="6">
        <v>46660</v>
      </c>
      <c r="E11" s="6">
        <v>54766.666666666664</v>
      </c>
      <c r="F11" s="6">
        <v>32835</v>
      </c>
      <c r="G11" s="6">
        <v>25383.333333333332</v>
      </c>
      <c r="H11" s="6">
        <v>22336.666666666668</v>
      </c>
      <c r="I11" s="6">
        <v>30443.333333333332</v>
      </c>
      <c r="J11" s="6">
        <v>7720</v>
      </c>
      <c r="K11" s="6">
        <v>8070</v>
      </c>
      <c r="L11" s="6">
        <v>16200</v>
      </c>
      <c r="M11" s="6">
        <v>373.33333333333331</v>
      </c>
      <c r="N11" s="6">
        <v>31366.666666666668</v>
      </c>
      <c r="O11" s="6">
        <v>16913.333333333332</v>
      </c>
      <c r="P11" s="6">
        <v>620</v>
      </c>
      <c r="Q11" s="6">
        <v>9783.3333333333339</v>
      </c>
      <c r="R11" s="6">
        <v>24363.333333333332</v>
      </c>
      <c r="S11" s="6">
        <v>35593.333333333328</v>
      </c>
      <c r="T11" s="6">
        <v>26390</v>
      </c>
      <c r="U11" s="6">
        <v>24363.333333333332</v>
      </c>
    </row>
    <row r="12" spans="1:21" x14ac:dyDescent="0.25">
      <c r="A12" s="6" t="s">
        <v>11</v>
      </c>
      <c r="B12" s="6">
        <v>100</v>
      </c>
      <c r="C12" s="6">
        <v>33816.666666666664</v>
      </c>
      <c r="D12" s="6">
        <v>39423.333333333336</v>
      </c>
      <c r="E12" s="6">
        <v>51208.333333333336</v>
      </c>
      <c r="F12" s="6">
        <v>29263.333333333332</v>
      </c>
      <c r="G12" s="6">
        <v>22050</v>
      </c>
      <c r="H12" s="6">
        <v>20423.333333333332</v>
      </c>
      <c r="I12" s="6">
        <v>32208.333333333332</v>
      </c>
      <c r="J12" s="6">
        <v>8270</v>
      </c>
      <c r="K12" s="6">
        <v>4483.333333333333</v>
      </c>
      <c r="L12" s="6">
        <v>13293.333333333334</v>
      </c>
      <c r="M12" s="6">
        <v>210</v>
      </c>
      <c r="N12" s="6">
        <v>30600</v>
      </c>
      <c r="O12" s="6">
        <v>16446.666666666668</v>
      </c>
      <c r="P12" s="6">
        <v>530</v>
      </c>
      <c r="Q12" s="6">
        <v>4783.333333333333</v>
      </c>
      <c r="R12" s="6">
        <v>21583.333333333332</v>
      </c>
      <c r="S12" s="6">
        <v>31540</v>
      </c>
      <c r="T12" s="6">
        <v>26315.833333333332</v>
      </c>
      <c r="U12" s="6">
        <v>21583.333333333332</v>
      </c>
    </row>
    <row r="13" spans="1:21" x14ac:dyDescent="0.25">
      <c r="A13" s="6" t="s">
        <v>0</v>
      </c>
      <c r="B13" s="6">
        <v>135</v>
      </c>
      <c r="C13" s="6">
        <v>30840</v>
      </c>
      <c r="D13" s="6">
        <v>34751.666666666664</v>
      </c>
      <c r="E13" s="6">
        <v>43548.333333333336</v>
      </c>
      <c r="F13" s="6">
        <v>26796.666666666668</v>
      </c>
      <c r="G13" s="6">
        <v>17670</v>
      </c>
      <c r="H13" s="6">
        <v>19381.666666666668</v>
      </c>
      <c r="I13" s="6">
        <v>28178.333333333332</v>
      </c>
      <c r="J13" s="6">
        <v>6686.666666666667</v>
      </c>
      <c r="K13" s="6">
        <v>3593.3333333333335</v>
      </c>
      <c r="L13" s="6">
        <v>10453.333333333334</v>
      </c>
      <c r="M13" s="6">
        <v>218.33333333333334</v>
      </c>
      <c r="N13" s="6">
        <v>25763.333333333332</v>
      </c>
      <c r="O13" s="6">
        <v>15123.333333333334</v>
      </c>
      <c r="P13" s="6">
        <v>623.33333333333337</v>
      </c>
      <c r="Q13" s="6">
        <v>4400</v>
      </c>
      <c r="R13" s="6">
        <v>13403.333333333334</v>
      </c>
      <c r="S13" s="6">
        <v>28818.333333333336</v>
      </c>
      <c r="T13" s="6">
        <v>23780</v>
      </c>
      <c r="U13" s="6">
        <v>13403.333333333334</v>
      </c>
    </row>
    <row r="14" spans="1:21" x14ac:dyDescent="0.25">
      <c r="A14" s="6"/>
      <c r="B14" s="6">
        <v>2483.333333333333</v>
      </c>
      <c r="C14" s="6">
        <v>425446.66666666674</v>
      </c>
      <c r="D14" s="6">
        <v>568501.66666666663</v>
      </c>
      <c r="E14" s="6">
        <v>625693.33333333337</v>
      </c>
      <c r="F14" s="6">
        <v>362903.33333333331</v>
      </c>
      <c r="G14" s="6">
        <v>306963.33333333337</v>
      </c>
      <c r="H14" s="6">
        <v>265738.33333333337</v>
      </c>
      <c r="I14" s="6">
        <v>322929.99999999994</v>
      </c>
      <c r="J14" s="6">
        <v>123010.00000000001</v>
      </c>
      <c r="K14" s="6">
        <v>112928.33333333333</v>
      </c>
      <c r="L14" s="6">
        <v>185090</v>
      </c>
      <c r="M14" s="6">
        <v>2585</v>
      </c>
      <c r="N14" s="6">
        <v>351346.66666666663</v>
      </c>
      <c r="O14" s="6">
        <v>183650.00000000003</v>
      </c>
      <c r="P14" s="6">
        <v>9926.6666666666679</v>
      </c>
      <c r="Q14" s="6">
        <v>121510</v>
      </c>
      <c r="R14" s="6">
        <v>277980</v>
      </c>
      <c r="S14" s="6">
        <v>394174.99999999994</v>
      </c>
      <c r="T14" s="6">
        <v>294334.16666666663</v>
      </c>
      <c r="U14" s="6">
        <v>277980</v>
      </c>
    </row>
    <row r="16" spans="1:21" x14ac:dyDescent="0.25">
      <c r="A16" s="6" t="s">
        <v>106</v>
      </c>
      <c r="B16" s="6" t="s">
        <v>13</v>
      </c>
      <c r="C16" s="6" t="s">
        <v>26</v>
      </c>
      <c r="D16" s="42" t="s">
        <v>27</v>
      </c>
      <c r="E16" s="6" t="s">
        <v>28</v>
      </c>
      <c r="F16" s="6" t="s">
        <v>29</v>
      </c>
      <c r="G16" s="6" t="s">
        <v>30</v>
      </c>
      <c r="H16" s="6" t="s">
        <v>31</v>
      </c>
      <c r="I16" s="6" t="s">
        <v>32</v>
      </c>
      <c r="J16" s="6" t="s">
        <v>14</v>
      </c>
      <c r="K16" s="6" t="s">
        <v>33</v>
      </c>
      <c r="L16" s="6" t="s">
        <v>15</v>
      </c>
      <c r="M16" s="6" t="s">
        <v>34</v>
      </c>
      <c r="N16" s="6" t="s">
        <v>25</v>
      </c>
      <c r="O16" s="6" t="s">
        <v>35</v>
      </c>
      <c r="P16" s="6" t="s">
        <v>36</v>
      </c>
      <c r="Q16" s="6" t="s">
        <v>37</v>
      </c>
      <c r="R16" s="6" t="s">
        <v>38</v>
      </c>
      <c r="S16" s="6" t="s">
        <v>107</v>
      </c>
      <c r="T16" s="6" t="s">
        <v>108</v>
      </c>
      <c r="U16" s="6" t="s">
        <v>38</v>
      </c>
    </row>
    <row r="17" spans="1:21" x14ac:dyDescent="0.25">
      <c r="A17" s="6" t="s">
        <v>1</v>
      </c>
      <c r="B17" s="7">
        <v>8.3333333333333329E-2</v>
      </c>
      <c r="C17" s="7">
        <v>6.9969600576648847E-2</v>
      </c>
      <c r="D17" s="43">
        <v>7.3262757951457202E-2</v>
      </c>
      <c r="E17" s="7">
        <v>6.9075372386898801E-2</v>
      </c>
      <c r="F17" s="7">
        <v>7.1272423326689385E-2</v>
      </c>
      <c r="G17" s="7">
        <v>5.792222741043989E-2</v>
      </c>
      <c r="H17" s="7">
        <v>8.3741525184548693E-2</v>
      </c>
      <c r="I17" s="7">
        <v>7.3772437783214129E-2</v>
      </c>
      <c r="J17" s="7">
        <v>6.389724412649378E-2</v>
      </c>
      <c r="K17" s="7">
        <v>3.2085245804861495E-2</v>
      </c>
      <c r="L17" s="7">
        <v>4.993966898986079E-2</v>
      </c>
      <c r="M17" s="7">
        <v>8.7685364281108957E-2</v>
      </c>
      <c r="N17" s="7">
        <v>7.2492505028272175E-2</v>
      </c>
      <c r="O17" s="7">
        <v>8.2094563935021306E-2</v>
      </c>
      <c r="P17" s="7">
        <v>6.0443250503693743E-2</v>
      </c>
      <c r="Q17" s="7">
        <v>2.8337859709763259E-2</v>
      </c>
      <c r="R17" s="7">
        <v>4.0326642204475141E-2</v>
      </c>
      <c r="S17" s="7">
        <v>7.0569332572250065E-2</v>
      </c>
      <c r="T17" s="7">
        <v>7.8272711572164297E-2</v>
      </c>
      <c r="U17" s="7">
        <v>4.0326642204475141E-2</v>
      </c>
    </row>
    <row r="18" spans="1:21" x14ac:dyDescent="0.25">
      <c r="A18" s="6" t="s">
        <v>2</v>
      </c>
      <c r="B18" s="7">
        <v>8.3333333333333329E-2</v>
      </c>
      <c r="C18" s="7">
        <v>7.6738956704326414E-2</v>
      </c>
      <c r="D18" s="43">
        <v>7.7847910149779681E-2</v>
      </c>
      <c r="E18" s="7">
        <v>7.5670722611716063E-2</v>
      </c>
      <c r="F18" s="7">
        <v>7.4285163174766466E-2</v>
      </c>
      <c r="G18" s="7">
        <v>7.1300589646971946E-2</v>
      </c>
      <c r="H18" s="7">
        <v>8.2085761055675055E-2</v>
      </c>
      <c r="I18" s="7">
        <v>7.7116815821798329E-2</v>
      </c>
      <c r="J18" s="7">
        <v>7.7121101265479761E-2</v>
      </c>
      <c r="K18" s="7">
        <v>3.5922487713446583E-2</v>
      </c>
      <c r="L18" s="7">
        <v>6.7120499936967601E-2</v>
      </c>
      <c r="M18" s="7">
        <v>8.7685364281108957E-2</v>
      </c>
      <c r="N18" s="7">
        <v>7.7131797654737974E-2</v>
      </c>
      <c r="O18" s="7">
        <v>8.1586350848534342E-2</v>
      </c>
      <c r="P18" s="7">
        <v>8.5963734049697774E-2</v>
      </c>
      <c r="Q18" s="7">
        <v>3.1821797931583136E-2</v>
      </c>
      <c r="R18" s="7">
        <v>5.4908026956375762E-2</v>
      </c>
      <c r="S18" s="7">
        <v>7.5609395150208245E-2</v>
      </c>
      <c r="T18" s="7">
        <v>7.9359911212029413E-2</v>
      </c>
      <c r="U18" s="7">
        <v>5.4908026956375762E-2</v>
      </c>
    </row>
    <row r="19" spans="1:21" x14ac:dyDescent="0.25">
      <c r="A19" s="6" t="s">
        <v>3</v>
      </c>
      <c r="B19" s="7">
        <v>8.3333333333333329E-2</v>
      </c>
      <c r="C19" s="7">
        <v>7.108999169500288E-2</v>
      </c>
      <c r="D19" s="43">
        <v>7.5959906303411609E-2</v>
      </c>
      <c r="E19" s="7">
        <v>7.4735759797131707E-2</v>
      </c>
      <c r="F19" s="7">
        <v>6.949049792874136E-2</v>
      </c>
      <c r="G19" s="7">
        <v>7.5807099653595972E-2</v>
      </c>
      <c r="H19" s="7">
        <v>7.5450160872537517E-2</v>
      </c>
      <c r="I19" s="7">
        <v>7.316859174846975E-2</v>
      </c>
      <c r="J19" s="7">
        <v>8.2622009050754674E-2</v>
      </c>
      <c r="K19" s="7">
        <v>5.9742904792124803E-2</v>
      </c>
      <c r="L19" s="7">
        <v>6.9821888450663644E-2</v>
      </c>
      <c r="M19" s="7">
        <v>5.6092843326885883E-2</v>
      </c>
      <c r="N19" s="7">
        <v>6.3811620052369941E-2</v>
      </c>
      <c r="O19" s="7">
        <v>7.2329612487521552E-2</v>
      </c>
      <c r="P19" s="7">
        <v>9.133646742780388E-2</v>
      </c>
      <c r="Q19" s="7">
        <v>4.2246180012618983E-2</v>
      </c>
      <c r="R19" s="7">
        <v>6.115547881142528E-2</v>
      </c>
      <c r="S19" s="7">
        <v>7.0353692310944807E-2</v>
      </c>
      <c r="T19" s="7">
        <v>7.4198544171732245E-2</v>
      </c>
      <c r="U19" s="7">
        <v>6.115547881142528E-2</v>
      </c>
    </row>
    <row r="20" spans="1:21" x14ac:dyDescent="0.25">
      <c r="A20" s="6" t="s">
        <v>4</v>
      </c>
      <c r="B20" s="7">
        <v>8.3333333333333329E-2</v>
      </c>
      <c r="C20" s="7">
        <v>8.5482708369243293E-2</v>
      </c>
      <c r="D20" s="43">
        <v>8.9196455008926992E-2</v>
      </c>
      <c r="E20" s="7">
        <v>8.5856756238412851E-2</v>
      </c>
      <c r="F20" s="7">
        <v>8.3314197536534074E-2</v>
      </c>
      <c r="G20" s="7">
        <v>8.5873448511765788E-2</v>
      </c>
      <c r="H20" s="7">
        <v>8.5930395188249076E-2</v>
      </c>
      <c r="I20" s="7">
        <v>8.0037985528339489E-2</v>
      </c>
      <c r="J20" s="7">
        <v>9.031786033655799E-2</v>
      </c>
      <c r="K20" s="7">
        <v>6.3772008796139146E-2</v>
      </c>
      <c r="L20" s="7">
        <v>8.1491886829830537E-2</v>
      </c>
      <c r="M20" s="7">
        <v>6.2540296582849778E-2</v>
      </c>
      <c r="N20" s="7">
        <v>9.3079959014838148E-2</v>
      </c>
      <c r="O20" s="7">
        <v>8.0315818132316891E-2</v>
      </c>
      <c r="P20" s="7">
        <v>0.13767629281396909</v>
      </c>
      <c r="Q20" s="7">
        <v>5.8842893589005019E-2</v>
      </c>
      <c r="R20" s="7">
        <v>8.0737223301436553E-2</v>
      </c>
      <c r="S20" s="7">
        <v>8.4484471787065835E-2</v>
      </c>
      <c r="T20" s="7">
        <v>8.2697953856302811E-2</v>
      </c>
      <c r="U20" s="7">
        <v>8.0737223301436553E-2</v>
      </c>
    </row>
    <row r="21" spans="1:21" x14ac:dyDescent="0.25">
      <c r="A21" s="6" t="s">
        <v>5</v>
      </c>
      <c r="B21" s="7">
        <v>8.3333333333333329E-2</v>
      </c>
      <c r="C21" s="7">
        <v>8.417819703213876E-2</v>
      </c>
      <c r="D21" s="43">
        <v>8.8302291696594273E-2</v>
      </c>
      <c r="E21" s="7">
        <v>8.4277175186992556E-2</v>
      </c>
      <c r="F21" s="7">
        <v>8.1527679547354209E-2</v>
      </c>
      <c r="G21" s="7">
        <v>8.6090629716904288E-2</v>
      </c>
      <c r="H21" s="7">
        <v>8.3490651831689064E-2</v>
      </c>
      <c r="I21" s="7">
        <v>7.6543936250374187E-2</v>
      </c>
      <c r="J21" s="7">
        <v>9.375931496084329E-2</v>
      </c>
      <c r="K21" s="7">
        <v>7.2095872013223733E-2</v>
      </c>
      <c r="L21" s="7">
        <v>0.10609253156122248</v>
      </c>
      <c r="M21" s="7">
        <v>4.0618955512572531E-2</v>
      </c>
      <c r="N21" s="7">
        <v>8.6552692497438438E-2</v>
      </c>
      <c r="O21" s="7">
        <v>7.733914148289317E-2</v>
      </c>
      <c r="P21" s="7">
        <v>8.2269979852249819E-2</v>
      </c>
      <c r="Q21" s="7">
        <v>6.4192247551641837E-2</v>
      </c>
      <c r="R21" s="7">
        <v>9.3208144470825233E-2</v>
      </c>
      <c r="S21" s="7">
        <v>8.2958076996258026E-2</v>
      </c>
      <c r="T21" s="7">
        <v>7.967984235605223E-2</v>
      </c>
      <c r="U21" s="7">
        <v>9.3208144470825233E-2</v>
      </c>
    </row>
    <row r="22" spans="1:21" x14ac:dyDescent="0.25">
      <c r="A22" s="6" t="s">
        <v>6</v>
      </c>
      <c r="B22" s="7">
        <v>8.3333333333333329E-2</v>
      </c>
      <c r="C22" s="7">
        <v>8.1964836955670098E-2</v>
      </c>
      <c r="D22" s="43">
        <v>8.9161274813031932E-2</v>
      </c>
      <c r="E22" s="7">
        <v>8.4817908666652453E-2</v>
      </c>
      <c r="F22" s="7">
        <v>8.1302642576994794E-2</v>
      </c>
      <c r="G22" s="8">
        <v>8.2431126410320438E-2</v>
      </c>
      <c r="H22" s="7">
        <v>8.53533864766719E-2</v>
      </c>
      <c r="I22" s="7">
        <v>7.7612279234921921E-2</v>
      </c>
      <c r="J22" s="7">
        <v>8.3868520174511546E-2</v>
      </c>
      <c r="K22" s="7">
        <v>7.8427321162389124E-2</v>
      </c>
      <c r="L22" s="7">
        <v>9.2009292776487117E-2</v>
      </c>
      <c r="M22" s="7">
        <v>5.6092843326885883E-2</v>
      </c>
      <c r="N22" s="7">
        <v>8.7501423095897701E-2</v>
      </c>
      <c r="O22" s="7">
        <v>8.5851710681550036E-2</v>
      </c>
      <c r="P22" s="7">
        <v>9.9731363331094683E-2</v>
      </c>
      <c r="Q22" s="7">
        <v>8.3148163388472834E-2</v>
      </c>
      <c r="R22" s="7">
        <v>9.229680792383145E-2</v>
      </c>
      <c r="S22" s="7">
        <v>8.1660007188008712E-2</v>
      </c>
      <c r="T22" s="7">
        <v>8.1106791883375204E-2</v>
      </c>
      <c r="U22" s="7">
        <v>9.229680792383145E-2</v>
      </c>
    </row>
    <row r="23" spans="1:21" x14ac:dyDescent="0.25">
      <c r="A23" s="6" t="s">
        <v>7</v>
      </c>
      <c r="B23" s="7">
        <v>8.3333333333333329E-2</v>
      </c>
      <c r="C23" s="7">
        <v>9.534293370105143E-2</v>
      </c>
      <c r="D23" s="43">
        <v>9.5045162576480297E-2</v>
      </c>
      <c r="E23" s="7">
        <v>9.6748673471562213E-2</v>
      </c>
      <c r="F23" s="7">
        <v>9.3707231494153637E-2</v>
      </c>
      <c r="G23" s="8">
        <v>9.0694871265840638E-2</v>
      </c>
      <c r="H23" s="7">
        <v>9.1405706114410776E-2</v>
      </c>
      <c r="I23" s="7">
        <v>9.5350901640190361E-2</v>
      </c>
      <c r="J23" s="7">
        <v>8.1754870877706401E-2</v>
      </c>
      <c r="K23" s="7">
        <v>0.11870360257980726</v>
      </c>
      <c r="L23" s="7">
        <v>9.7213967979541474E-2</v>
      </c>
      <c r="M23" s="7">
        <v>8.9619600257898127E-2</v>
      </c>
      <c r="N23" s="7">
        <v>8.9304011232970298E-2</v>
      </c>
      <c r="O23" s="7">
        <v>8.4544877030583526E-2</v>
      </c>
      <c r="P23" s="7">
        <v>7.8576225654801865E-2</v>
      </c>
      <c r="Q23" s="7">
        <v>0.12174580967272927</v>
      </c>
      <c r="R23" s="7">
        <v>9.6277909681751678E-2</v>
      </c>
      <c r="S23" s="7">
        <v>9.4589966385488694E-2</v>
      </c>
      <c r="T23" s="7">
        <v>9.3569950254954001E-2</v>
      </c>
      <c r="U23" s="7">
        <v>9.6277909681751678E-2</v>
      </c>
    </row>
    <row r="24" spans="1:21" x14ac:dyDescent="0.25">
      <c r="A24" s="6" t="s">
        <v>8</v>
      </c>
      <c r="B24" s="7">
        <v>8.3333333333333329E-2</v>
      </c>
      <c r="C24" s="7">
        <v>9.7658147515552268E-2</v>
      </c>
      <c r="D24" s="43">
        <v>9.9671358336680352E-2</v>
      </c>
      <c r="E24" s="7">
        <v>9.3967758433311302E-2</v>
      </c>
      <c r="F24" s="7">
        <v>9.9948562978203564E-2</v>
      </c>
      <c r="G24" s="8">
        <v>0.10787390459229658</v>
      </c>
      <c r="H24" s="7">
        <v>9.4127681992937903E-2</v>
      </c>
      <c r="I24" s="7">
        <v>8.4058464682748593E-2</v>
      </c>
      <c r="J24" s="7">
        <v>0.10454434598813103</v>
      </c>
      <c r="K24" s="7">
        <v>0.16610829877355845</v>
      </c>
      <c r="L24" s="7">
        <v>0.10807354980459956</v>
      </c>
      <c r="M24" s="7">
        <v>8.6395873629916187E-2</v>
      </c>
      <c r="N24" s="7">
        <v>9.3525862396114004E-2</v>
      </c>
      <c r="O24" s="7">
        <v>8.9118794808966312E-2</v>
      </c>
      <c r="P24" s="7">
        <v>0.10275352585627937</v>
      </c>
      <c r="Q24" s="7">
        <v>0.16818917510218639</v>
      </c>
      <c r="R24" s="7">
        <v>0.11918123606014822</v>
      </c>
      <c r="S24" s="7">
        <v>9.8712500792795088E-2</v>
      </c>
      <c r="T24" s="7">
        <v>8.8603939399945084E-2</v>
      </c>
      <c r="U24" s="7">
        <v>0.11918123606014822</v>
      </c>
    </row>
    <row r="25" spans="1:21" x14ac:dyDescent="0.25">
      <c r="A25" s="6" t="s">
        <v>9</v>
      </c>
      <c r="B25" s="7">
        <v>8.3333333333333329E-2</v>
      </c>
      <c r="C25" s="7">
        <v>9.5456539793471934E-2</v>
      </c>
      <c r="D25" s="43">
        <v>9.9002934614674257E-2</v>
      </c>
      <c r="E25" s="7">
        <v>9.587763973831695E-2</v>
      </c>
      <c r="F25" s="7">
        <v>0.10019656290472211</v>
      </c>
      <c r="G25" s="8">
        <v>0.12991779691385505</v>
      </c>
      <c r="H25" s="7">
        <v>8.4569407248985512E-2</v>
      </c>
      <c r="I25" s="7">
        <v>8.1070200972346962E-2</v>
      </c>
      <c r="J25" s="7">
        <v>0.13776657724304256</v>
      </c>
      <c r="K25" s="7">
        <v>0.23016072140147883</v>
      </c>
      <c r="L25" s="7">
        <v>0.11241378068327121</v>
      </c>
      <c r="M25" s="7">
        <v>0.12314635718891037</v>
      </c>
      <c r="N25" s="7">
        <v>8.6903722818868365E-2</v>
      </c>
      <c r="O25" s="7">
        <v>8.2820582630002706E-2</v>
      </c>
      <c r="P25" s="7">
        <v>8.2605775688381455E-2</v>
      </c>
      <c r="Q25" s="7">
        <v>0.24538446767069927</v>
      </c>
      <c r="R25" s="7">
        <v>0.14840396191572536</v>
      </c>
      <c r="S25" s="7">
        <v>9.7638527726686547E-2</v>
      </c>
      <c r="T25" s="7">
        <v>8.2649822622246252E-2</v>
      </c>
      <c r="U25" s="7">
        <v>0.14840396191572536</v>
      </c>
    </row>
    <row r="26" spans="1:21" x14ac:dyDescent="0.25">
      <c r="A26" s="6" t="s">
        <v>10</v>
      </c>
      <c r="B26" s="7">
        <v>8.3333333333333329E-2</v>
      </c>
      <c r="C26" s="7">
        <v>9.0144475609947164E-2</v>
      </c>
      <c r="D26" s="43">
        <v>8.20753970231691E-2</v>
      </c>
      <c r="E26" s="7">
        <v>8.7529567200119326E-2</v>
      </c>
      <c r="F26" s="7">
        <v>9.047863985818079E-2</v>
      </c>
      <c r="G26" s="8">
        <v>8.2691743856486644E-2</v>
      </c>
      <c r="H26" s="7">
        <v>8.4055116875623254E-2</v>
      </c>
      <c r="I26" s="7">
        <v>9.4272236501202547E-2</v>
      </c>
      <c r="J26" s="7">
        <v>6.275912527436793E-2</v>
      </c>
      <c r="K26" s="7">
        <v>7.1461251236034654E-2</v>
      </c>
      <c r="L26" s="7">
        <v>8.7524987843751692E-2</v>
      </c>
      <c r="M26" s="7">
        <v>0.14442295293359123</v>
      </c>
      <c r="N26" s="7">
        <v>8.9275549315016522E-2</v>
      </c>
      <c r="O26" s="7">
        <v>9.2095471458390032E-2</v>
      </c>
      <c r="P26" s="7">
        <v>6.2458025520483539E-2</v>
      </c>
      <c r="Q26" s="7">
        <v>8.051463528379009E-2</v>
      </c>
      <c r="R26" s="7">
        <v>8.7644195026021054E-2</v>
      </c>
      <c r="S26" s="7">
        <v>9.029830236147228E-2</v>
      </c>
      <c r="T26" s="7">
        <v>8.9659995300126569E-2</v>
      </c>
      <c r="U26" s="7">
        <v>8.7644195026021054E-2</v>
      </c>
    </row>
    <row r="27" spans="1:21" x14ac:dyDescent="0.25">
      <c r="A27" s="6" t="s">
        <v>11</v>
      </c>
      <c r="B27" s="7">
        <v>8.3333333333333329E-2</v>
      </c>
      <c r="C27" s="7">
        <v>7.9485090179732654E-2</v>
      </c>
      <c r="D27" s="43">
        <v>6.9346029475140805E-2</v>
      </c>
      <c r="E27" s="7">
        <v>8.1842542672661792E-2</v>
      </c>
      <c r="F27" s="7">
        <v>8.0636716848380197E-2</v>
      </c>
      <c r="G27" s="8">
        <v>7.1832683599561284E-2</v>
      </c>
      <c r="H27" s="7">
        <v>7.6855051648551498E-2</v>
      </c>
      <c r="I27" s="7">
        <v>9.9737817277222113E-2</v>
      </c>
      <c r="J27" s="7">
        <v>6.723030647914803E-2</v>
      </c>
      <c r="K27" s="7">
        <v>3.9700695131130365E-2</v>
      </c>
      <c r="L27" s="7">
        <v>7.1820915950798717E-2</v>
      </c>
      <c r="M27" s="7">
        <v>8.1237911025145063E-2</v>
      </c>
      <c r="N27" s="7">
        <v>8.7093468938560223E-2</v>
      </c>
      <c r="O27" s="7">
        <v>8.9554406025955158E-2</v>
      </c>
      <c r="P27" s="7">
        <v>5.3391537944929478E-2</v>
      </c>
      <c r="Q27" s="7">
        <v>3.9365758648122237E-2</v>
      </c>
      <c r="R27" s="7">
        <v>7.7643475549799737E-2</v>
      </c>
      <c r="S27" s="7">
        <v>8.0015221665503913E-2</v>
      </c>
      <c r="T27" s="7">
        <v>8.9408014133595323E-2</v>
      </c>
      <c r="U27" s="7">
        <v>7.7643475549799737E-2</v>
      </c>
    </row>
    <row r="28" spans="1:21" x14ac:dyDescent="0.25">
      <c r="A28" s="6" t="s">
        <v>0</v>
      </c>
      <c r="B28" s="7">
        <v>8.3333333333333329E-2</v>
      </c>
      <c r="C28" s="7">
        <v>7.2488521867214051E-2</v>
      </c>
      <c r="D28" s="43">
        <v>6.1128522050653618E-2</v>
      </c>
      <c r="E28" s="7">
        <v>6.9600123596223917E-2</v>
      </c>
      <c r="F28" s="7">
        <v>7.383968182527946E-2</v>
      </c>
      <c r="G28" s="7">
        <v>5.7563878421961354E-2</v>
      </c>
      <c r="H28" s="7">
        <v>7.2935155510119601E-2</v>
      </c>
      <c r="I28" s="7">
        <v>8.7258332559171758E-2</v>
      </c>
      <c r="J28" s="7">
        <v>5.4358724222962902E-2</v>
      </c>
      <c r="K28" s="7">
        <v>3.1819590595805601E-2</v>
      </c>
      <c r="L28" s="7">
        <v>5.6477029193005207E-2</v>
      </c>
      <c r="M28" s="7">
        <v>8.4461637653127017E-2</v>
      </c>
      <c r="N28" s="7">
        <v>7.332738795491632E-2</v>
      </c>
      <c r="O28" s="7">
        <v>8.2348670478264802E-2</v>
      </c>
      <c r="P28" s="7">
        <v>6.2793821356615168E-2</v>
      </c>
      <c r="Q28" s="7">
        <v>3.6211011439387708E-2</v>
      </c>
      <c r="R28" s="7">
        <v>4.8216898098184524E-2</v>
      </c>
      <c r="S28" s="7">
        <v>7.3110505063317913E-2</v>
      </c>
      <c r="T28" s="7">
        <v>8.0792523237476682E-2</v>
      </c>
      <c r="U28" s="7">
        <v>4.8216898098184524E-2</v>
      </c>
    </row>
    <row r="29" spans="1:21" x14ac:dyDescent="0.25">
      <c r="D29" t="s">
        <v>105</v>
      </c>
    </row>
  </sheetData>
  <sheetProtection sheet="1" selectLockedCells="1"/>
  <phoneticPr fontId="0" type="noConversion"/>
  <pageMargins left="0.7" right="0.7" top="0.75" bottom="0.75" header="0.3" footer="0.3"/>
  <pageSetup paperSize="5" scale="79" fitToHeight="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Instructions</vt:lpstr>
      <vt:lpstr>Provider Order Form</vt:lpstr>
      <vt:lpstr>Table</vt:lpstr>
      <vt:lpstr>List</vt:lpstr>
      <vt:lpstr>Seasonality</vt:lpstr>
      <vt:lpstr>AMPM</vt:lpstr>
      <vt:lpstr>FREQ</vt:lpstr>
      <vt:lpstr>list</vt:lpstr>
      <vt:lpstr>'Provider Order Form'!Print_Area</vt:lpstr>
      <vt:lpstr>Seasonality!Print_Area</vt:lpstr>
      <vt:lpstr>time</vt:lpstr>
    </vt:vector>
  </TitlesOfParts>
  <Company>Washington State Department of Health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mdb0303</dc:creator>
  <cp:lastModifiedBy>Darren Robertson</cp:lastModifiedBy>
  <cp:lastPrinted>2012-10-26T22:49:56Z</cp:lastPrinted>
  <dcterms:created xsi:type="dcterms:W3CDTF">2010-05-11T18:27:50Z</dcterms:created>
  <dcterms:modified xsi:type="dcterms:W3CDTF">2012-10-27T00:08:26Z</dcterms:modified>
</cp:coreProperties>
</file>