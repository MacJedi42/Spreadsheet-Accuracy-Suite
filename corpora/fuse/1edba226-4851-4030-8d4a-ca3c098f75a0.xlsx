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420" windowWidth="23715" windowHeight="949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Sheet1!$A$1:$L$552</definedName>
  </definedNames>
  <calcPr calcId="125725"/>
</workbook>
</file>

<file path=xl/calcChain.xml><?xml version="1.0" encoding="utf-8"?>
<calcChain xmlns="http://schemas.openxmlformats.org/spreadsheetml/2006/main">
  <c r="I129" i="1"/>
  <c r="J129"/>
  <c r="K129"/>
  <c r="I297"/>
  <c r="J297"/>
  <c r="K297"/>
  <c r="I381"/>
  <c r="J381"/>
  <c r="K381"/>
  <c r="I254"/>
  <c r="J254"/>
  <c r="K254"/>
  <c r="I428"/>
  <c r="J428"/>
  <c r="K428"/>
  <c r="I183"/>
  <c r="J183"/>
  <c r="K183"/>
  <c r="I304"/>
  <c r="J304"/>
  <c r="K304"/>
  <c r="I406"/>
  <c r="J406"/>
  <c r="K406"/>
  <c r="I247"/>
  <c r="J247"/>
  <c r="K247"/>
  <c r="I534"/>
  <c r="J534"/>
  <c r="K534"/>
  <c r="I524"/>
  <c r="J524"/>
  <c r="K524"/>
  <c r="I531"/>
  <c r="J531"/>
  <c r="K531"/>
  <c r="I260"/>
  <c r="J260"/>
  <c r="K260"/>
  <c r="I338"/>
  <c r="J338"/>
  <c r="K338"/>
  <c r="I270"/>
  <c r="J270"/>
  <c r="K270"/>
  <c r="I415"/>
  <c r="J415"/>
  <c r="K415"/>
  <c r="I404"/>
  <c r="J404"/>
  <c r="K404"/>
  <c r="I245"/>
  <c r="J245"/>
  <c r="K245"/>
  <c r="I151"/>
  <c r="J151"/>
  <c r="K151"/>
  <c r="I135"/>
  <c r="J135"/>
  <c r="K135"/>
  <c r="I248"/>
  <c r="J248"/>
  <c r="K248"/>
  <c r="I432"/>
  <c r="J432"/>
  <c r="K432"/>
  <c r="I293"/>
  <c r="J293"/>
  <c r="K293"/>
  <c r="I540"/>
  <c r="J540"/>
  <c r="K540"/>
  <c r="I421"/>
  <c r="J421"/>
  <c r="K421"/>
  <c r="I451"/>
  <c r="J451"/>
  <c r="K451"/>
  <c r="I391"/>
  <c r="J391"/>
  <c r="K391"/>
  <c r="I233"/>
  <c r="J233"/>
  <c r="K233"/>
  <c r="I246"/>
  <c r="J246"/>
  <c r="K246"/>
  <c r="I403"/>
  <c r="J403"/>
  <c r="K403"/>
  <c r="I436"/>
  <c r="J436"/>
  <c r="K436"/>
  <c r="I537"/>
  <c r="J537"/>
  <c r="K537"/>
  <c r="I543"/>
  <c r="J543"/>
  <c r="K543"/>
  <c r="I446"/>
  <c r="J446"/>
  <c r="K446"/>
  <c r="I412"/>
  <c r="J412"/>
  <c r="K412"/>
  <c r="I390"/>
  <c r="J390"/>
  <c r="K390"/>
  <c r="I410"/>
  <c r="J410"/>
  <c r="K410"/>
  <c r="I546"/>
  <c r="J546"/>
  <c r="K546"/>
  <c r="I243"/>
  <c r="J243"/>
  <c r="K243"/>
  <c r="I316"/>
  <c r="J316"/>
  <c r="K316"/>
  <c r="I386"/>
  <c r="J386"/>
  <c r="K386"/>
  <c r="I78"/>
  <c r="J78"/>
  <c r="K78"/>
  <c r="I265"/>
  <c r="J265"/>
  <c r="K265"/>
  <c r="I514"/>
  <c r="J514"/>
  <c r="K514"/>
  <c r="I532"/>
  <c r="J532"/>
  <c r="K532"/>
  <c r="I518"/>
  <c r="J518"/>
  <c r="K518"/>
  <c r="I294"/>
  <c r="J294"/>
  <c r="K294"/>
  <c r="I468"/>
  <c r="J468"/>
  <c r="K468"/>
  <c r="I267"/>
  <c r="J267"/>
  <c r="K267"/>
  <c r="I529"/>
  <c r="J529"/>
  <c r="K529"/>
  <c r="I424"/>
  <c r="J424"/>
  <c r="K424"/>
  <c r="I414"/>
  <c r="J414"/>
  <c r="K414"/>
  <c r="I471"/>
  <c r="J471"/>
  <c r="K471"/>
  <c r="I202"/>
  <c r="J202"/>
  <c r="K202"/>
  <c r="I384"/>
  <c r="J384"/>
  <c r="K384"/>
  <c r="I516"/>
  <c r="J516"/>
  <c r="K516"/>
  <c r="I222"/>
  <c r="J222"/>
  <c r="K222"/>
  <c r="I535"/>
  <c r="J535"/>
  <c r="K535"/>
  <c r="I150"/>
  <c r="J150"/>
  <c r="K150"/>
  <c r="I429"/>
  <c r="J429"/>
  <c r="K429"/>
  <c r="I375"/>
  <c r="J375"/>
  <c r="K375"/>
  <c r="I255"/>
  <c r="J255"/>
  <c r="K255"/>
  <c r="I109"/>
  <c r="J109"/>
  <c r="K109"/>
  <c r="I117"/>
  <c r="J117"/>
  <c r="K117"/>
  <c r="I443"/>
  <c r="J443"/>
  <c r="K443"/>
  <c r="I366"/>
  <c r="J366"/>
  <c r="K366"/>
  <c r="I284"/>
  <c r="J284"/>
  <c r="K284"/>
  <c r="I533"/>
  <c r="J533"/>
  <c r="K533"/>
  <c r="I257"/>
  <c r="J257"/>
  <c r="K257"/>
  <c r="I419"/>
  <c r="J419"/>
  <c r="K419"/>
  <c r="I266"/>
  <c r="J266"/>
  <c r="K266"/>
  <c r="I401"/>
  <c r="J401"/>
  <c r="K401"/>
  <c r="I398"/>
  <c r="J398"/>
  <c r="K398"/>
  <c r="I259"/>
  <c r="J259"/>
  <c r="K259"/>
  <c r="I90"/>
  <c r="J90"/>
  <c r="K90"/>
  <c r="I409"/>
  <c r="J409"/>
  <c r="K409"/>
  <c r="I184"/>
  <c r="J184"/>
  <c r="K184"/>
  <c r="I219"/>
  <c r="J219"/>
  <c r="K219"/>
  <c r="I467"/>
  <c r="J467"/>
  <c r="K467"/>
  <c r="I379"/>
  <c r="J379"/>
  <c r="K379"/>
  <c r="I87"/>
  <c r="J87"/>
  <c r="K87"/>
  <c r="I447"/>
  <c r="J447"/>
  <c r="K447"/>
  <c r="I462"/>
  <c r="J462"/>
  <c r="K462"/>
  <c r="I60"/>
  <c r="J60"/>
  <c r="K60"/>
  <c r="I450"/>
  <c r="J450"/>
  <c r="K450"/>
  <c r="I385"/>
  <c r="J385"/>
  <c r="K385"/>
  <c r="I539"/>
  <c r="J539"/>
  <c r="K539"/>
  <c r="I85"/>
  <c r="J85"/>
  <c r="K85"/>
  <c r="I251"/>
  <c r="J251"/>
  <c r="K251"/>
  <c r="I88"/>
  <c r="J88"/>
  <c r="K88"/>
  <c r="I5"/>
  <c r="J5"/>
  <c r="K5"/>
  <c r="I172"/>
  <c r="J172"/>
  <c r="K172"/>
  <c r="I383"/>
  <c r="J383"/>
  <c r="K383"/>
  <c r="I453"/>
  <c r="J453"/>
  <c r="K453"/>
  <c r="I6"/>
  <c r="J6"/>
  <c r="K6"/>
  <c r="I541"/>
  <c r="J541"/>
  <c r="K541"/>
  <c r="I48"/>
  <c r="J48"/>
  <c r="K48"/>
  <c r="I15"/>
  <c r="J15"/>
  <c r="K15"/>
  <c r="I396"/>
  <c r="J396"/>
  <c r="K396"/>
  <c r="I59"/>
  <c r="J59"/>
  <c r="K59"/>
  <c r="I2"/>
  <c r="J2"/>
  <c r="K2"/>
  <c r="I351"/>
  <c r="J351"/>
  <c r="K351"/>
  <c r="I523"/>
  <c r="J523"/>
  <c r="K523"/>
  <c r="I466"/>
  <c r="J466"/>
  <c r="K466"/>
  <c r="I28"/>
  <c r="J28"/>
  <c r="K28"/>
  <c r="I211"/>
  <c r="J211"/>
  <c r="K211"/>
  <c r="I191"/>
  <c r="J191"/>
  <c r="K191"/>
  <c r="I258"/>
  <c r="J258"/>
  <c r="K258"/>
  <c r="I272"/>
  <c r="J272"/>
  <c r="K272"/>
  <c r="I530"/>
  <c r="J530"/>
  <c r="K530"/>
  <c r="I376"/>
  <c r="J376"/>
  <c r="K376"/>
  <c r="I479"/>
  <c r="J479"/>
  <c r="K479"/>
  <c r="I448"/>
  <c r="J448"/>
  <c r="K448"/>
  <c r="I470"/>
  <c r="J470"/>
  <c r="K470"/>
  <c r="I155"/>
  <c r="J155"/>
  <c r="K155"/>
  <c r="I45"/>
  <c r="J45"/>
  <c r="K45"/>
  <c r="I460"/>
  <c r="J460"/>
  <c r="K460"/>
  <c r="I269"/>
  <c r="J269"/>
  <c r="K269"/>
  <c r="I315"/>
  <c r="J315"/>
  <c r="K315"/>
  <c r="I77"/>
  <c r="J77"/>
  <c r="K77"/>
  <c r="I442"/>
  <c r="J442"/>
  <c r="K442"/>
  <c r="I234"/>
  <c r="J234"/>
  <c r="K234"/>
  <c r="I378"/>
  <c r="J378"/>
  <c r="K378"/>
  <c r="I478"/>
  <c r="J478"/>
  <c r="K478"/>
  <c r="I522"/>
  <c r="J522"/>
  <c r="K522"/>
  <c r="I189"/>
  <c r="J189"/>
  <c r="K189"/>
  <c r="I215"/>
  <c r="J215"/>
  <c r="K215"/>
  <c r="I502"/>
  <c r="J502"/>
  <c r="K502"/>
  <c r="I459"/>
  <c r="J459"/>
  <c r="K459"/>
  <c r="I484"/>
  <c r="J484"/>
  <c r="K484"/>
  <c r="I116"/>
  <c r="J116"/>
  <c r="K116"/>
  <c r="I212"/>
  <c r="J212"/>
  <c r="K212"/>
  <c r="I263"/>
  <c r="J263"/>
  <c r="K263"/>
  <c r="I158"/>
  <c r="J158"/>
  <c r="K158"/>
  <c r="I218"/>
  <c r="J218"/>
  <c r="K218"/>
  <c r="I395"/>
  <c r="J395"/>
  <c r="K395"/>
  <c r="I377"/>
  <c r="J377"/>
  <c r="K377"/>
  <c r="I405"/>
  <c r="J405"/>
  <c r="K405"/>
  <c r="I112"/>
  <c r="J112"/>
  <c r="K112"/>
  <c r="I455"/>
  <c r="J455"/>
  <c r="K455"/>
  <c r="I357"/>
  <c r="J357"/>
  <c r="K357"/>
  <c r="I317"/>
  <c r="J317"/>
  <c r="K317"/>
  <c r="I515"/>
  <c r="J515"/>
  <c r="K515"/>
  <c r="I431"/>
  <c r="J431"/>
  <c r="K431"/>
  <c r="I146"/>
  <c r="J146"/>
  <c r="K146"/>
  <c r="I55"/>
  <c r="J55"/>
  <c r="K55"/>
  <c r="I80"/>
  <c r="J80"/>
  <c r="K80"/>
  <c r="I206"/>
  <c r="J206"/>
  <c r="K206"/>
  <c r="I203"/>
  <c r="J203"/>
  <c r="K203"/>
  <c r="I273"/>
  <c r="J273"/>
  <c r="K273"/>
  <c r="I207"/>
  <c r="J207"/>
  <c r="K207"/>
  <c r="I545"/>
  <c r="J545"/>
  <c r="K545"/>
  <c r="I498"/>
  <c r="J498"/>
  <c r="K498"/>
  <c r="I12"/>
  <c r="J12"/>
  <c r="K12"/>
  <c r="I4"/>
  <c r="J4"/>
  <c r="K4"/>
  <c r="I536"/>
  <c r="J536"/>
  <c r="K536"/>
  <c r="I42"/>
  <c r="J42"/>
  <c r="K42"/>
  <c r="I481"/>
  <c r="J481"/>
  <c r="K481"/>
  <c r="I402"/>
  <c r="J402"/>
  <c r="K402"/>
  <c r="I445"/>
  <c r="J445"/>
  <c r="K445"/>
  <c r="I418"/>
  <c r="J418"/>
  <c r="K418"/>
  <c r="I411"/>
  <c r="J411"/>
  <c r="K411"/>
  <c r="I382"/>
  <c r="J382"/>
  <c r="K382"/>
  <c r="I253"/>
  <c r="J253"/>
  <c r="K253"/>
  <c r="I407"/>
  <c r="J407"/>
  <c r="K407"/>
  <c r="I330"/>
  <c r="J330"/>
  <c r="K330"/>
  <c r="I413"/>
  <c r="J413"/>
  <c r="K413"/>
  <c r="I144"/>
  <c r="J144"/>
  <c r="K144"/>
  <c r="I242"/>
  <c r="J242"/>
  <c r="K242"/>
  <c r="I469"/>
  <c r="J469"/>
  <c r="K469"/>
  <c r="I130"/>
  <c r="J130"/>
  <c r="K130"/>
  <c r="I346"/>
  <c r="J346"/>
  <c r="K346"/>
  <c r="I13"/>
  <c r="J13"/>
  <c r="K13"/>
  <c r="I456"/>
  <c r="J456"/>
  <c r="K456"/>
  <c r="I380"/>
  <c r="J380"/>
  <c r="K380"/>
  <c r="I264"/>
  <c r="J264"/>
  <c r="K264"/>
  <c r="I24"/>
  <c r="J24"/>
  <c r="K24"/>
  <c r="I393"/>
  <c r="J393"/>
  <c r="K393"/>
  <c r="I71"/>
  <c r="J71"/>
  <c r="K71"/>
  <c r="I79"/>
  <c r="J79"/>
  <c r="K79"/>
  <c r="I427"/>
  <c r="J427"/>
  <c r="K427"/>
  <c r="I252"/>
  <c r="J252"/>
  <c r="K252"/>
  <c r="I464"/>
  <c r="J464"/>
  <c r="K464"/>
  <c r="I271"/>
  <c r="J271"/>
  <c r="K271"/>
  <c r="I141"/>
  <c r="J141"/>
  <c r="K141"/>
  <c r="I463"/>
  <c r="J463"/>
  <c r="K463"/>
  <c r="I268"/>
  <c r="J268"/>
  <c r="K268"/>
  <c r="I400"/>
  <c r="J400"/>
  <c r="K400"/>
  <c r="I249"/>
  <c r="J249"/>
  <c r="K249"/>
  <c r="I311"/>
  <c r="J311"/>
  <c r="K311"/>
  <c r="I507"/>
  <c r="J507"/>
  <c r="K507"/>
  <c r="I188"/>
  <c r="J188"/>
  <c r="K188"/>
  <c r="I75"/>
  <c r="J75"/>
  <c r="K75"/>
  <c r="I220"/>
  <c r="J220"/>
  <c r="K220"/>
  <c r="I348"/>
  <c r="J348"/>
  <c r="K348"/>
  <c r="I115"/>
  <c r="J115"/>
  <c r="K115"/>
  <c r="I196"/>
  <c r="J196"/>
  <c r="K196"/>
  <c r="I216"/>
  <c r="J216"/>
  <c r="K216"/>
  <c r="I508"/>
  <c r="J508"/>
  <c r="K508"/>
  <c r="I473"/>
  <c r="J473"/>
  <c r="K473"/>
  <c r="I261"/>
  <c r="J261"/>
  <c r="K261"/>
  <c r="I186"/>
  <c r="J186"/>
  <c r="K186"/>
  <c r="I230"/>
  <c r="J230"/>
  <c r="K230"/>
  <c r="I177"/>
  <c r="J177"/>
  <c r="K177"/>
  <c r="I20"/>
  <c r="J20"/>
  <c r="K20"/>
  <c r="I58"/>
  <c r="J58"/>
  <c r="K58"/>
  <c r="I528"/>
  <c r="J528"/>
  <c r="K528"/>
  <c r="I504"/>
  <c r="J504"/>
  <c r="K504"/>
  <c r="I483"/>
  <c r="J483"/>
  <c r="K483"/>
  <c r="I399"/>
  <c r="J399"/>
  <c r="K399"/>
  <c r="I505"/>
  <c r="J505"/>
  <c r="K505"/>
  <c r="I159"/>
  <c r="J159"/>
  <c r="K159"/>
  <c r="I160"/>
  <c r="J160"/>
  <c r="K160"/>
  <c r="I232"/>
  <c r="J232"/>
  <c r="K232"/>
  <c r="I161"/>
  <c r="J161"/>
  <c r="K161"/>
  <c r="I139"/>
  <c r="J139"/>
  <c r="K139"/>
  <c r="I19"/>
  <c r="J19"/>
  <c r="K19"/>
  <c r="I140"/>
  <c r="J140"/>
  <c r="K140"/>
  <c r="I509"/>
  <c r="J509"/>
  <c r="K509"/>
  <c r="I322"/>
  <c r="J322"/>
  <c r="K322"/>
  <c r="I433"/>
  <c r="J433"/>
  <c r="K433"/>
  <c r="I289"/>
  <c r="J289"/>
  <c r="K289"/>
  <c r="I444"/>
  <c r="J444"/>
  <c r="K444"/>
  <c r="I8"/>
  <c r="J8"/>
  <c r="K8"/>
  <c r="I32"/>
  <c r="J32"/>
  <c r="K32"/>
  <c r="I454"/>
  <c r="J454"/>
  <c r="K454"/>
  <c r="I512"/>
  <c r="J512"/>
  <c r="K512"/>
  <c r="I68"/>
  <c r="J68"/>
  <c r="K68"/>
  <c r="I136"/>
  <c r="J136"/>
  <c r="K136"/>
  <c r="I209"/>
  <c r="J209"/>
  <c r="K209"/>
  <c r="I10"/>
  <c r="J10"/>
  <c r="K10"/>
  <c r="I476"/>
  <c r="J476"/>
  <c r="K476"/>
  <c r="I201"/>
  <c r="J201"/>
  <c r="K201"/>
  <c r="I369"/>
  <c r="J369"/>
  <c r="K369"/>
  <c r="I213"/>
  <c r="J213"/>
  <c r="K213"/>
  <c r="I495"/>
  <c r="J495"/>
  <c r="K495"/>
  <c r="I176"/>
  <c r="J176"/>
  <c r="K176"/>
  <c r="I21"/>
  <c r="J21"/>
  <c r="K21"/>
  <c r="I461"/>
  <c r="J461"/>
  <c r="K461"/>
  <c r="I458"/>
  <c r="J458"/>
  <c r="K458"/>
  <c r="I548"/>
  <c r="J548"/>
  <c r="K548"/>
  <c r="I314"/>
  <c r="J314"/>
  <c r="K314"/>
  <c r="I9"/>
  <c r="J9"/>
  <c r="K9"/>
  <c r="I185"/>
  <c r="J185"/>
  <c r="K185"/>
  <c r="I397"/>
  <c r="J397"/>
  <c r="K397"/>
  <c r="I392"/>
  <c r="J392"/>
  <c r="K392"/>
  <c r="I52"/>
  <c r="J52"/>
  <c r="K52"/>
  <c r="I542"/>
  <c r="J542"/>
  <c r="K542"/>
  <c r="I86"/>
  <c r="J86"/>
  <c r="K86"/>
  <c r="I526"/>
  <c r="J526"/>
  <c r="K526"/>
  <c r="I250"/>
  <c r="J250"/>
  <c r="K250"/>
  <c r="I217"/>
  <c r="J217"/>
  <c r="K217"/>
  <c r="I175"/>
  <c r="J175"/>
  <c r="K175"/>
  <c r="I138"/>
  <c r="J138"/>
  <c r="K138"/>
  <c r="I152"/>
  <c r="J152"/>
  <c r="K152"/>
  <c r="I337"/>
  <c r="J337"/>
  <c r="K337"/>
  <c r="I538"/>
  <c r="J538"/>
  <c r="K538"/>
  <c r="I198"/>
  <c r="J198"/>
  <c r="K198"/>
  <c r="I17"/>
  <c r="J17"/>
  <c r="K17"/>
  <c r="I194"/>
  <c r="J194"/>
  <c r="K194"/>
  <c r="I23"/>
  <c r="J23"/>
  <c r="K23"/>
  <c r="I506"/>
  <c r="J506"/>
  <c r="K506"/>
  <c r="I527"/>
  <c r="J527"/>
  <c r="K527"/>
  <c r="I171"/>
  <c r="J171"/>
  <c r="K171"/>
  <c r="I221"/>
  <c r="J221"/>
  <c r="K221"/>
  <c r="I525"/>
  <c r="J525"/>
  <c r="K525"/>
  <c r="I33"/>
  <c r="J33"/>
  <c r="K33"/>
  <c r="I408"/>
  <c r="J408"/>
  <c r="K408"/>
  <c r="I511"/>
  <c r="J511"/>
  <c r="K511"/>
  <c r="I36"/>
  <c r="J36"/>
  <c r="K36"/>
  <c r="I262"/>
  <c r="J262"/>
  <c r="K262"/>
  <c r="I224"/>
  <c r="J224"/>
  <c r="K224"/>
  <c r="I277"/>
  <c r="J277"/>
  <c r="K277"/>
  <c r="I513"/>
  <c r="J513"/>
  <c r="K513"/>
  <c r="I472"/>
  <c r="J472"/>
  <c r="K472"/>
  <c r="I549"/>
  <c r="J549"/>
  <c r="K549"/>
  <c r="I389"/>
  <c r="J389"/>
  <c r="K389"/>
  <c r="I187"/>
  <c r="J187"/>
  <c r="K187"/>
  <c r="I244"/>
  <c r="J244"/>
  <c r="K244"/>
  <c r="I34"/>
  <c r="J34"/>
  <c r="K34"/>
  <c r="I517"/>
  <c r="J517"/>
  <c r="K517"/>
  <c r="I521"/>
  <c r="J521"/>
  <c r="K521"/>
  <c r="I91"/>
  <c r="J91"/>
  <c r="K91"/>
  <c r="I73"/>
  <c r="J73"/>
  <c r="K73"/>
  <c r="I416"/>
  <c r="J416"/>
  <c r="K416"/>
  <c r="I345"/>
  <c r="J345"/>
  <c r="K345"/>
  <c r="I214"/>
  <c r="J214"/>
  <c r="K214"/>
  <c r="I190"/>
  <c r="J190"/>
  <c r="K190"/>
  <c r="I111"/>
  <c r="J111"/>
  <c r="K111"/>
  <c r="I205"/>
  <c r="J205"/>
  <c r="K205"/>
  <c r="I417"/>
  <c r="J417"/>
  <c r="K417"/>
  <c r="I57"/>
  <c r="J57"/>
  <c r="K57"/>
  <c r="I550"/>
  <c r="J550"/>
  <c r="K550"/>
  <c r="I50"/>
  <c r="J50"/>
  <c r="K50"/>
  <c r="I26"/>
  <c r="J26"/>
  <c r="K26"/>
  <c r="I499"/>
  <c r="J499"/>
  <c r="K499"/>
  <c r="I107"/>
  <c r="J107"/>
  <c r="K107"/>
  <c r="I309"/>
  <c r="J309"/>
  <c r="K309"/>
  <c r="I27"/>
  <c r="J27"/>
  <c r="K27"/>
  <c r="I192"/>
  <c r="J192"/>
  <c r="K192"/>
  <c r="I291"/>
  <c r="J291"/>
  <c r="K291"/>
  <c r="I210"/>
  <c r="J210"/>
  <c r="K210"/>
  <c r="I25"/>
  <c r="J25"/>
  <c r="K25"/>
  <c r="I92"/>
  <c r="J92"/>
  <c r="K92"/>
  <c r="I49"/>
  <c r="J49"/>
  <c r="K49"/>
  <c r="I336"/>
  <c r="J336"/>
  <c r="K336"/>
  <c r="I14"/>
  <c r="J14"/>
  <c r="K14"/>
  <c r="I475"/>
  <c r="J475"/>
  <c r="K475"/>
  <c r="I292"/>
  <c r="J292"/>
  <c r="K292"/>
  <c r="I65"/>
  <c r="J65"/>
  <c r="K65"/>
  <c r="I328"/>
  <c r="J328"/>
  <c r="K328"/>
  <c r="I465"/>
  <c r="J465"/>
  <c r="K465"/>
  <c r="I439"/>
  <c r="J439"/>
  <c r="K439"/>
  <c r="I372"/>
  <c r="J372"/>
  <c r="K372"/>
  <c r="I356"/>
  <c r="J356"/>
  <c r="K356"/>
  <c r="I482"/>
  <c r="J482"/>
  <c r="K482"/>
  <c r="I22"/>
  <c r="J22"/>
  <c r="K22"/>
  <c r="I231"/>
  <c r="J231"/>
  <c r="K231"/>
  <c r="I335"/>
  <c r="J335"/>
  <c r="K335"/>
  <c r="I492"/>
  <c r="J492"/>
  <c r="K492"/>
  <c r="I487"/>
  <c r="J487"/>
  <c r="K487"/>
  <c r="I137"/>
  <c r="J137"/>
  <c r="K137"/>
  <c r="I358"/>
  <c r="J358"/>
  <c r="K358"/>
  <c r="I388"/>
  <c r="J388"/>
  <c r="K388"/>
  <c r="I365"/>
  <c r="J365"/>
  <c r="K365"/>
  <c r="I488"/>
  <c r="J488"/>
  <c r="K488"/>
  <c r="I200"/>
  <c r="J200"/>
  <c r="K200"/>
  <c r="I11"/>
  <c r="J11"/>
  <c r="K11"/>
  <c r="I287"/>
  <c r="J287"/>
  <c r="K287"/>
  <c r="I195"/>
  <c r="J195"/>
  <c r="K195"/>
  <c r="I174"/>
  <c r="J174"/>
  <c r="K174"/>
  <c r="I350"/>
  <c r="J350"/>
  <c r="K350"/>
  <c r="I46"/>
  <c r="J46"/>
  <c r="K46"/>
  <c r="I477"/>
  <c r="J477"/>
  <c r="K477"/>
  <c r="I493"/>
  <c r="J493"/>
  <c r="K493"/>
  <c r="I430"/>
  <c r="J430"/>
  <c r="K430"/>
  <c r="I61"/>
  <c r="J61"/>
  <c r="K61"/>
  <c r="I298"/>
  <c r="J298"/>
  <c r="K298"/>
  <c r="I280"/>
  <c r="J280"/>
  <c r="K280"/>
  <c r="I332"/>
  <c r="J332"/>
  <c r="K332"/>
  <c r="I422"/>
  <c r="J422"/>
  <c r="K422"/>
  <c r="I100"/>
  <c r="J100"/>
  <c r="K100"/>
  <c r="I225"/>
  <c r="J225"/>
  <c r="K225"/>
  <c r="I420"/>
  <c r="J420"/>
  <c r="K420"/>
  <c r="I275"/>
  <c r="J275"/>
  <c r="K275"/>
  <c r="I387"/>
  <c r="J387"/>
  <c r="K387"/>
  <c r="I343"/>
  <c r="J343"/>
  <c r="K343"/>
  <c r="I319"/>
  <c r="J319"/>
  <c r="K319"/>
  <c r="I145"/>
  <c r="J145"/>
  <c r="K145"/>
  <c r="I474"/>
  <c r="J474"/>
  <c r="K474"/>
  <c r="I66"/>
  <c r="J66"/>
  <c r="K66"/>
  <c r="I16"/>
  <c r="J16"/>
  <c r="K16"/>
  <c r="I124"/>
  <c r="J124"/>
  <c r="K124"/>
  <c r="I18"/>
  <c r="J18"/>
  <c r="K18"/>
  <c r="I7"/>
  <c r="J7"/>
  <c r="K7"/>
  <c r="I166"/>
  <c r="J166"/>
  <c r="K166"/>
  <c r="I83"/>
  <c r="J83"/>
  <c r="K83"/>
  <c r="I76"/>
  <c r="J76"/>
  <c r="K76"/>
  <c r="I167"/>
  <c r="J167"/>
  <c r="K167"/>
  <c r="I228"/>
  <c r="J228"/>
  <c r="K228"/>
  <c r="I281"/>
  <c r="J281"/>
  <c r="K281"/>
  <c r="I290"/>
  <c r="J290"/>
  <c r="K290"/>
  <c r="I148"/>
  <c r="J148"/>
  <c r="K148"/>
  <c r="I452"/>
  <c r="J452"/>
  <c r="K452"/>
  <c r="I208"/>
  <c r="J208"/>
  <c r="K208"/>
  <c r="I349"/>
  <c r="J349"/>
  <c r="K349"/>
  <c r="I193"/>
  <c r="J193"/>
  <c r="K193"/>
  <c r="I41"/>
  <c r="J41"/>
  <c r="K41"/>
  <c r="I425"/>
  <c r="J425"/>
  <c r="K425"/>
  <c r="I54"/>
  <c r="J54"/>
  <c r="K54"/>
  <c r="I43"/>
  <c r="J43"/>
  <c r="K43"/>
  <c r="I552"/>
  <c r="J552"/>
  <c r="K552"/>
  <c r="I56"/>
  <c r="J56"/>
  <c r="K56"/>
  <c r="I47"/>
  <c r="J47"/>
  <c r="K47"/>
  <c r="I132"/>
  <c r="J132"/>
  <c r="K132"/>
  <c r="I72"/>
  <c r="J72"/>
  <c r="K72"/>
  <c r="I69"/>
  <c r="J69"/>
  <c r="K69"/>
  <c r="I35"/>
  <c r="J35"/>
  <c r="K35"/>
  <c r="I105"/>
  <c r="J105"/>
  <c r="K105"/>
  <c r="I320"/>
  <c r="J320"/>
  <c r="K320"/>
  <c r="I299"/>
  <c r="J299"/>
  <c r="K299"/>
  <c r="I312"/>
  <c r="J312"/>
  <c r="K312"/>
  <c r="I237"/>
  <c r="J237"/>
  <c r="K237"/>
  <c r="I157"/>
  <c r="J157"/>
  <c r="K157"/>
  <c r="I485"/>
  <c r="J485"/>
  <c r="K485"/>
  <c r="I394"/>
  <c r="J394"/>
  <c r="K394"/>
  <c r="I197"/>
  <c r="J197"/>
  <c r="K197"/>
  <c r="I227"/>
  <c r="J227"/>
  <c r="K227"/>
  <c r="I169"/>
  <c r="J169"/>
  <c r="K169"/>
  <c r="I340"/>
  <c r="J340"/>
  <c r="K340"/>
  <c r="I204"/>
  <c r="J204"/>
  <c r="K204"/>
  <c r="I229"/>
  <c r="J229"/>
  <c r="K229"/>
  <c r="I53"/>
  <c r="J53"/>
  <c r="K53"/>
  <c r="I318"/>
  <c r="J318"/>
  <c r="K318"/>
  <c r="I426"/>
  <c r="J426"/>
  <c r="K426"/>
  <c r="I226"/>
  <c r="J226"/>
  <c r="K226"/>
  <c r="I500"/>
  <c r="J500"/>
  <c r="K500"/>
  <c r="I64"/>
  <c r="J64"/>
  <c r="K64"/>
  <c r="I74"/>
  <c r="J74"/>
  <c r="K74"/>
  <c r="I325"/>
  <c r="J325"/>
  <c r="K325"/>
  <c r="I296"/>
  <c r="J296"/>
  <c r="K296"/>
  <c r="I334"/>
  <c r="J334"/>
  <c r="K334"/>
  <c r="I165"/>
  <c r="J165"/>
  <c r="K165"/>
  <c r="I62"/>
  <c r="J62"/>
  <c r="K62"/>
  <c r="I29"/>
  <c r="J29"/>
  <c r="K29"/>
  <c r="I326"/>
  <c r="J326"/>
  <c r="K326"/>
  <c r="I551"/>
  <c r="J551"/>
  <c r="K551"/>
  <c r="I39"/>
  <c r="J39"/>
  <c r="K39"/>
  <c r="I308"/>
  <c r="J308"/>
  <c r="K308"/>
  <c r="I435"/>
  <c r="J435"/>
  <c r="K435"/>
  <c r="I423"/>
  <c r="J423"/>
  <c r="K423"/>
  <c r="I199"/>
  <c r="J199"/>
  <c r="K199"/>
  <c r="I288"/>
  <c r="J288"/>
  <c r="K288"/>
  <c r="I364"/>
  <c r="J364"/>
  <c r="K364"/>
  <c r="I441"/>
  <c r="J441"/>
  <c r="K441"/>
  <c r="I278"/>
  <c r="J278"/>
  <c r="K278"/>
  <c r="I162"/>
  <c r="J162"/>
  <c r="K162"/>
  <c r="I323"/>
  <c r="J323"/>
  <c r="K323"/>
  <c r="I82"/>
  <c r="J82"/>
  <c r="K82"/>
  <c r="I44"/>
  <c r="J44"/>
  <c r="K44"/>
  <c r="I97"/>
  <c r="J97"/>
  <c r="K97"/>
  <c r="I181"/>
  <c r="J181"/>
  <c r="K181"/>
  <c r="I300"/>
  <c r="J300"/>
  <c r="K300"/>
  <c r="I89"/>
  <c r="J89"/>
  <c r="K89"/>
  <c r="I490"/>
  <c r="J490"/>
  <c r="K490"/>
  <c r="I438"/>
  <c r="J438"/>
  <c r="K438"/>
  <c r="I3"/>
  <c r="J3"/>
  <c r="K3"/>
  <c r="I164"/>
  <c r="J164"/>
  <c r="K164"/>
  <c r="I63"/>
  <c r="J63"/>
  <c r="K63"/>
  <c r="I368"/>
  <c r="J368"/>
  <c r="K368"/>
  <c r="I329"/>
  <c r="J329"/>
  <c r="K329"/>
  <c r="I486"/>
  <c r="J486"/>
  <c r="K486"/>
  <c r="I286"/>
  <c r="J286"/>
  <c r="K286"/>
  <c r="I180"/>
  <c r="J180"/>
  <c r="K180"/>
  <c r="I449"/>
  <c r="J449"/>
  <c r="K449"/>
  <c r="I131"/>
  <c r="J131"/>
  <c r="K131"/>
  <c r="I306"/>
  <c r="J306"/>
  <c r="K306"/>
  <c r="I274"/>
  <c r="J274"/>
  <c r="K274"/>
  <c r="I256"/>
  <c r="J256"/>
  <c r="K256"/>
  <c r="I305"/>
  <c r="J305"/>
  <c r="K305"/>
  <c r="I283"/>
  <c r="J283"/>
  <c r="K283"/>
  <c r="I341"/>
  <c r="J341"/>
  <c r="K341"/>
  <c r="I494"/>
  <c r="J494"/>
  <c r="K494"/>
  <c r="I123"/>
  <c r="J123"/>
  <c r="K123"/>
  <c r="I276"/>
  <c r="J276"/>
  <c r="K276"/>
  <c r="I37"/>
  <c r="J37"/>
  <c r="K37"/>
  <c r="I67"/>
  <c r="J67"/>
  <c r="K67"/>
  <c r="I99"/>
  <c r="J99"/>
  <c r="K99"/>
  <c r="I491"/>
  <c r="J491"/>
  <c r="K491"/>
  <c r="I40"/>
  <c r="J40"/>
  <c r="K40"/>
  <c r="I149"/>
  <c r="J149"/>
  <c r="K149"/>
  <c r="I240"/>
  <c r="J240"/>
  <c r="K240"/>
  <c r="I51"/>
  <c r="J51"/>
  <c r="K51"/>
  <c r="I480"/>
  <c r="J480"/>
  <c r="K480"/>
  <c r="I501"/>
  <c r="J501"/>
  <c r="K501"/>
  <c r="I279"/>
  <c r="J279"/>
  <c r="K279"/>
  <c r="I510"/>
  <c r="J510"/>
  <c r="K510"/>
  <c r="I236"/>
  <c r="J236"/>
  <c r="K236"/>
  <c r="I519"/>
  <c r="J519"/>
  <c r="K519"/>
  <c r="I547"/>
  <c r="J547"/>
  <c r="K547"/>
  <c r="I342"/>
  <c r="J342"/>
  <c r="K342"/>
  <c r="I95"/>
  <c r="J95"/>
  <c r="K95"/>
  <c r="I307"/>
  <c r="J307"/>
  <c r="K307"/>
  <c r="I440"/>
  <c r="J440"/>
  <c r="K440"/>
  <c r="I147"/>
  <c r="J147"/>
  <c r="K147"/>
  <c r="I143"/>
  <c r="J143"/>
  <c r="K143"/>
  <c r="I370"/>
  <c r="J370"/>
  <c r="K370"/>
  <c r="I331"/>
  <c r="J331"/>
  <c r="K331"/>
  <c r="I367"/>
  <c r="J367"/>
  <c r="K367"/>
  <c r="I544"/>
  <c r="J544"/>
  <c r="K544"/>
  <c r="I327"/>
  <c r="J327"/>
  <c r="K327"/>
  <c r="I241"/>
  <c r="J241"/>
  <c r="K241"/>
  <c r="I295"/>
  <c r="J295"/>
  <c r="K295"/>
  <c r="I142"/>
  <c r="J142"/>
  <c r="K142"/>
  <c r="I333"/>
  <c r="J333"/>
  <c r="K333"/>
  <c r="I321"/>
  <c r="J321"/>
  <c r="K321"/>
  <c r="I182"/>
  <c r="J182"/>
  <c r="K182"/>
  <c r="I344"/>
  <c r="J344"/>
  <c r="K344"/>
  <c r="I310"/>
  <c r="J310"/>
  <c r="K310"/>
  <c r="I168"/>
  <c r="J168"/>
  <c r="K168"/>
  <c r="I339"/>
  <c r="J339"/>
  <c r="K339"/>
  <c r="I303"/>
  <c r="J303"/>
  <c r="K303"/>
  <c r="I93"/>
  <c r="J93"/>
  <c r="K93"/>
  <c r="I81"/>
  <c r="J81"/>
  <c r="K81"/>
  <c r="I352"/>
  <c r="J352"/>
  <c r="K352"/>
  <c r="I371"/>
  <c r="J371"/>
  <c r="K371"/>
  <c r="I163"/>
  <c r="J163"/>
  <c r="K163"/>
  <c r="I520"/>
  <c r="J520"/>
  <c r="K520"/>
  <c r="I98"/>
  <c r="J98"/>
  <c r="K98"/>
  <c r="I282"/>
  <c r="J282"/>
  <c r="K282"/>
  <c r="I153"/>
  <c r="J153"/>
  <c r="K153"/>
  <c r="I301"/>
  <c r="J301"/>
  <c r="K301"/>
  <c r="I170"/>
  <c r="J170"/>
  <c r="K170"/>
  <c r="I324"/>
  <c r="J324"/>
  <c r="K324"/>
  <c r="I359"/>
  <c r="J359"/>
  <c r="K359"/>
  <c r="I434"/>
  <c r="J434"/>
  <c r="K434"/>
  <c r="I126"/>
  <c r="J126"/>
  <c r="K126"/>
  <c r="I302"/>
  <c r="J302"/>
  <c r="K302"/>
  <c r="I118"/>
  <c r="J118"/>
  <c r="K118"/>
  <c r="I503"/>
  <c r="J503"/>
  <c r="K503"/>
  <c r="I173"/>
  <c r="J173"/>
  <c r="K173"/>
  <c r="I119"/>
  <c r="J119"/>
  <c r="K119"/>
  <c r="I156"/>
  <c r="J156"/>
  <c r="K156"/>
  <c r="I353"/>
  <c r="J353"/>
  <c r="K353"/>
  <c r="I125"/>
  <c r="J125"/>
  <c r="K125"/>
  <c r="I114"/>
  <c r="J114"/>
  <c r="K114"/>
  <c r="I127"/>
  <c r="J127"/>
  <c r="K127"/>
  <c r="I497"/>
  <c r="J497"/>
  <c r="K497"/>
  <c r="I347"/>
  <c r="J347"/>
  <c r="K347"/>
  <c r="I457"/>
  <c r="J457"/>
  <c r="K457"/>
  <c r="I120"/>
  <c r="J120"/>
  <c r="K120"/>
  <c r="I113"/>
  <c r="J113"/>
  <c r="K113"/>
  <c r="I239"/>
  <c r="J239"/>
  <c r="K239"/>
  <c r="I102"/>
  <c r="J102"/>
  <c r="K102"/>
  <c r="I106"/>
  <c r="J106"/>
  <c r="K106"/>
  <c r="I179"/>
  <c r="J179"/>
  <c r="K179"/>
  <c r="I110"/>
  <c r="J110"/>
  <c r="K110"/>
  <c r="I374"/>
  <c r="J374"/>
  <c r="K374"/>
  <c r="I313"/>
  <c r="J313"/>
  <c r="K313"/>
  <c r="I489"/>
  <c r="J489"/>
  <c r="K489"/>
  <c r="I223"/>
  <c r="J223"/>
  <c r="K223"/>
  <c r="I128"/>
  <c r="J128"/>
  <c r="K128"/>
  <c r="I496"/>
  <c r="J496"/>
  <c r="K496"/>
  <c r="I31"/>
  <c r="J31"/>
  <c r="K31"/>
  <c r="I121"/>
  <c r="J121"/>
  <c r="K121"/>
  <c r="I355"/>
  <c r="J355"/>
  <c r="K355"/>
  <c r="I122"/>
  <c r="J122"/>
  <c r="K122"/>
  <c r="I437"/>
  <c r="J437"/>
  <c r="K437"/>
  <c r="I361"/>
  <c r="J361"/>
  <c r="K361"/>
  <c r="I360"/>
  <c r="J360"/>
  <c r="K360"/>
  <c r="I178"/>
  <c r="J178"/>
  <c r="K178"/>
  <c r="I363"/>
  <c r="J363"/>
  <c r="K363"/>
  <c r="I38"/>
  <c r="J38"/>
  <c r="K38"/>
  <c r="I70"/>
  <c r="J70"/>
  <c r="K70"/>
  <c r="I373"/>
  <c r="J373"/>
  <c r="K373"/>
  <c r="I94"/>
  <c r="J94"/>
  <c r="K94"/>
  <c r="I133"/>
  <c r="J133"/>
  <c r="K133"/>
  <c r="I285"/>
  <c r="J285"/>
  <c r="K285"/>
  <c r="I134"/>
  <c r="J134"/>
  <c r="K134"/>
  <c r="I96"/>
  <c r="J96"/>
  <c r="K96"/>
  <c r="I362"/>
  <c r="J362"/>
  <c r="K362"/>
  <c r="I235"/>
  <c r="J235"/>
  <c r="K235"/>
  <c r="I101"/>
  <c r="J101"/>
  <c r="K101"/>
  <c r="I103"/>
  <c r="J103"/>
  <c r="K103"/>
  <c r="I30"/>
  <c r="J30"/>
  <c r="K30"/>
  <c r="I104"/>
  <c r="J104"/>
  <c r="K104"/>
  <c r="I84"/>
  <c r="J84"/>
  <c r="K84"/>
  <c r="I354"/>
  <c r="J354"/>
  <c r="K354"/>
  <c r="I154"/>
  <c r="J154"/>
  <c r="K154"/>
  <c r="I238"/>
  <c r="J238"/>
  <c r="K238"/>
  <c r="K108"/>
  <c r="I108"/>
  <c r="J108"/>
  <c r="L154" l="1"/>
  <c r="L30"/>
  <c r="L362"/>
  <c r="L133"/>
  <c r="L38"/>
  <c r="L361"/>
  <c r="L121"/>
  <c r="L223"/>
  <c r="L110"/>
  <c r="L239"/>
  <c r="L347"/>
  <c r="L125"/>
  <c r="L173"/>
  <c r="L126"/>
  <c r="L170"/>
  <c r="L98"/>
  <c r="L352"/>
  <c r="L339"/>
  <c r="L182"/>
  <c r="L295"/>
  <c r="L367"/>
  <c r="L147"/>
  <c r="L342"/>
  <c r="L510"/>
  <c r="L51"/>
  <c r="L491"/>
  <c r="L276"/>
  <c r="L283"/>
  <c r="L306"/>
  <c r="L286"/>
  <c r="L63"/>
  <c r="L490"/>
  <c r="L97"/>
  <c r="L162"/>
  <c r="L288"/>
  <c r="L308"/>
  <c r="L29"/>
  <c r="L296"/>
  <c r="L500"/>
  <c r="L53"/>
  <c r="L169"/>
  <c r="L485"/>
  <c r="L299"/>
  <c r="L69"/>
  <c r="L56"/>
  <c r="L425"/>
  <c r="L208"/>
  <c r="L281"/>
  <c r="L83"/>
  <c r="L124"/>
  <c r="L145"/>
  <c r="L275"/>
  <c r="L422"/>
  <c r="L61"/>
  <c r="L46"/>
  <c r="L287"/>
  <c r="L365"/>
  <c r="L487"/>
  <c r="L22"/>
  <c r="L439"/>
  <c r="L292"/>
  <c r="L49"/>
  <c r="L291"/>
  <c r="L107"/>
  <c r="L550"/>
  <c r="L111"/>
  <c r="L416"/>
  <c r="L517"/>
  <c r="L389"/>
  <c r="L277"/>
  <c r="L511"/>
  <c r="L221"/>
  <c r="L23"/>
  <c r="L538"/>
  <c r="L175"/>
  <c r="L86"/>
  <c r="L397"/>
  <c r="L548"/>
  <c r="L176"/>
  <c r="L201"/>
  <c r="L136"/>
  <c r="L32"/>
  <c r="L433"/>
  <c r="L19"/>
  <c r="L160"/>
  <c r="L483"/>
  <c r="L20"/>
  <c r="L261"/>
  <c r="L196"/>
  <c r="L75"/>
  <c r="L249"/>
  <c r="L141"/>
  <c r="L427"/>
  <c r="L24"/>
  <c r="L13"/>
  <c r="L242"/>
  <c r="L407"/>
  <c r="L418"/>
  <c r="L42"/>
  <c r="L498"/>
  <c r="L203"/>
  <c r="L146"/>
  <c r="L357"/>
  <c r="L377"/>
  <c r="L263"/>
  <c r="L459"/>
  <c r="L522"/>
  <c r="L442"/>
  <c r="L460"/>
  <c r="L448"/>
  <c r="L272"/>
  <c r="L28"/>
  <c r="L2"/>
  <c r="L48"/>
  <c r="L383"/>
  <c r="L251"/>
  <c r="L450"/>
  <c r="L87"/>
  <c r="L184"/>
  <c r="L398"/>
  <c r="L257"/>
  <c r="L443"/>
  <c r="L375"/>
  <c r="L222"/>
  <c r="L471"/>
  <c r="L267"/>
  <c r="L532"/>
  <c r="L386"/>
  <c r="L410"/>
  <c r="L543"/>
  <c r="L246"/>
  <c r="L421"/>
  <c r="L248"/>
  <c r="L404"/>
  <c r="L260"/>
  <c r="L247"/>
  <c r="L428"/>
  <c r="L129"/>
  <c r="L354"/>
  <c r="L103"/>
  <c r="L96"/>
  <c r="L94"/>
  <c r="L363"/>
  <c r="L437"/>
  <c r="L31"/>
  <c r="L489"/>
  <c r="L179"/>
  <c r="L113"/>
  <c r="L497"/>
  <c r="L353"/>
  <c r="L503"/>
  <c r="L434"/>
  <c r="L301"/>
  <c r="L520"/>
  <c r="L81"/>
  <c r="L168"/>
  <c r="L321"/>
  <c r="L241"/>
  <c r="L331"/>
  <c r="L440"/>
  <c r="L547"/>
  <c r="L279"/>
  <c r="L240"/>
  <c r="L99"/>
  <c r="L123"/>
  <c r="L305"/>
  <c r="L131"/>
  <c r="L486"/>
  <c r="L164"/>
  <c r="L89"/>
  <c r="L44"/>
  <c r="L278"/>
  <c r="L199"/>
  <c r="L39"/>
  <c r="L62"/>
  <c r="L325"/>
  <c r="L226"/>
  <c r="L229"/>
  <c r="L227"/>
  <c r="L157"/>
  <c r="L320"/>
  <c r="L72"/>
  <c r="L552"/>
  <c r="L41"/>
  <c r="L452"/>
  <c r="L228"/>
  <c r="L166"/>
  <c r="L16"/>
  <c r="L319"/>
  <c r="L420"/>
  <c r="L332"/>
  <c r="L430"/>
  <c r="L350"/>
  <c r="L11"/>
  <c r="L388"/>
  <c r="L492"/>
  <c r="L482"/>
  <c r="L465"/>
  <c r="L475"/>
  <c r="L92"/>
  <c r="L192"/>
  <c r="L499"/>
  <c r="L57"/>
  <c r="L190"/>
  <c r="L73"/>
  <c r="L34"/>
  <c r="L549"/>
  <c r="L224"/>
  <c r="L408"/>
  <c r="L171"/>
  <c r="L194"/>
  <c r="L84"/>
  <c r="L101"/>
  <c r="L134"/>
  <c r="L373"/>
  <c r="L178"/>
  <c r="L122"/>
  <c r="L496"/>
  <c r="L313"/>
  <c r="L106"/>
  <c r="L120"/>
  <c r="L127"/>
  <c r="L156"/>
  <c r="L118"/>
  <c r="L359"/>
  <c r="L153"/>
  <c r="L163"/>
  <c r="L93"/>
  <c r="L310"/>
  <c r="L333"/>
  <c r="L327"/>
  <c r="L370"/>
  <c r="L307"/>
  <c r="L519"/>
  <c r="L501"/>
  <c r="L149"/>
  <c r="L67"/>
  <c r="L494"/>
  <c r="L256"/>
  <c r="L449"/>
  <c r="L329"/>
  <c r="L3"/>
  <c r="L300"/>
  <c r="L82"/>
  <c r="L441"/>
  <c r="L423"/>
  <c r="L551"/>
  <c r="L165"/>
  <c r="L74"/>
  <c r="L426"/>
  <c r="L204"/>
  <c r="L197"/>
  <c r="L237"/>
  <c r="L105"/>
  <c r="L132"/>
  <c r="L43"/>
  <c r="L193"/>
  <c r="L148"/>
  <c r="L167"/>
  <c r="L7"/>
  <c r="L66"/>
  <c r="L343"/>
  <c r="L225"/>
  <c r="L280"/>
  <c r="L493"/>
  <c r="L174"/>
  <c r="L200"/>
  <c r="L358"/>
  <c r="L335"/>
  <c r="L356"/>
  <c r="L328"/>
  <c r="L14"/>
  <c r="L25"/>
  <c r="L27"/>
  <c r="L26"/>
  <c r="L417"/>
  <c r="L214"/>
  <c r="L91"/>
  <c r="L244"/>
  <c r="L472"/>
  <c r="L262"/>
  <c r="L33"/>
  <c r="L527"/>
  <c r="L17"/>
  <c r="L218"/>
  <c r="L116"/>
  <c r="L215"/>
  <c r="L378"/>
  <c r="L315"/>
  <c r="L155"/>
  <c r="L376"/>
  <c r="L191"/>
  <c r="L523"/>
  <c r="L396"/>
  <c r="L6"/>
  <c r="L5"/>
  <c r="L539"/>
  <c r="L462"/>
  <c r="L467"/>
  <c r="L90"/>
  <c r="L266"/>
  <c r="L284"/>
  <c r="L109"/>
  <c r="L150"/>
  <c r="L384"/>
  <c r="L424"/>
  <c r="L294"/>
  <c r="L265"/>
  <c r="L243"/>
  <c r="L412"/>
  <c r="L436"/>
  <c r="L391"/>
  <c r="L293"/>
  <c r="L151"/>
  <c r="L270"/>
  <c r="L524"/>
  <c r="L304"/>
  <c r="L381"/>
  <c r="L238"/>
  <c r="L104"/>
  <c r="L235"/>
  <c r="L285"/>
  <c r="L70"/>
  <c r="L360"/>
  <c r="L355"/>
  <c r="L128"/>
  <c r="L374"/>
  <c r="L102"/>
  <c r="L457"/>
  <c r="L114"/>
  <c r="L119"/>
  <c r="L302"/>
  <c r="L324"/>
  <c r="L282"/>
  <c r="L371"/>
  <c r="L303"/>
  <c r="L344"/>
  <c r="L142"/>
  <c r="L544"/>
  <c r="L143"/>
  <c r="L95"/>
  <c r="L236"/>
  <c r="L480"/>
  <c r="L40"/>
  <c r="L37"/>
  <c r="L341"/>
  <c r="L274"/>
  <c r="L180"/>
  <c r="L368"/>
  <c r="L438"/>
  <c r="L181"/>
  <c r="L323"/>
  <c r="L364"/>
  <c r="L435"/>
  <c r="L326"/>
  <c r="L334"/>
  <c r="L64"/>
  <c r="L318"/>
  <c r="L340"/>
  <c r="L394"/>
  <c r="L312"/>
  <c r="L35"/>
  <c r="L47"/>
  <c r="L54"/>
  <c r="L349"/>
  <c r="L290"/>
  <c r="L76"/>
  <c r="L18"/>
  <c r="L474"/>
  <c r="L387"/>
  <c r="L100"/>
  <c r="L298"/>
  <c r="L477"/>
  <c r="L195"/>
  <c r="L488"/>
  <c r="L137"/>
  <c r="L231"/>
  <c r="L372"/>
  <c r="L65"/>
  <c r="L336"/>
  <c r="L210"/>
  <c r="L309"/>
  <c r="L50"/>
  <c r="L205"/>
  <c r="L345"/>
  <c r="L521"/>
  <c r="L187"/>
  <c r="L513"/>
  <c r="L36"/>
  <c r="L525"/>
  <c r="L506"/>
  <c r="L198"/>
  <c r="L337"/>
  <c r="L217"/>
  <c r="L542"/>
  <c r="L185"/>
  <c r="L458"/>
  <c r="L495"/>
  <c r="L476"/>
  <c r="L68"/>
  <c r="L8"/>
  <c r="L322"/>
  <c r="L139"/>
  <c r="L159"/>
  <c r="L504"/>
  <c r="L177"/>
  <c r="L473"/>
  <c r="L115"/>
  <c r="L188"/>
  <c r="L400"/>
  <c r="L271"/>
  <c r="L79"/>
  <c r="L264"/>
  <c r="L346"/>
  <c r="L144"/>
  <c r="L253"/>
  <c r="L445"/>
  <c r="L536"/>
  <c r="L545"/>
  <c r="L206"/>
  <c r="L431"/>
  <c r="L455"/>
  <c r="L395"/>
  <c r="L212"/>
  <c r="L502"/>
  <c r="L478"/>
  <c r="L77"/>
  <c r="L45"/>
  <c r="L479"/>
  <c r="L258"/>
  <c r="L466"/>
  <c r="L59"/>
  <c r="L541"/>
  <c r="L172"/>
  <c r="L85"/>
  <c r="L60"/>
  <c r="L379"/>
  <c r="L409"/>
  <c r="L401"/>
  <c r="L533"/>
  <c r="L117"/>
  <c r="L429"/>
  <c r="L516"/>
  <c r="L414"/>
  <c r="L468"/>
  <c r="L514"/>
  <c r="L316"/>
  <c r="L390"/>
  <c r="L537"/>
  <c r="L233"/>
  <c r="L540"/>
  <c r="L135"/>
  <c r="L415"/>
  <c r="L531"/>
  <c r="L406"/>
  <c r="L254"/>
  <c r="L152"/>
  <c r="L250"/>
  <c r="L52"/>
  <c r="L9"/>
  <c r="L461"/>
  <c r="L213"/>
  <c r="L10"/>
  <c r="L512"/>
  <c r="L444"/>
  <c r="L509"/>
  <c r="L161"/>
  <c r="L505"/>
  <c r="L528"/>
  <c r="L230"/>
  <c r="L508"/>
  <c r="L348"/>
  <c r="L507"/>
  <c r="L268"/>
  <c r="L464"/>
  <c r="L71"/>
  <c r="L380"/>
  <c r="L130"/>
  <c r="L413"/>
  <c r="L382"/>
  <c r="L402"/>
  <c r="L4"/>
  <c r="L207"/>
  <c r="L80"/>
  <c r="L515"/>
  <c r="L112"/>
  <c r="L138"/>
  <c r="L526"/>
  <c r="L392"/>
  <c r="L314"/>
  <c r="L21"/>
  <c r="L369"/>
  <c r="L209"/>
  <c r="L454"/>
  <c r="L289"/>
  <c r="L140"/>
  <c r="L232"/>
  <c r="L399"/>
  <c r="L58"/>
  <c r="L186"/>
  <c r="L216"/>
  <c r="L220"/>
  <c r="L311"/>
  <c r="L463"/>
  <c r="L252"/>
  <c r="L393"/>
  <c r="L456"/>
  <c r="L469"/>
  <c r="L330"/>
  <c r="L411"/>
  <c r="L481"/>
  <c r="L12"/>
  <c r="L273"/>
  <c r="L55"/>
  <c r="L317"/>
  <c r="L405"/>
  <c r="L158"/>
  <c r="L484"/>
  <c r="L189"/>
  <c r="L234"/>
  <c r="L269"/>
  <c r="L470"/>
  <c r="L530"/>
  <c r="L211"/>
  <c r="L351"/>
  <c r="L15"/>
  <c r="L453"/>
  <c r="L88"/>
  <c r="L385"/>
  <c r="L447"/>
  <c r="L219"/>
  <c r="L259"/>
  <c r="L419"/>
  <c r="L366"/>
  <c r="L255"/>
  <c r="L535"/>
  <c r="L202"/>
  <c r="L529"/>
  <c r="L518"/>
  <c r="L78"/>
  <c r="L546"/>
  <c r="L446"/>
  <c r="L403"/>
  <c r="L451"/>
  <c r="L432"/>
  <c r="L245"/>
  <c r="L338"/>
  <c r="L534"/>
  <c r="L183"/>
  <c r="L297"/>
  <c r="L108"/>
</calcChain>
</file>

<file path=xl/sharedStrings.xml><?xml version="1.0" encoding="utf-8"?>
<sst xmlns="http://schemas.openxmlformats.org/spreadsheetml/2006/main" count="1114" uniqueCount="553">
  <si>
    <t>GARFIELD DISTRICT</t>
  </si>
  <si>
    <t>KANE DISTRICT</t>
  </si>
  <si>
    <t>VALLEY SCHOOL</t>
  </si>
  <si>
    <t>PIUTE DISTRICT</t>
  </si>
  <si>
    <t>OSCARSON SCHOOL</t>
  </si>
  <si>
    <t>ESCALANTE SCHOOL</t>
  </si>
  <si>
    <t>TINTIC DISTRICT</t>
  </si>
  <si>
    <t>EUREKA SCHOOL</t>
  </si>
  <si>
    <t>WAYNE DISTRICT</t>
  </si>
  <si>
    <t>HANKSVILLE SCHOOL</t>
  </si>
  <si>
    <t>EMERY DISTRICT</t>
  </si>
  <si>
    <t>COTTONWOOD ELEMENTARY</t>
  </si>
  <si>
    <t>BIG WATER SCHOOL</t>
  </si>
  <si>
    <t>SEVIER DISTRICT</t>
  </si>
  <si>
    <t>KOOSHAREM SCHOOL</t>
  </si>
  <si>
    <t>SOLDIER HOLLOW CHARTER SCHOOL</t>
  </si>
  <si>
    <t>RICH DISTRICT</t>
  </si>
  <si>
    <t>NORTH RICH SCHOOL</t>
  </si>
  <si>
    <t>CLEVELAND ELEMENTARY</t>
  </si>
  <si>
    <t>FERRON SCHOOL</t>
  </si>
  <si>
    <t>DUCHESNE DISTRICT</t>
  </si>
  <si>
    <t>TABIONA SCHOOL</t>
  </si>
  <si>
    <t>NORTH SANPETE DISTRICT</t>
  </si>
  <si>
    <t>FAIRVIEW SCHOOL</t>
  </si>
  <si>
    <t>SOUTH RICH SCHOOL</t>
  </si>
  <si>
    <t>CASTLE DALE ELEMENTARY</t>
  </si>
  <si>
    <t>PANGUITCH SCHOOL</t>
  </si>
  <si>
    <t>CARBON DISTRICT</t>
  </si>
  <si>
    <t>BRUIN POINT ELEMENTARY</t>
  </si>
  <si>
    <t>BOX ELDER DISTRICT</t>
  </si>
  <si>
    <t>FIELDING SCHOOL</t>
  </si>
  <si>
    <t>LOA SCHOOL</t>
  </si>
  <si>
    <t>MOAB COMMUNITY SCHOOL</t>
  </si>
  <si>
    <t>JUAB DISTRICT</t>
  </si>
  <si>
    <t>MONA SCHOOL</t>
  </si>
  <si>
    <t>FOUNTAIN GREEN SCHOOL</t>
  </si>
  <si>
    <t>SAN JUAN DISTRICT</t>
  </si>
  <si>
    <t>LA SAL SCHOOL</t>
  </si>
  <si>
    <t>PARK VALLEY SCHOOL</t>
  </si>
  <si>
    <t>PAHVANT SCHOOL</t>
  </si>
  <si>
    <t>IRON DISTRICT</t>
  </si>
  <si>
    <t>PAROWAN SCHOOL</t>
  </si>
  <si>
    <t>GATEWAY PREPARATORY ACADEMY</t>
  </si>
  <si>
    <t>SOUTH SANPETE DISTRICT</t>
  </si>
  <si>
    <t>MANTI SCHOOL</t>
  </si>
  <si>
    <t>NEOLA SCHOOL</t>
  </si>
  <si>
    <t>DAGGETT DISTRICT</t>
  </si>
  <si>
    <t>MANILA SCHOOL</t>
  </si>
  <si>
    <t>TOOELE DISTRICT</t>
  </si>
  <si>
    <t>VERNON SCHOOL</t>
  </si>
  <si>
    <t>RED CLIFF SCHOOL</t>
  </si>
  <si>
    <t>ALTAMONT SCHOOL</t>
  </si>
  <si>
    <t>SALLY MAURO SCHOOL</t>
  </si>
  <si>
    <t>ASHMAN SCHOOL</t>
  </si>
  <si>
    <t>KANAB SCHOOL</t>
  </si>
  <si>
    <t>MYTON SCHOOL</t>
  </si>
  <si>
    <t>ALPINE DISTRICT</t>
  </si>
  <si>
    <t>CEDAR VALLEY SCHOOL</t>
  </si>
  <si>
    <t>NEBO VIEW SCHOOL</t>
  </si>
  <si>
    <t>GARLAND SCHOOL</t>
  </si>
  <si>
    <t>SALINA SCHOOL</t>
  </si>
  <si>
    <t>CACHE DISTRICT</t>
  </si>
  <si>
    <t>PARK SCHOOL</t>
  </si>
  <si>
    <t>JOHN HANCOCK CHARTER SCHOOL</t>
  </si>
  <si>
    <t>BRYCE VALLEY SCHOOL</t>
  </si>
  <si>
    <t>CIRCLEVILLE SCHOOL</t>
  </si>
  <si>
    <t>MOUNTAIN VIEW SCHOOL</t>
  </si>
  <si>
    <t>THREE PEAKS ELEMENTARY SCHOOL</t>
  </si>
  <si>
    <t>WASHINGTON DISTRICT</t>
  </si>
  <si>
    <t>ENTERPRISE SCHOOL</t>
  </si>
  <si>
    <t>DIAMOND VALLEY SCHOOL</t>
  </si>
  <si>
    <t>DUCHESNE SCHOOL</t>
  </si>
  <si>
    <t>CASTLE HEIGHTS SCHOOL</t>
  </si>
  <si>
    <t>BEAVER DISTRICT</t>
  </si>
  <si>
    <t>MILFORD SCHOOL</t>
  </si>
  <si>
    <t>CEDAR NORTH SCHOOL</t>
  </si>
  <si>
    <t>UINTAH DISTRICT</t>
  </si>
  <si>
    <t>LAPOINT SCHOOL</t>
  </si>
  <si>
    <t>MONROE SCHOOL</t>
  </si>
  <si>
    <t>BUNDERSON SCHOOL</t>
  </si>
  <si>
    <t>ENOCH SCHOOL</t>
  </si>
  <si>
    <t>WEST SCHOOL</t>
  </si>
  <si>
    <t>WEBER DISTRICT</t>
  </si>
  <si>
    <t>WEST WEBER SCHOOL</t>
  </si>
  <si>
    <t>VENTURE ACADEMY</t>
  </si>
  <si>
    <t>DAVIS SCHOOL</t>
  </si>
  <si>
    <t>NEBO DISTRICT</t>
  </si>
  <si>
    <t>SALEM SCHOOL</t>
  </si>
  <si>
    <t>FOOTHILL SCHOOL</t>
  </si>
  <si>
    <t>THREE FALLS SCHOOL</t>
  </si>
  <si>
    <t>WELLSVILLE SCHOOL</t>
  </si>
  <si>
    <t>WELLINGTON SCHOOL</t>
  </si>
  <si>
    <t>CS LEWIS ACADEMY</t>
  </si>
  <si>
    <t>ASHLEY SCHOOL</t>
  </si>
  <si>
    <t>MT PLEASANT SCHOOL</t>
  </si>
  <si>
    <t>NAPLES SCHOOL</t>
  </si>
  <si>
    <t>BELKNAP SCHOOL</t>
  </si>
  <si>
    <t>LA VERKIN SCHOOL</t>
  </si>
  <si>
    <t>MT LOAFER SCHOOL</t>
  </si>
  <si>
    <t>CORAL CANYON ELEMENTARY SCHOOL</t>
  </si>
  <si>
    <t>IRON SPRINGS ELEMENTARY SCHOOL</t>
  </si>
  <si>
    <t>WILLOW SCHOOL</t>
  </si>
  <si>
    <t>GREEN ACRES SCHOOL</t>
  </si>
  <si>
    <t>HUNTINGTON SCHOOL</t>
  </si>
  <si>
    <t>DAVIS DISTRICT</t>
  </si>
  <si>
    <t>TOLMAN SCHOOL</t>
  </si>
  <si>
    <t>SPRINGDALE SCHOOL</t>
  </si>
  <si>
    <t>DUGWAY SCHOOL</t>
  </si>
  <si>
    <t>MUNICIPAL SCHOOL</t>
  </si>
  <si>
    <t>VISTA AT ENTRADA SCHOOL OF PERFORMING ARTS AND TECHNOLOGY</t>
  </si>
  <si>
    <t>RED MOUNTAIN SCHOOL</t>
  </si>
  <si>
    <t>MOUNTAINSIDE ELEMENTARY</t>
  </si>
  <si>
    <t>MCKINLEY SCHOOL</t>
  </si>
  <si>
    <t>NORTH PARK SCHOOL</t>
  </si>
  <si>
    <t>ENTHEOS ACADEMY</t>
  </si>
  <si>
    <t>RIVER HEIGHTS SCHOOL</t>
  </si>
  <si>
    <t>HARRIS SCHOOL</t>
  </si>
  <si>
    <t>LEWISTON SCHOOL</t>
  </si>
  <si>
    <t>CENTURY SCHOOL</t>
  </si>
  <si>
    <t>PARK VIEW SCHOOL</t>
  </si>
  <si>
    <t>FIDDLERS CANYON SCHOOL</t>
  </si>
  <si>
    <t>GRANITE DISTRICT</t>
  </si>
  <si>
    <t>ROSECREST SCHOOL</t>
  </si>
  <si>
    <t>ROOSEVELT MIDDLE</t>
  </si>
  <si>
    <t>DISCOVERY SCHOOL</t>
  </si>
  <si>
    <t>RANCHES ACADEMY</t>
  </si>
  <si>
    <t>LARSEN SCHOOL</t>
  </si>
  <si>
    <t>MONTICELLO SCHOOL</t>
  </si>
  <si>
    <t>WILLARD SCHOOL</t>
  </si>
  <si>
    <t>SANTA CLARA SCHOOL</t>
  </si>
  <si>
    <t>GOSHEN SCHOOL</t>
  </si>
  <si>
    <t>CREEKVIEW SCHOOL</t>
  </si>
  <si>
    <t>EDITH BOWEN LABORATORY SCHOOL</t>
  </si>
  <si>
    <t>FREMONT SCHOOL</t>
  </si>
  <si>
    <t>WHITESIDES SCHOOL</t>
  </si>
  <si>
    <t>CEDAR SOUTH SCHOOL</t>
  </si>
  <si>
    <t>BLOOMINGTON SCHOOL</t>
  </si>
  <si>
    <t>BROCKBANK SCHOOL</t>
  </si>
  <si>
    <t>NORTHLAKE SCHOOL</t>
  </si>
  <si>
    <t>ORCHARD HILLS ELEMENTARY</t>
  </si>
  <si>
    <t>HURRICANE SCHOOL</t>
  </si>
  <si>
    <t>NORTH OGDEN SCHOOL</t>
  </si>
  <si>
    <t>LAKE POWELL SCHOOL</t>
  </si>
  <si>
    <t>FORBES SCHOOL</t>
  </si>
  <si>
    <t>VALLEY VIEW SCHOOL</t>
  </si>
  <si>
    <t>QUEST ACADEMY</t>
  </si>
  <si>
    <t>GRAND DISTRICT</t>
  </si>
  <si>
    <t>RED ROCK SCHOOL</t>
  </si>
  <si>
    <t>ODYSSEY CHARTER SCHOOL</t>
  </si>
  <si>
    <t>THOMAS EDISON - NORTH</t>
  </si>
  <si>
    <t>ART CITY SCHOOL</t>
  </si>
  <si>
    <t>SANTAQUIN SCHOOL</t>
  </si>
  <si>
    <t>OGDEN DISTRICT</t>
  </si>
  <si>
    <t>HORACE MANN SCHOOL</t>
  </si>
  <si>
    <t>EAST SCHOOL</t>
  </si>
  <si>
    <t>ROY SCHOOL</t>
  </si>
  <si>
    <t>FOOTHILLS ELEMENTARY</t>
  </si>
  <si>
    <t>BARRATT SCHOOL</t>
  </si>
  <si>
    <t>CANYONS DISTRICT</t>
  </si>
  <si>
    <t>EDGEMONT SCHOOL</t>
  </si>
  <si>
    <t>H GUY CHILD SCHOOL</t>
  </si>
  <si>
    <t>ARROWHEAD SCHOOL</t>
  </si>
  <si>
    <t>MAESER SCHOOL</t>
  </si>
  <si>
    <t>MORGAN DISTRICT</t>
  </si>
  <si>
    <t>MOUNTAIN GREEN ELEMENTARY</t>
  </si>
  <si>
    <t>REAGAN ACADEMY</t>
  </si>
  <si>
    <t>BLOOMINGTON HILLS SCHOOL</t>
  </si>
  <si>
    <t>GUNNISON VALLEY SCHOOL</t>
  </si>
  <si>
    <t>TAYLOR SCHOOL</t>
  </si>
  <si>
    <t>SUNSET SCHOOL</t>
  </si>
  <si>
    <t>EPHRAIM SCHOOL</t>
  </si>
  <si>
    <t>BELL VIEW SCHOOL</t>
  </si>
  <si>
    <t>HILL FIELD SCHOOL</t>
  </si>
  <si>
    <t>ESCALANTE VALLEY SCHOOL</t>
  </si>
  <si>
    <t>LAKEVIEW SCHOOL</t>
  </si>
  <si>
    <t>SUMMIT SCHOOL</t>
  </si>
  <si>
    <t>LEHI SCHOOL</t>
  </si>
  <si>
    <t>WASHINGTON TERRACE SCHOOL</t>
  </si>
  <si>
    <t>OQUIRRH MOUNTAIN CHARTER SCHOOL</t>
  </si>
  <si>
    <t>FARMINGTON SCHOOL</t>
  </si>
  <si>
    <t>PROVO DISTRICT</t>
  </si>
  <si>
    <t>CANYON CREST SCHOOL</t>
  </si>
  <si>
    <t>PIONEER SCHOOL</t>
  </si>
  <si>
    <t>MIDVALLEY SCHOOL</t>
  </si>
  <si>
    <t>OPEN CLASSROOM</t>
  </si>
  <si>
    <t>GREENVILLE SCHOOL</t>
  </si>
  <si>
    <t>HOOPER SCHOOL</t>
  </si>
  <si>
    <t>REES SCHOOL</t>
  </si>
  <si>
    <t>ROOSEVELT SCHOOL</t>
  </si>
  <si>
    <t>PARK LANE SCHOOL</t>
  </si>
  <si>
    <t>CASCADE SCHOOL</t>
  </si>
  <si>
    <t>WEST BOUNTIFUL SCHOOL</t>
  </si>
  <si>
    <t>CEDAR EAST SCHOOL</t>
  </si>
  <si>
    <t>BARNETT SCHOOL</t>
  </si>
  <si>
    <t>EAGLE VIEW ELEMENTARY</t>
  </si>
  <si>
    <t>KANESVILLE SCHOOL</t>
  </si>
  <si>
    <t>WILSON SCHOOL</t>
  </si>
  <si>
    <t>MURRAY DISTRICT</t>
  </si>
  <si>
    <t>LIBERTY SCHOOL</t>
  </si>
  <si>
    <t>LAKE VIEW SCHOOL</t>
  </si>
  <si>
    <t>MAJESTIC SCHOOL</t>
  </si>
  <si>
    <t>BROOKSIDE SCHOOL</t>
  </si>
  <si>
    <t>NORTH SUMMIT DISTRICT</t>
  </si>
  <si>
    <t>NORTH SUMMIT SCHOOL</t>
  </si>
  <si>
    <t>ASPEN SCHOOL</t>
  </si>
  <si>
    <t>DOXEY SCHOOL</t>
  </si>
  <si>
    <t>UINTAH SCHOOL</t>
  </si>
  <si>
    <t>WILLOW CANYON SCHOOL</t>
  </si>
  <si>
    <t>MARLON HILLS SCHOOL</t>
  </si>
  <si>
    <t>MILLARD DISTRICT</t>
  </si>
  <si>
    <t>DELTA ELEMENTARY</t>
  </si>
  <si>
    <t>JORDAN DISTRICT</t>
  </si>
  <si>
    <t>WEST JORDAN SCHOOL</t>
  </si>
  <si>
    <t>SPRING CITY SCHOOL</t>
  </si>
  <si>
    <t>PLAIN CITY SCHOOL</t>
  </si>
  <si>
    <t>FILLMORE SCHOOL</t>
  </si>
  <si>
    <t>HOBBLE CREEK SCHOOL</t>
  </si>
  <si>
    <t>HELEN M KNIGHT INT SCHOOL</t>
  </si>
  <si>
    <t>OAK HILLS SCHOOL</t>
  </si>
  <si>
    <t>OGDEN PREPARATORY ACADEMY</t>
  </si>
  <si>
    <t>CENTERVILLE SCHOOL</t>
  </si>
  <si>
    <t>CENTRAL SCHOOL</t>
  </si>
  <si>
    <t>SETTLEMENT CANYON ELEMENTARY</t>
  </si>
  <si>
    <t>MORGAN SCHOOL</t>
  </si>
  <si>
    <t>J A TAYLOR SCHOOL</t>
  </si>
  <si>
    <t>COUNTRY VIEW SCHOOL</t>
  </si>
  <si>
    <t>COPPER CANYON SCHOOL</t>
  </si>
  <si>
    <t>HILLCREST SCHOOL</t>
  </si>
  <si>
    <t>MIDDLE CANYON SCHOOL</t>
  </si>
  <si>
    <t>RIDGECREST SCHOOL</t>
  </si>
  <si>
    <t>THREE MILE CREEK SCHOOL</t>
  </si>
  <si>
    <t>SPANISH OAKS SCHOOL</t>
  </si>
  <si>
    <t>STANSBURY SCHOOL</t>
  </si>
  <si>
    <t>HORIZON ELEMENTARY SCHOOL</t>
  </si>
  <si>
    <t>EXCELSIOR ACADEMY</t>
  </si>
  <si>
    <t>SPRING LAKE SCHOOL</t>
  </si>
  <si>
    <t>SOUTH CLEARFIELD SCHOOL</t>
  </si>
  <si>
    <t>BELLA VISTA SCHOOL</t>
  </si>
  <si>
    <t>SALT LAKE DISTRICT</t>
  </si>
  <si>
    <t>HIGHLAND PARK SCHOOL</t>
  </si>
  <si>
    <t>FLAMING GORGE SCHOOL</t>
  </si>
  <si>
    <t>BLUFFDALE SCHOOL</t>
  </si>
  <si>
    <t>MEADOWBROOK SCHOOL</t>
  </si>
  <si>
    <t>FOX HILLS MAGNET SCHOOL</t>
  </si>
  <si>
    <t>LOGAN DISTRICT</t>
  </si>
  <si>
    <t>ELLIS SCHOOL</t>
  </si>
  <si>
    <t>SUNRISE SCHOOL</t>
  </si>
  <si>
    <t>ALPINE SCHOOL</t>
  </si>
  <si>
    <t>LAKEVIEW ACADEMY</t>
  </si>
  <si>
    <t>GRANT SCHOOL</t>
  </si>
  <si>
    <t>MAPLETON SCHOOL</t>
  </si>
  <si>
    <t>LINCOLN ACADEMY</t>
  </si>
  <si>
    <t>GROVECREST SCHOOL</t>
  </si>
  <si>
    <t>MILLVILLE SCHOOL</t>
  </si>
  <si>
    <t>QUAIL HOLLOW SCHOOL</t>
  </si>
  <si>
    <t>WASATCH SCHOOL</t>
  </si>
  <si>
    <t>NIBLEY SCHOOL</t>
  </si>
  <si>
    <t>AMERICAN PREPARATORY ACADEMY</t>
  </si>
  <si>
    <t>MORNINGSIDE SCHOOL</t>
  </si>
  <si>
    <t>CORAL CLIFFS SCHOOL</t>
  </si>
  <si>
    <t>WASATCH PEAK ACADEMY</t>
  </si>
  <si>
    <t>LONGVIEW SCHOOL</t>
  </si>
  <si>
    <t>EAST MEADOWS ELEMENTARY</t>
  </si>
  <si>
    <t>PROVIDENCE SCHOOL</t>
  </si>
  <si>
    <t>GREENWOOD SCHOOL</t>
  </si>
  <si>
    <t>NAVIGATOR POINTE ACADEMY</t>
  </si>
  <si>
    <t>OVERLAKE SCHOOL</t>
  </si>
  <si>
    <t>BOUNTIFUL SCHOOL</t>
  </si>
  <si>
    <t>NORTH STAR ACADEMY</t>
  </si>
  <si>
    <t>SAGE CREEK SCHOOL</t>
  </si>
  <si>
    <t>EAST SANDY SCHOOL</t>
  </si>
  <si>
    <t>CHERRY CREEK ELEMENTARY</t>
  </si>
  <si>
    <t>MIDLAND SCHOOL</t>
  </si>
  <si>
    <t>CANYON SCHOOL</t>
  </si>
  <si>
    <t>WEST HAVEN SCHOOL</t>
  </si>
  <si>
    <t>MORONI SCHOOL</t>
  </si>
  <si>
    <t>ALTA VIEW SCHOOL</t>
  </si>
  <si>
    <t>WESTVALE SCHOOL</t>
  </si>
  <si>
    <t>HORIZON SCHOOL</t>
  </si>
  <si>
    <t>HAWTHORNE SCHOOL</t>
  </si>
  <si>
    <t>WASATCH DISTRICT</t>
  </si>
  <si>
    <t>OLD MILL ELEMENTARY</t>
  </si>
  <si>
    <t>SILVER MESA SCHOOL</t>
  </si>
  <si>
    <t>FARR WEST SCHOOL</t>
  </si>
  <si>
    <t>KING SCHOOL</t>
  </si>
  <si>
    <t>BUTLER SCHOOL</t>
  </si>
  <si>
    <t>RIVERSIDE SCHOOL</t>
  </si>
  <si>
    <t>ROSAMOND SCHOOL</t>
  </si>
  <si>
    <t>RIVERTON SCHOOL</t>
  </si>
  <si>
    <t>MCMILLAN SCHOOL</t>
  </si>
  <si>
    <t>WASHINGTON SCHOOL</t>
  </si>
  <si>
    <t>THOMAS EDISON - SOUTH</t>
  </si>
  <si>
    <t>COOK SCHOOL</t>
  </si>
  <si>
    <t>LINCOLN SCHOOL</t>
  </si>
  <si>
    <t>BOULTON SCHOOL</t>
  </si>
  <si>
    <t>HOLBROOK SCHOOL</t>
  </si>
  <si>
    <t>FREEDOM SCHOOL</t>
  </si>
  <si>
    <t>ENSIGN SCHOOL</t>
  </si>
  <si>
    <t>LAYTON SCHOOL</t>
  </si>
  <si>
    <t>SILVER CREST ELEMENTARY</t>
  </si>
  <si>
    <t>VIEWMONT SCHOOL</t>
  </si>
  <si>
    <t>POLK SCHOOL</t>
  </si>
  <si>
    <t>CANYON VIEW SCHOOL</t>
  </si>
  <si>
    <t>WOODSTOCK SCHOOL</t>
  </si>
  <si>
    <t>HAWTHORN ACADEMY</t>
  </si>
  <si>
    <t>ROCKY MOUNTAIN SCHOOL</t>
  </si>
  <si>
    <t>RIVERDALE SCHOOL</t>
  </si>
  <si>
    <t>GRANITE SCHOOL</t>
  </si>
  <si>
    <t>OAKDALE SCHOOL</t>
  </si>
  <si>
    <t>DILWORTH SCHOOL</t>
  </si>
  <si>
    <t>AMELIA EARHART SCHOOL</t>
  </si>
  <si>
    <t>SNOWVILLE SCHOOL</t>
  </si>
  <si>
    <t>H C BURTON SCHOOL</t>
  </si>
  <si>
    <t>CRESCENT SCHOOL</t>
  </si>
  <si>
    <t>SOUTHLAND SCHOOL</t>
  </si>
  <si>
    <t>SCERA PARK SCHOOL</t>
  </si>
  <si>
    <t>OREM SCHOOL</t>
  </si>
  <si>
    <t>WESTSIDE SCHOOL</t>
  </si>
  <si>
    <t>WESTMORE SCHOOL</t>
  </si>
  <si>
    <t>NOAH WEBSTER ACADEMY</t>
  </si>
  <si>
    <t>BONNEVILLE SCHOOL</t>
  </si>
  <si>
    <t>STEWART SCHOOL</t>
  </si>
  <si>
    <t>CLUB HEIGHTS SCHOOL</t>
  </si>
  <si>
    <t>ALTARA SCHOOL</t>
  </si>
  <si>
    <t>CANYON RIM ACADEMY</t>
  </si>
  <si>
    <t>ADELAIDE SCHOOL</t>
  </si>
  <si>
    <t>BOOK CLIFF SCHOOL</t>
  </si>
  <si>
    <t>BLANDING SCHOOL</t>
  </si>
  <si>
    <t>WESTLAND SCHOOL</t>
  </si>
  <si>
    <t>CRESTVIEW SCHOOL</t>
  </si>
  <si>
    <t>PLEASANT GREEN SCHOOL</t>
  </si>
  <si>
    <t>ADAMS SCHOOL</t>
  </si>
  <si>
    <t>FOX HOLLOW ELEMENTARY</t>
  </si>
  <si>
    <t>RIVERVIEW SCHOOL</t>
  </si>
  <si>
    <t>COLUMBIA SCHOOL</t>
  </si>
  <si>
    <t>ROSE SPRINGS SCHOOL</t>
  </si>
  <si>
    <t>EAST LAYTON SCHOOL</t>
  </si>
  <si>
    <t>SNOW SPRINGS SCHOOL</t>
  </si>
  <si>
    <t>WEST POINT SCHOOL</t>
  </si>
  <si>
    <t>NORTH POINT ELEMENTARY</t>
  </si>
  <si>
    <t>INDIAN HILLS SCHOOL</t>
  </si>
  <si>
    <t>MOUNT MAHOGANY SCHOOL</t>
  </si>
  <si>
    <t>SAGE HILLS ELEMENTARY</t>
  </si>
  <si>
    <t>LOMOND VIEW SCHOOL</t>
  </si>
  <si>
    <t>MILL CREEK SCHOOL</t>
  </si>
  <si>
    <t>PARKSIDE ELEMENTARY</t>
  </si>
  <si>
    <t>CLINTON SCHOOL</t>
  </si>
  <si>
    <t>PARKSIDE SCHOOL</t>
  </si>
  <si>
    <t>PONY EXPRESS SCHOOL</t>
  </si>
  <si>
    <t>PERUVIAN PARK SCHOOL</t>
  </si>
  <si>
    <t>TERRA LINDA SCHOOL</t>
  </si>
  <si>
    <t>HERITAGE SCHOOL</t>
  </si>
  <si>
    <t>LITTLE VALLEY SCHOOL</t>
  </si>
  <si>
    <t>SOUTH SUMMIT DISTRICT</t>
  </si>
  <si>
    <t>SOUTH SUMMIT SCHOOL</t>
  </si>
  <si>
    <t>HOLT SCHOOL</t>
  </si>
  <si>
    <t>J.R. SMITH SCHOOL</t>
  </si>
  <si>
    <t>MIDWAY SCHOOL</t>
  </si>
  <si>
    <t>CARL SANDBURG SCHOOL</t>
  </si>
  <si>
    <t>OQUIRRH SCHOOL</t>
  </si>
  <si>
    <t>HERITAGE ELEMENTARY</t>
  </si>
  <si>
    <t>GEORGE WASHINGTON ACADEMY</t>
  </si>
  <si>
    <t>OQUIRRH HILLS SCHOOL</t>
  </si>
  <si>
    <t>ANTELOPE SCHOOL</t>
  </si>
  <si>
    <t>BATES SCHOOL</t>
  </si>
  <si>
    <t>WOODS CROSS SCHOOL</t>
  </si>
  <si>
    <t>PANORAMA SCHOOL</t>
  </si>
  <si>
    <t>EAGLE VALLEY SCHOOL</t>
  </si>
  <si>
    <t>SYRACUSE ARTS ACADEMY</t>
  </si>
  <si>
    <t>KAYSVILLE SCHOOL</t>
  </si>
  <si>
    <t>MONTICELLO ACADEMY</t>
  </si>
  <si>
    <t>LAKESIDE SCHOOL</t>
  </si>
  <si>
    <t>PROVOST SCHOOL</t>
  </si>
  <si>
    <t>SANDSTONE SCHOOL</t>
  </si>
  <si>
    <t>SMITH SCHOOL</t>
  </si>
  <si>
    <t>CREEKSIDE SCHOOL</t>
  </si>
  <si>
    <t>SANDY SCHOOL</t>
  </si>
  <si>
    <t>TIMPANOGOS INTERMEDIATE SCHOOL</t>
  </si>
  <si>
    <t>SPRUCEWOOD SCHOOL</t>
  </si>
  <si>
    <t>ROCK CANYON SCHOOL</t>
  </si>
  <si>
    <t>HEARTLAND SCHOOL</t>
  </si>
  <si>
    <t>VAE VIEW SCHOOL</t>
  </si>
  <si>
    <t>WOODRUFF SCHOOL</t>
  </si>
  <si>
    <t>OAKWOOD SCHOOL</t>
  </si>
  <si>
    <t>EAGLECREST SCHOOL</t>
  </si>
  <si>
    <t>BRIDGER SCHOOL</t>
  </si>
  <si>
    <t>SYRACUSE SCHOOL</t>
  </si>
  <si>
    <t>EARLY LIGHT ACADEMY AT DAYBREAK</t>
  </si>
  <si>
    <t>MOUNTAINVILLE ACADEMY</t>
  </si>
  <si>
    <t>WILLOW SPRINGS ELEMENTARY SCHOOL</t>
  </si>
  <si>
    <t>TWIN PEAKS SCHOOL</t>
  </si>
  <si>
    <t>UPLAND TERRACE SCHOOL</t>
  </si>
  <si>
    <t>BUTTERFIELD CANYON ELEMENTARY SCHOOL</t>
  </si>
  <si>
    <t>EAST MIDVALE SCHOOL</t>
  </si>
  <si>
    <t>ELK MEADOWS SCHOOL</t>
  </si>
  <si>
    <t>SHADOW VALLEY ELEMENTARY</t>
  </si>
  <si>
    <t>KNOWLTON SCHOOL</t>
  </si>
  <si>
    <t>HIDDEN HOLLOW ELEMENTARY</t>
  </si>
  <si>
    <t>NIBLEY PARK SCHOOL</t>
  </si>
  <si>
    <t>HIGHLAND SCHOOL</t>
  </si>
  <si>
    <t>LEGACY PREPARATORY ACADEMY</t>
  </si>
  <si>
    <t>LINDON SCHOOL</t>
  </si>
  <si>
    <t>READING SCHOOL</t>
  </si>
  <si>
    <t>NORTHRIDGE SCHOOL</t>
  </si>
  <si>
    <t>MEADOW SCHOOL</t>
  </si>
  <si>
    <t>CHERRY HILL SCHOOL</t>
  </si>
  <si>
    <t>GRAMERCY SCHOOL</t>
  </si>
  <si>
    <t>VINEYARD SCHOOL</t>
  </si>
  <si>
    <t>WINDRIDGE SCHOOL</t>
  </si>
  <si>
    <t>MAGNA SCHOOL</t>
  </si>
  <si>
    <t>ORCHARD SCHOOL</t>
  </si>
  <si>
    <t>JORDAN HILLS SCHOOL</t>
  </si>
  <si>
    <t>SHELLEY SCHOOL</t>
  </si>
  <si>
    <t>BUFFALO POINT ELEMENTARY</t>
  </si>
  <si>
    <t>NORTH DAVIS PREPARATORY ACADEMY</t>
  </si>
  <si>
    <t>LEO J MUIR SCHOOL</t>
  </si>
  <si>
    <t>ROSE CREEK SCHOOL</t>
  </si>
  <si>
    <t>HERRIMAN SCHOOL</t>
  </si>
  <si>
    <t>SPRING LANE ELEMENTARY</t>
  </si>
  <si>
    <t>EMERSON SCHOOL</t>
  </si>
  <si>
    <t>CHANNING HALL</t>
  </si>
  <si>
    <t>SEGO LILY SCHOOL</t>
  </si>
  <si>
    <t>DRAPER SCHOOL</t>
  </si>
  <si>
    <t>LAKEVIEW ELEMENTARY</t>
  </si>
  <si>
    <t>ELLISON PARK ELEMENTARY</t>
  </si>
  <si>
    <t>WINDSOR SCHOOL</t>
  </si>
  <si>
    <t>LAKE RIDGE SCHOOL</t>
  </si>
  <si>
    <t>ROLLING MEADOWS SCHOOL</t>
  </si>
  <si>
    <t>NEWMAN SCHOOL</t>
  </si>
  <si>
    <t>SARATOGA SHORES SCHOOL</t>
  </si>
  <si>
    <t>ROBERT FROST SCHOOL</t>
  </si>
  <si>
    <t>BROOKWOOD SCHOOL</t>
  </si>
  <si>
    <t>ARCADIA SCHOOL</t>
  </si>
  <si>
    <t>MONTE VISTA SCHOOL</t>
  </si>
  <si>
    <t>COPPERVIEW SCHOOL</t>
  </si>
  <si>
    <t>WESTRIDGE SCHOOL</t>
  </si>
  <si>
    <t>SOUTH WEBER SCHOOL</t>
  </si>
  <si>
    <t>TRUMAN SCHOOL</t>
  </si>
  <si>
    <t>HEBER VALLEY SCHOOL</t>
  </si>
  <si>
    <t>WHITTIER SCHOOL</t>
  </si>
  <si>
    <t>FOOTHILLS SCHOOL</t>
  </si>
  <si>
    <t>SUNCREST SCHOOL</t>
  </si>
  <si>
    <t>RENAISSANCE ACADEMY</t>
  </si>
  <si>
    <t>JAMES E MOSS SCHOOL</t>
  </si>
  <si>
    <t>BLUFF RIDGE SCHOOL</t>
  </si>
  <si>
    <t>TAYLORSVILLE SCHOOL</t>
  </si>
  <si>
    <t>SOUTH KEARNS SCHOOL</t>
  </si>
  <si>
    <t>PHILO FARNSWORTH SCHOOL</t>
  </si>
  <si>
    <t>SUNSET VIEW SCHOOL</t>
  </si>
  <si>
    <t>THOMAS W BACCHUS SCHOOL</t>
  </si>
  <si>
    <t>HARVEST ELEMENTARY</t>
  </si>
  <si>
    <t>SILVER HILLS SCHOOL</t>
  </si>
  <si>
    <t>COTTONWOOD SCHOOL</t>
  </si>
  <si>
    <t>DAYBREAK SCHOOL</t>
  </si>
  <si>
    <t>SHARON SCHOOL</t>
  </si>
  <si>
    <t>LEGACY SCHOOL</t>
  </si>
  <si>
    <t>JOHN C FREMONT SCHOOL</t>
  </si>
  <si>
    <t>WEST KEARNS SCHOOL</t>
  </si>
  <si>
    <t>FOX HILLS SCHOOL</t>
  </si>
  <si>
    <t>PLYMOUTH SCHOOL</t>
  </si>
  <si>
    <t>M LYNN BENNION SCHOOL</t>
  </si>
  <si>
    <t>DEE SCHOOL</t>
  </si>
  <si>
    <t>WESTBROOK SCHOOL</t>
  </si>
  <si>
    <t>WEST CLINTON SCHOOL</t>
  </si>
  <si>
    <t>FOXBORO ELEMENTARY</t>
  </si>
  <si>
    <t>FREEDOM ACADEMY</t>
  </si>
  <si>
    <t>FRANKLIN SCHOOL</t>
  </si>
  <si>
    <t>PARK CITY DISTRICT</t>
  </si>
  <si>
    <t>TRAILSIDE SCHOOL</t>
  </si>
  <si>
    <t>VISTA SCHOOL</t>
  </si>
  <si>
    <t>GENEVA SCHOOL</t>
  </si>
  <si>
    <t>EASTWOOD SCHOOL</t>
  </si>
  <si>
    <t>FARRER SCHOOL</t>
  </si>
  <si>
    <t>SAND SPRINGS SCHOOL</t>
  </si>
  <si>
    <t>COPPER HILLS SCHOOL</t>
  </si>
  <si>
    <t>ACADEMY PARK SCHOOL</t>
  </si>
  <si>
    <t>WESTERN HILLS SCHOOL</t>
  </si>
  <si>
    <t>TIMPANOGOS SCHOOL</t>
  </si>
  <si>
    <t>SPRING CREEK SCHOOL</t>
  </si>
  <si>
    <t>DAVID GOURLEY SCHOOL</t>
  </si>
  <si>
    <t>JAMES MADISON ELEMENTARY</t>
  </si>
  <si>
    <t>HOWARD R DRIGGS SCHOOL</t>
  </si>
  <si>
    <t>LONE PEAK SCHOOL</t>
  </si>
  <si>
    <t>MIDAS CREEK SCHOOL</t>
  </si>
  <si>
    <t>ODYSSEY ELEMENTARY</t>
  </si>
  <si>
    <t>PARKVIEW SCHOOL</t>
  </si>
  <si>
    <t>WELBY SCHOOL</t>
  </si>
  <si>
    <t>THOMAS O SMITH SCHOOL</t>
  </si>
  <si>
    <t>CEDAR RIDGE SCHOOL</t>
  </si>
  <si>
    <t>SOUTH JORDAN SCHOOL</t>
  </si>
  <si>
    <t>OAK HOLLOW SCHOOL</t>
  </si>
  <si>
    <t>JACKLING SCHOOL</t>
  </si>
  <si>
    <t>RILEY SCHOOL</t>
  </si>
  <si>
    <t>BENNION SCHOOL</t>
  </si>
  <si>
    <t>EASTLAKE ELEMENTARY</t>
  </si>
  <si>
    <t>WILLIAM PENN SCHOOL</t>
  </si>
  <si>
    <t>OAKCREST SCHOOL</t>
  </si>
  <si>
    <t>MOUNTAIN SHADOWS SCHOOL</t>
  </si>
  <si>
    <t>JACKSON SCHOOL</t>
  </si>
  <si>
    <t>FALCON RIDGE ELEMENTARY</t>
  </si>
  <si>
    <t>BEEHIVE SCHOOL</t>
  </si>
  <si>
    <t>SNOW HORSE ELEMENTARY</t>
  </si>
  <si>
    <t>HUNTER SCHOOL</t>
  </si>
  <si>
    <t>AMERICAN PREPARATORY ACADEMY--THE SCHOOL FOR NEW AMERICANS</t>
  </si>
  <si>
    <t>WESTFIELD SCHOOL</t>
  </si>
  <si>
    <t>REDWOOD SCHOOL</t>
  </si>
  <si>
    <t>JEREMY RANCH SCHOOL</t>
  </si>
  <si>
    <t>GUADALUPE SCHOOL</t>
  </si>
  <si>
    <t>JORDAN RIDGE SCHOOL</t>
  </si>
  <si>
    <t>MIDVALE SCHOOL</t>
  </si>
  <si>
    <t>MCPOLIN SCHOOL</t>
  </si>
  <si>
    <t>OAKRIDGE SCHOOL</t>
  </si>
  <si>
    <t>BEACON HEIGHTS SCHOOL</t>
  </si>
  <si>
    <t>WOODROW WILSON SCHOOL</t>
  </si>
  <si>
    <t>ANNA SMITH SCHOOL</t>
  </si>
  <si>
    <t>HILLSDALE SCHOOL</t>
  </si>
  <si>
    <t>EAGLE BAY SCHOOL</t>
  </si>
  <si>
    <t>EDISON SCHOOL</t>
  </si>
  <si>
    <t>ROSE PARK SCHOOL</t>
  </si>
  <si>
    <t>DIAMOND RIDGE ELEMENTARY</t>
  </si>
  <si>
    <t>NORTH STAR SCHOOL</t>
  </si>
  <si>
    <t>BACKMAN SCHOOL</t>
  </si>
  <si>
    <t>GRANGER SCHOOL</t>
  </si>
  <si>
    <t>HAYDEN PEAK SCHOOL</t>
  </si>
  <si>
    <t>PROVIDENCE HALL</t>
  </si>
  <si>
    <t>DEERFIELD SCHOOL</t>
  </si>
  <si>
    <t>GEARLD WRIGHT ELEMENTARY</t>
  </si>
  <si>
    <t>MEADOWLARK SCHOOL</t>
  </si>
  <si>
    <t>BLUFF SCHOOL</t>
  </si>
  <si>
    <t>HILLSIDE SCHOOL</t>
  </si>
  <si>
    <t>DUAL IMMERSION ACADEMY</t>
  </si>
  <si>
    <t>MORNINGSIDE MAGNET SCHOOL</t>
  </si>
  <si>
    <t>SUMMIT ACADEMY</t>
  </si>
  <si>
    <t>DIXIE SUN ELEMENTARY</t>
  </si>
  <si>
    <t>WEST VALLEY SCHOOL</t>
  </si>
  <si>
    <t>TIMPANOGOS ACADEMY</t>
  </si>
  <si>
    <t>VALLEY CREST SCHOOL</t>
  </si>
  <si>
    <t>PARLEYS PARK SCHOOL</t>
  </si>
  <si>
    <t>RIDGELINE ELEMENTARY</t>
  </si>
  <si>
    <t>MEXICAN HAT SCHOOL</t>
  </si>
  <si>
    <t>MONTEZUMA CREEK SCHOOL</t>
  </si>
  <si>
    <t>District name</t>
  </si>
  <si>
    <t>School Name</t>
  </si>
  <si>
    <t>School Type 1</t>
  </si>
  <si>
    <t>School Type 2</t>
  </si>
  <si>
    <t>School Type 3</t>
  </si>
  <si>
    <t>Distance to School type 1</t>
  </si>
  <si>
    <t>Distance to School Type 2</t>
  </si>
  <si>
    <t>Distance to School Type 3</t>
  </si>
  <si>
    <t>Percent Likeness</t>
  </si>
  <si>
    <t>Charter</t>
  </si>
  <si>
    <t>District Id</t>
  </si>
  <si>
    <t>School 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</si>
</sst>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0" borderId="1" xfId="0" applyBorder="1"/>
    <xf numFmtId="0" fontId="0" fillId="0" borderId="1" xfId="0" applyFill="1" applyBorder="1"/>
    <xf numFmtId="0" fontId="0" fillId="0" borderId="2" xfId="0" applyBorder="1"/>
    <xf numFmtId="0" fontId="0" fillId="2" borderId="2" xfId="0" applyFill="1" applyBorder="1"/>
    <xf numFmtId="0" fontId="1" fillId="4" borderId="3" xfId="0" applyFont="1" applyFill="1" applyBorder="1" applyAlignment="1">
      <alignment wrapText="1"/>
    </xf>
    <xf numFmtId="0" fontId="1" fillId="4" borderId="4" xfId="0" applyFont="1" applyFill="1" applyBorder="1" applyAlignment="1">
      <alignment wrapText="1"/>
    </xf>
    <xf numFmtId="2" fontId="1" fillId="4" borderId="4" xfId="0" applyNumberFormat="1" applyFont="1" applyFill="1" applyBorder="1" applyAlignment="1">
      <alignment wrapText="1"/>
    </xf>
    <xf numFmtId="2" fontId="1" fillId="4" borderId="5" xfId="0" applyNumberFormat="1" applyFont="1" applyFill="1" applyBorder="1" applyAlignment="1">
      <alignment wrapText="1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5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3" sqref="D3"/>
    </sheetView>
  </sheetViews>
  <sheetFormatPr defaultRowHeight="15"/>
  <cols>
    <col min="1" max="1" width="8.42578125" customWidth="1"/>
    <col min="2" max="2" width="14.42578125" customWidth="1"/>
    <col min="3" max="3" width="7" customWidth="1"/>
    <col min="4" max="4" width="23.140625" customWidth="1"/>
    <col min="9" max="11" width="9.140625" style="1"/>
  </cols>
  <sheetData>
    <row r="1" spans="1:12" ht="45.75" thickBot="1">
      <c r="A1" s="6" t="s">
        <v>551</v>
      </c>
      <c r="B1" s="7" t="s">
        <v>541</v>
      </c>
      <c r="C1" s="7" t="s">
        <v>552</v>
      </c>
      <c r="D1" s="7" t="s">
        <v>542</v>
      </c>
      <c r="E1" s="7" t="s">
        <v>550</v>
      </c>
      <c r="F1" s="8" t="s">
        <v>543</v>
      </c>
      <c r="G1" s="8" t="s">
        <v>544</v>
      </c>
      <c r="H1" s="8" t="s">
        <v>545</v>
      </c>
      <c r="I1" s="8" t="s">
        <v>546</v>
      </c>
      <c r="J1" s="8" t="s">
        <v>547</v>
      </c>
      <c r="K1" s="8" t="s">
        <v>548</v>
      </c>
      <c r="L1" s="9" t="s">
        <v>549</v>
      </c>
    </row>
    <row r="2" spans="1:12">
      <c r="A2" s="4">
        <v>1050</v>
      </c>
      <c r="B2" s="4" t="s">
        <v>82</v>
      </c>
      <c r="C2" s="4">
        <v>1054</v>
      </c>
      <c r="D2" s="4" t="s">
        <v>364</v>
      </c>
      <c r="E2" s="4">
        <v>0</v>
      </c>
      <c r="F2" s="4">
        <v>0.59699999999999998</v>
      </c>
      <c r="G2" s="4">
        <v>0.1061</v>
      </c>
      <c r="H2" s="4">
        <v>0.2969</v>
      </c>
      <c r="I2" s="5">
        <f t="shared" ref="I2:I65" si="0">(F2-0.5106)^2</f>
        <v>7.4649599999999866E-3</v>
      </c>
      <c r="J2" s="5">
        <f t="shared" ref="J2:J65" si="1">(G2-0.2826)^2</f>
        <v>3.1152250000000006E-2</v>
      </c>
      <c r="K2" s="5">
        <f t="shared" ref="K2:K65" si="2">(H2-0.2068)^2</f>
        <v>8.1180099999999967E-3</v>
      </c>
      <c r="L2" s="4">
        <f t="shared" ref="L2:L65" si="3">1-(SQRT(I2+J2+K2))</f>
        <v>0.78381669814715105</v>
      </c>
    </row>
    <row r="3" spans="1:12">
      <c r="A3" s="2">
        <v>1050</v>
      </c>
      <c r="B3" s="2" t="s">
        <v>82</v>
      </c>
      <c r="C3" s="2">
        <v>1056</v>
      </c>
      <c r="D3" s="2" t="s">
        <v>322</v>
      </c>
      <c r="E3" s="2">
        <v>0</v>
      </c>
      <c r="F3" s="2">
        <v>0.1079</v>
      </c>
      <c r="G3" s="2">
        <v>0.55300000000000005</v>
      </c>
      <c r="H3" s="2">
        <v>0.33910000000000001</v>
      </c>
      <c r="I3" s="5">
        <f t="shared" si="0"/>
        <v>0.16216729000000005</v>
      </c>
      <c r="J3" s="5">
        <f t="shared" si="1"/>
        <v>7.3116160000000013E-2</v>
      </c>
      <c r="K3" s="5">
        <f t="shared" si="2"/>
        <v>1.7503290000000001E-2</v>
      </c>
      <c r="L3" s="4">
        <f t="shared" si="3"/>
        <v>0.49722098293584283</v>
      </c>
    </row>
    <row r="4" spans="1:12">
      <c r="A4" s="2">
        <v>1050</v>
      </c>
      <c r="B4" s="2" t="s">
        <v>82</v>
      </c>
      <c r="C4" s="2">
        <v>1057</v>
      </c>
      <c r="D4" s="2" t="s">
        <v>225</v>
      </c>
      <c r="E4" s="2">
        <v>0</v>
      </c>
      <c r="F4" s="2">
        <v>0.4047</v>
      </c>
      <c r="G4" s="2">
        <v>0.18010000000000001</v>
      </c>
      <c r="H4" s="2">
        <v>0.41520000000000001</v>
      </c>
      <c r="I4" s="5">
        <f t="shared" si="0"/>
        <v>1.1214810000000011E-2</v>
      </c>
      <c r="J4" s="5">
        <f t="shared" si="1"/>
        <v>1.0506250000000002E-2</v>
      </c>
      <c r="K4" s="5">
        <f t="shared" si="2"/>
        <v>4.343056E-2</v>
      </c>
      <c r="L4" s="4">
        <f t="shared" si="3"/>
        <v>0.74475184623586399</v>
      </c>
    </row>
    <row r="5" spans="1:12">
      <c r="A5" s="2">
        <v>1050</v>
      </c>
      <c r="B5" s="2" t="s">
        <v>82</v>
      </c>
      <c r="C5" s="2">
        <v>1061</v>
      </c>
      <c r="D5" s="2" t="s">
        <v>283</v>
      </c>
      <c r="E5" s="2">
        <v>0</v>
      </c>
      <c r="F5" s="2">
        <v>0.46870000000000001</v>
      </c>
      <c r="G5" s="2">
        <v>0.16200000000000001</v>
      </c>
      <c r="H5" s="2">
        <v>0.36930000000000002</v>
      </c>
      <c r="I5" s="5">
        <f t="shared" si="0"/>
        <v>1.755610000000004E-3</v>
      </c>
      <c r="J5" s="5">
        <f t="shared" si="1"/>
        <v>1.4544360000000003E-2</v>
      </c>
      <c r="K5" s="5">
        <f t="shared" si="2"/>
        <v>2.6406250000000003E-2</v>
      </c>
      <c r="L5" s="4">
        <f t="shared" si="3"/>
        <v>0.79334516700546298</v>
      </c>
    </row>
    <row r="6" spans="1:12">
      <c r="A6" s="2">
        <v>1050</v>
      </c>
      <c r="B6" s="2" t="s">
        <v>82</v>
      </c>
      <c r="C6" s="2">
        <v>45548</v>
      </c>
      <c r="D6" s="2" t="s">
        <v>296</v>
      </c>
      <c r="E6" s="2">
        <v>0</v>
      </c>
      <c r="F6" s="2">
        <v>0.36599999999999999</v>
      </c>
      <c r="G6" s="2">
        <v>0.2737</v>
      </c>
      <c r="H6" s="2">
        <v>0.36030000000000001</v>
      </c>
      <c r="I6" s="5">
        <f t="shared" si="0"/>
        <v>2.0909160000000017E-2</v>
      </c>
      <c r="J6" s="5">
        <f t="shared" si="1"/>
        <v>7.9210000000000334E-5</v>
      </c>
      <c r="K6" s="5">
        <f t="shared" si="2"/>
        <v>2.356225E-2</v>
      </c>
      <c r="L6" s="4">
        <f t="shared" si="3"/>
        <v>0.78892982209700957</v>
      </c>
    </row>
    <row r="7" spans="1:12">
      <c r="A7" s="2">
        <v>1050</v>
      </c>
      <c r="B7" s="2" t="s">
        <v>82</v>
      </c>
      <c r="C7" s="2">
        <v>1059</v>
      </c>
      <c r="D7" s="2" t="s">
        <v>102</v>
      </c>
      <c r="E7" s="2">
        <v>0</v>
      </c>
      <c r="F7" s="2">
        <v>0.33789999999999998</v>
      </c>
      <c r="G7" s="2">
        <v>0.1007</v>
      </c>
      <c r="H7" s="2">
        <v>0.56130000000000002</v>
      </c>
      <c r="I7" s="5">
        <f t="shared" si="0"/>
        <v>2.9825290000000025E-2</v>
      </c>
      <c r="J7" s="5">
        <f t="shared" si="1"/>
        <v>3.3087610000000003E-2</v>
      </c>
      <c r="K7" s="5">
        <f t="shared" si="2"/>
        <v>0.12567025000000004</v>
      </c>
      <c r="L7" s="4">
        <f t="shared" si="3"/>
        <v>0.56573838530213139</v>
      </c>
    </row>
    <row r="8" spans="1:12">
      <c r="A8" s="2">
        <v>1050</v>
      </c>
      <c r="B8" s="2" t="s">
        <v>82</v>
      </c>
      <c r="C8" s="2">
        <v>1058</v>
      </c>
      <c r="D8" s="2" t="s">
        <v>160</v>
      </c>
      <c r="E8" s="2">
        <v>0</v>
      </c>
      <c r="F8" s="2">
        <v>0.36509999999999998</v>
      </c>
      <c r="G8" s="2">
        <v>0.15890000000000001</v>
      </c>
      <c r="H8" s="2">
        <v>0.47589999999999999</v>
      </c>
      <c r="I8" s="5">
        <f t="shared" si="0"/>
        <v>2.1170250000000022E-2</v>
      </c>
      <c r="J8" s="5">
        <f t="shared" si="1"/>
        <v>1.5301690000000001E-2</v>
      </c>
      <c r="K8" s="5">
        <f t="shared" si="2"/>
        <v>7.241481000000001E-2</v>
      </c>
      <c r="L8" s="4">
        <f t="shared" si="3"/>
        <v>0.67002007636827354</v>
      </c>
    </row>
    <row r="9" spans="1:12">
      <c r="A9" s="2">
        <v>1050</v>
      </c>
      <c r="B9" s="2" t="s">
        <v>82</v>
      </c>
      <c r="C9" s="2">
        <v>1060</v>
      </c>
      <c r="D9" s="2" t="s">
        <v>186</v>
      </c>
      <c r="E9" s="2">
        <v>0</v>
      </c>
      <c r="F9" s="2">
        <v>0.50660000000000005</v>
      </c>
      <c r="G9" s="2">
        <v>4.07E-2</v>
      </c>
      <c r="H9" s="2">
        <v>0.45269999999999999</v>
      </c>
      <c r="I9" s="5">
        <f t="shared" si="0"/>
        <v>1.600000000000003E-5</v>
      </c>
      <c r="J9" s="5">
        <f t="shared" si="1"/>
        <v>5.8515610000000003E-2</v>
      </c>
      <c r="K9" s="5">
        <f t="shared" si="2"/>
        <v>6.0466809999999989E-2</v>
      </c>
      <c r="L9" s="4">
        <f t="shared" si="3"/>
        <v>0.65503852388998562</v>
      </c>
    </row>
    <row r="10" spans="1:12">
      <c r="A10" s="2">
        <v>1050</v>
      </c>
      <c r="B10" s="2" t="s">
        <v>82</v>
      </c>
      <c r="C10" s="2">
        <v>1062</v>
      </c>
      <c r="D10" s="2" t="s">
        <v>195</v>
      </c>
      <c r="E10" s="2">
        <v>0</v>
      </c>
      <c r="F10" s="2">
        <v>0.5081</v>
      </c>
      <c r="G10" s="2">
        <v>4.8500000000000001E-2</v>
      </c>
      <c r="H10" s="2">
        <v>0.44340000000000002</v>
      </c>
      <c r="I10" s="5">
        <f t="shared" si="0"/>
        <v>6.2500000000002883E-6</v>
      </c>
      <c r="J10" s="5">
        <f t="shared" si="1"/>
        <v>5.4802810000000014E-2</v>
      </c>
      <c r="K10" s="5">
        <f t="shared" si="2"/>
        <v>5.5979560000000005E-2</v>
      </c>
      <c r="L10" s="4">
        <f t="shared" si="3"/>
        <v>0.66715075484538044</v>
      </c>
    </row>
    <row r="11" spans="1:12">
      <c r="A11" s="2">
        <v>1050</v>
      </c>
      <c r="B11" s="2" t="s">
        <v>82</v>
      </c>
      <c r="C11" s="2">
        <v>1063</v>
      </c>
      <c r="D11" s="2" t="s">
        <v>174</v>
      </c>
      <c r="E11" s="2">
        <v>0</v>
      </c>
      <c r="F11" s="2">
        <v>0.19819999999999999</v>
      </c>
      <c r="G11" s="2">
        <v>0.33979999999999999</v>
      </c>
      <c r="H11" s="2">
        <v>0.46200000000000002</v>
      </c>
      <c r="I11" s="5">
        <f t="shared" si="0"/>
        <v>9.7593760000000043E-2</v>
      </c>
      <c r="J11" s="5">
        <f t="shared" si="1"/>
        <v>3.2718399999999968E-3</v>
      </c>
      <c r="K11" s="5">
        <f t="shared" si="2"/>
        <v>6.5127039999999997E-2</v>
      </c>
      <c r="L11" s="4">
        <f t="shared" si="3"/>
        <v>0.59257805655561446</v>
      </c>
    </row>
    <row r="12" spans="1:12">
      <c r="A12" s="2">
        <v>1050</v>
      </c>
      <c r="B12" s="2" t="s">
        <v>82</v>
      </c>
      <c r="C12" s="2">
        <v>1064</v>
      </c>
      <c r="D12" s="2" t="s">
        <v>343</v>
      </c>
      <c r="E12" s="2">
        <v>0</v>
      </c>
      <c r="F12" s="2">
        <v>0.61070000000000002</v>
      </c>
      <c r="G12" s="2">
        <v>7.4999999999999997E-2</v>
      </c>
      <c r="H12" s="2">
        <v>0.31430000000000002</v>
      </c>
      <c r="I12" s="5">
        <f t="shared" si="0"/>
        <v>1.0020009999999994E-2</v>
      </c>
      <c r="J12" s="5">
        <f t="shared" si="1"/>
        <v>4.3097760000000006E-2</v>
      </c>
      <c r="K12" s="5">
        <f t="shared" si="2"/>
        <v>1.1556250000000002E-2</v>
      </c>
      <c r="L12" s="4">
        <f t="shared" si="3"/>
        <v>0.74568912724777181</v>
      </c>
    </row>
    <row r="13" spans="1:12">
      <c r="A13" s="2">
        <v>1050</v>
      </c>
      <c r="B13" s="2" t="s">
        <v>82</v>
      </c>
      <c r="C13" s="2">
        <v>1065</v>
      </c>
      <c r="D13" s="2" t="s">
        <v>200</v>
      </c>
      <c r="E13" s="2">
        <v>0</v>
      </c>
      <c r="F13" s="2">
        <v>0.42099999999999999</v>
      </c>
      <c r="G13" s="2">
        <v>0.13969999999999999</v>
      </c>
      <c r="H13" s="2">
        <v>0.43930000000000002</v>
      </c>
      <c r="I13" s="5">
        <f t="shared" si="0"/>
        <v>8.0281600000000116E-3</v>
      </c>
      <c r="J13" s="5">
        <f t="shared" si="1"/>
        <v>2.0420410000000007E-2</v>
      </c>
      <c r="K13" s="5">
        <f t="shared" si="2"/>
        <v>5.4056250000000007E-2</v>
      </c>
      <c r="L13" s="4">
        <f t="shared" si="3"/>
        <v>0.71276347725263056</v>
      </c>
    </row>
    <row r="14" spans="1:12">
      <c r="A14" s="2">
        <v>1050</v>
      </c>
      <c r="B14" s="2" t="s">
        <v>82</v>
      </c>
      <c r="C14" s="2">
        <v>1066</v>
      </c>
      <c r="D14" s="2" t="s">
        <v>208</v>
      </c>
      <c r="E14" s="2">
        <v>0</v>
      </c>
      <c r="F14" s="2">
        <v>0.19600000000000001</v>
      </c>
      <c r="G14" s="2">
        <v>0.37330000000000002</v>
      </c>
      <c r="H14" s="2">
        <v>0.43070000000000003</v>
      </c>
      <c r="I14" s="5">
        <f t="shared" si="0"/>
        <v>9.8973160000000032E-2</v>
      </c>
      <c r="J14" s="5">
        <f t="shared" si="1"/>
        <v>8.2264900000000012E-3</v>
      </c>
      <c r="K14" s="5">
        <f t="shared" si="2"/>
        <v>5.0131210000000009E-2</v>
      </c>
      <c r="L14" s="4">
        <f t="shared" si="3"/>
        <v>0.60335045695223588</v>
      </c>
    </row>
    <row r="15" spans="1:12">
      <c r="A15" s="2">
        <v>1050</v>
      </c>
      <c r="B15" s="2" t="s">
        <v>82</v>
      </c>
      <c r="C15" s="2">
        <v>1067</v>
      </c>
      <c r="D15" s="2" t="s">
        <v>272</v>
      </c>
      <c r="E15" s="2">
        <v>0</v>
      </c>
      <c r="F15" s="2">
        <v>0.38419999999999999</v>
      </c>
      <c r="G15" s="2">
        <v>0.23960000000000001</v>
      </c>
      <c r="H15" s="2">
        <v>0.37619999999999998</v>
      </c>
      <c r="I15" s="5">
        <f t="shared" si="0"/>
        <v>1.5976960000000016E-2</v>
      </c>
      <c r="J15" s="5">
        <f t="shared" si="1"/>
        <v>1.8490000000000008E-3</v>
      </c>
      <c r="K15" s="5">
        <f t="shared" si="2"/>
        <v>2.869635999999999E-2</v>
      </c>
      <c r="L15" s="4">
        <f t="shared" si="3"/>
        <v>0.78430966641965616</v>
      </c>
    </row>
    <row r="16" spans="1:12">
      <c r="A16" s="2">
        <v>1050</v>
      </c>
      <c r="B16" s="2" t="s">
        <v>82</v>
      </c>
      <c r="C16" s="2">
        <v>1068</v>
      </c>
      <c r="D16" s="2" t="s">
        <v>108</v>
      </c>
      <c r="E16" s="2">
        <v>0</v>
      </c>
      <c r="F16" s="2">
        <v>0.2424</v>
      </c>
      <c r="G16" s="2">
        <v>0.2167</v>
      </c>
      <c r="H16" s="2">
        <v>0.54090000000000005</v>
      </c>
      <c r="I16" s="5">
        <f t="shared" si="0"/>
        <v>7.1931240000000021E-2</v>
      </c>
      <c r="J16" s="5">
        <f t="shared" si="1"/>
        <v>4.3428100000000016E-3</v>
      </c>
      <c r="K16" s="5">
        <f t="shared" si="2"/>
        <v>0.11162281000000004</v>
      </c>
      <c r="L16" s="4">
        <f t="shared" si="3"/>
        <v>0.56652928587965712</v>
      </c>
    </row>
    <row r="17" spans="1:12">
      <c r="A17" s="2">
        <v>1050</v>
      </c>
      <c r="B17" s="2" t="s">
        <v>82</v>
      </c>
      <c r="C17" s="2">
        <v>1069</v>
      </c>
      <c r="D17" s="2" t="s">
        <v>141</v>
      </c>
      <c r="E17" s="2">
        <v>0</v>
      </c>
      <c r="F17" s="2">
        <v>0.39810000000000001</v>
      </c>
      <c r="G17" s="2">
        <v>0.1041</v>
      </c>
      <c r="H17" s="2">
        <v>0.49790000000000001</v>
      </c>
      <c r="I17" s="5">
        <f t="shared" si="0"/>
        <v>1.265625000000001E-2</v>
      </c>
      <c r="J17" s="5">
        <f t="shared" si="1"/>
        <v>3.1862250000000009E-2</v>
      </c>
      <c r="K17" s="5">
        <f t="shared" si="2"/>
        <v>8.4739210000000009E-2</v>
      </c>
      <c r="L17" s="4">
        <f t="shared" si="3"/>
        <v>0.64047571709271156</v>
      </c>
    </row>
    <row r="18" spans="1:12">
      <c r="A18" s="2">
        <v>1050</v>
      </c>
      <c r="B18" s="2" t="s">
        <v>82</v>
      </c>
      <c r="C18" s="2">
        <v>1071</v>
      </c>
      <c r="D18" s="2" t="s">
        <v>113</v>
      </c>
      <c r="E18" s="2">
        <v>0</v>
      </c>
      <c r="F18" s="2">
        <v>0.2331</v>
      </c>
      <c r="G18" s="2">
        <v>0.23069999999999999</v>
      </c>
      <c r="H18" s="2">
        <v>0.53620000000000001</v>
      </c>
      <c r="I18" s="5">
        <f t="shared" si="0"/>
        <v>7.700625000000004E-2</v>
      </c>
      <c r="J18" s="5">
        <f t="shared" si="1"/>
        <v>2.693610000000003E-3</v>
      </c>
      <c r="K18" s="5">
        <f t="shared" si="2"/>
        <v>0.10850436000000002</v>
      </c>
      <c r="L18" s="4">
        <f t="shared" si="3"/>
        <v>0.56617489699188672</v>
      </c>
    </row>
    <row r="19" spans="1:12">
      <c r="A19" s="2">
        <v>1050</v>
      </c>
      <c r="B19" s="2" t="s">
        <v>82</v>
      </c>
      <c r="C19" s="2">
        <v>1073</v>
      </c>
      <c r="D19" s="2" t="s">
        <v>182</v>
      </c>
      <c r="E19" s="2">
        <v>0</v>
      </c>
      <c r="F19" s="2">
        <v>0.31190000000000001</v>
      </c>
      <c r="G19" s="2">
        <v>0.23100000000000001</v>
      </c>
      <c r="H19" s="2">
        <v>0.45710000000000001</v>
      </c>
      <c r="I19" s="5">
        <f t="shared" si="0"/>
        <v>3.9481690000000014E-2</v>
      </c>
      <c r="J19" s="5">
        <f t="shared" si="1"/>
        <v>2.6625600000000009E-3</v>
      </c>
      <c r="K19" s="5">
        <f t="shared" si="2"/>
        <v>6.2650089999999978E-2</v>
      </c>
      <c r="L19" s="4">
        <f t="shared" si="3"/>
        <v>0.67628046089245708</v>
      </c>
    </row>
    <row r="20" spans="1:12">
      <c r="A20" s="2">
        <v>1050</v>
      </c>
      <c r="B20" s="2" t="s">
        <v>82</v>
      </c>
      <c r="C20" s="2">
        <v>1074</v>
      </c>
      <c r="D20" s="2" t="s">
        <v>214</v>
      </c>
      <c r="E20" s="2">
        <v>0</v>
      </c>
      <c r="F20" s="2">
        <v>0.50849999999999995</v>
      </c>
      <c r="G20" s="2">
        <v>6.3500000000000001E-2</v>
      </c>
      <c r="H20" s="2">
        <v>0.42799999999999999</v>
      </c>
      <c r="I20" s="5">
        <f t="shared" si="0"/>
        <v>4.4100000000004279E-6</v>
      </c>
      <c r="J20" s="5">
        <f t="shared" si="1"/>
        <v>4.8004810000000009E-2</v>
      </c>
      <c r="K20" s="5">
        <f t="shared" si="2"/>
        <v>4.8929439999999991E-2</v>
      </c>
      <c r="L20" s="4">
        <f t="shared" si="3"/>
        <v>0.68865026096044335</v>
      </c>
    </row>
    <row r="21" spans="1:12">
      <c r="A21" s="2">
        <v>1050</v>
      </c>
      <c r="B21" s="2" t="s">
        <v>82</v>
      </c>
      <c r="C21" s="2">
        <v>1075</v>
      </c>
      <c r="D21" s="2" t="s">
        <v>306</v>
      </c>
      <c r="E21" s="2">
        <v>0</v>
      </c>
      <c r="F21" s="2">
        <v>0.23319999999999999</v>
      </c>
      <c r="G21" s="2">
        <v>0.4143</v>
      </c>
      <c r="H21" s="2">
        <v>0.35249999999999998</v>
      </c>
      <c r="I21" s="5">
        <f t="shared" si="0"/>
        <v>7.6950760000000049E-2</v>
      </c>
      <c r="J21" s="5">
        <f t="shared" si="1"/>
        <v>1.7344889999999995E-2</v>
      </c>
      <c r="K21" s="5">
        <f t="shared" si="2"/>
        <v>2.1228489999999992E-2</v>
      </c>
      <c r="L21" s="4">
        <f t="shared" si="3"/>
        <v>0.66011157713155333</v>
      </c>
    </row>
    <row r="22" spans="1:12">
      <c r="A22" s="2">
        <v>1050</v>
      </c>
      <c r="B22" s="2" t="s">
        <v>82</v>
      </c>
      <c r="C22" s="2">
        <v>1076</v>
      </c>
      <c r="D22" s="2" t="s">
        <v>188</v>
      </c>
      <c r="E22" s="2">
        <v>0</v>
      </c>
      <c r="F22" s="2">
        <v>0.19670000000000001</v>
      </c>
      <c r="G22" s="2">
        <v>0.35420000000000001</v>
      </c>
      <c r="H22" s="2">
        <v>0.4491</v>
      </c>
      <c r="I22" s="5">
        <f t="shared" si="0"/>
        <v>9.8533210000000038E-2</v>
      </c>
      <c r="J22" s="5">
        <f t="shared" si="1"/>
        <v>5.1265599999999996E-3</v>
      </c>
      <c r="K22" s="5">
        <f t="shared" si="2"/>
        <v>5.8709289999999997E-2</v>
      </c>
      <c r="L22" s="4">
        <f t="shared" si="3"/>
        <v>0.59704955639681945</v>
      </c>
    </row>
    <row r="23" spans="1:12">
      <c r="A23" s="2">
        <v>1050</v>
      </c>
      <c r="B23" s="2" t="s">
        <v>82</v>
      </c>
      <c r="C23" s="2">
        <v>1077</v>
      </c>
      <c r="D23" s="2" t="s">
        <v>155</v>
      </c>
      <c r="E23" s="2">
        <v>0</v>
      </c>
      <c r="F23" s="2">
        <v>0.28210000000000002</v>
      </c>
      <c r="G23" s="2">
        <v>0.2351</v>
      </c>
      <c r="H23" s="2">
        <v>0.48270000000000002</v>
      </c>
      <c r="I23" s="5">
        <f t="shared" si="0"/>
        <v>5.2212250000000016E-2</v>
      </c>
      <c r="J23" s="5">
        <f t="shared" si="1"/>
        <v>2.2562500000000013E-3</v>
      </c>
      <c r="K23" s="5">
        <f t="shared" si="2"/>
        <v>7.6120810000000025E-2</v>
      </c>
      <c r="L23" s="4">
        <f t="shared" si="3"/>
        <v>0.63862857058145828</v>
      </c>
    </row>
    <row r="24" spans="1:12">
      <c r="A24" s="2">
        <v>1050</v>
      </c>
      <c r="B24" s="2" t="s">
        <v>82</v>
      </c>
      <c r="C24" s="2">
        <v>1078</v>
      </c>
      <c r="D24" s="2" t="s">
        <v>206</v>
      </c>
      <c r="E24" s="2">
        <v>0</v>
      </c>
      <c r="F24" s="2">
        <v>0.45779999999999998</v>
      </c>
      <c r="G24" s="2">
        <v>0.10920000000000001</v>
      </c>
      <c r="H24" s="2">
        <v>0.433</v>
      </c>
      <c r="I24" s="5">
        <f t="shared" si="0"/>
        <v>2.7878400000000071E-3</v>
      </c>
      <c r="J24" s="5">
        <f t="shared" si="1"/>
        <v>3.006756E-2</v>
      </c>
      <c r="K24" s="5">
        <f t="shared" si="2"/>
        <v>5.1166439999999994E-2</v>
      </c>
      <c r="L24" s="4">
        <f t="shared" si="3"/>
        <v>0.71013478994539547</v>
      </c>
    </row>
    <row r="25" spans="1:12">
      <c r="A25" s="2">
        <v>1050</v>
      </c>
      <c r="B25" s="2" t="s">
        <v>82</v>
      </c>
      <c r="C25" s="2">
        <v>1079</v>
      </c>
      <c r="D25" s="2" t="s">
        <v>2</v>
      </c>
      <c r="E25" s="2">
        <v>0</v>
      </c>
      <c r="F25" s="2">
        <v>0.52039999999999997</v>
      </c>
      <c r="G25" s="2">
        <v>1E-3</v>
      </c>
      <c r="H25" s="2">
        <v>0.47860000000000003</v>
      </c>
      <c r="I25" s="5">
        <f t="shared" si="0"/>
        <v>9.6039999999998423E-5</v>
      </c>
      <c r="J25" s="5">
        <f t="shared" si="1"/>
        <v>7.9298560000000004E-2</v>
      </c>
      <c r="K25" s="5">
        <f t="shared" si="2"/>
        <v>7.3875240000000023E-2</v>
      </c>
      <c r="L25" s="4">
        <f t="shared" si="3"/>
        <v>0.60850307791759073</v>
      </c>
    </row>
    <row r="26" spans="1:12">
      <c r="A26" s="2">
        <v>1050</v>
      </c>
      <c r="B26" s="2" t="s">
        <v>82</v>
      </c>
      <c r="C26" s="2">
        <v>1080</v>
      </c>
      <c r="D26" s="2" t="s">
        <v>144</v>
      </c>
      <c r="E26" s="2">
        <v>0</v>
      </c>
      <c r="F26" s="2">
        <v>0.25840000000000002</v>
      </c>
      <c r="G26" s="2">
        <v>0.2452</v>
      </c>
      <c r="H26" s="2">
        <v>0.49630000000000002</v>
      </c>
      <c r="I26" s="5">
        <f t="shared" si="0"/>
        <v>6.3604840000000024E-2</v>
      </c>
      <c r="J26" s="5">
        <f t="shared" si="1"/>
        <v>1.3987600000000013E-3</v>
      </c>
      <c r="K26" s="5">
        <f t="shared" si="2"/>
        <v>8.3810249999999989E-2</v>
      </c>
      <c r="L26" s="4">
        <f t="shared" si="3"/>
        <v>0.61423601775178649</v>
      </c>
    </row>
    <row r="27" spans="1:12">
      <c r="A27" s="2">
        <v>1050</v>
      </c>
      <c r="B27" s="2" t="s">
        <v>82</v>
      </c>
      <c r="C27" s="2">
        <v>1081</v>
      </c>
      <c r="D27" s="2" t="s">
        <v>177</v>
      </c>
      <c r="E27" s="2">
        <v>0</v>
      </c>
      <c r="F27" s="2">
        <v>0.21920000000000001</v>
      </c>
      <c r="G27" s="2">
        <v>0.31950000000000001</v>
      </c>
      <c r="H27" s="2">
        <v>0.46129999999999999</v>
      </c>
      <c r="I27" s="5">
        <f t="shared" si="0"/>
        <v>8.4913960000000024E-2</v>
      </c>
      <c r="J27" s="5">
        <f t="shared" si="1"/>
        <v>1.3616099999999992E-3</v>
      </c>
      <c r="K27" s="5">
        <f t="shared" si="2"/>
        <v>6.4770249999999974E-2</v>
      </c>
      <c r="L27" s="4">
        <f t="shared" si="3"/>
        <v>0.61135386274915837</v>
      </c>
    </row>
    <row r="28" spans="1:12">
      <c r="A28" s="2">
        <v>1050</v>
      </c>
      <c r="B28" s="2" t="s">
        <v>82</v>
      </c>
      <c r="C28" s="2">
        <v>130589</v>
      </c>
      <c r="D28" s="2" t="s">
        <v>274</v>
      </c>
      <c r="E28" s="2">
        <v>0</v>
      </c>
      <c r="F28" s="2">
        <v>0.37630000000000002</v>
      </c>
      <c r="G28" s="2">
        <v>0.248</v>
      </c>
      <c r="H28" s="2">
        <v>0.37569999999999998</v>
      </c>
      <c r="I28" s="5">
        <f t="shared" si="0"/>
        <v>1.8036490000000009E-2</v>
      </c>
      <c r="J28" s="5">
        <f t="shared" si="1"/>
        <v>1.1971600000000014E-3</v>
      </c>
      <c r="K28" s="5">
        <f t="shared" si="2"/>
        <v>2.852720999999999E-2</v>
      </c>
      <c r="L28" s="4">
        <f t="shared" si="3"/>
        <v>0.78145741833683757</v>
      </c>
    </row>
    <row r="29" spans="1:12">
      <c r="A29" s="2">
        <v>1050</v>
      </c>
      <c r="B29" s="2" t="s">
        <v>82</v>
      </c>
      <c r="C29" s="2">
        <v>1082</v>
      </c>
      <c r="D29" s="2" t="s">
        <v>83</v>
      </c>
      <c r="E29" s="2">
        <v>0</v>
      </c>
      <c r="F29" s="2">
        <v>0.30259999999999998</v>
      </c>
      <c r="G29" s="2">
        <v>9.8799999999999999E-2</v>
      </c>
      <c r="H29" s="2">
        <v>0.59850000000000003</v>
      </c>
      <c r="I29" s="5">
        <f t="shared" si="0"/>
        <v>4.3264000000000032E-2</v>
      </c>
      <c r="J29" s="5">
        <f t="shared" si="1"/>
        <v>3.3782440000000004E-2</v>
      </c>
      <c r="K29" s="5">
        <f t="shared" si="2"/>
        <v>0.15342889000000004</v>
      </c>
      <c r="L29" s="4">
        <f t="shared" si="3"/>
        <v>0.51992153766285232</v>
      </c>
    </row>
    <row r="30" spans="1:12">
      <c r="A30" s="2">
        <v>1042</v>
      </c>
      <c r="B30" s="2" t="s">
        <v>8</v>
      </c>
      <c r="C30" s="2">
        <v>1044</v>
      </c>
      <c r="D30" s="2" t="s">
        <v>9</v>
      </c>
      <c r="E30" s="2">
        <v>0</v>
      </c>
      <c r="F30" s="2">
        <v>3.1800000000000002E-2</v>
      </c>
      <c r="G30" s="2">
        <v>8.6800000000000002E-2</v>
      </c>
      <c r="H30" s="2">
        <v>0.88149999999999995</v>
      </c>
      <c r="I30" s="5">
        <f t="shared" si="0"/>
        <v>0.22924944000000005</v>
      </c>
      <c r="J30" s="5">
        <f t="shared" si="1"/>
        <v>3.8337640000000013E-2</v>
      </c>
      <c r="K30" s="5">
        <f t="shared" si="2"/>
        <v>0.45522008999999997</v>
      </c>
      <c r="L30" s="4">
        <f t="shared" si="3"/>
        <v>0.14981933096547062</v>
      </c>
    </row>
    <row r="31" spans="1:12">
      <c r="A31" s="2">
        <v>1042</v>
      </c>
      <c r="B31" s="2" t="s">
        <v>8</v>
      </c>
      <c r="C31" s="2">
        <v>1045</v>
      </c>
      <c r="D31" s="2" t="s">
        <v>31</v>
      </c>
      <c r="E31" s="2">
        <v>0</v>
      </c>
      <c r="F31" s="2">
        <v>9.3200000000000005E-2</v>
      </c>
      <c r="G31" s="2">
        <v>0.1547</v>
      </c>
      <c r="H31" s="2">
        <v>0.752</v>
      </c>
      <c r="I31" s="5">
        <f t="shared" si="0"/>
        <v>0.17422276000000003</v>
      </c>
      <c r="J31" s="5">
        <f t="shared" si="1"/>
        <v>1.6358410000000004E-2</v>
      </c>
      <c r="K31" s="5">
        <f t="shared" si="2"/>
        <v>0.29724304000000001</v>
      </c>
      <c r="L31" s="4">
        <f t="shared" si="3"/>
        <v>0.30155586479661811</v>
      </c>
    </row>
    <row r="32" spans="1:12">
      <c r="A32" s="2">
        <v>1002</v>
      </c>
      <c r="B32" s="2" t="s">
        <v>68</v>
      </c>
      <c r="C32" s="2">
        <v>175618</v>
      </c>
      <c r="D32" s="2" t="s">
        <v>161</v>
      </c>
      <c r="E32" s="2">
        <v>0</v>
      </c>
      <c r="F32" s="2">
        <v>0.34849999999999998</v>
      </c>
      <c r="G32" s="2">
        <v>0.1767</v>
      </c>
      <c r="H32" s="2">
        <v>0.47489999999999999</v>
      </c>
      <c r="I32" s="5">
        <f t="shared" si="0"/>
        <v>2.6276410000000024E-2</v>
      </c>
      <c r="J32" s="5">
        <f t="shared" si="1"/>
        <v>1.1214810000000004E-2</v>
      </c>
      <c r="K32" s="5">
        <f t="shared" si="2"/>
        <v>7.1877610000000008E-2</v>
      </c>
      <c r="L32" s="4">
        <f t="shared" si="3"/>
        <v>0.66929041441167747</v>
      </c>
    </row>
    <row r="33" spans="1:12">
      <c r="A33" s="2">
        <v>1002</v>
      </c>
      <c r="B33" s="2" t="s">
        <v>68</v>
      </c>
      <c r="C33" s="2">
        <v>1007</v>
      </c>
      <c r="D33" s="2" t="s">
        <v>166</v>
      </c>
      <c r="E33" s="2">
        <v>0</v>
      </c>
      <c r="F33" s="2">
        <v>0.2646</v>
      </c>
      <c r="G33" s="2">
        <v>0.2621</v>
      </c>
      <c r="H33" s="2">
        <v>0.47339999999999999</v>
      </c>
      <c r="I33" s="5">
        <f t="shared" si="0"/>
        <v>6.0516000000000028E-2</v>
      </c>
      <c r="J33" s="5">
        <f t="shared" si="1"/>
        <v>4.2025000000000076E-4</v>
      </c>
      <c r="K33" s="5">
        <f t="shared" si="2"/>
        <v>7.1075559999999968E-2</v>
      </c>
      <c r="L33" s="4">
        <f t="shared" si="3"/>
        <v>0.63666570489423924</v>
      </c>
    </row>
    <row r="34" spans="1:12">
      <c r="A34" s="2">
        <v>1002</v>
      </c>
      <c r="B34" s="2" t="s">
        <v>68</v>
      </c>
      <c r="C34" s="2">
        <v>1004</v>
      </c>
      <c r="D34" s="2" t="s">
        <v>136</v>
      </c>
      <c r="E34" s="2">
        <v>0</v>
      </c>
      <c r="F34" s="2">
        <v>0.31009999999999999</v>
      </c>
      <c r="G34" s="2">
        <v>0.18659999999999999</v>
      </c>
      <c r="H34" s="2">
        <v>0.50329999999999997</v>
      </c>
      <c r="I34" s="5">
        <f t="shared" si="0"/>
        <v>4.0200250000000028E-2</v>
      </c>
      <c r="J34" s="5">
        <f t="shared" si="1"/>
        <v>9.2160000000000054E-3</v>
      </c>
      <c r="K34" s="5">
        <f t="shared" si="2"/>
        <v>8.7912249999999997E-2</v>
      </c>
      <c r="L34" s="4">
        <f t="shared" si="3"/>
        <v>0.62942139835117294</v>
      </c>
    </row>
    <row r="35" spans="1:12">
      <c r="A35" s="2">
        <v>1002</v>
      </c>
      <c r="B35" s="2" t="s">
        <v>68</v>
      </c>
      <c r="C35" s="2">
        <v>185816</v>
      </c>
      <c r="D35" s="2" t="s">
        <v>99</v>
      </c>
      <c r="E35" s="2">
        <v>0</v>
      </c>
      <c r="F35" s="2">
        <v>0.24510000000000001</v>
      </c>
      <c r="G35" s="2">
        <v>0.1855</v>
      </c>
      <c r="H35" s="2">
        <v>0.56940000000000002</v>
      </c>
      <c r="I35" s="5">
        <f t="shared" si="0"/>
        <v>7.0490250000000032E-2</v>
      </c>
      <c r="J35" s="5">
        <f t="shared" si="1"/>
        <v>9.4284100000000034E-3</v>
      </c>
      <c r="K35" s="5">
        <f t="shared" si="2"/>
        <v>0.13147876000000003</v>
      </c>
      <c r="L35" s="4">
        <f t="shared" si="3"/>
        <v>0.54022024837972693</v>
      </c>
    </row>
    <row r="36" spans="1:12">
      <c r="A36" s="2">
        <v>1002</v>
      </c>
      <c r="B36" s="2" t="s">
        <v>68</v>
      </c>
      <c r="C36" s="2">
        <v>1009</v>
      </c>
      <c r="D36" s="2" t="s">
        <v>259</v>
      </c>
      <c r="E36" s="2">
        <v>0</v>
      </c>
      <c r="F36" s="2">
        <v>0.21590000000000001</v>
      </c>
      <c r="G36" s="2">
        <v>0.39700000000000002</v>
      </c>
      <c r="H36" s="2">
        <v>0.3871</v>
      </c>
      <c r="I36" s="5">
        <f t="shared" si="0"/>
        <v>8.6848090000000044E-2</v>
      </c>
      <c r="J36" s="5">
        <f t="shared" si="1"/>
        <v>1.3087360000000001E-2</v>
      </c>
      <c r="K36" s="5">
        <f t="shared" si="2"/>
        <v>3.2508089999999996E-2</v>
      </c>
      <c r="L36" s="4">
        <f t="shared" si="3"/>
        <v>0.63607206757381207</v>
      </c>
    </row>
    <row r="37" spans="1:12">
      <c r="A37" s="2">
        <v>1002</v>
      </c>
      <c r="B37" s="2" t="s">
        <v>68</v>
      </c>
      <c r="C37" s="2">
        <v>1008</v>
      </c>
      <c r="D37" s="2" t="s">
        <v>70</v>
      </c>
      <c r="E37" s="2">
        <v>0</v>
      </c>
      <c r="F37" s="2">
        <v>0.1988</v>
      </c>
      <c r="G37" s="2">
        <v>0.18160000000000001</v>
      </c>
      <c r="H37" s="2">
        <v>0.61970000000000003</v>
      </c>
      <c r="I37" s="5">
        <f t="shared" si="0"/>
        <v>9.7219240000000054E-2</v>
      </c>
      <c r="J37" s="5">
        <f t="shared" si="1"/>
        <v>1.0201000000000002E-2</v>
      </c>
      <c r="K37" s="5">
        <f t="shared" si="2"/>
        <v>0.17048641000000003</v>
      </c>
      <c r="L37" s="4">
        <f t="shared" si="3"/>
        <v>0.47283147855737817</v>
      </c>
    </row>
    <row r="38" spans="1:12">
      <c r="A38" s="2">
        <v>1002</v>
      </c>
      <c r="B38" s="2" t="s">
        <v>68</v>
      </c>
      <c r="C38" s="2">
        <v>1005</v>
      </c>
      <c r="D38" s="2" t="s">
        <v>533</v>
      </c>
      <c r="E38" s="2">
        <v>0</v>
      </c>
      <c r="F38" s="2">
        <v>0.08</v>
      </c>
      <c r="G38" s="2">
        <v>0.85740000000000005</v>
      </c>
      <c r="H38" s="2">
        <v>6.2600000000000003E-2</v>
      </c>
      <c r="I38" s="5">
        <f t="shared" si="0"/>
        <v>0.18541636000000003</v>
      </c>
      <c r="J38" s="5">
        <f t="shared" si="1"/>
        <v>0.33039503999999997</v>
      </c>
      <c r="K38" s="5">
        <f t="shared" si="2"/>
        <v>2.0793639999999999E-2</v>
      </c>
      <c r="L38" s="4">
        <f t="shared" si="3"/>
        <v>0.26746669700279158</v>
      </c>
    </row>
    <row r="39" spans="1:12">
      <c r="A39" s="2">
        <v>1002</v>
      </c>
      <c r="B39" s="2" t="s">
        <v>68</v>
      </c>
      <c r="C39" s="2">
        <v>1012</v>
      </c>
      <c r="D39" s="2" t="s">
        <v>154</v>
      </c>
      <c r="E39" s="2">
        <v>0</v>
      </c>
      <c r="F39" s="2">
        <v>0.1439</v>
      </c>
      <c r="G39" s="2">
        <v>0.59179999999999999</v>
      </c>
      <c r="H39" s="2">
        <v>0.26440000000000002</v>
      </c>
      <c r="I39" s="5">
        <f t="shared" si="0"/>
        <v>0.13446889000000001</v>
      </c>
      <c r="J39" s="5">
        <f t="shared" si="1"/>
        <v>9.5604639999999991E-2</v>
      </c>
      <c r="K39" s="5">
        <f t="shared" si="2"/>
        <v>3.3177600000000016E-3</v>
      </c>
      <c r="L39" s="4">
        <f t="shared" si="3"/>
        <v>0.51689412133570556</v>
      </c>
    </row>
    <row r="40" spans="1:12">
      <c r="A40" s="2">
        <v>1002</v>
      </c>
      <c r="B40" s="2" t="s">
        <v>68</v>
      </c>
      <c r="C40" s="2">
        <v>1006</v>
      </c>
      <c r="D40" s="2" t="s">
        <v>69</v>
      </c>
      <c r="E40" s="2">
        <v>0</v>
      </c>
      <c r="F40" s="2">
        <v>0.19209999999999999</v>
      </c>
      <c r="G40" s="2">
        <v>0.18820000000000001</v>
      </c>
      <c r="H40" s="2">
        <v>0.61970000000000003</v>
      </c>
      <c r="I40" s="5">
        <f t="shared" si="0"/>
        <v>0.10144225000000004</v>
      </c>
      <c r="J40" s="5">
        <f t="shared" si="1"/>
        <v>8.9113600000000018E-3</v>
      </c>
      <c r="K40" s="5">
        <f t="shared" si="2"/>
        <v>0.17048641000000003</v>
      </c>
      <c r="L40" s="4">
        <f t="shared" si="3"/>
        <v>0.47005658792659755</v>
      </c>
    </row>
    <row r="41" spans="1:12">
      <c r="A41" s="2">
        <v>1002</v>
      </c>
      <c r="B41" s="2" t="s">
        <v>68</v>
      </c>
      <c r="C41" s="2">
        <v>1014</v>
      </c>
      <c r="D41" s="2" t="s">
        <v>360</v>
      </c>
      <c r="E41" s="2">
        <v>0</v>
      </c>
      <c r="F41" s="2">
        <v>0.15870000000000001</v>
      </c>
      <c r="G41" s="2">
        <v>0.54200000000000004</v>
      </c>
      <c r="H41" s="2">
        <v>0.29920000000000002</v>
      </c>
      <c r="I41" s="5">
        <f t="shared" si="0"/>
        <v>0.12383361000000004</v>
      </c>
      <c r="J41" s="5">
        <f t="shared" si="1"/>
        <v>6.7288360000000005E-2</v>
      </c>
      <c r="K41" s="5">
        <f t="shared" si="2"/>
        <v>8.5377600000000019E-3</v>
      </c>
      <c r="L41" s="4">
        <f t="shared" si="3"/>
        <v>0.55316699987579243</v>
      </c>
    </row>
    <row r="42" spans="1:12">
      <c r="A42" s="2">
        <v>1002</v>
      </c>
      <c r="B42" s="2" t="s">
        <v>68</v>
      </c>
      <c r="C42" s="2">
        <v>185817</v>
      </c>
      <c r="D42" s="2" t="s">
        <v>233</v>
      </c>
      <c r="E42" s="2">
        <v>0</v>
      </c>
      <c r="F42" s="2">
        <v>0.3523</v>
      </c>
      <c r="G42" s="2">
        <v>0.23960000000000001</v>
      </c>
      <c r="H42" s="2">
        <v>0.40810000000000002</v>
      </c>
      <c r="I42" s="5">
        <f t="shared" si="0"/>
        <v>2.5058890000000018E-2</v>
      </c>
      <c r="J42" s="5">
        <f t="shared" si="1"/>
        <v>1.8490000000000008E-3</v>
      </c>
      <c r="K42" s="5">
        <f t="shared" si="2"/>
        <v>4.0521690000000006E-2</v>
      </c>
      <c r="L42" s="4">
        <f t="shared" si="3"/>
        <v>0.74032793758280424</v>
      </c>
    </row>
    <row r="43" spans="1:12">
      <c r="A43" s="2">
        <v>1002</v>
      </c>
      <c r="B43" s="2" t="s">
        <v>68</v>
      </c>
      <c r="C43" s="2">
        <v>1010</v>
      </c>
      <c r="D43" s="2" t="s">
        <v>140</v>
      </c>
      <c r="E43" s="2">
        <v>0</v>
      </c>
      <c r="F43" s="2">
        <v>0.1691</v>
      </c>
      <c r="G43" s="2">
        <v>0.33279999999999998</v>
      </c>
      <c r="H43" s="2">
        <v>0.49809999999999999</v>
      </c>
      <c r="I43" s="5">
        <f t="shared" si="0"/>
        <v>0.11662225000000002</v>
      </c>
      <c r="J43" s="5">
        <f t="shared" si="1"/>
        <v>2.5200399999999968E-3</v>
      </c>
      <c r="K43" s="5">
        <f t="shared" si="2"/>
        <v>8.4855689999999998E-2</v>
      </c>
      <c r="L43" s="4">
        <f t="shared" si="3"/>
        <v>0.54833864455767301</v>
      </c>
    </row>
    <row r="44" spans="1:12">
      <c r="A44" s="2">
        <v>1002</v>
      </c>
      <c r="B44" s="2" t="s">
        <v>68</v>
      </c>
      <c r="C44" s="2">
        <v>1011</v>
      </c>
      <c r="D44" s="2" t="s">
        <v>97</v>
      </c>
      <c r="E44" s="2">
        <v>0</v>
      </c>
      <c r="F44" s="2">
        <v>0.18790000000000001</v>
      </c>
      <c r="G44" s="2">
        <v>0.2387</v>
      </c>
      <c r="H44" s="2">
        <v>0.57340000000000002</v>
      </c>
      <c r="I44" s="5">
        <f t="shared" si="0"/>
        <v>0.10413529000000003</v>
      </c>
      <c r="J44" s="5">
        <f t="shared" si="1"/>
        <v>1.9272100000000019E-3</v>
      </c>
      <c r="K44" s="5">
        <f t="shared" si="2"/>
        <v>0.13439556000000003</v>
      </c>
      <c r="L44" s="4">
        <f t="shared" si="3"/>
        <v>0.50963476876923663</v>
      </c>
    </row>
    <row r="45" spans="1:12">
      <c r="A45" s="2">
        <v>1002</v>
      </c>
      <c r="B45" s="2" t="s">
        <v>68</v>
      </c>
      <c r="C45" s="2">
        <v>185612</v>
      </c>
      <c r="D45" s="2" t="s">
        <v>352</v>
      </c>
      <c r="E45" s="2">
        <v>0</v>
      </c>
      <c r="F45" s="2">
        <v>0.59609999999999996</v>
      </c>
      <c r="G45" s="2">
        <v>9.7199999999999995E-2</v>
      </c>
      <c r="H45" s="2">
        <v>0.30669999999999997</v>
      </c>
      <c r="I45" s="5">
        <f t="shared" si="0"/>
        <v>7.3102499999999843E-3</v>
      </c>
      <c r="J45" s="5">
        <f t="shared" si="1"/>
        <v>3.4373160000000007E-2</v>
      </c>
      <c r="K45" s="5">
        <f t="shared" si="2"/>
        <v>9.9800099999999923E-3</v>
      </c>
      <c r="L45" s="4">
        <f t="shared" si="3"/>
        <v>0.77270411354360158</v>
      </c>
    </row>
    <row r="46" spans="1:12">
      <c r="A46" s="2">
        <v>1002</v>
      </c>
      <c r="B46" s="2" t="s">
        <v>68</v>
      </c>
      <c r="C46" s="2">
        <v>1015</v>
      </c>
      <c r="D46" s="2" t="s">
        <v>366</v>
      </c>
      <c r="E46" s="2">
        <v>0</v>
      </c>
      <c r="F46" s="2">
        <v>0.18759999999999999</v>
      </c>
      <c r="G46" s="2">
        <v>0.51580000000000004</v>
      </c>
      <c r="H46" s="2">
        <v>0.29659999999999997</v>
      </c>
      <c r="I46" s="5">
        <f t="shared" si="0"/>
        <v>0.10432900000000005</v>
      </c>
      <c r="J46" s="5">
        <f t="shared" si="1"/>
        <v>5.4382240000000005E-2</v>
      </c>
      <c r="K46" s="5">
        <f t="shared" si="2"/>
        <v>8.0640399999999928E-3</v>
      </c>
      <c r="L46" s="4">
        <f t="shared" si="3"/>
        <v>0.59161870757832202</v>
      </c>
    </row>
    <row r="47" spans="1:12">
      <c r="A47" s="2">
        <v>1002</v>
      </c>
      <c r="B47" s="2" t="s">
        <v>68</v>
      </c>
      <c r="C47" s="2">
        <v>1016</v>
      </c>
      <c r="D47" s="2" t="s">
        <v>110</v>
      </c>
      <c r="E47" s="2">
        <v>0</v>
      </c>
      <c r="F47" s="2">
        <v>0.1958</v>
      </c>
      <c r="G47" s="2">
        <v>0.2656</v>
      </c>
      <c r="H47" s="2">
        <v>0.53859999999999997</v>
      </c>
      <c r="I47" s="5">
        <f t="shared" si="0"/>
        <v>9.9099040000000055E-2</v>
      </c>
      <c r="J47" s="5">
        <f t="shared" si="1"/>
        <v>2.8900000000000052E-4</v>
      </c>
      <c r="K47" s="5">
        <f t="shared" si="2"/>
        <v>0.11009123999999999</v>
      </c>
      <c r="L47" s="4">
        <f t="shared" si="3"/>
        <v>0.54231093524096508</v>
      </c>
    </row>
    <row r="48" spans="1:12">
      <c r="A48" s="2">
        <v>1002</v>
      </c>
      <c r="B48" s="2" t="s">
        <v>68</v>
      </c>
      <c r="C48" s="2">
        <v>130587</v>
      </c>
      <c r="D48" s="2" t="s">
        <v>286</v>
      </c>
      <c r="E48" s="2">
        <v>0</v>
      </c>
      <c r="F48" s="2">
        <v>0.37030000000000002</v>
      </c>
      <c r="G48" s="2">
        <v>0.26169999999999999</v>
      </c>
      <c r="H48" s="2">
        <v>0.36799999999999999</v>
      </c>
      <c r="I48" s="5">
        <f t="shared" si="0"/>
        <v>1.9684090000000012E-2</v>
      </c>
      <c r="J48" s="5">
        <f t="shared" si="1"/>
        <v>4.3681000000000123E-4</v>
      </c>
      <c r="K48" s="5">
        <f t="shared" si="2"/>
        <v>2.5985439999999995E-2</v>
      </c>
      <c r="L48" s="4">
        <f t="shared" si="3"/>
        <v>0.7852761308098235</v>
      </c>
    </row>
    <row r="49" spans="1:12">
      <c r="A49" s="2">
        <v>1002</v>
      </c>
      <c r="B49" s="2" t="s">
        <v>68</v>
      </c>
      <c r="C49" s="2">
        <v>10530</v>
      </c>
      <c r="D49" s="2" t="s">
        <v>373</v>
      </c>
      <c r="E49" s="2">
        <v>0</v>
      </c>
      <c r="F49" s="2">
        <v>0.1991</v>
      </c>
      <c r="G49" s="2">
        <v>0.50980000000000003</v>
      </c>
      <c r="H49" s="2">
        <v>0.29110000000000003</v>
      </c>
      <c r="I49" s="5">
        <f t="shared" si="0"/>
        <v>9.7032250000000028E-2</v>
      </c>
      <c r="J49" s="5">
        <f t="shared" si="1"/>
        <v>5.1619840000000007E-2</v>
      </c>
      <c r="K49" s="5">
        <f t="shared" si="2"/>
        <v>7.1064900000000026E-3</v>
      </c>
      <c r="L49" s="4">
        <f t="shared" si="3"/>
        <v>0.60533738459286512</v>
      </c>
    </row>
    <row r="50" spans="1:12">
      <c r="A50" s="2">
        <v>1002</v>
      </c>
      <c r="B50" s="2" t="s">
        <v>68</v>
      </c>
      <c r="C50" s="2">
        <v>1017</v>
      </c>
      <c r="D50" s="2" t="s">
        <v>129</v>
      </c>
      <c r="E50" s="2">
        <v>0</v>
      </c>
      <c r="F50" s="2">
        <v>0.30570000000000003</v>
      </c>
      <c r="G50" s="2">
        <v>0.17910000000000001</v>
      </c>
      <c r="H50" s="2">
        <v>0.51519999999999999</v>
      </c>
      <c r="I50" s="5">
        <f t="shared" si="0"/>
        <v>4.1984010000000009E-2</v>
      </c>
      <c r="J50" s="5">
        <f t="shared" si="1"/>
        <v>1.0712250000000001E-2</v>
      </c>
      <c r="K50" s="5">
        <f t="shared" si="2"/>
        <v>9.5110560000000011E-2</v>
      </c>
      <c r="L50" s="4">
        <f t="shared" si="3"/>
        <v>0.61554347449939151</v>
      </c>
    </row>
    <row r="51" spans="1:12">
      <c r="A51" s="2">
        <v>1002</v>
      </c>
      <c r="B51" s="2" t="s">
        <v>68</v>
      </c>
      <c r="C51" s="2">
        <v>1018</v>
      </c>
      <c r="D51" s="2" t="s">
        <v>106</v>
      </c>
      <c r="E51" s="2">
        <v>0</v>
      </c>
      <c r="F51" s="2">
        <v>0.10580000000000001</v>
      </c>
      <c r="G51" s="2">
        <v>0.34849999999999998</v>
      </c>
      <c r="H51" s="2">
        <v>0.54569999999999996</v>
      </c>
      <c r="I51" s="5">
        <f t="shared" si="0"/>
        <v>0.16386304000000004</v>
      </c>
      <c r="J51" s="5">
        <f t="shared" si="1"/>
        <v>4.3428099999999947E-3</v>
      </c>
      <c r="K51" s="5">
        <f t="shared" si="2"/>
        <v>0.11485320999999998</v>
      </c>
      <c r="L51" s="4">
        <f t="shared" si="3"/>
        <v>0.4679670498925842</v>
      </c>
    </row>
    <row r="52" spans="1:12">
      <c r="A52" s="2">
        <v>1002</v>
      </c>
      <c r="B52" s="2" t="s">
        <v>68</v>
      </c>
      <c r="C52" s="2">
        <v>1019</v>
      </c>
      <c r="D52" s="2" t="s">
        <v>169</v>
      </c>
      <c r="E52" s="2">
        <v>0</v>
      </c>
      <c r="F52" s="2">
        <v>0.23369999999999999</v>
      </c>
      <c r="G52" s="2">
        <v>0.37069999999999997</v>
      </c>
      <c r="H52" s="2">
        <v>0.39560000000000001</v>
      </c>
      <c r="I52" s="5">
        <f t="shared" si="0"/>
        <v>7.6673610000000017E-2</v>
      </c>
      <c r="J52" s="5">
        <f t="shared" si="1"/>
        <v>7.7616099999999926E-3</v>
      </c>
      <c r="K52" s="5">
        <f t="shared" si="2"/>
        <v>3.564544E-2</v>
      </c>
      <c r="L52" s="4">
        <f t="shared" si="3"/>
        <v>0.65347343536173153</v>
      </c>
    </row>
    <row r="53" spans="1:12">
      <c r="A53" s="2">
        <v>1002</v>
      </c>
      <c r="B53" s="2" t="s">
        <v>68</v>
      </c>
      <c r="C53" s="2">
        <v>1020</v>
      </c>
      <c r="D53" s="2" t="s">
        <v>89</v>
      </c>
      <c r="E53" s="2">
        <v>0</v>
      </c>
      <c r="F53" s="2">
        <v>0.28070000000000001</v>
      </c>
      <c r="G53" s="2">
        <v>0.1323</v>
      </c>
      <c r="H53" s="2">
        <v>0.58699999999999997</v>
      </c>
      <c r="I53" s="5">
        <f t="shared" si="0"/>
        <v>5.2854010000000021E-2</v>
      </c>
      <c r="J53" s="5">
        <f t="shared" si="1"/>
        <v>2.2590090000000004E-2</v>
      </c>
      <c r="K53" s="5">
        <f t="shared" si="2"/>
        <v>0.14455203999999999</v>
      </c>
      <c r="L53" s="4">
        <f t="shared" si="3"/>
        <v>0.53096253880953181</v>
      </c>
    </row>
    <row r="54" spans="1:12">
      <c r="A54" s="2">
        <v>1002</v>
      </c>
      <c r="B54" s="2" t="s">
        <v>68</v>
      </c>
      <c r="C54" s="2">
        <v>1021</v>
      </c>
      <c r="D54" s="2" t="s">
        <v>290</v>
      </c>
      <c r="E54" s="2">
        <v>0</v>
      </c>
      <c r="F54" s="2">
        <v>0.14369999999999999</v>
      </c>
      <c r="G54" s="2">
        <v>0.4919</v>
      </c>
      <c r="H54" s="2">
        <v>0.3644</v>
      </c>
      <c r="I54" s="5">
        <f t="shared" si="0"/>
        <v>0.13461561000000005</v>
      </c>
      <c r="J54" s="5">
        <f t="shared" si="1"/>
        <v>4.3806489999999997E-2</v>
      </c>
      <c r="K54" s="5">
        <f t="shared" si="2"/>
        <v>2.4837759999999997E-2</v>
      </c>
      <c r="L54" s="4">
        <f t="shared" si="3"/>
        <v>0.54915650165495333</v>
      </c>
    </row>
    <row r="55" spans="1:12">
      <c r="A55" s="2">
        <v>165611</v>
      </c>
      <c r="B55" s="2" t="s">
        <v>260</v>
      </c>
      <c r="C55" s="2">
        <v>165611</v>
      </c>
      <c r="D55" s="2" t="s">
        <v>260</v>
      </c>
      <c r="E55" s="2">
        <v>1</v>
      </c>
      <c r="F55" s="2">
        <v>0.33489999999999998</v>
      </c>
      <c r="G55" s="2">
        <v>0.28029999999999999</v>
      </c>
      <c r="H55" s="2">
        <v>0.38490000000000002</v>
      </c>
      <c r="I55" s="5">
        <f t="shared" si="0"/>
        <v>3.0870490000000028E-2</v>
      </c>
      <c r="J55" s="5">
        <f t="shared" si="1"/>
        <v>5.2900000000001111E-6</v>
      </c>
      <c r="K55" s="5">
        <f t="shared" si="2"/>
        <v>3.1719610000000002E-2</v>
      </c>
      <c r="L55" s="4">
        <f t="shared" si="3"/>
        <v>0.74980929273851915</v>
      </c>
    </row>
    <row r="56" spans="1:12">
      <c r="A56" s="2">
        <v>992</v>
      </c>
      <c r="B56" s="2" t="s">
        <v>280</v>
      </c>
      <c r="C56" s="2">
        <v>995</v>
      </c>
      <c r="D56" s="2" t="s">
        <v>438</v>
      </c>
      <c r="E56" s="2">
        <v>0</v>
      </c>
      <c r="F56" s="2">
        <v>0.1822</v>
      </c>
      <c r="G56" s="2">
        <v>0.59760000000000002</v>
      </c>
      <c r="H56" s="2">
        <v>0.22020000000000001</v>
      </c>
      <c r="I56" s="5">
        <f t="shared" si="0"/>
        <v>0.10784656000000002</v>
      </c>
      <c r="J56" s="5">
        <f t="shared" si="1"/>
        <v>9.9225000000000008E-2</v>
      </c>
      <c r="K56" s="5">
        <f t="shared" si="2"/>
        <v>1.7955999999999986E-4</v>
      </c>
      <c r="L56" s="4">
        <f t="shared" si="3"/>
        <v>0.54475158429710047</v>
      </c>
    </row>
    <row r="57" spans="1:12">
      <c r="A57" s="2">
        <v>992</v>
      </c>
      <c r="B57" s="2" t="s">
        <v>280</v>
      </c>
      <c r="C57" s="2">
        <v>997</v>
      </c>
      <c r="D57" s="2" t="s">
        <v>356</v>
      </c>
      <c r="E57" s="2">
        <v>0</v>
      </c>
      <c r="F57" s="2">
        <v>0.2069</v>
      </c>
      <c r="G57" s="2">
        <v>0.49059999999999998</v>
      </c>
      <c r="H57" s="2">
        <v>0.30259999999999998</v>
      </c>
      <c r="I57" s="5">
        <f t="shared" si="0"/>
        <v>9.2233690000000049E-2</v>
      </c>
      <c r="J57" s="5">
        <f t="shared" si="1"/>
        <v>4.3263999999999983E-2</v>
      </c>
      <c r="K57" s="5">
        <f t="shared" si="2"/>
        <v>9.1776399999999939E-3</v>
      </c>
      <c r="L57" s="4">
        <f t="shared" si="3"/>
        <v>0.61963789620941467</v>
      </c>
    </row>
    <row r="58" spans="1:12">
      <c r="A58" s="2">
        <v>992</v>
      </c>
      <c r="B58" s="2" t="s">
        <v>280</v>
      </c>
      <c r="C58" s="2">
        <v>996</v>
      </c>
      <c r="D58" s="2" t="s">
        <v>357</v>
      </c>
      <c r="E58" s="2">
        <v>0</v>
      </c>
      <c r="F58" s="2">
        <v>0.25919999999999999</v>
      </c>
      <c r="G58" s="2">
        <v>0.44030000000000002</v>
      </c>
      <c r="H58" s="2">
        <v>0.30049999999999999</v>
      </c>
      <c r="I58" s="5">
        <f t="shared" si="0"/>
        <v>6.3201960000000029E-2</v>
      </c>
      <c r="J58" s="5">
        <f t="shared" si="1"/>
        <v>2.4869290000000002E-2</v>
      </c>
      <c r="K58" s="5">
        <f t="shared" si="2"/>
        <v>8.7796899999999962E-3</v>
      </c>
      <c r="L58" s="4">
        <f t="shared" si="3"/>
        <v>0.68879116336453428</v>
      </c>
    </row>
    <row r="59" spans="1:12">
      <c r="A59" s="2">
        <v>992</v>
      </c>
      <c r="B59" s="2" t="s">
        <v>280</v>
      </c>
      <c r="C59" s="2">
        <v>185821</v>
      </c>
      <c r="D59" s="2" t="s">
        <v>281</v>
      </c>
      <c r="E59" s="2">
        <v>0</v>
      </c>
      <c r="F59" s="2">
        <v>0.3715</v>
      </c>
      <c r="G59" s="2">
        <v>0.25790000000000002</v>
      </c>
      <c r="H59" s="2">
        <v>0.3705</v>
      </c>
      <c r="I59" s="5">
        <f t="shared" si="0"/>
        <v>1.9348810000000015E-2</v>
      </c>
      <c r="J59" s="5">
        <f t="shared" si="1"/>
        <v>6.1008999999999998E-4</v>
      </c>
      <c r="K59" s="5">
        <f t="shared" si="2"/>
        <v>2.6797689999999996E-2</v>
      </c>
      <c r="L59" s="4">
        <f t="shared" si="3"/>
        <v>0.78376727814690028</v>
      </c>
    </row>
    <row r="60" spans="1:12">
      <c r="A60" s="2">
        <v>992</v>
      </c>
      <c r="B60" s="2" t="s">
        <v>280</v>
      </c>
      <c r="C60" s="2">
        <v>186120</v>
      </c>
      <c r="D60" s="2" t="s">
        <v>377</v>
      </c>
      <c r="E60" s="2">
        <v>0</v>
      </c>
      <c r="F60" s="2">
        <v>0.34710000000000002</v>
      </c>
      <c r="G60" s="2">
        <v>0.36809999999999998</v>
      </c>
      <c r="H60" s="2">
        <v>0.2848</v>
      </c>
      <c r="I60" s="5">
        <f t="shared" si="0"/>
        <v>2.6732250000000009E-2</v>
      </c>
      <c r="J60" s="5">
        <f t="shared" si="1"/>
        <v>7.3102499999999938E-3</v>
      </c>
      <c r="K60" s="5">
        <f t="shared" si="2"/>
        <v>6.0839999999999974E-3</v>
      </c>
      <c r="L60" s="4">
        <f t="shared" si="3"/>
        <v>0.79968399964056791</v>
      </c>
    </row>
    <row r="61" spans="1:12">
      <c r="A61" s="2">
        <v>186115</v>
      </c>
      <c r="B61" s="2" t="s">
        <v>109</v>
      </c>
      <c r="C61" s="2">
        <v>186115</v>
      </c>
      <c r="D61" s="2" t="s">
        <v>109</v>
      </c>
      <c r="E61" s="2">
        <v>1</v>
      </c>
      <c r="F61" s="2">
        <v>0.37559999999999999</v>
      </c>
      <c r="G61" s="2">
        <v>8.3900000000000002E-2</v>
      </c>
      <c r="H61" s="2">
        <v>0.54059999999999997</v>
      </c>
      <c r="I61" s="5">
        <f t="shared" si="0"/>
        <v>1.8225000000000019E-2</v>
      </c>
      <c r="J61" s="5">
        <f t="shared" si="1"/>
        <v>3.9481690000000007E-2</v>
      </c>
      <c r="K61" s="5">
        <f t="shared" si="2"/>
        <v>0.11142243999999998</v>
      </c>
      <c r="L61" s="4">
        <f t="shared" si="3"/>
        <v>0.58874687843129991</v>
      </c>
    </row>
    <row r="62" spans="1:12">
      <c r="A62" s="2">
        <v>185874</v>
      </c>
      <c r="B62" s="2" t="s">
        <v>84</v>
      </c>
      <c r="C62" s="2">
        <v>185874</v>
      </c>
      <c r="D62" s="2" t="s">
        <v>84</v>
      </c>
      <c r="E62" s="2">
        <v>1</v>
      </c>
      <c r="F62" s="2">
        <v>0.29730000000000001</v>
      </c>
      <c r="G62" s="2">
        <v>0.1051</v>
      </c>
      <c r="H62" s="2">
        <v>0.59760000000000002</v>
      </c>
      <c r="I62" s="5">
        <f t="shared" si="0"/>
        <v>4.5496890000000019E-2</v>
      </c>
      <c r="J62" s="5">
        <f t="shared" si="1"/>
        <v>3.1506250000000006E-2</v>
      </c>
      <c r="K62" s="5">
        <f t="shared" si="2"/>
        <v>0.15272464000000002</v>
      </c>
      <c r="L62" s="4">
        <f t="shared" si="3"/>
        <v>0.52070074066403982</v>
      </c>
    </row>
    <row r="63" spans="1:12">
      <c r="A63" s="2">
        <v>972</v>
      </c>
      <c r="B63" s="2" t="s">
        <v>76</v>
      </c>
      <c r="C63" s="2">
        <v>974</v>
      </c>
      <c r="D63" s="2" t="s">
        <v>93</v>
      </c>
      <c r="E63" s="2">
        <v>0</v>
      </c>
      <c r="F63" s="2">
        <v>0.1724</v>
      </c>
      <c r="G63" s="2">
        <v>0.2447</v>
      </c>
      <c r="H63" s="2">
        <v>0.58289999999999997</v>
      </c>
      <c r="I63" s="5">
        <f t="shared" si="0"/>
        <v>0.11437924000000003</v>
      </c>
      <c r="J63" s="5">
        <f t="shared" si="1"/>
        <v>1.4364100000000012E-3</v>
      </c>
      <c r="K63" s="5">
        <f t="shared" si="2"/>
        <v>0.14145120999999999</v>
      </c>
      <c r="L63" s="4">
        <f t="shared" si="3"/>
        <v>0.49278519343378779</v>
      </c>
    </row>
    <row r="64" spans="1:12">
      <c r="A64" s="2">
        <v>972</v>
      </c>
      <c r="B64" s="2" t="s">
        <v>76</v>
      </c>
      <c r="C64" s="2">
        <v>976</v>
      </c>
      <c r="D64" s="2" t="s">
        <v>85</v>
      </c>
      <c r="E64" s="2">
        <v>0</v>
      </c>
      <c r="F64" s="2">
        <v>0.29720000000000002</v>
      </c>
      <c r="G64" s="2">
        <v>0.1094</v>
      </c>
      <c r="H64" s="2">
        <v>0.59340000000000004</v>
      </c>
      <c r="I64" s="5">
        <f t="shared" si="0"/>
        <v>4.5539560000000014E-2</v>
      </c>
      <c r="J64" s="5">
        <f t="shared" si="1"/>
        <v>2.9998240000000006E-2</v>
      </c>
      <c r="K64" s="5">
        <f t="shared" si="2"/>
        <v>0.14945956000000005</v>
      </c>
      <c r="L64" s="4">
        <f t="shared" si="3"/>
        <v>0.52566113378724699</v>
      </c>
    </row>
    <row r="65" spans="1:12">
      <c r="A65" s="2">
        <v>972</v>
      </c>
      <c r="B65" s="2" t="s">
        <v>76</v>
      </c>
      <c r="C65" s="2">
        <v>977</v>
      </c>
      <c r="D65" s="2" t="s">
        <v>124</v>
      </c>
      <c r="E65" s="2">
        <v>0</v>
      </c>
      <c r="F65" s="2">
        <v>0.30370000000000003</v>
      </c>
      <c r="G65" s="2">
        <v>0.16869999999999999</v>
      </c>
      <c r="H65" s="2">
        <v>0.52759999999999996</v>
      </c>
      <c r="I65" s="5">
        <f t="shared" si="0"/>
        <v>4.280761000000001E-2</v>
      </c>
      <c r="J65" s="5">
        <f t="shared" si="1"/>
        <v>1.2973210000000006E-2</v>
      </c>
      <c r="K65" s="5">
        <f t="shared" si="2"/>
        <v>0.10291263999999999</v>
      </c>
      <c r="L65" s="4">
        <f t="shared" si="3"/>
        <v>0.6016365227584235</v>
      </c>
    </row>
    <row r="66" spans="1:12">
      <c r="A66" s="2">
        <v>972</v>
      </c>
      <c r="B66" s="2" t="s">
        <v>76</v>
      </c>
      <c r="C66" s="2">
        <v>186049</v>
      </c>
      <c r="D66" s="2" t="s">
        <v>194</v>
      </c>
      <c r="E66" s="2">
        <v>0</v>
      </c>
      <c r="F66" s="2">
        <v>0.16489999999999999</v>
      </c>
      <c r="G66" s="2">
        <v>0.39150000000000001</v>
      </c>
      <c r="H66" s="2">
        <v>0.44359999999999999</v>
      </c>
      <c r="I66" s="5">
        <f t="shared" ref="I66:I129" si="4">(F66-0.5106)^2</f>
        <v>0.11950849000000004</v>
      </c>
      <c r="J66" s="5">
        <f t="shared" ref="J66:J129" si="5">(G66-0.2826)^2</f>
        <v>1.1859209999999999E-2</v>
      </c>
      <c r="K66" s="5">
        <f t="shared" ref="K66:K129" si="6">(H66-0.2068)^2</f>
        <v>5.607423999999999E-2</v>
      </c>
      <c r="L66" s="4">
        <f t="shared" ref="L66:L129" si="7">1-(SQRT(I66+J66+K66))</f>
        <v>0.56705434521178066</v>
      </c>
    </row>
    <row r="67" spans="1:12">
      <c r="A67" s="2">
        <v>972</v>
      </c>
      <c r="B67" s="2" t="s">
        <v>76</v>
      </c>
      <c r="C67" s="2">
        <v>978</v>
      </c>
      <c r="D67" s="2" t="s">
        <v>77</v>
      </c>
      <c r="E67" s="2">
        <v>0</v>
      </c>
      <c r="F67" s="2">
        <v>0.1759</v>
      </c>
      <c r="G67" s="2">
        <v>0.215</v>
      </c>
      <c r="H67" s="2">
        <v>0.60899999999999999</v>
      </c>
      <c r="I67" s="5">
        <f t="shared" si="4"/>
        <v>0.11202409000000003</v>
      </c>
      <c r="J67" s="5">
        <f t="shared" si="5"/>
        <v>4.5697600000000026E-3</v>
      </c>
      <c r="K67" s="5">
        <f t="shared" si="6"/>
        <v>0.16176483999999999</v>
      </c>
      <c r="L67" s="4">
        <f t="shared" si="7"/>
        <v>0.47240290940908325</v>
      </c>
    </row>
    <row r="68" spans="1:12">
      <c r="A68" s="2">
        <v>972</v>
      </c>
      <c r="B68" s="2" t="s">
        <v>76</v>
      </c>
      <c r="C68" s="2">
        <v>979</v>
      </c>
      <c r="D68" s="2" t="s">
        <v>162</v>
      </c>
      <c r="E68" s="2">
        <v>0</v>
      </c>
      <c r="F68" s="2">
        <v>0.41160000000000002</v>
      </c>
      <c r="G68" s="2">
        <v>0.11360000000000001</v>
      </c>
      <c r="H68" s="2">
        <v>0.4748</v>
      </c>
      <c r="I68" s="5">
        <f t="shared" si="4"/>
        <v>9.8010000000000059E-3</v>
      </c>
      <c r="J68" s="5">
        <f t="shared" si="5"/>
        <v>2.8561000000000003E-2</v>
      </c>
      <c r="K68" s="5">
        <f t="shared" si="6"/>
        <v>7.1824000000000013E-2</v>
      </c>
      <c r="L68" s="4">
        <f t="shared" si="7"/>
        <v>0.66805723384896609</v>
      </c>
    </row>
    <row r="69" spans="1:12">
      <c r="A69" s="2">
        <v>972</v>
      </c>
      <c r="B69" s="2" t="s">
        <v>76</v>
      </c>
      <c r="C69" s="2">
        <v>980</v>
      </c>
      <c r="D69" s="2" t="s">
        <v>95</v>
      </c>
      <c r="E69" s="2">
        <v>0</v>
      </c>
      <c r="F69" s="2">
        <v>0.27610000000000001</v>
      </c>
      <c r="G69" s="2">
        <v>0.14660000000000001</v>
      </c>
      <c r="H69" s="2">
        <v>0.57730000000000004</v>
      </c>
      <c r="I69" s="5">
        <f t="shared" si="4"/>
        <v>5.4990250000000018E-2</v>
      </c>
      <c r="J69" s="5">
        <f t="shared" si="5"/>
        <v>1.8496000000000002E-2</v>
      </c>
      <c r="K69" s="5">
        <f t="shared" si="6"/>
        <v>0.13727025000000004</v>
      </c>
      <c r="L69" s="4">
        <f t="shared" si="7"/>
        <v>0.54091776335824093</v>
      </c>
    </row>
    <row r="70" spans="1:12">
      <c r="A70" s="2">
        <v>947</v>
      </c>
      <c r="B70" s="2" t="s">
        <v>48</v>
      </c>
      <c r="C70" s="2">
        <v>958</v>
      </c>
      <c r="D70" s="2" t="s">
        <v>514</v>
      </c>
      <c r="E70" s="2">
        <v>0</v>
      </c>
      <c r="F70" s="2">
        <v>4.8399999999999999E-2</v>
      </c>
      <c r="G70" s="2">
        <v>0.84930000000000005</v>
      </c>
      <c r="H70" s="2">
        <v>0.1024</v>
      </c>
      <c r="I70" s="5">
        <f t="shared" si="4"/>
        <v>0.21362884000000004</v>
      </c>
      <c r="J70" s="5">
        <f t="shared" si="5"/>
        <v>0.32114888999999996</v>
      </c>
      <c r="K70" s="5">
        <f t="shared" si="6"/>
        <v>1.0899360000000002E-2</v>
      </c>
      <c r="L70" s="4">
        <f t="shared" si="7"/>
        <v>0.26130040611896899</v>
      </c>
    </row>
    <row r="71" spans="1:12">
      <c r="A71" s="2">
        <v>947</v>
      </c>
      <c r="B71" s="2" t="s">
        <v>48</v>
      </c>
      <c r="C71" s="2">
        <v>130586</v>
      </c>
      <c r="D71" s="2" t="s">
        <v>226</v>
      </c>
      <c r="E71" s="2">
        <v>0</v>
      </c>
      <c r="F71" s="2">
        <v>0.30530000000000002</v>
      </c>
      <c r="G71" s="2">
        <v>0.28029999999999999</v>
      </c>
      <c r="H71" s="2">
        <v>0.41439999999999999</v>
      </c>
      <c r="I71" s="5">
        <f t="shared" si="4"/>
        <v>4.2148090000000013E-2</v>
      </c>
      <c r="J71" s="5">
        <f t="shared" si="5"/>
        <v>5.2900000000001111E-6</v>
      </c>
      <c r="K71" s="5">
        <f t="shared" si="6"/>
        <v>4.3097759999999992E-2</v>
      </c>
      <c r="L71" s="4">
        <f t="shared" si="7"/>
        <v>0.70802202137832382</v>
      </c>
    </row>
    <row r="72" spans="1:12">
      <c r="A72" s="2">
        <v>947</v>
      </c>
      <c r="B72" s="2" t="s">
        <v>48</v>
      </c>
      <c r="C72" s="2">
        <v>949</v>
      </c>
      <c r="D72" s="2" t="s">
        <v>107</v>
      </c>
      <c r="E72" s="2">
        <v>0</v>
      </c>
      <c r="F72" s="2">
        <v>0.20030000000000001</v>
      </c>
      <c r="G72" s="2">
        <v>0.25700000000000001</v>
      </c>
      <c r="H72" s="2">
        <v>0.54279999999999995</v>
      </c>
      <c r="I72" s="5">
        <f t="shared" si="4"/>
        <v>9.6286090000000019E-2</v>
      </c>
      <c r="J72" s="5">
        <f t="shared" si="5"/>
        <v>6.5536000000000056E-4</v>
      </c>
      <c r="K72" s="5">
        <f t="shared" si="6"/>
        <v>0.11289599999999998</v>
      </c>
      <c r="L72" s="4">
        <f t="shared" si="7"/>
        <v>0.54191982142860629</v>
      </c>
    </row>
    <row r="73" spans="1:12">
      <c r="A73" s="2">
        <v>947</v>
      </c>
      <c r="B73" s="2" t="s">
        <v>48</v>
      </c>
      <c r="C73" s="2">
        <v>950</v>
      </c>
      <c r="D73" s="2" t="s">
        <v>154</v>
      </c>
      <c r="E73" s="2">
        <v>0</v>
      </c>
      <c r="F73" s="2">
        <v>0.25490000000000002</v>
      </c>
      <c r="G73" s="2">
        <v>0.26229999999999998</v>
      </c>
      <c r="H73" s="2">
        <v>0.48280000000000001</v>
      </c>
      <c r="I73" s="5">
        <f t="shared" si="4"/>
        <v>6.5382490000000015E-2</v>
      </c>
      <c r="J73" s="5">
        <f t="shared" si="5"/>
        <v>4.1209000000000162E-4</v>
      </c>
      <c r="K73" s="5">
        <f t="shared" si="6"/>
        <v>7.6176000000000008E-2</v>
      </c>
      <c r="L73" s="4">
        <f t="shared" si="7"/>
        <v>0.62321016468062729</v>
      </c>
    </row>
    <row r="74" spans="1:12">
      <c r="A74" s="2">
        <v>947</v>
      </c>
      <c r="B74" s="2" t="s">
        <v>48</v>
      </c>
      <c r="C74" s="2">
        <v>952</v>
      </c>
      <c r="D74" s="2" t="s">
        <v>116</v>
      </c>
      <c r="E74" s="2">
        <v>0</v>
      </c>
      <c r="F74" s="2">
        <v>0.16400000000000001</v>
      </c>
      <c r="G74" s="2">
        <v>0.30559999999999998</v>
      </c>
      <c r="H74" s="2">
        <v>0.53039999999999998</v>
      </c>
      <c r="I74" s="5">
        <f t="shared" si="4"/>
        <v>0.12013156000000001</v>
      </c>
      <c r="J74" s="5">
        <f t="shared" si="5"/>
        <v>5.2899999999999844E-4</v>
      </c>
      <c r="K74" s="5">
        <f t="shared" si="6"/>
        <v>0.10471696</v>
      </c>
      <c r="L74" s="4">
        <f t="shared" si="7"/>
        <v>0.52526057673709037</v>
      </c>
    </row>
    <row r="75" spans="1:12">
      <c r="A75" s="2">
        <v>947</v>
      </c>
      <c r="B75" s="2" t="s">
        <v>48</v>
      </c>
      <c r="C75" s="2">
        <v>45544</v>
      </c>
      <c r="D75" s="2" t="s">
        <v>228</v>
      </c>
      <c r="E75" s="2">
        <v>0</v>
      </c>
      <c r="F75" s="2">
        <v>0.28939999999999999</v>
      </c>
      <c r="G75" s="2">
        <v>0.29730000000000001</v>
      </c>
      <c r="H75" s="2">
        <v>0.4133</v>
      </c>
      <c r="I75" s="5">
        <f t="shared" si="4"/>
        <v>4.8929440000000025E-2</v>
      </c>
      <c r="J75" s="5">
        <f t="shared" si="5"/>
        <v>2.1608999999999973E-4</v>
      </c>
      <c r="K75" s="5">
        <f t="shared" si="6"/>
        <v>4.2642249999999993E-2</v>
      </c>
      <c r="L75" s="4">
        <f t="shared" si="7"/>
        <v>0.69703501852524274</v>
      </c>
    </row>
    <row r="76" spans="1:12">
      <c r="A76" s="2">
        <v>947</v>
      </c>
      <c r="B76" s="2" t="s">
        <v>48</v>
      </c>
      <c r="C76" s="2">
        <v>956</v>
      </c>
      <c r="D76" s="2" t="s">
        <v>138</v>
      </c>
      <c r="E76" s="2">
        <v>0</v>
      </c>
      <c r="F76" s="2">
        <v>0.18909999999999999</v>
      </c>
      <c r="G76" s="2">
        <v>0.30969999999999998</v>
      </c>
      <c r="H76" s="2">
        <v>0.50129999999999997</v>
      </c>
      <c r="I76" s="5">
        <f t="shared" si="4"/>
        <v>0.10336225000000004</v>
      </c>
      <c r="J76" s="5">
        <f t="shared" si="5"/>
        <v>7.3440999999999773E-4</v>
      </c>
      <c r="K76" s="5">
        <f t="shared" si="6"/>
        <v>8.6730249999999995E-2</v>
      </c>
      <c r="L76" s="4">
        <f t="shared" si="7"/>
        <v>0.56316260462272694</v>
      </c>
    </row>
    <row r="77" spans="1:12">
      <c r="A77" s="2">
        <v>947</v>
      </c>
      <c r="B77" s="2" t="s">
        <v>48</v>
      </c>
      <c r="C77" s="2">
        <v>45545</v>
      </c>
      <c r="D77" s="2" t="s">
        <v>266</v>
      </c>
      <c r="E77" s="2">
        <v>0</v>
      </c>
      <c r="F77" s="2">
        <v>0.36109999999999998</v>
      </c>
      <c r="G77" s="2">
        <v>0.25829999999999997</v>
      </c>
      <c r="H77" s="2">
        <v>0.38069999999999998</v>
      </c>
      <c r="I77" s="5">
        <f t="shared" si="4"/>
        <v>2.2350250000000023E-2</v>
      </c>
      <c r="J77" s="5">
        <f t="shared" si="5"/>
        <v>5.9049000000000211E-4</v>
      </c>
      <c r="K77" s="5">
        <f t="shared" si="6"/>
        <v>3.0241209999999991E-2</v>
      </c>
      <c r="L77" s="4">
        <f t="shared" si="7"/>
        <v>0.76938787976344347</v>
      </c>
    </row>
    <row r="78" spans="1:12">
      <c r="A78" s="2">
        <v>947</v>
      </c>
      <c r="B78" s="2" t="s">
        <v>48</v>
      </c>
      <c r="C78" s="2">
        <v>175617</v>
      </c>
      <c r="D78" s="2" t="s">
        <v>335</v>
      </c>
      <c r="E78" s="2">
        <v>0</v>
      </c>
      <c r="F78" s="2">
        <v>0.42930000000000001</v>
      </c>
      <c r="G78" s="2">
        <v>0.24260000000000001</v>
      </c>
      <c r="H78" s="2">
        <v>0.32800000000000001</v>
      </c>
      <c r="I78" s="5">
        <f t="shared" si="4"/>
        <v>6.6096900000000066E-3</v>
      </c>
      <c r="J78" s="5">
        <f t="shared" si="5"/>
        <v>1.6000000000000007E-3</v>
      </c>
      <c r="K78" s="5">
        <f t="shared" si="6"/>
        <v>1.468944E-2</v>
      </c>
      <c r="L78" s="4">
        <f t="shared" si="7"/>
        <v>0.84867541508399902</v>
      </c>
    </row>
    <row r="79" spans="1:12">
      <c r="A79" s="2">
        <v>947</v>
      </c>
      <c r="B79" s="2" t="s">
        <v>48</v>
      </c>
      <c r="C79" s="2">
        <v>185838</v>
      </c>
      <c r="D79" s="2" t="s">
        <v>222</v>
      </c>
      <c r="E79" s="2">
        <v>0</v>
      </c>
      <c r="F79" s="2">
        <v>0.31080000000000002</v>
      </c>
      <c r="G79" s="2">
        <v>0.26960000000000001</v>
      </c>
      <c r="H79" s="2">
        <v>0.41949999999999998</v>
      </c>
      <c r="I79" s="5">
        <f t="shared" si="4"/>
        <v>3.9920040000000011E-2</v>
      </c>
      <c r="J79" s="5">
        <f t="shared" si="5"/>
        <v>1.6900000000000031E-4</v>
      </c>
      <c r="K79" s="5">
        <f t="shared" si="6"/>
        <v>4.524128999999999E-2</v>
      </c>
      <c r="L79" s="4">
        <f t="shared" si="7"/>
        <v>0.70788644331356343</v>
      </c>
    </row>
    <row r="80" spans="1:12">
      <c r="A80" s="2">
        <v>947</v>
      </c>
      <c r="B80" s="2" t="s">
        <v>48</v>
      </c>
      <c r="C80" s="2">
        <v>954</v>
      </c>
      <c r="D80" s="2" t="s">
        <v>232</v>
      </c>
      <c r="E80" s="2">
        <v>0</v>
      </c>
      <c r="F80" s="2">
        <v>0.44209999999999999</v>
      </c>
      <c r="G80" s="2">
        <v>0.14899999999999999</v>
      </c>
      <c r="H80" s="2">
        <v>0.4088</v>
      </c>
      <c r="I80" s="5">
        <f t="shared" si="4"/>
        <v>4.692250000000008E-3</v>
      </c>
      <c r="J80" s="5">
        <f t="shared" si="5"/>
        <v>1.7848960000000007E-2</v>
      </c>
      <c r="K80" s="5">
        <f t="shared" si="6"/>
        <v>4.0803999999999993E-2</v>
      </c>
      <c r="L80" s="4">
        <f t="shared" si="7"/>
        <v>0.74831525671984012</v>
      </c>
    </row>
    <row r="81" spans="1:12">
      <c r="A81" s="2">
        <v>947</v>
      </c>
      <c r="B81" s="2" t="s">
        <v>48</v>
      </c>
      <c r="C81" s="2">
        <v>957</v>
      </c>
      <c r="D81" s="2" t="s">
        <v>49</v>
      </c>
      <c r="E81" s="2">
        <v>0</v>
      </c>
      <c r="F81" s="2">
        <v>0.17219999999999999</v>
      </c>
      <c r="G81" s="2">
        <v>0.15429999999999999</v>
      </c>
      <c r="H81" s="2">
        <v>0.67349999999999999</v>
      </c>
      <c r="I81" s="5">
        <f t="shared" si="4"/>
        <v>0.11451456000000003</v>
      </c>
      <c r="J81" s="5">
        <f t="shared" si="5"/>
        <v>1.6460890000000006E-2</v>
      </c>
      <c r="K81" s="5">
        <f t="shared" si="6"/>
        <v>0.21780889</v>
      </c>
      <c r="L81" s="4">
        <f t="shared" si="7"/>
        <v>0.40942033560238456</v>
      </c>
    </row>
    <row r="82" spans="1:12">
      <c r="A82" s="2">
        <v>947</v>
      </c>
      <c r="B82" s="2" t="s">
        <v>48</v>
      </c>
      <c r="C82" s="2">
        <v>959</v>
      </c>
      <c r="D82" s="2" t="s">
        <v>81</v>
      </c>
      <c r="E82" s="2">
        <v>0</v>
      </c>
      <c r="F82" s="2">
        <v>0.24829999999999999</v>
      </c>
      <c r="G82" s="2">
        <v>0.1522</v>
      </c>
      <c r="H82" s="2">
        <v>0.59950000000000003</v>
      </c>
      <c r="I82" s="5">
        <f t="shared" si="4"/>
        <v>6.8801290000000043E-2</v>
      </c>
      <c r="J82" s="5">
        <f t="shared" si="5"/>
        <v>1.7004160000000004E-2</v>
      </c>
      <c r="K82" s="5">
        <f t="shared" si="6"/>
        <v>0.15421329000000003</v>
      </c>
      <c r="L82" s="4">
        <f t="shared" si="7"/>
        <v>0.51008292538430533</v>
      </c>
    </row>
    <row r="83" spans="1:12">
      <c r="A83" s="2">
        <v>947</v>
      </c>
      <c r="B83" s="2" t="s">
        <v>48</v>
      </c>
      <c r="C83" s="2">
        <v>45546</v>
      </c>
      <c r="D83" s="2" t="s">
        <v>101</v>
      </c>
      <c r="E83" s="2">
        <v>0</v>
      </c>
      <c r="F83" s="2">
        <v>0.35489999999999999</v>
      </c>
      <c r="G83" s="2">
        <v>8.3599999999999994E-2</v>
      </c>
      <c r="H83" s="2">
        <v>0.5615</v>
      </c>
      <c r="I83" s="5">
        <f t="shared" si="4"/>
        <v>2.4242490000000019E-2</v>
      </c>
      <c r="J83" s="5">
        <f t="shared" si="5"/>
        <v>3.9601000000000004E-2</v>
      </c>
      <c r="K83" s="5">
        <f t="shared" si="6"/>
        <v>0.12581209000000002</v>
      </c>
      <c r="L83" s="4">
        <f t="shared" si="7"/>
        <v>0.56450536168627741</v>
      </c>
    </row>
    <row r="84" spans="1:12">
      <c r="A84" s="2">
        <v>940</v>
      </c>
      <c r="B84" s="2" t="s">
        <v>6</v>
      </c>
      <c r="C84" s="2">
        <v>942</v>
      </c>
      <c r="D84" s="2" t="s">
        <v>7</v>
      </c>
      <c r="E84" s="2">
        <v>0</v>
      </c>
      <c r="F84" s="2">
        <v>6.0699999999999997E-2</v>
      </c>
      <c r="G84" s="2">
        <v>1E-3</v>
      </c>
      <c r="H84" s="2">
        <v>0.93830000000000002</v>
      </c>
      <c r="I84" s="5">
        <f t="shared" si="4"/>
        <v>0.20241001000000006</v>
      </c>
      <c r="J84" s="5">
        <f t="shared" si="5"/>
        <v>7.9298560000000004E-2</v>
      </c>
      <c r="K84" s="5">
        <f t="shared" si="6"/>
        <v>0.53509225000000005</v>
      </c>
      <c r="L84" s="4">
        <f t="shared" si="7"/>
        <v>9.6229664129210302E-2</v>
      </c>
    </row>
    <row r="85" spans="1:12">
      <c r="A85" s="2">
        <v>35539</v>
      </c>
      <c r="B85" s="2" t="s">
        <v>535</v>
      </c>
      <c r="C85" s="2">
        <v>35539</v>
      </c>
      <c r="D85" s="2" t="s">
        <v>535</v>
      </c>
      <c r="E85" s="2">
        <v>1</v>
      </c>
      <c r="F85" s="2">
        <v>0.62919999999999998</v>
      </c>
      <c r="G85" s="2">
        <v>0.3216</v>
      </c>
      <c r="H85" s="2">
        <v>4.9200000000000001E-2</v>
      </c>
      <c r="I85" s="5">
        <f t="shared" si="4"/>
        <v>1.4065959999999983E-2</v>
      </c>
      <c r="J85" s="5">
        <f t="shared" si="5"/>
        <v>1.5209999999999983E-3</v>
      </c>
      <c r="K85" s="5">
        <f t="shared" si="6"/>
        <v>2.4837760000000007E-2</v>
      </c>
      <c r="L85" s="4">
        <f t="shared" si="7"/>
        <v>0.79894100368299859</v>
      </c>
    </row>
    <row r="86" spans="1:12">
      <c r="A86" s="2">
        <v>35538</v>
      </c>
      <c r="B86" s="2" t="s">
        <v>149</v>
      </c>
      <c r="C86" s="2">
        <v>35538</v>
      </c>
      <c r="D86" s="2" t="s">
        <v>149</v>
      </c>
      <c r="E86" s="2">
        <v>1</v>
      </c>
      <c r="F86" s="2">
        <v>0.35320000000000001</v>
      </c>
      <c r="G86" s="2">
        <v>0.15590000000000001</v>
      </c>
      <c r="H86" s="2">
        <v>0.49099999999999999</v>
      </c>
      <c r="I86" s="5">
        <f t="shared" si="4"/>
        <v>2.4774760000000014E-2</v>
      </c>
      <c r="J86" s="5">
        <f t="shared" si="5"/>
        <v>1.605289E-2</v>
      </c>
      <c r="K86" s="5">
        <f t="shared" si="6"/>
        <v>8.0769640000000004E-2</v>
      </c>
      <c r="L86" s="4">
        <f t="shared" si="7"/>
        <v>0.65129197026738828</v>
      </c>
    </row>
    <row r="87" spans="1:12">
      <c r="A87" s="2">
        <v>35538</v>
      </c>
      <c r="B87" s="2" t="s">
        <v>149</v>
      </c>
      <c r="C87" s="2">
        <v>186031</v>
      </c>
      <c r="D87" s="2" t="s">
        <v>291</v>
      </c>
      <c r="E87" s="2">
        <v>1</v>
      </c>
      <c r="F87" s="2">
        <v>0.46160000000000001</v>
      </c>
      <c r="G87" s="2">
        <v>0.1739</v>
      </c>
      <c r="H87" s="2">
        <v>0.3644</v>
      </c>
      <c r="I87" s="5">
        <f t="shared" si="4"/>
        <v>2.4010000000000043E-3</v>
      </c>
      <c r="J87" s="5">
        <f t="shared" si="5"/>
        <v>1.1815690000000004E-2</v>
      </c>
      <c r="K87" s="5">
        <f t="shared" si="6"/>
        <v>2.4837759999999997E-2</v>
      </c>
      <c r="L87" s="4">
        <f t="shared" si="7"/>
        <v>0.80237801235692419</v>
      </c>
    </row>
    <row r="88" spans="1:12">
      <c r="A88" s="2">
        <v>185793</v>
      </c>
      <c r="B88" s="2" t="s">
        <v>368</v>
      </c>
      <c r="C88" s="2">
        <v>185793</v>
      </c>
      <c r="D88" s="2" t="s">
        <v>368</v>
      </c>
      <c r="E88" s="2">
        <v>1</v>
      </c>
      <c r="F88" s="2">
        <v>0.58960000000000001</v>
      </c>
      <c r="G88" s="2">
        <v>0.1147</v>
      </c>
      <c r="H88" s="2">
        <v>0.29559999999999997</v>
      </c>
      <c r="I88" s="5">
        <f t="shared" si="4"/>
        <v>6.2409999999999939E-3</v>
      </c>
      <c r="J88" s="5">
        <f t="shared" si="5"/>
        <v>2.8190410000000006E-2</v>
      </c>
      <c r="K88" s="5">
        <f t="shared" si="6"/>
        <v>7.8854399999999936E-3</v>
      </c>
      <c r="L88" s="4">
        <f t="shared" si="7"/>
        <v>0.79428940231480538</v>
      </c>
    </row>
    <row r="89" spans="1:12">
      <c r="A89" s="2">
        <v>125579</v>
      </c>
      <c r="B89" s="2" t="s">
        <v>532</v>
      </c>
      <c r="C89" s="2">
        <v>125579</v>
      </c>
      <c r="D89" s="2" t="s">
        <v>532</v>
      </c>
      <c r="E89" s="2">
        <v>1</v>
      </c>
      <c r="F89" s="2">
        <v>0.91259999999999997</v>
      </c>
      <c r="G89" s="2">
        <v>2.3099999999999999E-2</v>
      </c>
      <c r="H89" s="2">
        <v>6.4299999999999996E-2</v>
      </c>
      <c r="I89" s="5">
        <f t="shared" si="4"/>
        <v>0.16160399999999994</v>
      </c>
      <c r="J89" s="5">
        <f t="shared" si="5"/>
        <v>6.7340250000000004E-2</v>
      </c>
      <c r="K89" s="5">
        <f t="shared" si="6"/>
        <v>2.0306250000000005E-2</v>
      </c>
      <c r="L89" s="4">
        <f t="shared" si="7"/>
        <v>0.50075006259389476</v>
      </c>
    </row>
    <row r="90" spans="1:12">
      <c r="A90" s="2">
        <v>930</v>
      </c>
      <c r="B90" s="2" t="s">
        <v>353</v>
      </c>
      <c r="C90" s="2">
        <v>933</v>
      </c>
      <c r="D90" s="2" t="s">
        <v>354</v>
      </c>
      <c r="E90" s="2">
        <v>0</v>
      </c>
      <c r="F90" s="2">
        <v>0.35360000000000003</v>
      </c>
      <c r="G90" s="2">
        <v>0.34029999999999999</v>
      </c>
      <c r="H90" s="2">
        <v>0.30609999999999998</v>
      </c>
      <c r="I90" s="5">
        <f t="shared" si="4"/>
        <v>2.4649000000000008E-2</v>
      </c>
      <c r="J90" s="5">
        <f t="shared" si="5"/>
        <v>3.3292899999999969E-3</v>
      </c>
      <c r="K90" s="5">
        <f t="shared" si="6"/>
        <v>9.8604899999999943E-3</v>
      </c>
      <c r="L90" s="4">
        <f t="shared" si="7"/>
        <v>0.80547807321538278</v>
      </c>
    </row>
    <row r="91" spans="1:12">
      <c r="A91" s="2">
        <v>921</v>
      </c>
      <c r="B91" s="2" t="s">
        <v>43</v>
      </c>
      <c r="C91" s="2">
        <v>924</v>
      </c>
      <c r="D91" s="2" t="s">
        <v>170</v>
      </c>
      <c r="E91" s="2">
        <v>0</v>
      </c>
      <c r="F91" s="2">
        <v>0.24479999999999999</v>
      </c>
      <c r="G91" s="2">
        <v>0.28760000000000002</v>
      </c>
      <c r="H91" s="2">
        <v>0.46760000000000002</v>
      </c>
      <c r="I91" s="5">
        <f t="shared" si="4"/>
        <v>7.0649640000000014E-2</v>
      </c>
      <c r="J91" s="5">
        <f t="shared" si="5"/>
        <v>2.5000000000000045E-5</v>
      </c>
      <c r="K91" s="5">
        <f t="shared" si="6"/>
        <v>6.8016640000000017E-2</v>
      </c>
      <c r="L91" s="4">
        <f t="shared" si="7"/>
        <v>0.62758721826446395</v>
      </c>
    </row>
    <row r="92" spans="1:12">
      <c r="A92" s="2">
        <v>921</v>
      </c>
      <c r="B92" s="2" t="s">
        <v>43</v>
      </c>
      <c r="C92" s="2">
        <v>925</v>
      </c>
      <c r="D92" s="2" t="s">
        <v>167</v>
      </c>
      <c r="E92" s="2">
        <v>0</v>
      </c>
      <c r="F92" s="2">
        <v>0.21940000000000001</v>
      </c>
      <c r="G92" s="2">
        <v>0.30780000000000002</v>
      </c>
      <c r="H92" s="2">
        <v>0.47270000000000001</v>
      </c>
      <c r="I92" s="5">
        <f t="shared" si="4"/>
        <v>8.4797440000000002E-2</v>
      </c>
      <c r="J92" s="5">
        <f t="shared" si="5"/>
        <v>6.3504000000000002E-4</v>
      </c>
      <c r="K92" s="5">
        <f t="shared" si="6"/>
        <v>7.0702810000000019E-2</v>
      </c>
      <c r="L92" s="4">
        <f t="shared" si="7"/>
        <v>0.60486041706758864</v>
      </c>
    </row>
    <row r="93" spans="1:12">
      <c r="A93" s="2">
        <v>921</v>
      </c>
      <c r="B93" s="2" t="s">
        <v>43</v>
      </c>
      <c r="C93" s="2">
        <v>926</v>
      </c>
      <c r="D93" s="2" t="s">
        <v>44</v>
      </c>
      <c r="E93" s="2">
        <v>0</v>
      </c>
      <c r="F93" s="2">
        <v>0.24399999999999999</v>
      </c>
      <c r="G93" s="2">
        <v>7.0099999999999996E-2</v>
      </c>
      <c r="H93" s="2">
        <v>0.68589999999999995</v>
      </c>
      <c r="I93" s="5">
        <f t="shared" si="4"/>
        <v>7.1075560000000038E-2</v>
      </c>
      <c r="J93" s="5">
        <f t="shared" si="5"/>
        <v>4.5156250000000009E-2</v>
      </c>
      <c r="K93" s="5">
        <f t="shared" si="6"/>
        <v>0.22953680999999998</v>
      </c>
      <c r="L93" s="4">
        <f t="shared" si="7"/>
        <v>0.41197906499853254</v>
      </c>
    </row>
    <row r="94" spans="1:12">
      <c r="A94" s="2">
        <v>5495</v>
      </c>
      <c r="B94" s="2" t="s">
        <v>15</v>
      </c>
      <c r="C94" s="2">
        <v>5495</v>
      </c>
      <c r="D94" s="2" t="s">
        <v>15</v>
      </c>
      <c r="E94" s="2">
        <v>1</v>
      </c>
      <c r="F94" s="2">
        <v>0.153</v>
      </c>
      <c r="G94" s="2">
        <v>3.3099999999999997E-2</v>
      </c>
      <c r="H94" s="2">
        <v>0.81379999999999997</v>
      </c>
      <c r="I94" s="5">
        <f t="shared" si="4"/>
        <v>0.12787776000000001</v>
      </c>
      <c r="J94" s="5">
        <f t="shared" si="5"/>
        <v>6.2250250000000014E-2</v>
      </c>
      <c r="K94" s="5">
        <f t="shared" si="6"/>
        <v>0.36844899999999997</v>
      </c>
      <c r="L94" s="4">
        <f t="shared" si="7"/>
        <v>0.25261990259306477</v>
      </c>
    </row>
    <row r="95" spans="1:12">
      <c r="A95" s="2">
        <v>900</v>
      </c>
      <c r="B95" s="2" t="s">
        <v>13</v>
      </c>
      <c r="C95" s="2">
        <v>902</v>
      </c>
      <c r="D95" s="2" t="s">
        <v>53</v>
      </c>
      <c r="E95" s="2">
        <v>0</v>
      </c>
      <c r="F95" s="2">
        <v>0.2485</v>
      </c>
      <c r="G95" s="2">
        <v>9.5699999999999993E-2</v>
      </c>
      <c r="H95" s="2">
        <v>0.65590000000000004</v>
      </c>
      <c r="I95" s="5">
        <f t="shared" si="4"/>
        <v>6.8696410000000027E-2</v>
      </c>
      <c r="J95" s="5">
        <f t="shared" si="5"/>
        <v>3.4931610000000002E-2</v>
      </c>
      <c r="K95" s="5">
        <f t="shared" si="6"/>
        <v>0.20169081000000005</v>
      </c>
      <c r="L95" s="4">
        <f t="shared" si="7"/>
        <v>0.44744336941812013</v>
      </c>
    </row>
    <row r="96" spans="1:12">
      <c r="A96" s="2">
        <v>900</v>
      </c>
      <c r="B96" s="2" t="s">
        <v>13</v>
      </c>
      <c r="C96" s="2">
        <v>903</v>
      </c>
      <c r="D96" s="2" t="s">
        <v>14</v>
      </c>
      <c r="E96" s="2">
        <v>0</v>
      </c>
      <c r="F96" s="2">
        <v>9.8100000000000007E-2</v>
      </c>
      <c r="G96" s="2">
        <v>7.5700000000000003E-2</v>
      </c>
      <c r="H96" s="2">
        <v>0.82609999999999995</v>
      </c>
      <c r="I96" s="5">
        <f t="shared" si="4"/>
        <v>0.17015625000000004</v>
      </c>
      <c r="J96" s="5">
        <f t="shared" si="5"/>
        <v>4.280761000000001E-2</v>
      </c>
      <c r="K96" s="5">
        <f t="shared" si="6"/>
        <v>0.38353248999999995</v>
      </c>
      <c r="L96" s="4">
        <f t="shared" si="7"/>
        <v>0.22766823838456574</v>
      </c>
    </row>
    <row r="97" spans="1:12">
      <c r="A97" s="2">
        <v>900</v>
      </c>
      <c r="B97" s="2" t="s">
        <v>13</v>
      </c>
      <c r="C97" s="2">
        <v>904</v>
      </c>
      <c r="D97" s="2" t="s">
        <v>78</v>
      </c>
      <c r="E97" s="2">
        <v>0</v>
      </c>
      <c r="F97" s="2">
        <v>0.27750000000000002</v>
      </c>
      <c r="G97" s="2">
        <v>0.1137</v>
      </c>
      <c r="H97" s="2">
        <v>0.60880000000000001</v>
      </c>
      <c r="I97" s="5">
        <f t="shared" si="4"/>
        <v>5.4335610000000013E-2</v>
      </c>
      <c r="J97" s="5">
        <f t="shared" si="5"/>
        <v>2.8527210000000008E-2</v>
      </c>
      <c r="K97" s="5">
        <f t="shared" si="6"/>
        <v>0.16160400000000003</v>
      </c>
      <c r="L97" s="4">
        <f t="shared" si="7"/>
        <v>0.50556413965004521</v>
      </c>
    </row>
    <row r="98" spans="1:12">
      <c r="A98" s="2">
        <v>900</v>
      </c>
      <c r="B98" s="2" t="s">
        <v>13</v>
      </c>
      <c r="C98" s="2">
        <v>905</v>
      </c>
      <c r="D98" s="2" t="s">
        <v>39</v>
      </c>
      <c r="E98" s="2">
        <v>0</v>
      </c>
      <c r="F98" s="2">
        <v>0.249</v>
      </c>
      <c r="G98" s="2">
        <v>5.2900000000000003E-2</v>
      </c>
      <c r="H98" s="2">
        <v>0.69810000000000005</v>
      </c>
      <c r="I98" s="5">
        <f t="shared" si="4"/>
        <v>6.8434560000000033E-2</v>
      </c>
      <c r="J98" s="5">
        <f t="shared" si="5"/>
        <v>5.2762090000000005E-2</v>
      </c>
      <c r="K98" s="5">
        <f t="shared" si="6"/>
        <v>0.24137569000000006</v>
      </c>
      <c r="L98" s="4">
        <f t="shared" si="7"/>
        <v>0.39786019895708591</v>
      </c>
    </row>
    <row r="99" spans="1:12">
      <c r="A99" s="2">
        <v>900</v>
      </c>
      <c r="B99" s="2" t="s">
        <v>13</v>
      </c>
      <c r="C99" s="2">
        <v>907</v>
      </c>
      <c r="D99" s="2" t="s">
        <v>60</v>
      </c>
      <c r="E99" s="2">
        <v>0</v>
      </c>
      <c r="F99" s="2">
        <v>0.24099999999999999</v>
      </c>
      <c r="G99" s="2">
        <v>0.12529999999999999</v>
      </c>
      <c r="H99" s="2">
        <v>0.63370000000000004</v>
      </c>
      <c r="I99" s="5">
        <f t="shared" si="4"/>
        <v>7.2684160000000039E-2</v>
      </c>
      <c r="J99" s="5">
        <f t="shared" si="5"/>
        <v>2.4743290000000008E-2</v>
      </c>
      <c r="K99" s="5">
        <f t="shared" si="6"/>
        <v>0.18224361000000006</v>
      </c>
      <c r="L99" s="4">
        <f t="shared" si="7"/>
        <v>0.47116064821157633</v>
      </c>
    </row>
    <row r="100" spans="1:12">
      <c r="A100" s="2">
        <v>880</v>
      </c>
      <c r="B100" s="2" t="s">
        <v>36</v>
      </c>
      <c r="C100" s="2">
        <v>882</v>
      </c>
      <c r="D100" s="2" t="s">
        <v>327</v>
      </c>
      <c r="E100" s="2">
        <v>0</v>
      </c>
      <c r="F100" s="2">
        <v>0.1709</v>
      </c>
      <c r="G100" s="2">
        <v>0.49609999999999999</v>
      </c>
      <c r="H100" s="2">
        <v>0.33300000000000002</v>
      </c>
      <c r="I100" s="5">
        <f t="shared" si="4"/>
        <v>0.11539609000000003</v>
      </c>
      <c r="J100" s="5">
        <f t="shared" si="5"/>
        <v>4.5582249999999984E-2</v>
      </c>
      <c r="K100" s="5">
        <f t="shared" si="6"/>
        <v>1.592644E-2</v>
      </c>
      <c r="L100" s="4">
        <f t="shared" si="7"/>
        <v>0.57939950071356305</v>
      </c>
    </row>
    <row r="101" spans="1:12">
      <c r="A101" s="2">
        <v>880</v>
      </c>
      <c r="B101" s="2" t="s">
        <v>36</v>
      </c>
      <c r="C101" s="2">
        <v>883</v>
      </c>
      <c r="D101" s="2" t="s">
        <v>528</v>
      </c>
      <c r="E101" s="2">
        <v>0</v>
      </c>
      <c r="F101" s="2">
        <v>3.09E-2</v>
      </c>
      <c r="G101" s="2">
        <v>0.89149999999999996</v>
      </c>
      <c r="H101" s="2">
        <v>7.7600000000000002E-2</v>
      </c>
      <c r="I101" s="5">
        <f t="shared" si="4"/>
        <v>0.23011209000000007</v>
      </c>
      <c r="J101" s="5">
        <f t="shared" si="5"/>
        <v>0.37075921000000001</v>
      </c>
      <c r="K101" s="5">
        <f t="shared" si="6"/>
        <v>1.6692640000000002E-2</v>
      </c>
      <c r="L101" s="4">
        <f t="shared" si="7"/>
        <v>0.21414763473028842</v>
      </c>
    </row>
    <row r="102" spans="1:12">
      <c r="A102" s="2">
        <v>880</v>
      </c>
      <c r="B102" s="2" t="s">
        <v>36</v>
      </c>
      <c r="C102" s="2">
        <v>885</v>
      </c>
      <c r="D102" s="2" t="s">
        <v>37</v>
      </c>
      <c r="E102" s="2">
        <v>0</v>
      </c>
      <c r="F102" s="2">
        <v>8.48E-2</v>
      </c>
      <c r="G102" s="2">
        <v>0.20269999999999999</v>
      </c>
      <c r="H102" s="2">
        <v>0.71240000000000003</v>
      </c>
      <c r="I102" s="5">
        <f t="shared" si="4"/>
        <v>0.18130564000000005</v>
      </c>
      <c r="J102" s="5">
        <f t="shared" si="5"/>
        <v>6.3840100000000042E-3</v>
      </c>
      <c r="K102" s="5">
        <f t="shared" si="6"/>
        <v>0.25563136000000003</v>
      </c>
      <c r="L102" s="4">
        <f t="shared" si="7"/>
        <v>0.33417644229120269</v>
      </c>
    </row>
    <row r="103" spans="1:12">
      <c r="A103" s="2">
        <v>880</v>
      </c>
      <c r="B103" s="2" t="s">
        <v>36</v>
      </c>
      <c r="C103" s="2">
        <v>886</v>
      </c>
      <c r="D103" s="2" t="s">
        <v>539</v>
      </c>
      <c r="E103" s="2">
        <v>0</v>
      </c>
      <c r="F103" s="2">
        <v>3.2300000000000002E-2</v>
      </c>
      <c r="G103" s="2">
        <v>0.94430000000000003</v>
      </c>
      <c r="H103" s="2">
        <v>2.3300000000000001E-2</v>
      </c>
      <c r="I103" s="5">
        <f t="shared" si="4"/>
        <v>0.22877089000000006</v>
      </c>
      <c r="J103" s="5">
        <f t="shared" si="5"/>
        <v>0.43784688999999993</v>
      </c>
      <c r="K103" s="5">
        <f t="shared" si="6"/>
        <v>3.3672250000000001E-2</v>
      </c>
      <c r="L103" s="4">
        <f t="shared" si="7"/>
        <v>0.16316666533891</v>
      </c>
    </row>
    <row r="104" spans="1:12">
      <c r="A104" s="2">
        <v>880</v>
      </c>
      <c r="B104" s="2" t="s">
        <v>36</v>
      </c>
      <c r="C104" s="2">
        <v>887</v>
      </c>
      <c r="D104" s="2" t="s">
        <v>540</v>
      </c>
      <c r="E104" s="2">
        <v>0</v>
      </c>
      <c r="F104" s="2">
        <v>3.3099999999999997E-2</v>
      </c>
      <c r="G104" s="2">
        <v>0.96060000000000001</v>
      </c>
      <c r="H104" s="2">
        <v>7.1999999999999998E-3</v>
      </c>
      <c r="I104" s="5">
        <f t="shared" si="4"/>
        <v>0.22800625000000002</v>
      </c>
      <c r="J104" s="5">
        <f t="shared" si="5"/>
        <v>0.45968399999999993</v>
      </c>
      <c r="K104" s="5">
        <f t="shared" si="6"/>
        <v>3.9840159999999999E-2</v>
      </c>
      <c r="L104" s="4">
        <f t="shared" si="7"/>
        <v>0.1470460680669794</v>
      </c>
    </row>
    <row r="105" spans="1:12">
      <c r="A105" s="2">
        <v>880</v>
      </c>
      <c r="B105" s="2" t="s">
        <v>36</v>
      </c>
      <c r="C105" s="2">
        <v>888</v>
      </c>
      <c r="D105" s="2" t="s">
        <v>127</v>
      </c>
      <c r="E105" s="2">
        <v>0</v>
      </c>
      <c r="F105" s="2">
        <v>0.1772</v>
      </c>
      <c r="G105" s="2">
        <v>0.29980000000000001</v>
      </c>
      <c r="H105" s="2">
        <v>0.52300000000000002</v>
      </c>
      <c r="I105" s="5">
        <f t="shared" si="4"/>
        <v>0.11115556000000001</v>
      </c>
      <c r="J105" s="5">
        <f t="shared" si="5"/>
        <v>2.9583999999999974E-4</v>
      </c>
      <c r="K105" s="5">
        <f t="shared" si="6"/>
        <v>9.998244000000002E-2</v>
      </c>
      <c r="L105" s="4">
        <f t="shared" si="7"/>
        <v>0.54018064416555922</v>
      </c>
    </row>
    <row r="106" spans="1:12">
      <c r="A106" s="2">
        <v>1107</v>
      </c>
      <c r="B106" s="2" t="s">
        <v>238</v>
      </c>
      <c r="C106" s="2">
        <v>1111</v>
      </c>
      <c r="D106" s="2" t="s">
        <v>521</v>
      </c>
      <c r="E106" s="2">
        <v>0</v>
      </c>
      <c r="F106" s="2">
        <v>0.10630000000000001</v>
      </c>
      <c r="G106" s="2">
        <v>0.80589999999999995</v>
      </c>
      <c r="H106" s="2">
        <v>8.7900000000000006E-2</v>
      </c>
      <c r="I106" s="5">
        <f t="shared" si="4"/>
        <v>0.16345849000000004</v>
      </c>
      <c r="J106" s="5">
        <f t="shared" si="5"/>
        <v>0.27384288999999989</v>
      </c>
      <c r="K106" s="5">
        <f t="shared" si="6"/>
        <v>1.4137210000000001E-2</v>
      </c>
      <c r="L106" s="4">
        <f t="shared" si="7"/>
        <v>0.32810820067513846</v>
      </c>
    </row>
    <row r="107" spans="1:12">
      <c r="A107" s="2">
        <v>1107</v>
      </c>
      <c r="B107" s="2" t="s">
        <v>238</v>
      </c>
      <c r="C107" s="2">
        <v>1112</v>
      </c>
      <c r="D107" s="2" t="s">
        <v>512</v>
      </c>
      <c r="E107" s="2">
        <v>0</v>
      </c>
      <c r="F107" s="2">
        <v>0.30370000000000003</v>
      </c>
      <c r="G107" s="2">
        <v>0.59250000000000003</v>
      </c>
      <c r="H107" s="2">
        <v>0.1038</v>
      </c>
      <c r="I107" s="5">
        <f t="shared" si="4"/>
        <v>4.280761000000001E-2</v>
      </c>
      <c r="J107" s="5">
        <f t="shared" si="5"/>
        <v>9.6038010000000007E-2</v>
      </c>
      <c r="K107" s="5">
        <f t="shared" si="6"/>
        <v>1.0609000000000002E-2</v>
      </c>
      <c r="L107" s="4">
        <f t="shared" si="7"/>
        <v>0.61340638908538592</v>
      </c>
    </row>
    <row r="108" spans="1:12">
      <c r="A108" s="10">
        <v>1107</v>
      </c>
      <c r="B108" s="10" t="s">
        <v>238</v>
      </c>
      <c r="C108" s="10">
        <v>1113</v>
      </c>
      <c r="D108" s="10" t="s">
        <v>320</v>
      </c>
      <c r="E108" s="10">
        <v>0</v>
      </c>
      <c r="F108" s="10">
        <v>0.51060000000000005</v>
      </c>
      <c r="G108" s="10">
        <v>0.28260000000000002</v>
      </c>
      <c r="H108" s="10">
        <v>0.20680000000000001</v>
      </c>
      <c r="I108" s="5">
        <f t="shared" si="4"/>
        <v>0</v>
      </c>
      <c r="J108" s="5">
        <f t="shared" si="5"/>
        <v>0</v>
      </c>
      <c r="K108" s="5">
        <f t="shared" si="6"/>
        <v>0</v>
      </c>
      <c r="L108" s="4">
        <f t="shared" si="7"/>
        <v>1</v>
      </c>
    </row>
    <row r="109" spans="1:12">
      <c r="A109" s="2">
        <v>1107</v>
      </c>
      <c r="B109" s="2" t="s">
        <v>238</v>
      </c>
      <c r="C109" s="2">
        <v>1114</v>
      </c>
      <c r="D109" s="2" t="s">
        <v>309</v>
      </c>
      <c r="E109" s="2">
        <v>0</v>
      </c>
      <c r="F109" s="2">
        <v>0.45179999999999998</v>
      </c>
      <c r="G109" s="2">
        <v>0.19689999999999999</v>
      </c>
      <c r="H109" s="2">
        <v>0.35120000000000001</v>
      </c>
      <c r="I109" s="5">
        <f t="shared" si="4"/>
        <v>3.4574400000000087E-3</v>
      </c>
      <c r="J109" s="5">
        <f t="shared" si="5"/>
        <v>7.3444900000000047E-3</v>
      </c>
      <c r="K109" s="5">
        <f t="shared" si="6"/>
        <v>2.0851359999999999E-2</v>
      </c>
      <c r="L109" s="4">
        <f t="shared" si="7"/>
        <v>0.82208628495812919</v>
      </c>
    </row>
    <row r="110" spans="1:12">
      <c r="A110" s="2">
        <v>1107</v>
      </c>
      <c r="B110" s="2" t="s">
        <v>238</v>
      </c>
      <c r="C110" s="2">
        <v>1115</v>
      </c>
      <c r="D110" s="2" t="s">
        <v>517</v>
      </c>
      <c r="E110" s="2">
        <v>0</v>
      </c>
      <c r="F110" s="2">
        <v>9.9599999999999994E-2</v>
      </c>
      <c r="G110" s="2">
        <v>0.80689999999999995</v>
      </c>
      <c r="H110" s="2">
        <v>9.35E-2</v>
      </c>
      <c r="I110" s="5">
        <f t="shared" si="4"/>
        <v>0.16892100000000002</v>
      </c>
      <c r="J110" s="5">
        <f t="shared" si="5"/>
        <v>0.27489048999999999</v>
      </c>
      <c r="K110" s="5">
        <f t="shared" si="6"/>
        <v>1.2836890000000002E-2</v>
      </c>
      <c r="L110" s="4">
        <f t="shared" si="7"/>
        <v>0.32424236593287381</v>
      </c>
    </row>
    <row r="111" spans="1:12">
      <c r="A111" s="2">
        <v>1107</v>
      </c>
      <c r="B111" s="2" t="s">
        <v>238</v>
      </c>
      <c r="C111" s="2">
        <v>1116</v>
      </c>
      <c r="D111" s="2" t="s">
        <v>419</v>
      </c>
      <c r="E111" s="2">
        <v>0</v>
      </c>
      <c r="F111" s="2">
        <v>0.22639999999999999</v>
      </c>
      <c r="G111" s="2">
        <v>0.53090000000000004</v>
      </c>
      <c r="H111" s="2">
        <v>0.2427</v>
      </c>
      <c r="I111" s="5">
        <f t="shared" si="4"/>
        <v>8.0769640000000031E-2</v>
      </c>
      <c r="J111" s="5">
        <f t="shared" si="5"/>
        <v>6.1652890000000009E-2</v>
      </c>
      <c r="K111" s="5">
        <f t="shared" si="6"/>
        <v>1.2888099999999992E-3</v>
      </c>
      <c r="L111" s="4">
        <f t="shared" si="7"/>
        <v>0.62090721452393738</v>
      </c>
    </row>
    <row r="112" spans="1:12">
      <c r="A112" s="2">
        <v>1107</v>
      </c>
      <c r="B112" s="2" t="s">
        <v>238</v>
      </c>
      <c r="C112" s="2">
        <v>1118</v>
      </c>
      <c r="D112" s="2" t="s">
        <v>297</v>
      </c>
      <c r="E112" s="2">
        <v>0</v>
      </c>
      <c r="F112" s="2">
        <v>0.32679999999999998</v>
      </c>
      <c r="G112" s="2">
        <v>0.31319999999999998</v>
      </c>
      <c r="H112" s="2">
        <v>0.36</v>
      </c>
      <c r="I112" s="5">
        <f t="shared" si="4"/>
        <v>3.3782440000000025E-2</v>
      </c>
      <c r="J112" s="5">
        <f t="shared" si="5"/>
        <v>9.3635999999999763E-4</v>
      </c>
      <c r="K112" s="5">
        <f t="shared" si="6"/>
        <v>2.3470239999999993E-2</v>
      </c>
      <c r="L112" s="4">
        <f t="shared" si="7"/>
        <v>0.75877595476404092</v>
      </c>
    </row>
    <row r="113" spans="1:12">
      <c r="A113" s="2">
        <v>1107</v>
      </c>
      <c r="B113" s="2" t="s">
        <v>238</v>
      </c>
      <c r="C113" s="2">
        <v>55547</v>
      </c>
      <c r="D113" s="2" t="s">
        <v>5</v>
      </c>
      <c r="E113" s="2">
        <v>0</v>
      </c>
      <c r="F113" s="2">
        <v>0.1193</v>
      </c>
      <c r="G113" s="2">
        <v>0.79720000000000002</v>
      </c>
      <c r="H113" s="2">
        <v>8.3599999999999994E-2</v>
      </c>
      <c r="I113" s="5">
        <f t="shared" si="4"/>
        <v>0.15311569000000003</v>
      </c>
      <c r="J113" s="5">
        <f t="shared" si="5"/>
        <v>0.26481315999999994</v>
      </c>
      <c r="K113" s="5">
        <f t="shared" si="6"/>
        <v>1.5178240000000004E-2</v>
      </c>
      <c r="L113" s="4">
        <f t="shared" si="7"/>
        <v>0.34189127797908647</v>
      </c>
    </row>
    <row r="114" spans="1:12">
      <c r="A114" s="2">
        <v>1107</v>
      </c>
      <c r="B114" s="2" t="s">
        <v>238</v>
      </c>
      <c r="C114" s="2">
        <v>1119</v>
      </c>
      <c r="D114" s="2" t="s">
        <v>466</v>
      </c>
      <c r="E114" s="2">
        <v>0</v>
      </c>
      <c r="F114" s="2">
        <v>9.9299999999999999E-2</v>
      </c>
      <c r="G114" s="2">
        <v>0.75680000000000003</v>
      </c>
      <c r="H114" s="2">
        <v>0.14399999999999999</v>
      </c>
      <c r="I114" s="5">
        <f t="shared" si="4"/>
        <v>0.16916769000000004</v>
      </c>
      <c r="J114" s="5">
        <f t="shared" si="5"/>
        <v>0.22486564000000001</v>
      </c>
      <c r="K114" s="5">
        <f t="shared" si="6"/>
        <v>3.9438400000000031E-3</v>
      </c>
      <c r="L114" s="4">
        <f t="shared" si="7"/>
        <v>0.36914568242739276</v>
      </c>
    </row>
    <row r="115" spans="1:12">
      <c r="A115" s="2">
        <v>1107</v>
      </c>
      <c r="B115" s="2" t="s">
        <v>238</v>
      </c>
      <c r="C115" s="2">
        <v>1123</v>
      </c>
      <c r="D115" s="2" t="s">
        <v>279</v>
      </c>
      <c r="E115" s="2">
        <v>0</v>
      </c>
      <c r="F115" s="2">
        <v>0.2676</v>
      </c>
      <c r="G115" s="2">
        <v>0.3614</v>
      </c>
      <c r="H115" s="2">
        <v>0.371</v>
      </c>
      <c r="I115" s="5">
        <f t="shared" si="4"/>
        <v>5.9049000000000025E-2</v>
      </c>
      <c r="J115" s="5">
        <f t="shared" si="5"/>
        <v>6.2094399999999966E-3</v>
      </c>
      <c r="K115" s="5">
        <f t="shared" si="6"/>
        <v>2.6961639999999995E-2</v>
      </c>
      <c r="L115" s="4">
        <f t="shared" si="7"/>
        <v>0.69632240780722721</v>
      </c>
    </row>
    <row r="116" spans="1:12">
      <c r="A116" s="2">
        <v>1107</v>
      </c>
      <c r="B116" s="2" t="s">
        <v>238</v>
      </c>
      <c r="C116" s="2">
        <v>1124</v>
      </c>
      <c r="D116" s="2" t="s">
        <v>239</v>
      </c>
      <c r="E116" s="2">
        <v>0</v>
      </c>
      <c r="F116" s="2">
        <v>0.3982</v>
      </c>
      <c r="G116" s="2">
        <v>0.2001</v>
      </c>
      <c r="H116" s="2">
        <v>0.4017</v>
      </c>
      <c r="I116" s="5">
        <f t="shared" si="4"/>
        <v>1.2633760000000013E-2</v>
      </c>
      <c r="J116" s="5">
        <f t="shared" si="5"/>
        <v>6.8062500000000033E-3</v>
      </c>
      <c r="K116" s="5">
        <f t="shared" si="6"/>
        <v>3.7986009999999994E-2</v>
      </c>
      <c r="L116" s="4">
        <f t="shared" si="7"/>
        <v>0.76036273244755936</v>
      </c>
    </row>
    <row r="117" spans="1:12">
      <c r="A117" s="2">
        <v>1107</v>
      </c>
      <c r="B117" s="2" t="s">
        <v>238</v>
      </c>
      <c r="C117" s="2">
        <v>1125</v>
      </c>
      <c r="D117" s="2" t="s">
        <v>340</v>
      </c>
      <c r="E117" s="2">
        <v>0</v>
      </c>
      <c r="F117" s="2">
        <v>0.37359999999999999</v>
      </c>
      <c r="G117" s="2">
        <v>0.30990000000000001</v>
      </c>
      <c r="H117" s="2">
        <v>0.3165</v>
      </c>
      <c r="I117" s="5">
        <f t="shared" si="4"/>
        <v>1.8769000000000018E-2</v>
      </c>
      <c r="J117" s="5">
        <f t="shared" si="5"/>
        <v>7.4528999999999947E-4</v>
      </c>
      <c r="K117" s="5">
        <f t="shared" si="6"/>
        <v>1.2034089999999999E-2</v>
      </c>
      <c r="L117" s="4">
        <f t="shared" si="7"/>
        <v>0.82238136359041591</v>
      </c>
    </row>
    <row r="118" spans="1:12">
      <c r="A118" s="2">
        <v>1107</v>
      </c>
      <c r="B118" s="2" t="s">
        <v>238</v>
      </c>
      <c r="C118" s="2">
        <v>1126</v>
      </c>
      <c r="D118" s="2" t="s">
        <v>498</v>
      </c>
      <c r="E118" s="2">
        <v>0</v>
      </c>
      <c r="F118" s="2">
        <v>0.1144</v>
      </c>
      <c r="G118" s="2">
        <v>0.74780000000000002</v>
      </c>
      <c r="H118" s="2">
        <v>0.13780000000000001</v>
      </c>
      <c r="I118" s="5">
        <f t="shared" si="4"/>
        <v>0.15697444000000005</v>
      </c>
      <c r="J118" s="5">
        <f t="shared" si="5"/>
        <v>0.21641104</v>
      </c>
      <c r="K118" s="5">
        <f t="shared" si="6"/>
        <v>4.7610000000000005E-3</v>
      </c>
      <c r="L118" s="4">
        <f t="shared" si="7"/>
        <v>0.38506384071189959</v>
      </c>
    </row>
    <row r="119" spans="1:12">
      <c r="A119" s="2">
        <v>1107</v>
      </c>
      <c r="B119" s="2" t="s">
        <v>238</v>
      </c>
      <c r="C119" s="2">
        <v>1127</v>
      </c>
      <c r="D119" s="2" t="s">
        <v>293</v>
      </c>
      <c r="E119" s="2">
        <v>0</v>
      </c>
      <c r="F119" s="2">
        <v>0.1021</v>
      </c>
      <c r="G119" s="2">
        <v>0.74470000000000003</v>
      </c>
      <c r="H119" s="2">
        <v>0.1532</v>
      </c>
      <c r="I119" s="5">
        <f t="shared" si="4"/>
        <v>0.16687225000000008</v>
      </c>
      <c r="J119" s="5">
        <f t="shared" si="5"/>
        <v>0.21353641000000001</v>
      </c>
      <c r="K119" s="5">
        <f t="shared" si="6"/>
        <v>2.8729600000000008E-3</v>
      </c>
      <c r="L119" s="4">
        <f t="shared" si="7"/>
        <v>0.38090257632582569</v>
      </c>
    </row>
    <row r="120" spans="1:12">
      <c r="A120" s="2">
        <v>1107</v>
      </c>
      <c r="B120" s="2" t="s">
        <v>238</v>
      </c>
      <c r="C120" s="2">
        <v>1128</v>
      </c>
      <c r="D120" s="2" t="s">
        <v>460</v>
      </c>
      <c r="E120" s="2">
        <v>0</v>
      </c>
      <c r="F120" s="2">
        <v>5.96E-2</v>
      </c>
      <c r="G120" s="2">
        <v>0.74809999999999999</v>
      </c>
      <c r="H120" s="2">
        <v>0.1923</v>
      </c>
      <c r="I120" s="5">
        <f t="shared" si="4"/>
        <v>0.20340100000000005</v>
      </c>
      <c r="J120" s="5">
        <f t="shared" si="5"/>
        <v>0.21669024999999997</v>
      </c>
      <c r="K120" s="5">
        <f t="shared" si="6"/>
        <v>2.1025000000000037E-4</v>
      </c>
      <c r="L120" s="4">
        <f t="shared" si="7"/>
        <v>0.35169335958976944</v>
      </c>
    </row>
    <row r="121" spans="1:12">
      <c r="A121" s="2">
        <v>1107</v>
      </c>
      <c r="B121" s="2" t="s">
        <v>238</v>
      </c>
      <c r="C121" s="2">
        <v>1130</v>
      </c>
      <c r="D121" s="2" t="s">
        <v>527</v>
      </c>
      <c r="E121" s="2">
        <v>0</v>
      </c>
      <c r="F121" s="2">
        <v>9.1300000000000006E-2</v>
      </c>
      <c r="G121" s="2">
        <v>0.83040000000000003</v>
      </c>
      <c r="H121" s="2">
        <v>7.8200000000000006E-2</v>
      </c>
      <c r="I121" s="5">
        <f t="shared" si="4"/>
        <v>0.17581249000000004</v>
      </c>
      <c r="J121" s="5">
        <f t="shared" si="5"/>
        <v>0.30008484000000007</v>
      </c>
      <c r="K121" s="5">
        <f t="shared" si="6"/>
        <v>1.6537959999999997E-2</v>
      </c>
      <c r="L121" s="4">
        <f t="shared" si="7"/>
        <v>0.29826266309964655</v>
      </c>
    </row>
    <row r="122" spans="1:12">
      <c r="A122" s="2">
        <v>1107</v>
      </c>
      <c r="B122" s="2" t="s">
        <v>238</v>
      </c>
      <c r="C122" s="2">
        <v>1121</v>
      </c>
      <c r="D122" s="2" t="s">
        <v>66</v>
      </c>
      <c r="E122" s="2">
        <v>0</v>
      </c>
      <c r="F122" s="2">
        <v>9.3700000000000006E-2</v>
      </c>
      <c r="G122" s="2">
        <v>0.84509999999999996</v>
      </c>
      <c r="H122" s="2">
        <v>6.1199999999999997E-2</v>
      </c>
      <c r="I122" s="5">
        <f t="shared" si="4"/>
        <v>0.17380561000000003</v>
      </c>
      <c r="J122" s="5">
        <f t="shared" si="5"/>
        <v>0.31640625</v>
      </c>
      <c r="K122" s="5">
        <f t="shared" si="6"/>
        <v>2.119936E-2</v>
      </c>
      <c r="L122" s="4">
        <f t="shared" si="7"/>
        <v>0.28486978808052021</v>
      </c>
    </row>
    <row r="123" spans="1:12">
      <c r="A123" s="2">
        <v>1107</v>
      </c>
      <c r="B123" s="2" t="s">
        <v>238</v>
      </c>
      <c r="C123" s="2">
        <v>1131</v>
      </c>
      <c r="D123" s="2" t="s">
        <v>428</v>
      </c>
      <c r="E123" s="2">
        <v>0</v>
      </c>
      <c r="F123" s="2">
        <v>0.12839999999999999</v>
      </c>
      <c r="G123" s="2">
        <v>0.64119999999999999</v>
      </c>
      <c r="H123" s="2">
        <v>0.23039999999999999</v>
      </c>
      <c r="I123" s="5">
        <f t="shared" si="4"/>
        <v>0.14607684000000007</v>
      </c>
      <c r="J123" s="5">
        <f t="shared" si="5"/>
        <v>0.12859395999999998</v>
      </c>
      <c r="K123" s="5">
        <f t="shared" si="6"/>
        <v>5.5695999999999914E-4</v>
      </c>
      <c r="L123" s="4">
        <f t="shared" si="7"/>
        <v>0.47537846022108465</v>
      </c>
    </row>
    <row r="124" spans="1:12">
      <c r="A124" s="2">
        <v>1107</v>
      </c>
      <c r="B124" s="2" t="s">
        <v>238</v>
      </c>
      <c r="C124" s="2">
        <v>1132</v>
      </c>
      <c r="D124" s="2" t="s">
        <v>398</v>
      </c>
      <c r="E124" s="2">
        <v>0</v>
      </c>
      <c r="F124" s="2">
        <v>0.17760000000000001</v>
      </c>
      <c r="G124" s="2">
        <v>0.55059999999999998</v>
      </c>
      <c r="H124" s="2">
        <v>0.27179999999999999</v>
      </c>
      <c r="I124" s="5">
        <f t="shared" si="4"/>
        <v>0.11088900000000004</v>
      </c>
      <c r="J124" s="5">
        <f t="shared" si="5"/>
        <v>7.1823999999999985E-2</v>
      </c>
      <c r="K124" s="5">
        <f t="shared" si="6"/>
        <v>4.224999999999997E-3</v>
      </c>
      <c r="L124" s="4">
        <f t="shared" si="7"/>
        <v>0.56763672681412913</v>
      </c>
    </row>
    <row r="125" spans="1:12">
      <c r="A125" s="2">
        <v>1107</v>
      </c>
      <c r="B125" s="2" t="s">
        <v>238</v>
      </c>
      <c r="C125" s="2">
        <v>5477</v>
      </c>
      <c r="D125" s="2" t="s">
        <v>520</v>
      </c>
      <c r="E125" s="2">
        <v>0</v>
      </c>
      <c r="F125" s="2">
        <v>0.1371</v>
      </c>
      <c r="G125" s="2">
        <v>0.77339999999999998</v>
      </c>
      <c r="H125" s="2">
        <v>8.9499999999999996E-2</v>
      </c>
      <c r="I125" s="5">
        <f t="shared" si="4"/>
        <v>0.13950225000000005</v>
      </c>
      <c r="J125" s="5">
        <f t="shared" si="5"/>
        <v>0.24088463999999996</v>
      </c>
      <c r="K125" s="5">
        <f t="shared" si="6"/>
        <v>1.3759290000000004E-2</v>
      </c>
      <c r="L125" s="4">
        <f t="shared" si="7"/>
        <v>0.3721893756872221</v>
      </c>
    </row>
    <row r="126" spans="1:12">
      <c r="A126" s="2">
        <v>1107</v>
      </c>
      <c r="B126" s="2" t="s">
        <v>238</v>
      </c>
      <c r="C126" s="2">
        <v>1133</v>
      </c>
      <c r="D126" s="2" t="s">
        <v>485</v>
      </c>
      <c r="E126" s="2">
        <v>0</v>
      </c>
      <c r="F126" s="2">
        <v>0.1071</v>
      </c>
      <c r="G126" s="2">
        <v>0.73419999999999996</v>
      </c>
      <c r="H126" s="2">
        <v>0.15870000000000001</v>
      </c>
      <c r="I126" s="5">
        <f t="shared" si="4"/>
        <v>0.16281225000000007</v>
      </c>
      <c r="J126" s="5">
        <f t="shared" si="5"/>
        <v>0.20394255999999994</v>
      </c>
      <c r="K126" s="5">
        <f t="shared" si="6"/>
        <v>2.3136100000000002E-3</v>
      </c>
      <c r="L126" s="4">
        <f t="shared" si="7"/>
        <v>0.39248998362166898</v>
      </c>
    </row>
    <row r="127" spans="1:12">
      <c r="A127" s="2">
        <v>1107</v>
      </c>
      <c r="B127" s="2" t="s">
        <v>238</v>
      </c>
      <c r="C127" s="2">
        <v>1134</v>
      </c>
      <c r="D127" s="2" t="s">
        <v>492</v>
      </c>
      <c r="E127" s="2">
        <v>0</v>
      </c>
      <c r="F127" s="2">
        <v>9.5500000000000002E-2</v>
      </c>
      <c r="G127" s="2">
        <v>0.76039999999999996</v>
      </c>
      <c r="H127" s="2">
        <v>0.14410000000000001</v>
      </c>
      <c r="I127" s="5">
        <f t="shared" si="4"/>
        <v>0.17230801000000001</v>
      </c>
      <c r="J127" s="5">
        <f t="shared" si="5"/>
        <v>0.22829283999999994</v>
      </c>
      <c r="K127" s="5">
        <f t="shared" si="6"/>
        <v>3.9312900000000005E-3</v>
      </c>
      <c r="L127" s="4">
        <f t="shared" si="7"/>
        <v>0.36397158868490798</v>
      </c>
    </row>
    <row r="128" spans="1:12">
      <c r="A128" s="2">
        <v>1107</v>
      </c>
      <c r="B128" s="2" t="s">
        <v>238</v>
      </c>
      <c r="C128" s="2">
        <v>1135</v>
      </c>
      <c r="D128" s="2" t="s">
        <v>518</v>
      </c>
      <c r="E128" s="2">
        <v>0</v>
      </c>
      <c r="F128" s="2">
        <v>8.7499999999999994E-2</v>
      </c>
      <c r="G128" s="2">
        <v>0.81989999999999996</v>
      </c>
      <c r="H128" s="2">
        <v>9.2600000000000002E-2</v>
      </c>
      <c r="I128" s="5">
        <f t="shared" si="4"/>
        <v>0.17901361000000002</v>
      </c>
      <c r="J128" s="5">
        <f t="shared" si="5"/>
        <v>0.28869128999999988</v>
      </c>
      <c r="K128" s="5">
        <f t="shared" si="6"/>
        <v>1.3041640000000002E-2</v>
      </c>
      <c r="L128" s="4">
        <f t="shared" si="7"/>
        <v>0.30664111745792144</v>
      </c>
    </row>
    <row r="129" spans="1:12">
      <c r="A129" s="2">
        <v>1107</v>
      </c>
      <c r="B129" s="2" t="s">
        <v>238</v>
      </c>
      <c r="C129" s="2">
        <v>1138</v>
      </c>
      <c r="D129" s="2" t="s">
        <v>206</v>
      </c>
      <c r="E129" s="2">
        <v>0</v>
      </c>
      <c r="F129" s="2">
        <v>0.5071</v>
      </c>
      <c r="G129" s="2">
        <v>0.29010000000000002</v>
      </c>
      <c r="H129" s="2">
        <v>0.20280000000000001</v>
      </c>
      <c r="I129" s="5">
        <f t="shared" si="4"/>
        <v>1.225000000000041E-5</v>
      </c>
      <c r="J129" s="5">
        <f t="shared" si="5"/>
        <v>5.62500000000001E-5</v>
      </c>
      <c r="K129" s="5">
        <f t="shared" si="6"/>
        <v>1.600000000000003E-5</v>
      </c>
      <c r="L129" s="4">
        <f t="shared" si="7"/>
        <v>0.99080761184457489</v>
      </c>
    </row>
    <row r="130" spans="1:12">
      <c r="A130" s="2">
        <v>1107</v>
      </c>
      <c r="B130" s="2" t="s">
        <v>238</v>
      </c>
      <c r="C130" s="2">
        <v>1139</v>
      </c>
      <c r="D130" s="2" t="s">
        <v>255</v>
      </c>
      <c r="E130" s="2">
        <v>0</v>
      </c>
      <c r="F130" s="2">
        <v>0.27950000000000003</v>
      </c>
      <c r="G130" s="2">
        <v>0.39610000000000001</v>
      </c>
      <c r="H130" s="2">
        <v>0.32450000000000001</v>
      </c>
      <c r="I130" s="5">
        <f t="shared" ref="I130:I193" si="8">(F130-0.5106)^2</f>
        <v>5.3407210000000011E-2</v>
      </c>
      <c r="J130" s="5">
        <f t="shared" ref="J130:J193" si="9">(G130-0.2826)^2</f>
        <v>1.2882249999999998E-2</v>
      </c>
      <c r="K130" s="5">
        <f t="shared" ref="K130:K193" si="10">(H130-0.2068)^2</f>
        <v>1.3853289999999999E-2</v>
      </c>
      <c r="L130" s="4">
        <f t="shared" ref="L130:L193" si="11">1-(SQRT(I130+J130+K130))</f>
        <v>0.71690505126371473</v>
      </c>
    </row>
    <row r="131" spans="1:12">
      <c r="A131" s="2">
        <v>1107</v>
      </c>
      <c r="B131" s="2" t="s">
        <v>238</v>
      </c>
      <c r="C131" s="2">
        <v>1140</v>
      </c>
      <c r="D131" s="2" t="s">
        <v>290</v>
      </c>
      <c r="E131" s="2">
        <v>0</v>
      </c>
      <c r="F131" s="2">
        <v>9.4899999999999998E-2</v>
      </c>
      <c r="G131" s="2">
        <v>0.54569999999999996</v>
      </c>
      <c r="H131" s="2">
        <v>0.35949999999999999</v>
      </c>
      <c r="I131" s="5">
        <f t="shared" si="8"/>
        <v>0.17280649000000006</v>
      </c>
      <c r="J131" s="5">
        <f t="shared" si="9"/>
        <v>6.9221609999999975E-2</v>
      </c>
      <c r="K131" s="5">
        <f t="shared" si="10"/>
        <v>2.3317289999999991E-2</v>
      </c>
      <c r="L131" s="4">
        <f t="shared" si="11"/>
        <v>0.48488312976568126</v>
      </c>
    </row>
    <row r="132" spans="1:12">
      <c r="A132" s="2">
        <v>1107</v>
      </c>
      <c r="B132" s="2" t="s">
        <v>238</v>
      </c>
      <c r="C132" s="2">
        <v>1141</v>
      </c>
      <c r="D132" s="2" t="s">
        <v>439</v>
      </c>
      <c r="E132" s="2">
        <v>0</v>
      </c>
      <c r="F132" s="2">
        <v>0.18160000000000001</v>
      </c>
      <c r="G132" s="2">
        <v>0.59899999999999998</v>
      </c>
      <c r="H132" s="2">
        <v>0.21940000000000001</v>
      </c>
      <c r="I132" s="5">
        <f t="shared" si="8"/>
        <v>0.10824100000000005</v>
      </c>
      <c r="J132" s="5">
        <f t="shared" si="9"/>
        <v>0.10010895999999997</v>
      </c>
      <c r="K132" s="5">
        <f t="shared" si="10"/>
        <v>1.5876E-4</v>
      </c>
      <c r="L132" s="4">
        <f t="shared" si="11"/>
        <v>0.54337244936381679</v>
      </c>
    </row>
    <row r="133" spans="1:12">
      <c r="A133" s="2">
        <v>870</v>
      </c>
      <c r="B133" s="2" t="s">
        <v>16</v>
      </c>
      <c r="C133" s="2">
        <v>873</v>
      </c>
      <c r="D133" s="2" t="s">
        <v>17</v>
      </c>
      <c r="E133" s="2">
        <v>0</v>
      </c>
      <c r="F133" s="2">
        <v>0.11559999999999999</v>
      </c>
      <c r="G133" s="2">
        <v>7.1900000000000006E-2</v>
      </c>
      <c r="H133" s="2">
        <v>0.8125</v>
      </c>
      <c r="I133" s="5">
        <f t="shared" si="8"/>
        <v>0.15602500000000005</v>
      </c>
      <c r="J133" s="5">
        <f t="shared" si="9"/>
        <v>4.4394490000000002E-2</v>
      </c>
      <c r="K133" s="5">
        <f t="shared" si="10"/>
        <v>0.36687249</v>
      </c>
      <c r="L133" s="4">
        <f t="shared" si="11"/>
        <v>0.24681212171198608</v>
      </c>
    </row>
    <row r="134" spans="1:12">
      <c r="A134" s="2">
        <v>870</v>
      </c>
      <c r="B134" s="2" t="s">
        <v>16</v>
      </c>
      <c r="C134" s="2">
        <v>874</v>
      </c>
      <c r="D134" s="2" t="s">
        <v>24</v>
      </c>
      <c r="E134" s="2">
        <v>0</v>
      </c>
      <c r="F134" s="2">
        <v>3.9800000000000002E-2</v>
      </c>
      <c r="G134" s="2">
        <v>0.16270000000000001</v>
      </c>
      <c r="H134" s="2">
        <v>0.7974</v>
      </c>
      <c r="I134" s="5">
        <f t="shared" si="8"/>
        <v>0.22165264000000004</v>
      </c>
      <c r="J134" s="5">
        <f t="shared" si="9"/>
        <v>1.4376010000000002E-2</v>
      </c>
      <c r="K134" s="5">
        <f t="shared" si="10"/>
        <v>0.34880836000000004</v>
      </c>
      <c r="L134" s="4">
        <f t="shared" si="11"/>
        <v>0.23525363027994695</v>
      </c>
    </row>
    <row r="135" spans="1:12">
      <c r="A135" s="2">
        <v>185700</v>
      </c>
      <c r="B135" s="2" t="s">
        <v>442</v>
      </c>
      <c r="C135" s="2">
        <v>185700</v>
      </c>
      <c r="D135" s="2" t="s">
        <v>442</v>
      </c>
      <c r="E135" s="2">
        <v>1</v>
      </c>
      <c r="F135" s="2">
        <v>0.59340000000000004</v>
      </c>
      <c r="G135" s="2">
        <v>0.19070000000000001</v>
      </c>
      <c r="H135" s="2">
        <v>0.21590000000000001</v>
      </c>
      <c r="I135" s="5">
        <f t="shared" si="8"/>
        <v>6.8558399999999976E-3</v>
      </c>
      <c r="J135" s="5">
        <f t="shared" si="9"/>
        <v>8.445610000000001E-3</v>
      </c>
      <c r="K135" s="5">
        <f t="shared" si="10"/>
        <v>8.2809999999999947E-5</v>
      </c>
      <c r="L135" s="4">
        <f t="shared" si="11"/>
        <v>0.8759666980202494</v>
      </c>
    </row>
    <row r="136" spans="1:12">
      <c r="A136" s="2">
        <v>165614</v>
      </c>
      <c r="B136" s="2" t="s">
        <v>165</v>
      </c>
      <c r="C136" s="2">
        <v>165614</v>
      </c>
      <c r="D136" s="2" t="s">
        <v>165</v>
      </c>
      <c r="E136" s="2">
        <v>1</v>
      </c>
      <c r="F136" s="2">
        <v>0.3352</v>
      </c>
      <c r="G136" s="2">
        <v>0.19089999999999999</v>
      </c>
      <c r="H136" s="2">
        <v>0.47389999999999999</v>
      </c>
      <c r="I136" s="5">
        <f t="shared" si="8"/>
        <v>3.0765160000000021E-2</v>
      </c>
      <c r="J136" s="5">
        <f t="shared" si="9"/>
        <v>8.4088900000000057E-3</v>
      </c>
      <c r="K136" s="5">
        <f t="shared" si="10"/>
        <v>7.1342410000000009E-2</v>
      </c>
      <c r="L136" s="4">
        <f t="shared" si="11"/>
        <v>0.66755983997116108</v>
      </c>
    </row>
    <row r="137" spans="1:12">
      <c r="A137" s="2">
        <v>125577</v>
      </c>
      <c r="B137" s="2" t="s">
        <v>125</v>
      </c>
      <c r="C137" s="2">
        <v>125577</v>
      </c>
      <c r="D137" s="2" t="s">
        <v>125</v>
      </c>
      <c r="E137" s="2">
        <v>1</v>
      </c>
      <c r="F137" s="2">
        <v>0.42309999999999998</v>
      </c>
      <c r="G137" s="2">
        <v>5.0299999999999997E-2</v>
      </c>
      <c r="H137" s="2">
        <v>0.52659999999999996</v>
      </c>
      <c r="I137" s="5">
        <f t="shared" si="8"/>
        <v>7.6562500000000137E-3</v>
      </c>
      <c r="J137" s="5">
        <f t="shared" si="9"/>
        <v>5.3963290000000004E-2</v>
      </c>
      <c r="K137" s="5">
        <f t="shared" si="10"/>
        <v>0.10227203999999998</v>
      </c>
      <c r="L137" s="4">
        <f t="shared" si="11"/>
        <v>0.5951647495585396</v>
      </c>
    </row>
    <row r="138" spans="1:12">
      <c r="A138" s="2">
        <v>185872</v>
      </c>
      <c r="B138" s="2" t="s">
        <v>145</v>
      </c>
      <c r="C138" s="2">
        <v>185872</v>
      </c>
      <c r="D138" s="2" t="s">
        <v>145</v>
      </c>
      <c r="E138" s="2">
        <v>1</v>
      </c>
      <c r="F138" s="2">
        <v>0.3931</v>
      </c>
      <c r="G138" s="2">
        <v>0.1123</v>
      </c>
      <c r="H138" s="2">
        <v>0.49459999999999998</v>
      </c>
      <c r="I138" s="5">
        <f t="shared" si="8"/>
        <v>1.3806250000000011E-2</v>
      </c>
      <c r="J138" s="5">
        <f t="shared" si="9"/>
        <v>2.9002090000000001E-2</v>
      </c>
      <c r="K138" s="5">
        <f t="shared" si="10"/>
        <v>8.2828839999999973E-2</v>
      </c>
      <c r="L138" s="4">
        <f t="shared" si="11"/>
        <v>0.64554664622830837</v>
      </c>
    </row>
    <row r="139" spans="1:12">
      <c r="A139" s="2">
        <v>1222</v>
      </c>
      <c r="B139" s="2" t="s">
        <v>180</v>
      </c>
      <c r="C139" s="2">
        <v>1224</v>
      </c>
      <c r="D139" s="2" t="s">
        <v>310</v>
      </c>
      <c r="E139" s="2">
        <v>0</v>
      </c>
      <c r="F139" s="2">
        <v>0.2472</v>
      </c>
      <c r="G139" s="2">
        <v>0.40229999999999999</v>
      </c>
      <c r="H139" s="2">
        <v>0.35049999999999998</v>
      </c>
      <c r="I139" s="5">
        <f t="shared" si="8"/>
        <v>6.9379560000000035E-2</v>
      </c>
      <c r="J139" s="5">
        <f t="shared" si="9"/>
        <v>1.4328089999999993E-2</v>
      </c>
      <c r="K139" s="5">
        <f t="shared" si="10"/>
        <v>2.0649689999999991E-2</v>
      </c>
      <c r="L139" s="4">
        <f t="shared" si="11"/>
        <v>0.6769561330097722</v>
      </c>
    </row>
    <row r="140" spans="1:12">
      <c r="A140" s="2">
        <v>1222</v>
      </c>
      <c r="B140" s="2" t="s">
        <v>180</v>
      </c>
      <c r="C140" s="2">
        <v>180611</v>
      </c>
      <c r="D140" s="2" t="s">
        <v>181</v>
      </c>
      <c r="E140" s="2">
        <v>0</v>
      </c>
      <c r="F140" s="2">
        <v>0.45329999999999998</v>
      </c>
      <c r="G140" s="2">
        <v>8.7499999999999994E-2</v>
      </c>
      <c r="H140" s="2">
        <v>0.4592</v>
      </c>
      <c r="I140" s="5">
        <f t="shared" si="8"/>
        <v>3.2832900000000086E-3</v>
      </c>
      <c r="J140" s="5">
        <f t="shared" si="9"/>
        <v>3.8064010000000009E-2</v>
      </c>
      <c r="K140" s="5">
        <f t="shared" si="10"/>
        <v>6.3705759999999972E-2</v>
      </c>
      <c r="L140" s="4">
        <f t="shared" si="11"/>
        <v>0.67588110206283869</v>
      </c>
    </row>
    <row r="141" spans="1:12">
      <c r="A141" s="2">
        <v>1222</v>
      </c>
      <c r="B141" s="2" t="s">
        <v>180</v>
      </c>
      <c r="C141" s="2">
        <v>1225</v>
      </c>
      <c r="D141" s="2" t="s">
        <v>159</v>
      </c>
      <c r="E141" s="2">
        <v>0</v>
      </c>
      <c r="F141" s="2">
        <v>0.30559999999999998</v>
      </c>
      <c r="G141" s="2">
        <v>0.27579999999999999</v>
      </c>
      <c r="H141" s="2">
        <v>0.41860000000000003</v>
      </c>
      <c r="I141" s="5">
        <f t="shared" si="8"/>
        <v>4.2025000000000028E-2</v>
      </c>
      <c r="J141" s="5">
        <f t="shared" si="9"/>
        <v>4.6240000000000384E-5</v>
      </c>
      <c r="K141" s="5">
        <f t="shared" si="10"/>
        <v>4.4859240000000009E-2</v>
      </c>
      <c r="L141" s="4">
        <f t="shared" si="11"/>
        <v>0.70516024691368351</v>
      </c>
    </row>
    <row r="142" spans="1:12">
      <c r="A142" s="2">
        <v>1222</v>
      </c>
      <c r="B142" s="2" t="s">
        <v>180</v>
      </c>
      <c r="C142" s="2">
        <v>180612</v>
      </c>
      <c r="D142" s="2" t="s">
        <v>472</v>
      </c>
      <c r="E142" s="2">
        <v>0</v>
      </c>
      <c r="F142" s="2">
        <v>0.12479999999999999</v>
      </c>
      <c r="G142" s="2">
        <v>0.6996</v>
      </c>
      <c r="H142" s="2">
        <v>0.17560000000000001</v>
      </c>
      <c r="I142" s="5">
        <f t="shared" si="8"/>
        <v>0.14884164000000003</v>
      </c>
      <c r="J142" s="5">
        <f t="shared" si="9"/>
        <v>0.17388899999999999</v>
      </c>
      <c r="K142" s="5">
        <f t="shared" si="10"/>
        <v>9.7344000000000033E-4</v>
      </c>
      <c r="L142" s="4">
        <f t="shared" si="11"/>
        <v>0.43105001977326685</v>
      </c>
    </row>
    <row r="143" spans="1:12">
      <c r="A143" s="2">
        <v>1222</v>
      </c>
      <c r="B143" s="2" t="s">
        <v>180</v>
      </c>
      <c r="C143" s="2">
        <v>1226</v>
      </c>
      <c r="D143" s="2" t="s">
        <v>466</v>
      </c>
      <c r="E143" s="2">
        <v>0</v>
      </c>
      <c r="F143" s="2">
        <v>0.1275</v>
      </c>
      <c r="G143" s="2">
        <v>0.68930000000000002</v>
      </c>
      <c r="H143" s="2">
        <v>0.1832</v>
      </c>
      <c r="I143" s="5">
        <f t="shared" si="8"/>
        <v>0.14676561000000005</v>
      </c>
      <c r="J143" s="5">
        <f t="shared" si="9"/>
        <v>0.16540489</v>
      </c>
      <c r="K143" s="5">
        <f t="shared" si="10"/>
        <v>5.5696000000000044E-4</v>
      </c>
      <c r="L143" s="4">
        <f t="shared" si="11"/>
        <v>0.44077959622345675</v>
      </c>
    </row>
    <row r="144" spans="1:12">
      <c r="A144" s="2">
        <v>1222</v>
      </c>
      <c r="B144" s="2" t="s">
        <v>180</v>
      </c>
      <c r="C144" s="2">
        <v>186041</v>
      </c>
      <c r="D144" s="2" t="s">
        <v>423</v>
      </c>
      <c r="E144" s="2">
        <v>0</v>
      </c>
      <c r="F144" s="2">
        <v>0.2999</v>
      </c>
      <c r="G144" s="2">
        <v>0.4632</v>
      </c>
      <c r="H144" s="2">
        <v>0.2369</v>
      </c>
      <c r="I144" s="5">
        <f t="shared" si="8"/>
        <v>4.4394490000000023E-2</v>
      </c>
      <c r="J144" s="5">
        <f t="shared" si="9"/>
        <v>3.2616359999999997E-2</v>
      </c>
      <c r="K144" s="5">
        <f t="shared" si="10"/>
        <v>9.060099999999993E-4</v>
      </c>
      <c r="L144" s="4">
        <f t="shared" si="11"/>
        <v>0.72086408328557927</v>
      </c>
    </row>
    <row r="145" spans="1:12">
      <c r="A145" s="2">
        <v>1222</v>
      </c>
      <c r="B145" s="2" t="s">
        <v>180</v>
      </c>
      <c r="C145" s="2">
        <v>1231</v>
      </c>
      <c r="D145" s="2" t="s">
        <v>372</v>
      </c>
      <c r="E145" s="2">
        <v>0</v>
      </c>
      <c r="F145" s="2">
        <v>0.17469999999999999</v>
      </c>
      <c r="G145" s="2">
        <v>0.53390000000000004</v>
      </c>
      <c r="H145" s="2">
        <v>0.29139999999999999</v>
      </c>
      <c r="I145" s="5">
        <f t="shared" si="8"/>
        <v>0.11282881000000006</v>
      </c>
      <c r="J145" s="5">
        <f t="shared" si="9"/>
        <v>6.315169000000001E-2</v>
      </c>
      <c r="K145" s="5">
        <f t="shared" si="10"/>
        <v>7.1571599999999966E-3</v>
      </c>
      <c r="L145" s="4">
        <f t="shared" si="11"/>
        <v>0.57205413893811285</v>
      </c>
    </row>
    <row r="146" spans="1:12">
      <c r="A146" s="2">
        <v>1222</v>
      </c>
      <c r="B146" s="2" t="s">
        <v>180</v>
      </c>
      <c r="C146" s="2">
        <v>1232</v>
      </c>
      <c r="D146" s="2" t="s">
        <v>379</v>
      </c>
      <c r="E146" s="2">
        <v>0</v>
      </c>
      <c r="F146" s="2">
        <v>0.3095</v>
      </c>
      <c r="G146" s="2">
        <v>0.40620000000000001</v>
      </c>
      <c r="H146" s="2">
        <v>0.2843</v>
      </c>
      <c r="I146" s="5">
        <f t="shared" si="8"/>
        <v>4.0441210000000026E-2</v>
      </c>
      <c r="J146" s="5">
        <f t="shared" si="9"/>
        <v>1.5276959999999997E-2</v>
      </c>
      <c r="K146" s="5">
        <f t="shared" si="10"/>
        <v>6.0062499999999977E-3</v>
      </c>
      <c r="L146" s="4">
        <f t="shared" si="11"/>
        <v>0.75155600228622943</v>
      </c>
    </row>
    <row r="147" spans="1:12">
      <c r="A147" s="2">
        <v>1222</v>
      </c>
      <c r="B147" s="2" t="s">
        <v>180</v>
      </c>
      <c r="C147" s="2">
        <v>45549</v>
      </c>
      <c r="D147" s="2" t="s">
        <v>478</v>
      </c>
      <c r="E147" s="2">
        <v>0</v>
      </c>
      <c r="F147" s="2">
        <v>0.13669999999999999</v>
      </c>
      <c r="G147" s="2">
        <v>0.69589999999999996</v>
      </c>
      <c r="H147" s="2">
        <v>0.16739999999999999</v>
      </c>
      <c r="I147" s="5">
        <f t="shared" si="8"/>
        <v>0.13980121000000004</v>
      </c>
      <c r="J147" s="5">
        <f t="shared" si="9"/>
        <v>0.17081688999999994</v>
      </c>
      <c r="K147" s="5">
        <f t="shared" si="10"/>
        <v>1.5523600000000015E-3</v>
      </c>
      <c r="L147" s="4">
        <f t="shared" si="11"/>
        <v>0.44127783290798284</v>
      </c>
    </row>
    <row r="148" spans="1:12">
      <c r="A148" s="2">
        <v>1222</v>
      </c>
      <c r="B148" s="2" t="s">
        <v>180</v>
      </c>
      <c r="C148" s="2">
        <v>1233</v>
      </c>
      <c r="D148" s="2" t="s">
        <v>448</v>
      </c>
      <c r="E148" s="2">
        <v>0</v>
      </c>
      <c r="F148" s="2">
        <v>0.1983</v>
      </c>
      <c r="G148" s="2">
        <v>0.59360000000000002</v>
      </c>
      <c r="H148" s="2">
        <v>0.20810000000000001</v>
      </c>
      <c r="I148" s="5">
        <f t="shared" si="8"/>
        <v>9.753129000000002E-2</v>
      </c>
      <c r="J148" s="5">
        <f t="shared" si="9"/>
        <v>9.6721000000000001E-2</v>
      </c>
      <c r="K148" s="5">
        <f t="shared" si="10"/>
        <v>1.6899999999999885E-6</v>
      </c>
      <c r="L148" s="4">
        <f t="shared" si="11"/>
        <v>0.55925746744839788</v>
      </c>
    </row>
    <row r="149" spans="1:12">
      <c r="A149" s="2">
        <v>1222</v>
      </c>
      <c r="B149" s="2" t="s">
        <v>180</v>
      </c>
      <c r="C149" s="2">
        <v>1234</v>
      </c>
      <c r="D149" s="2" t="s">
        <v>477</v>
      </c>
      <c r="E149" s="2">
        <v>0</v>
      </c>
      <c r="F149" s="2">
        <v>0.15659999999999999</v>
      </c>
      <c r="G149" s="2">
        <v>0.67390000000000005</v>
      </c>
      <c r="H149" s="2">
        <v>0.1694</v>
      </c>
      <c r="I149" s="5">
        <f t="shared" si="8"/>
        <v>0.12531600000000007</v>
      </c>
      <c r="J149" s="5">
        <f t="shared" si="9"/>
        <v>0.15311569000000003</v>
      </c>
      <c r="K149" s="5">
        <f t="shared" si="10"/>
        <v>1.3987600000000013E-3</v>
      </c>
      <c r="L149" s="4">
        <f t="shared" si="11"/>
        <v>0.47100997173859682</v>
      </c>
    </row>
    <row r="150" spans="1:12">
      <c r="A150" s="2">
        <v>1222</v>
      </c>
      <c r="B150" s="2" t="s">
        <v>180</v>
      </c>
      <c r="C150" s="2">
        <v>1235</v>
      </c>
      <c r="D150" s="2" t="s">
        <v>255</v>
      </c>
      <c r="E150" s="2">
        <v>0</v>
      </c>
      <c r="F150" s="2">
        <v>0.37659999999999999</v>
      </c>
      <c r="G150" s="2">
        <v>0.38900000000000001</v>
      </c>
      <c r="H150" s="2">
        <v>0.2344</v>
      </c>
      <c r="I150" s="5">
        <f t="shared" si="8"/>
        <v>1.7956000000000017E-2</v>
      </c>
      <c r="J150" s="5">
        <f t="shared" si="9"/>
        <v>1.132096E-2</v>
      </c>
      <c r="K150" s="5">
        <f t="shared" si="10"/>
        <v>7.6175999999999924E-4</v>
      </c>
      <c r="L150" s="4">
        <f t="shared" si="11"/>
        <v>0.82668318027381182</v>
      </c>
    </row>
    <row r="151" spans="1:12">
      <c r="A151" s="2">
        <v>1222</v>
      </c>
      <c r="B151" s="2" t="s">
        <v>180</v>
      </c>
      <c r="C151" s="2">
        <v>1236</v>
      </c>
      <c r="D151" s="2" t="s">
        <v>435</v>
      </c>
      <c r="E151" s="2">
        <v>0</v>
      </c>
      <c r="F151" s="2">
        <v>0.41549999999999998</v>
      </c>
      <c r="G151" s="2">
        <v>0.36</v>
      </c>
      <c r="H151" s="2">
        <v>0.22450000000000001</v>
      </c>
      <c r="I151" s="5">
        <f t="shared" si="8"/>
        <v>9.0440100000000138E-3</v>
      </c>
      <c r="J151" s="5">
        <f t="shared" si="9"/>
        <v>5.9907599999999952E-3</v>
      </c>
      <c r="K151" s="5">
        <f t="shared" si="10"/>
        <v>3.1328999999999976E-4</v>
      </c>
      <c r="L151" s="4">
        <f t="shared" si="11"/>
        <v>0.87611271251657818</v>
      </c>
    </row>
    <row r="152" spans="1:12">
      <c r="A152" s="2">
        <v>185871</v>
      </c>
      <c r="B152" s="2" t="s">
        <v>524</v>
      </c>
      <c r="C152" s="2">
        <v>185871</v>
      </c>
      <c r="D152" s="2" t="s">
        <v>524</v>
      </c>
      <c r="E152" s="2">
        <v>1</v>
      </c>
      <c r="F152" s="2">
        <v>0.79800000000000004</v>
      </c>
      <c r="G152" s="2">
        <v>0.1176</v>
      </c>
      <c r="H152" s="2">
        <v>8.4400000000000003E-2</v>
      </c>
      <c r="I152" s="5">
        <f t="shared" si="8"/>
        <v>8.2598759999999993E-2</v>
      </c>
      <c r="J152" s="5">
        <f t="shared" si="9"/>
        <v>2.7225000000000013E-2</v>
      </c>
      <c r="K152" s="5">
        <f t="shared" si="10"/>
        <v>1.4981760000000002E-2</v>
      </c>
      <c r="L152" s="4">
        <f t="shared" si="11"/>
        <v>0.64672175272173915</v>
      </c>
    </row>
    <row r="153" spans="1:12">
      <c r="A153" s="2">
        <v>865</v>
      </c>
      <c r="B153" s="2" t="s">
        <v>3</v>
      </c>
      <c r="C153" s="2">
        <v>867</v>
      </c>
      <c r="D153" s="2" t="s">
        <v>65</v>
      </c>
      <c r="E153" s="2">
        <v>0</v>
      </c>
      <c r="F153" s="2">
        <v>7.2999999999999995E-2</v>
      </c>
      <c r="G153" s="2">
        <v>0.30480000000000002</v>
      </c>
      <c r="H153" s="2">
        <v>0.62219999999999998</v>
      </c>
      <c r="I153" s="5">
        <f t="shared" si="8"/>
        <v>0.19149376000000004</v>
      </c>
      <c r="J153" s="5">
        <f t="shared" si="9"/>
        <v>4.9283999999999992E-4</v>
      </c>
      <c r="K153" s="5">
        <f t="shared" si="10"/>
        <v>0.17255715999999999</v>
      </c>
      <c r="L153" s="4">
        <f t="shared" si="11"/>
        <v>0.39622540629801262</v>
      </c>
    </row>
    <row r="154" spans="1:12">
      <c r="A154" s="2">
        <v>865</v>
      </c>
      <c r="B154" s="2" t="s">
        <v>3</v>
      </c>
      <c r="C154" s="2">
        <v>868</v>
      </c>
      <c r="D154" s="2" t="s">
        <v>4</v>
      </c>
      <c r="E154" s="2">
        <v>0</v>
      </c>
      <c r="F154" s="2">
        <v>3.5900000000000001E-2</v>
      </c>
      <c r="G154" s="2">
        <v>1E-3</v>
      </c>
      <c r="H154" s="2">
        <v>0.96309999999999996</v>
      </c>
      <c r="I154" s="5">
        <f t="shared" si="8"/>
        <v>0.22534009000000008</v>
      </c>
      <c r="J154" s="5">
        <f t="shared" si="9"/>
        <v>7.9298560000000004E-2</v>
      </c>
      <c r="K154" s="5">
        <f t="shared" si="10"/>
        <v>0.57198969</v>
      </c>
      <c r="L154" s="4">
        <f t="shared" si="11"/>
        <v>6.3715673526465455E-2</v>
      </c>
    </row>
    <row r="155" spans="1:12">
      <c r="A155" s="2">
        <v>856</v>
      </c>
      <c r="B155" s="2" t="s">
        <v>467</v>
      </c>
      <c r="C155" s="2">
        <v>860</v>
      </c>
      <c r="D155" s="2" t="s">
        <v>506</v>
      </c>
      <c r="E155" s="2">
        <v>0</v>
      </c>
      <c r="F155" s="2">
        <v>0.41510000000000002</v>
      </c>
      <c r="G155" s="2">
        <v>0.46610000000000001</v>
      </c>
      <c r="H155" s="2">
        <v>0.1188</v>
      </c>
      <c r="I155" s="5">
        <f t="shared" si="8"/>
        <v>9.1202500000000051E-3</v>
      </c>
      <c r="J155" s="5">
        <f t="shared" si="9"/>
        <v>3.3672250000000001E-2</v>
      </c>
      <c r="K155" s="5">
        <f t="shared" si="10"/>
        <v>7.7440000000000018E-3</v>
      </c>
      <c r="L155" s="4">
        <f t="shared" si="11"/>
        <v>0.77519675269249333</v>
      </c>
    </row>
    <row r="156" spans="1:12">
      <c r="A156" s="2">
        <v>856</v>
      </c>
      <c r="B156" s="2" t="s">
        <v>467</v>
      </c>
      <c r="C156" s="2">
        <v>859</v>
      </c>
      <c r="D156" s="2" t="s">
        <v>510</v>
      </c>
      <c r="E156" s="2">
        <v>0</v>
      </c>
      <c r="F156" s="2">
        <v>0.12759999999999999</v>
      </c>
      <c r="G156" s="2">
        <v>0.76680000000000004</v>
      </c>
      <c r="H156" s="2">
        <v>0.1056</v>
      </c>
      <c r="I156" s="5">
        <f t="shared" si="8"/>
        <v>0.14668900000000004</v>
      </c>
      <c r="J156" s="5">
        <f t="shared" si="9"/>
        <v>0.23444964000000001</v>
      </c>
      <c r="K156" s="5">
        <f t="shared" si="10"/>
        <v>1.0241440000000003E-2</v>
      </c>
      <c r="L156" s="4">
        <f t="shared" si="11"/>
        <v>0.37439622763285696</v>
      </c>
    </row>
    <row r="157" spans="1:12">
      <c r="A157" s="2">
        <v>856</v>
      </c>
      <c r="B157" s="2" t="s">
        <v>467</v>
      </c>
      <c r="C157" s="2">
        <v>858</v>
      </c>
      <c r="D157" s="2" t="s">
        <v>537</v>
      </c>
      <c r="E157" s="2">
        <v>0</v>
      </c>
      <c r="F157" s="2">
        <v>0.30409999999999998</v>
      </c>
      <c r="G157" s="2">
        <v>0.65869999999999995</v>
      </c>
      <c r="H157" s="2">
        <v>3.7199999999999997E-2</v>
      </c>
      <c r="I157" s="5">
        <f t="shared" si="8"/>
        <v>4.2642250000000027E-2</v>
      </c>
      <c r="J157" s="5">
        <f t="shared" si="9"/>
        <v>0.14145120999999994</v>
      </c>
      <c r="K157" s="5">
        <f t="shared" si="10"/>
        <v>2.8764160000000011E-2</v>
      </c>
      <c r="L157" s="4">
        <f t="shared" si="11"/>
        <v>0.53863504684469155</v>
      </c>
    </row>
    <row r="158" spans="1:12">
      <c r="A158" s="2">
        <v>856</v>
      </c>
      <c r="B158" s="2" t="s">
        <v>467</v>
      </c>
      <c r="C158" s="2">
        <v>20530</v>
      </c>
      <c r="D158" s="2" t="s">
        <v>468</v>
      </c>
      <c r="E158" s="2">
        <v>0</v>
      </c>
      <c r="F158" s="2">
        <v>0.35599999999999998</v>
      </c>
      <c r="G158" s="2">
        <v>0.46289999999999998</v>
      </c>
      <c r="H158" s="2">
        <v>0.18110000000000001</v>
      </c>
      <c r="I158" s="5">
        <f t="shared" si="8"/>
        <v>2.3901160000000022E-2</v>
      </c>
      <c r="J158" s="5">
        <f t="shared" si="9"/>
        <v>3.2508089999999983E-2</v>
      </c>
      <c r="K158" s="5">
        <f t="shared" si="10"/>
        <v>6.6049000000000001E-4</v>
      </c>
      <c r="L158" s="4">
        <f t="shared" si="11"/>
        <v>0.76110726256330019</v>
      </c>
    </row>
    <row r="159" spans="1:12">
      <c r="A159" s="2">
        <v>186114</v>
      </c>
      <c r="B159" s="2" t="s">
        <v>178</v>
      </c>
      <c r="C159" s="2">
        <v>186114</v>
      </c>
      <c r="D159" s="2" t="s">
        <v>178</v>
      </c>
      <c r="E159" s="2">
        <v>1</v>
      </c>
      <c r="F159" s="2">
        <v>0.44280000000000003</v>
      </c>
      <c r="G159" s="2">
        <v>9.7799999999999998E-2</v>
      </c>
      <c r="H159" s="2">
        <v>0.45939999999999998</v>
      </c>
      <c r="I159" s="5">
        <f t="shared" si="8"/>
        <v>4.5968400000000039E-3</v>
      </c>
      <c r="J159" s="5">
        <f t="shared" si="9"/>
        <v>3.4151040000000008E-2</v>
      </c>
      <c r="K159" s="5">
        <f t="shared" si="10"/>
        <v>6.3806759999999962E-2</v>
      </c>
      <c r="L159" s="4">
        <f t="shared" si="11"/>
        <v>0.67975846615406055</v>
      </c>
    </row>
    <row r="160" spans="1:12">
      <c r="A160" s="2">
        <v>185847</v>
      </c>
      <c r="B160" s="2" t="s">
        <v>184</v>
      </c>
      <c r="C160" s="2">
        <v>185847</v>
      </c>
      <c r="D160" s="2" t="s">
        <v>184</v>
      </c>
      <c r="E160" s="2">
        <v>1</v>
      </c>
      <c r="F160" s="2">
        <v>0.31480000000000002</v>
      </c>
      <c r="G160" s="2">
        <v>0.2301</v>
      </c>
      <c r="H160" s="2">
        <v>0.4551</v>
      </c>
      <c r="I160" s="5">
        <f t="shared" si="8"/>
        <v>3.8337640000000013E-2</v>
      </c>
      <c r="J160" s="5">
        <f t="shared" si="9"/>
        <v>2.7562500000000022E-3</v>
      </c>
      <c r="K160" s="5">
        <f t="shared" si="10"/>
        <v>6.1652889999999995E-2</v>
      </c>
      <c r="L160" s="4">
        <f t="shared" si="11"/>
        <v>0.67945861421651021</v>
      </c>
    </row>
    <row r="161" spans="1:12">
      <c r="A161" s="2">
        <v>110571</v>
      </c>
      <c r="B161" s="2" t="s">
        <v>219</v>
      </c>
      <c r="C161" s="2">
        <v>110571</v>
      </c>
      <c r="D161" s="2" t="s">
        <v>219</v>
      </c>
      <c r="E161" s="2">
        <v>1</v>
      </c>
      <c r="F161" s="2">
        <v>0.27400000000000002</v>
      </c>
      <c r="G161" s="2">
        <v>0.30180000000000001</v>
      </c>
      <c r="H161" s="2">
        <v>0.42420000000000002</v>
      </c>
      <c r="I161" s="5">
        <f t="shared" si="8"/>
        <v>5.5979560000000018E-2</v>
      </c>
      <c r="J161" s="5">
        <f t="shared" si="9"/>
        <v>3.6863999999999978E-4</v>
      </c>
      <c r="K161" s="5">
        <f t="shared" si="10"/>
        <v>4.7262760000000001E-2</v>
      </c>
      <c r="L161" s="4">
        <f t="shared" si="11"/>
        <v>0.67811343613005526</v>
      </c>
    </row>
    <row r="162" spans="1:12">
      <c r="A162" s="2">
        <v>1183</v>
      </c>
      <c r="B162" s="2" t="s">
        <v>152</v>
      </c>
      <c r="C162" s="2">
        <v>1186</v>
      </c>
      <c r="D162" s="2" t="s">
        <v>320</v>
      </c>
      <c r="E162" s="2">
        <v>0</v>
      </c>
      <c r="F162" s="2">
        <v>0.1198</v>
      </c>
      <c r="G162" s="2">
        <v>0.54010000000000002</v>
      </c>
      <c r="H162" s="2">
        <v>0.34010000000000001</v>
      </c>
      <c r="I162" s="5">
        <f t="shared" si="8"/>
        <v>0.15272464000000002</v>
      </c>
      <c r="J162" s="5">
        <f t="shared" si="9"/>
        <v>6.6306249999999997E-2</v>
      </c>
      <c r="K162" s="5">
        <f t="shared" si="10"/>
        <v>1.7768889999999999E-2</v>
      </c>
      <c r="L162" s="4">
        <f t="shared" si="11"/>
        <v>0.51337922362480248</v>
      </c>
    </row>
    <row r="163" spans="1:12">
      <c r="A163" s="2">
        <v>1183</v>
      </c>
      <c r="B163" s="2" t="s">
        <v>152</v>
      </c>
      <c r="C163" s="2">
        <v>1187</v>
      </c>
      <c r="D163" s="2" t="s">
        <v>461</v>
      </c>
      <c r="E163" s="2">
        <v>0</v>
      </c>
      <c r="F163" s="2">
        <v>9.7900000000000001E-2</v>
      </c>
      <c r="G163" s="2">
        <v>0.71009999999999995</v>
      </c>
      <c r="H163" s="2">
        <v>0.192</v>
      </c>
      <c r="I163" s="5">
        <f t="shared" si="8"/>
        <v>0.17032129000000004</v>
      </c>
      <c r="J163" s="5">
        <f t="shared" si="9"/>
        <v>0.18275624999999995</v>
      </c>
      <c r="K163" s="5">
        <f t="shared" si="10"/>
        <v>2.1904000000000023E-4</v>
      </c>
      <c r="L163" s="4">
        <f t="shared" si="11"/>
        <v>0.40561243283527537</v>
      </c>
    </row>
    <row r="164" spans="1:12">
      <c r="A164" s="2">
        <v>1183</v>
      </c>
      <c r="B164" s="2" t="s">
        <v>152</v>
      </c>
      <c r="C164" s="2">
        <v>1190</v>
      </c>
      <c r="D164" s="2" t="s">
        <v>406</v>
      </c>
      <c r="E164" s="2">
        <v>0</v>
      </c>
      <c r="F164" s="2">
        <v>0.1293</v>
      </c>
      <c r="G164" s="2">
        <v>0.60699999999999998</v>
      </c>
      <c r="H164" s="2">
        <v>0.26369999999999999</v>
      </c>
      <c r="I164" s="5">
        <f t="shared" si="8"/>
        <v>0.14538969000000007</v>
      </c>
      <c r="J164" s="5">
        <f t="shared" si="9"/>
        <v>0.10523535999999997</v>
      </c>
      <c r="K164" s="5">
        <f t="shared" si="10"/>
        <v>3.2376099999999975E-3</v>
      </c>
      <c r="L164" s="4">
        <f t="shared" si="11"/>
        <v>0.4961521459805549</v>
      </c>
    </row>
    <row r="165" spans="1:12">
      <c r="A165" s="2">
        <v>1183</v>
      </c>
      <c r="B165" s="2" t="s">
        <v>152</v>
      </c>
      <c r="C165" s="2">
        <v>186040</v>
      </c>
      <c r="D165" s="2" t="s">
        <v>360</v>
      </c>
      <c r="E165" s="2">
        <v>0</v>
      </c>
      <c r="F165" s="2">
        <v>0.19040000000000001</v>
      </c>
      <c r="G165" s="2">
        <v>0.63549999999999995</v>
      </c>
      <c r="H165" s="2">
        <v>0.1741</v>
      </c>
      <c r="I165" s="5">
        <f t="shared" si="8"/>
        <v>0.10252804000000003</v>
      </c>
      <c r="J165" s="5">
        <f t="shared" si="9"/>
        <v>0.12453840999999996</v>
      </c>
      <c r="K165" s="5">
        <f t="shared" si="10"/>
        <v>1.0692900000000005E-3</v>
      </c>
      <c r="L165" s="4">
        <f t="shared" si="11"/>
        <v>0.52236442762290003</v>
      </c>
    </row>
    <row r="166" spans="1:12">
      <c r="A166" s="2">
        <v>1183</v>
      </c>
      <c r="B166" s="2" t="s">
        <v>152</v>
      </c>
      <c r="C166" s="2">
        <v>1192</v>
      </c>
      <c r="D166" s="2" t="s">
        <v>227</v>
      </c>
      <c r="E166" s="2">
        <v>0</v>
      </c>
      <c r="F166" s="2">
        <v>0.16309999999999999</v>
      </c>
      <c r="G166" s="2">
        <v>0.51790000000000003</v>
      </c>
      <c r="H166" s="2">
        <v>0.31900000000000001</v>
      </c>
      <c r="I166" s="5">
        <f t="shared" si="8"/>
        <v>0.12075625000000002</v>
      </c>
      <c r="J166" s="5">
        <f t="shared" si="9"/>
        <v>5.5366090000000007E-2</v>
      </c>
      <c r="K166" s="5">
        <f t="shared" si="10"/>
        <v>1.2588839999999999E-2</v>
      </c>
      <c r="L166" s="4">
        <f t="shared" si="11"/>
        <v>0.56559099917243882</v>
      </c>
    </row>
    <row r="167" spans="1:12">
      <c r="A167" s="2">
        <v>1183</v>
      </c>
      <c r="B167" s="2" t="s">
        <v>152</v>
      </c>
      <c r="C167" s="2">
        <v>1193</v>
      </c>
      <c r="D167" s="2" t="s">
        <v>153</v>
      </c>
      <c r="E167" s="2">
        <v>0</v>
      </c>
      <c r="F167" s="2">
        <v>0.17760000000000001</v>
      </c>
      <c r="G167" s="2">
        <v>0.33800000000000002</v>
      </c>
      <c r="H167" s="2">
        <v>0.4844</v>
      </c>
      <c r="I167" s="5">
        <f t="shared" si="8"/>
        <v>0.11088900000000004</v>
      </c>
      <c r="J167" s="5">
        <f t="shared" si="9"/>
        <v>3.0691600000000005E-3</v>
      </c>
      <c r="K167" s="5">
        <f t="shared" si="10"/>
        <v>7.7061759999999979E-2</v>
      </c>
      <c r="L167" s="4">
        <f t="shared" si="11"/>
        <v>0.56294174301358857</v>
      </c>
    </row>
    <row r="168" spans="1:12">
      <c r="A168" s="2">
        <v>1183</v>
      </c>
      <c r="B168" s="2" t="s">
        <v>152</v>
      </c>
      <c r="C168" s="2">
        <v>185851</v>
      </c>
      <c r="D168" s="2" t="s">
        <v>480</v>
      </c>
      <c r="E168" s="2">
        <v>0</v>
      </c>
      <c r="F168" s="2">
        <v>0.12330000000000001</v>
      </c>
      <c r="G168" s="2">
        <v>0.7117</v>
      </c>
      <c r="H168" s="2">
        <v>0.16489999999999999</v>
      </c>
      <c r="I168" s="5">
        <f t="shared" si="8"/>
        <v>0.15000129000000004</v>
      </c>
      <c r="J168" s="5">
        <f t="shared" si="9"/>
        <v>0.18412680999999997</v>
      </c>
      <c r="K168" s="5">
        <f t="shared" si="10"/>
        <v>1.7556100000000016E-3</v>
      </c>
      <c r="L168" s="4">
        <f t="shared" si="11"/>
        <v>0.42044524848811737</v>
      </c>
    </row>
    <row r="169" spans="1:12">
      <c r="A169" s="2">
        <v>1183</v>
      </c>
      <c r="B169" s="2" t="s">
        <v>152</v>
      </c>
      <c r="C169" s="2">
        <v>1195</v>
      </c>
      <c r="D169" s="2" t="s">
        <v>293</v>
      </c>
      <c r="E169" s="2">
        <v>0</v>
      </c>
      <c r="F169" s="2">
        <v>0.1542</v>
      </c>
      <c r="G169" s="2">
        <v>0.57650000000000001</v>
      </c>
      <c r="H169" s="2">
        <v>0.26929999999999998</v>
      </c>
      <c r="I169" s="5">
        <f t="shared" si="8"/>
        <v>0.12702096000000004</v>
      </c>
      <c r="J169" s="5">
        <f t="shared" si="9"/>
        <v>8.6377209999999996E-2</v>
      </c>
      <c r="K169" s="5">
        <f t="shared" si="10"/>
        <v>3.9062499999999965E-3</v>
      </c>
      <c r="L169" s="4">
        <f t="shared" si="11"/>
        <v>0.53384077827420384</v>
      </c>
    </row>
    <row r="170" spans="1:12">
      <c r="A170" s="2">
        <v>1183</v>
      </c>
      <c r="B170" s="2" t="s">
        <v>152</v>
      </c>
      <c r="C170" s="2">
        <v>185848</v>
      </c>
      <c r="D170" s="2" t="s">
        <v>484</v>
      </c>
      <c r="E170" s="2">
        <v>0</v>
      </c>
      <c r="F170" s="2">
        <v>0.11</v>
      </c>
      <c r="G170" s="2">
        <v>0.73060000000000003</v>
      </c>
      <c r="H170" s="2">
        <v>0.15939999999999999</v>
      </c>
      <c r="I170" s="5">
        <f t="shared" si="8"/>
        <v>0.16048036000000004</v>
      </c>
      <c r="J170" s="5">
        <f t="shared" si="9"/>
        <v>0.20070400000000002</v>
      </c>
      <c r="K170" s="5">
        <f t="shared" si="10"/>
        <v>2.2467600000000026E-3</v>
      </c>
      <c r="L170" s="4">
        <f t="shared" si="11"/>
        <v>0.39714751389747083</v>
      </c>
    </row>
    <row r="171" spans="1:12">
      <c r="A171" s="2">
        <v>1183</v>
      </c>
      <c r="B171" s="2" t="s">
        <v>152</v>
      </c>
      <c r="C171" s="2">
        <v>1198</v>
      </c>
      <c r="D171" s="2" t="s">
        <v>301</v>
      </c>
      <c r="E171" s="2">
        <v>0</v>
      </c>
      <c r="F171" s="2">
        <v>0.2155</v>
      </c>
      <c r="G171" s="2">
        <v>0.43070000000000003</v>
      </c>
      <c r="H171" s="2">
        <v>0.35389999999999999</v>
      </c>
      <c r="I171" s="5">
        <f t="shared" si="8"/>
        <v>8.7084010000000017E-2</v>
      </c>
      <c r="J171" s="5">
        <f t="shared" si="9"/>
        <v>2.1933610000000003E-2</v>
      </c>
      <c r="K171" s="5">
        <f t="shared" si="10"/>
        <v>2.1638409999999993E-2</v>
      </c>
      <c r="L171" s="4">
        <f t="shared" si="11"/>
        <v>0.63853626737942304</v>
      </c>
    </row>
    <row r="172" spans="1:12">
      <c r="A172" s="2">
        <v>1183</v>
      </c>
      <c r="B172" s="2" t="s">
        <v>152</v>
      </c>
      <c r="C172" s="2">
        <v>186137</v>
      </c>
      <c r="D172" s="2" t="s">
        <v>395</v>
      </c>
      <c r="E172" s="2">
        <v>0</v>
      </c>
      <c r="F172" s="2">
        <v>0.34320000000000001</v>
      </c>
      <c r="G172" s="2">
        <v>0.38240000000000002</v>
      </c>
      <c r="H172" s="2">
        <v>0.27439999999999998</v>
      </c>
      <c r="I172" s="5">
        <f t="shared" si="8"/>
        <v>2.8022760000000015E-2</v>
      </c>
      <c r="J172" s="5">
        <f t="shared" si="9"/>
        <v>9.9600399999999999E-3</v>
      </c>
      <c r="K172" s="5">
        <f t="shared" si="10"/>
        <v>4.5697599999999956E-3</v>
      </c>
      <c r="L172" s="4">
        <f t="shared" si="11"/>
        <v>0.79371728138304942</v>
      </c>
    </row>
    <row r="173" spans="1:12">
      <c r="A173" s="2">
        <v>1183</v>
      </c>
      <c r="B173" s="2" t="s">
        <v>152</v>
      </c>
      <c r="C173" s="2">
        <v>1200</v>
      </c>
      <c r="D173" s="2" t="s">
        <v>487</v>
      </c>
      <c r="E173" s="2">
        <v>0</v>
      </c>
      <c r="F173" s="2">
        <v>0.1036</v>
      </c>
      <c r="G173" s="2">
        <v>0.74309999999999998</v>
      </c>
      <c r="H173" s="2">
        <v>0.1532</v>
      </c>
      <c r="I173" s="5">
        <f t="shared" si="8"/>
        <v>0.16564900000000002</v>
      </c>
      <c r="J173" s="5">
        <f t="shared" si="9"/>
        <v>0.21206024999999998</v>
      </c>
      <c r="K173" s="5">
        <f t="shared" si="10"/>
        <v>2.8729600000000008E-3</v>
      </c>
      <c r="L173" s="4">
        <f t="shared" si="11"/>
        <v>0.38308654577809698</v>
      </c>
    </row>
    <row r="174" spans="1:12">
      <c r="A174" s="2">
        <v>1183</v>
      </c>
      <c r="B174" s="2" t="s">
        <v>152</v>
      </c>
      <c r="C174" s="2">
        <v>1201</v>
      </c>
      <c r="D174" s="2" t="s">
        <v>255</v>
      </c>
      <c r="E174" s="2">
        <v>0</v>
      </c>
      <c r="F174" s="2">
        <v>0.18440000000000001</v>
      </c>
      <c r="G174" s="2">
        <v>0.50370000000000004</v>
      </c>
      <c r="H174" s="2">
        <v>0.31190000000000001</v>
      </c>
      <c r="I174" s="5">
        <f t="shared" si="8"/>
        <v>0.10640644000000003</v>
      </c>
      <c r="J174" s="5">
        <f t="shared" si="9"/>
        <v>4.8885210000000005E-2</v>
      </c>
      <c r="K174" s="5">
        <f t="shared" si="10"/>
        <v>1.104601E-2</v>
      </c>
      <c r="L174" s="4">
        <f t="shared" si="11"/>
        <v>0.59215485781978472</v>
      </c>
    </row>
    <row r="175" spans="1:12">
      <c r="A175" s="2">
        <v>175612</v>
      </c>
      <c r="B175" s="2" t="s">
        <v>148</v>
      </c>
      <c r="C175" s="2">
        <v>175612</v>
      </c>
      <c r="D175" s="2" t="s">
        <v>148</v>
      </c>
      <c r="E175" s="2">
        <v>1</v>
      </c>
      <c r="F175" s="2">
        <v>0.32850000000000001</v>
      </c>
      <c r="G175" s="2">
        <v>0.1789</v>
      </c>
      <c r="H175" s="2">
        <v>0.49259999999999998</v>
      </c>
      <c r="I175" s="5">
        <f t="shared" si="8"/>
        <v>3.3160410000000015E-2</v>
      </c>
      <c r="J175" s="5">
        <f t="shared" si="9"/>
        <v>1.0753690000000003E-2</v>
      </c>
      <c r="K175" s="5">
        <f t="shared" si="10"/>
        <v>8.1681639999999972E-2</v>
      </c>
      <c r="L175" s="4">
        <f t="shared" si="11"/>
        <v>0.64560510726027664</v>
      </c>
    </row>
    <row r="176" spans="1:12">
      <c r="A176" s="2">
        <v>849</v>
      </c>
      <c r="B176" s="2" t="s">
        <v>202</v>
      </c>
      <c r="C176" s="2">
        <v>852</v>
      </c>
      <c r="D176" s="2" t="s">
        <v>203</v>
      </c>
      <c r="E176" s="2">
        <v>0</v>
      </c>
      <c r="F176" s="2">
        <v>0.25919999999999999</v>
      </c>
      <c r="G176" s="2">
        <v>0.30649999999999999</v>
      </c>
      <c r="H176" s="2">
        <v>0.43440000000000001</v>
      </c>
      <c r="I176" s="5">
        <f t="shared" si="8"/>
        <v>6.3201960000000029E-2</v>
      </c>
      <c r="J176" s="5">
        <f t="shared" si="9"/>
        <v>5.7120999999999886E-4</v>
      </c>
      <c r="K176" s="5">
        <f t="shared" si="10"/>
        <v>5.1801759999999995E-2</v>
      </c>
      <c r="L176" s="4">
        <f t="shared" si="11"/>
        <v>0.66003686964613351</v>
      </c>
    </row>
    <row r="177" spans="1:12">
      <c r="A177" s="2">
        <v>165612</v>
      </c>
      <c r="B177" s="2" t="s">
        <v>268</v>
      </c>
      <c r="C177" s="2">
        <v>165612</v>
      </c>
      <c r="D177" s="2" t="s">
        <v>268</v>
      </c>
      <c r="E177" s="2">
        <v>1</v>
      </c>
      <c r="F177" s="2">
        <v>0.58640000000000003</v>
      </c>
      <c r="G177" s="2">
        <v>3.56E-2</v>
      </c>
      <c r="H177" s="2">
        <v>0.378</v>
      </c>
      <c r="I177" s="5">
        <f t="shared" si="8"/>
        <v>5.7456399999999972E-3</v>
      </c>
      <c r="J177" s="5">
        <f t="shared" si="9"/>
        <v>6.1009000000000015E-2</v>
      </c>
      <c r="K177" s="5">
        <f t="shared" si="10"/>
        <v>2.9309439999999996E-2</v>
      </c>
      <c r="L177" s="4">
        <f t="shared" si="11"/>
        <v>0.69005794089862538</v>
      </c>
    </row>
    <row r="178" spans="1:12">
      <c r="A178" s="2">
        <v>837</v>
      </c>
      <c r="B178" s="2" t="s">
        <v>22</v>
      </c>
      <c r="C178" s="2">
        <v>840</v>
      </c>
      <c r="D178" s="2" t="s">
        <v>23</v>
      </c>
      <c r="E178" s="2">
        <v>0</v>
      </c>
      <c r="F178" s="2">
        <v>0.16869999999999999</v>
      </c>
      <c r="G178" s="2">
        <v>3.15E-2</v>
      </c>
      <c r="H178" s="2">
        <v>0.79979999999999996</v>
      </c>
      <c r="I178" s="5">
        <f t="shared" si="8"/>
        <v>0.11689561000000007</v>
      </c>
      <c r="J178" s="5">
        <f t="shared" si="9"/>
        <v>6.3051209999999996E-2</v>
      </c>
      <c r="K178" s="5">
        <f t="shared" si="10"/>
        <v>0.35164899999999999</v>
      </c>
      <c r="L178" s="4">
        <f t="shared" si="11"/>
        <v>0.27089382117554373</v>
      </c>
    </row>
    <row r="179" spans="1:12">
      <c r="A179" s="2">
        <v>837</v>
      </c>
      <c r="B179" s="2" t="s">
        <v>22</v>
      </c>
      <c r="C179" s="2">
        <v>841</v>
      </c>
      <c r="D179" s="2" t="s">
        <v>35</v>
      </c>
      <c r="E179" s="2">
        <v>0</v>
      </c>
      <c r="F179" s="2">
        <v>9.0200000000000002E-2</v>
      </c>
      <c r="G179" s="2">
        <v>0.18210000000000001</v>
      </c>
      <c r="H179" s="2">
        <v>0.72760000000000002</v>
      </c>
      <c r="I179" s="5">
        <f t="shared" si="8"/>
        <v>0.17673616000000003</v>
      </c>
      <c r="J179" s="5">
        <f t="shared" si="9"/>
        <v>1.0100250000000002E-2</v>
      </c>
      <c r="K179" s="5">
        <f t="shared" si="10"/>
        <v>0.27123264000000002</v>
      </c>
      <c r="L179" s="4">
        <f t="shared" si="11"/>
        <v>0.32319201393600561</v>
      </c>
    </row>
    <row r="180" spans="1:12">
      <c r="A180" s="2">
        <v>837</v>
      </c>
      <c r="B180" s="2" t="s">
        <v>22</v>
      </c>
      <c r="C180" s="2">
        <v>843</v>
      </c>
      <c r="D180" s="2" t="s">
        <v>275</v>
      </c>
      <c r="E180" s="2">
        <v>0</v>
      </c>
      <c r="F180" s="2">
        <v>9.4299999999999995E-2</v>
      </c>
      <c r="G180" s="2">
        <v>0.53069999999999995</v>
      </c>
      <c r="H180" s="2">
        <v>0.375</v>
      </c>
      <c r="I180" s="5">
        <f t="shared" si="8"/>
        <v>0.17330569000000004</v>
      </c>
      <c r="J180" s="5">
        <f t="shared" si="9"/>
        <v>6.1553609999999967E-2</v>
      </c>
      <c r="K180" s="5">
        <f t="shared" si="10"/>
        <v>2.8291239999999995E-2</v>
      </c>
      <c r="L180" s="4">
        <f t="shared" si="11"/>
        <v>0.48701799251825606</v>
      </c>
    </row>
    <row r="181" spans="1:12">
      <c r="A181" s="2">
        <v>837</v>
      </c>
      <c r="B181" s="2" t="s">
        <v>22</v>
      </c>
      <c r="C181" s="2">
        <v>842</v>
      </c>
      <c r="D181" s="2" t="s">
        <v>94</v>
      </c>
      <c r="E181" s="2">
        <v>0</v>
      </c>
      <c r="F181" s="2">
        <v>0.18870000000000001</v>
      </c>
      <c r="G181" s="2">
        <v>0.23039999999999999</v>
      </c>
      <c r="H181" s="2">
        <v>0.58089999999999997</v>
      </c>
      <c r="I181" s="5">
        <f t="shared" si="8"/>
        <v>0.10361961000000004</v>
      </c>
      <c r="J181" s="5">
        <f t="shared" si="9"/>
        <v>2.7248400000000027E-3</v>
      </c>
      <c r="K181" s="5">
        <f t="shared" si="10"/>
        <v>0.13995080999999998</v>
      </c>
      <c r="L181" s="4">
        <f t="shared" si="11"/>
        <v>0.50371856774608226</v>
      </c>
    </row>
    <row r="182" spans="1:12">
      <c r="A182" s="2">
        <v>837</v>
      </c>
      <c r="B182" s="2" t="s">
        <v>22</v>
      </c>
      <c r="C182" s="2">
        <v>844</v>
      </c>
      <c r="D182" s="2" t="s">
        <v>213</v>
      </c>
      <c r="E182" s="2">
        <v>0</v>
      </c>
      <c r="F182" s="2">
        <v>3.9899999999999998E-2</v>
      </c>
      <c r="G182" s="2">
        <v>0.53049999999999997</v>
      </c>
      <c r="H182" s="2">
        <v>0.42959999999999998</v>
      </c>
      <c r="I182" s="5">
        <f t="shared" si="8"/>
        <v>0.22155849000000005</v>
      </c>
      <c r="J182" s="5">
        <f t="shared" si="9"/>
        <v>6.145440999999998E-2</v>
      </c>
      <c r="K182" s="5">
        <f t="shared" si="10"/>
        <v>4.9639839999999984E-2</v>
      </c>
      <c r="L182" s="4">
        <f t="shared" si="11"/>
        <v>0.423239443096184</v>
      </c>
    </row>
    <row r="183" spans="1:12">
      <c r="A183" s="2">
        <v>125581</v>
      </c>
      <c r="B183" s="2" t="s">
        <v>414</v>
      </c>
      <c r="C183" s="2">
        <v>125581</v>
      </c>
      <c r="D183" s="2" t="s">
        <v>414</v>
      </c>
      <c r="E183" s="2">
        <v>1</v>
      </c>
      <c r="F183" s="2">
        <v>0.52800000000000002</v>
      </c>
      <c r="G183" s="2">
        <v>0.22489999999999999</v>
      </c>
      <c r="H183" s="2">
        <v>0.24709999999999999</v>
      </c>
      <c r="I183" s="5">
        <f t="shared" si="8"/>
        <v>3.0275999999999898E-4</v>
      </c>
      <c r="J183" s="5">
        <f t="shared" si="9"/>
        <v>3.3292900000000034E-3</v>
      </c>
      <c r="K183" s="5">
        <f t="shared" si="10"/>
        <v>1.624089999999998E-3</v>
      </c>
      <c r="L183" s="4">
        <f t="shared" si="11"/>
        <v>0.92750075862465864</v>
      </c>
    </row>
    <row r="184" spans="1:12">
      <c r="A184" s="2">
        <v>185686</v>
      </c>
      <c r="B184" s="2" t="s">
        <v>319</v>
      </c>
      <c r="C184" s="2">
        <v>185686</v>
      </c>
      <c r="D184" s="2" t="s">
        <v>319</v>
      </c>
      <c r="E184" s="2">
        <v>1</v>
      </c>
      <c r="F184" s="2">
        <v>0.36780000000000002</v>
      </c>
      <c r="G184" s="2">
        <v>0.2918</v>
      </c>
      <c r="H184" s="2">
        <v>0.34050000000000002</v>
      </c>
      <c r="I184" s="5">
        <f t="shared" si="8"/>
        <v>2.0391840000000012E-2</v>
      </c>
      <c r="J184" s="5">
        <f t="shared" si="9"/>
        <v>8.4639999999999745E-5</v>
      </c>
      <c r="K184" s="5">
        <f t="shared" si="10"/>
        <v>1.7875690000000003E-2</v>
      </c>
      <c r="L184" s="4">
        <f t="shared" si="11"/>
        <v>0.80416289932701712</v>
      </c>
    </row>
    <row r="185" spans="1:12">
      <c r="A185" s="2">
        <v>800</v>
      </c>
      <c r="B185" s="2" t="s">
        <v>86</v>
      </c>
      <c r="C185" s="2">
        <v>802</v>
      </c>
      <c r="D185" s="2" t="s">
        <v>150</v>
      </c>
      <c r="E185" s="2">
        <v>0</v>
      </c>
      <c r="F185" s="2">
        <v>0.38119999999999998</v>
      </c>
      <c r="G185" s="2">
        <v>0.12970000000000001</v>
      </c>
      <c r="H185" s="2">
        <v>0.48909999999999998</v>
      </c>
      <c r="I185" s="5">
        <f t="shared" si="8"/>
        <v>1.6744360000000017E-2</v>
      </c>
      <c r="J185" s="5">
        <f t="shared" si="9"/>
        <v>2.3378410000000002E-2</v>
      </c>
      <c r="K185" s="5">
        <f t="shared" si="10"/>
        <v>7.969329E-2</v>
      </c>
      <c r="L185" s="4">
        <f t="shared" si="11"/>
        <v>0.6538554348252742</v>
      </c>
    </row>
    <row r="186" spans="1:12">
      <c r="A186" s="2">
        <v>800</v>
      </c>
      <c r="B186" s="2" t="s">
        <v>86</v>
      </c>
      <c r="C186" s="2">
        <v>803</v>
      </c>
      <c r="D186" s="2" t="s">
        <v>193</v>
      </c>
      <c r="E186" s="2">
        <v>0</v>
      </c>
      <c r="F186" s="2">
        <v>0.31950000000000001</v>
      </c>
      <c r="G186" s="2">
        <v>0.23649999999999999</v>
      </c>
      <c r="H186" s="2">
        <v>0.44400000000000001</v>
      </c>
      <c r="I186" s="5">
        <f t="shared" si="8"/>
        <v>3.6519210000000017E-2</v>
      </c>
      <c r="J186" s="5">
        <f t="shared" si="9"/>
        <v>2.1252100000000028E-3</v>
      </c>
      <c r="K186" s="5">
        <f t="shared" si="10"/>
        <v>5.6263839999999996E-2</v>
      </c>
      <c r="L186" s="4">
        <f t="shared" si="11"/>
        <v>0.6919281577294023</v>
      </c>
    </row>
    <row r="187" spans="1:12">
      <c r="A187" s="2">
        <v>800</v>
      </c>
      <c r="B187" s="2" t="s">
        <v>86</v>
      </c>
      <c r="C187" s="2">
        <v>804</v>
      </c>
      <c r="D187" s="2" t="s">
        <v>137</v>
      </c>
      <c r="E187" s="2">
        <v>0</v>
      </c>
      <c r="F187" s="2">
        <v>0.31209999999999999</v>
      </c>
      <c r="G187" s="2">
        <v>0.1847</v>
      </c>
      <c r="H187" s="2">
        <v>0.50319999999999998</v>
      </c>
      <c r="I187" s="5">
        <f t="shared" si="8"/>
        <v>3.9402250000000028E-2</v>
      </c>
      <c r="J187" s="5">
        <f t="shared" si="9"/>
        <v>9.5844100000000033E-3</v>
      </c>
      <c r="K187" s="5">
        <f t="shared" si="10"/>
        <v>8.7852959999999994E-2</v>
      </c>
      <c r="L187" s="4">
        <f t="shared" si="11"/>
        <v>0.63008160359344112</v>
      </c>
    </row>
    <row r="188" spans="1:12">
      <c r="A188" s="2">
        <v>800</v>
      </c>
      <c r="B188" s="2" t="s">
        <v>86</v>
      </c>
      <c r="C188" s="2">
        <v>805</v>
      </c>
      <c r="D188" s="2" t="s">
        <v>201</v>
      </c>
      <c r="E188" s="2">
        <v>0</v>
      </c>
      <c r="F188" s="2">
        <v>0.31940000000000002</v>
      </c>
      <c r="G188" s="2">
        <v>0.2442</v>
      </c>
      <c r="H188" s="2">
        <v>0.43630000000000002</v>
      </c>
      <c r="I188" s="5">
        <f t="shared" si="8"/>
        <v>3.6557440000000017E-2</v>
      </c>
      <c r="J188" s="5">
        <f t="shared" si="9"/>
        <v>1.4745600000000013E-3</v>
      </c>
      <c r="K188" s="5">
        <f t="shared" si="10"/>
        <v>5.2670250000000002E-2</v>
      </c>
      <c r="L188" s="4">
        <f t="shared" si="11"/>
        <v>0.69883185759446598</v>
      </c>
    </row>
    <row r="189" spans="1:12">
      <c r="A189" s="2">
        <v>800</v>
      </c>
      <c r="B189" s="2" t="s">
        <v>86</v>
      </c>
      <c r="C189" s="2">
        <v>806</v>
      </c>
      <c r="D189" s="2" t="s">
        <v>273</v>
      </c>
      <c r="E189" s="2">
        <v>0</v>
      </c>
      <c r="F189" s="2">
        <v>0.50309999999999999</v>
      </c>
      <c r="G189" s="2">
        <v>0.1211</v>
      </c>
      <c r="H189" s="2">
        <v>0.37580000000000002</v>
      </c>
      <c r="I189" s="5">
        <f t="shared" si="8"/>
        <v>5.6250000000000934E-5</v>
      </c>
      <c r="J189" s="5">
        <f t="shared" si="9"/>
        <v>2.6082250000000012E-2</v>
      </c>
      <c r="K189" s="5">
        <f t="shared" si="10"/>
        <v>2.8561000000000003E-2</v>
      </c>
      <c r="L189" s="4">
        <f t="shared" si="11"/>
        <v>0.76612075765472465</v>
      </c>
    </row>
    <row r="190" spans="1:12">
      <c r="A190" s="2">
        <v>800</v>
      </c>
      <c r="B190" s="2" t="s">
        <v>86</v>
      </c>
      <c r="C190" s="2">
        <v>185681</v>
      </c>
      <c r="D190" s="2" t="s">
        <v>271</v>
      </c>
      <c r="E190" s="2">
        <v>0</v>
      </c>
      <c r="F190" s="2">
        <v>0.20130000000000001</v>
      </c>
      <c r="G190" s="2">
        <v>0.4224</v>
      </c>
      <c r="H190" s="2">
        <v>0.37630000000000002</v>
      </c>
      <c r="I190" s="5">
        <f t="shared" si="8"/>
        <v>9.5666490000000007E-2</v>
      </c>
      <c r="J190" s="5">
        <f t="shared" si="9"/>
        <v>1.9544039999999995E-2</v>
      </c>
      <c r="K190" s="5">
        <f t="shared" si="10"/>
        <v>2.8730250000000002E-2</v>
      </c>
      <c r="L190" s="4">
        <f t="shared" si="11"/>
        <v>0.62060471800508643</v>
      </c>
    </row>
    <row r="191" spans="1:12">
      <c r="A191" s="2">
        <v>800</v>
      </c>
      <c r="B191" s="2" t="s">
        <v>86</v>
      </c>
      <c r="C191" s="2">
        <v>185682</v>
      </c>
      <c r="D191" s="2" t="s">
        <v>262</v>
      </c>
      <c r="E191" s="2">
        <v>0</v>
      </c>
      <c r="F191" s="2">
        <v>0.4456</v>
      </c>
      <c r="G191" s="2">
        <v>0.1704</v>
      </c>
      <c r="H191" s="2">
        <v>0.38400000000000001</v>
      </c>
      <c r="I191" s="5">
        <f t="shared" si="8"/>
        <v>4.2250000000000074E-3</v>
      </c>
      <c r="J191" s="5">
        <f t="shared" si="9"/>
        <v>1.2588840000000006E-2</v>
      </c>
      <c r="K191" s="5">
        <f t="shared" si="10"/>
        <v>3.1399839999999998E-2</v>
      </c>
      <c r="L191" s="4">
        <f t="shared" si="11"/>
        <v>0.78042386286301513</v>
      </c>
    </row>
    <row r="192" spans="1:12">
      <c r="A192" s="2">
        <v>800</v>
      </c>
      <c r="B192" s="2" t="s">
        <v>86</v>
      </c>
      <c r="C192" s="2">
        <v>185683</v>
      </c>
      <c r="D192" s="2" t="s">
        <v>156</v>
      </c>
      <c r="E192" s="2">
        <v>0</v>
      </c>
      <c r="F192" s="2">
        <v>0.50990000000000002</v>
      </c>
      <c r="G192" s="2">
        <v>7.9000000000000008E-3</v>
      </c>
      <c r="H192" s="2">
        <v>0.48220000000000002</v>
      </c>
      <c r="I192" s="5">
        <f t="shared" si="8"/>
        <v>4.9000000000004751E-7</v>
      </c>
      <c r="J192" s="5">
        <f t="shared" si="9"/>
        <v>7.5460089999999994E-2</v>
      </c>
      <c r="K192" s="5">
        <f t="shared" si="10"/>
        <v>7.5845159999999995E-2</v>
      </c>
      <c r="L192" s="4">
        <f t="shared" si="11"/>
        <v>0.61101961489041634</v>
      </c>
    </row>
    <row r="193" spans="1:12">
      <c r="A193" s="2">
        <v>800</v>
      </c>
      <c r="B193" s="2" t="s">
        <v>86</v>
      </c>
      <c r="C193" s="2">
        <v>807</v>
      </c>
      <c r="D193" s="2" t="s">
        <v>130</v>
      </c>
      <c r="E193" s="2">
        <v>0</v>
      </c>
      <c r="F193" s="2">
        <v>0.18820000000000001</v>
      </c>
      <c r="G193" s="2">
        <v>0.29680000000000001</v>
      </c>
      <c r="H193" s="2">
        <v>0.51500000000000001</v>
      </c>
      <c r="I193" s="5">
        <f t="shared" si="8"/>
        <v>0.10394176000000001</v>
      </c>
      <c r="J193" s="5">
        <f t="shared" si="9"/>
        <v>2.0163999999999973E-4</v>
      </c>
      <c r="K193" s="5">
        <f t="shared" si="10"/>
        <v>9.4987240000000014E-2</v>
      </c>
      <c r="L193" s="4">
        <f t="shared" si="11"/>
        <v>0.5537594370745752</v>
      </c>
    </row>
    <row r="194" spans="1:12">
      <c r="A194" s="2">
        <v>800</v>
      </c>
      <c r="B194" s="2" t="s">
        <v>86</v>
      </c>
      <c r="C194" s="2">
        <v>70564</v>
      </c>
      <c r="D194" s="2" t="s">
        <v>216</v>
      </c>
      <c r="E194" s="2">
        <v>0</v>
      </c>
      <c r="F194" s="2">
        <v>0.57789999999999997</v>
      </c>
      <c r="G194" s="2">
        <v>1E-3</v>
      </c>
      <c r="H194" s="2">
        <v>0.42109999999999997</v>
      </c>
      <c r="I194" s="5">
        <f t="shared" ref="I194:I257" si="12">(F194-0.5106)^2</f>
        <v>4.5292899999999888E-3</v>
      </c>
      <c r="J194" s="5">
        <f t="shared" ref="J194:J257" si="13">(G194-0.2826)^2</f>
        <v>7.9298560000000004E-2</v>
      </c>
      <c r="K194" s="5">
        <f t="shared" ref="K194:K257" si="14">(H194-0.2068)^2</f>
        <v>4.5924489999999984E-2</v>
      </c>
      <c r="L194" s="4">
        <f t="shared" ref="L194:L257" si="15">1-(SQRT(I194+J194+K194))</f>
        <v>0.6397884788072431</v>
      </c>
    </row>
    <row r="195" spans="1:12">
      <c r="A195" s="2">
        <v>800</v>
      </c>
      <c r="B195" s="2" t="s">
        <v>86</v>
      </c>
      <c r="C195" s="2">
        <v>809</v>
      </c>
      <c r="D195" s="2" t="s">
        <v>126</v>
      </c>
      <c r="E195" s="2">
        <v>0</v>
      </c>
      <c r="F195" s="2">
        <v>0.26490000000000002</v>
      </c>
      <c r="G195" s="2">
        <v>0.21029999999999999</v>
      </c>
      <c r="H195" s="2">
        <v>0.52480000000000004</v>
      </c>
      <c r="I195" s="5">
        <f t="shared" si="12"/>
        <v>6.0368490000000018E-2</v>
      </c>
      <c r="J195" s="5">
        <f t="shared" si="13"/>
        <v>5.2272900000000042E-3</v>
      </c>
      <c r="K195" s="5">
        <f t="shared" si="14"/>
        <v>0.10112400000000003</v>
      </c>
      <c r="L195" s="4">
        <f t="shared" si="15"/>
        <v>0.59168666443526474</v>
      </c>
    </row>
    <row r="196" spans="1:12">
      <c r="A196" s="2">
        <v>800</v>
      </c>
      <c r="B196" s="2" t="s">
        <v>86</v>
      </c>
      <c r="C196" s="2">
        <v>810</v>
      </c>
      <c r="D196" s="2" t="s">
        <v>250</v>
      </c>
      <c r="E196" s="2">
        <v>0</v>
      </c>
      <c r="F196" s="2">
        <v>0.55710000000000004</v>
      </c>
      <c r="G196" s="2">
        <v>4.8300000000000003E-2</v>
      </c>
      <c r="H196" s="2">
        <v>0.3947</v>
      </c>
      <c r="I196" s="5">
        <f t="shared" si="12"/>
        <v>2.1622499999999988E-3</v>
      </c>
      <c r="J196" s="5">
        <f t="shared" si="13"/>
        <v>5.4896490000000006E-2</v>
      </c>
      <c r="K196" s="5">
        <f t="shared" si="14"/>
        <v>3.5306409999999996E-2</v>
      </c>
      <c r="L196" s="4">
        <f t="shared" si="15"/>
        <v>0.69608364637617803</v>
      </c>
    </row>
    <row r="197" spans="1:12">
      <c r="A197" s="2">
        <v>800</v>
      </c>
      <c r="B197" s="2" t="s">
        <v>86</v>
      </c>
      <c r="C197" s="2">
        <v>811</v>
      </c>
      <c r="D197" s="2" t="s">
        <v>98</v>
      </c>
      <c r="E197" s="2">
        <v>0</v>
      </c>
      <c r="F197" s="2">
        <v>0.43120000000000003</v>
      </c>
      <c r="G197" s="2">
        <v>1E-3</v>
      </c>
      <c r="H197" s="2">
        <v>0.56779999999999997</v>
      </c>
      <c r="I197" s="5">
        <f t="shared" si="12"/>
        <v>6.3043600000000045E-3</v>
      </c>
      <c r="J197" s="5">
        <f t="shared" si="13"/>
        <v>7.9298560000000004E-2</v>
      </c>
      <c r="K197" s="5">
        <f t="shared" si="14"/>
        <v>0.13032099999999999</v>
      </c>
      <c r="L197" s="4">
        <f t="shared" si="15"/>
        <v>0.53532385471169275</v>
      </c>
    </row>
    <row r="198" spans="1:12">
      <c r="A198" s="2">
        <v>800</v>
      </c>
      <c r="B198" s="2" t="s">
        <v>86</v>
      </c>
      <c r="C198" s="2">
        <v>185684</v>
      </c>
      <c r="D198" s="2" t="s">
        <v>139</v>
      </c>
      <c r="E198" s="2">
        <v>0</v>
      </c>
      <c r="F198" s="2">
        <v>0.34110000000000001</v>
      </c>
      <c r="G198" s="2">
        <v>0.1603</v>
      </c>
      <c r="H198" s="2">
        <v>0.49859999999999999</v>
      </c>
      <c r="I198" s="5">
        <f t="shared" si="12"/>
        <v>2.8730250000000013E-2</v>
      </c>
      <c r="J198" s="5">
        <f t="shared" si="13"/>
        <v>1.4957290000000005E-2</v>
      </c>
      <c r="K198" s="5">
        <f t="shared" si="14"/>
        <v>8.5147239999999971E-2</v>
      </c>
      <c r="L198" s="4">
        <f t="shared" si="15"/>
        <v>0.64106437903155955</v>
      </c>
    </row>
    <row r="199" spans="1:12">
      <c r="A199" s="2">
        <v>800</v>
      </c>
      <c r="B199" s="2" t="s">
        <v>86</v>
      </c>
      <c r="C199" s="2">
        <v>812</v>
      </c>
      <c r="D199" s="2" t="s">
        <v>62</v>
      </c>
      <c r="E199" s="2">
        <v>0</v>
      </c>
      <c r="F199" s="2">
        <v>0.2374</v>
      </c>
      <c r="G199" s="2">
        <v>0.17050000000000001</v>
      </c>
      <c r="H199" s="2">
        <v>0.59219999999999995</v>
      </c>
      <c r="I199" s="5">
        <f t="shared" si="12"/>
        <v>7.4638240000000036E-2</v>
      </c>
      <c r="J199" s="5">
        <f t="shared" si="13"/>
        <v>1.2566410000000002E-2</v>
      </c>
      <c r="K199" s="5">
        <f t="shared" si="14"/>
        <v>0.14853315999999997</v>
      </c>
      <c r="L199" s="4">
        <f t="shared" si="15"/>
        <v>0.51447161771941696</v>
      </c>
    </row>
    <row r="200" spans="1:12">
      <c r="A200" s="2">
        <v>800</v>
      </c>
      <c r="B200" s="2" t="s">
        <v>86</v>
      </c>
      <c r="C200" s="2">
        <v>813</v>
      </c>
      <c r="D200" s="2" t="s">
        <v>119</v>
      </c>
      <c r="E200" s="2">
        <v>0</v>
      </c>
      <c r="F200" s="2">
        <v>0.2797</v>
      </c>
      <c r="G200" s="2">
        <v>0.19070000000000001</v>
      </c>
      <c r="H200" s="2">
        <v>0.52959999999999996</v>
      </c>
      <c r="I200" s="5">
        <f t="shared" si="12"/>
        <v>5.3314810000000025E-2</v>
      </c>
      <c r="J200" s="5">
        <f t="shared" si="13"/>
        <v>8.445610000000001E-3</v>
      </c>
      <c r="K200" s="5">
        <f t="shared" si="14"/>
        <v>0.10419983999999999</v>
      </c>
      <c r="L200" s="4">
        <f t="shared" si="15"/>
        <v>0.59261779616679378</v>
      </c>
    </row>
    <row r="201" spans="1:12">
      <c r="A201" s="2">
        <v>800</v>
      </c>
      <c r="B201" s="2" t="s">
        <v>86</v>
      </c>
      <c r="C201" s="2">
        <v>814</v>
      </c>
      <c r="D201" s="2" t="s">
        <v>187</v>
      </c>
      <c r="E201" s="2">
        <v>0</v>
      </c>
      <c r="F201" s="2">
        <v>0.28299999999999997</v>
      </c>
      <c r="G201" s="2">
        <v>0.26569999999999999</v>
      </c>
      <c r="H201" s="2">
        <v>0.45129999999999998</v>
      </c>
      <c r="I201" s="5">
        <f t="shared" si="12"/>
        <v>5.1801760000000037E-2</v>
      </c>
      <c r="J201" s="5">
        <f t="shared" si="13"/>
        <v>2.8561000000000087E-4</v>
      </c>
      <c r="K201" s="5">
        <f t="shared" si="14"/>
        <v>5.9780249999999986E-2</v>
      </c>
      <c r="L201" s="4">
        <f t="shared" si="15"/>
        <v>0.66553382831742158</v>
      </c>
    </row>
    <row r="202" spans="1:12">
      <c r="A202" s="2">
        <v>800</v>
      </c>
      <c r="B202" s="2" t="s">
        <v>86</v>
      </c>
      <c r="C202" s="2">
        <v>185823</v>
      </c>
      <c r="D202" s="2" t="s">
        <v>333</v>
      </c>
      <c r="E202" s="2">
        <v>0</v>
      </c>
      <c r="F202" s="2">
        <v>0.4027</v>
      </c>
      <c r="G202" s="2">
        <v>0.26790000000000003</v>
      </c>
      <c r="H202" s="2">
        <v>0.32940000000000003</v>
      </c>
      <c r="I202" s="5">
        <f t="shared" si="12"/>
        <v>1.1642410000000011E-2</v>
      </c>
      <c r="J202" s="5">
        <f t="shared" si="13"/>
        <v>2.1608999999999973E-4</v>
      </c>
      <c r="K202" s="5">
        <f t="shared" si="14"/>
        <v>1.5030760000000004E-2</v>
      </c>
      <c r="L202" s="4">
        <f t="shared" si="15"/>
        <v>0.83602055006800391</v>
      </c>
    </row>
    <row r="203" spans="1:12">
      <c r="A203" s="2">
        <v>800</v>
      </c>
      <c r="B203" s="2" t="s">
        <v>86</v>
      </c>
      <c r="C203" s="2">
        <v>815</v>
      </c>
      <c r="D203" s="2" t="s">
        <v>269</v>
      </c>
      <c r="E203" s="2">
        <v>0</v>
      </c>
      <c r="F203" s="2">
        <v>0.32640000000000002</v>
      </c>
      <c r="G203" s="2">
        <v>0.29580000000000001</v>
      </c>
      <c r="H203" s="2">
        <v>0.37780000000000002</v>
      </c>
      <c r="I203" s="5">
        <f t="shared" si="12"/>
        <v>3.3929640000000011E-2</v>
      </c>
      <c r="J203" s="5">
        <f t="shared" si="13"/>
        <v>1.7423999999999971E-4</v>
      </c>
      <c r="K203" s="5">
        <f t="shared" si="14"/>
        <v>2.9241000000000003E-2</v>
      </c>
      <c r="L203" s="4">
        <f t="shared" si="15"/>
        <v>0.74831591230274408</v>
      </c>
    </row>
    <row r="204" spans="1:12">
      <c r="A204" s="2">
        <v>800</v>
      </c>
      <c r="B204" s="2" t="s">
        <v>86</v>
      </c>
      <c r="C204" s="2">
        <v>816</v>
      </c>
      <c r="D204" s="2" t="s">
        <v>87</v>
      </c>
      <c r="E204" s="2">
        <v>0</v>
      </c>
      <c r="F204" s="2">
        <v>0.32850000000000001</v>
      </c>
      <c r="G204" s="2">
        <v>8.2799999999999999E-2</v>
      </c>
      <c r="H204" s="2">
        <v>0.5887</v>
      </c>
      <c r="I204" s="5">
        <f t="shared" si="12"/>
        <v>3.3160410000000015E-2</v>
      </c>
      <c r="J204" s="5">
        <f t="shared" si="13"/>
        <v>3.9920040000000011E-2</v>
      </c>
      <c r="K204" s="5">
        <f t="shared" si="14"/>
        <v>0.14584761000000002</v>
      </c>
      <c r="L204" s="4">
        <f t="shared" si="15"/>
        <v>0.53210251122708507</v>
      </c>
    </row>
    <row r="205" spans="1:12">
      <c r="A205" s="2">
        <v>800</v>
      </c>
      <c r="B205" s="2" t="s">
        <v>86</v>
      </c>
      <c r="C205" s="2">
        <v>817</v>
      </c>
      <c r="D205" s="2" t="s">
        <v>151</v>
      </c>
      <c r="E205" s="2">
        <v>0</v>
      </c>
      <c r="F205" s="2">
        <v>0.25230000000000002</v>
      </c>
      <c r="G205" s="2">
        <v>0.26219999999999999</v>
      </c>
      <c r="H205" s="2">
        <v>0.48549999999999999</v>
      </c>
      <c r="I205" s="5">
        <f t="shared" si="12"/>
        <v>6.6718890000000017E-2</v>
      </c>
      <c r="J205" s="5">
        <f t="shared" si="13"/>
        <v>4.1616000000000119E-4</v>
      </c>
      <c r="K205" s="5">
        <f t="shared" si="14"/>
        <v>7.7673689999999976E-2</v>
      </c>
      <c r="L205" s="4">
        <f t="shared" si="15"/>
        <v>0.61946256425944113</v>
      </c>
    </row>
    <row r="206" spans="1:12">
      <c r="A206" s="2">
        <v>800</v>
      </c>
      <c r="B206" s="2" t="s">
        <v>86</v>
      </c>
      <c r="C206" s="2">
        <v>25531</v>
      </c>
      <c r="D206" s="2" t="s">
        <v>231</v>
      </c>
      <c r="E206" s="2">
        <v>0</v>
      </c>
      <c r="F206" s="2">
        <v>0.43390000000000001</v>
      </c>
      <c r="G206" s="2">
        <v>0.15579999999999999</v>
      </c>
      <c r="H206" s="2">
        <v>0.41039999999999999</v>
      </c>
      <c r="I206" s="5">
        <f t="shared" si="12"/>
        <v>5.8828900000000069E-3</v>
      </c>
      <c r="J206" s="5">
        <f t="shared" si="13"/>
        <v>1.6078240000000008E-2</v>
      </c>
      <c r="K206" s="5">
        <f t="shared" si="14"/>
        <v>4.145295999999999E-2</v>
      </c>
      <c r="L206" s="4">
        <f t="shared" si="15"/>
        <v>0.74817845604476174</v>
      </c>
    </row>
    <row r="207" spans="1:12">
      <c r="A207" s="2">
        <v>800</v>
      </c>
      <c r="B207" s="2" t="s">
        <v>86</v>
      </c>
      <c r="C207" s="2">
        <v>45550</v>
      </c>
      <c r="D207" s="2" t="s">
        <v>235</v>
      </c>
      <c r="E207" s="2">
        <v>0</v>
      </c>
      <c r="F207" s="2">
        <v>0.35709999999999997</v>
      </c>
      <c r="G207" s="2">
        <v>0.2389</v>
      </c>
      <c r="H207" s="2">
        <v>0.40400000000000003</v>
      </c>
      <c r="I207" s="5">
        <f t="shared" si="12"/>
        <v>2.3562250000000024E-2</v>
      </c>
      <c r="J207" s="5">
        <f t="shared" si="13"/>
        <v>1.9096900000000014E-3</v>
      </c>
      <c r="K207" s="5">
        <f t="shared" si="14"/>
        <v>3.8887840000000007E-2</v>
      </c>
      <c r="L207" s="4">
        <f t="shared" si="15"/>
        <v>0.74630770606894647</v>
      </c>
    </row>
    <row r="208" spans="1:12">
      <c r="A208" s="2">
        <v>800</v>
      </c>
      <c r="B208" s="2" t="s">
        <v>86</v>
      </c>
      <c r="C208" s="2">
        <v>818</v>
      </c>
      <c r="D208" s="2" t="s">
        <v>168</v>
      </c>
      <c r="E208" s="2">
        <v>0</v>
      </c>
      <c r="F208" s="2">
        <v>0.1646</v>
      </c>
      <c r="G208" s="2">
        <v>0.3629</v>
      </c>
      <c r="H208" s="2">
        <v>0.47249999999999998</v>
      </c>
      <c r="I208" s="5">
        <f t="shared" si="12"/>
        <v>0.11971600000000006</v>
      </c>
      <c r="J208" s="5">
        <f t="shared" si="13"/>
        <v>6.4480899999999975E-3</v>
      </c>
      <c r="K208" s="5">
        <f t="shared" si="14"/>
        <v>7.059648999999997E-2</v>
      </c>
      <c r="L208" s="4">
        <f t="shared" si="15"/>
        <v>0.55642297173996935</v>
      </c>
    </row>
    <row r="209" spans="1:12">
      <c r="A209" s="2">
        <v>800</v>
      </c>
      <c r="B209" s="2" t="s">
        <v>86</v>
      </c>
      <c r="C209" s="2">
        <v>819</v>
      </c>
      <c r="D209" s="2" t="s">
        <v>317</v>
      </c>
      <c r="E209" s="2">
        <v>0</v>
      </c>
      <c r="F209" s="2">
        <v>0.23960000000000001</v>
      </c>
      <c r="G209" s="2">
        <v>0.41649999999999998</v>
      </c>
      <c r="H209" s="2">
        <v>0.34379999999999999</v>
      </c>
      <c r="I209" s="5">
        <f t="shared" si="12"/>
        <v>7.3441000000000006E-2</v>
      </c>
      <c r="J209" s="5">
        <f t="shared" si="13"/>
        <v>1.7929209999999991E-2</v>
      </c>
      <c r="K209" s="5">
        <f t="shared" si="14"/>
        <v>1.8768999999999994E-2</v>
      </c>
      <c r="L209" s="4">
        <f t="shared" si="15"/>
        <v>0.66812772035013235</v>
      </c>
    </row>
    <row r="210" spans="1:12">
      <c r="A210" s="2">
        <v>800</v>
      </c>
      <c r="B210" s="2" t="s">
        <v>86</v>
      </c>
      <c r="C210" s="2">
        <v>820</v>
      </c>
      <c r="D210" s="2" t="s">
        <v>196</v>
      </c>
      <c r="E210" s="2">
        <v>0</v>
      </c>
      <c r="F210" s="2">
        <v>0.20649999999999999</v>
      </c>
      <c r="G210" s="2">
        <v>0.35020000000000001</v>
      </c>
      <c r="H210" s="2">
        <v>0.44330000000000003</v>
      </c>
      <c r="I210" s="5">
        <f t="shared" si="12"/>
        <v>9.247681000000002E-2</v>
      </c>
      <c r="J210" s="5">
        <f t="shared" si="13"/>
        <v>4.5697599999999991E-3</v>
      </c>
      <c r="K210" s="5">
        <f t="shared" si="14"/>
        <v>5.593225000000001E-2</v>
      </c>
      <c r="L210" s="4">
        <f t="shared" si="15"/>
        <v>0.60887493048898023</v>
      </c>
    </row>
    <row r="211" spans="1:12">
      <c r="A211" s="2">
        <v>170609</v>
      </c>
      <c r="B211" s="2" t="s">
        <v>265</v>
      </c>
      <c r="C211" s="2">
        <v>170609</v>
      </c>
      <c r="D211" s="2" t="s">
        <v>265</v>
      </c>
      <c r="E211" s="2">
        <v>1</v>
      </c>
      <c r="F211" s="2">
        <v>0.45729999999999998</v>
      </c>
      <c r="G211" s="2">
        <v>0.16159999999999999</v>
      </c>
      <c r="H211" s="2">
        <v>0.38109999999999999</v>
      </c>
      <c r="I211" s="5">
        <f t="shared" si="12"/>
        <v>2.8408900000000074E-3</v>
      </c>
      <c r="J211" s="5">
        <f t="shared" si="13"/>
        <v>1.4641000000000006E-2</v>
      </c>
      <c r="K211" s="5">
        <f t="shared" si="14"/>
        <v>3.0380489999999993E-2</v>
      </c>
      <c r="L211" s="4">
        <f t="shared" si="15"/>
        <v>0.78122527568295275</v>
      </c>
    </row>
    <row r="212" spans="1:12">
      <c r="A212" s="2">
        <v>1275</v>
      </c>
      <c r="B212" s="2" t="s">
        <v>197</v>
      </c>
      <c r="C212" s="2">
        <v>1278</v>
      </c>
      <c r="D212" s="2" t="s">
        <v>249</v>
      </c>
      <c r="E212" s="2">
        <v>0</v>
      </c>
      <c r="F212" s="2">
        <v>0.37269999999999998</v>
      </c>
      <c r="G212" s="2">
        <v>0.23130000000000001</v>
      </c>
      <c r="H212" s="2">
        <v>0.39600000000000002</v>
      </c>
      <c r="I212" s="5">
        <f t="shared" si="12"/>
        <v>1.9016410000000022E-2</v>
      </c>
      <c r="J212" s="5">
        <f t="shared" si="13"/>
        <v>2.6316900000000012E-3</v>
      </c>
      <c r="K212" s="5">
        <f t="shared" si="14"/>
        <v>3.5796640000000005E-2</v>
      </c>
      <c r="L212" s="4">
        <f t="shared" si="15"/>
        <v>0.7603236765969571</v>
      </c>
    </row>
    <row r="213" spans="1:12">
      <c r="A213" s="2">
        <v>1275</v>
      </c>
      <c r="B213" s="2" t="s">
        <v>197</v>
      </c>
      <c r="C213" s="2">
        <v>1279</v>
      </c>
      <c r="D213" s="2" t="s">
        <v>278</v>
      </c>
      <c r="E213" s="2">
        <v>0</v>
      </c>
      <c r="F213" s="2">
        <v>0.23860000000000001</v>
      </c>
      <c r="G213" s="2">
        <v>0.38950000000000001</v>
      </c>
      <c r="H213" s="2">
        <v>0.37190000000000001</v>
      </c>
      <c r="I213" s="5">
        <f t="shared" si="12"/>
        <v>7.3984000000000008E-2</v>
      </c>
      <c r="J213" s="5">
        <f t="shared" si="13"/>
        <v>1.142761E-2</v>
      </c>
      <c r="K213" s="5">
        <f t="shared" si="14"/>
        <v>2.7258009999999999E-2</v>
      </c>
      <c r="L213" s="4">
        <f t="shared" si="15"/>
        <v>0.66433704404566774</v>
      </c>
    </row>
    <row r="214" spans="1:12">
      <c r="A214" s="2">
        <v>1275</v>
      </c>
      <c r="B214" s="2" t="s">
        <v>197</v>
      </c>
      <c r="C214" s="2">
        <v>1280</v>
      </c>
      <c r="D214" s="2" t="s">
        <v>198</v>
      </c>
      <c r="E214" s="2">
        <v>0</v>
      </c>
      <c r="F214" s="2">
        <v>0.21940000000000001</v>
      </c>
      <c r="G214" s="2">
        <v>0.33800000000000002</v>
      </c>
      <c r="H214" s="2">
        <v>0.44259999999999999</v>
      </c>
      <c r="I214" s="5">
        <f t="shared" si="12"/>
        <v>8.4797440000000002E-2</v>
      </c>
      <c r="J214" s="5">
        <f t="shared" si="13"/>
        <v>3.0691600000000005E-3</v>
      </c>
      <c r="K214" s="5">
        <f t="shared" si="14"/>
        <v>5.5601639999999994E-2</v>
      </c>
      <c r="L214" s="4">
        <f t="shared" si="15"/>
        <v>0.62122798413821534</v>
      </c>
    </row>
    <row r="215" spans="1:12">
      <c r="A215" s="2">
        <v>1275</v>
      </c>
      <c r="B215" s="2" t="s">
        <v>197</v>
      </c>
      <c r="C215" s="2">
        <v>1282</v>
      </c>
      <c r="D215" s="2" t="s">
        <v>261</v>
      </c>
      <c r="E215" s="2">
        <v>0</v>
      </c>
      <c r="F215" s="2">
        <v>0.35399999999999998</v>
      </c>
      <c r="G215" s="2">
        <v>0.26190000000000002</v>
      </c>
      <c r="H215" s="2">
        <v>0.3841</v>
      </c>
      <c r="I215" s="5">
        <f t="shared" si="12"/>
        <v>2.4523560000000024E-2</v>
      </c>
      <c r="J215" s="5">
        <f t="shared" si="13"/>
        <v>4.2848999999999985E-4</v>
      </c>
      <c r="K215" s="5">
        <f t="shared" si="14"/>
        <v>3.1435289999999998E-2</v>
      </c>
      <c r="L215" s="4">
        <f t="shared" si="15"/>
        <v>0.76253981386346048</v>
      </c>
    </row>
    <row r="216" spans="1:12">
      <c r="A216" s="2">
        <v>1275</v>
      </c>
      <c r="B216" s="2" t="s">
        <v>197</v>
      </c>
      <c r="C216" s="2">
        <v>1281</v>
      </c>
      <c r="D216" s="2" t="s">
        <v>289</v>
      </c>
      <c r="E216" s="2">
        <v>0</v>
      </c>
      <c r="F216" s="2">
        <v>0.26600000000000001</v>
      </c>
      <c r="G216" s="2">
        <v>0.36899999999999999</v>
      </c>
      <c r="H216" s="2">
        <v>0.36499999999999999</v>
      </c>
      <c r="I216" s="5">
        <f t="shared" si="12"/>
        <v>5.982916000000002E-2</v>
      </c>
      <c r="J216" s="5">
        <f t="shared" si="13"/>
        <v>7.4649599999999962E-3</v>
      </c>
      <c r="K216" s="5">
        <f t="shared" si="14"/>
        <v>2.5027239999999992E-2</v>
      </c>
      <c r="L216" s="4">
        <f t="shared" si="15"/>
        <v>0.69615569776610919</v>
      </c>
    </row>
    <row r="217" spans="1:12">
      <c r="A217" s="2">
        <v>1275</v>
      </c>
      <c r="B217" s="2" t="s">
        <v>197</v>
      </c>
      <c r="C217" s="2">
        <v>1283</v>
      </c>
      <c r="D217" s="2" t="s">
        <v>347</v>
      </c>
      <c r="E217" s="2">
        <v>0</v>
      </c>
      <c r="F217" s="2">
        <v>0.22639999999999999</v>
      </c>
      <c r="G217" s="2">
        <v>0.46100000000000002</v>
      </c>
      <c r="H217" s="2">
        <v>0.31259999999999999</v>
      </c>
      <c r="I217" s="5">
        <f t="shared" si="12"/>
        <v>8.0769640000000031E-2</v>
      </c>
      <c r="J217" s="5">
        <f t="shared" si="13"/>
        <v>3.1826560000000004E-2</v>
      </c>
      <c r="K217" s="5">
        <f t="shared" si="14"/>
        <v>1.1193639999999996E-2</v>
      </c>
      <c r="L217" s="4">
        <f t="shared" si="15"/>
        <v>0.64816219645978912</v>
      </c>
    </row>
    <row r="218" spans="1:12">
      <c r="A218" s="2">
        <v>1275</v>
      </c>
      <c r="B218" s="2" t="s">
        <v>197</v>
      </c>
      <c r="C218" s="2">
        <v>1284</v>
      </c>
      <c r="D218" s="2" t="s">
        <v>300</v>
      </c>
      <c r="E218" s="2">
        <v>0</v>
      </c>
      <c r="F218" s="2">
        <v>0.32469999999999999</v>
      </c>
      <c r="G218" s="2">
        <v>0.32119999999999999</v>
      </c>
      <c r="H218" s="2">
        <v>0.35410000000000003</v>
      </c>
      <c r="I218" s="5">
        <f t="shared" si="12"/>
        <v>3.4558810000000023E-2</v>
      </c>
      <c r="J218" s="5">
        <f t="shared" si="13"/>
        <v>1.4899599999999974E-3</v>
      </c>
      <c r="K218" s="5">
        <f t="shared" si="14"/>
        <v>2.1697290000000004E-2</v>
      </c>
      <c r="L218" s="4">
        <f t="shared" si="15"/>
        <v>0.75969590099209705</v>
      </c>
    </row>
    <row r="219" spans="1:12">
      <c r="A219" s="2">
        <v>185688</v>
      </c>
      <c r="B219" s="2" t="s">
        <v>388</v>
      </c>
      <c r="C219" s="2">
        <v>185688</v>
      </c>
      <c r="D219" s="2" t="s">
        <v>388</v>
      </c>
      <c r="E219" s="2">
        <v>1</v>
      </c>
      <c r="F219" s="2">
        <v>0.59909999999999997</v>
      </c>
      <c r="G219" s="2">
        <v>0.1226</v>
      </c>
      <c r="H219" s="2">
        <v>0.2782</v>
      </c>
      <c r="I219" s="5">
        <f t="shared" si="12"/>
        <v>7.8322499999999851E-3</v>
      </c>
      <c r="J219" s="5">
        <f t="shared" si="13"/>
        <v>2.5600000000000012E-2</v>
      </c>
      <c r="K219" s="5">
        <f t="shared" si="14"/>
        <v>5.0979599999999986E-3</v>
      </c>
      <c r="L219" s="4">
        <f t="shared" si="15"/>
        <v>0.80370886418383536</v>
      </c>
    </row>
    <row r="220" spans="1:12">
      <c r="A220" s="2">
        <v>795</v>
      </c>
      <c r="B220" s="2" t="s">
        <v>163</v>
      </c>
      <c r="C220" s="2">
        <v>797</v>
      </c>
      <c r="D220" s="2" t="s">
        <v>223</v>
      </c>
      <c r="E220" s="2">
        <v>0</v>
      </c>
      <c r="F220" s="2">
        <v>0.51680000000000004</v>
      </c>
      <c r="G220" s="2">
        <v>6.4899999999999999E-2</v>
      </c>
      <c r="H220" s="2">
        <v>0.41830000000000001</v>
      </c>
      <c r="I220" s="5">
        <f t="shared" si="12"/>
        <v>3.8439999999999795E-5</v>
      </c>
      <c r="J220" s="5">
        <f t="shared" si="13"/>
        <v>4.7393290000000005E-2</v>
      </c>
      <c r="K220" s="5">
        <f t="shared" si="14"/>
        <v>4.4732249999999994E-2</v>
      </c>
      <c r="L220" s="4">
        <f t="shared" si="15"/>
        <v>0.69641478955653979</v>
      </c>
    </row>
    <row r="221" spans="1:12">
      <c r="A221" s="2">
        <v>795</v>
      </c>
      <c r="B221" s="2" t="s">
        <v>163</v>
      </c>
      <c r="C221" s="2">
        <v>185880</v>
      </c>
      <c r="D221" s="2" t="s">
        <v>164</v>
      </c>
      <c r="E221" s="2">
        <v>0</v>
      </c>
      <c r="F221" s="2">
        <v>0.4864</v>
      </c>
      <c r="G221" s="2">
        <v>3.95E-2</v>
      </c>
      <c r="H221" s="2">
        <v>0.47410000000000002</v>
      </c>
      <c r="I221" s="5">
        <f t="shared" si="12"/>
        <v>5.8564000000000261E-4</v>
      </c>
      <c r="J221" s="5">
        <f t="shared" si="13"/>
        <v>5.9097610000000002E-2</v>
      </c>
      <c r="K221" s="5">
        <f t="shared" si="14"/>
        <v>7.1449289999999985E-2</v>
      </c>
      <c r="L221" s="4">
        <f t="shared" si="15"/>
        <v>0.6378777278321589</v>
      </c>
    </row>
    <row r="222" spans="1:12">
      <c r="A222" s="2">
        <v>185798</v>
      </c>
      <c r="B222" s="2" t="s">
        <v>370</v>
      </c>
      <c r="C222" s="2">
        <v>185798</v>
      </c>
      <c r="D222" s="2" t="s">
        <v>370</v>
      </c>
      <c r="E222" s="2">
        <v>1</v>
      </c>
      <c r="F222" s="2">
        <v>0.373</v>
      </c>
      <c r="G222" s="2">
        <v>0.33460000000000001</v>
      </c>
      <c r="H222" s="2">
        <v>0.29239999999999999</v>
      </c>
      <c r="I222" s="5">
        <f t="shared" si="12"/>
        <v>1.8933760000000015E-2</v>
      </c>
      <c r="J222" s="5">
        <f t="shared" si="13"/>
        <v>2.7039999999999989E-3</v>
      </c>
      <c r="K222" s="5">
        <f t="shared" si="14"/>
        <v>7.3273599999999972E-3</v>
      </c>
      <c r="L222" s="4">
        <f t="shared" si="15"/>
        <v>0.82980857835954236</v>
      </c>
    </row>
    <row r="223" spans="1:12">
      <c r="A223" s="2">
        <v>135602</v>
      </c>
      <c r="B223" s="2" t="s">
        <v>32</v>
      </c>
      <c r="C223" s="2">
        <v>135602</v>
      </c>
      <c r="D223" s="2" t="s">
        <v>32</v>
      </c>
      <c r="E223" s="2">
        <v>1</v>
      </c>
      <c r="F223" s="2">
        <v>0.1014</v>
      </c>
      <c r="G223" s="2">
        <v>0.14979999999999999</v>
      </c>
      <c r="H223" s="2">
        <v>0.74890000000000001</v>
      </c>
      <c r="I223" s="5">
        <f t="shared" si="12"/>
        <v>0.16744464000000006</v>
      </c>
      <c r="J223" s="5">
        <f t="shared" si="13"/>
        <v>1.7635840000000007E-2</v>
      </c>
      <c r="K223" s="5">
        <f t="shared" si="14"/>
        <v>0.29387241000000003</v>
      </c>
      <c r="L223" s="4">
        <f t="shared" si="15"/>
        <v>0.30793577610166833</v>
      </c>
    </row>
    <row r="224" spans="1:12">
      <c r="A224" s="2">
        <v>783</v>
      </c>
      <c r="B224" s="2" t="s">
        <v>209</v>
      </c>
      <c r="C224" s="2">
        <v>186131</v>
      </c>
      <c r="D224" s="2" t="s">
        <v>210</v>
      </c>
      <c r="E224" s="2">
        <v>0</v>
      </c>
      <c r="F224" s="2">
        <v>0.2266</v>
      </c>
      <c r="G224" s="2">
        <v>0.34360000000000002</v>
      </c>
      <c r="H224" s="2">
        <v>0.42970000000000003</v>
      </c>
      <c r="I224" s="5">
        <f t="shared" si="12"/>
        <v>8.0656000000000019E-2</v>
      </c>
      <c r="J224" s="5">
        <f t="shared" si="13"/>
        <v>3.7209999999999999E-3</v>
      </c>
      <c r="K224" s="5">
        <f t="shared" si="14"/>
        <v>4.9684410000000005E-2</v>
      </c>
      <c r="L224" s="4">
        <f t="shared" si="15"/>
        <v>0.63385602558556275</v>
      </c>
    </row>
    <row r="225" spans="1:12">
      <c r="A225" s="2">
        <v>783</v>
      </c>
      <c r="B225" s="2" t="s">
        <v>209</v>
      </c>
      <c r="C225" s="2">
        <v>786</v>
      </c>
      <c r="D225" s="2" t="s">
        <v>215</v>
      </c>
      <c r="E225" s="2">
        <v>0</v>
      </c>
      <c r="F225" s="2">
        <v>0.17150000000000001</v>
      </c>
      <c r="G225" s="2">
        <v>0.40150000000000002</v>
      </c>
      <c r="H225" s="2">
        <v>0.42699999999999999</v>
      </c>
      <c r="I225" s="5">
        <f t="shared" si="12"/>
        <v>0.11498881000000005</v>
      </c>
      <c r="J225" s="5">
        <f t="shared" si="13"/>
        <v>1.4137210000000001E-2</v>
      </c>
      <c r="K225" s="5">
        <f t="shared" si="14"/>
        <v>4.8488039999999989E-2</v>
      </c>
      <c r="L225" s="4">
        <f t="shared" si="15"/>
        <v>0.57855716876425567</v>
      </c>
    </row>
    <row r="226" spans="1:12">
      <c r="A226" s="2">
        <v>1261</v>
      </c>
      <c r="B226" s="2" t="s">
        <v>244</v>
      </c>
      <c r="C226" s="2">
        <v>1264</v>
      </c>
      <c r="D226" s="2" t="s">
        <v>331</v>
      </c>
      <c r="E226" s="2">
        <v>0</v>
      </c>
      <c r="F226" s="2">
        <v>0.13600000000000001</v>
      </c>
      <c r="G226" s="2">
        <v>0.5454</v>
      </c>
      <c r="H226" s="2">
        <v>0.31859999999999999</v>
      </c>
      <c r="I226" s="5">
        <f t="shared" si="12"/>
        <v>0.14032516000000003</v>
      </c>
      <c r="J226" s="5">
        <f t="shared" si="13"/>
        <v>6.9063839999999987E-2</v>
      </c>
      <c r="K226" s="5">
        <f t="shared" si="14"/>
        <v>1.2499239999999997E-2</v>
      </c>
      <c r="L226" s="4">
        <f t="shared" si="15"/>
        <v>0.52894985404948658</v>
      </c>
    </row>
    <row r="227" spans="1:12">
      <c r="A227" s="2">
        <v>1261</v>
      </c>
      <c r="B227" s="2" t="s">
        <v>244</v>
      </c>
      <c r="C227" s="2">
        <v>130590</v>
      </c>
      <c r="D227" s="2" t="s">
        <v>385</v>
      </c>
      <c r="E227" s="2">
        <v>0</v>
      </c>
      <c r="F227" s="2">
        <v>0.15040000000000001</v>
      </c>
      <c r="G227" s="2">
        <v>0.56910000000000005</v>
      </c>
      <c r="H227" s="2">
        <v>0.28060000000000002</v>
      </c>
      <c r="I227" s="5">
        <f t="shared" si="12"/>
        <v>0.12974404000000006</v>
      </c>
      <c r="J227" s="5">
        <f t="shared" si="13"/>
        <v>8.2082250000000023E-2</v>
      </c>
      <c r="K227" s="5">
        <f t="shared" si="14"/>
        <v>5.4464400000000003E-3</v>
      </c>
      <c r="L227" s="4">
        <f t="shared" si="15"/>
        <v>0.53387477004564521</v>
      </c>
    </row>
    <row r="228" spans="1:12">
      <c r="A228" s="2">
        <v>1261</v>
      </c>
      <c r="B228" s="2" t="s">
        <v>244</v>
      </c>
      <c r="C228" s="2">
        <v>1266</v>
      </c>
      <c r="D228" s="2" t="s">
        <v>245</v>
      </c>
      <c r="E228" s="2">
        <v>0</v>
      </c>
      <c r="F228" s="2">
        <v>0.1537</v>
      </c>
      <c r="G228" s="2">
        <v>0.44790000000000002</v>
      </c>
      <c r="H228" s="2">
        <v>0.39850000000000002</v>
      </c>
      <c r="I228" s="5">
        <f t="shared" si="12"/>
        <v>0.12737761000000003</v>
      </c>
      <c r="J228" s="5">
        <f t="shared" si="13"/>
        <v>2.7324090000000002E-2</v>
      </c>
      <c r="K228" s="5">
        <f t="shared" si="14"/>
        <v>3.6748890000000006E-2</v>
      </c>
      <c r="L228" s="4">
        <f t="shared" si="15"/>
        <v>0.56244932864866948</v>
      </c>
    </row>
    <row r="229" spans="1:12">
      <c r="A229" s="2">
        <v>1261</v>
      </c>
      <c r="B229" s="2" t="s">
        <v>244</v>
      </c>
      <c r="C229" s="2">
        <v>1270</v>
      </c>
      <c r="D229" s="2" t="s">
        <v>227</v>
      </c>
      <c r="E229" s="2">
        <v>0</v>
      </c>
      <c r="F229" s="2">
        <v>0.16600000000000001</v>
      </c>
      <c r="G229" s="2">
        <v>0.5968</v>
      </c>
      <c r="H229" s="2">
        <v>0.23730000000000001</v>
      </c>
      <c r="I229" s="5">
        <f t="shared" si="12"/>
        <v>0.11874916000000001</v>
      </c>
      <c r="J229" s="5">
        <f t="shared" si="13"/>
        <v>9.8721639999999986E-2</v>
      </c>
      <c r="K229" s="5">
        <f t="shared" si="14"/>
        <v>9.3024999999999998E-4</v>
      </c>
      <c r="L229" s="4">
        <f t="shared" si="15"/>
        <v>0.53266601878314046</v>
      </c>
    </row>
    <row r="230" spans="1:12">
      <c r="A230" s="2">
        <v>1261</v>
      </c>
      <c r="B230" s="2" t="s">
        <v>244</v>
      </c>
      <c r="C230" s="2">
        <v>1268</v>
      </c>
      <c r="D230" s="2" t="s">
        <v>196</v>
      </c>
      <c r="E230" s="2">
        <v>0</v>
      </c>
      <c r="F230" s="2">
        <v>0.26229999999999998</v>
      </c>
      <c r="G230" s="2">
        <v>0.36609999999999998</v>
      </c>
      <c r="H230" s="2">
        <v>0.37159999999999999</v>
      </c>
      <c r="I230" s="5">
        <f t="shared" si="12"/>
        <v>6.1652890000000037E-2</v>
      </c>
      <c r="J230" s="5">
        <f t="shared" si="13"/>
        <v>6.9722499999999941E-3</v>
      </c>
      <c r="K230" s="5">
        <f t="shared" si="14"/>
        <v>2.7159039999999992E-2</v>
      </c>
      <c r="L230" s="4">
        <f t="shared" si="15"/>
        <v>0.69050980629428649</v>
      </c>
    </row>
    <row r="231" spans="1:12">
      <c r="A231" s="2">
        <v>1261</v>
      </c>
      <c r="B231" s="2" t="s">
        <v>244</v>
      </c>
      <c r="C231" s="2">
        <v>1269</v>
      </c>
      <c r="D231" s="2" t="s">
        <v>382</v>
      </c>
      <c r="E231" s="2">
        <v>0</v>
      </c>
      <c r="F231" s="2">
        <v>0.1956</v>
      </c>
      <c r="G231" s="2">
        <v>0.52170000000000005</v>
      </c>
      <c r="H231" s="2">
        <v>0.28270000000000001</v>
      </c>
      <c r="I231" s="5">
        <f t="shared" si="12"/>
        <v>9.9225000000000035E-2</v>
      </c>
      <c r="J231" s="5">
        <f t="shared" si="13"/>
        <v>5.7168810000000014E-2</v>
      </c>
      <c r="K231" s="5">
        <f t="shared" si="14"/>
        <v>5.760809999999999E-3</v>
      </c>
      <c r="L231" s="4">
        <f t="shared" si="15"/>
        <v>0.59731573162091367</v>
      </c>
    </row>
    <row r="232" spans="1:12">
      <c r="A232" s="2">
        <v>165609</v>
      </c>
      <c r="B232" s="2" t="s">
        <v>251</v>
      </c>
      <c r="C232" s="2">
        <v>165609</v>
      </c>
      <c r="D232" s="2" t="s">
        <v>251</v>
      </c>
      <c r="E232" s="2">
        <v>1</v>
      </c>
      <c r="F232" s="2">
        <v>0.57679999999999998</v>
      </c>
      <c r="G232" s="2">
        <v>2.9700000000000001E-2</v>
      </c>
      <c r="H232" s="2">
        <v>0.39340000000000003</v>
      </c>
      <c r="I232" s="5">
        <f t="shared" si="12"/>
        <v>4.3824399999999901E-3</v>
      </c>
      <c r="J232" s="5">
        <f t="shared" si="13"/>
        <v>6.3958410000000007E-2</v>
      </c>
      <c r="K232" s="5">
        <f t="shared" si="14"/>
        <v>3.4819560000000006E-2</v>
      </c>
      <c r="L232" s="4">
        <f t="shared" si="15"/>
        <v>0.67881405697010955</v>
      </c>
    </row>
    <row r="233" spans="1:12">
      <c r="A233" s="2">
        <v>185694</v>
      </c>
      <c r="B233" s="2" t="s">
        <v>400</v>
      </c>
      <c r="C233" s="2">
        <v>185694</v>
      </c>
      <c r="D233" s="2" t="s">
        <v>400</v>
      </c>
      <c r="E233" s="2">
        <v>1</v>
      </c>
      <c r="F233" s="2">
        <v>0.55859999999999999</v>
      </c>
      <c r="G233" s="2">
        <v>0.1719</v>
      </c>
      <c r="H233" s="2">
        <v>0.26950000000000002</v>
      </c>
      <c r="I233" s="5">
        <f t="shared" si="12"/>
        <v>2.3039999999999936E-3</v>
      </c>
      <c r="J233" s="5">
        <f t="shared" si="13"/>
        <v>1.2254490000000005E-2</v>
      </c>
      <c r="K233" s="5">
        <f t="shared" si="14"/>
        <v>3.9312900000000005E-3</v>
      </c>
      <c r="L233" s="4">
        <f t="shared" si="15"/>
        <v>0.86402286956991625</v>
      </c>
    </row>
    <row r="234" spans="1:12">
      <c r="A234" s="2">
        <v>185702</v>
      </c>
      <c r="B234" s="2" t="s">
        <v>248</v>
      </c>
      <c r="C234" s="2">
        <v>185702</v>
      </c>
      <c r="D234" s="2" t="s">
        <v>248</v>
      </c>
      <c r="E234" s="2">
        <v>1</v>
      </c>
      <c r="F234" s="2">
        <v>0.41070000000000001</v>
      </c>
      <c r="G234" s="2">
        <v>0.19320000000000001</v>
      </c>
      <c r="H234" s="2">
        <v>0.39610000000000001</v>
      </c>
      <c r="I234" s="5">
        <f t="shared" si="12"/>
        <v>9.9800100000000096E-3</v>
      </c>
      <c r="J234" s="5">
        <f t="shared" si="13"/>
        <v>7.9923600000000004E-3</v>
      </c>
      <c r="K234" s="5">
        <f t="shared" si="14"/>
        <v>3.5834489999999997E-2</v>
      </c>
      <c r="L234" s="4">
        <f t="shared" si="15"/>
        <v>0.76803694259645572</v>
      </c>
    </row>
    <row r="235" spans="1:12">
      <c r="A235" s="3">
        <v>772</v>
      </c>
      <c r="B235" s="3" t="s">
        <v>1</v>
      </c>
      <c r="C235" s="3">
        <v>774</v>
      </c>
      <c r="D235" s="3" t="s">
        <v>12</v>
      </c>
      <c r="E235" s="3">
        <v>0</v>
      </c>
      <c r="F235" s="2">
        <v>0.01</v>
      </c>
      <c r="G235" s="2">
        <v>0.18920000000000001</v>
      </c>
      <c r="H235" s="2">
        <v>0.80079999999999996</v>
      </c>
      <c r="I235" s="5">
        <f t="shared" si="12"/>
        <v>0.25060036000000002</v>
      </c>
      <c r="J235" s="5">
        <f t="shared" si="13"/>
        <v>8.7235600000000017E-3</v>
      </c>
      <c r="K235" s="5">
        <f t="shared" si="14"/>
        <v>0.35283599999999998</v>
      </c>
      <c r="L235" s="4">
        <f t="shared" si="15"/>
        <v>0.21759350718440473</v>
      </c>
    </row>
    <row r="236" spans="1:12">
      <c r="A236" s="2">
        <v>772</v>
      </c>
      <c r="B236" s="2" t="s">
        <v>1</v>
      </c>
      <c r="C236" s="2">
        <v>775</v>
      </c>
      <c r="D236" s="2" t="s">
        <v>54</v>
      </c>
      <c r="E236" s="2">
        <v>0</v>
      </c>
      <c r="F236" s="2">
        <v>0.247</v>
      </c>
      <c r="G236" s="2">
        <v>0.10440000000000001</v>
      </c>
      <c r="H236" s="2">
        <v>0.64859999999999995</v>
      </c>
      <c r="I236" s="5">
        <f t="shared" si="12"/>
        <v>6.9484960000000026E-2</v>
      </c>
      <c r="J236" s="5">
        <f t="shared" si="13"/>
        <v>3.1755240000000011E-2</v>
      </c>
      <c r="K236" s="5">
        <f t="shared" si="14"/>
        <v>0.19518723999999998</v>
      </c>
      <c r="L236" s="4">
        <f t="shared" si="15"/>
        <v>0.45554849619089122</v>
      </c>
    </row>
    <row r="237" spans="1:12">
      <c r="A237" s="2">
        <v>772</v>
      </c>
      <c r="B237" s="2" t="s">
        <v>1</v>
      </c>
      <c r="C237" s="2">
        <v>777</v>
      </c>
      <c r="D237" s="2" t="s">
        <v>142</v>
      </c>
      <c r="E237" s="2">
        <v>0</v>
      </c>
      <c r="F237" s="2">
        <v>0.15659999999999999</v>
      </c>
      <c r="G237" s="2">
        <v>0.34639999999999999</v>
      </c>
      <c r="H237" s="2">
        <v>0.497</v>
      </c>
      <c r="I237" s="5">
        <f t="shared" si="12"/>
        <v>0.12531600000000007</v>
      </c>
      <c r="J237" s="5">
        <f t="shared" si="13"/>
        <v>4.0704399999999955E-3</v>
      </c>
      <c r="K237" s="5">
        <f t="shared" si="14"/>
        <v>8.4216040000000006E-2</v>
      </c>
      <c r="L237" s="4">
        <f t="shared" si="15"/>
        <v>0.53782851667373488</v>
      </c>
    </row>
    <row r="238" spans="1:12">
      <c r="A238" s="2">
        <v>772</v>
      </c>
      <c r="B238" s="2" t="s">
        <v>1</v>
      </c>
      <c r="C238" s="2">
        <v>776</v>
      </c>
      <c r="D238" s="2" t="s">
        <v>2</v>
      </c>
      <c r="E238" s="2">
        <v>0</v>
      </c>
      <c r="F238" s="2">
        <v>1E-3</v>
      </c>
      <c r="G238" s="2">
        <v>1.6400000000000001E-2</v>
      </c>
      <c r="H238" s="2">
        <v>0.98250000000000004</v>
      </c>
      <c r="I238" s="5">
        <f t="shared" si="12"/>
        <v>0.25969216000000006</v>
      </c>
      <c r="J238" s="5">
        <f t="shared" si="13"/>
        <v>7.0862439999999999E-2</v>
      </c>
      <c r="K238" s="5">
        <f t="shared" si="14"/>
        <v>0.6017104900000001</v>
      </c>
      <c r="L238" s="4">
        <f t="shared" si="15"/>
        <v>3.446124365720038E-2</v>
      </c>
    </row>
    <row r="239" spans="1:12">
      <c r="A239" s="2">
        <v>765</v>
      </c>
      <c r="B239" s="2" t="s">
        <v>33</v>
      </c>
      <c r="C239" s="2">
        <v>767</v>
      </c>
      <c r="D239" s="2" t="s">
        <v>34</v>
      </c>
      <c r="E239" s="2">
        <v>0</v>
      </c>
      <c r="F239" s="2">
        <v>0.2407</v>
      </c>
      <c r="G239" s="2">
        <v>1.34E-2</v>
      </c>
      <c r="H239" s="2">
        <v>0.74590000000000001</v>
      </c>
      <c r="I239" s="5">
        <f t="shared" si="12"/>
        <v>7.2846010000000017E-2</v>
      </c>
      <c r="J239" s="5">
        <f t="shared" si="13"/>
        <v>7.2468640000000001E-2</v>
      </c>
      <c r="K239" s="5">
        <f t="shared" si="14"/>
        <v>0.29062881000000002</v>
      </c>
      <c r="L239" s="4">
        <f t="shared" si="15"/>
        <v>0.33973985429983733</v>
      </c>
    </row>
    <row r="240" spans="1:12">
      <c r="A240" s="2">
        <v>765</v>
      </c>
      <c r="B240" s="2" t="s">
        <v>33</v>
      </c>
      <c r="C240" s="2">
        <v>105568</v>
      </c>
      <c r="D240" s="2" t="s">
        <v>58</v>
      </c>
      <c r="E240" s="2">
        <v>0</v>
      </c>
      <c r="F240" s="2">
        <v>0.30070000000000002</v>
      </c>
      <c r="G240" s="2">
        <v>5.8599999999999999E-2</v>
      </c>
      <c r="H240" s="2">
        <v>0.64070000000000005</v>
      </c>
      <c r="I240" s="5">
        <f t="shared" si="12"/>
        <v>4.4058010000000015E-2</v>
      </c>
      <c r="J240" s="5">
        <f t="shared" si="13"/>
        <v>5.0176000000000012E-2</v>
      </c>
      <c r="K240" s="5">
        <f t="shared" si="14"/>
        <v>0.18826921000000005</v>
      </c>
      <c r="L240" s="4">
        <f t="shared" si="15"/>
        <v>0.46848968025070292</v>
      </c>
    </row>
    <row r="241" spans="1:12">
      <c r="A241" s="2">
        <v>765</v>
      </c>
      <c r="B241" s="2" t="s">
        <v>33</v>
      </c>
      <c r="C241" s="2">
        <v>768</v>
      </c>
      <c r="D241" s="2" t="s">
        <v>50</v>
      </c>
      <c r="E241" s="2">
        <v>0</v>
      </c>
      <c r="F241" s="2">
        <v>0.30199999999999999</v>
      </c>
      <c r="G241" s="2">
        <v>2.81E-2</v>
      </c>
      <c r="H241" s="2">
        <v>0.66990000000000005</v>
      </c>
      <c r="I241" s="5">
        <f t="shared" si="12"/>
        <v>4.3513960000000025E-2</v>
      </c>
      <c r="J241" s="5">
        <f t="shared" si="13"/>
        <v>6.4770250000000001E-2</v>
      </c>
      <c r="K241" s="5">
        <f t="shared" si="14"/>
        <v>0.21446161000000005</v>
      </c>
      <c r="L241" s="4">
        <f t="shared" si="15"/>
        <v>0.43189277420543215</v>
      </c>
    </row>
    <row r="242" spans="1:12">
      <c r="A242" s="2">
        <v>653</v>
      </c>
      <c r="B242" s="2" t="s">
        <v>211</v>
      </c>
      <c r="C242" s="2">
        <v>666</v>
      </c>
      <c r="D242" s="2" t="s">
        <v>241</v>
      </c>
      <c r="E242" s="2">
        <v>0</v>
      </c>
      <c r="F242" s="2">
        <v>0.52039999999999997</v>
      </c>
      <c r="G242" s="2">
        <v>7.9000000000000001E-2</v>
      </c>
      <c r="H242" s="2">
        <v>0.40060000000000001</v>
      </c>
      <c r="I242" s="5">
        <f t="shared" si="12"/>
        <v>9.6039999999998423E-5</v>
      </c>
      <c r="J242" s="5">
        <f t="shared" si="13"/>
        <v>4.1452960000000004E-2</v>
      </c>
      <c r="K242" s="5">
        <f t="shared" si="14"/>
        <v>3.7558439999999998E-2</v>
      </c>
      <c r="L242" s="4">
        <f t="shared" si="15"/>
        <v>0.7187395513052004</v>
      </c>
    </row>
    <row r="243" spans="1:12">
      <c r="A243" s="2">
        <v>653</v>
      </c>
      <c r="B243" s="2" t="s">
        <v>211</v>
      </c>
      <c r="C243" s="2">
        <v>185813</v>
      </c>
      <c r="D243" s="2" t="s">
        <v>392</v>
      </c>
      <c r="E243" s="2">
        <v>0</v>
      </c>
      <c r="F243" s="2">
        <v>0.56259999999999999</v>
      </c>
      <c r="G243" s="2">
        <v>0.1615</v>
      </c>
      <c r="H243" s="2">
        <v>0.27589999999999998</v>
      </c>
      <c r="I243" s="5">
        <f t="shared" si="12"/>
        <v>2.7039999999999933E-3</v>
      </c>
      <c r="J243" s="5">
        <f t="shared" si="13"/>
        <v>1.4665210000000003E-2</v>
      </c>
      <c r="K243" s="5">
        <f t="shared" si="14"/>
        <v>4.7748099999999957E-3</v>
      </c>
      <c r="L243" s="4">
        <f t="shared" si="15"/>
        <v>0.85119133089769261</v>
      </c>
    </row>
    <row r="244" spans="1:12">
      <c r="A244" s="2">
        <v>653</v>
      </c>
      <c r="B244" s="2" t="s">
        <v>211</v>
      </c>
      <c r="C244" s="2">
        <v>668</v>
      </c>
      <c r="D244" s="2" t="s">
        <v>334</v>
      </c>
      <c r="E244" s="2">
        <v>0</v>
      </c>
      <c r="F244" s="2">
        <v>0.2344</v>
      </c>
      <c r="G244" s="2">
        <v>0.52510000000000001</v>
      </c>
      <c r="H244" s="2">
        <v>0.2404</v>
      </c>
      <c r="I244" s="5">
        <f t="shared" si="12"/>
        <v>7.6286440000000025E-2</v>
      </c>
      <c r="J244" s="5">
        <f t="shared" si="13"/>
        <v>5.8806249999999997E-2</v>
      </c>
      <c r="K244" s="5">
        <f t="shared" si="14"/>
        <v>1.1289599999999994E-3</v>
      </c>
      <c r="L244" s="4">
        <f t="shared" si="15"/>
        <v>0.63091782757765169</v>
      </c>
    </row>
    <row r="245" spans="1:12">
      <c r="A245" s="2">
        <v>653</v>
      </c>
      <c r="B245" s="2" t="s">
        <v>211</v>
      </c>
      <c r="C245" s="2">
        <v>130585</v>
      </c>
      <c r="D245" s="2" t="s">
        <v>226</v>
      </c>
      <c r="E245" s="2">
        <v>0</v>
      </c>
      <c r="F245" s="2">
        <v>0.42609999999999998</v>
      </c>
      <c r="G245" s="2">
        <v>0.27629999999999999</v>
      </c>
      <c r="H245" s="2">
        <v>0.29770000000000002</v>
      </c>
      <c r="I245" s="5">
        <f t="shared" si="12"/>
        <v>7.1402500000000129E-3</v>
      </c>
      <c r="J245" s="5">
        <f t="shared" si="13"/>
        <v>3.9690000000000354E-5</v>
      </c>
      <c r="K245" s="5">
        <f t="shared" si="14"/>
        <v>8.2628100000000024E-3</v>
      </c>
      <c r="L245" s="4">
        <f t="shared" si="15"/>
        <v>0.87573113825257742</v>
      </c>
    </row>
    <row r="246" spans="1:12">
      <c r="A246" s="2">
        <v>653</v>
      </c>
      <c r="B246" s="2" t="s">
        <v>211</v>
      </c>
      <c r="C246" s="2">
        <v>175614</v>
      </c>
      <c r="D246" s="2" t="s">
        <v>453</v>
      </c>
      <c r="E246" s="2">
        <v>0</v>
      </c>
      <c r="F246" s="2">
        <v>0.61</v>
      </c>
      <c r="G246" s="2">
        <v>0.1842</v>
      </c>
      <c r="H246" s="2">
        <v>0.20580000000000001</v>
      </c>
      <c r="I246" s="5">
        <f t="shared" si="12"/>
        <v>9.8803599999999873E-3</v>
      </c>
      <c r="J246" s="5">
        <f t="shared" si="13"/>
        <v>9.6825600000000032E-3</v>
      </c>
      <c r="K246" s="5">
        <f t="shared" si="14"/>
        <v>1.0000000000000019E-6</v>
      </c>
      <c r="L246" s="4">
        <f t="shared" si="15"/>
        <v>0.86012891649808387</v>
      </c>
    </row>
    <row r="247" spans="1:12">
      <c r="A247" s="2">
        <v>653</v>
      </c>
      <c r="B247" s="2" t="s">
        <v>211</v>
      </c>
      <c r="C247" s="2">
        <v>185881</v>
      </c>
      <c r="D247" s="2" t="s">
        <v>494</v>
      </c>
      <c r="E247" s="2">
        <v>0</v>
      </c>
      <c r="F247" s="2">
        <v>0.56420000000000003</v>
      </c>
      <c r="G247" s="2">
        <v>0.2928</v>
      </c>
      <c r="H247" s="2">
        <v>0.14299999999999999</v>
      </c>
      <c r="I247" s="5">
        <f t="shared" si="12"/>
        <v>2.8729599999999978E-3</v>
      </c>
      <c r="J247" s="5">
        <f t="shared" si="13"/>
        <v>1.0403999999999973E-4</v>
      </c>
      <c r="K247" s="5">
        <f t="shared" si="14"/>
        <v>4.0704400000000033E-3</v>
      </c>
      <c r="L247" s="4">
        <f t="shared" si="15"/>
        <v>0.91605096784357787</v>
      </c>
    </row>
    <row r="248" spans="1:12">
      <c r="A248" s="2">
        <v>653</v>
      </c>
      <c r="B248" s="2" t="s">
        <v>211</v>
      </c>
      <c r="C248" s="2">
        <v>676</v>
      </c>
      <c r="D248" s="2" t="s">
        <v>394</v>
      </c>
      <c r="E248" s="2">
        <v>0</v>
      </c>
      <c r="F248" s="2">
        <v>0.54279999999999995</v>
      </c>
      <c r="G248" s="2">
        <v>0.18240000000000001</v>
      </c>
      <c r="H248" s="2">
        <v>0.27479999999999999</v>
      </c>
      <c r="I248" s="5">
        <f t="shared" si="12"/>
        <v>1.0368399999999933E-3</v>
      </c>
      <c r="J248" s="5">
        <f t="shared" si="13"/>
        <v>1.0040040000000002E-2</v>
      </c>
      <c r="K248" s="5">
        <f t="shared" si="14"/>
        <v>4.623999999999997E-3</v>
      </c>
      <c r="L248" s="4">
        <f t="shared" si="15"/>
        <v>0.87469684760549726</v>
      </c>
    </row>
    <row r="249" spans="1:12">
      <c r="A249" s="2">
        <v>653</v>
      </c>
      <c r="B249" s="2" t="s">
        <v>211</v>
      </c>
      <c r="C249" s="2">
        <v>185982</v>
      </c>
      <c r="D249" s="2" t="s">
        <v>499</v>
      </c>
      <c r="E249" s="2">
        <v>0</v>
      </c>
      <c r="F249" s="2">
        <v>0.34439999999999998</v>
      </c>
      <c r="G249" s="2">
        <v>0.52010000000000001</v>
      </c>
      <c r="H249" s="2">
        <v>0.13550000000000001</v>
      </c>
      <c r="I249" s="5">
        <f t="shared" si="12"/>
        <v>2.7622440000000022E-2</v>
      </c>
      <c r="J249" s="5">
        <f t="shared" si="13"/>
        <v>5.6406249999999998E-2</v>
      </c>
      <c r="K249" s="5">
        <f t="shared" si="14"/>
        <v>5.0836900000000001E-3</v>
      </c>
      <c r="L249" s="4">
        <f t="shared" si="15"/>
        <v>0.70148303230804454</v>
      </c>
    </row>
    <row r="250" spans="1:12">
      <c r="A250" s="2">
        <v>653</v>
      </c>
      <c r="B250" s="2" t="s">
        <v>211</v>
      </c>
      <c r="C250" s="2">
        <v>75575</v>
      </c>
      <c r="D250" s="2" t="s">
        <v>440</v>
      </c>
      <c r="E250" s="2">
        <v>0</v>
      </c>
      <c r="F250" s="2">
        <v>0.75190000000000001</v>
      </c>
      <c r="G250" s="2">
        <v>2.9000000000000001E-2</v>
      </c>
      <c r="H250" s="2">
        <v>0.219</v>
      </c>
      <c r="I250" s="5">
        <f t="shared" si="12"/>
        <v>5.8225689999999983E-2</v>
      </c>
      <c r="J250" s="5">
        <f t="shared" si="13"/>
        <v>6.4312960000000002E-2</v>
      </c>
      <c r="K250" s="5">
        <f t="shared" si="14"/>
        <v>1.4883999999999972E-4</v>
      </c>
      <c r="L250" s="4">
        <f t="shared" si="15"/>
        <v>0.64973225954992664</v>
      </c>
    </row>
    <row r="251" spans="1:12">
      <c r="A251" s="2">
        <v>653</v>
      </c>
      <c r="B251" s="2" t="s">
        <v>211</v>
      </c>
      <c r="C251" s="2">
        <v>5474</v>
      </c>
      <c r="D251" s="2" t="s">
        <v>523</v>
      </c>
      <c r="E251" s="2">
        <v>0</v>
      </c>
      <c r="F251" s="2">
        <v>0.66910000000000003</v>
      </c>
      <c r="G251" s="2">
        <v>0.24610000000000001</v>
      </c>
      <c r="H251" s="2">
        <v>8.48E-2</v>
      </c>
      <c r="I251" s="5">
        <f t="shared" si="12"/>
        <v>2.5122249999999992E-2</v>
      </c>
      <c r="J251" s="5">
        <f t="shared" si="13"/>
        <v>1.3322500000000003E-3</v>
      </c>
      <c r="K251" s="5">
        <f t="shared" si="14"/>
        <v>1.4884000000000003E-2</v>
      </c>
      <c r="L251" s="4">
        <f t="shared" si="15"/>
        <v>0.79668128467846355</v>
      </c>
    </row>
    <row r="252" spans="1:12">
      <c r="A252" s="2">
        <v>653</v>
      </c>
      <c r="B252" s="2" t="s">
        <v>211</v>
      </c>
      <c r="C252" s="2">
        <v>678</v>
      </c>
      <c r="D252" s="2" t="s">
        <v>380</v>
      </c>
      <c r="E252" s="2">
        <v>0</v>
      </c>
      <c r="F252" s="2">
        <v>0.2767</v>
      </c>
      <c r="G252" s="2">
        <v>0.43919999999999998</v>
      </c>
      <c r="H252" s="2">
        <v>0.28420000000000001</v>
      </c>
      <c r="I252" s="5">
        <f t="shared" si="12"/>
        <v>5.4709210000000022E-2</v>
      </c>
      <c r="J252" s="5">
        <f t="shared" si="13"/>
        <v>2.4523559999999989E-2</v>
      </c>
      <c r="K252" s="5">
        <f t="shared" si="14"/>
        <v>5.9907599999999995E-3</v>
      </c>
      <c r="L252" s="4">
        <f t="shared" si="15"/>
        <v>0.70806930617011166</v>
      </c>
    </row>
    <row r="253" spans="1:12">
      <c r="A253" s="2">
        <v>653</v>
      </c>
      <c r="B253" s="2" t="s">
        <v>211</v>
      </c>
      <c r="C253" s="2">
        <v>5475</v>
      </c>
      <c r="D253" s="2" t="s">
        <v>417</v>
      </c>
      <c r="E253" s="2">
        <v>0</v>
      </c>
      <c r="F253" s="2">
        <v>0.67769999999999997</v>
      </c>
      <c r="G253" s="2">
        <v>7.7399999999999997E-2</v>
      </c>
      <c r="H253" s="2">
        <v>0.24490000000000001</v>
      </c>
      <c r="I253" s="5">
        <f t="shared" si="12"/>
        <v>2.792240999999997E-2</v>
      </c>
      <c r="J253" s="5">
        <f t="shared" si="13"/>
        <v>4.2107040000000005E-2</v>
      </c>
      <c r="K253" s="5">
        <f t="shared" si="14"/>
        <v>1.4516099999999997E-3</v>
      </c>
      <c r="L253" s="4">
        <f t="shared" si="15"/>
        <v>0.73264057899524104</v>
      </c>
    </row>
    <row r="254" spans="1:12">
      <c r="A254" s="2">
        <v>653</v>
      </c>
      <c r="B254" s="2" t="s">
        <v>211</v>
      </c>
      <c r="C254" s="2">
        <v>680</v>
      </c>
      <c r="D254" s="2" t="s">
        <v>411</v>
      </c>
      <c r="E254" s="2">
        <v>0</v>
      </c>
      <c r="F254" s="2">
        <v>0.48370000000000002</v>
      </c>
      <c r="G254" s="2">
        <v>0.26319999999999999</v>
      </c>
      <c r="H254" s="2">
        <v>0.253</v>
      </c>
      <c r="I254" s="5">
        <f t="shared" si="12"/>
        <v>7.2361000000000192E-4</v>
      </c>
      <c r="J254" s="5">
        <f t="shared" si="13"/>
        <v>3.7636000000000109E-4</v>
      </c>
      <c r="K254" s="5">
        <f t="shared" si="14"/>
        <v>2.1344399999999992E-3</v>
      </c>
      <c r="L254" s="4">
        <f t="shared" si="15"/>
        <v>0.94312812645955824</v>
      </c>
    </row>
    <row r="255" spans="1:12">
      <c r="A255" s="2">
        <v>653</v>
      </c>
      <c r="B255" s="2" t="s">
        <v>211</v>
      </c>
      <c r="C255" s="2">
        <v>679</v>
      </c>
      <c r="D255" s="2" t="s">
        <v>508</v>
      </c>
      <c r="E255" s="2">
        <v>0</v>
      </c>
      <c r="F255" s="2">
        <v>0.65010000000000001</v>
      </c>
      <c r="G255" s="2">
        <v>0.2364</v>
      </c>
      <c r="H255" s="2">
        <v>0.1135</v>
      </c>
      <c r="I255" s="5">
        <f t="shared" si="12"/>
        <v>1.9460249999999988E-2</v>
      </c>
      <c r="J255" s="5">
        <f t="shared" si="13"/>
        <v>2.1344400000000018E-3</v>
      </c>
      <c r="K255" s="5">
        <f t="shared" si="14"/>
        <v>8.7048900000000016E-3</v>
      </c>
      <c r="L255" s="4">
        <f t="shared" si="15"/>
        <v>0.82593225456736685</v>
      </c>
    </row>
    <row r="256" spans="1:12">
      <c r="A256" s="2">
        <v>653</v>
      </c>
      <c r="B256" s="2" t="s">
        <v>211</v>
      </c>
      <c r="C256" s="2">
        <v>682</v>
      </c>
      <c r="D256" s="2" t="s">
        <v>200</v>
      </c>
      <c r="E256" s="2">
        <v>0</v>
      </c>
      <c r="F256" s="2">
        <v>0.1215</v>
      </c>
      <c r="G256" s="2">
        <v>0.62119999999999997</v>
      </c>
      <c r="H256" s="2">
        <v>0.25729999999999997</v>
      </c>
      <c r="I256" s="5">
        <f t="shared" si="12"/>
        <v>0.15139881000000005</v>
      </c>
      <c r="J256" s="5">
        <f t="shared" si="13"/>
        <v>0.11464995999999997</v>
      </c>
      <c r="K256" s="5">
        <f t="shared" si="14"/>
        <v>2.5502499999999961E-3</v>
      </c>
      <c r="L256" s="4">
        <f t="shared" si="15"/>
        <v>0.48173460466668239</v>
      </c>
    </row>
    <row r="257" spans="1:12">
      <c r="A257" s="2">
        <v>653</v>
      </c>
      <c r="B257" s="2" t="s">
        <v>211</v>
      </c>
      <c r="C257" s="2">
        <v>185850</v>
      </c>
      <c r="D257" s="2" t="s">
        <v>483</v>
      </c>
      <c r="E257" s="2">
        <v>0</v>
      </c>
      <c r="F257" s="2">
        <v>0.65569999999999995</v>
      </c>
      <c r="G257" s="2">
        <v>0.18410000000000001</v>
      </c>
      <c r="H257" s="2">
        <v>0.16020000000000001</v>
      </c>
      <c r="I257" s="5">
        <f t="shared" si="12"/>
        <v>2.105400999999997E-2</v>
      </c>
      <c r="J257" s="5">
        <f t="shared" si="13"/>
        <v>9.7022500000000008E-3</v>
      </c>
      <c r="K257" s="5">
        <f t="shared" si="14"/>
        <v>2.1715600000000003E-3</v>
      </c>
      <c r="L257" s="4">
        <f t="shared" si="15"/>
        <v>0.81853975642031118</v>
      </c>
    </row>
    <row r="258" spans="1:12">
      <c r="A258" s="2">
        <v>653</v>
      </c>
      <c r="B258" s="2" t="s">
        <v>211</v>
      </c>
      <c r="C258" s="2">
        <v>687</v>
      </c>
      <c r="D258" s="2" t="s">
        <v>433</v>
      </c>
      <c r="E258" s="2">
        <v>0</v>
      </c>
      <c r="F258" s="2">
        <v>0.6552</v>
      </c>
      <c r="G258" s="2">
        <v>0.11890000000000001</v>
      </c>
      <c r="H258" s="2">
        <v>0.2258</v>
      </c>
      <c r="I258" s="5">
        <f t="shared" ref="I258:I321" si="16">(F258-0.5106)^2</f>
        <v>2.0909159999999986E-2</v>
      </c>
      <c r="J258" s="5">
        <f t="shared" ref="J258:J321" si="17">(G258-0.2826)^2</f>
        <v>2.6797690000000002E-2</v>
      </c>
      <c r="K258" s="5">
        <f t="shared" ref="K258:K321" si="18">(H258-0.2068)^2</f>
        <v>3.6099999999999961E-4</v>
      </c>
      <c r="L258" s="4">
        <f t="shared" ref="L258:L321" si="19">1-(SQRT(I258+J258+K258))</f>
        <v>0.78075618594815499</v>
      </c>
    </row>
    <row r="259" spans="1:12">
      <c r="A259" s="2">
        <v>653</v>
      </c>
      <c r="B259" s="2" t="s">
        <v>211</v>
      </c>
      <c r="C259" s="2">
        <v>686</v>
      </c>
      <c r="D259" s="2" t="s">
        <v>497</v>
      </c>
      <c r="E259" s="2">
        <v>0</v>
      </c>
      <c r="F259" s="2">
        <v>0.42399999999999999</v>
      </c>
      <c r="G259" s="2">
        <v>0.43740000000000001</v>
      </c>
      <c r="H259" s="2">
        <v>0.1386</v>
      </c>
      <c r="I259" s="5">
        <f t="shared" si="16"/>
        <v>7.499560000000011E-3</v>
      </c>
      <c r="J259" s="5">
        <f t="shared" si="17"/>
        <v>2.3963039999999998E-2</v>
      </c>
      <c r="K259" s="5">
        <f t="shared" si="18"/>
        <v>4.6512400000000018E-3</v>
      </c>
      <c r="L259" s="4">
        <f t="shared" si="19"/>
        <v>0.80996358243747069</v>
      </c>
    </row>
    <row r="260" spans="1:12">
      <c r="A260" s="2">
        <v>653</v>
      </c>
      <c r="B260" s="2" t="s">
        <v>211</v>
      </c>
      <c r="C260" s="2">
        <v>130584</v>
      </c>
      <c r="D260" s="2" t="s">
        <v>496</v>
      </c>
      <c r="E260" s="2">
        <v>0</v>
      </c>
      <c r="F260" s="2">
        <v>0.50919999999999999</v>
      </c>
      <c r="G260" s="2">
        <v>0.35010000000000002</v>
      </c>
      <c r="H260" s="2">
        <v>0.1406</v>
      </c>
      <c r="I260" s="5">
        <f t="shared" si="16"/>
        <v>1.96000000000019E-6</v>
      </c>
      <c r="J260" s="5">
        <f t="shared" si="17"/>
        <v>4.5562500000000004E-3</v>
      </c>
      <c r="K260" s="5">
        <f t="shared" si="18"/>
        <v>4.3824400000000013E-3</v>
      </c>
      <c r="L260" s="4">
        <f t="shared" si="19"/>
        <v>0.90544498955634345</v>
      </c>
    </row>
    <row r="261" spans="1:12">
      <c r="A261" s="2">
        <v>653</v>
      </c>
      <c r="B261" s="2" t="s">
        <v>211</v>
      </c>
      <c r="C261" s="2">
        <v>688</v>
      </c>
      <c r="D261" s="2" t="s">
        <v>359</v>
      </c>
      <c r="E261" s="2">
        <v>0</v>
      </c>
      <c r="F261" s="2">
        <v>0.26429999999999998</v>
      </c>
      <c r="G261" s="2">
        <v>0.436</v>
      </c>
      <c r="H261" s="2">
        <v>0.29970000000000002</v>
      </c>
      <c r="I261" s="5">
        <f t="shared" si="16"/>
        <v>6.0663690000000034E-2</v>
      </c>
      <c r="J261" s="5">
        <f t="shared" si="17"/>
        <v>2.3531559999999993E-2</v>
      </c>
      <c r="K261" s="5">
        <f t="shared" si="18"/>
        <v>8.6304100000000016E-3</v>
      </c>
      <c r="L261" s="4">
        <f t="shared" si="19"/>
        <v>0.69532696213809797</v>
      </c>
    </row>
    <row r="262" spans="1:12">
      <c r="A262" s="2">
        <v>653</v>
      </c>
      <c r="B262" s="2" t="s">
        <v>211</v>
      </c>
      <c r="C262" s="2">
        <v>694</v>
      </c>
      <c r="D262" s="2" t="s">
        <v>286</v>
      </c>
      <c r="E262" s="2">
        <v>0</v>
      </c>
      <c r="F262" s="2">
        <v>0.26190000000000002</v>
      </c>
      <c r="G262" s="2">
        <v>0.54820000000000002</v>
      </c>
      <c r="H262" s="2">
        <v>0.18990000000000001</v>
      </c>
      <c r="I262" s="5">
        <f t="shared" si="16"/>
        <v>6.1851690000000015E-2</v>
      </c>
      <c r="J262" s="5">
        <f t="shared" si="17"/>
        <v>7.0543359999999999E-2</v>
      </c>
      <c r="K262" s="5">
        <f t="shared" si="18"/>
        <v>2.8560999999999994E-4</v>
      </c>
      <c r="L262" s="4">
        <f t="shared" si="19"/>
        <v>0.63574643447180912</v>
      </c>
    </row>
    <row r="263" spans="1:12">
      <c r="A263" s="2">
        <v>653</v>
      </c>
      <c r="B263" s="2" t="s">
        <v>211</v>
      </c>
      <c r="C263" s="2">
        <v>693</v>
      </c>
      <c r="D263" s="2" t="s">
        <v>288</v>
      </c>
      <c r="E263" s="2">
        <v>0</v>
      </c>
      <c r="F263" s="2">
        <v>0.53149999999999997</v>
      </c>
      <c r="G263" s="2">
        <v>0.10340000000000001</v>
      </c>
      <c r="H263" s="2">
        <v>0.36509999999999998</v>
      </c>
      <c r="I263" s="5">
        <f t="shared" si="16"/>
        <v>4.3680999999999663E-4</v>
      </c>
      <c r="J263" s="5">
        <f t="shared" si="17"/>
        <v>3.2112640000000012E-2</v>
      </c>
      <c r="K263" s="5">
        <f t="shared" si="18"/>
        <v>2.505888999999999E-2</v>
      </c>
      <c r="L263" s="4">
        <f t="shared" si="19"/>
        <v>0.75998262562889329</v>
      </c>
    </row>
    <row r="264" spans="1:12">
      <c r="A264" s="2">
        <v>653</v>
      </c>
      <c r="B264" s="2" t="s">
        <v>211</v>
      </c>
      <c r="C264" s="2">
        <v>698</v>
      </c>
      <c r="D264" s="2" t="s">
        <v>287</v>
      </c>
      <c r="E264" s="2">
        <v>0</v>
      </c>
      <c r="F264" s="2">
        <v>0.57920000000000005</v>
      </c>
      <c r="G264" s="2">
        <v>5.2999999999999999E-2</v>
      </c>
      <c r="H264" s="2">
        <v>0.36780000000000002</v>
      </c>
      <c r="I264" s="5">
        <f t="shared" si="16"/>
        <v>4.7059599999999995E-3</v>
      </c>
      <c r="J264" s="5">
        <f t="shared" si="17"/>
        <v>5.2716160000000012E-2</v>
      </c>
      <c r="K264" s="5">
        <f t="shared" si="18"/>
        <v>2.5921000000000003E-2</v>
      </c>
      <c r="L264" s="4">
        <f t="shared" si="19"/>
        <v>0.71130791489893586</v>
      </c>
    </row>
    <row r="265" spans="1:12">
      <c r="A265" s="2">
        <v>653</v>
      </c>
      <c r="B265" s="2" t="s">
        <v>211</v>
      </c>
      <c r="C265" s="2">
        <v>704</v>
      </c>
      <c r="D265" s="2" t="s">
        <v>416</v>
      </c>
      <c r="E265" s="2">
        <v>0</v>
      </c>
      <c r="F265" s="2">
        <v>0.59209999999999996</v>
      </c>
      <c r="G265" s="2">
        <v>0.16220000000000001</v>
      </c>
      <c r="H265" s="2">
        <v>0.2457</v>
      </c>
      <c r="I265" s="5">
        <f t="shared" si="16"/>
        <v>6.642249999999985E-3</v>
      </c>
      <c r="J265" s="5">
        <f t="shared" si="17"/>
        <v>1.4496160000000001E-2</v>
      </c>
      <c r="K265" s="5">
        <f t="shared" si="18"/>
        <v>1.5132099999999992E-3</v>
      </c>
      <c r="L265" s="4">
        <f t="shared" si="19"/>
        <v>0.84949544857380566</v>
      </c>
    </row>
    <row r="266" spans="1:12">
      <c r="A266" s="2">
        <v>653</v>
      </c>
      <c r="B266" s="2" t="s">
        <v>211</v>
      </c>
      <c r="C266" s="2">
        <v>186136</v>
      </c>
      <c r="D266" s="2" t="s">
        <v>299</v>
      </c>
      <c r="E266" s="2">
        <v>0</v>
      </c>
      <c r="F266" s="2">
        <v>0.44240000000000002</v>
      </c>
      <c r="G266" s="2">
        <v>0.19980000000000001</v>
      </c>
      <c r="H266" s="2">
        <v>0.35780000000000001</v>
      </c>
      <c r="I266" s="5">
        <f t="shared" si="16"/>
        <v>4.6512400000000053E-3</v>
      </c>
      <c r="J266" s="5">
        <f t="shared" si="17"/>
        <v>6.8558400000000019E-3</v>
      </c>
      <c r="K266" s="5">
        <f t="shared" si="18"/>
        <v>2.2800999999999998E-2</v>
      </c>
      <c r="L266" s="4">
        <f t="shared" si="19"/>
        <v>0.81477559556041212</v>
      </c>
    </row>
    <row r="267" spans="1:12">
      <c r="A267" s="2">
        <v>653</v>
      </c>
      <c r="B267" s="2" t="s">
        <v>211</v>
      </c>
      <c r="C267" s="2">
        <v>701</v>
      </c>
      <c r="D267" s="2" t="s">
        <v>489</v>
      </c>
      <c r="E267" s="2">
        <v>0</v>
      </c>
      <c r="F267" s="2">
        <v>0.63629999999999998</v>
      </c>
      <c r="G267" s="2">
        <v>0.21190000000000001</v>
      </c>
      <c r="H267" s="2">
        <v>0.15179999999999999</v>
      </c>
      <c r="I267" s="5">
        <f t="shared" si="16"/>
        <v>1.580048999999998E-2</v>
      </c>
      <c r="J267" s="5">
        <f t="shared" si="17"/>
        <v>4.9984900000000021E-3</v>
      </c>
      <c r="K267" s="5">
        <f t="shared" si="18"/>
        <v>3.0250000000000025E-3</v>
      </c>
      <c r="L267" s="4">
        <f t="shared" si="19"/>
        <v>0.84564981373513026</v>
      </c>
    </row>
    <row r="268" spans="1:12">
      <c r="A268" s="2">
        <v>653</v>
      </c>
      <c r="B268" s="2" t="s">
        <v>211</v>
      </c>
      <c r="C268" s="2">
        <v>702</v>
      </c>
      <c r="D268" s="2" t="s">
        <v>314</v>
      </c>
      <c r="E268" s="2">
        <v>0</v>
      </c>
      <c r="F268" s="2">
        <v>0.60899999999999999</v>
      </c>
      <c r="G268" s="2">
        <v>4.2099999999999999E-2</v>
      </c>
      <c r="H268" s="2">
        <v>0.34889999999999999</v>
      </c>
      <c r="I268" s="5">
        <f t="shared" si="16"/>
        <v>9.6825599999999859E-3</v>
      </c>
      <c r="J268" s="5">
        <f t="shared" si="17"/>
        <v>5.784025000000001E-2</v>
      </c>
      <c r="K268" s="5">
        <f t="shared" si="18"/>
        <v>2.0192409999999994E-2</v>
      </c>
      <c r="L268" s="4">
        <f t="shared" si="19"/>
        <v>0.70383244607148476</v>
      </c>
    </row>
    <row r="269" spans="1:12">
      <c r="A269" s="2">
        <v>653</v>
      </c>
      <c r="B269" s="2" t="s">
        <v>211</v>
      </c>
      <c r="C269" s="2">
        <v>703</v>
      </c>
      <c r="D269" s="2" t="s">
        <v>350</v>
      </c>
      <c r="E269" s="2">
        <v>0</v>
      </c>
      <c r="F269" s="2">
        <v>0.3236</v>
      </c>
      <c r="G269" s="2">
        <v>0.3674</v>
      </c>
      <c r="H269" s="2">
        <v>0.309</v>
      </c>
      <c r="I269" s="5">
        <f t="shared" si="16"/>
        <v>3.4969000000000021E-2</v>
      </c>
      <c r="J269" s="5">
        <f t="shared" si="17"/>
        <v>7.1910399999999975E-3</v>
      </c>
      <c r="K269" s="5">
        <f t="shared" si="18"/>
        <v>1.0444839999999997E-2</v>
      </c>
      <c r="L269" s="4">
        <f t="shared" si="19"/>
        <v>0.77064246251757929</v>
      </c>
    </row>
    <row r="270" spans="1:12">
      <c r="A270" s="2">
        <v>653</v>
      </c>
      <c r="B270" s="2" t="s">
        <v>211</v>
      </c>
      <c r="C270" s="2">
        <v>706</v>
      </c>
      <c r="D270" s="2" t="s">
        <v>486</v>
      </c>
      <c r="E270" s="2">
        <v>0</v>
      </c>
      <c r="F270" s="2">
        <v>0.59130000000000005</v>
      </c>
      <c r="G270" s="2">
        <v>0.25319999999999998</v>
      </c>
      <c r="H270" s="2">
        <v>0.1555</v>
      </c>
      <c r="I270" s="5">
        <f t="shared" si="16"/>
        <v>6.5124899999999993E-3</v>
      </c>
      <c r="J270" s="5">
        <f t="shared" si="17"/>
        <v>8.6436000000000217E-4</v>
      </c>
      <c r="K270" s="5">
        <f t="shared" si="18"/>
        <v>2.6316900000000012E-3</v>
      </c>
      <c r="L270" s="4">
        <f t="shared" si="19"/>
        <v>0.89995730911255933</v>
      </c>
    </row>
    <row r="271" spans="1:12">
      <c r="A271" s="2">
        <v>653</v>
      </c>
      <c r="B271" s="2" t="s">
        <v>211</v>
      </c>
      <c r="C271" s="2">
        <v>707</v>
      </c>
      <c r="D271" s="2" t="s">
        <v>212</v>
      </c>
      <c r="E271" s="2">
        <v>0</v>
      </c>
      <c r="F271" s="2">
        <v>0.32279999999999998</v>
      </c>
      <c r="G271" s="2">
        <v>0.24740000000000001</v>
      </c>
      <c r="H271" s="2">
        <v>0.42970000000000003</v>
      </c>
      <c r="I271" s="5">
        <f t="shared" si="16"/>
        <v>3.526884000000003E-2</v>
      </c>
      <c r="J271" s="5">
        <f t="shared" si="17"/>
        <v>1.2390400000000007E-3</v>
      </c>
      <c r="K271" s="5">
        <f t="shared" si="18"/>
        <v>4.9684410000000005E-2</v>
      </c>
      <c r="L271" s="4">
        <f t="shared" si="19"/>
        <v>0.70641476535765624</v>
      </c>
    </row>
    <row r="272" spans="1:12">
      <c r="A272" s="2">
        <v>653</v>
      </c>
      <c r="B272" s="2" t="s">
        <v>211</v>
      </c>
      <c r="C272" s="2">
        <v>709</v>
      </c>
      <c r="D272" s="2" t="s">
        <v>328</v>
      </c>
      <c r="E272" s="2">
        <v>0</v>
      </c>
      <c r="F272" s="2">
        <v>0.33639999999999998</v>
      </c>
      <c r="G272" s="2">
        <v>0.3306</v>
      </c>
      <c r="H272" s="2">
        <v>0.33300000000000002</v>
      </c>
      <c r="I272" s="5">
        <f t="shared" si="16"/>
        <v>3.0345640000000028E-2</v>
      </c>
      <c r="J272" s="5">
        <f t="shared" si="17"/>
        <v>2.3039999999999988E-3</v>
      </c>
      <c r="K272" s="5">
        <f t="shared" si="18"/>
        <v>1.592644E-2</v>
      </c>
      <c r="L272" s="4">
        <f t="shared" si="19"/>
        <v>0.77960018148827792</v>
      </c>
    </row>
    <row r="273" spans="1:12">
      <c r="A273" s="2">
        <v>653</v>
      </c>
      <c r="B273" s="2" t="s">
        <v>211</v>
      </c>
      <c r="C273" s="2">
        <v>708</v>
      </c>
      <c r="D273" s="2" t="s">
        <v>277</v>
      </c>
      <c r="E273" s="2">
        <v>0</v>
      </c>
      <c r="F273" s="2">
        <v>0.32050000000000001</v>
      </c>
      <c r="G273" s="2">
        <v>0.307</v>
      </c>
      <c r="H273" s="2">
        <v>0.37259999999999999</v>
      </c>
      <c r="I273" s="5">
        <f t="shared" si="16"/>
        <v>3.6138010000000019E-2</v>
      </c>
      <c r="J273" s="5">
        <f t="shared" si="17"/>
        <v>5.9535999999999888E-4</v>
      </c>
      <c r="K273" s="5">
        <f t="shared" si="18"/>
        <v>2.7489639999999992E-2</v>
      </c>
      <c r="L273" s="4">
        <f t="shared" si="19"/>
        <v>0.74657740826832342</v>
      </c>
    </row>
    <row r="274" spans="1:12">
      <c r="A274" s="2">
        <v>35537</v>
      </c>
      <c r="B274" s="2" t="s">
        <v>63</v>
      </c>
      <c r="C274" s="2">
        <v>35537</v>
      </c>
      <c r="D274" s="2" t="s">
        <v>63</v>
      </c>
      <c r="E274" s="2">
        <v>1</v>
      </c>
      <c r="F274" s="2">
        <v>0.25640000000000002</v>
      </c>
      <c r="G274" s="2">
        <v>0.1171</v>
      </c>
      <c r="H274" s="2">
        <v>0.62660000000000005</v>
      </c>
      <c r="I274" s="5">
        <f t="shared" si="16"/>
        <v>6.4617640000000018E-2</v>
      </c>
      <c r="J274" s="5">
        <f t="shared" si="17"/>
        <v>2.7390250000000012E-2</v>
      </c>
      <c r="K274" s="5">
        <f t="shared" si="18"/>
        <v>0.17623204000000006</v>
      </c>
      <c r="L274" s="4">
        <f t="shared" si="19"/>
        <v>0.48208115500592164</v>
      </c>
    </row>
    <row r="275" spans="1:12">
      <c r="A275" s="2">
        <v>635</v>
      </c>
      <c r="B275" s="2" t="s">
        <v>40</v>
      </c>
      <c r="C275" s="2">
        <v>637</v>
      </c>
      <c r="D275" s="2" t="s">
        <v>192</v>
      </c>
      <c r="E275" s="2">
        <v>0</v>
      </c>
      <c r="F275" s="2">
        <v>0.17510000000000001</v>
      </c>
      <c r="G275" s="2">
        <v>0.38100000000000001</v>
      </c>
      <c r="H275" s="2">
        <v>0.44400000000000001</v>
      </c>
      <c r="I275" s="5">
        <f t="shared" si="16"/>
        <v>0.11256025000000001</v>
      </c>
      <c r="J275" s="5">
        <f t="shared" si="17"/>
        <v>9.682559999999998E-3</v>
      </c>
      <c r="K275" s="5">
        <f t="shared" si="18"/>
        <v>5.6263839999999996E-2</v>
      </c>
      <c r="L275" s="4">
        <f t="shared" si="19"/>
        <v>0.57749952662748416</v>
      </c>
    </row>
    <row r="276" spans="1:12">
      <c r="A276" s="2">
        <v>635</v>
      </c>
      <c r="B276" s="2" t="s">
        <v>40</v>
      </c>
      <c r="C276" s="2">
        <v>638</v>
      </c>
      <c r="D276" s="2" t="s">
        <v>75</v>
      </c>
      <c r="E276" s="2">
        <v>0</v>
      </c>
      <c r="F276" s="2">
        <v>0.17910000000000001</v>
      </c>
      <c r="G276" s="2">
        <v>0.2112</v>
      </c>
      <c r="H276" s="2">
        <v>0.60970000000000002</v>
      </c>
      <c r="I276" s="5">
        <f t="shared" si="16"/>
        <v>0.10989225000000001</v>
      </c>
      <c r="J276" s="5">
        <f t="shared" si="17"/>
        <v>5.0979600000000029E-3</v>
      </c>
      <c r="K276" s="5">
        <f t="shared" si="18"/>
        <v>0.16232841000000003</v>
      </c>
      <c r="L276" s="4">
        <f t="shared" si="19"/>
        <v>0.47338949877542313</v>
      </c>
    </row>
    <row r="277" spans="1:12">
      <c r="A277" s="2">
        <v>635</v>
      </c>
      <c r="B277" s="2" t="s">
        <v>40</v>
      </c>
      <c r="C277" s="2">
        <v>639</v>
      </c>
      <c r="D277" s="2" t="s">
        <v>135</v>
      </c>
      <c r="E277" s="2">
        <v>0</v>
      </c>
      <c r="F277" s="2">
        <v>0.35830000000000001</v>
      </c>
      <c r="G277" s="2">
        <v>0.1353</v>
      </c>
      <c r="H277" s="2">
        <v>0.50639999999999996</v>
      </c>
      <c r="I277" s="5">
        <f t="shared" si="16"/>
        <v>2.3195290000000014E-2</v>
      </c>
      <c r="J277" s="5">
        <f t="shared" si="17"/>
        <v>2.1697290000000004E-2</v>
      </c>
      <c r="K277" s="5">
        <f t="shared" si="18"/>
        <v>8.9760159999999992E-2</v>
      </c>
      <c r="L277" s="4">
        <f t="shared" si="19"/>
        <v>0.63304940387022124</v>
      </c>
    </row>
    <row r="278" spans="1:12">
      <c r="A278" s="2">
        <v>635</v>
      </c>
      <c r="B278" s="2" t="s">
        <v>40</v>
      </c>
      <c r="C278" s="2">
        <v>641</v>
      </c>
      <c r="D278" s="2" t="s">
        <v>80</v>
      </c>
      <c r="E278" s="2">
        <v>0</v>
      </c>
      <c r="F278" s="2">
        <v>0.27960000000000002</v>
      </c>
      <c r="G278" s="2">
        <v>0.11799999999999999</v>
      </c>
      <c r="H278" s="2">
        <v>0.60240000000000005</v>
      </c>
      <c r="I278" s="5">
        <f t="shared" si="16"/>
        <v>5.336100000000002E-2</v>
      </c>
      <c r="J278" s="5">
        <f t="shared" si="17"/>
        <v>2.7093160000000008E-2</v>
      </c>
      <c r="K278" s="5">
        <f t="shared" si="18"/>
        <v>0.15649936000000006</v>
      </c>
      <c r="L278" s="4">
        <f t="shared" si="19"/>
        <v>0.51322128230580977</v>
      </c>
    </row>
    <row r="279" spans="1:12">
      <c r="A279" s="2">
        <v>635</v>
      </c>
      <c r="B279" s="2" t="s">
        <v>40</v>
      </c>
      <c r="C279" s="2">
        <v>640</v>
      </c>
      <c r="D279" s="2" t="s">
        <v>173</v>
      </c>
      <c r="E279" s="2">
        <v>0</v>
      </c>
      <c r="F279" s="2">
        <v>7.1900000000000006E-2</v>
      </c>
      <c r="G279" s="2">
        <v>0.46450000000000002</v>
      </c>
      <c r="H279" s="2">
        <v>0.46360000000000001</v>
      </c>
      <c r="I279" s="5">
        <f t="shared" si="16"/>
        <v>0.19245769000000004</v>
      </c>
      <c r="J279" s="5">
        <f t="shared" si="17"/>
        <v>3.3087610000000003E-2</v>
      </c>
      <c r="K279" s="5">
        <f t="shared" si="18"/>
        <v>6.5946240000000017E-2</v>
      </c>
      <c r="L279" s="4">
        <f t="shared" si="19"/>
        <v>0.46010043526596534</v>
      </c>
    </row>
    <row r="280" spans="1:12">
      <c r="A280" s="2">
        <v>635</v>
      </c>
      <c r="B280" s="2" t="s">
        <v>40</v>
      </c>
      <c r="C280" s="2">
        <v>642</v>
      </c>
      <c r="D280" s="2" t="s">
        <v>120</v>
      </c>
      <c r="E280" s="2">
        <v>0</v>
      </c>
      <c r="F280" s="2">
        <v>0.26190000000000002</v>
      </c>
      <c r="G280" s="2">
        <v>0.20860000000000001</v>
      </c>
      <c r="H280" s="2">
        <v>0.52949999999999997</v>
      </c>
      <c r="I280" s="5">
        <f t="shared" si="16"/>
        <v>6.1851690000000015E-2</v>
      </c>
      <c r="J280" s="5">
        <f t="shared" si="17"/>
        <v>5.4760000000000017E-3</v>
      </c>
      <c r="K280" s="5">
        <f t="shared" si="18"/>
        <v>0.10413528999999999</v>
      </c>
      <c r="L280" s="4">
        <f t="shared" si="19"/>
        <v>0.58591911418178211</v>
      </c>
    </row>
    <row r="281" spans="1:12">
      <c r="A281" s="2">
        <v>635</v>
      </c>
      <c r="B281" s="2" t="s">
        <v>40</v>
      </c>
      <c r="C281" s="2">
        <v>185807</v>
      </c>
      <c r="D281" s="2" t="s">
        <v>100</v>
      </c>
      <c r="E281" s="2">
        <v>0</v>
      </c>
      <c r="F281" s="2">
        <v>0.29880000000000001</v>
      </c>
      <c r="G281" s="2">
        <v>0.1381</v>
      </c>
      <c r="H281" s="2">
        <v>0.56310000000000004</v>
      </c>
      <c r="I281" s="5">
        <f t="shared" si="16"/>
        <v>4.4859240000000015E-2</v>
      </c>
      <c r="J281" s="5">
        <f t="shared" si="17"/>
        <v>2.0880250000000006E-2</v>
      </c>
      <c r="K281" s="5">
        <f t="shared" si="18"/>
        <v>0.12694969000000003</v>
      </c>
      <c r="L281" s="4">
        <f t="shared" si="19"/>
        <v>0.56103624295393129</v>
      </c>
    </row>
    <row r="282" spans="1:12">
      <c r="A282" s="2">
        <v>635</v>
      </c>
      <c r="B282" s="2" t="s">
        <v>40</v>
      </c>
      <c r="C282" s="2">
        <v>643</v>
      </c>
      <c r="D282" s="2" t="s">
        <v>41</v>
      </c>
      <c r="E282" s="2">
        <v>0</v>
      </c>
      <c r="F282" s="2">
        <v>0.2205</v>
      </c>
      <c r="G282" s="2">
        <v>8.3699999999999997E-2</v>
      </c>
      <c r="H282" s="2">
        <v>0.69569999999999999</v>
      </c>
      <c r="I282" s="5">
        <f t="shared" si="16"/>
        <v>8.4158010000000019E-2</v>
      </c>
      <c r="J282" s="5">
        <f t="shared" si="17"/>
        <v>3.9561210000000006E-2</v>
      </c>
      <c r="K282" s="5">
        <f t="shared" si="18"/>
        <v>0.23902321000000001</v>
      </c>
      <c r="L282" s="4">
        <f t="shared" si="19"/>
        <v>0.39771897755283703</v>
      </c>
    </row>
    <row r="283" spans="1:12">
      <c r="A283" s="2">
        <v>635</v>
      </c>
      <c r="B283" s="2" t="s">
        <v>40</v>
      </c>
      <c r="C283" s="2">
        <v>185808</v>
      </c>
      <c r="D283" s="2" t="s">
        <v>67</v>
      </c>
      <c r="E283" s="2">
        <v>0</v>
      </c>
      <c r="F283" s="2">
        <v>0.21679999999999999</v>
      </c>
      <c r="G283" s="2">
        <v>0.16259999999999999</v>
      </c>
      <c r="H283" s="2">
        <v>0.62060000000000004</v>
      </c>
      <c r="I283" s="5">
        <f t="shared" si="16"/>
        <v>8.6318440000000038E-2</v>
      </c>
      <c r="J283" s="5">
        <f t="shared" si="17"/>
        <v>1.4400000000000005E-2</v>
      </c>
      <c r="K283" s="5">
        <f t="shared" si="18"/>
        <v>0.17123044000000004</v>
      </c>
      <c r="L283" s="4">
        <f t="shared" si="19"/>
        <v>0.47851281894949704</v>
      </c>
    </row>
    <row r="284" spans="1:12">
      <c r="A284" s="2">
        <v>186112</v>
      </c>
      <c r="B284" s="2" t="s">
        <v>304</v>
      </c>
      <c r="C284" s="2">
        <v>186112</v>
      </c>
      <c r="D284" s="2" t="s">
        <v>304</v>
      </c>
      <c r="E284" s="2">
        <v>1</v>
      </c>
      <c r="F284" s="2">
        <v>0.45100000000000001</v>
      </c>
      <c r="G284" s="2">
        <v>0.1961</v>
      </c>
      <c r="H284" s="2">
        <v>0.35289999999999999</v>
      </c>
      <c r="I284" s="5">
        <f t="shared" si="16"/>
        <v>3.5521600000000052E-3</v>
      </c>
      <c r="J284" s="5">
        <f t="shared" si="17"/>
        <v>7.4822500000000037E-3</v>
      </c>
      <c r="K284" s="5">
        <f t="shared" si="18"/>
        <v>2.1345209999999993E-2</v>
      </c>
      <c r="L284" s="4">
        <f t="shared" si="19"/>
        <v>0.82005662001618396</v>
      </c>
    </row>
    <row r="285" spans="1:12">
      <c r="A285" s="2">
        <v>185837</v>
      </c>
      <c r="B285" s="2" t="s">
        <v>507</v>
      </c>
      <c r="C285" s="2">
        <v>185837</v>
      </c>
      <c r="D285" s="2" t="s">
        <v>507</v>
      </c>
      <c r="E285" s="2">
        <v>1</v>
      </c>
      <c r="F285" s="2">
        <v>2.5000000000000001E-2</v>
      </c>
      <c r="G285" s="2">
        <v>0.85640000000000005</v>
      </c>
      <c r="H285" s="2">
        <v>0.1186</v>
      </c>
      <c r="I285" s="5">
        <f t="shared" si="16"/>
        <v>0.23580736000000002</v>
      </c>
      <c r="J285" s="5">
        <f t="shared" si="17"/>
        <v>0.32924644000000008</v>
      </c>
      <c r="K285" s="5">
        <f t="shared" si="18"/>
        <v>7.7792400000000024E-3</v>
      </c>
      <c r="L285" s="4">
        <f t="shared" si="19"/>
        <v>0.24314265544952263</v>
      </c>
    </row>
    <row r="286" spans="1:12">
      <c r="A286" s="2">
        <v>480</v>
      </c>
      <c r="B286" s="2" t="s">
        <v>121</v>
      </c>
      <c r="C286" s="2">
        <v>486</v>
      </c>
      <c r="D286" s="2" t="s">
        <v>475</v>
      </c>
      <c r="E286" s="2">
        <v>0</v>
      </c>
      <c r="F286" s="2">
        <v>0.1676</v>
      </c>
      <c r="G286" s="2">
        <v>0.66059999999999997</v>
      </c>
      <c r="H286" s="2">
        <v>0.17180000000000001</v>
      </c>
      <c r="I286" s="5">
        <f t="shared" si="16"/>
        <v>0.11764900000000006</v>
      </c>
      <c r="J286" s="5">
        <f t="shared" si="17"/>
        <v>0.14288399999999996</v>
      </c>
      <c r="K286" s="5">
        <f t="shared" si="18"/>
        <v>1.2250000000000002E-3</v>
      </c>
      <c r="L286" s="4">
        <f t="shared" si="19"/>
        <v>0.48837709199059509</v>
      </c>
    </row>
    <row r="287" spans="1:12">
      <c r="A287" s="2">
        <v>480</v>
      </c>
      <c r="B287" s="2" t="s">
        <v>121</v>
      </c>
      <c r="C287" s="2">
        <v>487</v>
      </c>
      <c r="D287" s="2" t="s">
        <v>432</v>
      </c>
      <c r="E287" s="2">
        <v>0</v>
      </c>
      <c r="F287" s="2">
        <v>0.21379999999999999</v>
      </c>
      <c r="G287" s="2">
        <v>0.56010000000000004</v>
      </c>
      <c r="H287" s="2">
        <v>0.2261</v>
      </c>
      <c r="I287" s="5">
        <f t="shared" si="16"/>
        <v>8.8090240000000042E-2</v>
      </c>
      <c r="J287" s="5">
        <f t="shared" si="17"/>
        <v>7.7006250000000012E-2</v>
      </c>
      <c r="K287" s="5">
        <f t="shared" si="18"/>
        <v>3.7248999999999936E-4</v>
      </c>
      <c r="L287" s="4">
        <f t="shared" si="19"/>
        <v>0.59322121490913515</v>
      </c>
    </row>
    <row r="288" spans="1:12">
      <c r="A288" s="2">
        <v>480</v>
      </c>
      <c r="B288" s="2" t="s">
        <v>121</v>
      </c>
      <c r="C288" s="2">
        <v>491</v>
      </c>
      <c r="D288" s="2" t="s">
        <v>500</v>
      </c>
      <c r="E288" s="2">
        <v>0</v>
      </c>
      <c r="F288" s="2">
        <v>0.21049999999999999</v>
      </c>
      <c r="G288" s="2">
        <v>0.65539999999999998</v>
      </c>
      <c r="H288" s="2">
        <v>0.1341</v>
      </c>
      <c r="I288" s="5">
        <f t="shared" si="16"/>
        <v>9.0060010000000024E-2</v>
      </c>
      <c r="J288" s="5">
        <f t="shared" si="17"/>
        <v>0.13897983999999997</v>
      </c>
      <c r="K288" s="5">
        <f t="shared" si="18"/>
        <v>5.2852900000000024E-3</v>
      </c>
      <c r="L288" s="4">
        <f t="shared" si="19"/>
        <v>0.51592857964965544</v>
      </c>
    </row>
    <row r="289" spans="1:12">
      <c r="A289" s="2">
        <v>480</v>
      </c>
      <c r="B289" s="2" t="s">
        <v>121</v>
      </c>
      <c r="C289" s="2">
        <v>490</v>
      </c>
      <c r="D289" s="2" t="s">
        <v>493</v>
      </c>
      <c r="E289" s="2">
        <v>0</v>
      </c>
      <c r="F289" s="2">
        <v>0.31780000000000003</v>
      </c>
      <c r="G289" s="2">
        <v>0.53839999999999999</v>
      </c>
      <c r="H289" s="2">
        <v>0.14380000000000001</v>
      </c>
      <c r="I289" s="5">
        <f t="shared" si="16"/>
        <v>3.7171840000000012E-2</v>
      </c>
      <c r="J289" s="5">
        <f t="shared" si="17"/>
        <v>6.5433639999999987E-2</v>
      </c>
      <c r="K289" s="5">
        <f t="shared" si="18"/>
        <v>3.9690000000000003E-3</v>
      </c>
      <c r="L289" s="4">
        <f t="shared" si="19"/>
        <v>0.67354252956931737</v>
      </c>
    </row>
    <row r="290" spans="1:12">
      <c r="A290" s="2">
        <v>480</v>
      </c>
      <c r="B290" s="2" t="s">
        <v>121</v>
      </c>
      <c r="C290" s="2">
        <v>489</v>
      </c>
      <c r="D290" s="2" t="s">
        <v>385</v>
      </c>
      <c r="E290" s="2">
        <v>0</v>
      </c>
      <c r="F290" s="2">
        <v>0.2026</v>
      </c>
      <c r="G290" s="2">
        <v>0.59570000000000001</v>
      </c>
      <c r="H290" s="2">
        <v>0.20169999999999999</v>
      </c>
      <c r="I290" s="5">
        <f t="shared" si="16"/>
        <v>9.4864000000000032E-2</v>
      </c>
      <c r="J290" s="5">
        <f t="shared" si="17"/>
        <v>9.8031609999999991E-2</v>
      </c>
      <c r="K290" s="5">
        <f t="shared" si="18"/>
        <v>2.6010000000000217E-5</v>
      </c>
      <c r="L290" s="4">
        <f t="shared" si="19"/>
        <v>0.56077156285140184</v>
      </c>
    </row>
    <row r="291" spans="1:12">
      <c r="A291" s="2">
        <v>480</v>
      </c>
      <c r="B291" s="2" t="s">
        <v>121</v>
      </c>
      <c r="C291" s="2">
        <v>493</v>
      </c>
      <c r="D291" s="2" t="s">
        <v>358</v>
      </c>
      <c r="E291" s="2">
        <v>0</v>
      </c>
      <c r="F291" s="2">
        <v>0.20069999999999999</v>
      </c>
      <c r="G291" s="2">
        <v>0.49940000000000001</v>
      </c>
      <c r="H291" s="2">
        <v>0.3</v>
      </c>
      <c r="I291" s="5">
        <f t="shared" si="16"/>
        <v>9.6038010000000035E-2</v>
      </c>
      <c r="J291" s="5">
        <f t="shared" si="17"/>
        <v>4.7002239999999994E-2</v>
      </c>
      <c r="K291" s="5">
        <f t="shared" si="18"/>
        <v>8.6862399999999961E-3</v>
      </c>
      <c r="L291" s="4">
        <f t="shared" si="19"/>
        <v>0.6104791533178231</v>
      </c>
    </row>
    <row r="292" spans="1:12">
      <c r="A292" s="2">
        <v>480</v>
      </c>
      <c r="B292" s="2" t="s">
        <v>121</v>
      </c>
      <c r="C292" s="2">
        <v>494</v>
      </c>
      <c r="D292" s="2" t="s">
        <v>474</v>
      </c>
      <c r="E292" s="2">
        <v>0</v>
      </c>
      <c r="F292" s="2">
        <v>0.24890000000000001</v>
      </c>
      <c r="G292" s="2">
        <v>0.57869999999999999</v>
      </c>
      <c r="H292" s="2">
        <v>0.1724</v>
      </c>
      <c r="I292" s="5">
        <f t="shared" si="16"/>
        <v>6.8486890000000022E-2</v>
      </c>
      <c r="J292" s="5">
        <f t="shared" si="17"/>
        <v>8.767520999999999E-2</v>
      </c>
      <c r="K292" s="5">
        <f t="shared" si="18"/>
        <v>1.1833600000000009E-3</v>
      </c>
      <c r="L292" s="4">
        <f t="shared" si="19"/>
        <v>0.60333205322335404</v>
      </c>
    </row>
    <row r="293" spans="1:12">
      <c r="A293" s="2">
        <v>480</v>
      </c>
      <c r="B293" s="2" t="s">
        <v>121</v>
      </c>
      <c r="C293" s="2">
        <v>495</v>
      </c>
      <c r="D293" s="2" t="s">
        <v>452</v>
      </c>
      <c r="E293" s="2">
        <v>0</v>
      </c>
      <c r="F293" s="2">
        <v>0.60309999999999997</v>
      </c>
      <c r="G293" s="2">
        <v>0.191</v>
      </c>
      <c r="H293" s="2">
        <v>0.2059</v>
      </c>
      <c r="I293" s="5">
        <f t="shared" si="16"/>
        <v>8.556249999999984E-3</v>
      </c>
      <c r="J293" s="5">
        <f t="shared" si="17"/>
        <v>8.3905600000000035E-3</v>
      </c>
      <c r="K293" s="5">
        <f t="shared" si="18"/>
        <v>8.1000000000002147E-7</v>
      </c>
      <c r="L293" s="4">
        <f t="shared" si="19"/>
        <v>0.86981697499289701</v>
      </c>
    </row>
    <row r="294" spans="1:12">
      <c r="A294" s="2">
        <v>480</v>
      </c>
      <c r="B294" s="2" t="s">
        <v>121</v>
      </c>
      <c r="C294" s="2">
        <v>496</v>
      </c>
      <c r="D294" s="2" t="s">
        <v>329</v>
      </c>
      <c r="E294" s="2">
        <v>0</v>
      </c>
      <c r="F294" s="2">
        <v>0.3851</v>
      </c>
      <c r="G294" s="2">
        <v>0.34150000000000003</v>
      </c>
      <c r="H294" s="2">
        <v>0.27339999999999998</v>
      </c>
      <c r="I294" s="5">
        <f t="shared" si="16"/>
        <v>1.5750250000000014E-2</v>
      </c>
      <c r="J294" s="5">
        <f t="shared" si="17"/>
        <v>3.4692100000000008E-3</v>
      </c>
      <c r="K294" s="5">
        <f t="shared" si="18"/>
        <v>4.4355599999999955E-3</v>
      </c>
      <c r="L294" s="4">
        <f t="shared" si="19"/>
        <v>0.84619811444588855</v>
      </c>
    </row>
    <row r="295" spans="1:12">
      <c r="A295" s="2">
        <v>480</v>
      </c>
      <c r="B295" s="2" t="s">
        <v>121</v>
      </c>
      <c r="C295" s="2">
        <v>497</v>
      </c>
      <c r="D295" s="2" t="s">
        <v>479</v>
      </c>
      <c r="E295" s="2">
        <v>0</v>
      </c>
      <c r="F295" s="2">
        <v>0.13200000000000001</v>
      </c>
      <c r="G295" s="2">
        <v>0.70240000000000002</v>
      </c>
      <c r="H295" s="2">
        <v>0.1656</v>
      </c>
      <c r="I295" s="5">
        <f t="shared" si="16"/>
        <v>0.14333796000000004</v>
      </c>
      <c r="J295" s="5">
        <f t="shared" si="17"/>
        <v>0.17623204000000001</v>
      </c>
      <c r="K295" s="5">
        <f t="shared" si="18"/>
        <v>1.6974400000000012E-3</v>
      </c>
      <c r="L295" s="4">
        <f t="shared" si="19"/>
        <v>0.43319541286259866</v>
      </c>
    </row>
    <row r="296" spans="1:12">
      <c r="A296" s="2">
        <v>480</v>
      </c>
      <c r="B296" s="2" t="s">
        <v>121</v>
      </c>
      <c r="C296" s="2">
        <v>186106</v>
      </c>
      <c r="D296" s="2" t="s">
        <v>519</v>
      </c>
      <c r="E296" s="2">
        <v>0</v>
      </c>
      <c r="F296" s="2">
        <v>0.24759999999999999</v>
      </c>
      <c r="G296" s="2">
        <v>0.66100000000000003</v>
      </c>
      <c r="H296" s="2">
        <v>9.1499999999999998E-2</v>
      </c>
      <c r="I296" s="5">
        <f t="shared" si="16"/>
        <v>6.9169000000000036E-2</v>
      </c>
      <c r="J296" s="5">
        <f t="shared" si="17"/>
        <v>0.14318656000000002</v>
      </c>
      <c r="K296" s="5">
        <f t="shared" si="18"/>
        <v>1.3294090000000003E-2</v>
      </c>
      <c r="L296" s="4">
        <f t="shared" si="19"/>
        <v>0.52497405334024116</v>
      </c>
    </row>
    <row r="297" spans="1:12">
      <c r="A297" s="2">
        <v>480</v>
      </c>
      <c r="B297" s="2" t="s">
        <v>121</v>
      </c>
      <c r="C297" s="2">
        <v>499</v>
      </c>
      <c r="D297" s="2" t="s">
        <v>471</v>
      </c>
      <c r="E297" s="2">
        <v>0</v>
      </c>
      <c r="F297" s="2">
        <v>0.51180000000000003</v>
      </c>
      <c r="G297" s="2">
        <v>0.31019999999999998</v>
      </c>
      <c r="H297" s="2">
        <v>0.17799999999999999</v>
      </c>
      <c r="I297" s="5">
        <f t="shared" si="16"/>
        <v>1.4399999999999494E-6</v>
      </c>
      <c r="J297" s="5">
        <f t="shared" si="17"/>
        <v>7.6175999999999772E-4</v>
      </c>
      <c r="K297" s="5">
        <f t="shared" si="18"/>
        <v>8.2944000000000117E-4</v>
      </c>
      <c r="L297" s="4">
        <f t="shared" si="19"/>
        <v>0.96009210604404183</v>
      </c>
    </row>
    <row r="298" spans="1:12">
      <c r="A298" s="2">
        <v>480</v>
      </c>
      <c r="B298" s="2" t="s">
        <v>121</v>
      </c>
      <c r="C298" s="2">
        <v>85568</v>
      </c>
      <c r="D298" s="2" t="s">
        <v>243</v>
      </c>
      <c r="E298" s="2">
        <v>0</v>
      </c>
      <c r="F298" s="2">
        <v>0.17610000000000001</v>
      </c>
      <c r="G298" s="2">
        <v>0.42520000000000002</v>
      </c>
      <c r="H298" s="2">
        <v>0.3987</v>
      </c>
      <c r="I298" s="5">
        <f t="shared" si="16"/>
        <v>0.11189025000000001</v>
      </c>
      <c r="J298" s="5">
        <f t="shared" si="17"/>
        <v>2.033476E-2</v>
      </c>
      <c r="K298" s="5">
        <f t="shared" si="18"/>
        <v>3.6825609999999995E-2</v>
      </c>
      <c r="L298" s="4">
        <f t="shared" si="19"/>
        <v>0.58884234167414573</v>
      </c>
    </row>
    <row r="299" spans="1:12">
      <c r="A299" s="2">
        <v>480</v>
      </c>
      <c r="B299" s="2" t="s">
        <v>121</v>
      </c>
      <c r="C299" s="2">
        <v>501</v>
      </c>
      <c r="D299" s="2" t="s">
        <v>458</v>
      </c>
      <c r="E299" s="2">
        <v>0</v>
      </c>
      <c r="F299" s="2">
        <v>0.191</v>
      </c>
      <c r="G299" s="2">
        <v>0.61209999999999998</v>
      </c>
      <c r="H299" s="2">
        <v>0.19689999999999999</v>
      </c>
      <c r="I299" s="5">
        <f t="shared" si="16"/>
        <v>0.10214416000000003</v>
      </c>
      <c r="J299" s="5">
        <f t="shared" si="17"/>
        <v>0.10857024999999998</v>
      </c>
      <c r="K299" s="5">
        <f t="shared" si="18"/>
        <v>9.8010000000000398E-5</v>
      </c>
      <c r="L299" s="4">
        <f t="shared" si="19"/>
        <v>0.54085686327682081</v>
      </c>
    </row>
    <row r="300" spans="1:12">
      <c r="A300" s="2">
        <v>480</v>
      </c>
      <c r="B300" s="2" t="s">
        <v>121</v>
      </c>
      <c r="C300" s="2">
        <v>185680</v>
      </c>
      <c r="D300" s="2" t="s">
        <v>526</v>
      </c>
      <c r="E300" s="2">
        <v>0</v>
      </c>
      <c r="F300" s="2">
        <v>0.2414</v>
      </c>
      <c r="G300" s="2">
        <v>0.67859999999999998</v>
      </c>
      <c r="H300" s="2">
        <v>0.08</v>
      </c>
      <c r="I300" s="5">
        <f t="shared" si="16"/>
        <v>7.2468640000000029E-2</v>
      </c>
      <c r="J300" s="5">
        <f t="shared" si="17"/>
        <v>0.15681599999999998</v>
      </c>
      <c r="K300" s="5">
        <f t="shared" si="18"/>
        <v>1.6078240000000008E-2</v>
      </c>
      <c r="L300" s="4">
        <f t="shared" si="19"/>
        <v>0.50465882464709233</v>
      </c>
    </row>
    <row r="301" spans="1:12">
      <c r="A301" s="2">
        <v>480</v>
      </c>
      <c r="B301" s="2" t="s">
        <v>121</v>
      </c>
      <c r="C301" s="2">
        <v>502</v>
      </c>
      <c r="D301" s="2" t="s">
        <v>522</v>
      </c>
      <c r="E301" s="2">
        <v>0</v>
      </c>
      <c r="F301" s="2">
        <v>0.1585</v>
      </c>
      <c r="G301" s="2">
        <v>0.75590000000000002</v>
      </c>
      <c r="H301" s="2">
        <v>8.5599999999999996E-2</v>
      </c>
      <c r="I301" s="5">
        <f t="shared" si="16"/>
        <v>0.12397441000000006</v>
      </c>
      <c r="J301" s="5">
        <f t="shared" si="17"/>
        <v>0.22401288999999999</v>
      </c>
      <c r="K301" s="5">
        <f t="shared" si="18"/>
        <v>1.4689440000000003E-2</v>
      </c>
      <c r="L301" s="4">
        <f t="shared" si="19"/>
        <v>0.39777351436523478</v>
      </c>
    </row>
    <row r="302" spans="1:12">
      <c r="A302" s="2">
        <v>480</v>
      </c>
      <c r="B302" s="2" t="s">
        <v>121</v>
      </c>
      <c r="C302" s="2">
        <v>505</v>
      </c>
      <c r="D302" s="2" t="s">
        <v>515</v>
      </c>
      <c r="E302" s="2">
        <v>0</v>
      </c>
      <c r="F302" s="2">
        <v>0.14299999999999999</v>
      </c>
      <c r="G302" s="2">
        <v>0.7601</v>
      </c>
      <c r="H302" s="2">
        <v>9.69E-2</v>
      </c>
      <c r="I302" s="5">
        <f t="shared" si="16"/>
        <v>0.13512976000000002</v>
      </c>
      <c r="J302" s="5">
        <f t="shared" si="17"/>
        <v>0.22800624999999999</v>
      </c>
      <c r="K302" s="5">
        <f t="shared" si="18"/>
        <v>1.2078010000000002E-2</v>
      </c>
      <c r="L302" s="4">
        <f t="shared" si="19"/>
        <v>0.38745284263168767</v>
      </c>
    </row>
    <row r="303" spans="1:12">
      <c r="A303" s="2">
        <v>480</v>
      </c>
      <c r="B303" s="2" t="s">
        <v>121</v>
      </c>
      <c r="C303" s="2">
        <v>503</v>
      </c>
      <c r="D303" s="2" t="s">
        <v>529</v>
      </c>
      <c r="E303" s="2">
        <v>0</v>
      </c>
      <c r="F303" s="2">
        <v>0.1822</v>
      </c>
      <c r="G303" s="2">
        <v>0.74250000000000005</v>
      </c>
      <c r="H303" s="2">
        <v>7.5300000000000006E-2</v>
      </c>
      <c r="I303" s="5">
        <f t="shared" si="16"/>
        <v>0.10784656000000002</v>
      </c>
      <c r="J303" s="5">
        <f t="shared" si="17"/>
        <v>0.21150801000000002</v>
      </c>
      <c r="K303" s="5">
        <f t="shared" si="18"/>
        <v>1.7292250000000002E-2</v>
      </c>
      <c r="L303" s="4">
        <f t="shared" si="19"/>
        <v>0.4197872631525571</v>
      </c>
    </row>
    <row r="304" spans="1:12">
      <c r="A304" s="2">
        <v>480</v>
      </c>
      <c r="B304" s="2" t="s">
        <v>121</v>
      </c>
      <c r="C304" s="2">
        <v>508</v>
      </c>
      <c r="D304" s="2" t="s">
        <v>481</v>
      </c>
      <c r="E304" s="2">
        <v>0</v>
      </c>
      <c r="F304" s="2">
        <v>0.57079999999999997</v>
      </c>
      <c r="G304" s="2">
        <v>0.26479999999999998</v>
      </c>
      <c r="H304" s="2">
        <v>0.16439999999999999</v>
      </c>
      <c r="I304" s="5">
        <f t="shared" si="16"/>
        <v>3.6240399999999903E-3</v>
      </c>
      <c r="J304" s="5">
        <f t="shared" si="17"/>
        <v>3.1684000000000134E-4</v>
      </c>
      <c r="K304" s="5">
        <f t="shared" si="18"/>
        <v>1.7977600000000018E-3</v>
      </c>
      <c r="L304" s="4">
        <f t="shared" si="19"/>
        <v>0.9242461882147176</v>
      </c>
    </row>
    <row r="305" spans="1:12">
      <c r="A305" s="2">
        <v>480</v>
      </c>
      <c r="B305" s="2" t="s">
        <v>121</v>
      </c>
      <c r="C305" s="2">
        <v>506</v>
      </c>
      <c r="D305" s="2" t="s">
        <v>502</v>
      </c>
      <c r="E305" s="2">
        <v>0</v>
      </c>
      <c r="F305" s="2">
        <v>0.1867</v>
      </c>
      <c r="G305" s="2">
        <v>0.68110000000000004</v>
      </c>
      <c r="H305" s="2">
        <v>0.13220000000000001</v>
      </c>
      <c r="I305" s="5">
        <f t="shared" si="16"/>
        <v>0.10491121000000005</v>
      </c>
      <c r="J305" s="5">
        <f t="shared" si="17"/>
        <v>0.15880225000000001</v>
      </c>
      <c r="K305" s="5">
        <f t="shared" si="18"/>
        <v>5.5651599999999996E-3</v>
      </c>
      <c r="L305" s="4">
        <f t="shared" si="19"/>
        <v>0.48107937023086078</v>
      </c>
    </row>
    <row r="306" spans="1:12">
      <c r="A306" s="2">
        <v>480</v>
      </c>
      <c r="B306" s="2" t="s">
        <v>121</v>
      </c>
      <c r="C306" s="2">
        <v>512</v>
      </c>
      <c r="D306" s="2" t="s">
        <v>491</v>
      </c>
      <c r="E306" s="2">
        <v>0</v>
      </c>
      <c r="F306" s="2">
        <v>0.18010000000000001</v>
      </c>
      <c r="G306" s="2">
        <v>0.67390000000000005</v>
      </c>
      <c r="H306" s="2">
        <v>0.14599999999999999</v>
      </c>
      <c r="I306" s="5">
        <f t="shared" si="16"/>
        <v>0.10923025000000001</v>
      </c>
      <c r="J306" s="5">
        <f t="shared" si="17"/>
        <v>0.15311569000000003</v>
      </c>
      <c r="K306" s="5">
        <f t="shared" si="18"/>
        <v>3.6966400000000023E-3</v>
      </c>
      <c r="L306" s="4">
        <f t="shared" si="19"/>
        <v>0.48420684378328549</v>
      </c>
    </row>
    <row r="307" spans="1:12">
      <c r="A307" s="2">
        <v>480</v>
      </c>
      <c r="B307" s="2" t="s">
        <v>121</v>
      </c>
      <c r="C307" s="2">
        <v>510</v>
      </c>
      <c r="D307" s="2" t="s">
        <v>443</v>
      </c>
      <c r="E307" s="2">
        <v>0</v>
      </c>
      <c r="F307" s="2">
        <v>0.1134</v>
      </c>
      <c r="G307" s="2">
        <v>0.67190000000000005</v>
      </c>
      <c r="H307" s="2">
        <v>0.2147</v>
      </c>
      <c r="I307" s="5">
        <f t="shared" si="16"/>
        <v>0.15776784000000005</v>
      </c>
      <c r="J307" s="5">
        <f t="shared" si="17"/>
        <v>0.15155449000000001</v>
      </c>
      <c r="K307" s="5">
        <f t="shared" si="18"/>
        <v>6.2409999999999845E-5</v>
      </c>
      <c r="L307" s="4">
        <f t="shared" si="19"/>
        <v>0.44377635792785641</v>
      </c>
    </row>
    <row r="308" spans="1:12">
      <c r="A308" s="2">
        <v>480</v>
      </c>
      <c r="B308" s="2" t="s">
        <v>121</v>
      </c>
      <c r="C308" s="2">
        <v>509</v>
      </c>
      <c r="D308" s="2" t="s">
        <v>456</v>
      </c>
      <c r="E308" s="2">
        <v>0</v>
      </c>
      <c r="F308" s="2">
        <v>0.17330000000000001</v>
      </c>
      <c r="G308" s="2">
        <v>0.62839999999999996</v>
      </c>
      <c r="H308" s="2">
        <v>0.1983</v>
      </c>
      <c r="I308" s="5">
        <f t="shared" si="16"/>
        <v>0.11377129000000002</v>
      </c>
      <c r="J308" s="5">
        <f t="shared" si="17"/>
        <v>0.11957763999999996</v>
      </c>
      <c r="K308" s="5">
        <f t="shared" si="18"/>
        <v>7.225000000000013E-5</v>
      </c>
      <c r="L308" s="4">
        <f t="shared" si="19"/>
        <v>0.51686318707844259</v>
      </c>
    </row>
    <row r="309" spans="1:12">
      <c r="A309" s="2">
        <v>480</v>
      </c>
      <c r="B309" s="2" t="s">
        <v>121</v>
      </c>
      <c r="C309" s="2">
        <v>511</v>
      </c>
      <c r="D309" s="2" t="s">
        <v>426</v>
      </c>
      <c r="E309" s="2">
        <v>0</v>
      </c>
      <c r="F309" s="2">
        <v>0.22470000000000001</v>
      </c>
      <c r="G309" s="2">
        <v>0.54279999999999995</v>
      </c>
      <c r="H309" s="2">
        <v>0.2324</v>
      </c>
      <c r="I309" s="5">
        <f t="shared" si="16"/>
        <v>8.1738810000000023E-2</v>
      </c>
      <c r="J309" s="5">
        <f t="shared" si="17"/>
        <v>6.7704039999999965E-2</v>
      </c>
      <c r="K309" s="5">
        <f t="shared" si="18"/>
        <v>6.5535999999999915E-4</v>
      </c>
      <c r="L309" s="4">
        <f t="shared" si="19"/>
        <v>0.61257489756083183</v>
      </c>
    </row>
    <row r="310" spans="1:12">
      <c r="A310" s="2">
        <v>480</v>
      </c>
      <c r="B310" s="2" t="s">
        <v>121</v>
      </c>
      <c r="C310" s="2">
        <v>514</v>
      </c>
      <c r="D310" s="2" t="s">
        <v>293</v>
      </c>
      <c r="E310" s="2">
        <v>0</v>
      </c>
      <c r="F310" s="2">
        <v>9.35E-2</v>
      </c>
      <c r="G310" s="2">
        <v>0.68459999999999999</v>
      </c>
      <c r="H310" s="2">
        <v>0.22189999999999999</v>
      </c>
      <c r="I310" s="5">
        <f t="shared" si="16"/>
        <v>0.17397241000000002</v>
      </c>
      <c r="J310" s="5">
        <f t="shared" si="17"/>
        <v>0.16160399999999997</v>
      </c>
      <c r="K310" s="5">
        <f t="shared" si="18"/>
        <v>2.2800999999999922E-4</v>
      </c>
      <c r="L310" s="4">
        <f t="shared" si="19"/>
        <v>0.42051365848710465</v>
      </c>
    </row>
    <row r="311" spans="1:12">
      <c r="A311" s="2">
        <v>480</v>
      </c>
      <c r="B311" s="2" t="s">
        <v>121</v>
      </c>
      <c r="C311" s="2">
        <v>516</v>
      </c>
      <c r="D311" s="2" t="s">
        <v>409</v>
      </c>
      <c r="E311" s="2">
        <v>0</v>
      </c>
      <c r="F311" s="2">
        <v>0.27829999999999999</v>
      </c>
      <c r="G311" s="2">
        <v>0.46460000000000001</v>
      </c>
      <c r="H311" s="2">
        <v>0.2571</v>
      </c>
      <c r="I311" s="5">
        <f t="shared" si="16"/>
        <v>5.3963290000000032E-2</v>
      </c>
      <c r="J311" s="5">
        <f t="shared" si="17"/>
        <v>3.3124000000000001E-2</v>
      </c>
      <c r="K311" s="5">
        <f t="shared" si="18"/>
        <v>2.5300899999999983E-3</v>
      </c>
      <c r="L311" s="4">
        <f t="shared" si="19"/>
        <v>0.70063837921336669</v>
      </c>
    </row>
    <row r="312" spans="1:12">
      <c r="A312" s="2">
        <v>480</v>
      </c>
      <c r="B312" s="2" t="s">
        <v>121</v>
      </c>
      <c r="C312" s="2">
        <v>518</v>
      </c>
      <c r="D312" s="2" t="s">
        <v>344</v>
      </c>
      <c r="E312" s="2">
        <v>0</v>
      </c>
      <c r="F312" s="2">
        <v>0.14449999999999999</v>
      </c>
      <c r="G312" s="2">
        <v>0.54139999999999999</v>
      </c>
      <c r="H312" s="2">
        <v>0.31409999999999999</v>
      </c>
      <c r="I312" s="5">
        <f t="shared" si="16"/>
        <v>0.13402921000000007</v>
      </c>
      <c r="J312" s="5">
        <f t="shared" si="17"/>
        <v>6.6977439999999985E-2</v>
      </c>
      <c r="K312" s="5">
        <f t="shared" si="18"/>
        <v>1.1513289999999995E-2</v>
      </c>
      <c r="L312" s="4">
        <f t="shared" si="19"/>
        <v>0.53900114967605384</v>
      </c>
    </row>
    <row r="313" spans="1:12">
      <c r="A313" s="2">
        <v>480</v>
      </c>
      <c r="B313" s="2" t="s">
        <v>121</v>
      </c>
      <c r="C313" s="2">
        <v>519</v>
      </c>
      <c r="D313" s="2" t="s">
        <v>78</v>
      </c>
      <c r="E313" s="2">
        <v>0</v>
      </c>
      <c r="F313" s="2">
        <v>0.1138</v>
      </c>
      <c r="G313" s="2">
        <v>0.82569999999999999</v>
      </c>
      <c r="H313" s="2">
        <v>6.0600000000000001E-2</v>
      </c>
      <c r="I313" s="5">
        <f t="shared" si="16"/>
        <v>0.15745024000000005</v>
      </c>
      <c r="J313" s="5">
        <f t="shared" si="17"/>
        <v>0.29495760999999993</v>
      </c>
      <c r="K313" s="5">
        <f t="shared" si="18"/>
        <v>2.1374439999999998E-2</v>
      </c>
      <c r="L313" s="4">
        <f t="shared" si="19"/>
        <v>0.31168154899058531</v>
      </c>
    </row>
    <row r="314" spans="1:12">
      <c r="A314" s="2">
        <v>480</v>
      </c>
      <c r="B314" s="2" t="s">
        <v>121</v>
      </c>
      <c r="C314" s="2">
        <v>85569</v>
      </c>
      <c r="D314" s="2" t="s">
        <v>531</v>
      </c>
      <c r="E314" s="2">
        <v>0</v>
      </c>
      <c r="F314" s="2">
        <v>0.36709999999999998</v>
      </c>
      <c r="G314" s="2">
        <v>0.5625</v>
      </c>
      <c r="H314" s="2">
        <v>7.0499999999999993E-2</v>
      </c>
      <c r="I314" s="5">
        <f t="shared" si="16"/>
        <v>2.059225000000002E-2</v>
      </c>
      <c r="J314" s="5">
        <f t="shared" si="17"/>
        <v>7.8344009999999992E-2</v>
      </c>
      <c r="K314" s="5">
        <f t="shared" si="18"/>
        <v>1.8577690000000008E-2</v>
      </c>
      <c r="L314" s="4">
        <f t="shared" si="19"/>
        <v>0.6571969224175489</v>
      </c>
    </row>
    <row r="315" spans="1:12">
      <c r="A315" s="2">
        <v>480</v>
      </c>
      <c r="B315" s="2" t="s">
        <v>121</v>
      </c>
      <c r="C315" s="2">
        <v>520</v>
      </c>
      <c r="D315" s="2" t="s">
        <v>258</v>
      </c>
      <c r="E315" s="2">
        <v>0</v>
      </c>
      <c r="F315" s="2">
        <v>0.37459999999999999</v>
      </c>
      <c r="G315" s="2">
        <v>0.23780000000000001</v>
      </c>
      <c r="H315" s="2">
        <v>0.3876</v>
      </c>
      <c r="I315" s="5">
        <f t="shared" si="16"/>
        <v>1.8496000000000019E-2</v>
      </c>
      <c r="J315" s="5">
        <f t="shared" si="17"/>
        <v>2.0070400000000007E-3</v>
      </c>
      <c r="K315" s="5">
        <f t="shared" si="18"/>
        <v>3.2688639999999998E-2</v>
      </c>
      <c r="L315" s="4">
        <f t="shared" si="19"/>
        <v>0.76936678469916786</v>
      </c>
    </row>
    <row r="316" spans="1:12">
      <c r="A316" s="2">
        <v>480</v>
      </c>
      <c r="B316" s="2" t="s">
        <v>121</v>
      </c>
      <c r="C316" s="2">
        <v>521</v>
      </c>
      <c r="D316" s="2" t="s">
        <v>511</v>
      </c>
      <c r="E316" s="2">
        <v>0</v>
      </c>
      <c r="F316" s="2">
        <v>0.61699999999999999</v>
      </c>
      <c r="G316" s="2">
        <v>0.2777</v>
      </c>
      <c r="H316" s="2">
        <v>0.1053</v>
      </c>
      <c r="I316" s="5">
        <f t="shared" si="16"/>
        <v>1.1320959999999988E-2</v>
      </c>
      <c r="J316" s="5">
        <f t="shared" si="17"/>
        <v>2.4010000000000151E-5</v>
      </c>
      <c r="K316" s="5">
        <f t="shared" si="18"/>
        <v>1.0302250000000001E-2</v>
      </c>
      <c r="L316" s="4">
        <f t="shared" si="19"/>
        <v>0.85287005743221411</v>
      </c>
    </row>
    <row r="317" spans="1:12">
      <c r="A317" s="2">
        <v>480</v>
      </c>
      <c r="B317" s="2" t="s">
        <v>121</v>
      </c>
      <c r="C317" s="2">
        <v>522</v>
      </c>
      <c r="D317" s="2" t="s">
        <v>383</v>
      </c>
      <c r="E317" s="2">
        <v>0</v>
      </c>
      <c r="F317" s="2">
        <v>0.3115</v>
      </c>
      <c r="G317" s="2">
        <v>0.40600000000000003</v>
      </c>
      <c r="H317" s="2">
        <v>0.28249999999999997</v>
      </c>
      <c r="I317" s="5">
        <f t="shared" si="16"/>
        <v>3.9640810000000019E-2</v>
      </c>
      <c r="J317" s="5">
        <f t="shared" si="17"/>
        <v>1.5227560000000003E-2</v>
      </c>
      <c r="K317" s="5">
        <f t="shared" si="18"/>
        <v>5.7304899999999943E-3</v>
      </c>
      <c r="L317" s="4">
        <f t="shared" si="19"/>
        <v>0.75383164297578775</v>
      </c>
    </row>
    <row r="318" spans="1:12">
      <c r="A318" s="2">
        <v>480</v>
      </c>
      <c r="B318" s="2" t="s">
        <v>121</v>
      </c>
      <c r="C318" s="2">
        <v>523</v>
      </c>
      <c r="D318" s="2" t="s">
        <v>362</v>
      </c>
      <c r="E318" s="2">
        <v>0</v>
      </c>
      <c r="F318" s="2">
        <v>0.14299999999999999</v>
      </c>
      <c r="G318" s="2">
        <v>0.55800000000000005</v>
      </c>
      <c r="H318" s="2">
        <v>0.29899999999999999</v>
      </c>
      <c r="I318" s="5">
        <f t="shared" si="16"/>
        <v>0.13512976000000002</v>
      </c>
      <c r="J318" s="5">
        <f t="shared" si="17"/>
        <v>7.5845160000000023E-2</v>
      </c>
      <c r="K318" s="5">
        <f t="shared" si="18"/>
        <v>8.5008399999999956E-3</v>
      </c>
      <c r="L318" s="4">
        <f t="shared" si="19"/>
        <v>0.53151759904986817</v>
      </c>
    </row>
    <row r="319" spans="1:12">
      <c r="A319" s="2">
        <v>480</v>
      </c>
      <c r="B319" s="2" t="s">
        <v>121</v>
      </c>
      <c r="C319" s="2">
        <v>524</v>
      </c>
      <c r="D319" s="2" t="s">
        <v>410</v>
      </c>
      <c r="E319" s="2">
        <v>0</v>
      </c>
      <c r="F319" s="2">
        <v>0.20649999999999999</v>
      </c>
      <c r="G319" s="2">
        <v>0.58109999999999995</v>
      </c>
      <c r="H319" s="2">
        <v>0.21240000000000001</v>
      </c>
      <c r="I319" s="5">
        <f t="shared" si="16"/>
        <v>9.247681000000002E-2</v>
      </c>
      <c r="J319" s="5">
        <f t="shared" si="17"/>
        <v>8.9102249999999966E-2</v>
      </c>
      <c r="K319" s="5">
        <f t="shared" si="18"/>
        <v>3.135999999999993E-5</v>
      </c>
      <c r="L319" s="4">
        <f t="shared" si="19"/>
        <v>0.57384225925134247</v>
      </c>
    </row>
    <row r="320" spans="1:12">
      <c r="A320" s="2">
        <v>480</v>
      </c>
      <c r="B320" s="2" t="s">
        <v>121</v>
      </c>
      <c r="C320" s="2">
        <v>526</v>
      </c>
      <c r="D320" s="2" t="s">
        <v>447</v>
      </c>
      <c r="E320" s="2">
        <v>0</v>
      </c>
      <c r="F320" s="2">
        <v>0.18509999999999999</v>
      </c>
      <c r="G320" s="2">
        <v>0.60609999999999997</v>
      </c>
      <c r="H320" s="2">
        <v>0.20880000000000001</v>
      </c>
      <c r="I320" s="5">
        <f t="shared" si="16"/>
        <v>0.10595025000000004</v>
      </c>
      <c r="J320" s="5">
        <f t="shared" si="17"/>
        <v>0.10465224999999997</v>
      </c>
      <c r="K320" s="5">
        <f t="shared" si="18"/>
        <v>4.0000000000000074E-6</v>
      </c>
      <c r="L320" s="4">
        <f t="shared" si="19"/>
        <v>0.54108116185974664</v>
      </c>
    </row>
    <row r="321" spans="1:12">
      <c r="A321" s="2">
        <v>480</v>
      </c>
      <c r="B321" s="2" t="s">
        <v>121</v>
      </c>
      <c r="C321" s="2">
        <v>525</v>
      </c>
      <c r="D321" s="2" t="s">
        <v>182</v>
      </c>
      <c r="E321" s="2">
        <v>0</v>
      </c>
      <c r="F321" s="2">
        <v>0.15040000000000001</v>
      </c>
      <c r="G321" s="2">
        <v>0.72319999999999995</v>
      </c>
      <c r="H321" s="2">
        <v>0.12640000000000001</v>
      </c>
      <c r="I321" s="5">
        <f t="shared" si="16"/>
        <v>0.12974404000000006</v>
      </c>
      <c r="J321" s="5">
        <f t="shared" si="17"/>
        <v>0.19412835999999994</v>
      </c>
      <c r="K321" s="5">
        <f t="shared" si="18"/>
        <v>6.46416E-3</v>
      </c>
      <c r="L321" s="4">
        <f t="shared" si="19"/>
        <v>0.42525087211897394</v>
      </c>
    </row>
    <row r="322" spans="1:12">
      <c r="A322" s="2">
        <v>480</v>
      </c>
      <c r="B322" s="2" t="s">
        <v>121</v>
      </c>
      <c r="C322" s="2">
        <v>528</v>
      </c>
      <c r="D322" s="2" t="s">
        <v>330</v>
      </c>
      <c r="E322" s="2">
        <v>0</v>
      </c>
      <c r="F322" s="2">
        <v>0.24490000000000001</v>
      </c>
      <c r="G322" s="2">
        <v>0.42349999999999999</v>
      </c>
      <c r="H322" s="2">
        <v>0.33160000000000001</v>
      </c>
      <c r="I322" s="5">
        <f t="shared" ref="I322:I385" si="20">(F322-0.5106)^2</f>
        <v>7.0596490000000026E-2</v>
      </c>
      <c r="J322" s="5">
        <f t="shared" ref="J322:J385" si="21">(G322-0.2826)^2</f>
        <v>1.9852809999999992E-2</v>
      </c>
      <c r="K322" s="5">
        <f t="shared" ref="K322:K385" si="22">(H322-0.2068)^2</f>
        <v>1.5575039999999998E-2</v>
      </c>
      <c r="L322" s="4">
        <f t="shared" ref="L322:L385" si="23">1-(SQRT(I322+J322+K322))</f>
        <v>0.67438621036571567</v>
      </c>
    </row>
    <row r="323" spans="1:12">
      <c r="A323" s="2">
        <v>480</v>
      </c>
      <c r="B323" s="2" t="s">
        <v>121</v>
      </c>
      <c r="C323" s="2">
        <v>527</v>
      </c>
      <c r="D323" s="2" t="s">
        <v>459</v>
      </c>
      <c r="E323" s="2">
        <v>0</v>
      </c>
      <c r="F323" s="2">
        <v>0.17319999999999999</v>
      </c>
      <c r="G323" s="2">
        <v>0.63360000000000005</v>
      </c>
      <c r="H323" s="2">
        <v>0.19309999999999999</v>
      </c>
      <c r="I323" s="5">
        <f t="shared" si="20"/>
        <v>0.11383876000000002</v>
      </c>
      <c r="J323" s="5">
        <f t="shared" si="21"/>
        <v>0.12320100000000002</v>
      </c>
      <c r="K323" s="5">
        <f t="shared" si="22"/>
        <v>1.8769000000000047E-4</v>
      </c>
      <c r="L323" s="4">
        <f t="shared" si="23"/>
        <v>0.51293999342996754</v>
      </c>
    </row>
    <row r="324" spans="1:12">
      <c r="A324" s="2">
        <v>480</v>
      </c>
      <c r="B324" s="2" t="s">
        <v>121</v>
      </c>
      <c r="C324" s="2">
        <v>529</v>
      </c>
      <c r="D324" s="2" t="s">
        <v>505</v>
      </c>
      <c r="E324" s="2">
        <v>0</v>
      </c>
      <c r="F324" s="2">
        <v>0.13450000000000001</v>
      </c>
      <c r="G324" s="2">
        <v>0.74580000000000002</v>
      </c>
      <c r="H324" s="2">
        <v>0.1197</v>
      </c>
      <c r="I324" s="5">
        <f t="shared" si="20"/>
        <v>0.14145121000000002</v>
      </c>
      <c r="J324" s="5">
        <f t="shared" si="21"/>
        <v>0.21455424000000001</v>
      </c>
      <c r="K324" s="5">
        <f t="shared" si="22"/>
        <v>7.5864100000000018E-3</v>
      </c>
      <c r="L324" s="4">
        <f t="shared" si="23"/>
        <v>0.39701421243946389</v>
      </c>
    </row>
    <row r="325" spans="1:12">
      <c r="A325" s="2">
        <v>480</v>
      </c>
      <c r="B325" s="2" t="s">
        <v>121</v>
      </c>
      <c r="C325" s="2">
        <v>500</v>
      </c>
      <c r="D325" s="2" t="s">
        <v>430</v>
      </c>
      <c r="E325" s="2">
        <v>0</v>
      </c>
      <c r="F325" s="2">
        <v>0.16539999999999999</v>
      </c>
      <c r="G325" s="2">
        <v>0.60660000000000003</v>
      </c>
      <c r="H325" s="2">
        <v>0.22800000000000001</v>
      </c>
      <c r="I325" s="5">
        <f t="shared" si="20"/>
        <v>0.11916304000000004</v>
      </c>
      <c r="J325" s="5">
        <f t="shared" si="21"/>
        <v>0.104976</v>
      </c>
      <c r="K325" s="5">
        <f t="shared" si="22"/>
        <v>4.4943999999999984E-4</v>
      </c>
      <c r="L325" s="4">
        <f t="shared" si="23"/>
        <v>0.52609232966747621</v>
      </c>
    </row>
    <row r="326" spans="1:12">
      <c r="A326" s="2">
        <v>480</v>
      </c>
      <c r="B326" s="2" t="s">
        <v>121</v>
      </c>
      <c r="C326" s="2">
        <v>530</v>
      </c>
      <c r="D326" s="2" t="s">
        <v>427</v>
      </c>
      <c r="E326" s="2">
        <v>0</v>
      </c>
      <c r="F326" s="2">
        <v>0.16039999999999999</v>
      </c>
      <c r="G326" s="2">
        <v>0.60850000000000004</v>
      </c>
      <c r="H326" s="2">
        <v>0.2311</v>
      </c>
      <c r="I326" s="5">
        <f t="shared" si="20"/>
        <v>0.12264004000000005</v>
      </c>
      <c r="J326" s="5">
        <f t="shared" si="21"/>
        <v>0.10621081000000002</v>
      </c>
      <c r="K326" s="5">
        <f t="shared" si="22"/>
        <v>5.904899999999994E-4</v>
      </c>
      <c r="L326" s="4">
        <f t="shared" si="23"/>
        <v>0.52099964509407715</v>
      </c>
    </row>
    <row r="327" spans="1:12">
      <c r="A327" s="2">
        <v>480</v>
      </c>
      <c r="B327" s="2" t="s">
        <v>121</v>
      </c>
      <c r="C327" s="2">
        <v>531</v>
      </c>
      <c r="D327" s="2" t="s">
        <v>188</v>
      </c>
      <c r="E327" s="2">
        <v>0</v>
      </c>
      <c r="F327" s="2">
        <v>0.1023</v>
      </c>
      <c r="G327" s="2">
        <v>0.67249999999999999</v>
      </c>
      <c r="H327" s="2">
        <v>0.22520000000000001</v>
      </c>
      <c r="I327" s="5">
        <f t="shared" si="20"/>
        <v>0.16670889000000005</v>
      </c>
      <c r="J327" s="5">
        <f t="shared" si="21"/>
        <v>0.15202200999999999</v>
      </c>
      <c r="K327" s="5">
        <f t="shared" si="22"/>
        <v>3.3856000000000001E-4</v>
      </c>
      <c r="L327" s="4">
        <f t="shared" si="23"/>
        <v>0.43513766278853394</v>
      </c>
    </row>
    <row r="328" spans="1:12">
      <c r="A328" s="2">
        <v>480</v>
      </c>
      <c r="B328" s="2" t="s">
        <v>121</v>
      </c>
      <c r="C328" s="2">
        <v>533</v>
      </c>
      <c r="D328" s="2" t="s">
        <v>122</v>
      </c>
      <c r="E328" s="2">
        <v>0</v>
      </c>
      <c r="F328" s="2">
        <v>0.30590000000000001</v>
      </c>
      <c r="G328" s="2">
        <v>0.1653</v>
      </c>
      <c r="H328" s="2">
        <v>0.52880000000000005</v>
      </c>
      <c r="I328" s="5">
        <f t="shared" si="20"/>
        <v>4.1902090000000017E-2</v>
      </c>
      <c r="J328" s="5">
        <f t="shared" si="21"/>
        <v>1.3759290000000004E-2</v>
      </c>
      <c r="K328" s="5">
        <f t="shared" si="22"/>
        <v>0.10368400000000004</v>
      </c>
      <c r="L328" s="4">
        <f t="shared" si="23"/>
        <v>0.60081911368403418</v>
      </c>
    </row>
    <row r="329" spans="1:12">
      <c r="A329" s="2">
        <v>480</v>
      </c>
      <c r="B329" s="2" t="s">
        <v>121</v>
      </c>
      <c r="C329" s="2">
        <v>186128</v>
      </c>
      <c r="D329" s="2" t="s">
        <v>451</v>
      </c>
      <c r="E329" s="2">
        <v>0</v>
      </c>
      <c r="F329" s="2">
        <v>0.14899999999999999</v>
      </c>
      <c r="G329" s="2">
        <v>0.64380000000000004</v>
      </c>
      <c r="H329" s="2">
        <v>0.2072</v>
      </c>
      <c r="I329" s="5">
        <f t="shared" si="20"/>
        <v>0.13075456000000002</v>
      </c>
      <c r="J329" s="5">
        <f t="shared" si="21"/>
        <v>0.13046544000000002</v>
      </c>
      <c r="K329" s="5">
        <f t="shared" si="22"/>
        <v>1.5999999999998695E-7</v>
      </c>
      <c r="L329" s="4">
        <f t="shared" si="23"/>
        <v>0.48890298376922603</v>
      </c>
    </row>
    <row r="330" spans="1:12">
      <c r="A330" s="2">
        <v>480</v>
      </c>
      <c r="B330" s="2" t="s">
        <v>121</v>
      </c>
      <c r="C330" s="2">
        <v>535</v>
      </c>
      <c r="D330" s="2" t="s">
        <v>374</v>
      </c>
      <c r="E330" s="2">
        <v>0</v>
      </c>
      <c r="F330" s="2">
        <v>0.29220000000000002</v>
      </c>
      <c r="G330" s="2">
        <v>0.41739999999999999</v>
      </c>
      <c r="H330" s="2">
        <v>0.29049999999999998</v>
      </c>
      <c r="I330" s="5">
        <f t="shared" si="20"/>
        <v>4.7698560000000015E-2</v>
      </c>
      <c r="J330" s="5">
        <f t="shared" si="21"/>
        <v>1.8171039999999992E-2</v>
      </c>
      <c r="K330" s="5">
        <f t="shared" si="22"/>
        <v>7.005689999999995E-3</v>
      </c>
      <c r="L330" s="4">
        <f t="shared" si="23"/>
        <v>0.73004576313752734</v>
      </c>
    </row>
    <row r="331" spans="1:12">
      <c r="A331" s="2">
        <v>480</v>
      </c>
      <c r="B331" s="2" t="s">
        <v>121</v>
      </c>
      <c r="C331" s="2">
        <v>537</v>
      </c>
      <c r="D331" s="2" t="s">
        <v>446</v>
      </c>
      <c r="E331" s="2">
        <v>0</v>
      </c>
      <c r="F331" s="2">
        <v>0.1111</v>
      </c>
      <c r="G331" s="2">
        <v>0.67810000000000004</v>
      </c>
      <c r="H331" s="2">
        <v>0.21079999999999999</v>
      </c>
      <c r="I331" s="5">
        <f t="shared" si="20"/>
        <v>0.15960025000000005</v>
      </c>
      <c r="J331" s="5">
        <f t="shared" si="21"/>
        <v>0.15642025000000001</v>
      </c>
      <c r="K331" s="5">
        <f t="shared" si="22"/>
        <v>1.5999999999999806E-5</v>
      </c>
      <c r="L331" s="4">
        <f t="shared" si="23"/>
        <v>0.43782876274216942</v>
      </c>
    </row>
    <row r="332" spans="1:12">
      <c r="A332" s="2">
        <v>480</v>
      </c>
      <c r="B332" s="2" t="s">
        <v>121</v>
      </c>
      <c r="C332" s="2">
        <v>185809</v>
      </c>
      <c r="D332" s="2" t="s">
        <v>418</v>
      </c>
      <c r="E332" s="2">
        <v>0</v>
      </c>
      <c r="F332" s="2">
        <v>0.2006</v>
      </c>
      <c r="G332" s="2">
        <v>0.55600000000000005</v>
      </c>
      <c r="H332" s="2">
        <v>0.24340000000000001</v>
      </c>
      <c r="I332" s="5">
        <f t="shared" si="20"/>
        <v>9.6100000000000033E-2</v>
      </c>
      <c r="J332" s="5">
        <f t="shared" si="21"/>
        <v>7.4747560000000018E-2</v>
      </c>
      <c r="K332" s="5">
        <f t="shared" si="22"/>
        <v>1.3395599999999996E-3</v>
      </c>
      <c r="L332" s="4">
        <f t="shared" si="23"/>
        <v>0.58504564106398393</v>
      </c>
    </row>
    <row r="333" spans="1:12">
      <c r="A333" s="2">
        <v>480</v>
      </c>
      <c r="B333" s="2" t="s">
        <v>121</v>
      </c>
      <c r="C333" s="2">
        <v>538</v>
      </c>
      <c r="D333" s="2" t="s">
        <v>232</v>
      </c>
      <c r="E333" s="2">
        <v>0</v>
      </c>
      <c r="F333" s="2">
        <v>0.1462</v>
      </c>
      <c r="G333" s="2">
        <v>0.71940000000000004</v>
      </c>
      <c r="H333" s="2">
        <v>0.13439999999999999</v>
      </c>
      <c r="I333" s="5">
        <f t="shared" si="20"/>
        <v>0.13278736000000005</v>
      </c>
      <c r="J333" s="5">
        <f t="shared" si="21"/>
        <v>0.19079424000000003</v>
      </c>
      <c r="K333" s="5">
        <f t="shared" si="22"/>
        <v>5.2417600000000033E-3</v>
      </c>
      <c r="L333" s="4">
        <f t="shared" si="23"/>
        <v>0.42656878354941286</v>
      </c>
    </row>
    <row r="334" spans="1:12">
      <c r="A334" s="2">
        <v>480</v>
      </c>
      <c r="B334" s="2" t="s">
        <v>121</v>
      </c>
      <c r="C334" s="2">
        <v>539</v>
      </c>
      <c r="D334" s="2" t="s">
        <v>445</v>
      </c>
      <c r="E334" s="2">
        <v>0</v>
      </c>
      <c r="F334" s="2">
        <v>0.16950000000000001</v>
      </c>
      <c r="G334" s="2">
        <v>0.61699999999999999</v>
      </c>
      <c r="H334" s="2">
        <v>0.2135</v>
      </c>
      <c r="I334" s="5">
        <f t="shared" si="20"/>
        <v>0.11634921000000005</v>
      </c>
      <c r="J334" s="5">
        <f t="shared" si="21"/>
        <v>0.11182335999999998</v>
      </c>
      <c r="K334" s="5">
        <f t="shared" si="22"/>
        <v>4.4889999999999782E-5</v>
      </c>
      <c r="L334" s="4">
        <f t="shared" si="23"/>
        <v>0.52227888889018104</v>
      </c>
    </row>
    <row r="335" spans="1:12">
      <c r="A335" s="2">
        <v>480</v>
      </c>
      <c r="B335" s="2" t="s">
        <v>121</v>
      </c>
      <c r="C335" s="2">
        <v>488</v>
      </c>
      <c r="D335" s="2" t="s">
        <v>449</v>
      </c>
      <c r="E335" s="2">
        <v>0</v>
      </c>
      <c r="F335" s="2">
        <v>0.22550000000000001</v>
      </c>
      <c r="G335" s="2">
        <v>0.56699999999999995</v>
      </c>
      <c r="H335" s="2">
        <v>0.20749999999999999</v>
      </c>
      <c r="I335" s="5">
        <f t="shared" si="20"/>
        <v>8.1282010000000016E-2</v>
      </c>
      <c r="J335" s="5">
        <f t="shared" si="21"/>
        <v>8.088335999999996E-2</v>
      </c>
      <c r="K335" s="5">
        <f t="shared" si="22"/>
        <v>4.8999999999996979E-7</v>
      </c>
      <c r="L335" s="4">
        <f t="shared" si="23"/>
        <v>0.59730177551918606</v>
      </c>
    </row>
    <row r="336" spans="1:12">
      <c r="A336" s="2">
        <v>480</v>
      </c>
      <c r="B336" s="2" t="s">
        <v>121</v>
      </c>
      <c r="C336" s="2">
        <v>534</v>
      </c>
      <c r="D336" s="2" t="s">
        <v>437</v>
      </c>
      <c r="E336" s="2">
        <v>0</v>
      </c>
      <c r="F336" s="2">
        <v>0.22389999999999999</v>
      </c>
      <c r="G336" s="2">
        <v>0.5544</v>
      </c>
      <c r="H336" s="2">
        <v>0.2218</v>
      </c>
      <c r="I336" s="5">
        <f t="shared" si="20"/>
        <v>8.2196890000000036E-2</v>
      </c>
      <c r="J336" s="5">
        <f t="shared" si="21"/>
        <v>7.3875239999999995E-2</v>
      </c>
      <c r="K336" s="5">
        <f t="shared" si="22"/>
        <v>2.2499999999999956E-4</v>
      </c>
      <c r="L336" s="4">
        <f t="shared" si="23"/>
        <v>0.6046556817152926</v>
      </c>
    </row>
    <row r="337" spans="1:12">
      <c r="A337" s="2">
        <v>480</v>
      </c>
      <c r="B337" s="2" t="s">
        <v>121</v>
      </c>
      <c r="C337" s="2">
        <v>540</v>
      </c>
      <c r="D337" s="2" t="s">
        <v>390</v>
      </c>
      <c r="E337" s="2">
        <v>0</v>
      </c>
      <c r="F337" s="2">
        <v>0.23219999999999999</v>
      </c>
      <c r="G337" s="2">
        <v>0.49120000000000003</v>
      </c>
      <c r="H337" s="2">
        <v>0.2767</v>
      </c>
      <c r="I337" s="5">
        <f t="shared" si="20"/>
        <v>7.7506560000000058E-2</v>
      </c>
      <c r="J337" s="5">
        <f t="shared" si="21"/>
        <v>4.3513960000000004E-2</v>
      </c>
      <c r="K337" s="5">
        <f t="shared" si="22"/>
        <v>4.8860099999999988E-3</v>
      </c>
      <c r="L337" s="4">
        <f t="shared" si="23"/>
        <v>0.6451668983874248</v>
      </c>
    </row>
    <row r="338" spans="1:12">
      <c r="A338" s="2">
        <v>480</v>
      </c>
      <c r="B338" s="2" t="s">
        <v>121</v>
      </c>
      <c r="C338" s="2">
        <v>536</v>
      </c>
      <c r="D338" s="2" t="s">
        <v>391</v>
      </c>
      <c r="E338" s="2">
        <v>0</v>
      </c>
      <c r="F338" s="2">
        <v>0.51149999999999995</v>
      </c>
      <c r="G338" s="2">
        <v>0.21210000000000001</v>
      </c>
      <c r="H338" s="2">
        <v>0.27639999999999998</v>
      </c>
      <c r="I338" s="5">
        <f t="shared" si="20"/>
        <v>8.0999999999982157E-7</v>
      </c>
      <c r="J338" s="5">
        <f t="shared" si="21"/>
        <v>4.9702500000000007E-3</v>
      </c>
      <c r="K338" s="5">
        <f t="shared" si="22"/>
        <v>4.8441599999999958E-3</v>
      </c>
      <c r="L338" s="4">
        <f t="shared" si="23"/>
        <v>0.90092820784905525</v>
      </c>
    </row>
    <row r="339" spans="1:12">
      <c r="A339" s="2">
        <v>480</v>
      </c>
      <c r="B339" s="2" t="s">
        <v>121</v>
      </c>
      <c r="C339" s="2">
        <v>544</v>
      </c>
      <c r="D339" s="2" t="s">
        <v>536</v>
      </c>
      <c r="E339" s="2">
        <v>0</v>
      </c>
      <c r="F339" s="2">
        <v>0.2041</v>
      </c>
      <c r="G339" s="2">
        <v>0.74780000000000002</v>
      </c>
      <c r="H339" s="2">
        <v>4.8099999999999997E-2</v>
      </c>
      <c r="I339" s="5">
        <f t="shared" si="20"/>
        <v>9.3942250000000033E-2</v>
      </c>
      <c r="J339" s="5">
        <f t="shared" si="21"/>
        <v>0.21641104</v>
      </c>
      <c r="K339" s="5">
        <f t="shared" si="22"/>
        <v>2.5185690000000004E-2</v>
      </c>
      <c r="L339" s="4">
        <f t="shared" si="23"/>
        <v>0.42074273418454211</v>
      </c>
    </row>
    <row r="340" spans="1:12">
      <c r="A340" s="2">
        <v>480</v>
      </c>
      <c r="B340" s="2" t="s">
        <v>121</v>
      </c>
      <c r="C340" s="2">
        <v>542</v>
      </c>
      <c r="D340" s="2" t="s">
        <v>469</v>
      </c>
      <c r="E340" s="2">
        <v>0</v>
      </c>
      <c r="F340" s="2">
        <v>0.1951</v>
      </c>
      <c r="G340" s="2">
        <v>0.62480000000000002</v>
      </c>
      <c r="H340" s="2">
        <v>0.1802</v>
      </c>
      <c r="I340" s="5">
        <f t="shared" si="20"/>
        <v>9.9540250000000038E-2</v>
      </c>
      <c r="J340" s="5">
        <f t="shared" si="21"/>
        <v>0.11710084</v>
      </c>
      <c r="K340" s="5">
        <f t="shared" si="22"/>
        <v>7.0756000000000063E-4</v>
      </c>
      <c r="L340" s="4">
        <f t="shared" si="23"/>
        <v>0.53379333981591381</v>
      </c>
    </row>
    <row r="341" spans="1:12">
      <c r="A341" s="2">
        <v>480</v>
      </c>
      <c r="B341" s="2" t="s">
        <v>121</v>
      </c>
      <c r="C341" s="2">
        <v>545</v>
      </c>
      <c r="D341" s="2" t="s">
        <v>457</v>
      </c>
      <c r="E341" s="2">
        <v>0</v>
      </c>
      <c r="F341" s="2">
        <v>0.14499999999999999</v>
      </c>
      <c r="G341" s="2">
        <v>0.65749999999999997</v>
      </c>
      <c r="H341" s="2">
        <v>0.19750000000000001</v>
      </c>
      <c r="I341" s="5">
        <f t="shared" si="20"/>
        <v>0.13366336000000004</v>
      </c>
      <c r="J341" s="5">
        <f t="shared" si="21"/>
        <v>0.14055000999999998</v>
      </c>
      <c r="K341" s="5">
        <f t="shared" si="22"/>
        <v>8.6490000000000048E-5</v>
      </c>
      <c r="L341" s="4">
        <f t="shared" si="23"/>
        <v>0.47626355864805436</v>
      </c>
    </row>
    <row r="342" spans="1:12">
      <c r="A342" s="2">
        <v>480</v>
      </c>
      <c r="B342" s="2" t="s">
        <v>121</v>
      </c>
      <c r="C342" s="2">
        <v>10528</v>
      </c>
      <c r="D342" s="2" t="s">
        <v>534</v>
      </c>
      <c r="E342" s="2">
        <v>0</v>
      </c>
      <c r="F342" s="2">
        <v>0.21679999999999999</v>
      </c>
      <c r="G342" s="2">
        <v>0.72150000000000003</v>
      </c>
      <c r="H342" s="2">
        <v>6.1699999999999998E-2</v>
      </c>
      <c r="I342" s="5">
        <f t="shared" si="20"/>
        <v>8.6318440000000038E-2</v>
      </c>
      <c r="J342" s="5">
        <f t="shared" si="21"/>
        <v>0.19263321</v>
      </c>
      <c r="K342" s="5">
        <f t="shared" si="22"/>
        <v>2.1054010000000001E-2</v>
      </c>
      <c r="L342" s="4">
        <f t="shared" si="23"/>
        <v>0.45227227566974482</v>
      </c>
    </row>
    <row r="343" spans="1:12">
      <c r="A343" s="2">
        <v>480</v>
      </c>
      <c r="B343" s="2" t="s">
        <v>121</v>
      </c>
      <c r="C343" s="2">
        <v>546</v>
      </c>
      <c r="D343" s="2" t="s">
        <v>462</v>
      </c>
      <c r="E343" s="2">
        <v>0</v>
      </c>
      <c r="F343" s="2">
        <v>0.21870000000000001</v>
      </c>
      <c r="G343" s="2">
        <v>0.59160000000000001</v>
      </c>
      <c r="H343" s="2">
        <v>0.18970000000000001</v>
      </c>
      <c r="I343" s="5">
        <f t="shared" si="20"/>
        <v>8.5205610000000029E-2</v>
      </c>
      <c r="J343" s="5">
        <f t="shared" si="21"/>
        <v>9.5480999999999996E-2</v>
      </c>
      <c r="K343" s="5">
        <f t="shared" si="22"/>
        <v>2.9241000000000016E-4</v>
      </c>
      <c r="L343" s="4">
        <f t="shared" si="23"/>
        <v>0.57458370976183804</v>
      </c>
    </row>
    <row r="344" spans="1:12">
      <c r="A344" s="2">
        <v>480</v>
      </c>
      <c r="B344" s="2" t="s">
        <v>121</v>
      </c>
      <c r="C344" s="2">
        <v>543</v>
      </c>
      <c r="D344" s="2" t="s">
        <v>476</v>
      </c>
      <c r="E344" s="2">
        <v>0</v>
      </c>
      <c r="F344" s="2">
        <v>0.1202</v>
      </c>
      <c r="G344" s="2">
        <v>0.70830000000000004</v>
      </c>
      <c r="H344" s="2">
        <v>0.17150000000000001</v>
      </c>
      <c r="I344" s="5">
        <f t="shared" si="20"/>
        <v>0.15241216000000007</v>
      </c>
      <c r="J344" s="5">
        <f t="shared" si="21"/>
        <v>0.18122049000000001</v>
      </c>
      <c r="K344" s="5">
        <f t="shared" si="22"/>
        <v>1.2460899999999998E-3</v>
      </c>
      <c r="L344" s="4">
        <f t="shared" si="23"/>
        <v>0.42131291702682694</v>
      </c>
    </row>
    <row r="345" spans="1:12">
      <c r="A345" s="2">
        <v>480</v>
      </c>
      <c r="B345" s="2" t="s">
        <v>121</v>
      </c>
      <c r="C345" s="2">
        <v>547</v>
      </c>
      <c r="D345" s="2" t="s">
        <v>439</v>
      </c>
      <c r="E345" s="2">
        <v>0</v>
      </c>
      <c r="F345" s="2">
        <v>0.2382</v>
      </c>
      <c r="G345" s="2">
        <v>0.54379999999999995</v>
      </c>
      <c r="H345" s="2">
        <v>0.218</v>
      </c>
      <c r="I345" s="5">
        <f t="shared" si="20"/>
        <v>7.4201760000000047E-2</v>
      </c>
      <c r="J345" s="5">
        <f t="shared" si="21"/>
        <v>6.8225439999999971E-2</v>
      </c>
      <c r="K345" s="5">
        <f t="shared" si="22"/>
        <v>1.2543999999999972E-4</v>
      </c>
      <c r="L345" s="4">
        <f t="shared" si="23"/>
        <v>0.62243856129101316</v>
      </c>
    </row>
    <row r="346" spans="1:12">
      <c r="A346" s="2">
        <v>480</v>
      </c>
      <c r="B346" s="2" t="s">
        <v>121</v>
      </c>
      <c r="C346" s="2">
        <v>548</v>
      </c>
      <c r="D346" s="2" t="s">
        <v>495</v>
      </c>
      <c r="E346" s="2">
        <v>0</v>
      </c>
      <c r="F346" s="2">
        <v>0.34889999999999999</v>
      </c>
      <c r="G346" s="2">
        <v>0.50839999999999996</v>
      </c>
      <c r="H346" s="2">
        <v>0.14280000000000001</v>
      </c>
      <c r="I346" s="5">
        <f t="shared" si="20"/>
        <v>2.614689000000002E-2</v>
      </c>
      <c r="J346" s="5">
        <f t="shared" si="21"/>
        <v>5.0985639999999978E-2</v>
      </c>
      <c r="K346" s="5">
        <f t="shared" si="22"/>
        <v>4.0959999999999998E-3</v>
      </c>
      <c r="L346" s="4">
        <f t="shared" si="23"/>
        <v>0.7149938070848284</v>
      </c>
    </row>
    <row r="347" spans="1:12">
      <c r="A347" s="2">
        <v>480</v>
      </c>
      <c r="B347" s="2" t="s">
        <v>121</v>
      </c>
      <c r="C347" s="2">
        <v>549</v>
      </c>
      <c r="D347" s="2" t="s">
        <v>513</v>
      </c>
      <c r="E347" s="2">
        <v>0</v>
      </c>
      <c r="F347" s="2">
        <v>0.1203</v>
      </c>
      <c r="G347" s="2">
        <v>0.77680000000000005</v>
      </c>
      <c r="H347" s="2">
        <v>0.10290000000000001</v>
      </c>
      <c r="I347" s="5">
        <f t="shared" si="20"/>
        <v>0.15233409000000003</v>
      </c>
      <c r="J347" s="5">
        <f t="shared" si="21"/>
        <v>0.24423364000000003</v>
      </c>
      <c r="K347" s="5">
        <f t="shared" si="22"/>
        <v>1.0795210000000001E-2</v>
      </c>
      <c r="L347" s="4">
        <f t="shared" si="23"/>
        <v>0.36175009596553787</v>
      </c>
    </row>
    <row r="348" spans="1:12">
      <c r="A348" s="2">
        <v>480</v>
      </c>
      <c r="B348" s="2" t="s">
        <v>121</v>
      </c>
      <c r="C348" s="2">
        <v>550</v>
      </c>
      <c r="D348" s="2" t="s">
        <v>303</v>
      </c>
      <c r="E348" s="2">
        <v>0</v>
      </c>
      <c r="F348" s="2">
        <v>0.26450000000000001</v>
      </c>
      <c r="G348" s="2">
        <v>0.38240000000000002</v>
      </c>
      <c r="H348" s="2">
        <v>0.35320000000000001</v>
      </c>
      <c r="I348" s="5">
        <f t="shared" si="20"/>
        <v>6.0565210000000022E-2</v>
      </c>
      <c r="J348" s="5">
        <f t="shared" si="21"/>
        <v>9.9600399999999999E-3</v>
      </c>
      <c r="K348" s="5">
        <f t="shared" si="22"/>
        <v>2.1432960000000001E-2</v>
      </c>
      <c r="L348" s="4">
        <f t="shared" si="23"/>
        <v>0.69675387883766748</v>
      </c>
    </row>
    <row r="349" spans="1:12">
      <c r="A349" s="2">
        <v>468</v>
      </c>
      <c r="B349" s="2" t="s">
        <v>146</v>
      </c>
      <c r="C349" s="2">
        <v>470</v>
      </c>
      <c r="D349" s="2" t="s">
        <v>217</v>
      </c>
      <c r="E349" s="2">
        <v>0</v>
      </c>
      <c r="F349" s="2">
        <v>0.15090000000000001</v>
      </c>
      <c r="G349" s="2">
        <v>0.42349999999999999</v>
      </c>
      <c r="H349" s="2">
        <v>0.42559999999999998</v>
      </c>
      <c r="I349" s="5">
        <f t="shared" si="20"/>
        <v>0.12938409000000001</v>
      </c>
      <c r="J349" s="5">
        <f t="shared" si="21"/>
        <v>1.9852809999999992E-2</v>
      </c>
      <c r="K349" s="5">
        <f t="shared" si="22"/>
        <v>4.7873439999999982E-2</v>
      </c>
      <c r="L349" s="4">
        <f t="shared" si="23"/>
        <v>0.55602889733677485</v>
      </c>
    </row>
    <row r="350" spans="1:12">
      <c r="A350" s="2">
        <v>468</v>
      </c>
      <c r="B350" s="2" t="s">
        <v>146</v>
      </c>
      <c r="C350" s="2">
        <v>471</v>
      </c>
      <c r="D350" s="2" t="s">
        <v>147</v>
      </c>
      <c r="E350" s="2">
        <v>0</v>
      </c>
      <c r="F350" s="2">
        <v>0.21829999999999999</v>
      </c>
      <c r="G350" s="2">
        <v>0.28899999999999998</v>
      </c>
      <c r="H350" s="2">
        <v>0.49270000000000003</v>
      </c>
      <c r="I350" s="5">
        <f t="shared" si="20"/>
        <v>8.5439290000000029E-2</v>
      </c>
      <c r="J350" s="5">
        <f t="shared" si="21"/>
        <v>4.0959999999999506E-5</v>
      </c>
      <c r="K350" s="5">
        <f t="shared" si="22"/>
        <v>8.1738810000000023E-2</v>
      </c>
      <c r="L350" s="4">
        <f t="shared" si="23"/>
        <v>0.59107572828211818</v>
      </c>
    </row>
    <row r="351" spans="1:12">
      <c r="A351" s="2">
        <v>185800</v>
      </c>
      <c r="B351" s="2" t="s">
        <v>361</v>
      </c>
      <c r="C351" s="2">
        <v>185800</v>
      </c>
      <c r="D351" s="2" t="s">
        <v>361</v>
      </c>
      <c r="E351" s="2">
        <v>1</v>
      </c>
      <c r="F351" s="2">
        <v>0.33410000000000001</v>
      </c>
      <c r="G351" s="2">
        <v>0.36659999999999998</v>
      </c>
      <c r="H351" s="2">
        <v>0.29920000000000002</v>
      </c>
      <c r="I351" s="5">
        <f t="shared" si="20"/>
        <v>3.1152250000000017E-2</v>
      </c>
      <c r="J351" s="5">
        <f t="shared" si="21"/>
        <v>7.0559999999999937E-3</v>
      </c>
      <c r="K351" s="5">
        <f t="shared" si="22"/>
        <v>8.5377600000000019E-3</v>
      </c>
      <c r="L351" s="4">
        <f t="shared" si="23"/>
        <v>0.78379174391342032</v>
      </c>
    </row>
    <row r="352" spans="1:12">
      <c r="A352" s="2">
        <v>185866</v>
      </c>
      <c r="B352" s="2" t="s">
        <v>42</v>
      </c>
      <c r="C352" s="2">
        <v>185866</v>
      </c>
      <c r="D352" s="2" t="s">
        <v>42</v>
      </c>
      <c r="E352" s="2">
        <v>1</v>
      </c>
      <c r="F352" s="2">
        <v>0.2298</v>
      </c>
      <c r="G352" s="2">
        <v>7.9600000000000004E-2</v>
      </c>
      <c r="H352" s="2">
        <v>0.69059999999999999</v>
      </c>
      <c r="I352" s="5">
        <f t="shared" si="20"/>
        <v>7.8848640000000025E-2</v>
      </c>
      <c r="J352" s="5">
        <f t="shared" si="21"/>
        <v>4.1209000000000003E-2</v>
      </c>
      <c r="K352" s="5">
        <f t="shared" si="22"/>
        <v>0.23406244000000001</v>
      </c>
      <c r="L352" s="4">
        <f t="shared" si="23"/>
        <v>0.40492010620421726</v>
      </c>
    </row>
    <row r="353" spans="1:12">
      <c r="A353" s="2">
        <v>456</v>
      </c>
      <c r="B353" s="2" t="s">
        <v>0</v>
      </c>
      <c r="C353" s="2">
        <v>460</v>
      </c>
      <c r="D353" s="2" t="s">
        <v>64</v>
      </c>
      <c r="E353" s="2">
        <v>0</v>
      </c>
      <c r="F353" s="2">
        <v>4.3700000000000003E-2</v>
      </c>
      <c r="G353" s="2">
        <v>0.33110000000000001</v>
      </c>
      <c r="H353" s="2">
        <v>0.62519999999999998</v>
      </c>
      <c r="I353" s="5">
        <f t="shared" si="20"/>
        <v>0.21799561000000003</v>
      </c>
      <c r="J353" s="5">
        <f t="shared" si="21"/>
        <v>2.3522499999999989E-3</v>
      </c>
      <c r="K353" s="5">
        <f t="shared" si="22"/>
        <v>0.17505856</v>
      </c>
      <c r="L353" s="4">
        <f t="shared" si="23"/>
        <v>0.3711864982365598</v>
      </c>
    </row>
    <row r="354" spans="1:12">
      <c r="A354" s="2">
        <v>456</v>
      </c>
      <c r="B354" s="2" t="s">
        <v>0</v>
      </c>
      <c r="C354" s="2">
        <v>461</v>
      </c>
      <c r="D354" s="2" t="s">
        <v>5</v>
      </c>
      <c r="E354" s="2">
        <v>0</v>
      </c>
      <c r="F354" s="2">
        <v>1E-3</v>
      </c>
      <c r="G354" s="2">
        <v>6.0100000000000001E-2</v>
      </c>
      <c r="H354" s="2">
        <v>0.93889999999999996</v>
      </c>
      <c r="I354" s="5">
        <f t="shared" si="20"/>
        <v>0.25969216000000006</v>
      </c>
      <c r="J354" s="5">
        <f t="shared" si="21"/>
        <v>4.9506250000000016E-2</v>
      </c>
      <c r="K354" s="5">
        <f t="shared" si="22"/>
        <v>0.53597041000000001</v>
      </c>
      <c r="L354" s="4">
        <f t="shared" si="23"/>
        <v>8.0669363068977207E-2</v>
      </c>
    </row>
    <row r="355" spans="1:12">
      <c r="A355" s="2">
        <v>456</v>
      </c>
      <c r="B355" s="2" t="s">
        <v>0</v>
      </c>
      <c r="C355" s="2">
        <v>462</v>
      </c>
      <c r="D355" s="2" t="s">
        <v>26</v>
      </c>
      <c r="E355" s="2">
        <v>0</v>
      </c>
      <c r="F355" s="2">
        <v>0.1137</v>
      </c>
      <c r="G355" s="2">
        <v>0.1119</v>
      </c>
      <c r="H355" s="2">
        <v>0.77439999999999998</v>
      </c>
      <c r="I355" s="5">
        <f t="shared" si="20"/>
        <v>0.15752961000000001</v>
      </c>
      <c r="J355" s="5">
        <f t="shared" si="21"/>
        <v>2.9138490000000006E-2</v>
      </c>
      <c r="K355" s="5">
        <f t="shared" si="22"/>
        <v>0.32216975999999997</v>
      </c>
      <c r="L355" s="4">
        <f t="shared" si="23"/>
        <v>0.28667128194639468</v>
      </c>
    </row>
    <row r="356" spans="1:12">
      <c r="A356" s="2">
        <v>110574</v>
      </c>
      <c r="B356" s="2" t="s">
        <v>465</v>
      </c>
      <c r="C356" s="2">
        <v>110574</v>
      </c>
      <c r="D356" s="2" t="s">
        <v>465</v>
      </c>
      <c r="E356" s="2">
        <v>1</v>
      </c>
      <c r="F356" s="2">
        <v>0.23949999999999999</v>
      </c>
      <c r="G356" s="2">
        <v>0.57430000000000003</v>
      </c>
      <c r="H356" s="2">
        <v>0.18609999999999999</v>
      </c>
      <c r="I356" s="5">
        <f t="shared" si="20"/>
        <v>7.3495210000000033E-2</v>
      </c>
      <c r="J356" s="5">
        <f t="shared" si="21"/>
        <v>8.5088890000000014E-2</v>
      </c>
      <c r="K356" s="5">
        <f t="shared" si="22"/>
        <v>4.2849000000000099E-4</v>
      </c>
      <c r="L356" s="4">
        <f t="shared" si="23"/>
        <v>0.60123617265353668</v>
      </c>
    </row>
    <row r="357" spans="1:12">
      <c r="A357" s="2">
        <v>186111</v>
      </c>
      <c r="B357" s="2" t="s">
        <v>234</v>
      </c>
      <c r="C357" s="2">
        <v>186111</v>
      </c>
      <c r="D357" s="2" t="s">
        <v>234</v>
      </c>
      <c r="E357" s="2">
        <v>1</v>
      </c>
      <c r="F357" s="2">
        <v>0.39319999999999999</v>
      </c>
      <c r="G357" s="2">
        <v>0.20269999999999999</v>
      </c>
      <c r="H357" s="2">
        <v>0.40410000000000001</v>
      </c>
      <c r="I357" s="5">
        <f t="shared" si="20"/>
        <v>1.3782760000000014E-2</v>
      </c>
      <c r="J357" s="5">
        <f t="shared" si="21"/>
        <v>6.3840100000000042E-3</v>
      </c>
      <c r="K357" s="5">
        <f t="shared" si="22"/>
        <v>3.8927290000000003E-2</v>
      </c>
      <c r="L357" s="4">
        <f t="shared" si="23"/>
        <v>0.75690730163166142</v>
      </c>
    </row>
    <row r="358" spans="1:12">
      <c r="A358" s="2">
        <v>185690</v>
      </c>
      <c r="B358" s="2" t="s">
        <v>114</v>
      </c>
      <c r="C358" s="2">
        <v>185690</v>
      </c>
      <c r="D358" s="2" t="s">
        <v>114</v>
      </c>
      <c r="E358" s="2">
        <v>1</v>
      </c>
      <c r="F358" s="2">
        <v>0.29370000000000002</v>
      </c>
      <c r="G358" s="2">
        <v>0.17480000000000001</v>
      </c>
      <c r="H358" s="2">
        <v>0.53149999999999997</v>
      </c>
      <c r="I358" s="5">
        <f t="shared" si="20"/>
        <v>4.7045610000000015E-2</v>
      </c>
      <c r="J358" s="5">
        <f t="shared" si="21"/>
        <v>1.1620840000000002E-2</v>
      </c>
      <c r="K358" s="5">
        <f t="shared" si="22"/>
        <v>0.10543008999999999</v>
      </c>
      <c r="L358" s="4">
        <f t="shared" si="23"/>
        <v>0.5949116886406125</v>
      </c>
    </row>
    <row r="359" spans="1:12">
      <c r="A359" s="2">
        <v>442</v>
      </c>
      <c r="B359" s="2" t="s">
        <v>10</v>
      </c>
      <c r="C359" s="2">
        <v>448</v>
      </c>
      <c r="D359" s="2" t="s">
        <v>326</v>
      </c>
      <c r="E359" s="2">
        <v>0</v>
      </c>
      <c r="F359" s="2">
        <v>3.4299999999999997E-2</v>
      </c>
      <c r="G359" s="2">
        <v>0.6321</v>
      </c>
      <c r="H359" s="2">
        <v>0.33360000000000001</v>
      </c>
      <c r="I359" s="5">
        <f t="shared" si="20"/>
        <v>0.22686169000000006</v>
      </c>
      <c r="J359" s="5">
        <f t="shared" si="21"/>
        <v>0.12215024999999999</v>
      </c>
      <c r="K359" s="5">
        <f t="shared" si="22"/>
        <v>1.6078240000000001E-2</v>
      </c>
      <c r="L359" s="4">
        <f t="shared" si="23"/>
        <v>0.39577307243056437</v>
      </c>
    </row>
    <row r="360" spans="1:12">
      <c r="A360" s="2">
        <v>442</v>
      </c>
      <c r="B360" s="2" t="s">
        <v>10</v>
      </c>
      <c r="C360" s="2">
        <v>445</v>
      </c>
      <c r="D360" s="2" t="s">
        <v>25</v>
      </c>
      <c r="E360" s="2">
        <v>0</v>
      </c>
      <c r="F360" s="2">
        <v>0.17860000000000001</v>
      </c>
      <c r="G360" s="2">
        <v>2.4500000000000001E-2</v>
      </c>
      <c r="H360" s="2">
        <v>0.79690000000000005</v>
      </c>
      <c r="I360" s="5">
        <f t="shared" si="20"/>
        <v>0.11022400000000004</v>
      </c>
      <c r="J360" s="5">
        <f t="shared" si="21"/>
        <v>6.6615609999999992E-2</v>
      </c>
      <c r="K360" s="5">
        <f t="shared" si="22"/>
        <v>0.34821801000000008</v>
      </c>
      <c r="L360" s="4">
        <f t="shared" si="23"/>
        <v>0.27539140220392078</v>
      </c>
    </row>
    <row r="361" spans="1:12">
      <c r="A361" s="2">
        <v>442</v>
      </c>
      <c r="B361" s="2" t="s">
        <v>10</v>
      </c>
      <c r="C361" s="2">
        <v>446</v>
      </c>
      <c r="D361" s="2" t="s">
        <v>18</v>
      </c>
      <c r="E361" s="2">
        <v>0</v>
      </c>
      <c r="F361" s="2">
        <v>0.20219999999999999</v>
      </c>
      <c r="G361" s="2">
        <v>1E-3</v>
      </c>
      <c r="H361" s="2">
        <v>0.79679999999999995</v>
      </c>
      <c r="I361" s="5">
        <f t="shared" si="20"/>
        <v>9.5110560000000038E-2</v>
      </c>
      <c r="J361" s="5">
        <f t="shared" si="21"/>
        <v>7.9298560000000004E-2</v>
      </c>
      <c r="K361" s="5">
        <f t="shared" si="22"/>
        <v>0.34809999999999997</v>
      </c>
      <c r="L361" s="4">
        <f t="shared" si="23"/>
        <v>0.27715207685156895</v>
      </c>
    </row>
    <row r="362" spans="1:12">
      <c r="A362" s="2">
        <v>442</v>
      </c>
      <c r="B362" s="2" t="s">
        <v>10</v>
      </c>
      <c r="C362" s="2">
        <v>450</v>
      </c>
      <c r="D362" s="2" t="s">
        <v>11</v>
      </c>
      <c r="E362" s="2">
        <v>0</v>
      </c>
      <c r="F362" s="2">
        <v>0.16</v>
      </c>
      <c r="G362" s="2">
        <v>1E-3</v>
      </c>
      <c r="H362" s="2">
        <v>0.83899999999999997</v>
      </c>
      <c r="I362" s="5">
        <f t="shared" si="20"/>
        <v>0.12292036000000002</v>
      </c>
      <c r="J362" s="5">
        <f t="shared" si="21"/>
        <v>7.9298560000000004E-2</v>
      </c>
      <c r="K362" s="5">
        <f t="shared" si="22"/>
        <v>0.39967683999999998</v>
      </c>
      <c r="L362" s="4">
        <f t="shared" si="23"/>
        <v>0.22418058802321783</v>
      </c>
    </row>
    <row r="363" spans="1:12">
      <c r="A363" s="2">
        <v>442</v>
      </c>
      <c r="B363" s="2" t="s">
        <v>10</v>
      </c>
      <c r="C363" s="2">
        <v>447</v>
      </c>
      <c r="D363" s="2" t="s">
        <v>19</v>
      </c>
      <c r="E363" s="2">
        <v>0</v>
      </c>
      <c r="F363" s="2">
        <v>0.17549999999999999</v>
      </c>
      <c r="G363" s="2">
        <v>2.0899999999999998E-2</v>
      </c>
      <c r="H363" s="2">
        <v>0.80359999999999998</v>
      </c>
      <c r="I363" s="5">
        <f t="shared" si="20"/>
        <v>0.11229201000000004</v>
      </c>
      <c r="J363" s="5">
        <f t="shared" si="21"/>
        <v>6.8486890000000022E-2</v>
      </c>
      <c r="K363" s="5">
        <f t="shared" si="22"/>
        <v>0.35617023999999997</v>
      </c>
      <c r="L363" s="4">
        <f t="shared" si="23"/>
        <v>0.26723186477576688</v>
      </c>
    </row>
    <row r="364" spans="1:12">
      <c r="A364" s="2">
        <v>442</v>
      </c>
      <c r="B364" s="2" t="s">
        <v>10</v>
      </c>
      <c r="C364" s="2">
        <v>449</v>
      </c>
      <c r="D364" s="2" t="s">
        <v>103</v>
      </c>
      <c r="E364" s="2">
        <v>0</v>
      </c>
      <c r="F364" s="2">
        <v>0.17269999999999999</v>
      </c>
      <c r="G364" s="2">
        <v>0.27110000000000001</v>
      </c>
      <c r="H364" s="2">
        <v>0.55610000000000004</v>
      </c>
      <c r="I364" s="5">
        <f t="shared" si="20"/>
        <v>0.11417641000000006</v>
      </c>
      <c r="J364" s="5">
        <f t="shared" si="21"/>
        <v>1.3225000000000023E-4</v>
      </c>
      <c r="K364" s="5">
        <f t="shared" si="22"/>
        <v>0.12201049000000004</v>
      </c>
      <c r="L364" s="4">
        <f t="shared" si="23"/>
        <v>0.51387331897950705</v>
      </c>
    </row>
    <row r="365" spans="1:12">
      <c r="A365" s="2">
        <v>185833</v>
      </c>
      <c r="B365" s="2" t="s">
        <v>132</v>
      </c>
      <c r="C365" s="2">
        <v>185833</v>
      </c>
      <c r="D365" s="2" t="s">
        <v>132</v>
      </c>
      <c r="E365" s="2">
        <v>1</v>
      </c>
      <c r="F365" s="2">
        <v>0.2515</v>
      </c>
      <c r="G365" s="2">
        <v>0.23400000000000001</v>
      </c>
      <c r="H365" s="2">
        <v>0.51449999999999996</v>
      </c>
      <c r="I365" s="5">
        <f t="shared" si="20"/>
        <v>6.7132810000000029E-2</v>
      </c>
      <c r="J365" s="5">
        <f t="shared" si="21"/>
        <v>2.3619600000000006E-3</v>
      </c>
      <c r="K365" s="5">
        <f t="shared" si="22"/>
        <v>9.4679289999999985E-2</v>
      </c>
      <c r="L365" s="4">
        <f t="shared" si="23"/>
        <v>0.59481601709840504</v>
      </c>
    </row>
    <row r="366" spans="1:12">
      <c r="A366" s="2">
        <v>186110</v>
      </c>
      <c r="B366" s="2" t="s">
        <v>387</v>
      </c>
      <c r="C366" s="2">
        <v>186110</v>
      </c>
      <c r="D366" s="2" t="s">
        <v>387</v>
      </c>
      <c r="E366" s="2">
        <v>1</v>
      </c>
      <c r="F366" s="2">
        <v>0.58440000000000003</v>
      </c>
      <c r="G366" s="2">
        <v>0.13669999999999999</v>
      </c>
      <c r="H366" s="2">
        <v>0.27900000000000003</v>
      </c>
      <c r="I366" s="5">
        <f t="shared" si="20"/>
        <v>5.4464399999999968E-3</v>
      </c>
      <c r="J366" s="5">
        <f t="shared" si="21"/>
        <v>2.128681000000001E-2</v>
      </c>
      <c r="K366" s="5">
        <f t="shared" si="22"/>
        <v>5.2128400000000024E-3</v>
      </c>
      <c r="L366" s="4">
        <f t="shared" si="23"/>
        <v>0.82126530834781963</v>
      </c>
    </row>
    <row r="367" spans="1:12">
      <c r="A367" s="2">
        <v>422</v>
      </c>
      <c r="B367" s="2" t="s">
        <v>20</v>
      </c>
      <c r="C367" s="2">
        <v>424</v>
      </c>
      <c r="D367" s="2" t="s">
        <v>51</v>
      </c>
      <c r="E367" s="2">
        <v>0</v>
      </c>
      <c r="F367" s="2">
        <v>0.29820000000000002</v>
      </c>
      <c r="G367" s="2">
        <v>3.4799999999999998E-2</v>
      </c>
      <c r="H367" s="2">
        <v>0.66710000000000003</v>
      </c>
      <c r="I367" s="5">
        <f t="shared" si="20"/>
        <v>4.5113760000000017E-2</v>
      </c>
      <c r="J367" s="5">
        <f t="shared" si="21"/>
        <v>6.1404840000000009E-2</v>
      </c>
      <c r="K367" s="5">
        <f t="shared" si="22"/>
        <v>0.21187609000000004</v>
      </c>
      <c r="L367" s="4">
        <f t="shared" si="23"/>
        <v>0.43573526603198021</v>
      </c>
    </row>
    <row r="368" spans="1:12">
      <c r="A368" s="2">
        <v>422</v>
      </c>
      <c r="B368" s="2" t="s">
        <v>20</v>
      </c>
      <c r="C368" s="2">
        <v>425</v>
      </c>
      <c r="D368" s="2" t="s">
        <v>71</v>
      </c>
      <c r="E368" s="2">
        <v>0</v>
      </c>
      <c r="F368" s="2">
        <v>0.2399</v>
      </c>
      <c r="G368" s="2">
        <v>0.14269999999999999</v>
      </c>
      <c r="H368" s="2">
        <v>0.61750000000000005</v>
      </c>
      <c r="I368" s="5">
        <f t="shared" si="20"/>
        <v>7.3278490000000029E-2</v>
      </c>
      <c r="J368" s="5">
        <f t="shared" si="21"/>
        <v>1.9572010000000008E-2</v>
      </c>
      <c r="K368" s="5">
        <f t="shared" si="22"/>
        <v>0.16867449000000007</v>
      </c>
      <c r="L368" s="4">
        <f t="shared" si="23"/>
        <v>0.48860485923309749</v>
      </c>
    </row>
    <row r="369" spans="1:12">
      <c r="A369" s="2">
        <v>422</v>
      </c>
      <c r="B369" s="2" t="s">
        <v>20</v>
      </c>
      <c r="C369" s="2">
        <v>426</v>
      </c>
      <c r="D369" s="2" t="s">
        <v>154</v>
      </c>
      <c r="E369" s="2">
        <v>0</v>
      </c>
      <c r="F369" s="2">
        <v>0.3584</v>
      </c>
      <c r="G369" s="2">
        <v>0.161</v>
      </c>
      <c r="H369" s="2">
        <v>0.48060000000000003</v>
      </c>
      <c r="I369" s="5">
        <f t="shared" si="20"/>
        <v>2.3164840000000016E-2</v>
      </c>
      <c r="J369" s="5">
        <f t="shared" si="21"/>
        <v>1.4786560000000004E-2</v>
      </c>
      <c r="K369" s="5">
        <f t="shared" si="22"/>
        <v>7.4966440000000023E-2</v>
      </c>
      <c r="L369" s="4">
        <f t="shared" si="23"/>
        <v>0.66396750157164852</v>
      </c>
    </row>
    <row r="370" spans="1:12">
      <c r="A370" s="2">
        <v>422</v>
      </c>
      <c r="B370" s="2" t="s">
        <v>20</v>
      </c>
      <c r="C370" s="2">
        <v>427</v>
      </c>
      <c r="D370" s="2" t="s">
        <v>55</v>
      </c>
      <c r="E370" s="2">
        <v>0</v>
      </c>
      <c r="F370" s="2">
        <v>0.17180000000000001</v>
      </c>
      <c r="G370" s="2">
        <v>0.1842</v>
      </c>
      <c r="H370" s="2">
        <v>0.64400000000000002</v>
      </c>
      <c r="I370" s="5">
        <f t="shared" si="20"/>
        <v>0.11478544000000003</v>
      </c>
      <c r="J370" s="5">
        <f t="shared" si="21"/>
        <v>9.6825600000000032E-3</v>
      </c>
      <c r="K370" s="5">
        <f t="shared" si="22"/>
        <v>0.19114384000000004</v>
      </c>
      <c r="L370" s="4">
        <f t="shared" si="23"/>
        <v>0.43820658601226015</v>
      </c>
    </row>
    <row r="371" spans="1:12">
      <c r="A371" s="2">
        <v>422</v>
      </c>
      <c r="B371" s="2" t="s">
        <v>20</v>
      </c>
      <c r="C371" s="2">
        <v>428</v>
      </c>
      <c r="D371" s="2" t="s">
        <v>45</v>
      </c>
      <c r="E371" s="2">
        <v>0</v>
      </c>
      <c r="F371" s="2">
        <v>0.1774</v>
      </c>
      <c r="G371" s="2">
        <v>0.14269999999999999</v>
      </c>
      <c r="H371" s="2">
        <v>0.67989999999999995</v>
      </c>
      <c r="I371" s="5">
        <f t="shared" si="20"/>
        <v>0.11102224000000004</v>
      </c>
      <c r="J371" s="5">
        <f t="shared" si="21"/>
        <v>1.9572010000000008E-2</v>
      </c>
      <c r="K371" s="5">
        <f t="shared" si="22"/>
        <v>0.22382360999999998</v>
      </c>
      <c r="L371" s="4">
        <f t="shared" si="23"/>
        <v>0.40466995708262798</v>
      </c>
    </row>
    <row r="372" spans="1:12">
      <c r="A372" s="2">
        <v>422</v>
      </c>
      <c r="B372" s="2" t="s">
        <v>20</v>
      </c>
      <c r="C372" s="2">
        <v>432</v>
      </c>
      <c r="D372" s="2" t="s">
        <v>123</v>
      </c>
      <c r="E372" s="2">
        <v>0</v>
      </c>
      <c r="F372" s="2">
        <v>0.30280000000000001</v>
      </c>
      <c r="G372" s="2">
        <v>0.16869999999999999</v>
      </c>
      <c r="H372" s="2">
        <v>0.52849999999999997</v>
      </c>
      <c r="I372" s="5">
        <f t="shared" si="20"/>
        <v>4.3180840000000019E-2</v>
      </c>
      <c r="J372" s="5">
        <f t="shared" si="21"/>
        <v>1.2973210000000006E-2</v>
      </c>
      <c r="K372" s="5">
        <f t="shared" si="22"/>
        <v>0.10349088999999999</v>
      </c>
      <c r="L372" s="4">
        <f t="shared" si="23"/>
        <v>0.60044407149937062</v>
      </c>
    </row>
    <row r="373" spans="1:12">
      <c r="A373" s="2">
        <v>422</v>
      </c>
      <c r="B373" s="2" t="s">
        <v>20</v>
      </c>
      <c r="C373" s="2">
        <v>430</v>
      </c>
      <c r="D373" s="2" t="s">
        <v>21</v>
      </c>
      <c r="E373" s="2">
        <v>0</v>
      </c>
      <c r="F373" s="2">
        <v>0.1096</v>
      </c>
      <c r="G373" s="2">
        <v>8.6900000000000005E-2</v>
      </c>
      <c r="H373" s="2">
        <v>0.8034</v>
      </c>
      <c r="I373" s="5">
        <f t="shared" si="20"/>
        <v>0.16080100000000003</v>
      </c>
      <c r="J373" s="5">
        <f t="shared" si="21"/>
        <v>3.8298490000000004E-2</v>
      </c>
      <c r="K373" s="5">
        <f t="shared" si="22"/>
        <v>0.35593156000000004</v>
      </c>
      <c r="L373" s="4">
        <f t="shared" si="23"/>
        <v>0.2549959396083803</v>
      </c>
    </row>
    <row r="374" spans="1:12">
      <c r="A374" s="2">
        <v>185843</v>
      </c>
      <c r="B374" s="2" t="s">
        <v>530</v>
      </c>
      <c r="C374" s="2">
        <v>185843</v>
      </c>
      <c r="D374" s="2" t="s">
        <v>530</v>
      </c>
      <c r="E374" s="2">
        <v>1</v>
      </c>
      <c r="F374" s="2">
        <v>0.10920000000000001</v>
      </c>
      <c r="G374" s="2">
        <v>0.82040000000000002</v>
      </c>
      <c r="H374" s="2">
        <v>7.0499999999999993E-2</v>
      </c>
      <c r="I374" s="5">
        <f t="shared" si="20"/>
        <v>0.16112196000000004</v>
      </c>
      <c r="J374" s="5">
        <f t="shared" si="21"/>
        <v>0.28922884000000004</v>
      </c>
      <c r="K374" s="5">
        <f t="shared" si="22"/>
        <v>1.8577690000000008E-2</v>
      </c>
      <c r="L374" s="4">
        <f t="shared" si="23"/>
        <v>0.31521646485914978</v>
      </c>
    </row>
    <row r="375" spans="1:12">
      <c r="A375" s="2">
        <v>308</v>
      </c>
      <c r="B375" s="2" t="s">
        <v>104</v>
      </c>
      <c r="C375" s="2">
        <v>310</v>
      </c>
      <c r="D375" s="2" t="s">
        <v>331</v>
      </c>
      <c r="E375" s="2">
        <v>0</v>
      </c>
      <c r="F375" s="2">
        <v>0.38740000000000002</v>
      </c>
      <c r="G375" s="2">
        <v>0.28129999999999999</v>
      </c>
      <c r="H375" s="2">
        <v>0.33129999999999998</v>
      </c>
      <c r="I375" s="5">
        <f t="shared" si="20"/>
        <v>1.5178240000000008E-2</v>
      </c>
      <c r="J375" s="5">
        <f t="shared" si="21"/>
        <v>1.6900000000000607E-6</v>
      </c>
      <c r="K375" s="5">
        <f t="shared" si="22"/>
        <v>1.5500249999999993E-2</v>
      </c>
      <c r="L375" s="4">
        <f t="shared" si="23"/>
        <v>0.82484241380973533</v>
      </c>
    </row>
    <row r="376" spans="1:12">
      <c r="A376" s="2">
        <v>308</v>
      </c>
      <c r="B376" s="2" t="s">
        <v>104</v>
      </c>
      <c r="C376" s="2">
        <v>311</v>
      </c>
      <c r="D376" s="2" t="s">
        <v>325</v>
      </c>
      <c r="E376" s="2">
        <v>0</v>
      </c>
      <c r="F376" s="2">
        <v>0.33400000000000002</v>
      </c>
      <c r="G376" s="2">
        <v>0.33229999999999998</v>
      </c>
      <c r="H376" s="2">
        <v>0.3337</v>
      </c>
      <c r="I376" s="5">
        <f t="shared" si="20"/>
        <v>3.1187560000000013E-2</v>
      </c>
      <c r="J376" s="5">
        <f t="shared" si="21"/>
        <v>2.4700899999999968E-3</v>
      </c>
      <c r="K376" s="5">
        <f t="shared" si="22"/>
        <v>1.6103609999999997E-2</v>
      </c>
      <c r="L376" s="4">
        <f t="shared" si="23"/>
        <v>0.77692767988833755</v>
      </c>
    </row>
    <row r="377" spans="1:12">
      <c r="A377" s="2">
        <v>308</v>
      </c>
      <c r="B377" s="2" t="s">
        <v>104</v>
      </c>
      <c r="C377" s="2">
        <v>312</v>
      </c>
      <c r="D377" s="2" t="s">
        <v>363</v>
      </c>
      <c r="E377" s="2">
        <v>0</v>
      </c>
      <c r="F377" s="2">
        <v>0.31469999999999998</v>
      </c>
      <c r="G377" s="2">
        <v>0.38819999999999999</v>
      </c>
      <c r="H377" s="2">
        <v>0.29709999999999998</v>
      </c>
      <c r="I377" s="5">
        <f t="shared" si="20"/>
        <v>3.8376810000000032E-2</v>
      </c>
      <c r="J377" s="5">
        <f t="shared" si="21"/>
        <v>1.1151359999999994E-2</v>
      </c>
      <c r="K377" s="5">
        <f t="shared" si="22"/>
        <v>8.1540899999999941E-3</v>
      </c>
      <c r="L377" s="4">
        <f t="shared" si="23"/>
        <v>0.75982868614257859</v>
      </c>
    </row>
    <row r="378" spans="1:12">
      <c r="A378" s="2">
        <v>308</v>
      </c>
      <c r="B378" s="2" t="s">
        <v>104</v>
      </c>
      <c r="C378" s="2">
        <v>5472</v>
      </c>
      <c r="D378" s="2" t="s">
        <v>444</v>
      </c>
      <c r="E378" s="2">
        <v>0</v>
      </c>
      <c r="F378" s="2">
        <v>0.66990000000000005</v>
      </c>
      <c r="G378" s="2">
        <v>0.1157</v>
      </c>
      <c r="H378" s="2">
        <v>0.21440000000000001</v>
      </c>
      <c r="I378" s="5">
        <f t="shared" si="20"/>
        <v>2.5376489999999998E-2</v>
      </c>
      <c r="J378" s="5">
        <f t="shared" si="21"/>
        <v>2.7855610000000006E-2</v>
      </c>
      <c r="K378" s="5">
        <f t="shared" si="22"/>
        <v>5.7759999999999935E-5</v>
      </c>
      <c r="L378" s="4">
        <f t="shared" si="23"/>
        <v>0.76915403404001181</v>
      </c>
    </row>
    <row r="379" spans="1:12">
      <c r="A379" s="2">
        <v>308</v>
      </c>
      <c r="B379" s="2" t="s">
        <v>104</v>
      </c>
      <c r="C379" s="2">
        <v>313</v>
      </c>
      <c r="D379" s="2" t="s">
        <v>294</v>
      </c>
      <c r="E379" s="2">
        <v>0</v>
      </c>
      <c r="F379" s="2">
        <v>0.3972</v>
      </c>
      <c r="G379" s="2">
        <v>0.24</v>
      </c>
      <c r="H379" s="2">
        <v>0.36280000000000001</v>
      </c>
      <c r="I379" s="5">
        <f t="shared" si="20"/>
        <v>1.2859560000000013E-2</v>
      </c>
      <c r="J379" s="5">
        <f t="shared" si="21"/>
        <v>1.8147600000000023E-3</v>
      </c>
      <c r="K379" s="5">
        <f t="shared" si="22"/>
        <v>2.4336E-2</v>
      </c>
      <c r="L379" s="4">
        <f t="shared" si="23"/>
        <v>0.80248969647129798</v>
      </c>
    </row>
    <row r="380" spans="1:12">
      <c r="A380" s="2">
        <v>308</v>
      </c>
      <c r="B380" s="2" t="s">
        <v>104</v>
      </c>
      <c r="C380" s="2">
        <v>314</v>
      </c>
      <c r="D380" s="2" t="s">
        <v>267</v>
      </c>
      <c r="E380" s="2">
        <v>0</v>
      </c>
      <c r="F380" s="2">
        <v>0.28589999999999999</v>
      </c>
      <c r="G380" s="2">
        <v>0.33450000000000002</v>
      </c>
      <c r="H380" s="2">
        <v>0.37959999999999999</v>
      </c>
      <c r="I380" s="5">
        <f t="shared" si="20"/>
        <v>5.0490090000000029E-2</v>
      </c>
      <c r="J380" s="5">
        <f t="shared" si="21"/>
        <v>2.6936100000000004E-3</v>
      </c>
      <c r="K380" s="5">
        <f t="shared" si="22"/>
        <v>2.9859839999999995E-2</v>
      </c>
      <c r="L380" s="4">
        <f t="shared" si="23"/>
        <v>0.71182723931641279</v>
      </c>
    </row>
    <row r="381" spans="1:12">
      <c r="A381" s="2">
        <v>308</v>
      </c>
      <c r="B381" s="2" t="s">
        <v>104</v>
      </c>
      <c r="C381" s="2">
        <v>186008</v>
      </c>
      <c r="D381" s="2" t="s">
        <v>413</v>
      </c>
      <c r="E381" s="2">
        <v>0</v>
      </c>
      <c r="F381" s="2">
        <v>0.50960000000000005</v>
      </c>
      <c r="G381" s="2">
        <v>0.24310000000000001</v>
      </c>
      <c r="H381" s="2">
        <v>0.2472</v>
      </c>
      <c r="I381" s="5">
        <f t="shared" si="20"/>
        <v>1.0000000000000019E-6</v>
      </c>
      <c r="J381" s="5">
        <f t="shared" si="21"/>
        <v>1.5602500000000007E-3</v>
      </c>
      <c r="K381" s="5">
        <f t="shared" si="22"/>
        <v>1.6321599999999993E-3</v>
      </c>
      <c r="L381" s="4">
        <f t="shared" si="23"/>
        <v>0.94348973544567327</v>
      </c>
    </row>
    <row r="382" spans="1:12">
      <c r="A382" s="2">
        <v>308</v>
      </c>
      <c r="B382" s="2" t="s">
        <v>104</v>
      </c>
      <c r="C382" s="2">
        <v>316</v>
      </c>
      <c r="D382" s="2" t="s">
        <v>220</v>
      </c>
      <c r="E382" s="2">
        <v>0</v>
      </c>
      <c r="F382" s="2">
        <v>0.3664</v>
      </c>
      <c r="G382" s="2">
        <v>0.21160000000000001</v>
      </c>
      <c r="H382" s="2">
        <v>0.4219</v>
      </c>
      <c r="I382" s="5">
        <f t="shared" si="20"/>
        <v>2.0793640000000016E-2</v>
      </c>
      <c r="J382" s="5">
        <f t="shared" si="21"/>
        <v>5.0410000000000012E-3</v>
      </c>
      <c r="K382" s="5">
        <f t="shared" si="22"/>
        <v>4.6268009999999991E-2</v>
      </c>
      <c r="L382" s="4">
        <f t="shared" si="23"/>
        <v>0.73148063384552686</v>
      </c>
    </row>
    <row r="383" spans="1:12">
      <c r="A383" s="2">
        <v>308</v>
      </c>
      <c r="B383" s="2" t="s">
        <v>104</v>
      </c>
      <c r="C383" s="2">
        <v>317</v>
      </c>
      <c r="D383" s="2" t="s">
        <v>346</v>
      </c>
      <c r="E383" s="2">
        <v>0</v>
      </c>
      <c r="F383" s="2">
        <v>0.34360000000000002</v>
      </c>
      <c r="G383" s="2">
        <v>0.34250000000000003</v>
      </c>
      <c r="H383" s="2">
        <v>0.31380000000000002</v>
      </c>
      <c r="I383" s="5">
        <f t="shared" si="20"/>
        <v>2.7889000000000011E-2</v>
      </c>
      <c r="J383" s="5">
        <f t="shared" si="21"/>
        <v>3.5880100000000009E-3</v>
      </c>
      <c r="K383" s="5">
        <f t="shared" si="22"/>
        <v>1.1449000000000003E-2</v>
      </c>
      <c r="L383" s="4">
        <f t="shared" si="23"/>
        <v>0.79281406901046581</v>
      </c>
    </row>
    <row r="384" spans="1:12">
      <c r="A384" s="2">
        <v>308</v>
      </c>
      <c r="B384" s="2" t="s">
        <v>104</v>
      </c>
      <c r="C384" s="2">
        <v>323</v>
      </c>
      <c r="D384" s="2" t="s">
        <v>334</v>
      </c>
      <c r="E384" s="2">
        <v>0</v>
      </c>
      <c r="F384" s="2">
        <v>0.4975</v>
      </c>
      <c r="G384" s="2">
        <v>0.1734</v>
      </c>
      <c r="H384" s="2">
        <v>0.3291</v>
      </c>
      <c r="I384" s="5">
        <f t="shared" si="20"/>
        <v>1.7161000000000146E-4</v>
      </c>
      <c r="J384" s="5">
        <f t="shared" si="21"/>
        <v>1.1924640000000004E-2</v>
      </c>
      <c r="K384" s="5">
        <f t="shared" si="22"/>
        <v>1.4957289999999998E-2</v>
      </c>
      <c r="L384" s="4">
        <f t="shared" si="23"/>
        <v>0.83552039640125586</v>
      </c>
    </row>
    <row r="385" spans="1:12">
      <c r="A385" s="2">
        <v>308</v>
      </c>
      <c r="B385" s="2" t="s">
        <v>104</v>
      </c>
      <c r="C385" s="2">
        <v>318</v>
      </c>
      <c r="D385" s="2" t="s">
        <v>292</v>
      </c>
      <c r="E385" s="2">
        <v>0</v>
      </c>
      <c r="F385" s="2">
        <v>0.38729999999999998</v>
      </c>
      <c r="G385" s="2">
        <v>0.249</v>
      </c>
      <c r="H385" s="2">
        <v>0.36380000000000001</v>
      </c>
      <c r="I385" s="5">
        <f t="shared" si="20"/>
        <v>1.5202890000000019E-2</v>
      </c>
      <c r="J385" s="5">
        <f t="shared" si="21"/>
        <v>1.1289600000000013E-3</v>
      </c>
      <c r="K385" s="5">
        <f t="shared" si="22"/>
        <v>2.4649000000000001E-2</v>
      </c>
      <c r="L385" s="4">
        <f t="shared" si="23"/>
        <v>0.79756272576425058</v>
      </c>
    </row>
    <row r="386" spans="1:12">
      <c r="A386" s="2">
        <v>308</v>
      </c>
      <c r="B386" s="2" t="s">
        <v>104</v>
      </c>
      <c r="C386" s="2">
        <v>5471</v>
      </c>
      <c r="D386" s="2" t="s">
        <v>375</v>
      </c>
      <c r="E386" s="2">
        <v>0</v>
      </c>
      <c r="F386" s="2">
        <v>0.39150000000000001</v>
      </c>
      <c r="G386" s="2">
        <v>0.31909999999999999</v>
      </c>
      <c r="H386" s="2">
        <v>0.2893</v>
      </c>
      <c r="I386" s="5">
        <f t="shared" ref="I386:I449" si="24">(F386-0.5106)^2</f>
        <v>1.4184810000000009E-2</v>
      </c>
      <c r="J386" s="5">
        <f t="shared" ref="J386:J449" si="25">(G386-0.2826)^2</f>
        <v>1.3322499999999984E-3</v>
      </c>
      <c r="K386" s="5">
        <f t="shared" ref="K386:K449" si="26">(H386-0.2068)^2</f>
        <v>6.8062499999999981E-3</v>
      </c>
      <c r="L386" s="4">
        <f t="shared" ref="L386:L449" si="27">1-(SQRT(I386+J386+K386))</f>
        <v>0.85059012750156027</v>
      </c>
    </row>
    <row r="387" spans="1:12">
      <c r="A387" s="2">
        <v>308</v>
      </c>
      <c r="B387" s="2" t="s">
        <v>104</v>
      </c>
      <c r="C387" s="2">
        <v>319</v>
      </c>
      <c r="D387" s="2" t="s">
        <v>329</v>
      </c>
      <c r="E387" s="2">
        <v>0</v>
      </c>
      <c r="F387" s="2">
        <v>0.1671</v>
      </c>
      <c r="G387" s="2">
        <v>0.501</v>
      </c>
      <c r="H387" s="2">
        <v>0.33189999999999997</v>
      </c>
      <c r="I387" s="5">
        <f t="shared" si="24"/>
        <v>0.11799225000000002</v>
      </c>
      <c r="J387" s="5">
        <f t="shared" si="25"/>
        <v>4.7698559999999994E-2</v>
      </c>
      <c r="K387" s="5">
        <f t="shared" si="26"/>
        <v>1.5650009999999992E-2</v>
      </c>
      <c r="L387" s="4">
        <f t="shared" si="27"/>
        <v>0.5741586915293444</v>
      </c>
    </row>
    <row r="388" spans="1:12">
      <c r="A388" s="2">
        <v>308</v>
      </c>
      <c r="B388" s="2" t="s">
        <v>104</v>
      </c>
      <c r="C388" s="2">
        <v>320</v>
      </c>
      <c r="D388" s="2" t="s">
        <v>205</v>
      </c>
      <c r="E388" s="2">
        <v>0</v>
      </c>
      <c r="F388" s="2">
        <v>0.18890000000000001</v>
      </c>
      <c r="G388" s="2">
        <v>0.37769999999999998</v>
      </c>
      <c r="H388" s="2">
        <v>0.43330000000000002</v>
      </c>
      <c r="I388" s="5">
        <f t="shared" si="24"/>
        <v>0.10349089000000003</v>
      </c>
      <c r="J388" s="5">
        <f t="shared" si="25"/>
        <v>9.044009999999993E-3</v>
      </c>
      <c r="K388" s="5">
        <f t="shared" si="26"/>
        <v>5.1302250000000001E-2</v>
      </c>
      <c r="L388" s="4">
        <f t="shared" si="27"/>
        <v>0.59523198001818378</v>
      </c>
    </row>
    <row r="389" spans="1:12">
      <c r="A389" s="2">
        <v>308</v>
      </c>
      <c r="B389" s="2" t="s">
        <v>104</v>
      </c>
      <c r="C389" s="2">
        <v>339</v>
      </c>
      <c r="D389" s="2" t="s">
        <v>516</v>
      </c>
      <c r="E389" s="2">
        <v>0</v>
      </c>
      <c r="F389" s="2">
        <v>0.80679999999999996</v>
      </c>
      <c r="G389" s="2">
        <v>9.6799999999999997E-2</v>
      </c>
      <c r="H389" s="2">
        <v>9.64E-2</v>
      </c>
      <c r="I389" s="5">
        <f t="shared" si="24"/>
        <v>8.7734439999999941E-2</v>
      </c>
      <c r="J389" s="5">
        <f t="shared" si="25"/>
        <v>3.4521640000000006E-2</v>
      </c>
      <c r="K389" s="5">
        <f t="shared" si="26"/>
        <v>1.2188160000000003E-2</v>
      </c>
      <c r="L389" s="4">
        <f t="shared" si="27"/>
        <v>0.63333361212131822</v>
      </c>
    </row>
    <row r="390" spans="1:12">
      <c r="A390" s="2">
        <v>308</v>
      </c>
      <c r="B390" s="2" t="s">
        <v>104</v>
      </c>
      <c r="C390" s="2">
        <v>321</v>
      </c>
      <c r="D390" s="2" t="s">
        <v>336</v>
      </c>
      <c r="E390" s="2">
        <v>0</v>
      </c>
      <c r="F390" s="2">
        <v>0.47139999999999999</v>
      </c>
      <c r="G390" s="2">
        <v>0.2031</v>
      </c>
      <c r="H390" s="2">
        <v>0.32550000000000001</v>
      </c>
      <c r="I390" s="5">
        <f t="shared" si="24"/>
        <v>1.5366400000000053E-3</v>
      </c>
      <c r="J390" s="5">
        <f t="shared" si="25"/>
        <v>6.3202500000000021E-3</v>
      </c>
      <c r="K390" s="5">
        <f t="shared" si="26"/>
        <v>1.408969E-2</v>
      </c>
      <c r="L390" s="4">
        <f t="shared" si="27"/>
        <v>0.85185621849027882</v>
      </c>
    </row>
    <row r="391" spans="1:12">
      <c r="A391" s="2">
        <v>308</v>
      </c>
      <c r="B391" s="2" t="s">
        <v>104</v>
      </c>
      <c r="C391" s="2">
        <v>185845</v>
      </c>
      <c r="D391" s="2" t="s">
        <v>424</v>
      </c>
      <c r="E391" s="2">
        <v>0</v>
      </c>
      <c r="F391" s="2">
        <v>0.40620000000000001</v>
      </c>
      <c r="G391" s="2">
        <v>0.3599</v>
      </c>
      <c r="H391" s="2">
        <v>0.23400000000000001</v>
      </c>
      <c r="I391" s="5">
        <f t="shared" si="24"/>
        <v>1.0899360000000011E-2</v>
      </c>
      <c r="J391" s="5">
        <f t="shared" si="25"/>
        <v>5.9752899999999968E-3</v>
      </c>
      <c r="K391" s="5">
        <f t="shared" si="26"/>
        <v>7.3984000000000007E-4</v>
      </c>
      <c r="L391" s="4">
        <f t="shared" si="27"/>
        <v>0.86728040837916953</v>
      </c>
    </row>
    <row r="392" spans="1:12">
      <c r="A392" s="2">
        <v>308</v>
      </c>
      <c r="B392" s="2" t="s">
        <v>104</v>
      </c>
      <c r="C392" s="2">
        <v>324</v>
      </c>
      <c r="D392" s="2" t="s">
        <v>179</v>
      </c>
      <c r="E392" s="2">
        <v>0</v>
      </c>
      <c r="F392" s="2">
        <v>0.49490000000000001</v>
      </c>
      <c r="G392" s="2">
        <v>4.5699999999999998E-2</v>
      </c>
      <c r="H392" s="2">
        <v>0.45939999999999998</v>
      </c>
      <c r="I392" s="5">
        <f t="shared" si="24"/>
        <v>2.464900000000015E-4</v>
      </c>
      <c r="J392" s="5">
        <f t="shared" si="25"/>
        <v>5.6121610000000016E-2</v>
      </c>
      <c r="K392" s="5">
        <f t="shared" si="26"/>
        <v>6.3806759999999962E-2</v>
      </c>
      <c r="L392" s="4">
        <f t="shared" si="27"/>
        <v>0.65333754169221037</v>
      </c>
    </row>
    <row r="393" spans="1:12">
      <c r="A393" s="2">
        <v>308</v>
      </c>
      <c r="B393" s="2" t="s">
        <v>104</v>
      </c>
      <c r="C393" s="2">
        <v>186123</v>
      </c>
      <c r="D393" s="2" t="s">
        <v>464</v>
      </c>
      <c r="E393" s="2">
        <v>0</v>
      </c>
      <c r="F393" s="2">
        <v>0.31680000000000003</v>
      </c>
      <c r="G393" s="2">
        <v>0.49690000000000001</v>
      </c>
      <c r="H393" s="2">
        <v>0.18629999999999999</v>
      </c>
      <c r="I393" s="5">
        <f t="shared" si="24"/>
        <v>3.7558440000000012E-2</v>
      </c>
      <c r="J393" s="5">
        <f t="shared" si="25"/>
        <v>4.5924489999999998E-2</v>
      </c>
      <c r="K393" s="5">
        <f t="shared" si="26"/>
        <v>4.2025000000000076E-4</v>
      </c>
      <c r="L393" s="4">
        <f t="shared" si="27"/>
        <v>0.71033954360320428</v>
      </c>
    </row>
    <row r="394" spans="1:12">
      <c r="A394" s="2">
        <v>308</v>
      </c>
      <c r="B394" s="2" t="s">
        <v>104</v>
      </c>
      <c r="C394" s="2">
        <v>325</v>
      </c>
      <c r="D394" s="2" t="s">
        <v>133</v>
      </c>
      <c r="E394" s="2">
        <v>0</v>
      </c>
      <c r="F394" s="2">
        <v>0.161</v>
      </c>
      <c r="G394" s="2">
        <v>0.33029999999999998</v>
      </c>
      <c r="H394" s="2">
        <v>0.50870000000000004</v>
      </c>
      <c r="I394" s="5">
        <f t="shared" si="24"/>
        <v>0.12222016000000002</v>
      </c>
      <c r="J394" s="5">
        <f t="shared" si="25"/>
        <v>2.2752899999999967E-3</v>
      </c>
      <c r="K394" s="5">
        <f t="shared" si="26"/>
        <v>9.1143610000000028E-2</v>
      </c>
      <c r="L394" s="4">
        <f t="shared" si="27"/>
        <v>0.53563047042253076</v>
      </c>
    </row>
    <row r="395" spans="1:12">
      <c r="A395" s="2">
        <v>308</v>
      </c>
      <c r="B395" s="2" t="s">
        <v>104</v>
      </c>
      <c r="C395" s="2">
        <v>315</v>
      </c>
      <c r="D395" s="2" t="s">
        <v>312</v>
      </c>
      <c r="E395" s="2">
        <v>0</v>
      </c>
      <c r="F395" s="2">
        <v>0.55530000000000002</v>
      </c>
      <c r="G395" s="2">
        <v>9.4700000000000006E-2</v>
      </c>
      <c r="H395" s="2">
        <v>0.35</v>
      </c>
      <c r="I395" s="5">
        <f t="shared" si="24"/>
        <v>1.9980899999999966E-3</v>
      </c>
      <c r="J395" s="5">
        <f t="shared" si="25"/>
        <v>3.5306410000000003E-2</v>
      </c>
      <c r="K395" s="5">
        <f t="shared" si="26"/>
        <v>2.0506239999999992E-2</v>
      </c>
      <c r="L395" s="4">
        <f t="shared" si="27"/>
        <v>0.75956135917868783</v>
      </c>
    </row>
    <row r="396" spans="1:12">
      <c r="A396" s="2">
        <v>308</v>
      </c>
      <c r="B396" s="2" t="s">
        <v>104</v>
      </c>
      <c r="C396" s="2">
        <v>55546</v>
      </c>
      <c r="D396" s="2" t="s">
        <v>351</v>
      </c>
      <c r="E396" s="2">
        <v>0</v>
      </c>
      <c r="F396" s="2">
        <v>0.58579999999999999</v>
      </c>
      <c r="G396" s="2">
        <v>0.1072</v>
      </c>
      <c r="H396" s="2">
        <v>0.30690000000000001</v>
      </c>
      <c r="I396" s="5">
        <f t="shared" si="24"/>
        <v>5.6550399999999897E-3</v>
      </c>
      <c r="J396" s="5">
        <f t="shared" si="25"/>
        <v>3.076516E-2</v>
      </c>
      <c r="K396" s="5">
        <f t="shared" si="26"/>
        <v>1.0020009999999999E-2</v>
      </c>
      <c r="L396" s="4">
        <f t="shared" si="27"/>
        <v>0.78450009280744459</v>
      </c>
    </row>
    <row r="397" spans="1:12">
      <c r="A397" s="2">
        <v>308</v>
      </c>
      <c r="B397" s="2" t="s">
        <v>104</v>
      </c>
      <c r="C397" s="2">
        <v>327</v>
      </c>
      <c r="D397" s="2" t="s">
        <v>172</v>
      </c>
      <c r="E397" s="2">
        <v>0</v>
      </c>
      <c r="F397" s="2">
        <v>0.28029999999999999</v>
      </c>
      <c r="G397" s="2">
        <v>0.25590000000000002</v>
      </c>
      <c r="H397" s="2">
        <v>0.46379999999999999</v>
      </c>
      <c r="I397" s="5">
        <f t="shared" si="24"/>
        <v>5.3038090000000031E-2</v>
      </c>
      <c r="J397" s="5">
        <f t="shared" si="25"/>
        <v>7.1289000000000009E-4</v>
      </c>
      <c r="K397" s="5">
        <f t="shared" si="26"/>
        <v>6.6048999999999997E-2</v>
      </c>
      <c r="L397" s="4">
        <f t="shared" si="27"/>
        <v>0.65387866289406538</v>
      </c>
    </row>
    <row r="398" spans="1:12">
      <c r="A398" s="2">
        <v>308</v>
      </c>
      <c r="B398" s="2" t="s">
        <v>104</v>
      </c>
      <c r="C398" s="2">
        <v>326</v>
      </c>
      <c r="D398" s="2" t="s">
        <v>295</v>
      </c>
      <c r="E398" s="2">
        <v>0</v>
      </c>
      <c r="F398" s="2">
        <v>0.41760000000000003</v>
      </c>
      <c r="G398" s="2">
        <v>0.2215</v>
      </c>
      <c r="H398" s="2">
        <v>0.3609</v>
      </c>
      <c r="I398" s="5">
        <f t="shared" si="24"/>
        <v>8.6490000000000056E-3</v>
      </c>
      <c r="J398" s="5">
        <f t="shared" si="25"/>
        <v>3.733210000000002E-3</v>
      </c>
      <c r="K398" s="5">
        <f t="shared" si="26"/>
        <v>2.3746809999999997E-2</v>
      </c>
      <c r="L398" s="4">
        <f t="shared" si="27"/>
        <v>0.80992364692050722</v>
      </c>
    </row>
    <row r="399" spans="1:12">
      <c r="A399" s="2">
        <v>308</v>
      </c>
      <c r="B399" s="2" t="s">
        <v>104</v>
      </c>
      <c r="C399" s="2">
        <v>328</v>
      </c>
      <c r="D399" s="2" t="s">
        <v>355</v>
      </c>
      <c r="E399" s="2">
        <v>0</v>
      </c>
      <c r="F399" s="2">
        <v>0.25369999999999998</v>
      </c>
      <c r="G399" s="2">
        <v>0.4405</v>
      </c>
      <c r="H399" s="2">
        <v>0.30580000000000002</v>
      </c>
      <c r="I399" s="5">
        <f t="shared" si="24"/>
        <v>6.599761000000004E-2</v>
      </c>
      <c r="J399" s="5">
        <f t="shared" si="25"/>
        <v>2.4932409999999995E-2</v>
      </c>
      <c r="K399" s="5">
        <f t="shared" si="26"/>
        <v>9.8010000000000007E-3</v>
      </c>
      <c r="L399" s="4">
        <f t="shared" si="27"/>
        <v>0.6826184945526913</v>
      </c>
    </row>
    <row r="400" spans="1:12">
      <c r="A400" s="2">
        <v>308</v>
      </c>
      <c r="B400" s="2" t="s">
        <v>104</v>
      </c>
      <c r="C400" s="2">
        <v>329</v>
      </c>
      <c r="D400" s="2" t="s">
        <v>224</v>
      </c>
      <c r="E400" s="2">
        <v>0</v>
      </c>
      <c r="F400" s="2">
        <v>0.29780000000000001</v>
      </c>
      <c r="G400" s="2">
        <v>0.2858</v>
      </c>
      <c r="H400" s="2">
        <v>0.41639999999999999</v>
      </c>
      <c r="I400" s="5">
        <f t="shared" si="24"/>
        <v>4.528384000000002E-2</v>
      </c>
      <c r="J400" s="5">
        <f t="shared" si="25"/>
        <v>1.0239999999999877E-5</v>
      </c>
      <c r="K400" s="5">
        <f t="shared" si="26"/>
        <v>4.3932159999999991E-2</v>
      </c>
      <c r="L400" s="4">
        <f t="shared" si="27"/>
        <v>0.70129238375963698</v>
      </c>
    </row>
    <row r="401" spans="1:12">
      <c r="A401" s="2">
        <v>308</v>
      </c>
      <c r="B401" s="2" t="s">
        <v>104</v>
      </c>
      <c r="C401" s="2">
        <v>331</v>
      </c>
      <c r="D401" s="2" t="s">
        <v>369</v>
      </c>
      <c r="E401" s="2">
        <v>0</v>
      </c>
      <c r="F401" s="2">
        <v>0.57640000000000002</v>
      </c>
      <c r="G401" s="2">
        <v>0.12889999999999999</v>
      </c>
      <c r="H401" s="2">
        <v>0.29459999999999997</v>
      </c>
      <c r="I401" s="5">
        <f t="shared" si="24"/>
        <v>4.3296399999999957E-3</v>
      </c>
      <c r="J401" s="5">
        <f t="shared" si="25"/>
        <v>2.362369000000001E-2</v>
      </c>
      <c r="K401" s="5">
        <f t="shared" si="26"/>
        <v>7.7088399999999929E-3</v>
      </c>
      <c r="L401" s="4">
        <f t="shared" si="27"/>
        <v>0.81115569905342655</v>
      </c>
    </row>
    <row r="402" spans="1:12">
      <c r="A402" s="2">
        <v>308</v>
      </c>
      <c r="B402" s="2" t="s">
        <v>104</v>
      </c>
      <c r="C402" s="2">
        <v>322</v>
      </c>
      <c r="D402" s="2" t="s">
        <v>284</v>
      </c>
      <c r="E402" s="2">
        <v>0</v>
      </c>
      <c r="F402" s="2">
        <v>0.311</v>
      </c>
      <c r="G402" s="2">
        <v>0.32050000000000001</v>
      </c>
      <c r="H402" s="2">
        <v>0.36849999999999999</v>
      </c>
      <c r="I402" s="5">
        <f t="shared" si="24"/>
        <v>3.984016000000002E-2</v>
      </c>
      <c r="J402" s="5">
        <f t="shared" si="25"/>
        <v>1.4364099999999993E-3</v>
      </c>
      <c r="K402" s="5">
        <f t="shared" si="26"/>
        <v>2.6146889999999996E-2</v>
      </c>
      <c r="L402" s="4">
        <f t="shared" si="27"/>
        <v>0.74033972194422959</v>
      </c>
    </row>
    <row r="403" spans="1:12">
      <c r="A403" s="2">
        <v>308</v>
      </c>
      <c r="B403" s="2" t="s">
        <v>104</v>
      </c>
      <c r="C403" s="2">
        <v>330</v>
      </c>
      <c r="D403" s="2" t="s">
        <v>396</v>
      </c>
      <c r="E403" s="2">
        <v>0</v>
      </c>
      <c r="F403" s="2">
        <v>0.55759999999999998</v>
      </c>
      <c r="G403" s="2">
        <v>0.1681</v>
      </c>
      <c r="H403" s="2">
        <v>0.27439999999999998</v>
      </c>
      <c r="I403" s="5">
        <f t="shared" si="24"/>
        <v>2.2089999999999935E-3</v>
      </c>
      <c r="J403" s="5">
        <f t="shared" si="25"/>
        <v>1.3110250000000004E-2</v>
      </c>
      <c r="K403" s="5">
        <f t="shared" si="26"/>
        <v>4.5697599999999956E-3</v>
      </c>
      <c r="L403" s="4">
        <f t="shared" si="27"/>
        <v>0.85897159860510364</v>
      </c>
    </row>
    <row r="404" spans="1:12">
      <c r="A404" s="2">
        <v>308</v>
      </c>
      <c r="B404" s="2" t="s">
        <v>104</v>
      </c>
      <c r="C404" s="2">
        <v>5473</v>
      </c>
      <c r="D404" s="2" t="s">
        <v>371</v>
      </c>
      <c r="E404" s="2">
        <v>0</v>
      </c>
      <c r="F404" s="2">
        <v>0.48649999999999999</v>
      </c>
      <c r="G404" s="2">
        <v>0.22120000000000001</v>
      </c>
      <c r="H404" s="2">
        <v>0.29239999999999999</v>
      </c>
      <c r="I404" s="5">
        <f t="shared" si="24"/>
        <v>5.8081000000000322E-4</v>
      </c>
      <c r="J404" s="5">
        <f t="shared" si="25"/>
        <v>3.7699600000000015E-3</v>
      </c>
      <c r="K404" s="5">
        <f t="shared" si="26"/>
        <v>7.3273599999999972E-3</v>
      </c>
      <c r="L404" s="4">
        <f t="shared" si="27"/>
        <v>0.8919346031331028</v>
      </c>
    </row>
    <row r="405" spans="1:12">
      <c r="A405" s="2">
        <v>308</v>
      </c>
      <c r="B405" s="2" t="s">
        <v>104</v>
      </c>
      <c r="C405" s="2">
        <v>335</v>
      </c>
      <c r="D405" s="2" t="s">
        <v>298</v>
      </c>
      <c r="E405" s="2">
        <v>0</v>
      </c>
      <c r="F405" s="2">
        <v>0.32700000000000001</v>
      </c>
      <c r="G405" s="2">
        <v>0.3135</v>
      </c>
      <c r="H405" s="2">
        <v>0.35949999999999999</v>
      </c>
      <c r="I405" s="5">
        <f t="shared" si="24"/>
        <v>3.3708960000000017E-2</v>
      </c>
      <c r="J405" s="5">
        <f t="shared" si="25"/>
        <v>9.5480999999999897E-4</v>
      </c>
      <c r="K405" s="5">
        <f t="shared" si="26"/>
        <v>2.3317289999999991E-2</v>
      </c>
      <c r="L405" s="4">
        <f t="shared" si="27"/>
        <v>0.75920743366955867</v>
      </c>
    </row>
    <row r="406" spans="1:12">
      <c r="A406" s="2">
        <v>308</v>
      </c>
      <c r="B406" s="2" t="s">
        <v>104</v>
      </c>
      <c r="C406" s="2">
        <v>333</v>
      </c>
      <c r="D406" s="2" t="s">
        <v>415</v>
      </c>
      <c r="E406" s="2">
        <v>0</v>
      </c>
      <c r="F406" s="2">
        <v>0.54090000000000005</v>
      </c>
      <c r="G406" s="2">
        <v>0.21340000000000001</v>
      </c>
      <c r="H406" s="2">
        <v>0.2457</v>
      </c>
      <c r="I406" s="5">
        <f t="shared" si="24"/>
        <v>9.1808999999999966E-4</v>
      </c>
      <c r="J406" s="5">
        <f t="shared" si="25"/>
        <v>4.788640000000002E-3</v>
      </c>
      <c r="K406" s="5">
        <f t="shared" si="26"/>
        <v>1.5132099999999992E-3</v>
      </c>
      <c r="L406" s="4">
        <f t="shared" si="27"/>
        <v>0.91502976991910634</v>
      </c>
    </row>
    <row r="407" spans="1:12">
      <c r="A407" s="2">
        <v>308</v>
      </c>
      <c r="B407" s="2" t="s">
        <v>104</v>
      </c>
      <c r="C407" s="2">
        <v>334</v>
      </c>
      <c r="D407" s="2" t="s">
        <v>293</v>
      </c>
      <c r="E407" s="2">
        <v>0</v>
      </c>
      <c r="F407" s="2">
        <v>0.29630000000000001</v>
      </c>
      <c r="G407" s="2">
        <v>0.42709999999999998</v>
      </c>
      <c r="H407" s="2">
        <v>0.27660000000000001</v>
      </c>
      <c r="I407" s="5">
        <f t="shared" si="24"/>
        <v>4.5924490000000019E-2</v>
      </c>
      <c r="J407" s="5">
        <f t="shared" si="25"/>
        <v>2.0880249999999989E-2</v>
      </c>
      <c r="K407" s="5">
        <f t="shared" si="26"/>
        <v>4.8720400000000002E-3</v>
      </c>
      <c r="L407" s="4">
        <f t="shared" si="27"/>
        <v>0.73227480507057241</v>
      </c>
    </row>
    <row r="408" spans="1:12">
      <c r="A408" s="2">
        <v>308</v>
      </c>
      <c r="B408" s="2" t="s">
        <v>104</v>
      </c>
      <c r="C408" s="2">
        <v>336</v>
      </c>
      <c r="D408" s="2" t="s">
        <v>242</v>
      </c>
      <c r="E408" s="2">
        <v>0</v>
      </c>
      <c r="F408" s="2">
        <v>0.21909999999999999</v>
      </c>
      <c r="G408" s="2">
        <v>0.38190000000000002</v>
      </c>
      <c r="H408" s="2">
        <v>0.39910000000000001</v>
      </c>
      <c r="I408" s="5">
        <f t="shared" si="24"/>
        <v>8.4972250000000055E-2</v>
      </c>
      <c r="J408" s="5">
        <f t="shared" si="25"/>
        <v>9.8604899999999995E-3</v>
      </c>
      <c r="K408" s="5">
        <f t="shared" si="26"/>
        <v>3.6979289999999998E-2</v>
      </c>
      <c r="L408" s="4">
        <f t="shared" si="27"/>
        <v>0.63694073486550429</v>
      </c>
    </row>
    <row r="409" spans="1:12">
      <c r="A409" s="2">
        <v>308</v>
      </c>
      <c r="B409" s="2" t="s">
        <v>104</v>
      </c>
      <c r="C409" s="2">
        <v>332</v>
      </c>
      <c r="D409" s="2" t="s">
        <v>223</v>
      </c>
      <c r="E409" s="2">
        <v>0</v>
      </c>
      <c r="F409" s="2">
        <v>0.65349999999999997</v>
      </c>
      <c r="G409" s="2">
        <v>0.15229999999999999</v>
      </c>
      <c r="H409" s="2">
        <v>0.19420000000000001</v>
      </c>
      <c r="I409" s="5">
        <f t="shared" si="24"/>
        <v>2.0420409999999976E-2</v>
      </c>
      <c r="J409" s="5">
        <f t="shared" si="25"/>
        <v>1.6978090000000008E-2</v>
      </c>
      <c r="K409" s="5">
        <f t="shared" si="26"/>
        <v>1.5876E-4</v>
      </c>
      <c r="L409" s="4">
        <f t="shared" si="27"/>
        <v>0.80620304439955726</v>
      </c>
    </row>
    <row r="410" spans="1:12">
      <c r="A410" s="2">
        <v>308</v>
      </c>
      <c r="B410" s="2" t="s">
        <v>104</v>
      </c>
      <c r="C410" s="2">
        <v>343</v>
      </c>
      <c r="D410" s="2" t="s">
        <v>66</v>
      </c>
      <c r="E410" s="2">
        <v>0</v>
      </c>
      <c r="F410" s="2">
        <v>0.40849999999999997</v>
      </c>
      <c r="G410" s="2">
        <v>0.38800000000000001</v>
      </c>
      <c r="H410" s="2">
        <v>0.2036</v>
      </c>
      <c r="I410" s="5">
        <f t="shared" si="24"/>
        <v>1.0424410000000016E-2</v>
      </c>
      <c r="J410" s="5">
        <f t="shared" si="25"/>
        <v>1.1109159999999998E-2</v>
      </c>
      <c r="K410" s="5">
        <f t="shared" si="26"/>
        <v>1.0240000000000054E-5</v>
      </c>
      <c r="L410" s="4">
        <f t="shared" si="27"/>
        <v>0.8532219021788332</v>
      </c>
    </row>
    <row r="411" spans="1:12">
      <c r="A411" s="2">
        <v>308</v>
      </c>
      <c r="B411" s="2" t="s">
        <v>104</v>
      </c>
      <c r="C411" s="2">
        <v>337</v>
      </c>
      <c r="D411" s="2" t="s">
        <v>218</v>
      </c>
      <c r="E411" s="2">
        <v>0</v>
      </c>
      <c r="F411" s="2">
        <v>0.42209999999999998</v>
      </c>
      <c r="G411" s="2">
        <v>0.15340000000000001</v>
      </c>
      <c r="H411" s="2">
        <v>0.42449999999999999</v>
      </c>
      <c r="I411" s="5">
        <f t="shared" si="24"/>
        <v>7.8322500000000145E-3</v>
      </c>
      <c r="J411" s="5">
        <f t="shared" si="25"/>
        <v>1.6692640000000002E-2</v>
      </c>
      <c r="K411" s="5">
        <f t="shared" si="26"/>
        <v>4.7393289999999991E-2</v>
      </c>
      <c r="L411" s="4">
        <f t="shared" si="27"/>
        <v>0.73182434860711165</v>
      </c>
    </row>
    <row r="412" spans="1:12">
      <c r="A412" s="2">
        <v>308</v>
      </c>
      <c r="B412" s="2" t="s">
        <v>104</v>
      </c>
      <c r="C412" s="2">
        <v>338</v>
      </c>
      <c r="D412" s="2" t="s">
        <v>410</v>
      </c>
      <c r="E412" s="2">
        <v>0</v>
      </c>
      <c r="F412" s="2">
        <v>0.39939999999999998</v>
      </c>
      <c r="G412" s="2">
        <v>0.37530000000000002</v>
      </c>
      <c r="H412" s="2">
        <v>0.2253</v>
      </c>
      <c r="I412" s="5">
        <f t="shared" si="24"/>
        <v>1.2365440000000017E-2</v>
      </c>
      <c r="J412" s="5">
        <f t="shared" si="25"/>
        <v>8.5932900000000017E-3</v>
      </c>
      <c r="K412" s="5">
        <f t="shared" si="26"/>
        <v>3.4224999999999956E-4</v>
      </c>
      <c r="L412" s="4">
        <f t="shared" si="27"/>
        <v>0.85405144742067496</v>
      </c>
    </row>
    <row r="413" spans="1:12">
      <c r="A413" s="2">
        <v>308</v>
      </c>
      <c r="B413" s="2" t="s">
        <v>104</v>
      </c>
      <c r="C413" s="2">
        <v>185815</v>
      </c>
      <c r="D413" s="2" t="s">
        <v>345</v>
      </c>
      <c r="E413" s="2">
        <v>0</v>
      </c>
      <c r="F413" s="2">
        <v>0.28789999999999999</v>
      </c>
      <c r="G413" s="2">
        <v>0.3982</v>
      </c>
      <c r="H413" s="2">
        <v>0.31380000000000002</v>
      </c>
      <c r="I413" s="5">
        <f t="shared" si="24"/>
        <v>4.9595290000000028E-2</v>
      </c>
      <c r="J413" s="5">
        <f t="shared" si="25"/>
        <v>1.3363359999999996E-2</v>
      </c>
      <c r="K413" s="5">
        <f t="shared" si="26"/>
        <v>1.1449000000000003E-2</v>
      </c>
      <c r="L413" s="4">
        <f t="shared" si="27"/>
        <v>0.72722234329036395</v>
      </c>
    </row>
    <row r="414" spans="1:12">
      <c r="A414" s="2">
        <v>308</v>
      </c>
      <c r="B414" s="2" t="s">
        <v>104</v>
      </c>
      <c r="C414" s="2">
        <v>341</v>
      </c>
      <c r="D414" s="2" t="s">
        <v>402</v>
      </c>
      <c r="E414" s="2">
        <v>0</v>
      </c>
      <c r="F414" s="2">
        <v>0.57869999999999999</v>
      </c>
      <c r="G414" s="2">
        <v>0.1525</v>
      </c>
      <c r="H414" s="2">
        <v>0.26879999999999998</v>
      </c>
      <c r="I414" s="5">
        <f t="shared" si="24"/>
        <v>4.6376099999999917E-3</v>
      </c>
      <c r="J414" s="5">
        <f t="shared" si="25"/>
        <v>1.6926010000000005E-2</v>
      </c>
      <c r="K414" s="5">
        <f t="shared" si="26"/>
        <v>3.8439999999999963E-3</v>
      </c>
      <c r="L414" s="4">
        <f t="shared" si="27"/>
        <v>0.84060232122141798</v>
      </c>
    </row>
    <row r="415" spans="1:12">
      <c r="A415" s="2">
        <v>308</v>
      </c>
      <c r="B415" s="2" t="s">
        <v>104</v>
      </c>
      <c r="C415" s="2">
        <v>130583</v>
      </c>
      <c r="D415" s="2" t="s">
        <v>473</v>
      </c>
      <c r="E415" s="2">
        <v>0</v>
      </c>
      <c r="F415" s="2">
        <v>0.59279999999999999</v>
      </c>
      <c r="G415" s="2">
        <v>0.2341</v>
      </c>
      <c r="H415" s="2">
        <v>0.1731</v>
      </c>
      <c r="I415" s="5">
        <f t="shared" si="24"/>
        <v>6.7568399999999905E-3</v>
      </c>
      <c r="J415" s="5">
        <f t="shared" si="25"/>
        <v>2.3522500000000015E-3</v>
      </c>
      <c r="K415" s="5">
        <f t="shared" si="26"/>
        <v>1.1356900000000006E-3</v>
      </c>
      <c r="L415" s="4">
        <f t="shared" si="27"/>
        <v>0.89878349936892699</v>
      </c>
    </row>
    <row r="416" spans="1:12">
      <c r="A416" s="2">
        <v>308</v>
      </c>
      <c r="B416" s="2" t="s">
        <v>104</v>
      </c>
      <c r="C416" s="2">
        <v>185846</v>
      </c>
      <c r="D416" s="2" t="s">
        <v>501</v>
      </c>
      <c r="E416" s="2">
        <v>0</v>
      </c>
      <c r="F416" s="2">
        <v>0.80500000000000005</v>
      </c>
      <c r="G416" s="2">
        <v>6.1199999999999997E-2</v>
      </c>
      <c r="H416" s="2">
        <v>0.1338</v>
      </c>
      <c r="I416" s="5">
        <f t="shared" si="24"/>
        <v>8.6671360000000003E-2</v>
      </c>
      <c r="J416" s="5">
        <f t="shared" si="25"/>
        <v>4.9017960000000006E-2</v>
      </c>
      <c r="K416" s="5">
        <f t="shared" si="26"/>
        <v>5.3290000000000013E-3</v>
      </c>
      <c r="L416" s="4">
        <f t="shared" si="27"/>
        <v>0.62447593951918345</v>
      </c>
    </row>
    <row r="417" spans="1:12">
      <c r="A417" s="2">
        <v>308</v>
      </c>
      <c r="B417" s="2" t="s">
        <v>104</v>
      </c>
      <c r="C417" s="2">
        <v>344</v>
      </c>
      <c r="D417" s="2" t="s">
        <v>236</v>
      </c>
      <c r="E417" s="2">
        <v>0</v>
      </c>
      <c r="F417" s="2">
        <v>0.20419999999999999</v>
      </c>
      <c r="G417" s="2">
        <v>0.39269999999999999</v>
      </c>
      <c r="H417" s="2">
        <v>0.40310000000000001</v>
      </c>
      <c r="I417" s="5">
        <f t="shared" si="24"/>
        <v>9.3880960000000041E-2</v>
      </c>
      <c r="J417" s="5">
        <f t="shared" si="25"/>
        <v>1.2122009999999994E-2</v>
      </c>
      <c r="K417" s="5">
        <f t="shared" si="26"/>
        <v>3.8533690000000002E-2</v>
      </c>
      <c r="L417" s="4">
        <f t="shared" si="27"/>
        <v>0.61982022673477211</v>
      </c>
    </row>
    <row r="418" spans="1:12">
      <c r="A418" s="2">
        <v>308</v>
      </c>
      <c r="B418" s="2" t="s">
        <v>104</v>
      </c>
      <c r="C418" s="2">
        <v>345</v>
      </c>
      <c r="D418" s="2" t="s">
        <v>436</v>
      </c>
      <c r="E418" s="2">
        <v>0</v>
      </c>
      <c r="F418" s="2">
        <v>0.68979999999999997</v>
      </c>
      <c r="G418" s="2">
        <v>8.6699999999999999E-2</v>
      </c>
      <c r="H418" s="2">
        <v>0.2235</v>
      </c>
      <c r="I418" s="5">
        <f t="shared" si="24"/>
        <v>3.211263999999997E-2</v>
      </c>
      <c r="J418" s="5">
        <f t="shared" si="25"/>
        <v>3.8376810000000004E-2</v>
      </c>
      <c r="K418" s="5">
        <f t="shared" si="26"/>
        <v>2.7888999999999974E-4</v>
      </c>
      <c r="L418" s="4">
        <f t="shared" si="27"/>
        <v>0.73397680552252598</v>
      </c>
    </row>
    <row r="419" spans="1:12">
      <c r="A419" s="2">
        <v>308</v>
      </c>
      <c r="B419" s="2" t="s">
        <v>104</v>
      </c>
      <c r="C419" s="2">
        <v>346</v>
      </c>
      <c r="D419" s="2" t="s">
        <v>321</v>
      </c>
      <c r="E419" s="2">
        <v>0</v>
      </c>
      <c r="F419" s="2">
        <v>0.50600000000000001</v>
      </c>
      <c r="G419" s="2">
        <v>0.15479999999999999</v>
      </c>
      <c r="H419" s="2">
        <v>0.3392</v>
      </c>
      <c r="I419" s="5">
        <f t="shared" si="24"/>
        <v>2.1160000000000445E-5</v>
      </c>
      <c r="J419" s="5">
        <f t="shared" si="25"/>
        <v>1.6332840000000005E-2</v>
      </c>
      <c r="K419" s="5">
        <f t="shared" si="26"/>
        <v>1.7529759999999998E-2</v>
      </c>
      <c r="L419" s="4">
        <f t="shared" si="27"/>
        <v>0.81592458067411611</v>
      </c>
    </row>
    <row r="420" spans="1:12">
      <c r="A420" s="2">
        <v>308</v>
      </c>
      <c r="B420" s="2" t="s">
        <v>104</v>
      </c>
      <c r="C420" s="2">
        <v>347</v>
      </c>
      <c r="D420" s="2" t="s">
        <v>169</v>
      </c>
      <c r="E420" s="2">
        <v>0</v>
      </c>
      <c r="F420" s="2">
        <v>0.18629999999999999</v>
      </c>
      <c r="G420" s="2">
        <v>0.34460000000000002</v>
      </c>
      <c r="H420" s="2">
        <v>0.46910000000000002</v>
      </c>
      <c r="I420" s="5">
        <f t="shared" si="24"/>
        <v>0.10517049000000002</v>
      </c>
      <c r="J420" s="5">
        <f t="shared" si="25"/>
        <v>3.8439999999999998E-3</v>
      </c>
      <c r="K420" s="5">
        <f t="shared" si="26"/>
        <v>6.8801289999999987E-2</v>
      </c>
      <c r="L420" s="4">
        <f t="shared" si="27"/>
        <v>0.57831791596037663</v>
      </c>
    </row>
    <row r="421" spans="1:12">
      <c r="A421" s="2">
        <v>308</v>
      </c>
      <c r="B421" s="2" t="s">
        <v>104</v>
      </c>
      <c r="C421" s="2">
        <v>348</v>
      </c>
      <c r="D421" s="2" t="s">
        <v>386</v>
      </c>
      <c r="E421" s="2">
        <v>0</v>
      </c>
      <c r="F421" s="2">
        <v>0.54379999999999995</v>
      </c>
      <c r="G421" s="2">
        <v>0.1767</v>
      </c>
      <c r="H421" s="2">
        <v>0.27950000000000003</v>
      </c>
      <c r="I421" s="5">
        <f t="shared" si="24"/>
        <v>1.1022399999999931E-3</v>
      </c>
      <c r="J421" s="5">
        <f t="shared" si="25"/>
        <v>1.1214810000000004E-2</v>
      </c>
      <c r="K421" s="5">
        <f t="shared" si="26"/>
        <v>5.2852900000000024E-3</v>
      </c>
      <c r="L421" s="4">
        <f t="shared" si="27"/>
        <v>0.86732618947207407</v>
      </c>
    </row>
    <row r="422" spans="1:12">
      <c r="A422" s="2">
        <v>308</v>
      </c>
      <c r="B422" s="2" t="s">
        <v>104</v>
      </c>
      <c r="C422" s="2">
        <v>349</v>
      </c>
      <c r="D422" s="2" t="s">
        <v>105</v>
      </c>
      <c r="E422" s="2">
        <v>0</v>
      </c>
      <c r="F422" s="2">
        <v>0.33040000000000003</v>
      </c>
      <c r="G422" s="2">
        <v>0.1192</v>
      </c>
      <c r="H422" s="2">
        <v>0.55049999999999999</v>
      </c>
      <c r="I422" s="5">
        <f t="shared" si="24"/>
        <v>3.2472040000000008E-2</v>
      </c>
      <c r="J422" s="5">
        <f t="shared" si="25"/>
        <v>2.6699560000000004E-2</v>
      </c>
      <c r="K422" s="5">
        <f t="shared" si="26"/>
        <v>0.11812969000000001</v>
      </c>
      <c r="L422" s="4">
        <f t="shared" si="27"/>
        <v>0.57892840276266555</v>
      </c>
    </row>
    <row r="423" spans="1:12">
      <c r="A423" s="2">
        <v>308</v>
      </c>
      <c r="B423" s="2" t="s">
        <v>104</v>
      </c>
      <c r="C423" s="2">
        <v>356</v>
      </c>
      <c r="D423" s="2" t="s">
        <v>381</v>
      </c>
      <c r="E423" s="2">
        <v>0</v>
      </c>
      <c r="F423" s="2">
        <v>0.13669999999999999</v>
      </c>
      <c r="G423" s="2">
        <v>0.58030000000000004</v>
      </c>
      <c r="H423" s="2">
        <v>0.28299999999999997</v>
      </c>
      <c r="I423" s="5">
        <f t="shared" si="24"/>
        <v>0.13980121000000004</v>
      </c>
      <c r="J423" s="5">
        <f t="shared" si="25"/>
        <v>8.8625290000000009E-2</v>
      </c>
      <c r="K423" s="5">
        <f t="shared" si="26"/>
        <v>5.8064399999999943E-3</v>
      </c>
      <c r="L423" s="4">
        <f t="shared" si="27"/>
        <v>0.51602382290034154</v>
      </c>
    </row>
    <row r="424" spans="1:12">
      <c r="A424" s="2">
        <v>308</v>
      </c>
      <c r="B424" s="2" t="s">
        <v>104</v>
      </c>
      <c r="C424" s="2">
        <v>357</v>
      </c>
      <c r="D424" s="2" t="s">
        <v>144</v>
      </c>
      <c r="E424" s="2">
        <v>0</v>
      </c>
      <c r="F424" s="2">
        <v>0.43</v>
      </c>
      <c r="G424" s="2">
        <v>0.2356</v>
      </c>
      <c r="H424" s="2">
        <v>0.33439999999999998</v>
      </c>
      <c r="I424" s="5">
        <f t="shared" si="24"/>
        <v>6.49636000000001E-3</v>
      </c>
      <c r="J424" s="5">
        <f t="shared" si="25"/>
        <v>2.2090000000000013E-3</v>
      </c>
      <c r="K424" s="5">
        <f t="shared" si="26"/>
        <v>1.6281759999999992E-2</v>
      </c>
      <c r="L424" s="4">
        <f t="shared" si="27"/>
        <v>0.84192685237523734</v>
      </c>
    </row>
    <row r="425" spans="1:12">
      <c r="A425" s="2">
        <v>308</v>
      </c>
      <c r="B425" s="2" t="s">
        <v>104</v>
      </c>
      <c r="C425" s="2">
        <v>350</v>
      </c>
      <c r="D425" s="2" t="s">
        <v>255</v>
      </c>
      <c r="E425" s="2">
        <v>0</v>
      </c>
      <c r="F425" s="2">
        <v>0.14330000000000001</v>
      </c>
      <c r="G425" s="2">
        <v>0.46639999999999998</v>
      </c>
      <c r="H425" s="2">
        <v>0.39029999999999998</v>
      </c>
      <c r="I425" s="5">
        <f t="shared" si="24"/>
        <v>0.13490929000000004</v>
      </c>
      <c r="J425" s="5">
        <f t="shared" si="25"/>
        <v>3.378243999999999E-2</v>
      </c>
      <c r="K425" s="5">
        <f t="shared" si="26"/>
        <v>3.3672249999999987E-2</v>
      </c>
      <c r="L425" s="4">
        <f t="shared" si="27"/>
        <v>0.55015115872106546</v>
      </c>
    </row>
    <row r="426" spans="1:12">
      <c r="A426" s="2">
        <v>308</v>
      </c>
      <c r="B426" s="2" t="s">
        <v>104</v>
      </c>
      <c r="C426" s="2">
        <v>351</v>
      </c>
      <c r="D426" s="2" t="s">
        <v>290</v>
      </c>
      <c r="E426" s="2">
        <v>0</v>
      </c>
      <c r="F426" s="2">
        <v>0.1371</v>
      </c>
      <c r="G426" s="2">
        <v>0.54610000000000003</v>
      </c>
      <c r="H426" s="2">
        <v>0.31680000000000003</v>
      </c>
      <c r="I426" s="5">
        <f t="shared" si="24"/>
        <v>0.13950225000000005</v>
      </c>
      <c r="J426" s="5">
        <f t="shared" si="25"/>
        <v>6.9432250000000001E-2</v>
      </c>
      <c r="K426" s="5">
        <f t="shared" si="26"/>
        <v>1.2100000000000003E-2</v>
      </c>
      <c r="L426" s="4">
        <f t="shared" si="27"/>
        <v>0.52985693666714595</v>
      </c>
    </row>
    <row r="427" spans="1:12">
      <c r="A427" s="2">
        <v>308</v>
      </c>
      <c r="B427" s="2" t="s">
        <v>104</v>
      </c>
      <c r="C427" s="2">
        <v>352</v>
      </c>
      <c r="D427" s="2" t="s">
        <v>191</v>
      </c>
      <c r="E427" s="2">
        <v>0</v>
      </c>
      <c r="F427" s="2">
        <v>0.39229999999999998</v>
      </c>
      <c r="G427" s="2">
        <v>0.16209999999999999</v>
      </c>
      <c r="H427" s="2">
        <v>0.4456</v>
      </c>
      <c r="I427" s="5">
        <f t="shared" si="24"/>
        <v>1.3994890000000017E-2</v>
      </c>
      <c r="J427" s="5">
        <f t="shared" si="25"/>
        <v>1.4520250000000005E-2</v>
      </c>
      <c r="K427" s="5">
        <f t="shared" si="26"/>
        <v>5.702543999999999E-2</v>
      </c>
      <c r="L427" s="4">
        <f t="shared" si="27"/>
        <v>0.70752678755140663</v>
      </c>
    </row>
    <row r="428" spans="1:12">
      <c r="A428" s="2">
        <v>308</v>
      </c>
      <c r="B428" s="2" t="s">
        <v>104</v>
      </c>
      <c r="C428" s="2">
        <v>353</v>
      </c>
      <c r="D428" s="2" t="s">
        <v>463</v>
      </c>
      <c r="E428" s="2">
        <v>0</v>
      </c>
      <c r="F428" s="2">
        <v>0.47549999999999998</v>
      </c>
      <c r="G428" s="2">
        <v>0.33639999999999998</v>
      </c>
      <c r="H428" s="2">
        <v>0.18809999999999999</v>
      </c>
      <c r="I428" s="5">
        <f t="shared" si="24"/>
        <v>1.2320100000000054E-3</v>
      </c>
      <c r="J428" s="5">
        <f t="shared" si="25"/>
        <v>2.8944399999999955E-3</v>
      </c>
      <c r="K428" s="5">
        <f t="shared" si="26"/>
        <v>3.4969000000000081E-4</v>
      </c>
      <c r="L428" s="4">
        <f t="shared" si="27"/>
        <v>0.93309603898123816</v>
      </c>
    </row>
    <row r="429" spans="1:12">
      <c r="A429" s="2">
        <v>308</v>
      </c>
      <c r="B429" s="2" t="s">
        <v>104</v>
      </c>
      <c r="C429" s="2">
        <v>354</v>
      </c>
      <c r="D429" s="2" t="s">
        <v>338</v>
      </c>
      <c r="E429" s="2">
        <v>0</v>
      </c>
      <c r="F429" s="2">
        <v>0.52959999999999996</v>
      </c>
      <c r="G429" s="2">
        <v>0.15049999999999999</v>
      </c>
      <c r="H429" s="2">
        <v>0.31990000000000002</v>
      </c>
      <c r="I429" s="5">
        <f t="shared" si="24"/>
        <v>3.6099999999999641E-4</v>
      </c>
      <c r="J429" s="5">
        <f t="shared" si="25"/>
        <v>1.7450410000000006E-2</v>
      </c>
      <c r="K429" s="5">
        <f t="shared" si="26"/>
        <v>1.2791610000000002E-2</v>
      </c>
      <c r="L429" s="4">
        <f t="shared" si="27"/>
        <v>0.82506281127215975</v>
      </c>
    </row>
    <row r="430" spans="1:12">
      <c r="A430" s="2">
        <v>308</v>
      </c>
      <c r="B430" s="2" t="s">
        <v>104</v>
      </c>
      <c r="C430" s="2">
        <v>355</v>
      </c>
      <c r="D430" s="2" t="s">
        <v>134</v>
      </c>
      <c r="E430" s="2">
        <v>0</v>
      </c>
      <c r="F430" s="2">
        <v>0.2321</v>
      </c>
      <c r="G430" s="2">
        <v>0.25979999999999998</v>
      </c>
      <c r="H430" s="2">
        <v>0.5081</v>
      </c>
      <c r="I430" s="5">
        <f t="shared" si="24"/>
        <v>7.7562250000000041E-2</v>
      </c>
      <c r="J430" s="5">
        <f t="shared" si="25"/>
        <v>5.1984000000000199E-4</v>
      </c>
      <c r="K430" s="5">
        <f t="shared" si="26"/>
        <v>9.0781690000000012E-2</v>
      </c>
      <c r="L430" s="4">
        <f t="shared" si="27"/>
        <v>0.58906961660154633</v>
      </c>
    </row>
    <row r="431" spans="1:12">
      <c r="A431" s="2">
        <v>308</v>
      </c>
      <c r="B431" s="2" t="s">
        <v>104</v>
      </c>
      <c r="C431" s="2">
        <v>340</v>
      </c>
      <c r="D431" s="2" t="s">
        <v>408</v>
      </c>
      <c r="E431" s="2">
        <v>0</v>
      </c>
      <c r="F431" s="2">
        <v>0.65359999999999996</v>
      </c>
      <c r="G431" s="2">
        <v>8.7400000000000005E-2</v>
      </c>
      <c r="H431" s="2">
        <v>0.25900000000000001</v>
      </c>
      <c r="I431" s="5">
        <f t="shared" si="24"/>
        <v>2.0448999999999974E-2</v>
      </c>
      <c r="J431" s="5">
        <f t="shared" si="25"/>
        <v>3.8103040000000005E-2</v>
      </c>
      <c r="K431" s="5">
        <f t="shared" si="26"/>
        <v>2.7248399999999996E-3</v>
      </c>
      <c r="L431" s="4">
        <f t="shared" si="27"/>
        <v>0.75245832674072843</v>
      </c>
    </row>
    <row r="432" spans="1:12">
      <c r="A432" s="2">
        <v>308</v>
      </c>
      <c r="B432" s="2" t="s">
        <v>104</v>
      </c>
      <c r="C432" s="2">
        <v>342</v>
      </c>
      <c r="D432" s="2" t="s">
        <v>365</v>
      </c>
      <c r="E432" s="2">
        <v>0</v>
      </c>
      <c r="F432" s="2">
        <v>0.41970000000000002</v>
      </c>
      <c r="G432" s="2">
        <v>0.28349999999999997</v>
      </c>
      <c r="H432" s="2">
        <v>0.29680000000000001</v>
      </c>
      <c r="I432" s="5">
        <f t="shared" si="24"/>
        <v>8.2628100000000058E-3</v>
      </c>
      <c r="J432" s="5">
        <f t="shared" si="25"/>
        <v>8.0999999999992152E-7</v>
      </c>
      <c r="K432" s="5">
        <f t="shared" si="26"/>
        <v>8.0999999999999996E-3</v>
      </c>
      <c r="L432" s="4">
        <f t="shared" si="27"/>
        <v>0.87207963414686462</v>
      </c>
    </row>
    <row r="433" spans="1:12">
      <c r="A433" s="2">
        <v>300</v>
      </c>
      <c r="B433" s="2" t="s">
        <v>46</v>
      </c>
      <c r="C433" s="2">
        <v>302</v>
      </c>
      <c r="D433" s="2" t="s">
        <v>240</v>
      </c>
      <c r="E433" s="2">
        <v>0</v>
      </c>
      <c r="F433" s="2">
        <v>0.25419999999999998</v>
      </c>
      <c r="G433" s="2">
        <v>0.3448</v>
      </c>
      <c r="H433" s="2">
        <v>0.40100000000000002</v>
      </c>
      <c r="I433" s="5">
        <f t="shared" si="24"/>
        <v>6.5740960000000043E-2</v>
      </c>
      <c r="J433" s="5">
        <f t="shared" si="25"/>
        <v>3.8688399999999971E-3</v>
      </c>
      <c r="K433" s="5">
        <f t="shared" si="26"/>
        <v>3.7713640000000007E-2</v>
      </c>
      <c r="L433" s="4">
        <f t="shared" si="27"/>
        <v>0.67239743590747025</v>
      </c>
    </row>
    <row r="434" spans="1:12">
      <c r="A434" s="2">
        <v>300</v>
      </c>
      <c r="B434" s="2" t="s">
        <v>46</v>
      </c>
      <c r="C434" s="2">
        <v>304</v>
      </c>
      <c r="D434" s="2" t="s">
        <v>47</v>
      </c>
      <c r="E434" s="2">
        <v>0</v>
      </c>
      <c r="F434" s="2">
        <v>0.1356</v>
      </c>
      <c r="G434" s="2">
        <v>0.18759999999999999</v>
      </c>
      <c r="H434" s="2">
        <v>0.67669999999999997</v>
      </c>
      <c r="I434" s="5">
        <f t="shared" si="24"/>
        <v>0.14062500000000006</v>
      </c>
      <c r="J434" s="5">
        <f t="shared" si="25"/>
        <v>9.0250000000000052E-3</v>
      </c>
      <c r="K434" s="5">
        <f t="shared" si="26"/>
        <v>0.22080601</v>
      </c>
      <c r="L434" s="4">
        <f t="shared" si="27"/>
        <v>0.39134902448118913</v>
      </c>
    </row>
    <row r="435" spans="1:12">
      <c r="A435" s="2">
        <v>185842</v>
      </c>
      <c r="B435" s="2" t="s">
        <v>92</v>
      </c>
      <c r="C435" s="2">
        <v>185842</v>
      </c>
      <c r="D435" s="2" t="s">
        <v>92</v>
      </c>
      <c r="E435" s="2">
        <v>1</v>
      </c>
      <c r="F435" s="2">
        <v>0.217</v>
      </c>
      <c r="G435" s="2">
        <v>0.1996</v>
      </c>
      <c r="H435" s="2">
        <v>0.58340000000000003</v>
      </c>
      <c r="I435" s="5">
        <f t="shared" si="24"/>
        <v>8.6200960000000049E-2</v>
      </c>
      <c r="J435" s="5">
        <f t="shared" si="25"/>
        <v>6.8890000000000028E-3</v>
      </c>
      <c r="K435" s="5">
        <f t="shared" si="26"/>
        <v>0.14182756000000005</v>
      </c>
      <c r="L435" s="4">
        <f t="shared" si="27"/>
        <v>0.51531709334865117</v>
      </c>
    </row>
    <row r="436" spans="1:12">
      <c r="A436" s="2">
        <v>185802</v>
      </c>
      <c r="B436" s="2" t="s">
        <v>420</v>
      </c>
      <c r="C436" s="2">
        <v>185802</v>
      </c>
      <c r="D436" s="2" t="s">
        <v>420</v>
      </c>
      <c r="E436" s="2">
        <v>1</v>
      </c>
      <c r="F436" s="2">
        <v>0.58989999999999998</v>
      </c>
      <c r="G436" s="2">
        <v>0.16969999999999999</v>
      </c>
      <c r="H436" s="2">
        <v>0.2404</v>
      </c>
      <c r="I436" s="5">
        <f t="shared" si="24"/>
        <v>6.2884899999999886E-3</v>
      </c>
      <c r="J436" s="5">
        <f t="shared" si="25"/>
        <v>1.2746410000000007E-2</v>
      </c>
      <c r="K436" s="5">
        <f t="shared" si="26"/>
        <v>1.1289599999999994E-3</v>
      </c>
      <c r="L436" s="4">
        <f t="shared" si="27"/>
        <v>0.85800049295860215</v>
      </c>
    </row>
    <row r="437" spans="1:12">
      <c r="A437" s="2">
        <v>279</v>
      </c>
      <c r="B437" s="2" t="s">
        <v>27</v>
      </c>
      <c r="C437" s="2">
        <v>185855</v>
      </c>
      <c r="D437" s="2" t="s">
        <v>28</v>
      </c>
      <c r="E437" s="2">
        <v>0</v>
      </c>
      <c r="F437" s="2">
        <v>6.8599999999999994E-2</v>
      </c>
      <c r="G437" s="2">
        <v>0.16830000000000001</v>
      </c>
      <c r="H437" s="2">
        <v>0.76300000000000001</v>
      </c>
      <c r="I437" s="5">
        <f t="shared" si="24"/>
        <v>0.19536400000000007</v>
      </c>
      <c r="J437" s="5">
        <f t="shared" si="25"/>
        <v>1.3064490000000003E-2</v>
      </c>
      <c r="K437" s="5">
        <f t="shared" si="26"/>
        <v>0.30935844000000001</v>
      </c>
      <c r="L437" s="4">
        <f t="shared" si="27"/>
        <v>0.28042586900306088</v>
      </c>
    </row>
    <row r="438" spans="1:12">
      <c r="A438" s="2">
        <v>279</v>
      </c>
      <c r="B438" s="2" t="s">
        <v>27</v>
      </c>
      <c r="C438" s="2">
        <v>281</v>
      </c>
      <c r="D438" s="2" t="s">
        <v>72</v>
      </c>
      <c r="E438" s="2">
        <v>0</v>
      </c>
      <c r="F438" s="2">
        <v>0.30059999999999998</v>
      </c>
      <c r="G438" s="2">
        <v>8.2299999999999998E-2</v>
      </c>
      <c r="H438" s="2">
        <v>0.61709999999999998</v>
      </c>
      <c r="I438" s="5">
        <f t="shared" si="24"/>
        <v>4.4100000000000035E-2</v>
      </c>
      <c r="J438" s="5">
        <f t="shared" si="25"/>
        <v>4.0120090000000011E-2</v>
      </c>
      <c r="K438" s="5">
        <f t="shared" si="26"/>
        <v>0.16834609</v>
      </c>
      <c r="L438" s="4">
        <f t="shared" si="27"/>
        <v>0.49744037169704913</v>
      </c>
    </row>
    <row r="439" spans="1:12">
      <c r="A439" s="2">
        <v>279</v>
      </c>
      <c r="B439" s="2" t="s">
        <v>27</v>
      </c>
      <c r="C439" s="2">
        <v>282</v>
      </c>
      <c r="D439" s="2" t="s">
        <v>131</v>
      </c>
      <c r="E439" s="2">
        <v>0</v>
      </c>
      <c r="F439" s="2">
        <v>0.26390000000000002</v>
      </c>
      <c r="G439" s="2">
        <v>0.22120000000000001</v>
      </c>
      <c r="H439" s="2">
        <v>0.51490000000000002</v>
      </c>
      <c r="I439" s="5">
        <f t="shared" si="24"/>
        <v>6.0860890000000015E-2</v>
      </c>
      <c r="J439" s="5">
        <f t="shared" si="25"/>
        <v>3.7699600000000015E-3</v>
      </c>
      <c r="K439" s="5">
        <f t="shared" si="26"/>
        <v>9.4925610000000021E-2</v>
      </c>
      <c r="L439" s="4">
        <f t="shared" si="27"/>
        <v>0.60055480976734743</v>
      </c>
    </row>
    <row r="440" spans="1:12">
      <c r="A440" s="2">
        <v>279</v>
      </c>
      <c r="B440" s="2" t="s">
        <v>27</v>
      </c>
      <c r="C440" s="2">
        <v>284</v>
      </c>
      <c r="D440" s="2" t="s">
        <v>52</v>
      </c>
      <c r="E440" s="2">
        <v>0</v>
      </c>
      <c r="F440" s="2">
        <v>0.24970000000000001</v>
      </c>
      <c r="G440" s="2">
        <v>8.7599999999999997E-2</v>
      </c>
      <c r="H440" s="2">
        <v>0.66259999999999997</v>
      </c>
      <c r="I440" s="5">
        <f t="shared" si="24"/>
        <v>6.8068810000000007E-2</v>
      </c>
      <c r="J440" s="5">
        <f t="shared" si="25"/>
        <v>3.8025000000000003E-2</v>
      </c>
      <c r="K440" s="5">
        <f t="shared" si="26"/>
        <v>0.20775363999999999</v>
      </c>
      <c r="L440" s="4">
        <f t="shared" si="27"/>
        <v>0.43977910606618742</v>
      </c>
    </row>
    <row r="441" spans="1:12">
      <c r="A441" s="2">
        <v>279</v>
      </c>
      <c r="B441" s="2" t="s">
        <v>27</v>
      </c>
      <c r="C441" s="2">
        <v>288</v>
      </c>
      <c r="D441" s="2" t="s">
        <v>91</v>
      </c>
      <c r="E441" s="2">
        <v>0</v>
      </c>
      <c r="F441" s="2">
        <v>0.21529999999999999</v>
      </c>
      <c r="G441" s="2">
        <v>0.20039999999999999</v>
      </c>
      <c r="H441" s="2">
        <v>0.58430000000000004</v>
      </c>
      <c r="I441" s="5">
        <f t="shared" si="24"/>
        <v>8.7202090000000038E-2</v>
      </c>
      <c r="J441" s="5">
        <f t="shared" si="25"/>
        <v>6.7568400000000035E-3</v>
      </c>
      <c r="K441" s="5">
        <f t="shared" si="26"/>
        <v>0.14250625000000006</v>
      </c>
      <c r="L441" s="4">
        <f t="shared" si="27"/>
        <v>0.51372314470046998</v>
      </c>
    </row>
    <row r="442" spans="1:12">
      <c r="A442" s="2">
        <v>186056</v>
      </c>
      <c r="B442" s="2" t="s">
        <v>158</v>
      </c>
      <c r="C442" s="2">
        <v>661</v>
      </c>
      <c r="D442" s="2" t="s">
        <v>276</v>
      </c>
      <c r="E442" s="2">
        <v>0</v>
      </c>
      <c r="F442" s="2">
        <v>0.3508</v>
      </c>
      <c r="G442" s="2">
        <v>0.2747</v>
      </c>
      <c r="H442" s="2">
        <v>0.3745</v>
      </c>
      <c r="I442" s="5">
        <f t="shared" si="24"/>
        <v>2.5536040000000017E-2</v>
      </c>
      <c r="J442" s="5">
        <f t="shared" si="25"/>
        <v>6.2410000000000292E-5</v>
      </c>
      <c r="K442" s="5">
        <f t="shared" si="26"/>
        <v>2.8123289999999995E-2</v>
      </c>
      <c r="L442" s="4">
        <f t="shared" si="27"/>
        <v>0.76822049270912662</v>
      </c>
    </row>
    <row r="443" spans="1:12">
      <c r="A443" s="2">
        <v>186056</v>
      </c>
      <c r="B443" s="2" t="s">
        <v>158</v>
      </c>
      <c r="C443" s="2">
        <v>660</v>
      </c>
      <c r="D443" s="2" t="s">
        <v>323</v>
      </c>
      <c r="E443" s="2">
        <v>0</v>
      </c>
      <c r="F443" s="2">
        <v>0.49969999999999998</v>
      </c>
      <c r="G443" s="2">
        <v>0.1623</v>
      </c>
      <c r="H443" s="2">
        <v>0.33810000000000001</v>
      </c>
      <c r="I443" s="5">
        <f t="shared" si="24"/>
        <v>1.1881000000000166E-4</v>
      </c>
      <c r="J443" s="5">
        <f t="shared" si="25"/>
        <v>1.4472090000000005E-2</v>
      </c>
      <c r="K443" s="5">
        <f t="shared" si="26"/>
        <v>1.7239689999999998E-2</v>
      </c>
      <c r="L443" s="4">
        <f t="shared" si="27"/>
        <v>0.82158870551447705</v>
      </c>
    </row>
    <row r="444" spans="1:12">
      <c r="A444" s="2">
        <v>186056</v>
      </c>
      <c r="B444" s="2" t="s">
        <v>158</v>
      </c>
      <c r="C444" s="2">
        <v>662</v>
      </c>
      <c r="D444" s="2" t="s">
        <v>171</v>
      </c>
      <c r="E444" s="2">
        <v>0</v>
      </c>
      <c r="F444" s="2">
        <v>0.32069999999999999</v>
      </c>
      <c r="G444" s="2">
        <v>0.21360000000000001</v>
      </c>
      <c r="H444" s="2">
        <v>0.4657</v>
      </c>
      <c r="I444" s="5">
        <f t="shared" si="24"/>
        <v>3.6062010000000026E-2</v>
      </c>
      <c r="J444" s="5">
        <f t="shared" si="25"/>
        <v>4.7610000000000005E-3</v>
      </c>
      <c r="K444" s="5">
        <f t="shared" si="26"/>
        <v>6.7029210000000006E-2</v>
      </c>
      <c r="L444" s="4">
        <f t="shared" si="27"/>
        <v>0.6715913825734775</v>
      </c>
    </row>
    <row r="445" spans="1:12">
      <c r="A445" s="2">
        <v>186056</v>
      </c>
      <c r="B445" s="2" t="s">
        <v>158</v>
      </c>
      <c r="C445" s="2">
        <v>663</v>
      </c>
      <c r="D445" s="2" t="s">
        <v>237</v>
      </c>
      <c r="E445" s="2">
        <v>0</v>
      </c>
      <c r="F445" s="2">
        <v>0.33639999999999998</v>
      </c>
      <c r="G445" s="2">
        <v>0.2611</v>
      </c>
      <c r="H445" s="2">
        <v>0.40239999999999998</v>
      </c>
      <c r="I445" s="5">
        <f t="shared" si="24"/>
        <v>3.0345640000000028E-2</v>
      </c>
      <c r="J445" s="5">
        <f t="shared" si="25"/>
        <v>4.622500000000008E-4</v>
      </c>
      <c r="K445" s="5">
        <f t="shared" si="26"/>
        <v>3.8259359999999985E-2</v>
      </c>
      <c r="L445" s="4">
        <f t="shared" si="27"/>
        <v>0.73719351225664154</v>
      </c>
    </row>
    <row r="446" spans="1:12">
      <c r="A446" s="2">
        <v>186056</v>
      </c>
      <c r="B446" s="2" t="s">
        <v>158</v>
      </c>
      <c r="C446" s="2">
        <v>664</v>
      </c>
      <c r="D446" s="2" t="s">
        <v>431</v>
      </c>
      <c r="E446" s="2">
        <v>0</v>
      </c>
      <c r="F446" s="2">
        <v>0.60119999999999996</v>
      </c>
      <c r="G446" s="2">
        <v>0.17219999999999999</v>
      </c>
      <c r="H446" s="2">
        <v>0.2266</v>
      </c>
      <c r="I446" s="5">
        <f t="shared" si="24"/>
        <v>8.2083599999999823E-3</v>
      </c>
      <c r="J446" s="5">
        <f t="shared" si="25"/>
        <v>1.2188160000000005E-2</v>
      </c>
      <c r="K446" s="5">
        <f t="shared" si="26"/>
        <v>3.9203999999999937E-4</v>
      </c>
      <c r="L446" s="4">
        <f t="shared" si="27"/>
        <v>0.85581761550036706</v>
      </c>
    </row>
    <row r="447" spans="1:12">
      <c r="A447" s="2">
        <v>186056</v>
      </c>
      <c r="B447" s="2" t="s">
        <v>158</v>
      </c>
      <c r="C447" s="2">
        <v>665</v>
      </c>
      <c r="D447" s="2" t="s">
        <v>285</v>
      </c>
      <c r="E447" s="2">
        <v>0</v>
      </c>
      <c r="F447" s="2">
        <v>0.42399999999999999</v>
      </c>
      <c r="G447" s="2">
        <v>0.20799999999999999</v>
      </c>
      <c r="H447" s="2">
        <v>0.36809999999999998</v>
      </c>
      <c r="I447" s="5">
        <f t="shared" si="24"/>
        <v>7.499560000000011E-3</v>
      </c>
      <c r="J447" s="5">
        <f t="shared" si="25"/>
        <v>5.5651600000000039E-3</v>
      </c>
      <c r="K447" s="5">
        <f t="shared" si="26"/>
        <v>2.6017689999999989E-2</v>
      </c>
      <c r="L447" s="4">
        <f t="shared" si="27"/>
        <v>0.80230728389745865</v>
      </c>
    </row>
    <row r="448" spans="1:12">
      <c r="A448" s="2">
        <v>186056</v>
      </c>
      <c r="B448" s="2" t="s">
        <v>158</v>
      </c>
      <c r="C448" s="2">
        <v>667</v>
      </c>
      <c r="D448" s="2" t="s">
        <v>302</v>
      </c>
      <c r="E448" s="2">
        <v>0</v>
      </c>
      <c r="F448" s="2">
        <v>0.53310000000000002</v>
      </c>
      <c r="G448" s="2">
        <v>0.1132</v>
      </c>
      <c r="H448" s="2">
        <v>0.35370000000000001</v>
      </c>
      <c r="I448" s="5">
        <f t="shared" si="24"/>
        <v>5.0624999999999845E-4</v>
      </c>
      <c r="J448" s="5">
        <f t="shared" si="25"/>
        <v>2.8696360000000008E-2</v>
      </c>
      <c r="K448" s="5">
        <f t="shared" si="26"/>
        <v>2.1579610000000003E-2</v>
      </c>
      <c r="L448" s="4">
        <f t="shared" si="27"/>
        <v>0.77465089305701695</v>
      </c>
    </row>
    <row r="449" spans="1:12">
      <c r="A449" s="2">
        <v>186056</v>
      </c>
      <c r="B449" s="2" t="s">
        <v>158</v>
      </c>
      <c r="C449" s="2">
        <v>669</v>
      </c>
      <c r="D449" s="2" t="s">
        <v>434</v>
      </c>
      <c r="E449" s="2">
        <v>0</v>
      </c>
      <c r="F449" s="2">
        <v>0.13819999999999999</v>
      </c>
      <c r="G449" s="2">
        <v>0.63639999999999997</v>
      </c>
      <c r="H449" s="2">
        <v>0.22539999999999999</v>
      </c>
      <c r="I449" s="5">
        <f t="shared" si="24"/>
        <v>0.13868176000000004</v>
      </c>
      <c r="J449" s="5">
        <f t="shared" si="25"/>
        <v>0.12517443999999997</v>
      </c>
      <c r="K449" s="5">
        <f t="shared" si="26"/>
        <v>3.4595999999999916E-4</v>
      </c>
      <c r="L449" s="4">
        <f t="shared" si="27"/>
        <v>0.48599400781702951</v>
      </c>
    </row>
    <row r="450" spans="1:12">
      <c r="A450" s="2">
        <v>186056</v>
      </c>
      <c r="B450" s="2" t="s">
        <v>158</v>
      </c>
      <c r="C450" s="2">
        <v>671</v>
      </c>
      <c r="D450" s="2" t="s">
        <v>313</v>
      </c>
      <c r="E450" s="2">
        <v>0</v>
      </c>
      <c r="F450" s="2">
        <v>0.36720000000000003</v>
      </c>
      <c r="G450" s="2">
        <v>0.28370000000000001</v>
      </c>
      <c r="H450" s="2">
        <v>0.34910000000000002</v>
      </c>
      <c r="I450" s="5">
        <f t="shared" ref="I450:I513" si="28">(F450-0.5106)^2</f>
        <v>2.0563560000000008E-2</v>
      </c>
      <c r="J450" s="5">
        <f t="shared" ref="J450:J513" si="29">(G450-0.2826)^2</f>
        <v>1.2099999999999778E-6</v>
      </c>
      <c r="K450" s="5">
        <f t="shared" ref="K450:K513" si="30">(H450-0.2068)^2</f>
        <v>2.0249290000000003E-2</v>
      </c>
      <c r="L450" s="4">
        <f t="shared" ref="L450:L513" si="31">1-(SQRT(I450+J450+K450))</f>
        <v>0.79797510054451204</v>
      </c>
    </row>
    <row r="451" spans="1:12">
      <c r="A451" s="2">
        <v>186056</v>
      </c>
      <c r="B451" s="2" t="s">
        <v>158</v>
      </c>
      <c r="C451" s="2">
        <v>672</v>
      </c>
      <c r="D451" s="2" t="s">
        <v>422</v>
      </c>
      <c r="E451" s="2">
        <v>0</v>
      </c>
      <c r="F451" s="2">
        <v>0.58509999999999995</v>
      </c>
      <c r="G451" s="2">
        <v>0.1777</v>
      </c>
      <c r="H451" s="2">
        <v>0.23719999999999999</v>
      </c>
      <c r="I451" s="5">
        <f t="shared" si="28"/>
        <v>5.5502499999999849E-3</v>
      </c>
      <c r="J451" s="5">
        <f t="shared" si="29"/>
        <v>1.1004010000000005E-2</v>
      </c>
      <c r="K451" s="5">
        <f t="shared" si="30"/>
        <v>9.2415999999999896E-4</v>
      </c>
      <c r="L451" s="4">
        <f t="shared" si="31"/>
        <v>0.86779402434080377</v>
      </c>
    </row>
    <row r="452" spans="1:12">
      <c r="A452" s="2">
        <v>186056</v>
      </c>
      <c r="B452" s="2" t="s">
        <v>158</v>
      </c>
      <c r="C452" s="2">
        <v>673</v>
      </c>
      <c r="D452" s="2" t="s">
        <v>393</v>
      </c>
      <c r="E452" s="2">
        <v>0</v>
      </c>
      <c r="F452" s="2">
        <v>0.1691</v>
      </c>
      <c r="G452" s="2">
        <v>0.55500000000000005</v>
      </c>
      <c r="H452" s="2">
        <v>0.27579999999999999</v>
      </c>
      <c r="I452" s="5">
        <f t="shared" si="28"/>
        <v>0.11662225000000002</v>
      </c>
      <c r="J452" s="5">
        <f t="shared" si="29"/>
        <v>7.4201760000000019E-2</v>
      </c>
      <c r="K452" s="5">
        <f t="shared" si="30"/>
        <v>4.760999999999997E-3</v>
      </c>
      <c r="L452" s="4">
        <f t="shared" si="31"/>
        <v>0.55775005935557209</v>
      </c>
    </row>
    <row r="453" spans="1:12">
      <c r="A453" s="2">
        <v>186056</v>
      </c>
      <c r="B453" s="2" t="s">
        <v>158</v>
      </c>
      <c r="C453" s="2">
        <v>674</v>
      </c>
      <c r="D453" s="2" t="s">
        <v>270</v>
      </c>
      <c r="E453" s="2">
        <v>0</v>
      </c>
      <c r="F453" s="2">
        <v>0.43740000000000001</v>
      </c>
      <c r="G453" s="2">
        <v>0.186</v>
      </c>
      <c r="H453" s="2">
        <v>0.37659999999999999</v>
      </c>
      <c r="I453" s="5">
        <f t="shared" si="28"/>
        <v>5.3582400000000063E-3</v>
      </c>
      <c r="J453" s="5">
        <f t="shared" si="29"/>
        <v>9.3315600000000044E-3</v>
      </c>
      <c r="K453" s="5">
        <f t="shared" si="30"/>
        <v>2.8832039999999993E-2</v>
      </c>
      <c r="L453" s="4">
        <f t="shared" si="31"/>
        <v>0.79138111303144187</v>
      </c>
    </row>
    <row r="454" spans="1:12">
      <c r="A454" s="2">
        <v>186056</v>
      </c>
      <c r="B454" s="2" t="s">
        <v>158</v>
      </c>
      <c r="C454" s="2">
        <v>675</v>
      </c>
      <c r="D454" s="2" t="s">
        <v>159</v>
      </c>
      <c r="E454" s="2">
        <v>0</v>
      </c>
      <c r="F454" s="2">
        <v>0.35489999999999999</v>
      </c>
      <c r="G454" s="2">
        <v>0.16900000000000001</v>
      </c>
      <c r="H454" s="2">
        <v>0.47610000000000002</v>
      </c>
      <c r="I454" s="5">
        <f t="shared" si="28"/>
        <v>2.4242490000000019E-2</v>
      </c>
      <c r="J454" s="5">
        <f t="shared" si="29"/>
        <v>1.2904960000000002E-2</v>
      </c>
      <c r="K454" s="5">
        <f t="shared" si="30"/>
        <v>7.2522489999999995E-2</v>
      </c>
      <c r="L454" s="4">
        <f t="shared" si="31"/>
        <v>0.66883547895343609</v>
      </c>
    </row>
    <row r="455" spans="1:12">
      <c r="A455" s="2">
        <v>186056</v>
      </c>
      <c r="B455" s="2" t="s">
        <v>158</v>
      </c>
      <c r="C455" s="2">
        <v>677</v>
      </c>
      <c r="D455" s="2" t="s">
        <v>307</v>
      </c>
      <c r="E455" s="2">
        <v>0</v>
      </c>
      <c r="F455" s="2">
        <v>0.5544</v>
      </c>
      <c r="G455" s="2">
        <v>9.3399999999999997E-2</v>
      </c>
      <c r="H455" s="2">
        <v>0.35210000000000002</v>
      </c>
      <c r="I455" s="5">
        <f t="shared" si="28"/>
        <v>1.9184399999999957E-3</v>
      </c>
      <c r="J455" s="5">
        <f t="shared" si="29"/>
        <v>3.5796640000000012E-2</v>
      </c>
      <c r="K455" s="5">
        <f t="shared" si="30"/>
        <v>2.1112090000000003E-2</v>
      </c>
      <c r="L455" s="4">
        <f t="shared" si="31"/>
        <v>0.75745686981487181</v>
      </c>
    </row>
    <row r="456" spans="1:12">
      <c r="A456" s="2">
        <v>186056</v>
      </c>
      <c r="B456" s="2" t="s">
        <v>158</v>
      </c>
      <c r="C456" s="2">
        <v>681</v>
      </c>
      <c r="D456" s="2" t="s">
        <v>482</v>
      </c>
      <c r="E456" s="2">
        <v>0</v>
      </c>
      <c r="F456" s="2">
        <v>0.73119999999999996</v>
      </c>
      <c r="G456" s="2">
        <v>0.1061</v>
      </c>
      <c r="H456" s="2">
        <v>0.16270000000000001</v>
      </c>
      <c r="I456" s="5">
        <f t="shared" si="28"/>
        <v>4.8664359999999962E-2</v>
      </c>
      <c r="J456" s="5">
        <f t="shared" si="29"/>
        <v>3.1152250000000006E-2</v>
      </c>
      <c r="K456" s="5">
        <f t="shared" si="30"/>
        <v>1.9448099999999999E-3</v>
      </c>
      <c r="L456" s="4">
        <f t="shared" si="31"/>
        <v>0.71406046093623221</v>
      </c>
    </row>
    <row r="457" spans="1:12">
      <c r="A457" s="2">
        <v>186056</v>
      </c>
      <c r="B457" s="2" t="s">
        <v>158</v>
      </c>
      <c r="C457" s="2">
        <v>683</v>
      </c>
      <c r="D457" s="2" t="s">
        <v>509</v>
      </c>
      <c r="E457" s="2">
        <v>0</v>
      </c>
      <c r="F457" s="2">
        <v>0.114</v>
      </c>
      <c r="G457" s="2">
        <v>0.7772</v>
      </c>
      <c r="H457" s="2">
        <v>0.10879999999999999</v>
      </c>
      <c r="I457" s="5">
        <f t="shared" si="28"/>
        <v>0.15729156000000005</v>
      </c>
      <c r="J457" s="5">
        <f t="shared" si="29"/>
        <v>0.24462915999999998</v>
      </c>
      <c r="K457" s="5">
        <f t="shared" si="30"/>
        <v>9.6040000000000032E-3</v>
      </c>
      <c r="L457" s="4">
        <f t="shared" si="31"/>
        <v>0.3584980748275185</v>
      </c>
    </row>
    <row r="458" spans="1:12">
      <c r="A458" s="2">
        <v>186056</v>
      </c>
      <c r="B458" s="2" t="s">
        <v>158</v>
      </c>
      <c r="C458" s="2">
        <v>685</v>
      </c>
      <c r="D458" s="2" t="s">
        <v>183</v>
      </c>
      <c r="E458" s="2">
        <v>0</v>
      </c>
      <c r="F458" s="2">
        <v>0.27429999999999999</v>
      </c>
      <c r="G458" s="2">
        <v>0.27029999999999998</v>
      </c>
      <c r="H458" s="2">
        <v>0.45529999999999998</v>
      </c>
      <c r="I458" s="5">
        <f t="shared" si="28"/>
        <v>5.583769000000003E-2</v>
      </c>
      <c r="J458" s="5">
        <f t="shared" si="29"/>
        <v>1.5129000000000081E-4</v>
      </c>
      <c r="K458" s="5">
        <f t="shared" si="30"/>
        <v>6.1752249999999988E-2</v>
      </c>
      <c r="L458" s="4">
        <f t="shared" si="31"/>
        <v>0.65686558027501807</v>
      </c>
    </row>
    <row r="459" spans="1:12">
      <c r="A459" s="2">
        <v>186056</v>
      </c>
      <c r="B459" s="2" t="s">
        <v>158</v>
      </c>
      <c r="C459" s="2">
        <v>684</v>
      </c>
      <c r="D459" s="2" t="s">
        <v>490</v>
      </c>
      <c r="E459" s="2">
        <v>0</v>
      </c>
      <c r="F459" s="2">
        <v>0.69969999999999999</v>
      </c>
      <c r="G459" s="2">
        <v>0.1535</v>
      </c>
      <c r="H459" s="2">
        <v>0.14680000000000001</v>
      </c>
      <c r="I459" s="5">
        <f t="shared" si="28"/>
        <v>3.5758809999999974E-2</v>
      </c>
      <c r="J459" s="5">
        <f t="shared" si="29"/>
        <v>1.6666810000000004E-2</v>
      </c>
      <c r="K459" s="5">
        <f t="shared" si="30"/>
        <v>3.5999999999999999E-3</v>
      </c>
      <c r="L459" s="4">
        <f t="shared" si="31"/>
        <v>0.76330268273594659</v>
      </c>
    </row>
    <row r="460" spans="1:12">
      <c r="A460" s="2">
        <v>186056</v>
      </c>
      <c r="B460" s="2" t="s">
        <v>158</v>
      </c>
      <c r="C460" s="2">
        <v>690</v>
      </c>
      <c r="D460" s="2" t="s">
        <v>308</v>
      </c>
      <c r="E460" s="2">
        <v>0</v>
      </c>
      <c r="F460" s="2">
        <v>0.33639999999999998</v>
      </c>
      <c r="G460" s="2">
        <v>0.31209999999999999</v>
      </c>
      <c r="H460" s="2">
        <v>0.35139999999999999</v>
      </c>
      <c r="I460" s="5">
        <f t="shared" si="28"/>
        <v>3.0345640000000028E-2</v>
      </c>
      <c r="J460" s="5">
        <f t="shared" si="29"/>
        <v>8.702499999999983E-4</v>
      </c>
      <c r="K460" s="5">
        <f t="shared" si="30"/>
        <v>2.0909159999999993E-2</v>
      </c>
      <c r="L460" s="4">
        <f t="shared" si="31"/>
        <v>0.77169088936268881</v>
      </c>
    </row>
    <row r="461" spans="1:12">
      <c r="A461" s="2">
        <v>186056</v>
      </c>
      <c r="B461" s="2" t="s">
        <v>158</v>
      </c>
      <c r="C461" s="2">
        <v>696</v>
      </c>
      <c r="D461" s="2" t="s">
        <v>189</v>
      </c>
      <c r="E461" s="2">
        <v>0</v>
      </c>
      <c r="F461" s="2">
        <v>0.5091</v>
      </c>
      <c r="G461" s="2">
        <v>4.2000000000000003E-2</v>
      </c>
      <c r="H461" s="2">
        <v>0.44890000000000002</v>
      </c>
      <c r="I461" s="5">
        <f t="shared" si="28"/>
        <v>2.2500000000001707E-6</v>
      </c>
      <c r="J461" s="5">
        <f t="shared" si="29"/>
        <v>5.7888360000000007E-2</v>
      </c>
      <c r="K461" s="5">
        <f t="shared" si="30"/>
        <v>5.8612410000000004E-2</v>
      </c>
      <c r="L461" s="4">
        <f t="shared" si="31"/>
        <v>0.65867461272269834</v>
      </c>
    </row>
    <row r="462" spans="1:12">
      <c r="A462" s="2">
        <v>186056</v>
      </c>
      <c r="B462" s="2" t="s">
        <v>158</v>
      </c>
      <c r="C462" s="2">
        <v>691</v>
      </c>
      <c r="D462" s="2" t="s">
        <v>349</v>
      </c>
      <c r="E462" s="2">
        <v>0</v>
      </c>
      <c r="F462" s="2">
        <v>0.35039999999999999</v>
      </c>
      <c r="G462" s="2">
        <v>0.33950000000000002</v>
      </c>
      <c r="H462" s="2">
        <v>0.31019999999999998</v>
      </c>
      <c r="I462" s="5">
        <f t="shared" si="28"/>
        <v>2.566404000000002E-2</v>
      </c>
      <c r="J462" s="5">
        <f t="shared" si="29"/>
        <v>3.2376100000000006E-3</v>
      </c>
      <c r="K462" s="5">
        <f t="shared" si="30"/>
        <v>1.0691559999999992E-2</v>
      </c>
      <c r="L462" s="4">
        <f t="shared" si="31"/>
        <v>0.80101957382697153</v>
      </c>
    </row>
    <row r="463" spans="1:12">
      <c r="A463" s="2">
        <v>186056</v>
      </c>
      <c r="B463" s="2" t="s">
        <v>158</v>
      </c>
      <c r="C463" s="2">
        <v>695</v>
      </c>
      <c r="D463" s="2" t="s">
        <v>254</v>
      </c>
      <c r="E463" s="2">
        <v>0</v>
      </c>
      <c r="F463" s="2">
        <v>0.55349999999999999</v>
      </c>
      <c r="G463" s="2">
        <v>5.4899999999999997E-2</v>
      </c>
      <c r="H463" s="2">
        <v>0.39150000000000001</v>
      </c>
      <c r="I463" s="5">
        <f t="shared" si="28"/>
        <v>1.8404099999999948E-3</v>
      </c>
      <c r="J463" s="5">
        <f t="shared" si="29"/>
        <v>5.1847290000000004E-2</v>
      </c>
      <c r="K463" s="5">
        <f t="shared" si="30"/>
        <v>3.411409E-2</v>
      </c>
      <c r="L463" s="4">
        <f t="shared" si="31"/>
        <v>0.7036863317361145</v>
      </c>
    </row>
    <row r="464" spans="1:12">
      <c r="A464" s="2">
        <v>186056</v>
      </c>
      <c r="B464" s="2" t="s">
        <v>158</v>
      </c>
      <c r="C464" s="2">
        <v>692</v>
      </c>
      <c r="D464" s="2" t="s">
        <v>229</v>
      </c>
      <c r="E464" s="2">
        <v>0</v>
      </c>
      <c r="F464" s="2">
        <v>0.30199999999999999</v>
      </c>
      <c r="G464" s="2">
        <v>0.28560000000000002</v>
      </c>
      <c r="H464" s="2">
        <v>0.41239999999999999</v>
      </c>
      <c r="I464" s="5">
        <f t="shared" si="28"/>
        <v>4.3513960000000025E-2</v>
      </c>
      <c r="J464" s="5">
        <f t="shared" si="29"/>
        <v>9.0000000000000155E-6</v>
      </c>
      <c r="K464" s="5">
        <f t="shared" si="30"/>
        <v>4.2271359999999994E-2</v>
      </c>
      <c r="L464" s="4">
        <f t="shared" si="31"/>
        <v>0.7070933254430688</v>
      </c>
    </row>
    <row r="465" spans="1:12">
      <c r="A465" s="2">
        <v>186056</v>
      </c>
      <c r="B465" s="2" t="s">
        <v>158</v>
      </c>
      <c r="C465" s="2">
        <v>697</v>
      </c>
      <c r="D465" s="2" t="s">
        <v>376</v>
      </c>
      <c r="E465" s="2">
        <v>0</v>
      </c>
      <c r="F465" s="2">
        <v>0.1983</v>
      </c>
      <c r="G465" s="2">
        <v>0.51680000000000004</v>
      </c>
      <c r="H465" s="2">
        <v>0.28489999999999999</v>
      </c>
      <c r="I465" s="5">
        <f t="shared" si="28"/>
        <v>9.753129000000002E-2</v>
      </c>
      <c r="J465" s="5">
        <f t="shared" si="29"/>
        <v>5.4849640000000012E-2</v>
      </c>
      <c r="K465" s="5">
        <f t="shared" si="30"/>
        <v>6.0996099999999958E-3</v>
      </c>
      <c r="L465" s="4">
        <f t="shared" si="31"/>
        <v>0.6019038558337948</v>
      </c>
    </row>
    <row r="466" spans="1:12">
      <c r="A466" s="2">
        <v>186056</v>
      </c>
      <c r="B466" s="2" t="s">
        <v>158</v>
      </c>
      <c r="C466" s="2">
        <v>699</v>
      </c>
      <c r="D466" s="2" t="s">
        <v>282</v>
      </c>
      <c r="E466" s="2">
        <v>0</v>
      </c>
      <c r="F466" s="2">
        <v>0.36940000000000001</v>
      </c>
      <c r="G466" s="2">
        <v>0.26019999999999999</v>
      </c>
      <c r="H466" s="2">
        <v>0.37040000000000001</v>
      </c>
      <c r="I466" s="5">
        <f t="shared" si="28"/>
        <v>1.9937440000000015E-2</v>
      </c>
      <c r="J466" s="5">
        <f t="shared" si="29"/>
        <v>5.0176000000000138E-4</v>
      </c>
      <c r="K466" s="5">
        <f t="shared" si="30"/>
        <v>2.6764959999999997E-2</v>
      </c>
      <c r="L466" s="4">
        <f t="shared" si="31"/>
        <v>0.78273481641091225</v>
      </c>
    </row>
    <row r="467" spans="1:12">
      <c r="A467" s="2">
        <v>186056</v>
      </c>
      <c r="B467" s="2" t="s">
        <v>158</v>
      </c>
      <c r="C467" s="2">
        <v>705</v>
      </c>
      <c r="D467" s="2" t="s">
        <v>378</v>
      </c>
      <c r="E467" s="2">
        <v>0</v>
      </c>
      <c r="F467" s="2">
        <v>0.59309999999999996</v>
      </c>
      <c r="G467" s="2">
        <v>0.1222</v>
      </c>
      <c r="H467" s="2">
        <v>0.28470000000000001</v>
      </c>
      <c r="I467" s="5">
        <f t="shared" si="28"/>
        <v>6.8062499999999842E-3</v>
      </c>
      <c r="J467" s="5">
        <f t="shared" si="29"/>
        <v>2.5728160000000003E-2</v>
      </c>
      <c r="K467" s="5">
        <f t="shared" si="30"/>
        <v>6.0684099999999998E-3</v>
      </c>
      <c r="L467" s="4">
        <f t="shared" si="31"/>
        <v>0.8035239963761478</v>
      </c>
    </row>
    <row r="468" spans="1:12">
      <c r="A468" s="2">
        <v>186056</v>
      </c>
      <c r="B468" s="2" t="s">
        <v>158</v>
      </c>
      <c r="C468" s="2">
        <v>700</v>
      </c>
      <c r="D468" s="2" t="s">
        <v>246</v>
      </c>
      <c r="E468" s="2">
        <v>0</v>
      </c>
      <c r="F468" s="2">
        <v>0.56969999999999998</v>
      </c>
      <c r="G468" s="2">
        <v>0.15620000000000001</v>
      </c>
      <c r="H468" s="2">
        <v>0.27410000000000001</v>
      </c>
      <c r="I468" s="5">
        <f t="shared" si="28"/>
        <v>3.4928099999999916E-3</v>
      </c>
      <c r="J468" s="5">
        <f t="shared" si="29"/>
        <v>1.5976960000000002E-2</v>
      </c>
      <c r="K468" s="5">
        <f t="shared" si="30"/>
        <v>4.5292900000000001E-3</v>
      </c>
      <c r="L468" s="4">
        <f t="shared" si="31"/>
        <v>0.84508370001836475</v>
      </c>
    </row>
    <row r="469" spans="1:12">
      <c r="A469" s="2">
        <v>186056</v>
      </c>
      <c r="B469" s="2" t="s">
        <v>158</v>
      </c>
      <c r="C469" s="2">
        <v>710</v>
      </c>
      <c r="D469" s="2" t="s">
        <v>207</v>
      </c>
      <c r="E469" s="2">
        <v>0</v>
      </c>
      <c r="F469" s="2">
        <v>0.44119999999999998</v>
      </c>
      <c r="G469" s="2">
        <v>0.1275</v>
      </c>
      <c r="H469" s="2">
        <v>0.43130000000000002</v>
      </c>
      <c r="I469" s="5">
        <f t="shared" si="28"/>
        <v>4.81636000000001E-3</v>
      </c>
      <c r="J469" s="5">
        <f t="shared" si="29"/>
        <v>2.4056010000000006E-2</v>
      </c>
      <c r="K469" s="5">
        <f t="shared" si="30"/>
        <v>5.0400250000000001E-2</v>
      </c>
      <c r="L469" s="4">
        <f t="shared" si="31"/>
        <v>0.71844606200587424</v>
      </c>
    </row>
    <row r="470" spans="1:12">
      <c r="A470" s="2">
        <v>186056</v>
      </c>
      <c r="B470" s="2" t="s">
        <v>158</v>
      </c>
      <c r="C470" s="2">
        <v>185814</v>
      </c>
      <c r="D470" s="2" t="s">
        <v>389</v>
      </c>
      <c r="E470" s="2">
        <v>0</v>
      </c>
      <c r="F470" s="2">
        <v>0.62239999999999995</v>
      </c>
      <c r="G470" s="2">
        <v>0.1002</v>
      </c>
      <c r="H470" s="2">
        <v>0.27750000000000002</v>
      </c>
      <c r="I470" s="5">
        <f t="shared" si="28"/>
        <v>1.2499239999999977E-2</v>
      </c>
      <c r="J470" s="5">
        <f t="shared" si="29"/>
        <v>3.3269760000000002E-2</v>
      </c>
      <c r="K470" s="5">
        <f t="shared" si="30"/>
        <v>4.9984900000000021E-3</v>
      </c>
      <c r="L470" s="4">
        <f t="shared" si="31"/>
        <v>0.7746835780507777</v>
      </c>
    </row>
    <row r="471" spans="1:12">
      <c r="A471" s="2">
        <v>185836</v>
      </c>
      <c r="B471" s="2" t="s">
        <v>324</v>
      </c>
      <c r="C471" s="2">
        <v>185836</v>
      </c>
      <c r="D471" s="2" t="s">
        <v>324</v>
      </c>
      <c r="E471" s="2">
        <v>1</v>
      </c>
      <c r="F471" s="2">
        <v>0.48099999999999998</v>
      </c>
      <c r="G471" s="2">
        <v>0.1845</v>
      </c>
      <c r="H471" s="2">
        <v>0.33450000000000002</v>
      </c>
      <c r="I471" s="5">
        <f t="shared" si="28"/>
        <v>8.7616000000000419E-4</v>
      </c>
      <c r="J471" s="5">
        <f t="shared" si="29"/>
        <v>9.6236100000000047E-3</v>
      </c>
      <c r="K471" s="5">
        <f t="shared" si="30"/>
        <v>1.6307290000000002E-2</v>
      </c>
      <c r="L471" s="4">
        <f t="shared" si="31"/>
        <v>0.83627138307552951</v>
      </c>
    </row>
    <row r="472" spans="1:12">
      <c r="A472" s="2">
        <v>243</v>
      </c>
      <c r="B472" s="2" t="s">
        <v>61</v>
      </c>
      <c r="C472" s="2">
        <v>175613</v>
      </c>
      <c r="D472" s="2" t="s">
        <v>273</v>
      </c>
      <c r="E472" s="2">
        <v>0</v>
      </c>
      <c r="F472" s="2">
        <v>0.2107</v>
      </c>
      <c r="G472" s="2">
        <v>0.42699999999999999</v>
      </c>
      <c r="H472" s="2">
        <v>0.36230000000000001</v>
      </c>
      <c r="I472" s="5">
        <f t="shared" si="28"/>
        <v>8.9940010000000029E-2</v>
      </c>
      <c r="J472" s="5">
        <f t="shared" si="29"/>
        <v>2.0851359999999992E-2</v>
      </c>
      <c r="K472" s="5">
        <f t="shared" si="30"/>
        <v>2.418025E-2</v>
      </c>
      <c r="L472" s="4">
        <f t="shared" si="31"/>
        <v>0.63261516090072523</v>
      </c>
    </row>
    <row r="473" spans="1:12">
      <c r="A473" s="2">
        <v>243</v>
      </c>
      <c r="B473" s="2" t="s">
        <v>61</v>
      </c>
      <c r="C473" s="2">
        <v>248</v>
      </c>
      <c r="D473" s="2" t="s">
        <v>185</v>
      </c>
      <c r="E473" s="2">
        <v>0</v>
      </c>
      <c r="F473" s="2">
        <v>0.36420000000000002</v>
      </c>
      <c r="G473" s="2">
        <v>0.1812</v>
      </c>
      <c r="H473" s="2">
        <v>0.4546</v>
      </c>
      <c r="I473" s="5">
        <f t="shared" si="28"/>
        <v>2.1432960000000008E-2</v>
      </c>
      <c r="J473" s="5">
        <f t="shared" si="29"/>
        <v>1.0281960000000003E-2</v>
      </c>
      <c r="K473" s="5">
        <f t="shared" si="30"/>
        <v>6.1404839999999995E-2</v>
      </c>
      <c r="L473" s="4">
        <f t="shared" si="31"/>
        <v>0.69484469527796178</v>
      </c>
    </row>
    <row r="474" spans="1:12">
      <c r="A474" s="2">
        <v>243</v>
      </c>
      <c r="B474" s="2" t="s">
        <v>61</v>
      </c>
      <c r="C474" s="2">
        <v>249</v>
      </c>
      <c r="D474" s="2" t="s">
        <v>117</v>
      </c>
      <c r="E474" s="2">
        <v>0</v>
      </c>
      <c r="F474" s="2">
        <v>0.23050000000000001</v>
      </c>
      <c r="G474" s="2">
        <v>0.2392</v>
      </c>
      <c r="H474" s="2">
        <v>0.53029999999999999</v>
      </c>
      <c r="I474" s="5">
        <f t="shared" si="28"/>
        <v>7.8456010000000007E-2</v>
      </c>
      <c r="J474" s="5">
        <f t="shared" si="29"/>
        <v>1.883560000000002E-3</v>
      </c>
      <c r="K474" s="5">
        <f t="shared" si="30"/>
        <v>0.10465225</v>
      </c>
      <c r="L474" s="4">
        <f t="shared" si="31"/>
        <v>0.5698932458098338</v>
      </c>
    </row>
    <row r="475" spans="1:12">
      <c r="A475" s="2">
        <v>243</v>
      </c>
      <c r="B475" s="2" t="s">
        <v>61</v>
      </c>
      <c r="C475" s="2">
        <v>250</v>
      </c>
      <c r="D475" s="2" t="s">
        <v>293</v>
      </c>
      <c r="E475" s="2">
        <v>0</v>
      </c>
      <c r="F475" s="2">
        <v>0.18609999999999999</v>
      </c>
      <c r="G475" s="2">
        <v>0.4511</v>
      </c>
      <c r="H475" s="2">
        <v>0.36280000000000001</v>
      </c>
      <c r="I475" s="5">
        <f t="shared" si="28"/>
        <v>0.10530025000000004</v>
      </c>
      <c r="J475" s="5">
        <f t="shared" si="29"/>
        <v>2.8392249999999994E-2</v>
      </c>
      <c r="K475" s="5">
        <f t="shared" si="30"/>
        <v>2.4336E-2</v>
      </c>
      <c r="L475" s="4">
        <f t="shared" si="31"/>
        <v>0.60247201356382463</v>
      </c>
    </row>
    <row r="476" spans="1:12">
      <c r="A476" s="2">
        <v>243</v>
      </c>
      <c r="B476" s="2" t="s">
        <v>61</v>
      </c>
      <c r="C476" s="2">
        <v>251</v>
      </c>
      <c r="D476" s="2" t="s">
        <v>253</v>
      </c>
      <c r="E476" s="2">
        <v>0</v>
      </c>
      <c r="F476" s="2">
        <v>0.2457</v>
      </c>
      <c r="G476" s="2">
        <v>0.36249999999999999</v>
      </c>
      <c r="H476" s="2">
        <v>0.39179999999999998</v>
      </c>
      <c r="I476" s="5">
        <f t="shared" si="28"/>
        <v>7.0172010000000007E-2</v>
      </c>
      <c r="J476" s="5">
        <f t="shared" si="29"/>
        <v>6.3840099999999955E-3</v>
      </c>
      <c r="K476" s="5">
        <f t="shared" si="30"/>
        <v>3.4224999999999992E-2</v>
      </c>
      <c r="L476" s="4">
        <f t="shared" si="31"/>
        <v>0.66716217162107316</v>
      </c>
    </row>
    <row r="477" spans="1:12">
      <c r="A477" s="2">
        <v>243</v>
      </c>
      <c r="B477" s="2" t="s">
        <v>61</v>
      </c>
      <c r="C477" s="2">
        <v>186007</v>
      </c>
      <c r="D477" s="2" t="s">
        <v>111</v>
      </c>
      <c r="E477" s="2">
        <v>0</v>
      </c>
      <c r="F477" s="2">
        <v>0.39479999999999998</v>
      </c>
      <c r="G477" s="2">
        <v>6.8199999999999997E-2</v>
      </c>
      <c r="H477" s="2">
        <v>0.53700000000000003</v>
      </c>
      <c r="I477" s="5">
        <f t="shared" si="28"/>
        <v>1.3409640000000016E-2</v>
      </c>
      <c r="J477" s="5">
        <f t="shared" si="29"/>
        <v>4.5967360000000013E-2</v>
      </c>
      <c r="K477" s="5">
        <f t="shared" si="30"/>
        <v>0.10903204000000004</v>
      </c>
      <c r="L477" s="4">
        <f t="shared" si="31"/>
        <v>0.58962329500811084</v>
      </c>
    </row>
    <row r="478" spans="1:12">
      <c r="A478" s="2">
        <v>243</v>
      </c>
      <c r="B478" s="2" t="s">
        <v>61</v>
      </c>
      <c r="C478" s="2">
        <v>5468</v>
      </c>
      <c r="D478" s="2" t="s">
        <v>256</v>
      </c>
      <c r="E478" s="2">
        <v>0</v>
      </c>
      <c r="F478" s="2">
        <v>0.372</v>
      </c>
      <c r="G478" s="2">
        <v>0.2389</v>
      </c>
      <c r="H478" s="2">
        <v>0.38919999999999999</v>
      </c>
      <c r="I478" s="5">
        <f t="shared" si="28"/>
        <v>1.9209960000000015E-2</v>
      </c>
      <c r="J478" s="5">
        <f t="shared" si="29"/>
        <v>1.9096900000000014E-3</v>
      </c>
      <c r="K478" s="5">
        <f t="shared" si="30"/>
        <v>3.3269759999999995E-2</v>
      </c>
      <c r="L478" s="4">
        <f t="shared" si="31"/>
        <v>0.76678462743635445</v>
      </c>
    </row>
    <row r="479" spans="1:12">
      <c r="A479" s="2">
        <v>243</v>
      </c>
      <c r="B479" s="2" t="s">
        <v>61</v>
      </c>
      <c r="C479" s="2">
        <v>252</v>
      </c>
      <c r="D479" s="2" t="s">
        <v>113</v>
      </c>
      <c r="E479" s="2">
        <v>0</v>
      </c>
      <c r="F479" s="2">
        <v>0.38379999999999997</v>
      </c>
      <c r="G479" s="2">
        <v>0.23100000000000001</v>
      </c>
      <c r="H479" s="2">
        <v>0.38519999999999999</v>
      </c>
      <c r="I479" s="5">
        <f t="shared" si="28"/>
        <v>1.6078240000000021E-2</v>
      </c>
      <c r="J479" s="5">
        <f t="shared" si="29"/>
        <v>2.6625600000000009E-3</v>
      </c>
      <c r="K479" s="5">
        <f t="shared" si="30"/>
        <v>3.182655999999999E-2</v>
      </c>
      <c r="L479" s="4">
        <f t="shared" si="31"/>
        <v>0.77512812536913378</v>
      </c>
    </row>
    <row r="480" spans="1:12">
      <c r="A480" s="2">
        <v>243</v>
      </c>
      <c r="B480" s="2" t="s">
        <v>61</v>
      </c>
      <c r="C480" s="2">
        <v>253</v>
      </c>
      <c r="D480" s="2" t="s">
        <v>62</v>
      </c>
      <c r="E480" s="2">
        <v>0</v>
      </c>
      <c r="F480" s="2">
        <v>0.2114</v>
      </c>
      <c r="G480" s="2">
        <v>0.1552</v>
      </c>
      <c r="H480" s="2">
        <v>0.63339999999999996</v>
      </c>
      <c r="I480" s="5">
        <f t="shared" si="28"/>
        <v>8.9520640000000012E-2</v>
      </c>
      <c r="J480" s="5">
        <f t="shared" si="29"/>
        <v>1.6230760000000004E-2</v>
      </c>
      <c r="K480" s="5">
        <f t="shared" si="30"/>
        <v>0.18198755999999999</v>
      </c>
      <c r="L480" s="4">
        <f t="shared" si="31"/>
        <v>0.46358695019602669</v>
      </c>
    </row>
    <row r="481" spans="1:12">
      <c r="A481" s="2">
        <v>243</v>
      </c>
      <c r="B481" s="2" t="s">
        <v>61</v>
      </c>
      <c r="C481" s="2">
        <v>254</v>
      </c>
      <c r="D481" s="2" t="s">
        <v>263</v>
      </c>
      <c r="E481" s="2">
        <v>0</v>
      </c>
      <c r="F481" s="2">
        <v>0.52310000000000001</v>
      </c>
      <c r="G481" s="2">
        <v>9.3100000000000002E-2</v>
      </c>
      <c r="H481" s="2">
        <v>0.38379999999999997</v>
      </c>
      <c r="I481" s="5">
        <f t="shared" si="28"/>
        <v>1.5624999999999889E-4</v>
      </c>
      <c r="J481" s="5">
        <f t="shared" si="29"/>
        <v>3.5910249999999998E-2</v>
      </c>
      <c r="K481" s="5">
        <f t="shared" si="30"/>
        <v>3.1328999999999989E-2</v>
      </c>
      <c r="L481" s="4">
        <f t="shared" si="31"/>
        <v>0.74039356710589788</v>
      </c>
    </row>
    <row r="482" spans="1:12">
      <c r="A482" s="2">
        <v>243</v>
      </c>
      <c r="B482" s="2" t="s">
        <v>61</v>
      </c>
      <c r="C482" s="2">
        <v>255</v>
      </c>
      <c r="D482" s="2" t="s">
        <v>115</v>
      </c>
      <c r="E482" s="2">
        <v>0</v>
      </c>
      <c r="F482" s="2">
        <v>0.312</v>
      </c>
      <c r="G482" s="2">
        <v>0.1565</v>
      </c>
      <c r="H482" s="2">
        <v>0.53149999999999997</v>
      </c>
      <c r="I482" s="5">
        <f t="shared" si="28"/>
        <v>3.9441960000000019E-2</v>
      </c>
      <c r="J482" s="5">
        <f t="shared" si="29"/>
        <v>1.5901210000000006E-2</v>
      </c>
      <c r="K482" s="5">
        <f t="shared" si="30"/>
        <v>0.10543008999999999</v>
      </c>
      <c r="L482" s="4">
        <f t="shared" si="31"/>
        <v>0.59903459002053561</v>
      </c>
    </row>
    <row r="483" spans="1:12">
      <c r="A483" s="2">
        <v>243</v>
      </c>
      <c r="B483" s="2" t="s">
        <v>61</v>
      </c>
      <c r="C483" s="2">
        <v>257</v>
      </c>
      <c r="D483" s="2" t="s">
        <v>175</v>
      </c>
      <c r="E483" s="2">
        <v>0</v>
      </c>
      <c r="F483" s="2">
        <v>0.35270000000000001</v>
      </c>
      <c r="G483" s="2">
        <v>0.1852</v>
      </c>
      <c r="H483" s="2">
        <v>0.46200000000000002</v>
      </c>
      <c r="I483" s="5">
        <f t="shared" si="28"/>
        <v>2.4932410000000012E-2</v>
      </c>
      <c r="J483" s="5">
        <f t="shared" si="29"/>
        <v>9.4867600000000021E-3</v>
      </c>
      <c r="K483" s="5">
        <f t="shared" si="30"/>
        <v>6.5127039999999997E-2</v>
      </c>
      <c r="L483" s="4">
        <f t="shared" si="31"/>
        <v>0.6844905548164999</v>
      </c>
    </row>
    <row r="484" spans="1:12">
      <c r="A484" s="2">
        <v>243</v>
      </c>
      <c r="B484" s="2" t="s">
        <v>61</v>
      </c>
      <c r="C484" s="2">
        <v>258</v>
      </c>
      <c r="D484" s="2" t="s">
        <v>246</v>
      </c>
      <c r="E484" s="2">
        <v>0</v>
      </c>
      <c r="F484" s="2">
        <v>0.37809999999999999</v>
      </c>
      <c r="G484" s="2">
        <v>0.22489999999999999</v>
      </c>
      <c r="H484" s="2">
        <v>0.39700000000000002</v>
      </c>
      <c r="I484" s="5">
        <f t="shared" si="28"/>
        <v>1.7556250000000016E-2</v>
      </c>
      <c r="J484" s="5">
        <f t="shared" si="29"/>
        <v>3.3292900000000034E-3</v>
      </c>
      <c r="K484" s="5">
        <f t="shared" si="30"/>
        <v>3.617604E-2</v>
      </c>
      <c r="L484" s="4">
        <f t="shared" si="31"/>
        <v>0.76112434196846257</v>
      </c>
    </row>
    <row r="485" spans="1:12">
      <c r="A485" s="2">
        <v>243</v>
      </c>
      <c r="B485" s="2" t="s">
        <v>61</v>
      </c>
      <c r="C485" s="2">
        <v>259</v>
      </c>
      <c r="D485" s="2" t="s">
        <v>90</v>
      </c>
      <c r="E485" s="2">
        <v>0</v>
      </c>
      <c r="F485" s="2">
        <v>0.32569999999999999</v>
      </c>
      <c r="G485" s="2">
        <v>8.8599999999999998E-2</v>
      </c>
      <c r="H485" s="2">
        <v>0.5857</v>
      </c>
      <c r="I485" s="5">
        <f t="shared" si="28"/>
        <v>3.4188010000000026E-2</v>
      </c>
      <c r="J485" s="5">
        <f t="shared" si="29"/>
        <v>3.7636000000000003E-2</v>
      </c>
      <c r="K485" s="5">
        <f t="shared" si="30"/>
        <v>0.14356521</v>
      </c>
      <c r="L485" s="4">
        <f t="shared" si="31"/>
        <v>0.53589955828506253</v>
      </c>
    </row>
    <row r="486" spans="1:12">
      <c r="A486" s="2">
        <v>205</v>
      </c>
      <c r="B486" s="2" t="s">
        <v>29</v>
      </c>
      <c r="C486" s="2">
        <v>211</v>
      </c>
      <c r="D486" s="2" t="s">
        <v>79</v>
      </c>
      <c r="E486" s="2">
        <v>0</v>
      </c>
      <c r="F486" s="2">
        <v>0.1993</v>
      </c>
      <c r="G486" s="2">
        <v>0.19550000000000001</v>
      </c>
      <c r="H486" s="2">
        <v>0.60519999999999996</v>
      </c>
      <c r="I486" s="5">
        <f t="shared" si="28"/>
        <v>9.6907690000000019E-2</v>
      </c>
      <c r="J486" s="5">
        <f t="shared" si="29"/>
        <v>7.5864100000000018E-3</v>
      </c>
      <c r="K486" s="5">
        <f t="shared" si="30"/>
        <v>0.15872255999999998</v>
      </c>
      <c r="L486" s="4">
        <f t="shared" si="31"/>
        <v>0.48695354986122363</v>
      </c>
    </row>
    <row r="487" spans="1:12">
      <c r="A487" s="2">
        <v>205</v>
      </c>
      <c r="B487" s="2" t="s">
        <v>29</v>
      </c>
      <c r="C487" s="2">
        <v>209</v>
      </c>
      <c r="D487" s="2" t="s">
        <v>118</v>
      </c>
      <c r="E487" s="2">
        <v>0</v>
      </c>
      <c r="F487" s="2">
        <v>0.28939999999999999</v>
      </c>
      <c r="G487" s="2">
        <v>0.18060000000000001</v>
      </c>
      <c r="H487" s="2">
        <v>0.53</v>
      </c>
      <c r="I487" s="5">
        <f t="shared" si="28"/>
        <v>4.8929440000000025E-2</v>
      </c>
      <c r="J487" s="5">
        <f t="shared" si="29"/>
        <v>1.0404000000000002E-2</v>
      </c>
      <c r="K487" s="5">
        <f t="shared" si="30"/>
        <v>0.10445824000000002</v>
      </c>
      <c r="L487" s="4">
        <f t="shared" si="31"/>
        <v>0.59528815189075568</v>
      </c>
    </row>
    <row r="488" spans="1:12">
      <c r="A488" s="2">
        <v>205</v>
      </c>
      <c r="B488" s="2" t="s">
        <v>29</v>
      </c>
      <c r="C488" s="2">
        <v>214</v>
      </c>
      <c r="D488" s="2" t="s">
        <v>124</v>
      </c>
      <c r="E488" s="2">
        <v>0</v>
      </c>
      <c r="F488" s="2">
        <v>0.25180000000000002</v>
      </c>
      <c r="G488" s="2">
        <v>0.23280000000000001</v>
      </c>
      <c r="H488" s="2">
        <v>0.51539999999999997</v>
      </c>
      <c r="I488" s="5">
        <f t="shared" si="28"/>
        <v>6.6977440000000013E-2</v>
      </c>
      <c r="J488" s="5">
        <f t="shared" si="29"/>
        <v>2.4800400000000011E-3</v>
      </c>
      <c r="K488" s="5">
        <f t="shared" si="30"/>
        <v>9.5233959999999993E-2</v>
      </c>
      <c r="L488" s="4">
        <f t="shared" si="31"/>
        <v>0.59417806860643907</v>
      </c>
    </row>
    <row r="489" spans="1:12">
      <c r="A489" s="2">
        <v>205</v>
      </c>
      <c r="B489" s="2" t="s">
        <v>29</v>
      </c>
      <c r="C489" s="2">
        <v>215</v>
      </c>
      <c r="D489" s="2" t="s">
        <v>30</v>
      </c>
      <c r="E489" s="2">
        <v>0</v>
      </c>
      <c r="F489" s="2">
        <v>0.122</v>
      </c>
      <c r="G489" s="2">
        <v>0.1235</v>
      </c>
      <c r="H489" s="2">
        <v>0.75449999999999995</v>
      </c>
      <c r="I489" s="5">
        <f t="shared" si="28"/>
        <v>0.15100996000000005</v>
      </c>
      <c r="J489" s="5">
        <f t="shared" si="29"/>
        <v>2.5312810000000005E-2</v>
      </c>
      <c r="K489" s="5">
        <f t="shared" si="30"/>
        <v>0.29997528999999995</v>
      </c>
      <c r="L489" s="4">
        <f t="shared" si="31"/>
        <v>0.30985649318420738</v>
      </c>
    </row>
    <row r="490" spans="1:12">
      <c r="A490" s="2">
        <v>205</v>
      </c>
      <c r="B490" s="2" t="s">
        <v>29</v>
      </c>
      <c r="C490" s="2">
        <v>216</v>
      </c>
      <c r="D490" s="2" t="s">
        <v>88</v>
      </c>
      <c r="E490" s="2">
        <v>0</v>
      </c>
      <c r="F490" s="2">
        <v>0.189</v>
      </c>
      <c r="G490" s="2">
        <v>0.22389999999999999</v>
      </c>
      <c r="H490" s="2">
        <v>0.58699999999999997</v>
      </c>
      <c r="I490" s="5">
        <f t="shared" si="28"/>
        <v>0.10342656000000003</v>
      </c>
      <c r="J490" s="5">
        <f t="shared" si="29"/>
        <v>3.4456900000000034E-3</v>
      </c>
      <c r="K490" s="5">
        <f t="shared" si="30"/>
        <v>0.14455203999999999</v>
      </c>
      <c r="L490" s="4">
        <f t="shared" si="31"/>
        <v>0.49857773284386342</v>
      </c>
    </row>
    <row r="491" spans="1:12">
      <c r="A491" s="2">
        <v>205</v>
      </c>
      <c r="B491" s="2" t="s">
        <v>29</v>
      </c>
      <c r="C491" s="2">
        <v>217</v>
      </c>
      <c r="D491" s="2" t="s">
        <v>59</v>
      </c>
      <c r="E491" s="2">
        <v>0</v>
      </c>
      <c r="F491" s="2">
        <v>0.23880000000000001</v>
      </c>
      <c r="G491" s="2">
        <v>0.12709999999999999</v>
      </c>
      <c r="H491" s="2">
        <v>0.63419999999999999</v>
      </c>
      <c r="I491" s="5">
        <f t="shared" si="28"/>
        <v>7.3875240000000023E-2</v>
      </c>
      <c r="J491" s="5">
        <f t="shared" si="29"/>
        <v>2.4180250000000007E-2</v>
      </c>
      <c r="K491" s="5">
        <f t="shared" si="30"/>
        <v>0.18267076000000002</v>
      </c>
      <c r="L491" s="4">
        <f t="shared" si="31"/>
        <v>0.47016394044950083</v>
      </c>
    </row>
    <row r="492" spans="1:12">
      <c r="A492" s="2">
        <v>205</v>
      </c>
      <c r="B492" s="2" t="s">
        <v>29</v>
      </c>
      <c r="C492" s="2">
        <v>221</v>
      </c>
      <c r="D492" s="2" t="s">
        <v>199</v>
      </c>
      <c r="E492" s="2">
        <v>0</v>
      </c>
      <c r="F492" s="2">
        <v>0.19170000000000001</v>
      </c>
      <c r="G492" s="2">
        <v>0.36859999999999998</v>
      </c>
      <c r="H492" s="2">
        <v>0.43969999999999998</v>
      </c>
      <c r="I492" s="5">
        <f t="shared" si="28"/>
        <v>0.10169721000000005</v>
      </c>
      <c r="J492" s="5">
        <f t="shared" si="29"/>
        <v>7.3959999999999937E-3</v>
      </c>
      <c r="K492" s="5">
        <f t="shared" si="30"/>
        <v>5.4242409999999984E-2</v>
      </c>
      <c r="L492" s="4">
        <f t="shared" si="31"/>
        <v>0.59585198256084437</v>
      </c>
    </row>
    <row r="493" spans="1:12">
      <c r="A493" s="2">
        <v>205</v>
      </c>
      <c r="B493" s="2" t="s">
        <v>29</v>
      </c>
      <c r="C493" s="2">
        <v>223</v>
      </c>
      <c r="D493" s="2" t="s">
        <v>112</v>
      </c>
      <c r="E493" s="2">
        <v>0</v>
      </c>
      <c r="F493" s="2">
        <v>0.29299999999999998</v>
      </c>
      <c r="G493" s="2">
        <v>0.1704</v>
      </c>
      <c r="H493" s="2">
        <v>0.53659999999999997</v>
      </c>
      <c r="I493" s="5">
        <f t="shared" si="28"/>
        <v>4.7349760000000032E-2</v>
      </c>
      <c r="J493" s="5">
        <f t="shared" si="29"/>
        <v>1.2588840000000006E-2</v>
      </c>
      <c r="K493" s="5">
        <f t="shared" si="30"/>
        <v>0.10876803999999998</v>
      </c>
      <c r="L493" s="4">
        <f t="shared" si="31"/>
        <v>0.58926086137306077</v>
      </c>
    </row>
    <row r="494" spans="1:12">
      <c r="A494" s="2">
        <v>205</v>
      </c>
      <c r="B494" s="2" t="s">
        <v>29</v>
      </c>
      <c r="C494" s="2">
        <v>224</v>
      </c>
      <c r="D494" s="2" t="s">
        <v>66</v>
      </c>
      <c r="E494" s="2">
        <v>0</v>
      </c>
      <c r="F494" s="2">
        <v>0.20549999999999999</v>
      </c>
      <c r="G494" s="2">
        <v>0.17369999999999999</v>
      </c>
      <c r="H494" s="2">
        <v>0.62080000000000002</v>
      </c>
      <c r="I494" s="5">
        <f t="shared" si="28"/>
        <v>9.3086010000000025E-2</v>
      </c>
      <c r="J494" s="5">
        <f t="shared" si="29"/>
        <v>1.1859210000000005E-2</v>
      </c>
      <c r="K494" s="5">
        <f t="shared" si="30"/>
        <v>0.17139600000000002</v>
      </c>
      <c r="L494" s="4">
        <f t="shared" si="31"/>
        <v>0.47431832826319686</v>
      </c>
    </row>
    <row r="495" spans="1:12">
      <c r="A495" s="2">
        <v>205</v>
      </c>
      <c r="B495" s="2" t="s">
        <v>29</v>
      </c>
      <c r="C495" s="2">
        <v>225</v>
      </c>
      <c r="D495" s="2" t="s">
        <v>113</v>
      </c>
      <c r="E495" s="2">
        <v>0</v>
      </c>
      <c r="F495" s="2">
        <v>0.32950000000000002</v>
      </c>
      <c r="G495" s="2">
        <v>0.1918</v>
      </c>
      <c r="H495" s="2">
        <v>0.47870000000000001</v>
      </c>
      <c r="I495" s="5">
        <f t="shared" si="28"/>
        <v>3.2797210000000014E-2</v>
      </c>
      <c r="J495" s="5">
        <f t="shared" si="29"/>
        <v>8.2446400000000027E-3</v>
      </c>
      <c r="K495" s="5">
        <f t="shared" si="30"/>
        <v>7.3929610000000021E-2</v>
      </c>
      <c r="L495" s="4">
        <f t="shared" si="31"/>
        <v>0.66092558338913265</v>
      </c>
    </row>
    <row r="496" spans="1:12">
      <c r="A496" s="3">
        <v>205</v>
      </c>
      <c r="B496" s="3" t="s">
        <v>29</v>
      </c>
      <c r="C496" s="3">
        <v>226</v>
      </c>
      <c r="D496" s="3" t="s">
        <v>38</v>
      </c>
      <c r="E496" s="3">
        <v>0</v>
      </c>
      <c r="F496" s="2">
        <v>0.01</v>
      </c>
      <c r="G496" s="2">
        <v>0.3</v>
      </c>
      <c r="H496" s="2">
        <v>0.69</v>
      </c>
      <c r="I496" s="5">
        <f t="shared" si="28"/>
        <v>0.25060036000000002</v>
      </c>
      <c r="J496" s="5">
        <f t="shared" si="29"/>
        <v>3.0275999999999898E-4</v>
      </c>
      <c r="K496" s="5">
        <f t="shared" si="30"/>
        <v>0.23348223999999995</v>
      </c>
      <c r="L496" s="4">
        <f t="shared" si="31"/>
        <v>0.30402201184232847</v>
      </c>
    </row>
    <row r="497" spans="1:12">
      <c r="A497" s="2">
        <v>205</v>
      </c>
      <c r="B497" s="2" t="s">
        <v>29</v>
      </c>
      <c r="C497" s="2">
        <v>228</v>
      </c>
      <c r="D497" s="2" t="s">
        <v>311</v>
      </c>
      <c r="E497" s="2">
        <v>0</v>
      </c>
      <c r="F497" s="2">
        <v>5.8999999999999999E-3</v>
      </c>
      <c r="G497" s="2">
        <v>0.64370000000000005</v>
      </c>
      <c r="H497" s="2">
        <v>0.35039999999999999</v>
      </c>
      <c r="I497" s="5">
        <f t="shared" si="28"/>
        <v>0.25472209000000001</v>
      </c>
      <c r="J497" s="5">
        <f t="shared" si="29"/>
        <v>0.13039321000000001</v>
      </c>
      <c r="K497" s="5">
        <f t="shared" si="30"/>
        <v>2.0620959999999994E-2</v>
      </c>
      <c r="L497" s="4">
        <f t="shared" si="31"/>
        <v>0.36302569910552895</v>
      </c>
    </row>
    <row r="498" spans="1:12">
      <c r="A498" s="2">
        <v>205</v>
      </c>
      <c r="B498" s="2" t="s">
        <v>29</v>
      </c>
      <c r="C498" s="2">
        <v>227</v>
      </c>
      <c r="D498" s="2" t="s">
        <v>230</v>
      </c>
      <c r="E498" s="2">
        <v>0</v>
      </c>
      <c r="F498" s="2">
        <v>0.44190000000000002</v>
      </c>
      <c r="G498" s="2">
        <v>0.14710000000000001</v>
      </c>
      <c r="H498" s="2">
        <v>0.41099999999999998</v>
      </c>
      <c r="I498" s="5">
        <f t="shared" si="28"/>
        <v>4.7196900000000055E-3</v>
      </c>
      <c r="J498" s="5">
        <f t="shared" si="29"/>
        <v>1.8360250000000002E-2</v>
      </c>
      <c r="K498" s="5">
        <f t="shared" si="30"/>
        <v>4.1697639999999987E-2</v>
      </c>
      <c r="L498" s="4">
        <f t="shared" si="31"/>
        <v>0.74548559962155381</v>
      </c>
    </row>
    <row r="499" spans="1:12">
      <c r="A499" s="2">
        <v>205</v>
      </c>
      <c r="B499" s="2" t="s">
        <v>29</v>
      </c>
      <c r="C499" s="2">
        <v>229</v>
      </c>
      <c r="D499" s="2" t="s">
        <v>128</v>
      </c>
      <c r="E499" s="2">
        <v>0</v>
      </c>
      <c r="F499" s="2">
        <v>0.33279999999999998</v>
      </c>
      <c r="G499" s="2">
        <v>0.1447</v>
      </c>
      <c r="H499" s="2">
        <v>0.52249999999999996</v>
      </c>
      <c r="I499" s="5">
        <f t="shared" si="28"/>
        <v>3.1612840000000024E-2</v>
      </c>
      <c r="J499" s="5">
        <f t="shared" si="29"/>
        <v>1.9016410000000008E-2</v>
      </c>
      <c r="K499" s="5">
        <f t="shared" si="30"/>
        <v>9.9666489999999983E-2</v>
      </c>
      <c r="L499" s="4">
        <f t="shared" si="31"/>
        <v>0.61232005468427952</v>
      </c>
    </row>
    <row r="500" spans="1:12">
      <c r="A500" s="2">
        <v>197</v>
      </c>
      <c r="B500" s="2" t="s">
        <v>73</v>
      </c>
      <c r="C500" s="2">
        <v>199</v>
      </c>
      <c r="D500" s="2" t="s">
        <v>96</v>
      </c>
      <c r="E500" s="2">
        <v>0</v>
      </c>
      <c r="F500" s="2">
        <v>0.222</v>
      </c>
      <c r="G500" s="2">
        <v>0.20369999999999999</v>
      </c>
      <c r="H500" s="2">
        <v>0.57420000000000004</v>
      </c>
      <c r="I500" s="5">
        <f t="shared" si="28"/>
        <v>8.3289960000000052E-2</v>
      </c>
      <c r="J500" s="5">
        <f t="shared" si="29"/>
        <v>6.2252100000000045E-3</v>
      </c>
      <c r="K500" s="5">
        <f t="shared" si="30"/>
        <v>0.13498276000000003</v>
      </c>
      <c r="L500" s="4">
        <f t="shared" si="31"/>
        <v>0.52618787478579643</v>
      </c>
    </row>
    <row r="501" spans="1:12">
      <c r="A501" s="2">
        <v>197</v>
      </c>
      <c r="B501" s="2" t="s">
        <v>73</v>
      </c>
      <c r="C501" s="2">
        <v>200</v>
      </c>
      <c r="D501" s="2" t="s">
        <v>74</v>
      </c>
      <c r="E501" s="2">
        <v>0</v>
      </c>
      <c r="F501" s="2">
        <v>0.16109999999999999</v>
      </c>
      <c r="G501" s="2">
        <v>0.2283</v>
      </c>
      <c r="H501" s="2">
        <v>0.61060000000000003</v>
      </c>
      <c r="I501" s="5">
        <f t="shared" si="28"/>
        <v>0.12215025000000003</v>
      </c>
      <c r="J501" s="5">
        <f t="shared" si="29"/>
        <v>2.9484900000000015E-3</v>
      </c>
      <c r="K501" s="5">
        <f t="shared" si="30"/>
        <v>0.16305444000000005</v>
      </c>
      <c r="L501" s="4">
        <f t="shared" si="31"/>
        <v>0.46320098733324766</v>
      </c>
    </row>
    <row r="502" spans="1:12">
      <c r="A502" s="2">
        <v>110573</v>
      </c>
      <c r="B502" s="2" t="s">
        <v>257</v>
      </c>
      <c r="C502" s="2">
        <v>110573</v>
      </c>
      <c r="D502" s="2" t="s">
        <v>257</v>
      </c>
      <c r="E502" s="2">
        <v>1</v>
      </c>
      <c r="F502" s="2">
        <v>0.48020000000000002</v>
      </c>
      <c r="G502" s="2">
        <v>0.13189999999999999</v>
      </c>
      <c r="H502" s="2">
        <v>0.38790000000000002</v>
      </c>
      <c r="I502" s="5">
        <f t="shared" si="28"/>
        <v>9.2416000000000232E-4</v>
      </c>
      <c r="J502" s="5">
        <f t="shared" si="29"/>
        <v>2.271049000000001E-2</v>
      </c>
      <c r="K502" s="5">
        <f t="shared" si="30"/>
        <v>3.2797210000000007E-2</v>
      </c>
      <c r="L502" s="4">
        <f t="shared" si="31"/>
        <v>0.76244609032895283</v>
      </c>
    </row>
    <row r="503" spans="1:12">
      <c r="A503" s="2">
        <v>110573</v>
      </c>
      <c r="B503" s="2" t="s">
        <v>257</v>
      </c>
      <c r="C503" s="2">
        <v>186124</v>
      </c>
      <c r="D503" s="2" t="s">
        <v>503</v>
      </c>
      <c r="E503" s="2">
        <v>1</v>
      </c>
      <c r="F503" s="2">
        <v>0.12089999999999999</v>
      </c>
      <c r="G503" s="2">
        <v>0.75260000000000005</v>
      </c>
      <c r="H503" s="2">
        <v>0.12659999999999999</v>
      </c>
      <c r="I503" s="5">
        <f t="shared" si="28"/>
        <v>0.15186609000000004</v>
      </c>
      <c r="J503" s="5">
        <f t="shared" si="29"/>
        <v>0.22090000000000004</v>
      </c>
      <c r="K503" s="5">
        <f t="shared" si="30"/>
        <v>6.4320400000000034E-3</v>
      </c>
      <c r="L503" s="4">
        <f t="shared" si="31"/>
        <v>0.38420934563765907</v>
      </c>
    </row>
    <row r="504" spans="1:12">
      <c r="A504" s="2">
        <v>122</v>
      </c>
      <c r="B504" s="2" t="s">
        <v>56</v>
      </c>
      <c r="C504" s="2">
        <v>132</v>
      </c>
      <c r="D504" s="2" t="s">
        <v>247</v>
      </c>
      <c r="E504" s="2">
        <v>0</v>
      </c>
      <c r="F504" s="2">
        <v>0.58720000000000006</v>
      </c>
      <c r="G504" s="2">
        <v>1.6500000000000001E-2</v>
      </c>
      <c r="H504" s="2">
        <v>0.35389999999999999</v>
      </c>
      <c r="I504" s="5">
        <f t="shared" si="28"/>
        <v>5.86756E-3</v>
      </c>
      <c r="J504" s="5">
        <f t="shared" si="29"/>
        <v>7.0809209999999997E-2</v>
      </c>
      <c r="K504" s="5">
        <f t="shared" si="30"/>
        <v>2.1638409999999993E-2</v>
      </c>
      <c r="L504" s="4">
        <f t="shared" si="31"/>
        <v>0.68644748446233128</v>
      </c>
    </row>
    <row r="505" spans="1:12">
      <c r="A505" s="2">
        <v>122</v>
      </c>
      <c r="B505" s="2" t="s">
        <v>56</v>
      </c>
      <c r="C505" s="2">
        <v>133</v>
      </c>
      <c r="D505" s="2" t="s">
        <v>204</v>
      </c>
      <c r="E505" s="2">
        <v>0</v>
      </c>
      <c r="F505" s="2">
        <v>0.28720000000000001</v>
      </c>
      <c r="G505" s="2">
        <v>0.27900000000000003</v>
      </c>
      <c r="H505" s="2">
        <v>0.43380000000000002</v>
      </c>
      <c r="I505" s="5">
        <f t="shared" si="28"/>
        <v>4.9907560000000017E-2</v>
      </c>
      <c r="J505" s="5">
        <f t="shared" si="29"/>
        <v>1.2959999999999944E-5</v>
      </c>
      <c r="K505" s="5">
        <f t="shared" si="30"/>
        <v>5.1529000000000005E-2</v>
      </c>
      <c r="L505" s="4">
        <f t="shared" si="31"/>
        <v>0.68148858733163098</v>
      </c>
    </row>
    <row r="506" spans="1:12">
      <c r="A506" s="2">
        <v>122</v>
      </c>
      <c r="B506" s="2" t="s">
        <v>56</v>
      </c>
      <c r="C506" s="2">
        <v>134</v>
      </c>
      <c r="D506" s="2" t="s">
        <v>157</v>
      </c>
      <c r="E506" s="2">
        <v>0</v>
      </c>
      <c r="F506" s="2">
        <v>0.47410000000000002</v>
      </c>
      <c r="G506" s="2">
        <v>4.7100000000000003E-2</v>
      </c>
      <c r="H506" s="2">
        <v>0.4788</v>
      </c>
      <c r="I506" s="5">
        <f t="shared" si="28"/>
        <v>1.3322500000000023E-3</v>
      </c>
      <c r="J506" s="5">
        <f t="shared" si="29"/>
        <v>5.546025000000001E-2</v>
      </c>
      <c r="K506" s="5">
        <f t="shared" si="30"/>
        <v>7.3984000000000008E-2</v>
      </c>
      <c r="L506" s="4">
        <f t="shared" si="31"/>
        <v>0.63836966388313043</v>
      </c>
    </row>
    <row r="507" spans="1:12">
      <c r="A507" s="2">
        <v>122</v>
      </c>
      <c r="B507" s="2" t="s">
        <v>56</v>
      </c>
      <c r="C507" s="2">
        <v>135</v>
      </c>
      <c r="D507" s="2" t="s">
        <v>320</v>
      </c>
      <c r="E507" s="2">
        <v>0</v>
      </c>
      <c r="F507" s="2">
        <v>0.27439999999999998</v>
      </c>
      <c r="G507" s="2">
        <v>0.45700000000000002</v>
      </c>
      <c r="H507" s="2">
        <v>0.26860000000000001</v>
      </c>
      <c r="I507" s="5">
        <f t="shared" si="28"/>
        <v>5.5790440000000038E-2</v>
      </c>
      <c r="J507" s="5">
        <f t="shared" si="29"/>
        <v>3.0415359999999999E-2</v>
      </c>
      <c r="K507" s="5">
        <f t="shared" si="30"/>
        <v>3.8192399999999994E-3</v>
      </c>
      <c r="L507" s="4">
        <f t="shared" si="31"/>
        <v>0.69995826956904805</v>
      </c>
    </row>
    <row r="508" spans="1:12">
      <c r="A508" s="2">
        <v>122</v>
      </c>
      <c r="B508" s="2" t="s">
        <v>56</v>
      </c>
      <c r="C508" s="2">
        <v>136</v>
      </c>
      <c r="D508" s="2" t="s">
        <v>190</v>
      </c>
      <c r="E508" s="2">
        <v>0</v>
      </c>
      <c r="F508" s="2">
        <v>0.33879999999999999</v>
      </c>
      <c r="G508" s="2">
        <v>0.2127</v>
      </c>
      <c r="H508" s="2">
        <v>0.44850000000000001</v>
      </c>
      <c r="I508" s="5">
        <f t="shared" si="28"/>
        <v>2.9515240000000022E-2</v>
      </c>
      <c r="J508" s="5">
        <f t="shared" si="29"/>
        <v>4.8860100000000023E-3</v>
      </c>
      <c r="K508" s="5">
        <f t="shared" si="30"/>
        <v>5.8418890000000001E-2</v>
      </c>
      <c r="L508" s="4">
        <f t="shared" si="31"/>
        <v>0.69533602116429971</v>
      </c>
    </row>
    <row r="509" spans="1:12">
      <c r="A509" s="2">
        <v>122</v>
      </c>
      <c r="B509" s="2" t="s">
        <v>56</v>
      </c>
      <c r="C509" s="2">
        <v>137</v>
      </c>
      <c r="D509" s="2" t="s">
        <v>488</v>
      </c>
      <c r="E509" s="2">
        <v>0</v>
      </c>
      <c r="F509" s="2">
        <v>0.76160000000000005</v>
      </c>
      <c r="G509" s="2">
        <v>8.5300000000000001E-2</v>
      </c>
      <c r="H509" s="2">
        <v>0.15310000000000001</v>
      </c>
      <c r="I509" s="5">
        <f t="shared" si="28"/>
        <v>6.3001000000000001E-2</v>
      </c>
      <c r="J509" s="5">
        <f t="shared" si="29"/>
        <v>3.892729000000001E-2</v>
      </c>
      <c r="K509" s="5">
        <f t="shared" si="30"/>
        <v>2.88369E-3</v>
      </c>
      <c r="L509" s="4">
        <f t="shared" si="31"/>
        <v>0.6762532162321917</v>
      </c>
    </row>
    <row r="510" spans="1:12">
      <c r="A510" s="2">
        <v>122</v>
      </c>
      <c r="B510" s="2" t="s">
        <v>56</v>
      </c>
      <c r="C510" s="2">
        <v>138</v>
      </c>
      <c r="D510" s="2" t="s">
        <v>57</v>
      </c>
      <c r="E510" s="2">
        <v>0</v>
      </c>
      <c r="F510" s="2">
        <v>0.2248</v>
      </c>
      <c r="G510" s="2">
        <v>0.1336</v>
      </c>
      <c r="H510" s="2">
        <v>0.64170000000000005</v>
      </c>
      <c r="I510" s="5">
        <f t="shared" si="28"/>
        <v>8.1681640000000028E-2</v>
      </c>
      <c r="J510" s="5">
        <f t="shared" si="29"/>
        <v>2.2201000000000005E-2</v>
      </c>
      <c r="K510" s="5">
        <f t="shared" si="30"/>
        <v>0.18913801000000005</v>
      </c>
      <c r="L510" s="4">
        <f t="shared" si="31"/>
        <v>0.4586861815914911</v>
      </c>
    </row>
    <row r="511" spans="1:12">
      <c r="A511" s="2">
        <v>122</v>
      </c>
      <c r="B511" s="2" t="s">
        <v>56</v>
      </c>
      <c r="C511" s="2">
        <v>139</v>
      </c>
      <c r="D511" s="2" t="s">
        <v>221</v>
      </c>
      <c r="E511" s="2">
        <v>0</v>
      </c>
      <c r="F511" s="2">
        <v>0.22539999999999999</v>
      </c>
      <c r="G511" s="2">
        <v>0.35370000000000001</v>
      </c>
      <c r="H511" s="2">
        <v>0.42080000000000001</v>
      </c>
      <c r="I511" s="5">
        <f t="shared" si="28"/>
        <v>8.1339040000000043E-2</v>
      </c>
      <c r="J511" s="5">
        <f t="shared" si="29"/>
        <v>5.0552099999999992E-3</v>
      </c>
      <c r="K511" s="5">
        <f t="shared" si="30"/>
        <v>4.5795999999999996E-2</v>
      </c>
      <c r="L511" s="4">
        <f t="shared" si="31"/>
        <v>0.63642022883554139</v>
      </c>
    </row>
    <row r="512" spans="1:12">
      <c r="A512" s="2">
        <v>122</v>
      </c>
      <c r="B512" s="2" t="s">
        <v>56</v>
      </c>
      <c r="C512" s="2">
        <v>140</v>
      </c>
      <c r="D512" s="2" t="s">
        <v>405</v>
      </c>
      <c r="E512" s="2">
        <v>0</v>
      </c>
      <c r="F512" s="2">
        <v>0.25359999999999999</v>
      </c>
      <c r="G512" s="2">
        <v>0.48259999999999997</v>
      </c>
      <c r="H512" s="2">
        <v>0.26379999999999998</v>
      </c>
      <c r="I512" s="5">
        <f t="shared" si="28"/>
        <v>6.6049000000000038E-2</v>
      </c>
      <c r="J512" s="5">
        <f t="shared" si="29"/>
        <v>3.999999999999998E-2</v>
      </c>
      <c r="K512" s="5">
        <f t="shared" si="30"/>
        <v>3.2489999999999962E-3</v>
      </c>
      <c r="L512" s="4">
        <f t="shared" si="31"/>
        <v>0.66939751967052641</v>
      </c>
    </row>
    <row r="513" spans="1:12">
      <c r="A513" s="2">
        <v>122</v>
      </c>
      <c r="B513" s="2" t="s">
        <v>56</v>
      </c>
      <c r="C513" s="2">
        <v>50546</v>
      </c>
      <c r="D513" s="2" t="s">
        <v>525</v>
      </c>
      <c r="E513" s="2">
        <v>0</v>
      </c>
      <c r="F513" s="2">
        <v>0.80779999999999996</v>
      </c>
      <c r="G513" s="2">
        <v>0.111</v>
      </c>
      <c r="H513" s="2">
        <v>8.1199999999999994E-2</v>
      </c>
      <c r="I513" s="5">
        <f t="shared" si="28"/>
        <v>8.8327839999999949E-2</v>
      </c>
      <c r="J513" s="5">
        <f t="shared" si="29"/>
        <v>2.9446560000000011E-2</v>
      </c>
      <c r="K513" s="5">
        <f t="shared" si="30"/>
        <v>1.5775360000000006E-2</v>
      </c>
      <c r="L513" s="4">
        <f t="shared" si="31"/>
        <v>0.6345553940745603</v>
      </c>
    </row>
    <row r="514" spans="1:12">
      <c r="A514" s="2">
        <v>122</v>
      </c>
      <c r="B514" s="2" t="s">
        <v>56</v>
      </c>
      <c r="C514" s="2">
        <v>130580</v>
      </c>
      <c r="D514" s="2" t="s">
        <v>367</v>
      </c>
      <c r="E514" s="2">
        <v>0</v>
      </c>
      <c r="F514" s="2">
        <v>0.54049999999999998</v>
      </c>
      <c r="G514" s="2">
        <v>0.16339999999999999</v>
      </c>
      <c r="H514" s="2">
        <v>0.29609999999999997</v>
      </c>
      <c r="I514" s="5">
        <f t="shared" ref="I514:I552" si="32">(F514-0.5106)^2</f>
        <v>8.9400999999999565E-4</v>
      </c>
      <c r="J514" s="5">
        <f t="shared" ref="J514:J552" si="33">(G514-0.2826)^2</f>
        <v>1.4208640000000007E-2</v>
      </c>
      <c r="K514" s="5">
        <f t="shared" ref="K514:K552" si="34">(H514-0.2068)^2</f>
        <v>7.9744899999999938E-3</v>
      </c>
      <c r="L514" s="4">
        <f t="shared" ref="L514:L552" si="35">1-(SQRT(I514+J514+K514))</f>
        <v>0.84808838095787409</v>
      </c>
    </row>
    <row r="515" spans="1:12">
      <c r="A515" s="2">
        <v>122</v>
      </c>
      <c r="B515" s="2" t="s">
        <v>56</v>
      </c>
      <c r="C515" s="2">
        <v>141</v>
      </c>
      <c r="D515" s="2" t="s">
        <v>384</v>
      </c>
      <c r="E515" s="2">
        <v>0</v>
      </c>
      <c r="F515" s="2">
        <v>0.63580000000000003</v>
      </c>
      <c r="G515" s="2">
        <v>8.3400000000000002E-2</v>
      </c>
      <c r="H515" s="2">
        <v>0.28079999999999999</v>
      </c>
      <c r="I515" s="5">
        <f t="shared" si="32"/>
        <v>1.5675039999999994E-2</v>
      </c>
      <c r="J515" s="5">
        <f t="shared" si="33"/>
        <v>3.9680640000000003E-2</v>
      </c>
      <c r="K515" s="5">
        <f t="shared" si="34"/>
        <v>5.4759999999999974E-3</v>
      </c>
      <c r="L515" s="4">
        <f t="shared" si="35"/>
        <v>0.75335920856435767</v>
      </c>
    </row>
    <row r="516" spans="1:12">
      <c r="A516" s="2">
        <v>122</v>
      </c>
      <c r="B516" s="2" t="s">
        <v>56</v>
      </c>
      <c r="C516" s="2">
        <v>5470</v>
      </c>
      <c r="D516" s="2" t="s">
        <v>88</v>
      </c>
      <c r="E516" s="2">
        <v>0</v>
      </c>
      <c r="F516" s="2">
        <v>0.43919999999999998</v>
      </c>
      <c r="G516" s="2">
        <v>0.21779999999999999</v>
      </c>
      <c r="H516" s="2">
        <v>0.34300000000000003</v>
      </c>
      <c r="I516" s="5">
        <f t="shared" si="32"/>
        <v>5.0979600000000107E-3</v>
      </c>
      <c r="J516" s="5">
        <f t="shared" si="33"/>
        <v>4.1990400000000028E-3</v>
      </c>
      <c r="K516" s="5">
        <f t="shared" si="34"/>
        <v>1.8550440000000005E-2</v>
      </c>
      <c r="L516" s="4">
        <f t="shared" si="35"/>
        <v>0.83312447752890773</v>
      </c>
    </row>
    <row r="517" spans="1:12">
      <c r="A517" s="2">
        <v>122</v>
      </c>
      <c r="B517" s="2" t="s">
        <v>56</v>
      </c>
      <c r="C517" s="2">
        <v>142</v>
      </c>
      <c r="D517" s="2" t="s">
        <v>143</v>
      </c>
      <c r="E517" s="2">
        <v>0</v>
      </c>
      <c r="F517" s="2">
        <v>0.2903</v>
      </c>
      <c r="G517" s="2">
        <v>0.21310000000000001</v>
      </c>
      <c r="H517" s="2">
        <v>0.49659999999999999</v>
      </c>
      <c r="I517" s="5">
        <f t="shared" si="32"/>
        <v>4.8532090000000021E-2</v>
      </c>
      <c r="J517" s="5">
        <f t="shared" si="33"/>
        <v>4.8302500000000012E-3</v>
      </c>
      <c r="K517" s="5">
        <f t="shared" si="34"/>
        <v>8.3984039999999968E-2</v>
      </c>
      <c r="L517" s="4">
        <f t="shared" si="35"/>
        <v>0.62939727469971296</v>
      </c>
    </row>
    <row r="518" spans="1:12">
      <c r="A518" s="2">
        <v>122</v>
      </c>
      <c r="B518" s="2" t="s">
        <v>56</v>
      </c>
      <c r="C518" s="2">
        <v>185710</v>
      </c>
      <c r="D518" s="2" t="s">
        <v>332</v>
      </c>
      <c r="E518" s="2">
        <v>0</v>
      </c>
      <c r="F518" s="2">
        <v>0.4617</v>
      </c>
      <c r="G518" s="2">
        <v>0.20710000000000001</v>
      </c>
      <c r="H518" s="2">
        <v>0.33119999999999999</v>
      </c>
      <c r="I518" s="5">
        <f t="shared" si="32"/>
        <v>2.3912100000000052E-3</v>
      </c>
      <c r="J518" s="5">
        <f t="shared" si="33"/>
        <v>5.7002500000000013E-3</v>
      </c>
      <c r="K518" s="5">
        <f t="shared" si="34"/>
        <v>1.5475359999999995E-2</v>
      </c>
      <c r="L518" s="4">
        <f t="shared" si="35"/>
        <v>0.84648511472824528</v>
      </c>
    </row>
    <row r="519" spans="1:12">
      <c r="A519" s="2">
        <v>122</v>
      </c>
      <c r="B519" s="2" t="s">
        <v>56</v>
      </c>
      <c r="C519" s="2">
        <v>65562</v>
      </c>
      <c r="D519" s="2" t="s">
        <v>296</v>
      </c>
      <c r="E519" s="2">
        <v>0</v>
      </c>
      <c r="F519" s="2">
        <v>0.9526</v>
      </c>
      <c r="G519" s="2">
        <v>1.8800000000000001E-2</v>
      </c>
      <c r="H519" s="2">
        <v>2.86E-2</v>
      </c>
      <c r="I519" s="5">
        <f t="shared" si="32"/>
        <v>0.19536399999999995</v>
      </c>
      <c r="J519" s="5">
        <f t="shared" si="33"/>
        <v>6.9590440000000017E-2</v>
      </c>
      <c r="K519" s="5">
        <f t="shared" si="34"/>
        <v>3.1755240000000011E-2</v>
      </c>
      <c r="L519" s="4">
        <f t="shared" si="35"/>
        <v>0.45528936122010621</v>
      </c>
    </row>
    <row r="520" spans="1:12">
      <c r="A520" s="2">
        <v>122</v>
      </c>
      <c r="B520" s="2" t="s">
        <v>56</v>
      </c>
      <c r="C520" s="2">
        <v>143</v>
      </c>
      <c r="D520" s="2" t="s">
        <v>470</v>
      </c>
      <c r="E520" s="2">
        <v>0</v>
      </c>
      <c r="F520" s="2">
        <v>0.10059999999999999</v>
      </c>
      <c r="G520" s="2">
        <v>0.71930000000000005</v>
      </c>
      <c r="H520" s="2">
        <v>0.18010000000000001</v>
      </c>
      <c r="I520" s="5">
        <f t="shared" si="32"/>
        <v>0.16810000000000003</v>
      </c>
      <c r="J520" s="5">
        <f t="shared" si="33"/>
        <v>0.19070689000000002</v>
      </c>
      <c r="K520" s="5">
        <f t="shared" si="34"/>
        <v>7.1289000000000009E-4</v>
      </c>
      <c r="L520" s="4">
        <f t="shared" si="35"/>
        <v>0.40040031687800226</v>
      </c>
    </row>
    <row r="521" spans="1:12">
      <c r="A521" s="2">
        <v>122</v>
      </c>
      <c r="B521" s="2" t="s">
        <v>56</v>
      </c>
      <c r="C521" s="2">
        <v>144</v>
      </c>
      <c r="D521" s="2" t="s">
        <v>264</v>
      </c>
      <c r="E521" s="2">
        <v>0</v>
      </c>
      <c r="F521" s="2">
        <v>0.20930000000000001</v>
      </c>
      <c r="G521" s="2">
        <v>0.40839999999999999</v>
      </c>
      <c r="H521" s="2">
        <v>0.38229999999999997</v>
      </c>
      <c r="I521" s="5">
        <f t="shared" si="32"/>
        <v>9.0781690000000012E-2</v>
      </c>
      <c r="J521" s="5">
        <f t="shared" si="33"/>
        <v>1.5825639999999992E-2</v>
      </c>
      <c r="K521" s="5">
        <f t="shared" si="34"/>
        <v>3.0800249999999987E-2</v>
      </c>
      <c r="L521" s="4">
        <f t="shared" si="35"/>
        <v>0.629314715695376</v>
      </c>
    </row>
    <row r="522" spans="1:12">
      <c r="A522" s="2">
        <v>122</v>
      </c>
      <c r="B522" s="2" t="s">
        <v>56</v>
      </c>
      <c r="C522" s="2">
        <v>145</v>
      </c>
      <c r="D522" s="2" t="s">
        <v>252</v>
      </c>
      <c r="E522" s="2">
        <v>0</v>
      </c>
      <c r="F522" s="2">
        <v>0.45479999999999998</v>
      </c>
      <c r="G522" s="2">
        <v>0.15240000000000001</v>
      </c>
      <c r="H522" s="2">
        <v>0.39279999999999998</v>
      </c>
      <c r="I522" s="5">
        <f t="shared" si="32"/>
        <v>3.1136400000000082E-3</v>
      </c>
      <c r="J522" s="5">
        <f t="shared" si="33"/>
        <v>1.6952040000000002E-2</v>
      </c>
      <c r="K522" s="5">
        <f t="shared" si="34"/>
        <v>3.4595999999999988E-2</v>
      </c>
      <c r="L522" s="4">
        <f t="shared" si="35"/>
        <v>0.76620162532643643</v>
      </c>
    </row>
    <row r="523" spans="1:12">
      <c r="A523" s="2">
        <v>122</v>
      </c>
      <c r="B523" s="2" t="s">
        <v>56</v>
      </c>
      <c r="C523" s="2">
        <v>185711</v>
      </c>
      <c r="D523" s="2" t="s">
        <v>450</v>
      </c>
      <c r="E523" s="2">
        <v>0</v>
      </c>
      <c r="F523" s="2">
        <v>0.66290000000000004</v>
      </c>
      <c r="G523" s="2">
        <v>0.12959999999999999</v>
      </c>
      <c r="H523" s="2">
        <v>0.20749999999999999</v>
      </c>
      <c r="I523" s="5">
        <f t="shared" si="32"/>
        <v>2.3195289999999997E-2</v>
      </c>
      <c r="J523" s="5">
        <f t="shared" si="33"/>
        <v>2.3409000000000006E-2</v>
      </c>
      <c r="K523" s="5">
        <f t="shared" si="34"/>
        <v>4.8999999999996979E-7</v>
      </c>
      <c r="L523" s="4">
        <f t="shared" si="35"/>
        <v>0.78411859737346523</v>
      </c>
    </row>
    <row r="524" spans="1:12">
      <c r="A524" s="2">
        <v>122</v>
      </c>
      <c r="B524" s="2" t="s">
        <v>56</v>
      </c>
      <c r="C524" s="2">
        <v>186005</v>
      </c>
      <c r="D524" s="2" t="s">
        <v>397</v>
      </c>
      <c r="E524" s="2">
        <v>0</v>
      </c>
      <c r="F524" s="2">
        <v>0.51039999999999996</v>
      </c>
      <c r="G524" s="2">
        <v>0.21629999999999999</v>
      </c>
      <c r="H524" s="2">
        <v>0.27329999999999999</v>
      </c>
      <c r="I524" s="5">
        <f t="shared" si="32"/>
        <v>4.0000000000035596E-8</v>
      </c>
      <c r="J524" s="5">
        <f t="shared" si="33"/>
        <v>4.3956900000000033E-3</v>
      </c>
      <c r="K524" s="5">
        <f t="shared" si="34"/>
        <v>4.4222499999999965E-3</v>
      </c>
      <c r="L524" s="4">
        <f t="shared" si="35"/>
        <v>0.90609589998301454</v>
      </c>
    </row>
    <row r="525" spans="1:12">
      <c r="A525" s="2">
        <v>122</v>
      </c>
      <c r="B525" s="2" t="s">
        <v>56</v>
      </c>
      <c r="C525" s="2">
        <v>146</v>
      </c>
      <c r="D525" s="2" t="s">
        <v>399</v>
      </c>
      <c r="E525" s="2">
        <v>0</v>
      </c>
      <c r="F525" s="2">
        <v>0.7288</v>
      </c>
      <c r="G525" s="2">
        <v>1E-3</v>
      </c>
      <c r="H525" s="2">
        <v>0.2702</v>
      </c>
      <c r="I525" s="5">
        <f t="shared" si="32"/>
        <v>4.7611239999999978E-2</v>
      </c>
      <c r="J525" s="5">
        <f t="shared" si="33"/>
        <v>7.9298560000000004E-2</v>
      </c>
      <c r="K525" s="5">
        <f t="shared" si="34"/>
        <v>4.0195599999999984E-3</v>
      </c>
      <c r="L525" s="4">
        <f t="shared" si="35"/>
        <v>0.63815837718692459</v>
      </c>
    </row>
    <row r="526" spans="1:12">
      <c r="A526" s="2">
        <v>122</v>
      </c>
      <c r="B526" s="2" t="s">
        <v>56</v>
      </c>
      <c r="C526" s="2">
        <v>147</v>
      </c>
      <c r="D526" s="2" t="s">
        <v>227</v>
      </c>
      <c r="E526" s="2">
        <v>0</v>
      </c>
      <c r="F526" s="2">
        <v>0.23619999999999999</v>
      </c>
      <c r="G526" s="2">
        <v>0.35</v>
      </c>
      <c r="H526" s="2">
        <v>0.41389999999999999</v>
      </c>
      <c r="I526" s="5">
        <f t="shared" si="32"/>
        <v>7.5295360000000047E-2</v>
      </c>
      <c r="J526" s="5">
        <f t="shared" si="33"/>
        <v>4.5427599999999946E-3</v>
      </c>
      <c r="K526" s="5">
        <f t="shared" si="34"/>
        <v>4.289040999999999E-2</v>
      </c>
      <c r="L526" s="4">
        <f t="shared" si="35"/>
        <v>0.64967368069184406</v>
      </c>
    </row>
    <row r="527" spans="1:12">
      <c r="A527" s="2">
        <v>122</v>
      </c>
      <c r="B527" s="2" t="s">
        <v>56</v>
      </c>
      <c r="C527" s="2">
        <v>148</v>
      </c>
      <c r="D527" s="2" t="s">
        <v>455</v>
      </c>
      <c r="E527" s="2">
        <v>0</v>
      </c>
      <c r="F527" s="2">
        <v>0.76919999999999999</v>
      </c>
      <c r="G527" s="2">
        <v>3.1899999999999998E-2</v>
      </c>
      <c r="H527" s="2">
        <v>0.1988</v>
      </c>
      <c r="I527" s="5">
        <f t="shared" si="32"/>
        <v>6.6873959999999968E-2</v>
      </c>
      <c r="J527" s="5">
        <f t="shared" si="33"/>
        <v>6.2850490000000023E-2</v>
      </c>
      <c r="K527" s="5">
        <f t="shared" si="34"/>
        <v>6.4000000000000119E-5</v>
      </c>
      <c r="L527" s="4">
        <f t="shared" si="35"/>
        <v>0.63973835896670872</v>
      </c>
    </row>
    <row r="528" spans="1:12">
      <c r="A528" s="2">
        <v>122</v>
      </c>
      <c r="B528" s="2" t="s">
        <v>56</v>
      </c>
      <c r="C528" s="2">
        <v>149</v>
      </c>
      <c r="D528" s="2" t="s">
        <v>176</v>
      </c>
      <c r="E528" s="2">
        <v>0</v>
      </c>
      <c r="F528" s="2">
        <v>0.36880000000000002</v>
      </c>
      <c r="G528" s="2">
        <v>0.1694</v>
      </c>
      <c r="H528" s="2">
        <v>0.46179999999999999</v>
      </c>
      <c r="I528" s="5">
        <f t="shared" si="32"/>
        <v>2.0107240000000009E-2</v>
      </c>
      <c r="J528" s="5">
        <f t="shared" si="33"/>
        <v>1.2814240000000005E-2</v>
      </c>
      <c r="K528" s="5">
        <f t="shared" si="34"/>
        <v>6.5024999999999999E-2</v>
      </c>
      <c r="L528" s="4">
        <f t="shared" si="35"/>
        <v>0.68703597650848103</v>
      </c>
    </row>
    <row r="529" spans="1:12">
      <c r="A529" s="2">
        <v>122</v>
      </c>
      <c r="B529" s="2" t="s">
        <v>56</v>
      </c>
      <c r="C529" s="2">
        <v>155</v>
      </c>
      <c r="D529" s="2" t="s">
        <v>401</v>
      </c>
      <c r="E529" s="2">
        <v>0</v>
      </c>
      <c r="F529" s="2">
        <v>0.38240000000000002</v>
      </c>
      <c r="G529" s="2">
        <v>0.3488</v>
      </c>
      <c r="H529" s="2">
        <v>0.26879999999999998</v>
      </c>
      <c r="I529" s="5">
        <f t="shared" si="32"/>
        <v>1.6435240000000011E-2</v>
      </c>
      <c r="J529" s="5">
        <f t="shared" si="33"/>
        <v>4.3824399999999979E-3</v>
      </c>
      <c r="K529" s="5">
        <f t="shared" si="34"/>
        <v>3.8439999999999963E-3</v>
      </c>
      <c r="L529" s="4">
        <f t="shared" si="35"/>
        <v>0.84295962302643312</v>
      </c>
    </row>
    <row r="530" spans="1:12">
      <c r="A530" s="2">
        <v>122</v>
      </c>
      <c r="B530" s="2" t="s">
        <v>56</v>
      </c>
      <c r="C530" s="2">
        <v>158</v>
      </c>
      <c r="D530" s="2" t="s">
        <v>47</v>
      </c>
      <c r="E530" s="2">
        <v>0</v>
      </c>
      <c r="F530" s="2">
        <v>0.66800000000000004</v>
      </c>
      <c r="G530" s="2">
        <v>0.1285</v>
      </c>
      <c r="H530" s="2">
        <v>0.2036</v>
      </c>
      <c r="I530" s="5">
        <f t="shared" si="32"/>
        <v>2.4774759999999996E-2</v>
      </c>
      <c r="J530" s="5">
        <f t="shared" si="33"/>
        <v>2.3746810000000004E-2</v>
      </c>
      <c r="K530" s="5">
        <f t="shared" si="34"/>
        <v>1.0240000000000054E-5</v>
      </c>
      <c r="L530" s="4">
        <f t="shared" si="35"/>
        <v>0.77970063549796609</v>
      </c>
    </row>
    <row r="531" spans="1:12">
      <c r="A531" s="2">
        <v>122</v>
      </c>
      <c r="B531" s="2" t="s">
        <v>56</v>
      </c>
      <c r="C531" s="2">
        <v>153</v>
      </c>
      <c r="D531" s="2" t="s">
        <v>404</v>
      </c>
      <c r="E531" s="2">
        <v>0</v>
      </c>
      <c r="F531" s="2">
        <v>0.52190000000000003</v>
      </c>
      <c r="G531" s="2">
        <v>0.2112</v>
      </c>
      <c r="H531" s="2">
        <v>0.26700000000000002</v>
      </c>
      <c r="I531" s="5">
        <f t="shared" si="32"/>
        <v>1.2768999999999948E-4</v>
      </c>
      <c r="J531" s="5">
        <f t="shared" si="33"/>
        <v>5.0979600000000029E-3</v>
      </c>
      <c r="K531" s="5">
        <f t="shared" si="34"/>
        <v>3.6240400000000002E-3</v>
      </c>
      <c r="L531" s="4">
        <f t="shared" si="35"/>
        <v>0.90592720903470547</v>
      </c>
    </row>
    <row r="532" spans="1:12">
      <c r="A532" s="2">
        <v>122</v>
      </c>
      <c r="B532" s="2" t="s">
        <v>56</v>
      </c>
      <c r="C532" s="2">
        <v>10523</v>
      </c>
      <c r="D532" s="2" t="s">
        <v>341</v>
      </c>
      <c r="E532" s="2">
        <v>0</v>
      </c>
      <c r="F532" s="2">
        <v>0.4027</v>
      </c>
      <c r="G532" s="2">
        <v>0.2828</v>
      </c>
      <c r="H532" s="2">
        <v>0.31459999999999999</v>
      </c>
      <c r="I532" s="5">
        <f t="shared" si="32"/>
        <v>1.1642410000000011E-2</v>
      </c>
      <c r="J532" s="5">
        <f t="shared" si="33"/>
        <v>3.9999999999991186E-8</v>
      </c>
      <c r="K532" s="5">
        <f t="shared" si="34"/>
        <v>1.1620839999999995E-2</v>
      </c>
      <c r="L532" s="4">
        <f t="shared" si="35"/>
        <v>0.84747691977933304</v>
      </c>
    </row>
    <row r="533" spans="1:12">
      <c r="A533" s="2">
        <v>122</v>
      </c>
      <c r="B533" s="2" t="s">
        <v>56</v>
      </c>
      <c r="C533" s="2">
        <v>186117</v>
      </c>
      <c r="D533" s="2" t="s">
        <v>339</v>
      </c>
      <c r="E533" s="2">
        <v>0</v>
      </c>
      <c r="F533" s="2">
        <v>0.53790000000000004</v>
      </c>
      <c r="G533" s="2">
        <v>0.1424</v>
      </c>
      <c r="H533" s="2">
        <v>0.3196</v>
      </c>
      <c r="I533" s="5">
        <f t="shared" si="32"/>
        <v>7.4528999999999947E-4</v>
      </c>
      <c r="J533" s="5">
        <f t="shared" si="33"/>
        <v>1.9656040000000007E-2</v>
      </c>
      <c r="K533" s="5">
        <f t="shared" si="34"/>
        <v>1.2723839999999997E-2</v>
      </c>
      <c r="L533" s="4">
        <f t="shared" si="35"/>
        <v>0.81799678574266887</v>
      </c>
    </row>
    <row r="534" spans="1:12">
      <c r="A534" s="2">
        <v>122</v>
      </c>
      <c r="B534" s="2" t="s">
        <v>56</v>
      </c>
      <c r="C534" s="2">
        <v>154</v>
      </c>
      <c r="D534" s="2" t="s">
        <v>403</v>
      </c>
      <c r="E534" s="2">
        <v>0</v>
      </c>
      <c r="F534" s="2">
        <v>0.44879999999999998</v>
      </c>
      <c r="G534" s="2">
        <v>0.28289999999999998</v>
      </c>
      <c r="H534" s="2">
        <v>0.26829999999999998</v>
      </c>
      <c r="I534" s="5">
        <f t="shared" si="32"/>
        <v>3.8192400000000093E-3</v>
      </c>
      <c r="J534" s="5">
        <f t="shared" si="33"/>
        <v>8.9999999999980173E-8</v>
      </c>
      <c r="K534" s="5">
        <f t="shared" si="34"/>
        <v>3.7822499999999966E-3</v>
      </c>
      <c r="L534" s="4">
        <f t="shared" si="35"/>
        <v>0.91281295967863108</v>
      </c>
    </row>
    <row r="535" spans="1:12">
      <c r="A535" s="2">
        <v>122</v>
      </c>
      <c r="B535" s="2" t="s">
        <v>56</v>
      </c>
      <c r="C535" s="2">
        <v>152</v>
      </c>
      <c r="D535" s="2" t="s">
        <v>410</v>
      </c>
      <c r="E535" s="2">
        <v>0</v>
      </c>
      <c r="F535" s="2">
        <v>0.37259999999999999</v>
      </c>
      <c r="G535" s="2">
        <v>0.373</v>
      </c>
      <c r="H535" s="2">
        <v>0.25430000000000003</v>
      </c>
      <c r="I535" s="5">
        <f t="shared" si="32"/>
        <v>1.9044000000000019E-2</v>
      </c>
      <c r="J535" s="5">
        <f t="shared" si="33"/>
        <v>8.172159999999996E-3</v>
      </c>
      <c r="K535" s="5">
        <f t="shared" si="34"/>
        <v>2.2562500000000013E-3</v>
      </c>
      <c r="L535" s="4">
        <f t="shared" si="35"/>
        <v>0.82832469601017156</v>
      </c>
    </row>
    <row r="536" spans="1:12">
      <c r="A536" s="2">
        <v>122</v>
      </c>
      <c r="B536" s="2" t="s">
        <v>56</v>
      </c>
      <c r="C536" s="2">
        <v>156</v>
      </c>
      <c r="D536" s="2" t="s">
        <v>316</v>
      </c>
      <c r="E536" s="2">
        <v>0</v>
      </c>
      <c r="F536" s="2">
        <v>0.30659999999999998</v>
      </c>
      <c r="G536" s="2">
        <v>0.34710000000000002</v>
      </c>
      <c r="H536" s="2">
        <v>0.34639999999999999</v>
      </c>
      <c r="I536" s="5">
        <f t="shared" si="32"/>
        <v>4.1616000000000028E-2</v>
      </c>
      <c r="J536" s="5">
        <f t="shared" si="33"/>
        <v>4.1602499999999999E-3</v>
      </c>
      <c r="K536" s="5">
        <f t="shared" si="34"/>
        <v>1.9488159999999994E-2</v>
      </c>
      <c r="L536" s="4">
        <f t="shared" si="35"/>
        <v>0.74453099992366978</v>
      </c>
    </row>
    <row r="537" spans="1:12">
      <c r="A537" s="2">
        <v>122</v>
      </c>
      <c r="B537" s="2" t="s">
        <v>56</v>
      </c>
      <c r="C537" s="2">
        <v>50547</v>
      </c>
      <c r="D537" s="2" t="s">
        <v>348</v>
      </c>
      <c r="E537" s="2">
        <v>0</v>
      </c>
      <c r="F537" s="2">
        <v>0.50290000000000001</v>
      </c>
      <c r="G537" s="2">
        <v>0.1845</v>
      </c>
      <c r="H537" s="2">
        <v>0.31259999999999999</v>
      </c>
      <c r="I537" s="5">
        <f t="shared" si="32"/>
        <v>5.929000000000062E-5</v>
      </c>
      <c r="J537" s="5">
        <f t="shared" si="33"/>
        <v>9.6236100000000047E-3</v>
      </c>
      <c r="K537" s="5">
        <f t="shared" si="34"/>
        <v>1.1193639999999996E-2</v>
      </c>
      <c r="L537" s="4">
        <f t="shared" si="35"/>
        <v>0.85551283794052846</v>
      </c>
    </row>
    <row r="538" spans="1:12">
      <c r="A538" s="2">
        <v>122</v>
      </c>
      <c r="B538" s="2" t="s">
        <v>56</v>
      </c>
      <c r="C538" s="2">
        <v>185712</v>
      </c>
      <c r="D538" s="2" t="s">
        <v>538</v>
      </c>
      <c r="E538" s="2">
        <v>0</v>
      </c>
      <c r="F538" s="2">
        <v>0.79679999999999995</v>
      </c>
      <c r="G538" s="2">
        <v>0.17219999999999999</v>
      </c>
      <c r="H538" s="2">
        <v>3.09E-2</v>
      </c>
      <c r="I538" s="5">
        <f t="shared" si="32"/>
        <v>8.1910439999999946E-2</v>
      </c>
      <c r="J538" s="5">
        <f t="shared" si="33"/>
        <v>1.2188160000000005E-2</v>
      </c>
      <c r="K538" s="5">
        <f t="shared" si="34"/>
        <v>3.0940809999999999E-2</v>
      </c>
      <c r="L538" s="4">
        <f t="shared" si="35"/>
        <v>0.64639087964250708</v>
      </c>
    </row>
    <row r="539" spans="1:12">
      <c r="A539" s="2">
        <v>122</v>
      </c>
      <c r="B539" s="2" t="s">
        <v>56</v>
      </c>
      <c r="C539" s="2">
        <v>159</v>
      </c>
      <c r="D539" s="2" t="s">
        <v>305</v>
      </c>
      <c r="E539" s="2">
        <v>0</v>
      </c>
      <c r="F539" s="2">
        <v>0.50539999999999996</v>
      </c>
      <c r="G539" s="2">
        <v>0.1416</v>
      </c>
      <c r="H539" s="2">
        <v>0.35289999999999999</v>
      </c>
      <c r="I539" s="5">
        <f t="shared" si="32"/>
        <v>2.7040000000000971E-5</v>
      </c>
      <c r="J539" s="5">
        <f t="shared" si="33"/>
        <v>1.9881000000000003E-2</v>
      </c>
      <c r="K539" s="5">
        <f t="shared" si="34"/>
        <v>2.1345209999999993E-2</v>
      </c>
      <c r="L539" s="4">
        <f t="shared" si="35"/>
        <v>0.79689103909477554</v>
      </c>
    </row>
    <row r="540" spans="1:12">
      <c r="A540" s="2">
        <v>122</v>
      </c>
      <c r="B540" s="2" t="s">
        <v>56</v>
      </c>
      <c r="C540" s="2">
        <v>186122</v>
      </c>
      <c r="D540" s="2" t="s">
        <v>342</v>
      </c>
      <c r="E540" s="2">
        <v>0</v>
      </c>
      <c r="F540" s="2">
        <v>0.4446</v>
      </c>
      <c r="G540" s="2">
        <v>0.24110000000000001</v>
      </c>
      <c r="H540" s="2">
        <v>0.31430000000000002</v>
      </c>
      <c r="I540" s="5">
        <f t="shared" si="32"/>
        <v>4.3560000000000074E-3</v>
      </c>
      <c r="J540" s="5">
        <f t="shared" si="33"/>
        <v>1.7222500000000007E-3</v>
      </c>
      <c r="K540" s="5">
        <f t="shared" si="34"/>
        <v>1.1556250000000002E-2</v>
      </c>
      <c r="L540" s="4">
        <f t="shared" si="35"/>
        <v>0.86720504527656173</v>
      </c>
    </row>
    <row r="541" spans="1:12">
      <c r="A541" s="2">
        <v>122</v>
      </c>
      <c r="B541" s="2" t="s">
        <v>56</v>
      </c>
      <c r="C541" s="2">
        <v>130581</v>
      </c>
      <c r="D541" s="2" t="s">
        <v>429</v>
      </c>
      <c r="E541" s="2">
        <v>0</v>
      </c>
      <c r="F541" s="2">
        <v>0.64929999999999999</v>
      </c>
      <c r="G541" s="2">
        <v>0.1225</v>
      </c>
      <c r="H541" s="2">
        <v>0.22819999999999999</v>
      </c>
      <c r="I541" s="5">
        <f t="shared" si="32"/>
        <v>1.9237689999999981E-2</v>
      </c>
      <c r="J541" s="5">
        <f t="shared" si="33"/>
        <v>2.5632010000000007E-2</v>
      </c>
      <c r="K541" s="5">
        <f t="shared" si="34"/>
        <v>4.579599999999989E-4</v>
      </c>
      <c r="L541" s="4">
        <f t="shared" si="35"/>
        <v>0.78709706436969928</v>
      </c>
    </row>
    <row r="542" spans="1:12">
      <c r="A542" s="2">
        <v>122</v>
      </c>
      <c r="B542" s="2" t="s">
        <v>56</v>
      </c>
      <c r="C542" s="2">
        <v>157</v>
      </c>
      <c r="D542" s="2" t="s">
        <v>315</v>
      </c>
      <c r="E542" s="2">
        <v>0</v>
      </c>
      <c r="F542" s="2">
        <v>0.22739999999999999</v>
      </c>
      <c r="G542" s="2">
        <v>0.4254</v>
      </c>
      <c r="H542" s="2">
        <v>0.34720000000000001</v>
      </c>
      <c r="I542" s="5">
        <f t="shared" si="32"/>
        <v>8.0202240000000036E-2</v>
      </c>
      <c r="J542" s="5">
        <f t="shared" si="33"/>
        <v>2.0391839999999994E-2</v>
      </c>
      <c r="K542" s="5">
        <f t="shared" si="34"/>
        <v>1.9712159999999999E-2</v>
      </c>
      <c r="L542" s="4">
        <f t="shared" si="35"/>
        <v>0.65314810076921881</v>
      </c>
    </row>
    <row r="543" spans="1:12">
      <c r="A543" s="2">
        <v>122</v>
      </c>
      <c r="B543" s="2" t="s">
        <v>56</v>
      </c>
      <c r="C543" s="2">
        <v>160</v>
      </c>
      <c r="D543" s="2" t="s">
        <v>421</v>
      </c>
      <c r="E543" s="2">
        <v>0</v>
      </c>
      <c r="F543" s="2">
        <v>0.59319999999999995</v>
      </c>
      <c r="G543" s="2">
        <v>0.1686</v>
      </c>
      <c r="H543" s="2">
        <v>0.2382</v>
      </c>
      <c r="I543" s="5">
        <f t="shared" si="32"/>
        <v>6.8227599999999824E-3</v>
      </c>
      <c r="J543" s="5">
        <f t="shared" si="33"/>
        <v>1.2996000000000004E-2</v>
      </c>
      <c r="K543" s="5">
        <f t="shared" si="34"/>
        <v>9.8595999999999905E-4</v>
      </c>
      <c r="L543" s="4">
        <f t="shared" si="35"/>
        <v>0.85576158625386933</v>
      </c>
    </row>
    <row r="544" spans="1:12">
      <c r="A544" s="2">
        <v>122</v>
      </c>
      <c r="B544" s="2" t="s">
        <v>56</v>
      </c>
      <c r="C544" s="2">
        <v>161</v>
      </c>
      <c r="D544" s="2" t="s">
        <v>454</v>
      </c>
      <c r="E544" s="2">
        <v>0</v>
      </c>
      <c r="F544" s="2">
        <v>0.1157</v>
      </c>
      <c r="G544" s="2">
        <v>0.68469999999999998</v>
      </c>
      <c r="H544" s="2">
        <v>0.1996</v>
      </c>
      <c r="I544" s="5">
        <f t="shared" si="32"/>
        <v>0.15594601000000002</v>
      </c>
      <c r="J544" s="5">
        <f t="shared" si="33"/>
        <v>0.16168440999999997</v>
      </c>
      <c r="K544" s="5">
        <f t="shared" si="34"/>
        <v>5.1840000000000175E-5</v>
      </c>
      <c r="L544" s="4">
        <f t="shared" si="35"/>
        <v>0.4363669101268095</v>
      </c>
    </row>
    <row r="545" spans="1:12">
      <c r="A545" s="2">
        <v>122</v>
      </c>
      <c r="B545" s="2" t="s">
        <v>56</v>
      </c>
      <c r="C545" s="2">
        <v>162</v>
      </c>
      <c r="D545" s="2" t="s">
        <v>412</v>
      </c>
      <c r="E545" s="2">
        <v>0</v>
      </c>
      <c r="F545" s="2">
        <v>0.66320000000000001</v>
      </c>
      <c r="G545" s="2">
        <v>8.5599999999999996E-2</v>
      </c>
      <c r="H545" s="2">
        <v>0.25119999999999998</v>
      </c>
      <c r="I545" s="5">
        <f t="shared" si="32"/>
        <v>2.3286759999999986E-2</v>
      </c>
      <c r="J545" s="5">
        <f t="shared" si="33"/>
        <v>3.8809000000000003E-2</v>
      </c>
      <c r="K545" s="5">
        <f t="shared" si="34"/>
        <v>1.9713599999999971E-3</v>
      </c>
      <c r="L545" s="4">
        <f t="shared" si="35"/>
        <v>0.74688516440161001</v>
      </c>
    </row>
    <row r="546" spans="1:12">
      <c r="A546" s="2">
        <v>122</v>
      </c>
      <c r="B546" s="2" t="s">
        <v>56</v>
      </c>
      <c r="C546" s="2">
        <v>10525</v>
      </c>
      <c r="D546" s="2" t="s">
        <v>337</v>
      </c>
      <c r="E546" s="2">
        <v>0</v>
      </c>
      <c r="F546" s="2">
        <v>0.48780000000000001</v>
      </c>
      <c r="G546" s="2">
        <v>0.19089999999999999</v>
      </c>
      <c r="H546" s="2">
        <v>0.32129999999999997</v>
      </c>
      <c r="I546" s="5">
        <f t="shared" si="32"/>
        <v>5.1984000000000199E-4</v>
      </c>
      <c r="J546" s="5">
        <f t="shared" si="33"/>
        <v>8.4088900000000057E-3</v>
      </c>
      <c r="K546" s="5">
        <f t="shared" si="34"/>
        <v>1.3110249999999992E-2</v>
      </c>
      <c r="L546" s="4">
        <f t="shared" si="35"/>
        <v>0.85154468685830076</v>
      </c>
    </row>
    <row r="547" spans="1:12">
      <c r="A547" s="2">
        <v>122</v>
      </c>
      <c r="B547" s="2" t="s">
        <v>56</v>
      </c>
      <c r="C547" s="2">
        <v>163</v>
      </c>
      <c r="D547" s="2" t="s">
        <v>441</v>
      </c>
      <c r="E547" s="2">
        <v>0</v>
      </c>
      <c r="F547" s="2">
        <v>0.1181</v>
      </c>
      <c r="G547" s="2">
        <v>0.66420000000000001</v>
      </c>
      <c r="H547" s="2">
        <v>0.2177</v>
      </c>
      <c r="I547" s="5">
        <f t="shared" si="32"/>
        <v>0.15405625000000006</v>
      </c>
      <c r="J547" s="5">
        <f t="shared" si="33"/>
        <v>0.14561856000000001</v>
      </c>
      <c r="K547" s="5">
        <f t="shared" si="34"/>
        <v>1.1880999999999985E-4</v>
      </c>
      <c r="L547" s="4">
        <f t="shared" si="35"/>
        <v>0.45246587320971476</v>
      </c>
    </row>
    <row r="548" spans="1:12">
      <c r="A548" s="2">
        <v>122</v>
      </c>
      <c r="B548" s="2" t="s">
        <v>56</v>
      </c>
      <c r="C548" s="2">
        <v>164</v>
      </c>
      <c r="D548" s="2" t="s">
        <v>144</v>
      </c>
      <c r="E548" s="2">
        <v>0</v>
      </c>
      <c r="F548" s="2">
        <v>0.3553</v>
      </c>
      <c r="G548" s="2">
        <v>0.1573</v>
      </c>
      <c r="H548" s="2">
        <v>0.4874</v>
      </c>
      <c r="I548" s="5">
        <f t="shared" si="32"/>
        <v>2.4118090000000016E-2</v>
      </c>
      <c r="J548" s="5">
        <f t="shared" si="33"/>
        <v>1.5700090000000007E-2</v>
      </c>
      <c r="K548" s="5">
        <f t="shared" si="34"/>
        <v>7.8736359999999977E-2</v>
      </c>
      <c r="L548" s="4">
        <f t="shared" si="35"/>
        <v>0.65568250117079441</v>
      </c>
    </row>
    <row r="549" spans="1:12">
      <c r="A549" s="2">
        <v>122</v>
      </c>
      <c r="B549" s="2" t="s">
        <v>56</v>
      </c>
      <c r="C549" s="2">
        <v>165</v>
      </c>
      <c r="D549" s="2" t="s">
        <v>407</v>
      </c>
      <c r="E549" s="2">
        <v>0</v>
      </c>
      <c r="F549" s="2">
        <v>0.2288</v>
      </c>
      <c r="G549" s="2">
        <v>0.51190000000000002</v>
      </c>
      <c r="H549" s="2">
        <v>0.25929999999999997</v>
      </c>
      <c r="I549" s="5">
        <f t="shared" si="32"/>
        <v>7.9411240000000022E-2</v>
      </c>
      <c r="J549" s="5">
        <f t="shared" si="33"/>
        <v>5.2578489999999999E-2</v>
      </c>
      <c r="K549" s="5">
        <f t="shared" si="34"/>
        <v>2.7562499999999961E-3</v>
      </c>
      <c r="L549" s="4">
        <f t="shared" si="35"/>
        <v>0.63292237878072699</v>
      </c>
    </row>
    <row r="550" spans="1:12">
      <c r="A550" s="2">
        <v>122</v>
      </c>
      <c r="B550" s="2" t="s">
        <v>56</v>
      </c>
      <c r="C550" s="2">
        <v>10526</v>
      </c>
      <c r="D550" s="2" t="s">
        <v>504</v>
      </c>
      <c r="E550" s="2">
        <v>0</v>
      </c>
      <c r="F550" s="2">
        <v>0.81120000000000003</v>
      </c>
      <c r="G550" s="2">
        <v>6.2399999999999997E-2</v>
      </c>
      <c r="H550" s="2">
        <v>0.12640000000000001</v>
      </c>
      <c r="I550" s="5">
        <f t="shared" si="32"/>
        <v>9.0360359999999987E-2</v>
      </c>
      <c r="J550" s="5">
        <f t="shared" si="33"/>
        <v>4.8488040000000003E-2</v>
      </c>
      <c r="K550" s="5">
        <f t="shared" si="34"/>
        <v>6.46416E-3</v>
      </c>
      <c r="L550" s="4">
        <f t="shared" si="35"/>
        <v>0.61880115425148519</v>
      </c>
    </row>
    <row r="551" spans="1:12">
      <c r="A551" s="2">
        <v>122</v>
      </c>
      <c r="B551" s="2" t="s">
        <v>56</v>
      </c>
      <c r="C551" s="2">
        <v>166</v>
      </c>
      <c r="D551" s="2" t="s">
        <v>318</v>
      </c>
      <c r="E551" s="2">
        <v>0</v>
      </c>
      <c r="F551" s="2">
        <v>0.1222</v>
      </c>
      <c r="G551" s="2">
        <v>0.53649999999999998</v>
      </c>
      <c r="H551" s="2">
        <v>0.34129999999999999</v>
      </c>
      <c r="I551" s="5">
        <f t="shared" si="32"/>
        <v>0.15085456000000005</v>
      </c>
      <c r="J551" s="5">
        <f t="shared" si="33"/>
        <v>6.4465209999999981E-2</v>
      </c>
      <c r="K551" s="5">
        <f t="shared" si="34"/>
        <v>1.8090249999999995E-2</v>
      </c>
      <c r="L551" s="4">
        <f t="shared" si="35"/>
        <v>0.5168747367400458</v>
      </c>
    </row>
    <row r="552" spans="1:12">
      <c r="A552" s="2">
        <v>122</v>
      </c>
      <c r="B552" s="2" t="s">
        <v>56</v>
      </c>
      <c r="C552" s="2">
        <v>167</v>
      </c>
      <c r="D552" s="2" t="s">
        <v>425</v>
      </c>
      <c r="E552" s="2">
        <v>0</v>
      </c>
      <c r="F552" s="2">
        <v>0.1779</v>
      </c>
      <c r="G552" s="2">
        <v>0.58840000000000003</v>
      </c>
      <c r="H552" s="2">
        <v>0.23369999999999999</v>
      </c>
      <c r="I552" s="5">
        <f t="shared" si="32"/>
        <v>0.11068929000000004</v>
      </c>
      <c r="J552" s="5">
        <f t="shared" si="33"/>
        <v>9.3513640000000009E-2</v>
      </c>
      <c r="K552" s="5">
        <f t="shared" si="34"/>
        <v>7.2360999999999888E-4</v>
      </c>
      <c r="L552" s="4">
        <f t="shared" si="35"/>
        <v>0.54731187336091969</v>
      </c>
    </row>
  </sheetData>
  <autoFilter ref="A1:L552">
    <sortState ref="A2:L552">
      <sortCondition descending="1" ref="B2:B552"/>
      <sortCondition ref="D2:D552"/>
    </sortState>
  </autoFilter>
  <sortState ref="A2:M552">
    <sortCondition descending="1" ref="L1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USOE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2011-04-29T17:18:08Z</dcterms:created>
  <dcterms:modified xsi:type="dcterms:W3CDTF">2011-05-25T17:32:48Z</dcterms:modified>
</cp:coreProperties>
</file>