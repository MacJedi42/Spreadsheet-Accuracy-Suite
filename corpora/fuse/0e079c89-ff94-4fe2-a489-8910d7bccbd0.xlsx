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7995"/>
  </bookViews>
  <sheets>
    <sheet name="K-5" sheetId="1" r:id="rId1"/>
    <sheet name="6-8" sheetId="2" r:id="rId2"/>
    <sheet name="9-12" sheetId="3" r:id="rId3"/>
  </sheets>
  <calcPr calcId="145621"/>
</workbook>
</file>

<file path=xl/calcChain.xml><?xml version="1.0" encoding="utf-8"?>
<calcChain xmlns="http://schemas.openxmlformats.org/spreadsheetml/2006/main">
  <c r="N14" i="3" l="1"/>
  <c r="N14" i="2"/>
  <c r="M18" i="2"/>
  <c r="N18" i="2" s="1"/>
  <c r="N16" i="2"/>
  <c r="M16" i="2"/>
  <c r="M14" i="2"/>
  <c r="N13" i="2"/>
  <c r="M12" i="2"/>
  <c r="N18" i="3"/>
  <c r="M18" i="3"/>
  <c r="M16" i="3"/>
  <c r="N16" i="3" s="1"/>
  <c r="M14" i="3"/>
  <c r="M12" i="3"/>
  <c r="N13" i="3" s="1"/>
  <c r="N18" i="1"/>
  <c r="N16" i="1"/>
  <c r="M18" i="1"/>
  <c r="M16" i="1"/>
  <c r="M14" i="1"/>
  <c r="M12" i="1"/>
  <c r="N13" i="1" l="1"/>
  <c r="N14" i="1" s="1"/>
</calcChain>
</file>

<file path=xl/sharedStrings.xml><?xml version="1.0" encoding="utf-8"?>
<sst xmlns="http://schemas.openxmlformats.org/spreadsheetml/2006/main" count="129" uniqueCount="20">
  <si>
    <t xml:space="preserve"> MENU - K-5</t>
  </si>
  <si>
    <t>Requirements</t>
  </si>
  <si>
    <t>Monday</t>
  </si>
  <si>
    <t>Tuesday</t>
  </si>
  <si>
    <t>Wednesday</t>
  </si>
  <si>
    <t>Thursday</t>
  </si>
  <si>
    <t>Friday</t>
  </si>
  <si>
    <t>Skim or 1 %</t>
  </si>
  <si>
    <t>Grains (1 oz eq per day) 
(7-10 oz eq per week)</t>
  </si>
  <si>
    <t>Oz Eq</t>
  </si>
  <si>
    <t>Mt/MA (NOT required) (May count as grain if at least 1 oz eq of grain already being served)</t>
  </si>
  <si>
    <t>Fruits (1/2 Cup per day) (2 1/2 cups per week)</t>
  </si>
  <si>
    <t>Cup</t>
  </si>
  <si>
    <t xml:space="preserve">Cup </t>
  </si>
  <si>
    <t>Total "Grain" Servings           (Grain servings + MMA sesrvings)</t>
  </si>
  <si>
    <t>Weekly Total
MET
Yes/No or True/False</t>
  </si>
  <si>
    <t xml:space="preserve"> MENU - 6-8</t>
  </si>
  <si>
    <t>Fluid Milk (1 Cup per day) (5 per week)</t>
  </si>
  <si>
    <t>Grains (1 oz eq per day) 
(8-10 oz eq per week)</t>
  </si>
  <si>
    <t xml:space="preserve"> MENU - 9-12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</si>
</sst>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 wrapText="1" shrinkToFit="1"/>
      <protection locked="0"/>
    </xf>
    <xf numFmtId="0" fontId="0" fillId="0" borderId="2" xfId="0" applyBorder="1" applyAlignment="1">
      <alignment horizontal="center" wrapText="1" shrinkToFit="1"/>
    </xf>
    <xf numFmtId="0" fontId="0" fillId="0" borderId="5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shrinkToFit="1"/>
      <protection locked="0"/>
    </xf>
    <xf numFmtId="0" fontId="0" fillId="0" borderId="2" xfId="0" applyFont="1" applyBorder="1" applyAlignment="1" applyProtection="1">
      <alignment horizontal="center" shrinkToFit="1"/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0" borderId="2" xfId="0" applyFont="1" applyBorder="1" applyAlignment="1" applyProtection="1">
      <alignment horizontal="center" wrapText="1"/>
      <protection locked="0"/>
    </xf>
    <xf numFmtId="0" fontId="0" fillId="0" borderId="2" xfId="0" applyBorder="1" applyAlignment="1">
      <alignment shrinkToFit="1"/>
    </xf>
    <xf numFmtId="0" fontId="0" fillId="2" borderId="5" xfId="0" applyFill="1" applyBorder="1" applyAlignment="1" applyProtection="1">
      <alignment horizontal="center" wrapText="1"/>
      <protection locked="0"/>
    </xf>
    <xf numFmtId="0" fontId="0" fillId="2" borderId="5" xfId="0" applyFill="1" applyBorder="1" applyAlignment="1">
      <alignment horizontal="center" wrapText="1"/>
    </xf>
    <xf numFmtId="0" fontId="0" fillId="3" borderId="5" xfId="0" applyFill="1" applyBorder="1" applyAlignment="1" applyProtection="1">
      <alignment horizontal="center" wrapText="1"/>
      <protection locked="0"/>
    </xf>
    <xf numFmtId="0" fontId="1" fillId="3" borderId="5" xfId="0" applyFont="1" applyFill="1" applyBorder="1" applyAlignment="1" applyProtection="1">
      <alignment horizontal="center" wrapText="1"/>
    </xf>
    <xf numFmtId="0" fontId="0" fillId="3" borderId="5" xfId="0" applyFill="1" applyBorder="1" applyAlignment="1" applyProtection="1">
      <alignment horizontal="center" wrapText="1"/>
    </xf>
    <xf numFmtId="0" fontId="0" fillId="7" borderId="1" xfId="0" applyFill="1" applyBorder="1" applyAlignment="1" applyProtection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>
      <alignment horizontal="center" wrapText="1"/>
    </xf>
    <xf numFmtId="0" fontId="0" fillId="2" borderId="15" xfId="0" applyFill="1" applyBorder="1" applyAlignment="1" applyProtection="1">
      <alignment horizontal="center" wrapText="1"/>
      <protection locked="0"/>
    </xf>
    <xf numFmtId="0" fontId="1" fillId="2" borderId="15" xfId="0" applyFont="1" applyFill="1" applyBorder="1" applyAlignment="1" applyProtection="1">
      <alignment horizontal="center" wrapText="1"/>
    </xf>
    <xf numFmtId="0" fontId="0" fillId="5" borderId="10" xfId="0" applyFill="1" applyBorder="1" applyAlignment="1" applyProtection="1">
      <alignment horizontal="center" wrapText="1"/>
      <protection locked="0"/>
    </xf>
    <xf numFmtId="0" fontId="0" fillId="5" borderId="10" xfId="0" applyFill="1" applyBorder="1" applyAlignment="1">
      <alignment horizontal="center" wrapText="1"/>
    </xf>
    <xf numFmtId="0" fontId="0" fillId="4" borderId="13" xfId="0" applyFill="1" applyBorder="1" applyAlignment="1" applyProtection="1">
      <alignment horizontal="center" wrapText="1"/>
      <protection locked="0"/>
    </xf>
    <xf numFmtId="0" fontId="0" fillId="4" borderId="18" xfId="0" applyFill="1" applyBorder="1" applyAlignment="1" applyProtection="1">
      <alignment horizontal="center" wrapText="1"/>
      <protection locked="0"/>
    </xf>
    <xf numFmtId="0" fontId="0" fillId="4" borderId="13" xfId="0" applyFill="1" applyBorder="1" applyAlignment="1">
      <alignment horizontal="center" wrapText="1"/>
    </xf>
    <xf numFmtId="0" fontId="0" fillId="4" borderId="15" xfId="0" applyFill="1" applyBorder="1" applyAlignment="1" applyProtection="1">
      <alignment horizontal="center" wrapText="1"/>
      <protection locked="0"/>
    </xf>
    <xf numFmtId="0" fontId="1" fillId="4" borderId="15" xfId="0" applyFont="1" applyFill="1" applyBorder="1" applyAlignment="1" applyProtection="1">
      <alignment horizontal="center" wrapText="1"/>
    </xf>
    <xf numFmtId="0" fontId="0" fillId="4" borderId="17" xfId="0" applyFill="1" applyBorder="1" applyAlignment="1" applyProtection="1">
      <alignment horizontal="center" wrapText="1"/>
      <protection locked="0"/>
    </xf>
    <xf numFmtId="0" fontId="0" fillId="5" borderId="15" xfId="0" applyFill="1" applyBorder="1" applyAlignment="1" applyProtection="1">
      <alignment horizontal="center" wrapText="1"/>
      <protection locked="0"/>
    </xf>
    <xf numFmtId="0" fontId="1" fillId="5" borderId="15" xfId="0" applyFont="1" applyFill="1" applyBorder="1" applyAlignment="1" applyProtection="1">
      <alignment horizontal="center" wrapText="1"/>
    </xf>
    <xf numFmtId="0" fontId="1" fillId="0" borderId="19" xfId="0" applyFont="1" applyBorder="1" applyAlignment="1" applyProtection="1">
      <alignment horizontal="center"/>
    </xf>
    <xf numFmtId="0" fontId="1" fillId="0" borderId="20" xfId="0" applyFont="1" applyBorder="1" applyAlignment="1" applyProtection="1">
      <alignment horizontal="center"/>
    </xf>
    <xf numFmtId="0" fontId="1" fillId="0" borderId="21" xfId="0" applyFont="1" applyBorder="1" applyAlignment="1" applyProtection="1">
      <alignment horizontal="center"/>
    </xf>
    <xf numFmtId="0" fontId="1" fillId="0" borderId="22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0" fillId="6" borderId="33" xfId="0" applyFill="1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" fillId="7" borderId="16" xfId="0" applyFont="1" applyFill="1" applyBorder="1" applyAlignment="1" applyProtection="1">
      <alignment horizontal="center" wrapText="1"/>
    </xf>
    <xf numFmtId="0" fontId="0" fillId="0" borderId="23" xfId="0" applyBorder="1" applyProtection="1"/>
    <xf numFmtId="0" fontId="0" fillId="0" borderId="7" xfId="0" applyBorder="1" applyProtection="1"/>
    <xf numFmtId="0" fontId="0" fillId="0" borderId="0" xfId="0" applyBorder="1" applyProtection="1"/>
    <xf numFmtId="0" fontId="0" fillId="0" borderId="25" xfId="0" applyBorder="1" applyProtection="1"/>
    <xf numFmtId="0" fontId="0" fillId="0" borderId="29" xfId="0" applyBorder="1" applyAlignment="1" applyProtection="1">
      <alignment horizontal="center" wrapText="1"/>
    </xf>
    <xf numFmtId="0" fontId="1" fillId="0" borderId="31" xfId="0" applyFont="1" applyBorder="1" applyAlignment="1" applyProtection="1">
      <alignment horizontal="center" wrapText="1"/>
    </xf>
    <xf numFmtId="0" fontId="0" fillId="2" borderId="15" xfId="0" applyFill="1" applyBorder="1" applyAlignment="1" applyProtection="1">
      <alignment horizontal="center" wrapText="1"/>
    </xf>
    <xf numFmtId="0" fontId="1" fillId="7" borderId="11" xfId="0" applyFont="1" applyFill="1" applyBorder="1" applyAlignment="1" applyProtection="1">
      <alignment horizontal="center" wrapText="1"/>
    </xf>
    <xf numFmtId="0" fontId="0" fillId="0" borderId="27" xfId="0" applyBorder="1" applyAlignment="1" applyProtection="1">
      <alignment horizontal="center" wrapText="1"/>
    </xf>
    <xf numFmtId="0" fontId="0" fillId="0" borderId="9" xfId="0" applyBorder="1" applyAlignment="1" applyProtection="1">
      <alignment horizontal="center" wrapText="1"/>
    </xf>
    <xf numFmtId="0" fontId="0" fillId="0" borderId="28" xfId="0" applyBorder="1" applyAlignment="1" applyProtection="1">
      <alignment horizontal="center" wrapText="1"/>
    </xf>
    <xf numFmtId="0" fontId="0" fillId="4" borderId="15" xfId="0" applyFill="1" applyBorder="1" applyAlignment="1" applyProtection="1">
      <alignment horizontal="center" wrapText="1"/>
    </xf>
    <xf numFmtId="0" fontId="0" fillId="5" borderId="15" xfId="0" applyFill="1" applyBorder="1" applyAlignment="1" applyProtection="1">
      <alignment horizont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wrapText="1"/>
    </xf>
    <xf numFmtId="0" fontId="1" fillId="0" borderId="2" xfId="0" applyFont="1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center" shrinkToFit="1"/>
      <protection locked="0"/>
    </xf>
    <xf numFmtId="0" fontId="1" fillId="5" borderId="26" xfId="0" applyFont="1" applyFill="1" applyBorder="1" applyAlignment="1" applyProtection="1">
      <alignment horizontal="center" wrapText="1"/>
    </xf>
    <xf numFmtId="0" fontId="1" fillId="5" borderId="12" xfId="0" applyFont="1" applyFill="1" applyBorder="1" applyAlignment="1" applyProtection="1">
      <alignment horizontal="center" wrapText="1"/>
    </xf>
    <xf numFmtId="0" fontId="1" fillId="5" borderId="30" xfId="0" applyFont="1" applyFill="1" applyBorder="1" applyAlignment="1" applyProtection="1">
      <alignment horizontal="center" wrapText="1"/>
    </xf>
    <xf numFmtId="0" fontId="1" fillId="5" borderId="14" xfId="0" applyFont="1" applyFill="1" applyBorder="1" applyAlignment="1" applyProtection="1">
      <alignment horizontal="center" wrapText="1"/>
    </xf>
    <xf numFmtId="0" fontId="1" fillId="5" borderId="26" xfId="0" applyFont="1" applyFill="1" applyBorder="1" applyAlignment="1" applyProtection="1">
      <alignment horizontal="center" vertical="top" wrapText="1"/>
    </xf>
    <xf numFmtId="0" fontId="1" fillId="5" borderId="12" xfId="0" applyFont="1" applyFill="1" applyBorder="1" applyAlignment="1" applyProtection="1">
      <alignment horizontal="center" vertical="top" wrapText="1"/>
    </xf>
    <xf numFmtId="0" fontId="1" fillId="5" borderId="30" xfId="0" applyFont="1" applyFill="1" applyBorder="1" applyAlignment="1" applyProtection="1">
      <alignment horizontal="center" vertical="top" wrapText="1"/>
    </xf>
    <xf numFmtId="0" fontId="1" fillId="5" borderId="14" xfId="0" applyFont="1" applyFill="1" applyBorder="1" applyAlignment="1" applyProtection="1">
      <alignment horizontal="center" vertical="top" wrapText="1"/>
    </xf>
    <xf numFmtId="0" fontId="1" fillId="3" borderId="26" xfId="0" applyFont="1" applyFill="1" applyBorder="1" applyAlignment="1" applyProtection="1">
      <alignment horizontal="center" vertical="top" wrapText="1"/>
    </xf>
    <xf numFmtId="0" fontId="1" fillId="3" borderId="12" xfId="0" applyFont="1" applyFill="1" applyBorder="1" applyAlignment="1" applyProtection="1">
      <alignment horizontal="center" vertical="top" wrapText="1"/>
    </xf>
    <xf numFmtId="0" fontId="1" fillId="3" borderId="24" xfId="0" applyFont="1" applyFill="1" applyBorder="1" applyAlignment="1" applyProtection="1">
      <alignment horizontal="center" vertical="top" wrapText="1"/>
    </xf>
    <xf numFmtId="0" fontId="1" fillId="3" borderId="8" xfId="0" applyFont="1" applyFill="1" applyBorder="1" applyAlignment="1" applyProtection="1">
      <alignment horizontal="center" vertical="top" wrapText="1"/>
    </xf>
    <xf numFmtId="0" fontId="1" fillId="2" borderId="24" xfId="0" applyFont="1" applyFill="1" applyBorder="1" applyAlignment="1" applyProtection="1">
      <alignment horizontal="center" vertical="top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30" xfId="0" applyFont="1" applyFill="1" applyBorder="1" applyAlignment="1" applyProtection="1">
      <alignment horizontal="center" vertical="top" wrapText="1"/>
    </xf>
    <xf numFmtId="0" fontId="1" fillId="2" borderId="14" xfId="0" applyFont="1" applyFill="1" applyBorder="1" applyAlignment="1" applyProtection="1">
      <alignment horizontal="center" vertical="top" wrapText="1"/>
    </xf>
    <xf numFmtId="0" fontId="1" fillId="4" borderId="26" xfId="0" applyFont="1" applyFill="1" applyBorder="1" applyAlignment="1" applyProtection="1">
      <alignment horizontal="center" vertical="top" wrapText="1"/>
    </xf>
    <xf numFmtId="0" fontId="1" fillId="4" borderId="12" xfId="0" applyFont="1" applyFill="1" applyBorder="1" applyAlignment="1" applyProtection="1">
      <alignment horizontal="center" vertical="top" wrapText="1"/>
    </xf>
    <xf numFmtId="0" fontId="1" fillId="4" borderId="30" xfId="0" applyFont="1" applyFill="1" applyBorder="1" applyAlignment="1" applyProtection="1">
      <alignment horizontal="center" vertical="top" wrapText="1"/>
    </xf>
    <xf numFmtId="0" fontId="1" fillId="4" borderId="14" xfId="0" applyFont="1" applyFill="1" applyBorder="1" applyAlignment="1" applyProtection="1">
      <alignment horizontal="center" vertical="top" wrapText="1"/>
    </xf>
    <xf numFmtId="0" fontId="1" fillId="4" borderId="26" xfId="0" applyFont="1" applyFill="1" applyBorder="1" applyAlignment="1" applyProtection="1">
      <alignment vertical="top" wrapText="1"/>
    </xf>
    <xf numFmtId="0" fontId="1" fillId="4" borderId="12" xfId="0" applyFont="1" applyFill="1" applyBorder="1" applyAlignment="1" applyProtection="1">
      <alignment vertical="top" wrapText="1"/>
    </xf>
    <xf numFmtId="0" fontId="1" fillId="4" borderId="30" xfId="0" applyFont="1" applyFill="1" applyBorder="1" applyAlignment="1" applyProtection="1">
      <alignment vertical="top" wrapText="1"/>
    </xf>
    <xf numFmtId="0" fontId="1" fillId="4" borderId="14" xfId="0" applyFont="1" applyFill="1" applyBorder="1" applyAlignment="1" applyProtection="1">
      <alignment vertical="top" wrapText="1"/>
    </xf>
    <xf numFmtId="0" fontId="1" fillId="4" borderId="32" xfId="0" applyFont="1" applyFill="1" applyBorder="1" applyAlignment="1" applyProtection="1">
      <alignment horizontal="center" vertical="top" wrapText="1"/>
    </xf>
    <xf numFmtId="0" fontId="1" fillId="4" borderId="13" xfId="0" applyFont="1" applyFill="1" applyBorder="1" applyAlignment="1" applyProtection="1">
      <alignment horizontal="center" vertical="top" wrapText="1"/>
    </xf>
    <xf numFmtId="0" fontId="1" fillId="4" borderId="34" xfId="0" applyFont="1" applyFill="1" applyBorder="1" applyAlignment="1" applyProtection="1">
      <alignment horizontal="center" vertical="top" wrapText="1"/>
    </xf>
    <xf numFmtId="0" fontId="1" fillId="4" borderId="15" xfId="0" applyFont="1" applyFill="1" applyBorder="1" applyAlignment="1" applyProtection="1">
      <alignment horizontal="center" vertical="top" wrapText="1"/>
    </xf>
    <xf numFmtId="0" fontId="1" fillId="5" borderId="24" xfId="0" applyFont="1" applyFill="1" applyBorder="1" applyAlignment="1" applyProtection="1">
      <alignment horizontal="center" vertical="top" wrapText="1"/>
    </xf>
    <xf numFmtId="0" fontId="1" fillId="5" borderId="8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C14" sqref="C14"/>
    </sheetView>
  </sheetViews>
  <sheetFormatPr defaultRowHeight="15" x14ac:dyDescent="0.25"/>
  <cols>
    <col min="2" max="2" width="12.7109375" customWidth="1"/>
    <col min="4" max="4" width="9" customWidth="1"/>
    <col min="13" max="15" width="8.7109375" customWidth="1"/>
  </cols>
  <sheetData>
    <row r="1" spans="1:15" ht="15.75" thickTop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 x14ac:dyDescent="0.25">
      <c r="A2" s="38" t="s">
        <v>1</v>
      </c>
      <c r="B2" s="57"/>
      <c r="C2" s="61" t="s">
        <v>2</v>
      </c>
      <c r="D2" s="62"/>
      <c r="E2" s="3" t="s">
        <v>3</v>
      </c>
      <c r="F2" s="3"/>
      <c r="G2" s="3" t="s">
        <v>4</v>
      </c>
      <c r="H2" s="3"/>
      <c r="I2" s="3" t="s">
        <v>5</v>
      </c>
      <c r="J2" s="3"/>
      <c r="K2" s="3" t="s">
        <v>6</v>
      </c>
      <c r="L2" s="3"/>
      <c r="M2" s="1" t="s">
        <v>15</v>
      </c>
      <c r="N2" s="2"/>
      <c r="O2" s="44"/>
    </row>
    <row r="3" spans="1:15" x14ac:dyDescent="0.25">
      <c r="A3" s="39"/>
      <c r="B3" s="58"/>
      <c r="C3" s="4"/>
      <c r="D3" s="5"/>
      <c r="E3" s="6"/>
      <c r="F3" s="6"/>
      <c r="G3" s="6"/>
      <c r="H3" s="6"/>
      <c r="I3" s="6"/>
      <c r="J3" s="6"/>
      <c r="K3" s="6"/>
      <c r="L3" s="6"/>
      <c r="M3" s="45"/>
      <c r="N3" s="46"/>
      <c r="O3" s="47"/>
    </row>
    <row r="4" spans="1:15" x14ac:dyDescent="0.25">
      <c r="A4" s="39"/>
      <c r="B4" s="58"/>
      <c r="C4" s="7"/>
      <c r="D4" s="8"/>
      <c r="E4" s="6"/>
      <c r="F4" s="6"/>
      <c r="G4" s="6"/>
      <c r="H4" s="6"/>
      <c r="I4" s="6"/>
      <c r="J4" s="6"/>
      <c r="K4" s="6"/>
      <c r="L4" s="6"/>
      <c r="M4" s="45"/>
      <c r="N4" s="46"/>
      <c r="O4" s="47"/>
    </row>
    <row r="5" spans="1:15" x14ac:dyDescent="0.25">
      <c r="A5" s="39"/>
      <c r="B5" s="58"/>
      <c r="C5" s="7"/>
      <c r="D5" s="8"/>
      <c r="E5" s="6"/>
      <c r="F5" s="6"/>
      <c r="G5" s="6"/>
      <c r="H5" s="6"/>
      <c r="I5" s="9"/>
      <c r="J5" s="10"/>
      <c r="K5" s="6"/>
      <c r="L5" s="6"/>
      <c r="M5" s="45"/>
      <c r="N5" s="46"/>
      <c r="O5" s="47"/>
    </row>
    <row r="6" spans="1:15" x14ac:dyDescent="0.25">
      <c r="A6" s="39"/>
      <c r="B6" s="58"/>
      <c r="C6" s="7"/>
      <c r="D6" s="8"/>
      <c r="E6" s="6"/>
      <c r="F6" s="6"/>
      <c r="G6" s="6"/>
      <c r="H6" s="6"/>
      <c r="I6" s="6"/>
      <c r="J6" s="6"/>
      <c r="K6" s="6"/>
      <c r="L6" s="6"/>
      <c r="M6" s="45"/>
      <c r="N6" s="46"/>
      <c r="O6" s="47"/>
    </row>
    <row r="7" spans="1:15" x14ac:dyDescent="0.25">
      <c r="A7" s="39"/>
      <c r="B7" s="58"/>
      <c r="C7" s="7"/>
      <c r="D7" s="11"/>
      <c r="E7" s="9"/>
      <c r="F7" s="10"/>
      <c r="G7" s="9"/>
      <c r="H7" s="10"/>
      <c r="I7" s="9"/>
      <c r="J7" s="10"/>
      <c r="K7" s="9"/>
      <c r="L7" s="10"/>
      <c r="M7" s="45"/>
      <c r="N7" s="46"/>
      <c r="O7" s="47"/>
    </row>
    <row r="8" spans="1:15" x14ac:dyDescent="0.25">
      <c r="A8" s="39"/>
      <c r="B8" s="58"/>
      <c r="C8" s="7"/>
      <c r="D8" s="8"/>
      <c r="E8" s="6"/>
      <c r="F8" s="6"/>
      <c r="G8" s="6"/>
      <c r="H8" s="6"/>
      <c r="I8" s="6"/>
      <c r="J8" s="6"/>
      <c r="K8" s="6"/>
      <c r="L8" s="6"/>
      <c r="M8" s="45"/>
      <c r="N8" s="46"/>
      <c r="O8" s="47"/>
    </row>
    <row r="9" spans="1:15" x14ac:dyDescent="0.25">
      <c r="A9" s="39"/>
      <c r="B9" s="58"/>
      <c r="C9" s="63" t="s">
        <v>7</v>
      </c>
      <c r="D9" s="8"/>
      <c r="E9" s="6" t="s">
        <v>7</v>
      </c>
      <c r="F9" s="6"/>
      <c r="G9" s="6" t="s">
        <v>7</v>
      </c>
      <c r="H9" s="6"/>
      <c r="I9" s="6" t="s">
        <v>7</v>
      </c>
      <c r="J9" s="6"/>
      <c r="K9" s="6" t="s">
        <v>7</v>
      </c>
      <c r="L9" s="6"/>
      <c r="M9" s="45"/>
      <c r="N9" s="46"/>
      <c r="O9" s="47"/>
    </row>
    <row r="10" spans="1:15" ht="15.75" thickBot="1" x14ac:dyDescent="0.3">
      <c r="A10" s="59"/>
      <c r="B10" s="60"/>
      <c r="C10" s="18"/>
      <c r="D10" s="19"/>
      <c r="E10" s="19"/>
      <c r="F10" s="19"/>
      <c r="G10" s="19"/>
      <c r="H10" s="19"/>
      <c r="I10" s="19"/>
      <c r="J10" s="19"/>
      <c r="K10" s="19"/>
      <c r="L10" s="20"/>
      <c r="M10" s="45"/>
      <c r="N10" s="46"/>
      <c r="O10" s="47"/>
    </row>
    <row r="11" spans="1:15" ht="29.25" customHeight="1" thickTop="1" x14ac:dyDescent="0.25">
      <c r="A11" s="72" t="s">
        <v>8</v>
      </c>
      <c r="B11" s="73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51" t="s">
        <v>14</v>
      </c>
      <c r="O11" s="52"/>
    </row>
    <row r="12" spans="1:15" ht="30" customHeight="1" x14ac:dyDescent="0.25">
      <c r="A12" s="74"/>
      <c r="B12" s="75"/>
      <c r="C12" s="14"/>
      <c r="D12" s="15" t="s">
        <v>9</v>
      </c>
      <c r="E12" s="14"/>
      <c r="F12" s="15" t="s">
        <v>9</v>
      </c>
      <c r="G12" s="14"/>
      <c r="H12" s="15" t="s">
        <v>9</v>
      </c>
      <c r="I12" s="14"/>
      <c r="J12" s="15" t="s">
        <v>9</v>
      </c>
      <c r="K12" s="14"/>
      <c r="L12" s="15" t="s">
        <v>9</v>
      </c>
      <c r="M12" s="16">
        <f>C12+E12+G12+I12+K12</f>
        <v>0</v>
      </c>
      <c r="N12" s="53"/>
      <c r="O12" s="54"/>
    </row>
    <row r="13" spans="1:15" ht="29.25" customHeight="1" x14ac:dyDescent="0.25">
      <c r="A13" s="76" t="s">
        <v>10</v>
      </c>
      <c r="B13" s="7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  <c r="N13" s="17">
        <f>(M12+M14)</f>
        <v>0</v>
      </c>
      <c r="O13" s="48"/>
    </row>
    <row r="14" spans="1:15" ht="30.75" customHeight="1" thickBot="1" x14ac:dyDescent="0.3">
      <c r="A14" s="78"/>
      <c r="B14" s="79"/>
      <c r="C14" s="23"/>
      <c r="D14" s="24" t="s">
        <v>9</v>
      </c>
      <c r="E14" s="23"/>
      <c r="F14" s="24" t="s">
        <v>9</v>
      </c>
      <c r="G14" s="23"/>
      <c r="H14" s="24" t="s">
        <v>9</v>
      </c>
      <c r="I14" s="23"/>
      <c r="J14" s="24" t="s">
        <v>9</v>
      </c>
      <c r="K14" s="23"/>
      <c r="L14" s="24" t="s">
        <v>9</v>
      </c>
      <c r="M14" s="50">
        <f>C14+E14+G14+I14+K14</f>
        <v>0</v>
      </c>
      <c r="N14" s="43" t="b">
        <f>AND(N13&gt;=7,N13&lt;=10)</f>
        <v>0</v>
      </c>
      <c r="O14" s="49"/>
    </row>
    <row r="15" spans="1:15" ht="15.75" thickTop="1" x14ac:dyDescent="0.25">
      <c r="A15" s="84" t="s">
        <v>11</v>
      </c>
      <c r="B15" s="85"/>
      <c r="C15" s="27"/>
      <c r="D15" s="27"/>
      <c r="E15" s="28"/>
      <c r="F15" s="27"/>
      <c r="G15" s="27"/>
      <c r="H15" s="27"/>
      <c r="I15" s="27"/>
      <c r="J15" s="27"/>
      <c r="K15" s="27"/>
      <c r="L15" s="27"/>
      <c r="M15" s="29"/>
      <c r="N15" s="29"/>
      <c r="O15" s="40"/>
    </row>
    <row r="16" spans="1:15" ht="15.75" thickBot="1" x14ac:dyDescent="0.3">
      <c r="A16" s="86"/>
      <c r="B16" s="87"/>
      <c r="C16" s="30"/>
      <c r="D16" s="31" t="s">
        <v>12</v>
      </c>
      <c r="E16" s="32"/>
      <c r="F16" s="31" t="s">
        <v>12</v>
      </c>
      <c r="G16" s="30"/>
      <c r="H16" s="31" t="s">
        <v>12</v>
      </c>
      <c r="I16" s="30"/>
      <c r="J16" s="31" t="s">
        <v>12</v>
      </c>
      <c r="K16" s="30"/>
      <c r="L16" s="31" t="s">
        <v>12</v>
      </c>
      <c r="M16" s="55">
        <f>C16+E16+G16+I16+K16</f>
        <v>0</v>
      </c>
      <c r="N16" s="31" t="str">
        <f>IF(M16 &gt;= 2.5,"Yes","No")</f>
        <v>No</v>
      </c>
      <c r="O16" s="41"/>
    </row>
    <row r="17" spans="1:15" ht="15.75" customHeight="1" thickTop="1" x14ac:dyDescent="0.25">
      <c r="A17" s="64" t="s">
        <v>17</v>
      </c>
      <c r="B17" s="65"/>
      <c r="C17" s="25" t="s">
        <v>7</v>
      </c>
      <c r="D17" s="25"/>
      <c r="E17" s="25" t="s">
        <v>7</v>
      </c>
      <c r="F17" s="25"/>
      <c r="G17" s="25" t="s">
        <v>7</v>
      </c>
      <c r="H17" s="25"/>
      <c r="I17" s="25" t="s">
        <v>7</v>
      </c>
      <c r="J17" s="25"/>
      <c r="K17" s="25" t="s">
        <v>7</v>
      </c>
      <c r="L17" s="25"/>
      <c r="M17" s="26"/>
      <c r="N17" s="26"/>
      <c r="O17" s="41"/>
    </row>
    <row r="18" spans="1:15" ht="15.75" customHeight="1" thickBot="1" x14ac:dyDescent="0.3">
      <c r="A18" s="66"/>
      <c r="B18" s="67"/>
      <c r="C18" s="33">
        <v>1</v>
      </c>
      <c r="D18" s="34" t="s">
        <v>12</v>
      </c>
      <c r="E18" s="33">
        <v>1</v>
      </c>
      <c r="F18" s="34" t="s">
        <v>12</v>
      </c>
      <c r="G18" s="33">
        <v>1</v>
      </c>
      <c r="H18" s="34" t="s">
        <v>13</v>
      </c>
      <c r="I18" s="33">
        <v>1</v>
      </c>
      <c r="J18" s="34" t="s">
        <v>12</v>
      </c>
      <c r="K18" s="33">
        <v>1</v>
      </c>
      <c r="L18" s="34" t="s">
        <v>12</v>
      </c>
      <c r="M18" s="56">
        <f>C18+E18+G18+I18+K18</f>
        <v>5</v>
      </c>
      <c r="N18" s="34" t="str">
        <f>IF(M18 &gt;= 5,"Yes","No")</f>
        <v>Yes</v>
      </c>
      <c r="O18" s="42"/>
    </row>
    <row r="19" spans="1:15" ht="15.75" thickTop="1" x14ac:dyDescent="0.25"/>
  </sheetData>
  <sheetProtection sheet="1" objects="1" scenarios="1" selectLockedCells="1"/>
  <mergeCells count="71">
    <mergeCell ref="N11:O12"/>
    <mergeCell ref="N13:O13"/>
    <mergeCell ref="N14:O14"/>
    <mergeCell ref="C17:D17"/>
    <mergeCell ref="A17:B18"/>
    <mergeCell ref="C15:D15"/>
    <mergeCell ref="E15:F15"/>
    <mergeCell ref="G15:H15"/>
    <mergeCell ref="A15:B16"/>
    <mergeCell ref="K17:L17"/>
    <mergeCell ref="I17:J17"/>
    <mergeCell ref="G17:H17"/>
    <mergeCell ref="E17:F17"/>
    <mergeCell ref="K15:L15"/>
    <mergeCell ref="I15:J15"/>
    <mergeCell ref="A13:B14"/>
    <mergeCell ref="C13:D13"/>
    <mergeCell ref="E13:F13"/>
    <mergeCell ref="G13:H13"/>
    <mergeCell ref="I13:J13"/>
    <mergeCell ref="K13:L13"/>
    <mergeCell ref="A11:B12"/>
    <mergeCell ref="C11:D11"/>
    <mergeCell ref="E11:F11"/>
    <mergeCell ref="G11:H11"/>
    <mergeCell ref="I11:J11"/>
    <mergeCell ref="K11:L11"/>
    <mergeCell ref="C9:D9"/>
    <mergeCell ref="E9:F9"/>
    <mergeCell ref="G9:H9"/>
    <mergeCell ref="I9:J9"/>
    <mergeCell ref="K9:L9"/>
    <mergeCell ref="C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G3:H3"/>
    <mergeCell ref="I3:J3"/>
    <mergeCell ref="K3:L3"/>
    <mergeCell ref="C4:D4"/>
    <mergeCell ref="E4:F4"/>
    <mergeCell ref="G4:H4"/>
    <mergeCell ref="I4:J4"/>
    <mergeCell ref="K4:L4"/>
    <mergeCell ref="A1:O1"/>
    <mergeCell ref="A2:B10"/>
    <mergeCell ref="C2:D2"/>
    <mergeCell ref="E2:F2"/>
    <mergeCell ref="G2:H2"/>
    <mergeCell ref="I2:J2"/>
    <mergeCell ref="K2:L2"/>
    <mergeCell ref="M2:O10"/>
    <mergeCell ref="C3:D3"/>
    <mergeCell ref="E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J20" sqref="J20"/>
    </sheetView>
  </sheetViews>
  <sheetFormatPr defaultRowHeight="15" x14ac:dyDescent="0.25"/>
  <cols>
    <col min="2" max="2" width="12.7109375" customWidth="1"/>
    <col min="13" max="15" width="8.7109375" customWidth="1"/>
  </cols>
  <sheetData>
    <row r="1" spans="1:15" ht="16.5" customHeight="1" thickTop="1" x14ac:dyDescent="0.25">
      <c r="A1" s="35" t="s">
        <v>16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 ht="15" customHeight="1" x14ac:dyDescent="0.25">
      <c r="A2" s="38" t="s">
        <v>1</v>
      </c>
      <c r="B2" s="57"/>
      <c r="C2" s="61" t="s">
        <v>2</v>
      </c>
      <c r="D2" s="62"/>
      <c r="E2" s="3" t="s">
        <v>3</v>
      </c>
      <c r="F2" s="3"/>
      <c r="G2" s="3" t="s">
        <v>4</v>
      </c>
      <c r="H2" s="3"/>
      <c r="I2" s="3" t="s">
        <v>5</v>
      </c>
      <c r="J2" s="3"/>
      <c r="K2" s="3" t="s">
        <v>6</v>
      </c>
      <c r="L2" s="3"/>
      <c r="M2" s="1" t="s">
        <v>15</v>
      </c>
      <c r="N2" s="2"/>
      <c r="O2" s="44"/>
    </row>
    <row r="3" spans="1:15" ht="16.5" customHeight="1" x14ac:dyDescent="0.25">
      <c r="A3" s="39"/>
      <c r="B3" s="58"/>
      <c r="C3" s="4"/>
      <c r="D3" s="5"/>
      <c r="E3" s="6"/>
      <c r="F3" s="6"/>
      <c r="G3" s="6"/>
      <c r="H3" s="6"/>
      <c r="I3" s="6"/>
      <c r="J3" s="6"/>
      <c r="K3" s="6"/>
      <c r="L3" s="6"/>
      <c r="M3" s="45"/>
      <c r="N3" s="46"/>
      <c r="O3" s="47"/>
    </row>
    <row r="4" spans="1:15" x14ac:dyDescent="0.25">
      <c r="A4" s="39"/>
      <c r="B4" s="58"/>
      <c r="C4" s="7"/>
      <c r="D4" s="8"/>
      <c r="E4" s="6"/>
      <c r="F4" s="6"/>
      <c r="G4" s="6"/>
      <c r="H4" s="6"/>
      <c r="I4" s="6"/>
      <c r="J4" s="6"/>
      <c r="K4" s="6"/>
      <c r="L4" s="6"/>
      <c r="M4" s="45"/>
      <c r="N4" s="46"/>
      <c r="O4" s="47"/>
    </row>
    <row r="5" spans="1:15" ht="16.5" customHeight="1" x14ac:dyDescent="0.25">
      <c r="A5" s="39"/>
      <c r="B5" s="58"/>
      <c r="C5" s="7"/>
      <c r="D5" s="8"/>
      <c r="E5" s="6"/>
      <c r="F5" s="6"/>
      <c r="G5" s="6"/>
      <c r="H5" s="6"/>
      <c r="I5" s="9"/>
      <c r="J5" s="10"/>
      <c r="K5" s="6"/>
      <c r="L5" s="6"/>
      <c r="M5" s="45"/>
      <c r="N5" s="46"/>
      <c r="O5" s="47"/>
    </row>
    <row r="6" spans="1:15" x14ac:dyDescent="0.25">
      <c r="A6" s="39"/>
      <c r="B6" s="58"/>
      <c r="C6" s="7"/>
      <c r="D6" s="8"/>
      <c r="E6" s="6"/>
      <c r="F6" s="6"/>
      <c r="G6" s="6"/>
      <c r="H6" s="6"/>
      <c r="I6" s="6"/>
      <c r="J6" s="6"/>
      <c r="K6" s="6"/>
      <c r="L6" s="6"/>
      <c r="M6" s="45"/>
      <c r="N6" s="46"/>
      <c r="O6" s="47"/>
    </row>
    <row r="7" spans="1:15" ht="16.5" customHeight="1" x14ac:dyDescent="0.25">
      <c r="A7" s="39"/>
      <c r="B7" s="58"/>
      <c r="C7" s="7"/>
      <c r="D7" s="11"/>
      <c r="E7" s="9"/>
      <c r="F7" s="10"/>
      <c r="G7" s="9"/>
      <c r="H7" s="10"/>
      <c r="I7" s="9"/>
      <c r="J7" s="10"/>
      <c r="K7" s="9"/>
      <c r="L7" s="10"/>
      <c r="M7" s="45"/>
      <c r="N7" s="46"/>
      <c r="O7" s="47"/>
    </row>
    <row r="8" spans="1:15" x14ac:dyDescent="0.25">
      <c r="A8" s="39"/>
      <c r="B8" s="58"/>
      <c r="C8" s="7"/>
      <c r="D8" s="8"/>
      <c r="E8" s="6"/>
      <c r="F8" s="6"/>
      <c r="G8" s="6"/>
      <c r="H8" s="6"/>
      <c r="I8" s="6"/>
      <c r="J8" s="6"/>
      <c r="K8" s="6"/>
      <c r="L8" s="6"/>
      <c r="M8" s="45"/>
      <c r="N8" s="46"/>
      <c r="O8" s="47"/>
    </row>
    <row r="9" spans="1:15" ht="15" customHeight="1" x14ac:dyDescent="0.25">
      <c r="A9" s="39"/>
      <c r="B9" s="58"/>
      <c r="C9" s="63" t="s">
        <v>7</v>
      </c>
      <c r="D9" s="8"/>
      <c r="E9" s="6" t="s">
        <v>7</v>
      </c>
      <c r="F9" s="6"/>
      <c r="G9" s="6" t="s">
        <v>7</v>
      </c>
      <c r="H9" s="6"/>
      <c r="I9" s="6" t="s">
        <v>7</v>
      </c>
      <c r="J9" s="6"/>
      <c r="K9" s="6" t="s">
        <v>7</v>
      </c>
      <c r="L9" s="6"/>
      <c r="M9" s="45"/>
      <c r="N9" s="46"/>
      <c r="O9" s="47"/>
    </row>
    <row r="10" spans="1:15" ht="15.75" thickBot="1" x14ac:dyDescent="0.3">
      <c r="A10" s="59"/>
      <c r="B10" s="60"/>
      <c r="C10" s="18"/>
      <c r="D10" s="19"/>
      <c r="E10" s="19"/>
      <c r="F10" s="19"/>
      <c r="G10" s="19"/>
      <c r="H10" s="19"/>
      <c r="I10" s="19"/>
      <c r="J10" s="19"/>
      <c r="K10" s="19"/>
      <c r="L10" s="20"/>
      <c r="M10" s="45"/>
      <c r="N10" s="46"/>
      <c r="O10" s="47"/>
    </row>
    <row r="11" spans="1:15" ht="30" customHeight="1" thickTop="1" x14ac:dyDescent="0.25">
      <c r="A11" s="72" t="s">
        <v>18</v>
      </c>
      <c r="B11" s="73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51" t="s">
        <v>14</v>
      </c>
      <c r="O11" s="52"/>
    </row>
    <row r="12" spans="1:15" ht="29.25" customHeight="1" x14ac:dyDescent="0.25">
      <c r="A12" s="74"/>
      <c r="B12" s="75"/>
      <c r="C12" s="14"/>
      <c r="D12" s="15" t="s">
        <v>9</v>
      </c>
      <c r="E12" s="14"/>
      <c r="F12" s="15" t="s">
        <v>9</v>
      </c>
      <c r="G12" s="14"/>
      <c r="H12" s="15" t="s">
        <v>9</v>
      </c>
      <c r="I12" s="14"/>
      <c r="J12" s="15" t="s">
        <v>9</v>
      </c>
      <c r="K12" s="14"/>
      <c r="L12" s="15" t="s">
        <v>9</v>
      </c>
      <c r="M12" s="16">
        <f>C12+E12+G12+I12+K12</f>
        <v>0</v>
      </c>
      <c r="N12" s="53"/>
      <c r="O12" s="54"/>
    </row>
    <row r="13" spans="1:15" ht="30.75" customHeight="1" x14ac:dyDescent="0.25">
      <c r="A13" s="76" t="s">
        <v>10</v>
      </c>
      <c r="B13" s="7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  <c r="N13" s="17">
        <f>(M12+M14)</f>
        <v>0</v>
      </c>
      <c r="O13" s="48"/>
    </row>
    <row r="14" spans="1:15" ht="32.25" customHeight="1" thickBot="1" x14ac:dyDescent="0.3">
      <c r="A14" s="78"/>
      <c r="B14" s="79"/>
      <c r="C14" s="23"/>
      <c r="D14" s="24" t="s">
        <v>9</v>
      </c>
      <c r="E14" s="23"/>
      <c r="F14" s="24" t="s">
        <v>9</v>
      </c>
      <c r="G14" s="23"/>
      <c r="H14" s="24" t="s">
        <v>9</v>
      </c>
      <c r="I14" s="23"/>
      <c r="J14" s="24" t="s">
        <v>9</v>
      </c>
      <c r="K14" s="23"/>
      <c r="L14" s="24" t="s">
        <v>9</v>
      </c>
      <c r="M14" s="50">
        <f>C14+E14+G14+I14+K14</f>
        <v>0</v>
      </c>
      <c r="N14" s="43" t="b">
        <f>AND(N13&gt;=8,N13&lt;=10)</f>
        <v>0</v>
      </c>
      <c r="O14" s="49"/>
    </row>
    <row r="15" spans="1:15" ht="15.75" customHeight="1" thickTop="1" x14ac:dyDescent="0.25">
      <c r="A15" s="80" t="s">
        <v>11</v>
      </c>
      <c r="B15" s="81"/>
      <c r="C15" s="27"/>
      <c r="D15" s="27"/>
      <c r="E15" s="28"/>
      <c r="F15" s="27"/>
      <c r="G15" s="27"/>
      <c r="H15" s="27"/>
      <c r="I15" s="27"/>
      <c r="J15" s="27"/>
      <c r="K15" s="27"/>
      <c r="L15" s="27"/>
      <c r="M15" s="29"/>
      <c r="N15" s="29"/>
      <c r="O15" s="40"/>
    </row>
    <row r="16" spans="1:15" ht="15.75" thickBot="1" x14ac:dyDescent="0.3">
      <c r="A16" s="82"/>
      <c r="B16" s="83"/>
      <c r="C16" s="30"/>
      <c r="D16" s="31" t="s">
        <v>12</v>
      </c>
      <c r="E16" s="32"/>
      <c r="F16" s="31" t="s">
        <v>12</v>
      </c>
      <c r="G16" s="30"/>
      <c r="H16" s="31" t="s">
        <v>12</v>
      </c>
      <c r="I16" s="30"/>
      <c r="J16" s="31" t="s">
        <v>12</v>
      </c>
      <c r="K16" s="30"/>
      <c r="L16" s="31" t="s">
        <v>12</v>
      </c>
      <c r="M16" s="55">
        <f>C16+E16+G16+I16+K16</f>
        <v>0</v>
      </c>
      <c r="N16" s="31" t="str">
        <f>IF(M16 &gt;= 2.5,"Yes","No")</f>
        <v>No</v>
      </c>
      <c r="O16" s="41"/>
    </row>
    <row r="17" spans="1:15" ht="15.75" customHeight="1" thickTop="1" x14ac:dyDescent="0.25">
      <c r="A17" s="68" t="s">
        <v>17</v>
      </c>
      <c r="B17" s="69"/>
      <c r="C17" s="25" t="s">
        <v>7</v>
      </c>
      <c r="D17" s="25"/>
      <c r="E17" s="25" t="s">
        <v>7</v>
      </c>
      <c r="F17" s="25"/>
      <c r="G17" s="25" t="s">
        <v>7</v>
      </c>
      <c r="H17" s="25"/>
      <c r="I17" s="25" t="s">
        <v>7</v>
      </c>
      <c r="J17" s="25"/>
      <c r="K17" s="25" t="s">
        <v>7</v>
      </c>
      <c r="L17" s="25"/>
      <c r="M17" s="26"/>
      <c r="N17" s="26"/>
      <c r="O17" s="41"/>
    </row>
    <row r="18" spans="1:15" ht="15.75" thickBot="1" x14ac:dyDescent="0.3">
      <c r="A18" s="70"/>
      <c r="B18" s="71"/>
      <c r="C18" s="33">
        <v>1</v>
      </c>
      <c r="D18" s="34" t="s">
        <v>12</v>
      </c>
      <c r="E18" s="33">
        <v>1</v>
      </c>
      <c r="F18" s="34" t="s">
        <v>12</v>
      </c>
      <c r="G18" s="33">
        <v>1</v>
      </c>
      <c r="H18" s="34" t="s">
        <v>13</v>
      </c>
      <c r="I18" s="33">
        <v>1</v>
      </c>
      <c r="J18" s="34" t="s">
        <v>12</v>
      </c>
      <c r="K18" s="33">
        <v>1</v>
      </c>
      <c r="L18" s="34" t="s">
        <v>12</v>
      </c>
      <c r="M18" s="56">
        <f>C18+E18+G18+I18+K18</f>
        <v>5</v>
      </c>
      <c r="N18" s="34" t="str">
        <f>IF(M18 &gt;= 5,"Yes","No")</f>
        <v>Yes</v>
      </c>
      <c r="O18" s="42"/>
    </row>
    <row r="19" spans="1:15" ht="15.75" thickTop="1" x14ac:dyDescent="0.25"/>
  </sheetData>
  <sheetProtection sheet="1" objects="1" scenarios="1" selectLockedCells="1"/>
  <mergeCells count="71">
    <mergeCell ref="A17:B18"/>
    <mergeCell ref="C17:D17"/>
    <mergeCell ref="E17:F17"/>
    <mergeCell ref="G17:H17"/>
    <mergeCell ref="I17:J17"/>
    <mergeCell ref="K17:L17"/>
    <mergeCell ref="A15:B16"/>
    <mergeCell ref="C15:D15"/>
    <mergeCell ref="E15:F15"/>
    <mergeCell ref="G15:H15"/>
    <mergeCell ref="I15:J15"/>
    <mergeCell ref="K15:L15"/>
    <mergeCell ref="N11:O12"/>
    <mergeCell ref="A13:B14"/>
    <mergeCell ref="C13:D13"/>
    <mergeCell ref="E13:F13"/>
    <mergeCell ref="G13:H13"/>
    <mergeCell ref="I13:J13"/>
    <mergeCell ref="K13:L13"/>
    <mergeCell ref="N13:O13"/>
    <mergeCell ref="N14:O14"/>
    <mergeCell ref="A11:B12"/>
    <mergeCell ref="C11:D11"/>
    <mergeCell ref="E11:F11"/>
    <mergeCell ref="G11:H11"/>
    <mergeCell ref="I11:J11"/>
    <mergeCell ref="K11:L11"/>
    <mergeCell ref="C9:D9"/>
    <mergeCell ref="E9:F9"/>
    <mergeCell ref="G9:H9"/>
    <mergeCell ref="I9:J9"/>
    <mergeCell ref="K9:L9"/>
    <mergeCell ref="C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G3:H3"/>
    <mergeCell ref="I3:J3"/>
    <mergeCell ref="K3:L3"/>
    <mergeCell ref="C4:D4"/>
    <mergeCell ref="E4:F4"/>
    <mergeCell ref="G4:H4"/>
    <mergeCell ref="I4:J4"/>
    <mergeCell ref="K4:L4"/>
    <mergeCell ref="A1:O1"/>
    <mergeCell ref="A2:B10"/>
    <mergeCell ref="C2:D2"/>
    <mergeCell ref="E2:F2"/>
    <mergeCell ref="G2:H2"/>
    <mergeCell ref="I2:J2"/>
    <mergeCell ref="K2:L2"/>
    <mergeCell ref="M2:O10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K20" sqref="K20"/>
    </sheetView>
  </sheetViews>
  <sheetFormatPr defaultRowHeight="15" x14ac:dyDescent="0.25"/>
  <cols>
    <col min="2" max="2" width="12.7109375" customWidth="1"/>
    <col min="13" max="15" width="8.7109375" customWidth="1"/>
  </cols>
  <sheetData>
    <row r="1" spans="1:15" ht="15.75" thickTop="1" x14ac:dyDescent="0.25">
      <c r="A1" s="35" t="s">
        <v>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 x14ac:dyDescent="0.25">
      <c r="A2" s="38" t="s">
        <v>1</v>
      </c>
      <c r="B2" s="57"/>
      <c r="C2" s="61" t="s">
        <v>2</v>
      </c>
      <c r="D2" s="62"/>
      <c r="E2" s="3" t="s">
        <v>3</v>
      </c>
      <c r="F2" s="3"/>
      <c r="G2" s="3" t="s">
        <v>4</v>
      </c>
      <c r="H2" s="3"/>
      <c r="I2" s="3" t="s">
        <v>5</v>
      </c>
      <c r="J2" s="3"/>
      <c r="K2" s="3" t="s">
        <v>6</v>
      </c>
      <c r="L2" s="3"/>
      <c r="M2" s="1" t="s">
        <v>15</v>
      </c>
      <c r="N2" s="2"/>
      <c r="O2" s="44"/>
    </row>
    <row r="3" spans="1:15" x14ac:dyDescent="0.25">
      <c r="A3" s="39"/>
      <c r="B3" s="58"/>
      <c r="C3" s="4"/>
      <c r="D3" s="5"/>
      <c r="E3" s="6"/>
      <c r="F3" s="6"/>
      <c r="G3" s="6"/>
      <c r="H3" s="6"/>
      <c r="I3" s="6"/>
      <c r="J3" s="6"/>
      <c r="K3" s="6"/>
      <c r="L3" s="6"/>
      <c r="M3" s="45"/>
      <c r="N3" s="46"/>
      <c r="O3" s="47"/>
    </row>
    <row r="4" spans="1:15" x14ac:dyDescent="0.25">
      <c r="A4" s="39"/>
      <c r="B4" s="58"/>
      <c r="C4" s="7"/>
      <c r="D4" s="8"/>
      <c r="E4" s="6"/>
      <c r="F4" s="6"/>
      <c r="G4" s="6"/>
      <c r="H4" s="6"/>
      <c r="I4" s="6"/>
      <c r="J4" s="6"/>
      <c r="K4" s="6"/>
      <c r="L4" s="6"/>
      <c r="M4" s="45"/>
      <c r="N4" s="46"/>
      <c r="O4" s="47"/>
    </row>
    <row r="5" spans="1:15" x14ac:dyDescent="0.25">
      <c r="A5" s="39"/>
      <c r="B5" s="58"/>
      <c r="C5" s="7"/>
      <c r="D5" s="8"/>
      <c r="E5" s="6"/>
      <c r="F5" s="6"/>
      <c r="G5" s="6"/>
      <c r="H5" s="6"/>
      <c r="I5" s="9"/>
      <c r="J5" s="10"/>
      <c r="K5" s="6"/>
      <c r="L5" s="6"/>
      <c r="M5" s="45"/>
      <c r="N5" s="46"/>
      <c r="O5" s="47"/>
    </row>
    <row r="6" spans="1:15" x14ac:dyDescent="0.25">
      <c r="A6" s="39"/>
      <c r="B6" s="58"/>
      <c r="C6" s="7"/>
      <c r="D6" s="8"/>
      <c r="E6" s="6"/>
      <c r="F6" s="6"/>
      <c r="G6" s="6"/>
      <c r="H6" s="6"/>
      <c r="I6" s="6"/>
      <c r="J6" s="6"/>
      <c r="K6" s="6"/>
      <c r="L6" s="6"/>
      <c r="M6" s="45"/>
      <c r="N6" s="46"/>
      <c r="O6" s="47"/>
    </row>
    <row r="7" spans="1:15" x14ac:dyDescent="0.25">
      <c r="A7" s="39"/>
      <c r="B7" s="58"/>
      <c r="C7" s="7"/>
      <c r="D7" s="11"/>
      <c r="E7" s="9"/>
      <c r="F7" s="10"/>
      <c r="G7" s="9"/>
      <c r="H7" s="10"/>
      <c r="I7" s="9"/>
      <c r="J7" s="10"/>
      <c r="K7" s="9"/>
      <c r="L7" s="10"/>
      <c r="M7" s="45"/>
      <c r="N7" s="46"/>
      <c r="O7" s="47"/>
    </row>
    <row r="8" spans="1:15" x14ac:dyDescent="0.25">
      <c r="A8" s="39"/>
      <c r="B8" s="58"/>
      <c r="C8" s="7"/>
      <c r="D8" s="8"/>
      <c r="E8" s="6"/>
      <c r="F8" s="6"/>
      <c r="G8" s="6"/>
      <c r="H8" s="6"/>
      <c r="I8" s="6"/>
      <c r="J8" s="6"/>
      <c r="K8" s="6"/>
      <c r="L8" s="6"/>
      <c r="M8" s="45"/>
      <c r="N8" s="46"/>
      <c r="O8" s="47"/>
    </row>
    <row r="9" spans="1:15" x14ac:dyDescent="0.25">
      <c r="A9" s="39"/>
      <c r="B9" s="58"/>
      <c r="C9" s="63" t="s">
        <v>7</v>
      </c>
      <c r="D9" s="8"/>
      <c r="E9" s="6" t="s">
        <v>7</v>
      </c>
      <c r="F9" s="6"/>
      <c r="G9" s="6" t="s">
        <v>7</v>
      </c>
      <c r="H9" s="6"/>
      <c r="I9" s="6" t="s">
        <v>7</v>
      </c>
      <c r="J9" s="6"/>
      <c r="K9" s="6" t="s">
        <v>7</v>
      </c>
      <c r="L9" s="6"/>
      <c r="M9" s="45"/>
      <c r="N9" s="46"/>
      <c r="O9" s="47"/>
    </row>
    <row r="10" spans="1:15" ht="15.75" thickBot="1" x14ac:dyDescent="0.3">
      <c r="A10" s="59"/>
      <c r="B10" s="60"/>
      <c r="C10" s="18"/>
      <c r="D10" s="19"/>
      <c r="E10" s="19"/>
      <c r="F10" s="19"/>
      <c r="G10" s="19"/>
      <c r="H10" s="19"/>
      <c r="I10" s="19"/>
      <c r="J10" s="19"/>
      <c r="K10" s="19"/>
      <c r="L10" s="20"/>
      <c r="M10" s="45"/>
      <c r="N10" s="46"/>
      <c r="O10" s="47"/>
    </row>
    <row r="11" spans="1:15" ht="30" customHeight="1" thickTop="1" x14ac:dyDescent="0.25">
      <c r="A11" s="72" t="s">
        <v>8</v>
      </c>
      <c r="B11" s="73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51" t="s">
        <v>14</v>
      </c>
      <c r="O11" s="52"/>
    </row>
    <row r="12" spans="1:15" ht="30" customHeight="1" x14ac:dyDescent="0.25">
      <c r="A12" s="74"/>
      <c r="B12" s="75"/>
      <c r="C12" s="14"/>
      <c r="D12" s="15" t="s">
        <v>9</v>
      </c>
      <c r="E12" s="14"/>
      <c r="F12" s="15" t="s">
        <v>9</v>
      </c>
      <c r="G12" s="14"/>
      <c r="H12" s="15" t="s">
        <v>9</v>
      </c>
      <c r="I12" s="14"/>
      <c r="J12" s="15" t="s">
        <v>9</v>
      </c>
      <c r="K12" s="14"/>
      <c r="L12" s="15" t="s">
        <v>9</v>
      </c>
      <c r="M12" s="16">
        <f>C12+E12+G12+I12+K12</f>
        <v>0</v>
      </c>
      <c r="N12" s="53"/>
      <c r="O12" s="54"/>
    </row>
    <row r="13" spans="1:15" ht="30" customHeight="1" x14ac:dyDescent="0.25">
      <c r="A13" s="76" t="s">
        <v>10</v>
      </c>
      <c r="B13" s="7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  <c r="N13" s="17">
        <f>(M12+M14)</f>
        <v>0</v>
      </c>
      <c r="O13" s="48"/>
    </row>
    <row r="14" spans="1:15" ht="30" customHeight="1" thickBot="1" x14ac:dyDescent="0.3">
      <c r="A14" s="78"/>
      <c r="B14" s="79"/>
      <c r="C14" s="23"/>
      <c r="D14" s="24" t="s">
        <v>9</v>
      </c>
      <c r="E14" s="23"/>
      <c r="F14" s="24" t="s">
        <v>9</v>
      </c>
      <c r="G14" s="23"/>
      <c r="H14" s="24" t="s">
        <v>9</v>
      </c>
      <c r="I14" s="23"/>
      <c r="J14" s="24" t="s">
        <v>9</v>
      </c>
      <c r="K14" s="23"/>
      <c r="L14" s="24" t="s">
        <v>9</v>
      </c>
      <c r="M14" s="50">
        <f>C14+E14+G14+I14+K14</f>
        <v>0</v>
      </c>
      <c r="N14" s="43" t="b">
        <f>AND(N13&gt;=9,N13&lt;=10)</f>
        <v>0</v>
      </c>
      <c r="O14" s="49"/>
    </row>
    <row r="15" spans="1:15" ht="15.75" thickTop="1" x14ac:dyDescent="0.25">
      <c r="A15" s="88" t="s">
        <v>11</v>
      </c>
      <c r="B15" s="89"/>
      <c r="C15" s="27"/>
      <c r="D15" s="27"/>
      <c r="E15" s="28"/>
      <c r="F15" s="27"/>
      <c r="G15" s="27"/>
      <c r="H15" s="27"/>
      <c r="I15" s="27"/>
      <c r="J15" s="27"/>
      <c r="K15" s="27"/>
      <c r="L15" s="27"/>
      <c r="M15" s="29"/>
      <c r="N15" s="29"/>
      <c r="O15" s="40"/>
    </row>
    <row r="16" spans="1:15" ht="15.75" thickBot="1" x14ac:dyDescent="0.3">
      <c r="A16" s="90"/>
      <c r="B16" s="91"/>
      <c r="C16" s="30"/>
      <c r="D16" s="31" t="s">
        <v>12</v>
      </c>
      <c r="E16" s="32"/>
      <c r="F16" s="31" t="s">
        <v>12</v>
      </c>
      <c r="G16" s="30"/>
      <c r="H16" s="31" t="s">
        <v>12</v>
      </c>
      <c r="I16" s="30"/>
      <c r="J16" s="31" t="s">
        <v>12</v>
      </c>
      <c r="K16" s="30"/>
      <c r="L16" s="31" t="s">
        <v>12</v>
      </c>
      <c r="M16" s="55">
        <f>C16+E16+G16+I16+K16</f>
        <v>0</v>
      </c>
      <c r="N16" s="31" t="str">
        <f>IF(M16 &gt;= 2.5,"Yes","No")</f>
        <v>No</v>
      </c>
      <c r="O16" s="41"/>
    </row>
    <row r="17" spans="1:15" ht="15.75" thickTop="1" x14ac:dyDescent="0.25">
      <c r="A17" s="92" t="s">
        <v>17</v>
      </c>
      <c r="B17" s="93"/>
      <c r="C17" s="25" t="s">
        <v>7</v>
      </c>
      <c r="D17" s="25"/>
      <c r="E17" s="25" t="s">
        <v>7</v>
      </c>
      <c r="F17" s="25"/>
      <c r="G17" s="25" t="s">
        <v>7</v>
      </c>
      <c r="H17" s="25"/>
      <c r="I17" s="25" t="s">
        <v>7</v>
      </c>
      <c r="J17" s="25"/>
      <c r="K17" s="25" t="s">
        <v>7</v>
      </c>
      <c r="L17" s="25"/>
      <c r="M17" s="26"/>
      <c r="N17" s="26"/>
      <c r="O17" s="41"/>
    </row>
    <row r="18" spans="1:15" ht="15.75" thickBot="1" x14ac:dyDescent="0.3">
      <c r="A18" s="70"/>
      <c r="B18" s="71"/>
      <c r="C18" s="33">
        <v>1</v>
      </c>
      <c r="D18" s="34" t="s">
        <v>12</v>
      </c>
      <c r="E18" s="33">
        <v>1</v>
      </c>
      <c r="F18" s="34" t="s">
        <v>12</v>
      </c>
      <c r="G18" s="33">
        <v>1</v>
      </c>
      <c r="H18" s="34" t="s">
        <v>13</v>
      </c>
      <c r="I18" s="33">
        <v>1</v>
      </c>
      <c r="J18" s="34" t="s">
        <v>12</v>
      </c>
      <c r="K18" s="33">
        <v>1</v>
      </c>
      <c r="L18" s="34" t="s">
        <v>12</v>
      </c>
      <c r="M18" s="56">
        <f>C18+E18+G18+I18+K18</f>
        <v>5</v>
      </c>
      <c r="N18" s="34" t="str">
        <f>IF(M18 &gt;= 5,"Yes","No")</f>
        <v>Yes</v>
      </c>
      <c r="O18" s="42"/>
    </row>
    <row r="19" spans="1:15" ht="15.75" thickTop="1" x14ac:dyDescent="0.25"/>
  </sheetData>
  <sheetProtection sheet="1" objects="1" scenarios="1" selectLockedCells="1"/>
  <mergeCells count="71">
    <mergeCell ref="A17:B18"/>
    <mergeCell ref="C17:D17"/>
    <mergeCell ref="E17:F17"/>
    <mergeCell ref="G17:H17"/>
    <mergeCell ref="I17:J17"/>
    <mergeCell ref="K17:L17"/>
    <mergeCell ref="A15:B16"/>
    <mergeCell ref="C15:D15"/>
    <mergeCell ref="E15:F15"/>
    <mergeCell ref="G15:H15"/>
    <mergeCell ref="I15:J15"/>
    <mergeCell ref="K15:L15"/>
    <mergeCell ref="N11:O12"/>
    <mergeCell ref="A13:B14"/>
    <mergeCell ref="C13:D13"/>
    <mergeCell ref="E13:F13"/>
    <mergeCell ref="G13:H13"/>
    <mergeCell ref="I13:J13"/>
    <mergeCell ref="K13:L13"/>
    <mergeCell ref="N13:O13"/>
    <mergeCell ref="N14:O14"/>
    <mergeCell ref="A11:B12"/>
    <mergeCell ref="C11:D11"/>
    <mergeCell ref="E11:F11"/>
    <mergeCell ref="G11:H11"/>
    <mergeCell ref="I11:J11"/>
    <mergeCell ref="K11:L11"/>
    <mergeCell ref="C9:D9"/>
    <mergeCell ref="E9:F9"/>
    <mergeCell ref="G9:H9"/>
    <mergeCell ref="I9:J9"/>
    <mergeCell ref="K9:L9"/>
    <mergeCell ref="C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G3:H3"/>
    <mergeCell ref="I3:J3"/>
    <mergeCell ref="K3:L3"/>
    <mergeCell ref="C4:D4"/>
    <mergeCell ref="E4:F4"/>
    <mergeCell ref="G4:H4"/>
    <mergeCell ref="I4:J4"/>
    <mergeCell ref="K4:L4"/>
    <mergeCell ref="A1:O1"/>
    <mergeCell ref="A2:B10"/>
    <mergeCell ref="C2:D2"/>
    <mergeCell ref="E2:F2"/>
    <mergeCell ref="G2:H2"/>
    <mergeCell ref="I2:J2"/>
    <mergeCell ref="K2:L2"/>
    <mergeCell ref="M2:O10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K-5</vt:lpstr>
      <vt:lpstr>6-8</vt:lpstr>
      <vt:lpstr>9-12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Timmins, Ellen</dc:creator>
  <cp:lastModifiedBy>Timmins, Ellen</cp:lastModifiedBy>
  <dcterms:created xsi:type="dcterms:W3CDTF">2012-04-09T18:41:34Z</dcterms:created>
  <dcterms:modified xsi:type="dcterms:W3CDTF">2012-04-09T20:14:53Z</dcterms:modified>
</cp:coreProperties>
</file>