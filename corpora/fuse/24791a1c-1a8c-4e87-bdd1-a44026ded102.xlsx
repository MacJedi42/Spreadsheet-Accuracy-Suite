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35" windowWidth="11340" windowHeight="6435" tabRatio="768" activeTab="7"/>
  </bookViews>
  <sheets>
    <sheet name="1. ogień" sheetId="1" r:id="rId1"/>
    <sheet name="2. opis budynków" sheetId="14" r:id="rId2"/>
    <sheet name="3. zabezpieczenia" sheetId="12" r:id="rId3"/>
    <sheet name="4. protokoły" sheetId="15" r:id="rId4"/>
    <sheet name="5. elektronika" sheetId="5" r:id="rId5"/>
    <sheet name="6. oc" sheetId="3" r:id="rId6"/>
    <sheet name="7. pojazdy" sheetId="7" r:id="rId7"/>
    <sheet name="8. Szkodowość" sheetId="17" r:id="rId8"/>
  </sheets>
  <definedNames>
    <definedName name="_xlnm._FilterDatabase" localSheetId="0" hidden="1">'1. ogień'!$A$4:$H$89</definedName>
    <definedName name="_xlnm._FilterDatabase" localSheetId="1" hidden="1">'2. opis budynków'!$A$3:$L$225</definedName>
    <definedName name="_xlnm._FilterDatabase" localSheetId="2" hidden="1">'3. zabezpieczenia'!$A$3:$P$93</definedName>
    <definedName name="_xlnm._FilterDatabase" localSheetId="3" hidden="1">'4. protokoły'!$A$3:$O$84</definedName>
    <definedName name="_xlnm._FilterDatabase" localSheetId="4" hidden="1">'5. elektronika'!$A$3:$F$77</definedName>
    <definedName name="_xlnm._FilterDatabase" localSheetId="5" hidden="1">'6. oc'!$A$3:$K$68</definedName>
    <definedName name="_xlnm._FilterDatabase" localSheetId="6" hidden="1">'7. pojazdy'!$A$3:$O$65</definedName>
    <definedName name="_xlnm.Print_Area" localSheetId="0">'1. ogień'!$A$1:$H$95</definedName>
    <definedName name="_xlnm.Print_Area" localSheetId="2">'3. zabezpieczenia'!$A$1:$P$100</definedName>
    <definedName name="_xlnm.Print_Area" localSheetId="4">'5. elektronika'!$A$1:$F$78</definedName>
    <definedName name="_xlnm.Print_Area" localSheetId="5">'6. oc'!$A$1:$K$69</definedName>
    <definedName name="_xlnm.Print_Area" localSheetId="6">'7. pojazdy'!$A$3:$N$69</definedName>
  </definedNames>
  <calcPr calcId="125725"/>
</workbook>
</file>

<file path=xl/calcChain.xml><?xml version="1.0" encoding="utf-8"?>
<calcChain xmlns="http://schemas.openxmlformats.org/spreadsheetml/2006/main">
  <c r="F5" i="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4"/>
  <c r="D47" i="17" l="1"/>
  <c r="C47"/>
  <c r="D37"/>
  <c r="C37"/>
  <c r="D23"/>
  <c r="C23"/>
  <c r="C11"/>
  <c r="H6" i="1" l="1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5"/>
  <c r="H90" l="1"/>
  <c r="F61" i="5" l="1"/>
  <c r="C78" l="1"/>
  <c r="D78"/>
  <c r="E78"/>
  <c r="B78"/>
  <c r="C90" i="1" l="1"/>
  <c r="D90"/>
  <c r="E90"/>
  <c r="F90"/>
  <c r="G90"/>
  <c r="B90"/>
  <c r="P32" i="12" l="1"/>
  <c r="B103" i="14" l="1"/>
  <c r="B104" s="1"/>
  <c r="B105" s="1"/>
  <c r="B106" s="1"/>
  <c r="B107" s="1"/>
  <c r="B108" s="1"/>
  <c r="E93" l="1"/>
  <c r="F92"/>
  <c r="F78" i="5" l="1"/>
</calcChain>
</file>

<file path=xl/sharedStrings.xml><?xml version="1.0" encoding="utf-8"?>
<sst xmlns="http://schemas.openxmlformats.org/spreadsheetml/2006/main" count="4831" uniqueCount="2014">
  <si>
    <t>Budynki</t>
  </si>
  <si>
    <t>Razem</t>
  </si>
  <si>
    <t>Budowle</t>
  </si>
  <si>
    <t>NIP</t>
  </si>
  <si>
    <t>REGON</t>
  </si>
  <si>
    <t>EKD</t>
  </si>
  <si>
    <t>Sprzęt stacjonarny</t>
  </si>
  <si>
    <t>Sprzęt przenośny</t>
  </si>
  <si>
    <t>Zatrudnienie ogółem</t>
  </si>
  <si>
    <t>Ilość uczniów</t>
  </si>
  <si>
    <t>Rodzaj pojazdu</t>
  </si>
  <si>
    <t>Marka, typ, model</t>
  </si>
  <si>
    <t>Nr rejestracyjny</t>
  </si>
  <si>
    <t>Rok produkcji</t>
  </si>
  <si>
    <t>Nr nadwozia</t>
  </si>
  <si>
    <t>Nazwa jednostki</t>
  </si>
  <si>
    <t>Adres</t>
  </si>
  <si>
    <t>Rok budowy</t>
  </si>
  <si>
    <t>Wartość
(księgowa brutto)</t>
  </si>
  <si>
    <t>Ilość kondygnacji</t>
  </si>
  <si>
    <t>Pokrycie dachu</t>
  </si>
  <si>
    <t>Powierzchnia użytkowa budynku</t>
  </si>
  <si>
    <t>* prosimy o zaznaczenie odpowiednich pól symbolem x</t>
  </si>
  <si>
    <t xml:space="preserve">Nazwa jednostki </t>
  </si>
  <si>
    <t>Wartość w zł z ostatniej polisy</t>
  </si>
  <si>
    <t>UWAGA: prosimy o podanie informacji na temat budynków z płyty warstwowej z palnym wypełnieniem pianką poliuretanową lub styropianem</t>
  </si>
  <si>
    <t xml:space="preserve">UWAGA: prosimy o opisanie mienia wyłączonego z eksploatacji </t>
  </si>
  <si>
    <t>UWAGA: prosimy o wpisanie i zaznaczenie mienia wyłączonego z eksploatacji oraz o podanie jego wartości (jeśli istnieje)</t>
  </si>
  <si>
    <t>Ilość miejsc</t>
  </si>
  <si>
    <t>Ładowność</t>
  </si>
  <si>
    <t>Konstrukcja  ścian</t>
  </si>
  <si>
    <t>Konstrukcja dachu</t>
  </si>
  <si>
    <t>1 zamek wielozastawkowy wspomagany czujkami alarmowymi skierowanymi do drzwi</t>
  </si>
  <si>
    <t xml:space="preserve">UWAGA </t>
  </si>
  <si>
    <t>Jeżeli istniały uwagi do protokołów to proszę o podanie daty wykonania zaleceń</t>
  </si>
  <si>
    <t>Adres jednostki</t>
  </si>
  <si>
    <t>Telefon</t>
  </si>
  <si>
    <t>W tym nauczyciele (dotyczy jednostek oświaty)</t>
  </si>
  <si>
    <t>Osoba odpowiedzialna za ubezpieczenia</t>
  </si>
  <si>
    <t>Inne opis jakie</t>
  </si>
  <si>
    <r>
      <rPr>
        <vertAlign val="superscript"/>
        <sz val="10"/>
        <rFont val="Bookman Old Style"/>
        <family val="1"/>
        <charset val="238"/>
      </rPr>
      <t>2</t>
    </r>
    <r>
      <rPr>
        <sz val="10"/>
        <rFont val="Bookman Old Style"/>
        <family val="1"/>
        <charset val="238"/>
      </rPr>
      <t xml:space="preserve"> - Środki obrotowe (np. art. biurowe, szkolne, środki czystości, art. spożywcze, itp.), przewidywana, maksymalna wielkość w ciągu jednego dnia w roku</t>
    </r>
  </si>
  <si>
    <t xml:space="preserve">Nazwa placówki/rodzaj mienia </t>
  </si>
  <si>
    <r>
      <t>Maszyny, urządzenia i wyposażenie</t>
    </r>
    <r>
      <rPr>
        <b/>
        <vertAlign val="superscript"/>
        <sz val="10"/>
        <rFont val="Bookman Old Style"/>
        <family val="1"/>
        <charset val="238"/>
      </rPr>
      <t xml:space="preserve"> 1</t>
    </r>
  </si>
  <si>
    <t>Księgozbiór</t>
  </si>
  <si>
    <t>Inne/ile</t>
  </si>
  <si>
    <r>
      <rPr>
        <vertAlign val="superscript"/>
        <sz val="10"/>
        <rFont val="Bookman Old Style"/>
        <family val="1"/>
        <charset val="238"/>
      </rPr>
      <t>3</t>
    </r>
    <r>
      <rPr>
        <sz val="10"/>
        <rFont val="Bookman Old Style"/>
        <family val="1"/>
        <charset val="238"/>
      </rPr>
      <t xml:space="preserve"> - Mienie pracownicze - wartość ustalona jako iloczyn ilości pracowników przez 800,00 zł</t>
    </r>
  </si>
  <si>
    <r>
      <rPr>
        <vertAlign val="superscript"/>
        <sz val="10"/>
        <rFont val="Bookman Old Style"/>
        <family val="1"/>
        <charset val="238"/>
      </rPr>
      <t>1</t>
    </r>
    <r>
      <rPr>
        <sz val="10"/>
        <rFont val="Bookman Old Style"/>
        <family val="1"/>
        <charset val="238"/>
      </rPr>
      <t>- Maszyny i urządzenia,wyposażenie , sprzęt elektroniczny i komputerowy powyżej 5-ciu lat - (bez sprzętu elektronicznego ujętego w zestawieniu elektroniki), oprzyrządowanie, sprzęt AGD, narzędzia, meble, biurka, krzesła, stoliki, obrazy, drobny sprzęt gospodarczy itp. (najlepszym rozwiązaniem podanie wartosci poszczególnych grup KRST)</t>
    </r>
  </si>
  <si>
    <t>Remonty/modernizacje budynków, ich rok oraz informacja co zostało wykonane</t>
  </si>
  <si>
    <t>Opis budynków i budowli:</t>
  </si>
  <si>
    <t>Ubezpieczenie od ognia i innych zdarzeń losowych (prosimy wpisać nazwę placówki oraz wartości w PLN)</t>
  </si>
  <si>
    <t xml:space="preserve">Alarm w sygnalizacją lokalną </t>
  </si>
  <si>
    <t xml:space="preserve">Alarm z powiadomieniem agencji ochrony </t>
  </si>
  <si>
    <t>Alarm z interwencją załóg patrolowych agencji ochrony lub policji</t>
  </si>
  <si>
    <t>Dozór placówki całodobowy</t>
  </si>
  <si>
    <t>Dozór placówki w godzinach pracy</t>
  </si>
  <si>
    <t>Dozór placówki poza godzinami pracy</t>
  </si>
  <si>
    <t>Gotówka w kasecie stalowej</t>
  </si>
  <si>
    <t>Gotówka w szafie stalowej</t>
  </si>
  <si>
    <t>Gotówka w szafie pancernej</t>
  </si>
  <si>
    <t>Schowek jest przymocowany na stałe do podłogi lub ściany</t>
  </si>
  <si>
    <t>Schowek  nie jest przymocowany na stałe do podłogi lub ściany</t>
  </si>
  <si>
    <t>Pokój kasowy - okratowane okna</t>
  </si>
  <si>
    <t>Pokój kasowy bez okratowanych okien</t>
  </si>
  <si>
    <t xml:space="preserve">Pokój kasowy ma  drzwi zamykane na minimum dwa zamki patentowe </t>
  </si>
  <si>
    <t xml:space="preserve">Pokój kasowy w drzwiach nie ma 2 zamków wielozastawkowych </t>
  </si>
  <si>
    <t>Zabezpieczenia przeciwkradzieżowe:</t>
  </si>
  <si>
    <t>Stan posiadanych zabezpieczeń, minimalny wymagany przez ubezpieczycieli:</t>
  </si>
  <si>
    <t>minimum 2 zamki wielozastawkowe we wszystkich drzwiach zewnętrznych lub</t>
  </si>
  <si>
    <t>Protokoły:</t>
  </si>
  <si>
    <t>* zaznaczyć odpowiednią odpowiedź x</t>
  </si>
  <si>
    <t>Instrukcję bezpieczeństwa pożarowego (aktualizacja co najmniej raz na dwa lata)</t>
  </si>
  <si>
    <t>Protokół przeglądu sprzętu p.poż. (gaśnice, hydranty, tryskacze – jeśli występują)</t>
  </si>
  <si>
    <t xml:space="preserve">Protokół z pomiarów ciśnienia statycznego i dynamicznego w hydrantach wewnętrznych (jeśli występują) i zewnętrznych </t>
  </si>
  <si>
    <t>Protokół badania węży hydrantowych (jeśli występują) – nie starszy niż 5 lat</t>
  </si>
  <si>
    <t>Protokół przeglądu systemów ppoż (sap, rop, dso, oddymianie) – jeśli istnieją te instalacje</t>
  </si>
  <si>
    <t>Protokół pomiarów szczelności izotopowych czujek dymowych – jeśli występują czujki</t>
  </si>
  <si>
    <t>Protokół badania skuteczności ochrony przeciwporażeniowej – ostatni (nie starszy niż 5 lat)</t>
  </si>
  <si>
    <t>Protokół pomiaru rezystancji izolacji przewodów – ostatni (nie starszy niż 5 lat)</t>
  </si>
  <si>
    <t>Protokół badania uziomów instalacji piorunochronnej – jeśli występuje instalacja</t>
  </si>
  <si>
    <t>Księgi rewizyjne, protokoły z przeglądów i decyzje udt (jeśli są urządzenia podlegające pod urząd, np. windy, wózki widłowe, zbiorniki ciśnieniowe)</t>
  </si>
  <si>
    <t>Protokół okresowej kontroli przewodów kominowych – jeśli występują kominy dymowe (kotłownia)</t>
  </si>
  <si>
    <t>Protokół przeglądu technicznego i szczelności instalacji gazowej – jeśli występuje instalacja</t>
  </si>
  <si>
    <t>Protokół przeglądu systemu detekcji gazów (jeśli występuje)</t>
  </si>
  <si>
    <t>Protokół okresowej kontroli budynków (pięcioletni lub roczny).</t>
  </si>
  <si>
    <t>Ubezpieczenie elektroniki w systemie all risk (prosimy wpisać nazwę placówki oraz wartości w PLN)</t>
  </si>
  <si>
    <t xml:space="preserve">UWAGA:
</t>
  </si>
  <si>
    <t xml:space="preserve">do sprzętu elektronicznego zaliczamy: serwery, zestawy komputerowe (jednostka centralna + monitor), drukarki, skanery, faksmodemy zewnętrzne, inny osprzęt komputerowy, kserokopiarki, centrale telefoniczne, aparaty telefoniczne i telefax, sprzęt specjalistyczny sterowany komputerowo, sieci, komputery przenośne, kamery video, aparaty fotograficzne cyfrowe, itp.; oprogramowanie wpisujemy tylko takie , które należało kupić dodatkowo (nie dotyczy wersji OEM sprzedawanych razem z komputerem) </t>
  </si>
  <si>
    <t>do powyższego zestawienia nie wpisujemy: sprzętu elektronicznego starszego niż 5 lat, , sprzętu AGD, itp. Taki sprzęt wpisujemy w tabeli ubezpieczenia od ognia w kolumnnie wyposażenie.</t>
  </si>
  <si>
    <t>Monitoring zewnętrzny i wewnętrzny</t>
  </si>
  <si>
    <t xml:space="preserve">E-mail </t>
  </si>
  <si>
    <t>Pojemność silnika</t>
  </si>
  <si>
    <t>Moc silnika</t>
  </si>
  <si>
    <t>Koniec umowy AC</t>
  </si>
  <si>
    <t>Koniec umowy OC</t>
  </si>
  <si>
    <t>Zabezpieczenia</t>
  </si>
  <si>
    <t>Nazwa jednoski</t>
  </si>
  <si>
    <t>Koniec umowy NNW</t>
  </si>
  <si>
    <t>murowana</t>
  </si>
  <si>
    <t>papa termozgrzewalna</t>
  </si>
  <si>
    <t>1</t>
  </si>
  <si>
    <t>papa</t>
  </si>
  <si>
    <t>x</t>
  </si>
  <si>
    <t>Szkoła Podstawowa Nr 3 Grudziądz ul Narutowicza 6</t>
  </si>
  <si>
    <t>Szkoła Podstawowa Nr3</t>
  </si>
  <si>
    <t>86-300 Grudziądz ul Narutowicza 6</t>
  </si>
  <si>
    <t>parter</t>
  </si>
  <si>
    <t>65 m</t>
  </si>
  <si>
    <t>drewniana</t>
  </si>
  <si>
    <t>brak</t>
  </si>
  <si>
    <t>9</t>
  </si>
  <si>
    <t>805 m</t>
  </si>
  <si>
    <t>remont dachu 2009</t>
  </si>
  <si>
    <t>żelbetonowa</t>
  </si>
  <si>
    <t>Szkoła Podstawowa Nr3  86-300 Grudziądz</t>
  </si>
  <si>
    <t>Szkoła Podstawowa nr 3  86-300 Grudziadz</t>
  </si>
  <si>
    <t xml:space="preserve">Szkoła Podstawowa nr3 86-300 Grudziądz </t>
  </si>
  <si>
    <t xml:space="preserve">Szkoła Podstawowa Nr 3 </t>
  </si>
  <si>
    <t>sp3jkgr@poczta.onet .pl</t>
  </si>
  <si>
    <t>mgr Krystyna Stawecka</t>
  </si>
  <si>
    <t>876-17-42-239</t>
  </si>
  <si>
    <t>001271959</t>
  </si>
  <si>
    <t>80-10-20</t>
  </si>
  <si>
    <t>Szkoła Podstawowa nr 4 w Grudziądzu</t>
  </si>
  <si>
    <t>1970-72</t>
  </si>
  <si>
    <t>dwie</t>
  </si>
  <si>
    <t>Szkoła Podstawowa nr 4 Grudziądz</t>
  </si>
  <si>
    <t>oddzielne pomieszczenie,w drzwiach krata</t>
  </si>
  <si>
    <t>kaseta przymocowana na stałe w skarbczyku szafy metalowej</t>
  </si>
  <si>
    <t xml:space="preserve"> x ( kotłownie obsługuje OPEC)</t>
  </si>
  <si>
    <t>x ( w kotłowni )</t>
  </si>
  <si>
    <t>ul.Jaśminowa 2</t>
  </si>
  <si>
    <t>56-46-48-204</t>
  </si>
  <si>
    <t>sp4grudz@op.pl</t>
  </si>
  <si>
    <t>p.Lidia Rodzaj</t>
  </si>
  <si>
    <t>876-17-52-315</t>
  </si>
  <si>
    <t>001271920</t>
  </si>
  <si>
    <t>801020</t>
  </si>
  <si>
    <t xml:space="preserve">Szkoła Podstawowa nr 5 </t>
  </si>
  <si>
    <t>2537m2</t>
  </si>
  <si>
    <t>cegła</t>
  </si>
  <si>
    <t>Budynek główny dach drewniany,krokwiowo-płatwiowy,sala gimnastyczna dach stalowo-drewniany</t>
  </si>
  <si>
    <t>Budynek główny-dachówka ceramiczna,sala gimnastyczna papa na lepiku,łącznik-papa na lepiku i płyty azbestowo cementowe malowane</t>
  </si>
  <si>
    <t>13</t>
  </si>
  <si>
    <t>Szkoła Podstawowa nr 5</t>
  </si>
  <si>
    <t>ul.Sienkiewicza 24    86-300 Grudziądz</t>
  </si>
  <si>
    <t>szkolap5@poczta.onet.pl</t>
  </si>
  <si>
    <t>Jolanta Tarniowa</t>
  </si>
  <si>
    <t>876-13-74-333</t>
  </si>
  <si>
    <t>000266198</t>
  </si>
  <si>
    <t>Szkoła Podstawowa Nr 9 im.T.Kościuszki w Grudziądzu</t>
  </si>
  <si>
    <t>SP-9</t>
  </si>
  <si>
    <t>Grudziądz</t>
  </si>
  <si>
    <t>budynek szkoły  2350 m2</t>
  </si>
  <si>
    <t>ściany ceglane</t>
  </si>
  <si>
    <t>drewniany</t>
  </si>
  <si>
    <t>nowa część 1976</t>
  </si>
  <si>
    <t xml:space="preserve">budynek szkoły  </t>
  </si>
  <si>
    <t>betonowy</t>
  </si>
  <si>
    <t xml:space="preserve">            sala gimnastyczna  412,5 m2</t>
  </si>
  <si>
    <t>sala gimnastyczna 201 m2</t>
  </si>
  <si>
    <t>beton komórkowy</t>
  </si>
  <si>
    <t>nie</t>
  </si>
  <si>
    <t>X</t>
  </si>
  <si>
    <t>nie ma</t>
  </si>
  <si>
    <t>nie dotyczy</t>
  </si>
  <si>
    <t>nie ma pokoju kasowego</t>
  </si>
  <si>
    <t>Grudziądz ul.Forteczna 29</t>
  </si>
  <si>
    <t>56/4613618</t>
  </si>
  <si>
    <t>876-13-74-416</t>
  </si>
  <si>
    <t>000209846</t>
  </si>
  <si>
    <t>8520Z</t>
  </si>
  <si>
    <t>Szkoła Podstawowa nr 12             im. Synów Pułku</t>
  </si>
  <si>
    <t>Szkoła Podstawowa nr 12 im. Synów Pułku</t>
  </si>
  <si>
    <t>ul. Moniuszki 14                         86-300 Grudziądz</t>
  </si>
  <si>
    <t>III</t>
  </si>
  <si>
    <t>1437 m2</t>
  </si>
  <si>
    <t>ceramiczna,       wentylowana</t>
  </si>
  <si>
    <t>pokryty papą</t>
  </si>
  <si>
    <t>Szkoła Podstawowa nr 12  im. Synów Pułku</t>
  </si>
  <si>
    <t>Szkoła Podstawowa nr 12    im. Synów Pułku</t>
  </si>
  <si>
    <t>56-64-320-22(sekretariat) lub 56-64-325-52( księgowość)</t>
  </si>
  <si>
    <t>sp12_grudziadz@ wp.pl</t>
  </si>
  <si>
    <t>Anna Hausman - Dyrektor Szkoły</t>
  </si>
  <si>
    <t>876-13-71-079</t>
  </si>
  <si>
    <t>000211033</t>
  </si>
  <si>
    <t>8502Z</t>
  </si>
  <si>
    <t>Szkoła Podstawowa Nr 16 w Grudziądzu</t>
  </si>
  <si>
    <t>1960-1962</t>
  </si>
  <si>
    <t>2342,54 m²</t>
  </si>
  <si>
    <t>Szkoła Podstawowa Nr 16</t>
  </si>
  <si>
    <t>86-300 Grudziądz</t>
  </si>
  <si>
    <t>56-46-228-03</t>
  </si>
  <si>
    <t>dyrektor@sp16.grudziadz.pl</t>
  </si>
  <si>
    <t>Dyrektor mgr Rafał Piotr Chylewski</t>
  </si>
  <si>
    <t>876-13-74-356</t>
  </si>
  <si>
    <t>000211725</t>
  </si>
  <si>
    <t>Szkoła Podstawowa nr 18</t>
  </si>
  <si>
    <t>Szkoła Podstawowa nr18</t>
  </si>
  <si>
    <t>Dąbrówki 7</t>
  </si>
  <si>
    <t>1964-66</t>
  </si>
  <si>
    <t xml:space="preserve">ściany zewnętrznei wewnętrzne murowane z prefabrykatów  i blocz żużlowobetonowych oraz cegły </t>
  </si>
  <si>
    <t>dach żelbetonowy dwusadowy,wentylowany</t>
  </si>
  <si>
    <t>16</t>
  </si>
  <si>
    <t>86-300 Grudziądz ul.Dąbrówki 7</t>
  </si>
  <si>
    <t>sekretariat@sp18.grudziadz.net</t>
  </si>
  <si>
    <t>Dyrektor Cezary Darłak</t>
  </si>
  <si>
    <t>876-13-70-890</t>
  </si>
  <si>
    <t>000212311</t>
  </si>
  <si>
    <t>8010</t>
  </si>
  <si>
    <t>GIMNAZJUM NR 4 / SZKOŁA</t>
  </si>
  <si>
    <t>---</t>
  </si>
  <si>
    <t>GIMNAZJUM NR 4</t>
  </si>
  <si>
    <t>KONARSKIEGO 14</t>
  </si>
  <si>
    <t>2584mkw</t>
  </si>
  <si>
    <t>murowana z cegły ceramicznej, stropy żelbetowe</t>
  </si>
  <si>
    <t>z płyt korytkowych prefabrykowanych opartych na ściankach ażurowych z cegły pełnej wentylowany pokryty papą termozgrzewalną</t>
  </si>
  <si>
    <t>2009 - termomodernizacja budynku + wymiana stolarki okiennej i drzwiowej</t>
  </si>
  <si>
    <t>16szt</t>
  </si>
  <si>
    <t>10 hydrantów</t>
  </si>
  <si>
    <t>-</t>
  </si>
  <si>
    <t>09.2012</t>
  </si>
  <si>
    <t>21.08.2012</t>
  </si>
  <si>
    <t>17.02.2012</t>
  </si>
  <si>
    <t>11.02.2010</t>
  </si>
  <si>
    <t>31.07.2008</t>
  </si>
  <si>
    <t>----</t>
  </si>
  <si>
    <t>10.11.2011</t>
  </si>
  <si>
    <t>3.11.2011</t>
  </si>
  <si>
    <t>6.03.2012 (pięcioletni)</t>
  </si>
  <si>
    <t>56) 4658013</t>
  </si>
  <si>
    <t>gimnazjumnr4@poczta.onet.eu</t>
  </si>
  <si>
    <t>GRAŻYNA BANASZKIEWICZ</t>
  </si>
  <si>
    <t>876-20-50-176</t>
  </si>
  <si>
    <t>871184385</t>
  </si>
  <si>
    <t>8531A</t>
  </si>
  <si>
    <t>GIMNAZJUM NR 6</t>
  </si>
  <si>
    <t xml:space="preserve">Gimnazjum nr 6 </t>
  </si>
  <si>
    <t>3016,02 m2</t>
  </si>
  <si>
    <t>z płyt prefabrykowanych panwiowych</t>
  </si>
  <si>
    <t>modernizacja 2003 roku, dobudowa podjazdu dla niepełnosprawnych i remont sanitariatów</t>
  </si>
  <si>
    <t>10</t>
  </si>
  <si>
    <t>Gimnazjum nr 6</t>
  </si>
  <si>
    <t xml:space="preserve">Gimnazjum Nr 6 </t>
  </si>
  <si>
    <t>Al.23 Stycznia 30 86-300 Grudziądz</t>
  </si>
  <si>
    <t>(56)64 302 55</t>
  </si>
  <si>
    <t>dyrektir@gim6.grudziadz.pl</t>
  </si>
  <si>
    <t>Bogdan Grodowski</t>
  </si>
  <si>
    <t>876-20-49-078</t>
  </si>
  <si>
    <t>871185700</t>
  </si>
  <si>
    <t>8534A</t>
  </si>
  <si>
    <t>Gimnazjum nr 7 im.gen.Tadeusza"Bora" Komorowskiego w Gudziądzu ul.Mikołaja z Ryńska 6, 86-300 Grudziądz</t>
  </si>
  <si>
    <t>1997m2</t>
  </si>
  <si>
    <t>cegła pełna i dziurawka,konstrukcja żelbeton,ściany murowane</t>
  </si>
  <si>
    <t>dach płaski,więźba drewniana dwuspadowa</t>
  </si>
  <si>
    <t>14</t>
  </si>
  <si>
    <t>1 + podpiwniczenie</t>
  </si>
  <si>
    <t>288m2</t>
  </si>
  <si>
    <t>cegła pełna i dziurawka,konstrukcja żelbeton, stropy -na kratownicach stalowych, ściany murowane</t>
  </si>
  <si>
    <t>dach płaski, dwuspadowy</t>
  </si>
  <si>
    <t>2</t>
  </si>
  <si>
    <t>dolne boisko - nawierzchnia-kostka brukowa</t>
  </si>
  <si>
    <t>800m2</t>
  </si>
  <si>
    <t>nawierzchnia asfaltowa</t>
  </si>
  <si>
    <t>Zabezpieczenia ppoż budynku
(ilośc gaśnic)</t>
  </si>
  <si>
    <t>Zabezpieczenia ppoż budynku (iośc hydrantów)</t>
  </si>
  <si>
    <t>ul Jaśminowa 2</t>
  </si>
  <si>
    <t>100744m²</t>
  </si>
  <si>
    <t>ściany zewn i wewn z elementów prefabrykowanych, filarki okienne z cegły ceramicznej i bloczków gazobetonowych, ławy fundamentowe żelbetowe wylewane na mokro,</t>
  </si>
  <si>
    <t>płyty korytkowe oparte na ściankach ażurowych, sala gimn płyty korytkowe oparte na dźwigarach stalowych kratowych, łącznik - płyty żelbetowe prefabrykowane,</t>
  </si>
  <si>
    <t>2007r częściowa wymiana stolarki okiennej i dzwi wejściowych, 2008r - wymiana pokrycia dachowego, 2009r - wymiana instelektr parter, 2009r - zamontowanie hydrantów,</t>
  </si>
  <si>
    <t>6 szt</t>
  </si>
  <si>
    <t>3 szt</t>
  </si>
  <si>
    <t>ulSienkiewicza 24         86-300 Grudziądz</t>
  </si>
  <si>
    <t>Modernizacja dachu budynku głównego etap I 1999 rok,remont kapitalny pokrycia dachowego z wymianą instalacji odgromowej etap II 2000 rok,docieplenie dachu budynku szkoły 2004 rok,remont dachu Sali gimnastyczne i łącznika 2005 rok,częściowa wymiana okien w budynku szkoły 2006 rok</t>
  </si>
  <si>
    <t>stara część 1893r</t>
  </si>
  <si>
    <t>ulForteczna 29</t>
  </si>
  <si>
    <t>Szkoła Podstawowa nr 12             im Synów Pułku</t>
  </si>
  <si>
    <t>ul Moniuszki 14                         86-300 Grudziądz</t>
  </si>
  <si>
    <t>Ściany zewn i wewn z cegły, strop żelbetowy</t>
  </si>
  <si>
    <t>2007- remont zespołów szatniowo-sanitarnych; wymiana stolarki okiennej; 2008 - remont Sali gimnastycznej, wymiana drzwi wew;2009 - wymiana opraw oświetlenia wew, wymiana drzwi wewwymiana okien; 2010 - wymiana i montaz drzwi zewn;wymiana opraw oswietleniowych zewn,2011 - wymiana rur wod-kan, remont dachu szkoły; 2012 – remont zaplecza kuchni</t>
  </si>
  <si>
    <t>86-300 Grudziądz; ulJKochanowskiego19</t>
  </si>
  <si>
    <t>tynk cem-wap, cegła ceramiczna dziurawka, pełna,  tynk cem, płyta styropianowa, tynk mineralny</t>
  </si>
  <si>
    <t>stropodach dwuspadowy typ DMS wylewanych na belach i murach, następnie warstwa wyrównawcza z żużla granulowanego, szlichta cementowa pokryta dwukrotnie papą</t>
  </si>
  <si>
    <t xml:space="preserve">wymiana instalacji elektrycznej 2007r, remont dachu wraz z kminami 2008 r; termomodernizacja budynku 2009r; </t>
  </si>
  <si>
    <t>dobudowa szybu windy 31032009</t>
  </si>
  <si>
    <t>Al23 Stycznia 30      86-300 Grudziądz</t>
  </si>
  <si>
    <t xml:space="preserve">Gimnazjum nr 7 imgenTadeusza "Bora" Komorowskiego </t>
  </si>
  <si>
    <t>ulMikołaja z Ryńska 6,</t>
  </si>
  <si>
    <t>budynek główny szkoły - 1939r</t>
  </si>
  <si>
    <t>sala gimnastyczna wraz z kuchnią i stołówką 1981r</t>
  </si>
  <si>
    <t>plac apelowy-1964r</t>
  </si>
  <si>
    <t>1000m2</t>
  </si>
  <si>
    <t>boisko asfaltowe do gier i zabaw 1980r</t>
  </si>
  <si>
    <t>Ogrodzenie 1970r</t>
  </si>
  <si>
    <t>siatka ogrodzeniowa i pręty met</t>
  </si>
  <si>
    <t>Gimnazjum nr 7 im.gen.Tadeusza "Bora" Komorowskiego w Gudziądzu ul. Mikołaja z Ryńska 6, 86-300 Grudziądz</t>
  </si>
  <si>
    <t>Gimnazjum nr 7 im.gen.Tadusza"Bora" Komorowskiego w Grudziądzu ul.Mikołaja z Ryńska 6, 86-300 Gudziądz</t>
  </si>
  <si>
    <t>Gimnazjum nr 7 imgenTadeusza "Bora" Komorowskiego w Grudziądzu ul. Mikołaja z Ryńska 6,  86-300 Grudziądz</t>
  </si>
  <si>
    <t xml:space="preserve">Gimnazjum nr 7 im.gen.Tadeusza"Bora"Komorowskiego </t>
  </si>
  <si>
    <t>ul.Mikołaja z Ryńska 6 86-300 Grudziądz</t>
  </si>
  <si>
    <t>grgimnr7@poczta.onet.pl</t>
  </si>
  <si>
    <t>Dyrektor Szkoły - Marek Szymkowicz</t>
  </si>
  <si>
    <t>875-20-50-207</t>
  </si>
  <si>
    <t>871183397</t>
  </si>
  <si>
    <t>PKD 8531A</t>
  </si>
  <si>
    <t>Gimnazjum Nr 8 w Grudziądzu</t>
  </si>
  <si>
    <t>Gimnazjim nr 8</t>
  </si>
  <si>
    <t>Legionów 2</t>
  </si>
  <si>
    <t>Gimnazjum nr 8</t>
  </si>
  <si>
    <t>56-4644661</t>
  </si>
  <si>
    <t>gim8@grudziadz.com.pl</t>
  </si>
  <si>
    <t>mgr Sławomira Gajewska</t>
  </si>
  <si>
    <t>876-20-50-130</t>
  </si>
  <si>
    <t>871183960</t>
  </si>
  <si>
    <t>Gimnazjum  nr 9</t>
  </si>
  <si>
    <t>6884.18</t>
  </si>
  <si>
    <t>pozostałe  środki  trwałe</t>
  </si>
  <si>
    <t>Paderewskiego 10</t>
  </si>
  <si>
    <t>II</t>
  </si>
  <si>
    <t>z cegły  czerwonej na zaprawie wapiennej</t>
  </si>
  <si>
    <t>wysoki dwuspadowy kryty dachówką więź dachowa drewniana płatowo-kleszczowa</t>
  </si>
  <si>
    <t>dachówka</t>
  </si>
  <si>
    <t>2007 wymiana pokrycia dachowego,wymiana stolarki okiennej</t>
  </si>
  <si>
    <t>3</t>
  </si>
  <si>
    <t>cegła ceramiczna pełna na zaprawie wapienno-cementowej grubość 2 cegły</t>
  </si>
  <si>
    <t>dwuspadowy drewniany</t>
  </si>
  <si>
    <t>4</t>
  </si>
  <si>
    <t>bloczki gazobetonowe na zaprawie  wapiennej</t>
  </si>
  <si>
    <t>płyty  korytkowe pokryte papą</t>
  </si>
  <si>
    <t>0</t>
  </si>
  <si>
    <t>Gimnazjum nr 9</t>
  </si>
  <si>
    <t>nie  dotyczy</t>
  </si>
  <si>
    <t>Gimnazjum   nr 9</t>
  </si>
  <si>
    <t>ILO</t>
  </si>
  <si>
    <t>Sienkiewicza 27</t>
  </si>
  <si>
    <t>2434.22</t>
  </si>
  <si>
    <t>tradycyjna z cegły ceramicznej pełnej</t>
  </si>
  <si>
    <t>Dach o konstrukcji drewnianej</t>
  </si>
  <si>
    <t>Remont dachu wymiana pokrycia papowego na papę termozgrzewalną 2001-2003,wymiana starych okien drewnianych na nowe drewniane /50%/2009-2011,naprawa gzymsów</t>
  </si>
  <si>
    <t xml:space="preserve">tradycyjna z cegły ceramicznej </t>
  </si>
  <si>
    <t>płaski</t>
  </si>
  <si>
    <t>Rrmont dachu wymiana pokrycia papowego na papę termozgrzewalną 2001-2003,termomodernizacja budynku - 2012</t>
  </si>
  <si>
    <t xml:space="preserve">płaski </t>
  </si>
  <si>
    <t>Remont dachu głównego ,pokrycie ceramiką dachu przybudówki/wejście do budynku,wymiana instalacji odgromowej - 2011</t>
  </si>
  <si>
    <t>Monitoring</t>
  </si>
  <si>
    <t>monitoring</t>
  </si>
  <si>
    <t>tak</t>
  </si>
  <si>
    <t>VIII/2012</t>
  </si>
  <si>
    <t>VIII/2011</t>
  </si>
  <si>
    <t>III/2012</t>
  </si>
  <si>
    <t>86-300 Grudziądz ul.Sienkiewicza 27</t>
  </si>
  <si>
    <t>lo1s@wp.pl</t>
  </si>
  <si>
    <t>Grazyna Mielnikiewicz  Dyrektor szkoły</t>
  </si>
  <si>
    <t>0000213233</t>
  </si>
  <si>
    <t>II Liceum Ogólnokształcące w Grudziądzu ul. Marcinkowskiego 10</t>
  </si>
  <si>
    <t>II Liceum Ogólnokształcące  im. Króla Jana III Sobieskiego</t>
  </si>
  <si>
    <t>ul. Marcinkowskiego 10 86-300 Grudziąz</t>
  </si>
  <si>
    <t xml:space="preserve">1910-1916 - budynek z salą gimnastyczną, 1970 - sanitariaty </t>
  </si>
  <si>
    <t>budynek z salą gimnastyczną - z cegły ceramicznej na zaprawie cementowo-wapiennej, tynki cementowo-wapienne gładkie</t>
  </si>
  <si>
    <t>budynek  główny - konstrukcja  drewniana,  dach na sali gimnastycznej - konstrukcja drewniana, dach na sanitariatach - drewniany.</t>
  </si>
  <si>
    <t>budynek  główny -    dach pokryty dachówką ceramiczną, dach na sali gimnastycznej, pokryty papą, dach na sanitariatach -  pokryty papą.</t>
  </si>
  <si>
    <t>2010 rok - zamontowanie hydrantów p.poż., zamontowane na parterze, I i II piętrze na warość ogółem: 8293,80 złotych</t>
  </si>
  <si>
    <t>II Liceum Ogólnokształcące  86-300 Grudziądz, ul. Marcinkowskiego 10</t>
  </si>
  <si>
    <t>II liceum Ogólnokształcące 86-300 Grudziądz, ul. Marcinkowskiego 10</t>
  </si>
  <si>
    <t>II Licieum Ogólnokształcące im. Króla Jana III Sobieskiego</t>
  </si>
  <si>
    <t>ul. Marcinkowskiego 10</t>
  </si>
  <si>
    <t>56 46222 65</t>
  </si>
  <si>
    <t>dyrektor@lo2.grudziadz.pl</t>
  </si>
  <si>
    <t>Małgorzata Tomaszewska</t>
  </si>
  <si>
    <t>876-13-95-298</t>
  </si>
  <si>
    <t>001272410</t>
  </si>
  <si>
    <t>802110</t>
  </si>
  <si>
    <t>III Liceum Ogólnokształcące im. Jana Pawła II w Grudziądzu</t>
  </si>
  <si>
    <t>III LO im. JP II w Grudziądzu</t>
  </si>
  <si>
    <t>III Liceum Ogólnokształcące w Grudziądzu</t>
  </si>
  <si>
    <t>III LO im. JP II G-dz</t>
  </si>
  <si>
    <t>ul. Legionów 2</t>
  </si>
  <si>
    <t>56/6423510</t>
  </si>
  <si>
    <t>liceum3grud@op.pl</t>
  </si>
  <si>
    <t>mgr Roman Cegiełkowski</t>
  </si>
  <si>
    <t>871714363</t>
  </si>
  <si>
    <t>8531B</t>
  </si>
  <si>
    <t>IV Liceum Ogólnokształcące im. Kazimierza Wielkiego</t>
  </si>
  <si>
    <t>IV LO - segment D ( IV LO zajmuje 2 segmenty należące do ZSO nr 2, te 2 segmenty wykazano również w ZSO nr 2)</t>
  </si>
  <si>
    <t>ul.Sobieskiego 12                     86-300 Grudziądz</t>
  </si>
  <si>
    <t>1986r.</t>
  </si>
  <si>
    <t>1.462,60m2</t>
  </si>
  <si>
    <t>ściany fundamentowe betonowe, ściany zewnętrzne dwuwarstwowe</t>
  </si>
  <si>
    <t>stropy żelbetowe z prefabrykowanych płyt kanałowych</t>
  </si>
  <si>
    <t xml:space="preserve">papa termozgrzewalna; </t>
  </si>
  <si>
    <t>termomodernizacja budynku - wrzesień 2010r.</t>
  </si>
  <si>
    <t>IV LO - segment E ( IV LO zajmuje 2 segmenty należące do ZSO nr 2, te 2 segmenty wykazano również w ZSO nr 2)</t>
  </si>
  <si>
    <t>1988r.</t>
  </si>
  <si>
    <t>1.670,72m2</t>
  </si>
  <si>
    <t>IV LO</t>
  </si>
  <si>
    <t>budynki należą do ZSO nr2</t>
  </si>
  <si>
    <t>IV Liceum Ogólnokształcące</t>
  </si>
  <si>
    <t>86-300 Grudziądz ul. Sobieskiego 12</t>
  </si>
  <si>
    <t>56 46 285 18</t>
  </si>
  <si>
    <t>dyrektor@lo4.grudziadz.pl</t>
  </si>
  <si>
    <t>Dyrektor Beata Sikorska</t>
  </si>
  <si>
    <t>876-13-71-033</t>
  </si>
  <si>
    <t>870001017</t>
  </si>
  <si>
    <t xml:space="preserve">Zespół Szkół Ogólnokształcących Nr 1 w Grudziądzu </t>
  </si>
  <si>
    <t>Ul. Droga Mazurska 2 86-300 Grudziądz</t>
  </si>
  <si>
    <t>ściany wewnętrzne i zewnętrzne murowane z prefabrykowanych bloczków żelbetowych i cegły</t>
  </si>
  <si>
    <t xml:space="preserve">stropodach żelbetowy </t>
  </si>
  <si>
    <t>2009-remont dachu , 2010-wymiana okien</t>
  </si>
  <si>
    <t>17</t>
  </si>
  <si>
    <t xml:space="preserve"> </t>
  </si>
  <si>
    <t>ul. Droga Mazurska 2          86-300 Grudziądz</t>
  </si>
  <si>
    <t>56 46 517 01</t>
  </si>
  <si>
    <t>dyrektor@zso1grudziądz.pl</t>
  </si>
  <si>
    <t>Marlena Treichel</t>
  </si>
  <si>
    <t>876-223-14-81</t>
  </si>
  <si>
    <t>871680598</t>
  </si>
  <si>
    <t>80210</t>
  </si>
  <si>
    <t>Zespół Szkół Ogólnokształcących Nr 2</t>
  </si>
  <si>
    <t>Zaespół Szkół Ogólnokształcących Nr 2  segment A</t>
  </si>
  <si>
    <t>ul.Sobieskiego 12           86-300 Grudziądz</t>
  </si>
  <si>
    <t>1987r.</t>
  </si>
  <si>
    <t>2.292,69m2</t>
  </si>
  <si>
    <t>Zaespół Szkół Ogólnokształcących Nr 2  segment B</t>
  </si>
  <si>
    <t>2.102,77m2</t>
  </si>
  <si>
    <t xml:space="preserve">papa asfaltowa; </t>
  </si>
  <si>
    <t>Zaespół Szkół Ogólnokształcących Nr 2  segment C</t>
  </si>
  <si>
    <t>Zaespół Szkół Ogólnokształcących Nr 2  segment D - IV LO</t>
  </si>
  <si>
    <t>Zaespół Szkół Ogólnokształcących Nr 2  segment E - IV LO</t>
  </si>
  <si>
    <t>Zaespół Szkół Ogólnokształcących Nr 2  segment F - sala gimnastyczna</t>
  </si>
  <si>
    <t>1990r.</t>
  </si>
  <si>
    <t>2.035,13m2</t>
  </si>
  <si>
    <t>ścianyf undamentowe betonowe, ściany zewnętrzne zewnętrzne i wewnętrzne z cegły i gazobetonu</t>
  </si>
  <si>
    <t>stropy : dźwigary stalowe dachowe</t>
  </si>
  <si>
    <t>Zaespół Szkół Ogólnokształcących Nr 2  segment G - kryta pływalnia</t>
  </si>
  <si>
    <t>1993r.</t>
  </si>
  <si>
    <t>847,28m2</t>
  </si>
  <si>
    <t>konstrukcja szkieletowa, wypełnienie cegłą oraz gazobeton</t>
  </si>
  <si>
    <t>stropy : dźwigary dachowe z drewna klejonego</t>
  </si>
  <si>
    <t>Zaespół Szkół Ogólnokształcących Nr 2  - łącznik</t>
  </si>
  <si>
    <t>1 203,16m2</t>
  </si>
  <si>
    <t xml:space="preserve">papa termozgrzewalna i asfaltowa </t>
  </si>
  <si>
    <t xml:space="preserve">Zaespół Szkół Ogólnokształcących Nr 2  </t>
  </si>
  <si>
    <t>ul. Sobieskiego 12</t>
  </si>
  <si>
    <t>(56) 46-54-770</t>
  </si>
  <si>
    <t>ksiegowosc@zso2.grudziadz.pl</t>
  </si>
  <si>
    <t>Hanna Kuszajewska</t>
  </si>
  <si>
    <t>871679715</t>
  </si>
  <si>
    <t>8560Z</t>
  </si>
  <si>
    <t>Zespół Szkół Ogólnokształcących Nr 3 ul. Korczka 23</t>
  </si>
  <si>
    <t xml:space="preserve">ul. Korczka 23 </t>
  </si>
  <si>
    <t>2.284,09 m2</t>
  </si>
  <si>
    <t>żelbetowe</t>
  </si>
  <si>
    <t>płyty kanałowe i korytkowe DK</t>
  </si>
  <si>
    <t>papowe</t>
  </si>
  <si>
    <t>wymiana stolarki drzwiowej, okiennej na PCV - 2000r, 2002r, 2005r, 2007r, 2010r, wymiana dźwigu towarowego 100kg - 2002r, konserwacja pokrycia papowego dachu 2000r</t>
  </si>
  <si>
    <t>2.027,09 m2</t>
  </si>
  <si>
    <t>wymiana stolarki okiennej na PCV -2000r, 2001r, 2002r, 2007r, 2010r, konserwacja pokrycia papowego dachu 2005r</t>
  </si>
  <si>
    <t>1.470,03 m2</t>
  </si>
  <si>
    <t>wymiana stolarki okiennej na PCV 2000r, 2010r. Konserwacja pokrycia papowego dachu 2002r, 2005r</t>
  </si>
  <si>
    <t>2.026,86 m2</t>
  </si>
  <si>
    <t>wymiana stolarki okiennej na PCV 2000r, 2002r, 2005r, 2010r, konserwacja pokrycia papowego dachu 2000r, 2002r, 2005r</t>
  </si>
  <si>
    <t>1.667,00 m2</t>
  </si>
  <si>
    <t>wymiana stolarki drzwiowej i okiennej na PCV 2003r, 2007r, 2010r, położenie papy termozgrzewalnej wolnej 2002r,</t>
  </si>
  <si>
    <t>2.137,88 m2</t>
  </si>
  <si>
    <t>wymiana stolarki okiennej na PCV 2007r, 2010r, konserwacja pokrycia papowego dachu 2000r, cyklinowanie parkietu 2010r, 2011r</t>
  </si>
  <si>
    <t>768,66 m2</t>
  </si>
  <si>
    <t>stropodach</t>
  </si>
  <si>
    <t>wymiana stolarki drzwiowo okiennej na PCV 2007r, 2010r, konserwacja pokrycia papowego dachu 2002r, 2005r</t>
  </si>
  <si>
    <t>ZSO nr 3 seg. B</t>
  </si>
  <si>
    <t>ZSO nr 3 seg. C</t>
  </si>
  <si>
    <t>ZSO nr 3 seg. E</t>
  </si>
  <si>
    <t>ZSO nr 3 seg. F</t>
  </si>
  <si>
    <t>ZSO nr 3 seg. G</t>
  </si>
  <si>
    <t>ZSO nr 3 łączniki 1, 2, 3</t>
  </si>
  <si>
    <t>Zespół Szkół Ogólnokształcących Nr 3</t>
  </si>
  <si>
    <t>ul. Korczka 23, 86-300 Grudziądz</t>
  </si>
  <si>
    <t>grudz5lo@poczta.onet.pl</t>
  </si>
  <si>
    <t>Lachowska Katarzyna, Gawrońska Ewa, Gawlik Czesław</t>
  </si>
  <si>
    <t>876-19-76-954</t>
  </si>
  <si>
    <t>871086961</t>
  </si>
  <si>
    <t xml:space="preserve">312- G12, 522- SP7, 45- VLO ogółem - 879                                                 </t>
  </si>
  <si>
    <t>Zespół Szkół Ogólnokształcących Nr 4</t>
  </si>
  <si>
    <t>Zespół Szkół Ogólnokształcących Nr 4 - sala gimnastyczna</t>
  </si>
  <si>
    <t>ul. Żeromskiego 8 86-300 Grudziądz</t>
  </si>
  <si>
    <t>kubatura 7009 m3</t>
  </si>
  <si>
    <t>cegła, suporex, konstrukcja metalowa</t>
  </si>
  <si>
    <t>płyty stropowe</t>
  </si>
  <si>
    <t>kubatura 9720m3</t>
  </si>
  <si>
    <t>ściany nośne - cegła, elewacja- tynki kat. III z natryskiem cementowym</t>
  </si>
  <si>
    <t>stropy - płyty kanałowe</t>
  </si>
  <si>
    <t>konstrukcja drewniana  kryta dachówką</t>
  </si>
  <si>
    <t>12 szt.</t>
  </si>
  <si>
    <t>Zespół Szkół Ogółnokształcących Nr 4</t>
  </si>
  <si>
    <t>(56) 4653005</t>
  </si>
  <si>
    <t>dyrektor@zso4.grudziadz.pl</t>
  </si>
  <si>
    <t>Bartosz Siedlecki</t>
  </si>
  <si>
    <t>876-237-21-58</t>
  </si>
  <si>
    <t>34034609</t>
  </si>
  <si>
    <t>Zespół Szkół Ogólnokształcących nr 5</t>
  </si>
  <si>
    <t>ZSO nr 5 - Segment A</t>
  </si>
  <si>
    <t>ul. Nauczycielska 19</t>
  </si>
  <si>
    <t>elementy prefabrykowane</t>
  </si>
  <si>
    <t>płyty korytkowwe</t>
  </si>
  <si>
    <t>5</t>
  </si>
  <si>
    <t>ZSO nr 5 - Segment B</t>
  </si>
  <si>
    <t>Konserwacja dachu VII/2012</t>
  </si>
  <si>
    <t>ZSO nr 5 - Segment C</t>
  </si>
  <si>
    <t>ZSO nr 5 - Łącznik miedzysegmentowy</t>
  </si>
  <si>
    <t>ZSO nr 5 - Segment D</t>
  </si>
  <si>
    <t>ZSO nr 5 - Segment E</t>
  </si>
  <si>
    <t>ZSO nr 5 - Basen</t>
  </si>
  <si>
    <t>ZSO nr 5 - Hala Widowiskowo-Sportowa</t>
  </si>
  <si>
    <t>słupy stalowe wielogałęziowe</t>
  </si>
  <si>
    <t>płyty atlantis oparte na dźwigarach z drewna klejonego</t>
  </si>
  <si>
    <t>płyty "Atlantis"</t>
  </si>
  <si>
    <t>Zespół Szkół Ogółnokształcących nr 5</t>
  </si>
  <si>
    <t>86-300 Grudziądz, ul. Nauczycielska 19</t>
  </si>
  <si>
    <t>56 46 46606</t>
  </si>
  <si>
    <t>dyrektor@zso5grudziadz.pl</t>
  </si>
  <si>
    <t>Janusz Januszewski</t>
  </si>
  <si>
    <t>876-22-30-642</t>
  </si>
  <si>
    <t>871679709</t>
  </si>
  <si>
    <t>7414A</t>
  </si>
  <si>
    <t>Przedszkole Miejskie "Kopernik" w Grudziądzu</t>
  </si>
  <si>
    <t>Przedszkole Miejskie "Kopernik"</t>
  </si>
  <si>
    <t>ul. Dworcowa 35</t>
  </si>
  <si>
    <t>907,85 m2</t>
  </si>
  <si>
    <t>ściany nośne murowane z pełnej cegły, ściany działowe z cegły kratówki i dziurawki</t>
  </si>
  <si>
    <t>dwuspadowy o konstrukcji drewnianej</t>
  </si>
  <si>
    <t>2007 r. wykonanie chodnika i placu z kostki polbruku na podsypce piaskowo-cementowej wraz z obrzeżami, wykonanie remontu łazienki dziecięcej w Sali oddziałyu II "Zające";2008 r. roboty malarskie w szatniach dziecięcych I i II; 2009 r. remont dachu wraz z obróbką blacharsk ą w budynku przedszkola, roboty malarskie i tapeciarskie (hol) w budynku przedszkola; 2010 r. -montaż drzwi wejściowych w sali zabaw (ewakuacyjne) "Krasnale" i w holu przedszkola (skrzydło z pomieszczeniami biurowymi), wymiana stolarki okiennej (6 szt.- zmywalnia, magazyn, gabinet terapeutyczny, rozdzielnia naczyń, obieralnia); 2011r.- remont zmywalni naczyń</t>
  </si>
  <si>
    <t>7</t>
  </si>
  <si>
    <t>ul. Konarskiego 10</t>
  </si>
  <si>
    <t>694,29 m2</t>
  </si>
  <si>
    <t>ściany zewnętrzne wykonane z cegły pełnej i bloczków gazobetonowych, ściany działowe- ściany konstrukcyjne wykonane z pełnej cegly na zaprawie cementowej oraz  ścianki działowe wykonane z cegły kratówki i dziurawki na zaprawie cementowej</t>
  </si>
  <si>
    <t>konstrukcja drewniana, dach krokwiowy</t>
  </si>
  <si>
    <t>2006 r. - remont komina; 2008 r. - remont węzła sanitarnego dla dzieci, wymiana okien na drewniane; 2009r. - termomodernizacja budynku</t>
  </si>
  <si>
    <t>ul. Kalinkowa 46</t>
  </si>
  <si>
    <t>487 m2</t>
  </si>
  <si>
    <t>ściany zewnętrzne wykonane z cegły pełnej i bloczków gazobetonowych na zaprawie cementowo- wap., scianki działowe- ściany konstrukcyjne wewnętrzne z cegły pełnej na zaprawie cem.wap., pozostałe ścianki działowe z cegły kratówki i dziurawki na zaprawie cem.-wap.</t>
  </si>
  <si>
    <t>2005 r. -remont ogrodzenia (uzupełnienie brakujących przęseł wykonanych z siatki w ramkach z katownika oraz brakujących słupków), remont łazienki- I piętro; 2007 r. -remont łazienki- parter; 2009 r. -roboty remontowe zmywalni i wydawalni posiłków; 2010 r.- montaż drzwi wejściowych do budynku przedszkola (wejście główne), remont pokrycia dachowego; 2012- termomodernizacja budynku</t>
  </si>
  <si>
    <t>Przedszkole Miejskie "KOPERNIK"</t>
  </si>
  <si>
    <t>aktualizacja 18.01.2012r.</t>
  </si>
  <si>
    <t>14.06.2012r.</t>
  </si>
  <si>
    <t>czerwiec 2010r.</t>
  </si>
  <si>
    <t>27.06.2012r.</t>
  </si>
  <si>
    <t>25.06.2012r.</t>
  </si>
  <si>
    <t>07.03.2012r.</t>
  </si>
  <si>
    <t>Przedszkole Miejskie "KOPERNIK" ul.Dworcowa 35</t>
  </si>
  <si>
    <t>Przedszkole Miejskie "KOPERNIK" ul.Konarskiego 35</t>
  </si>
  <si>
    <t>Przedszkole Miejskie "KOPERNIK" ul. Kalinkowa 35</t>
  </si>
  <si>
    <t>ul. Dworcowa 35, 86-300 Grudziądz</t>
  </si>
  <si>
    <t>56 46-244-48</t>
  </si>
  <si>
    <t>ksiegowosc@pmkopernik.grudziadz.pl</t>
  </si>
  <si>
    <t>Gabriela Cebulska</t>
  </si>
  <si>
    <t>876-244-38-52</t>
  </si>
  <si>
    <t>340852607</t>
  </si>
  <si>
    <t>Przedszkole Miejskie Mniszek</t>
  </si>
  <si>
    <t>ul Sportowców 2</t>
  </si>
  <si>
    <t>1956 rok</t>
  </si>
  <si>
    <t>1+poddasze+podpiwniczenie</t>
  </si>
  <si>
    <t>282,30m.kw</t>
  </si>
  <si>
    <t>stała</t>
  </si>
  <si>
    <t>stalowa</t>
  </si>
  <si>
    <t>blachodachówka</t>
  </si>
  <si>
    <t>termomodernizacja budynku 2011r,remont tarasu 2011</t>
  </si>
  <si>
    <t>PM Mniszek</t>
  </si>
  <si>
    <t>aktualizacja 04.01.2012</t>
  </si>
  <si>
    <t xml:space="preserve">przegląd gaśnic , hydrantu - protokół nr 107/M1/2012 -11.06.2012r </t>
  </si>
  <si>
    <t>badanie ciśnienia i wydajności hydrantu - 107/M1/2012 - 11.06.2012</t>
  </si>
  <si>
    <t>protokół 52/2011 z dnia 12.09.2011</t>
  </si>
  <si>
    <t>protokół nr 386/12 z dnia 28.08.2012</t>
  </si>
  <si>
    <t>protokół z dnia 29.08.2012</t>
  </si>
  <si>
    <t>5-letni - protokół 7/V/2011 , roczny - protokół 13/2012 z dnia 28.04.2012</t>
  </si>
  <si>
    <t>PM"Mniszek"</t>
  </si>
  <si>
    <t>86-300 Grudziądz ul Sportowców 2</t>
  </si>
  <si>
    <t>dyrektor@pmmniszek.grudziadz.pl</t>
  </si>
  <si>
    <t>Deptuła Mirela</t>
  </si>
  <si>
    <t>340852620</t>
  </si>
  <si>
    <t>Przedszkole Miejskie "RZĄDZ" ul . Łęgi 17 86-300 Grudziądz</t>
  </si>
  <si>
    <t>dwu kondygnacyjny  + podpiwniczenie</t>
  </si>
  <si>
    <t xml:space="preserve">1.039,25 metry kwadratowe </t>
  </si>
  <si>
    <t xml:space="preserve">rodzaj budynku: wolnostojący; konstrukcja budynku: budynek wykonany w technologii BSBO, fundamenty i ściany piwnic: fundamenty żelbetowe z betonu B - 15, ściany piwnic betonowe i żelbetonowe z oblicowaniem po obwodzie; izolacja ścian pionowa z masy bitumicznej; ściany nośne:ściana podlużna -  konstrukcja szkieletowa, ściany wewnętrzne murowane z cegły żerańskiej gr. 24 cm na zaprawie cementowo - wapiennej; stropy: wykonane z płyt kanałowych, przewody wentylacyjne prefabrykowane - żelbetonowe; stolarka okinna i drzwiowa  wymieniona na stolarkę PCV. </t>
  </si>
  <si>
    <t xml:space="preserve"> konstrukcja dachu:dach płaski o spadku 10% z płyt korytkowych, stropodach wentylowany,  </t>
  </si>
  <si>
    <t xml:space="preserve"> rodzaj pokrycia dachowego: kryty papą termozgrzewalną,   </t>
  </si>
  <si>
    <t>stolarka okinna i drzwiowa całkowicie wymieniona na stolarkę PCV, roboty remontowe pokrycia dachowego: 2007 r.polegający na wymianie pokrycia dachowego na papę termozgrzewalną, roboty remontowe ( malowanie , tapetowanie ścian) oraz roboty instalacji elektrycznej w dwóch salach zajęć: 2009r, 2010r., prace  termo - modernizacja budynku: 2011r.</t>
  </si>
  <si>
    <t>Przegląd sprzętu gaśniczego, węży i instalacji hydrantowej: ilość gaśnic -5</t>
  </si>
  <si>
    <t>Przegląd sprzętu gaśniczego, węży i instalacji hydrantowej: ilość hydrantów - 3</t>
  </si>
  <si>
    <t xml:space="preserve">dwu kondygnacyjny + częściowe podpiwniczenie </t>
  </si>
  <si>
    <t xml:space="preserve">1.094,22 metry kwadratowe </t>
  </si>
  <si>
    <t xml:space="preserve"> budynek użyteczności publicznej, wolnostojący; konstrukcja budynku:budynek wykonany w technologii BSBO, fundamenty i ściany piwnic: fundamenty żelbetowe z betonu B - 15, ściany piwnic betonowe i żelbetonowe z oblicowaniem po obwodzie; izolacja ścian pionowa z masy bitumicznej; ściany nośne:ściana podlużna -  konstrukcja szkieletowa, ściany wewnętrzne murowane z cegły żerańskiej gr. 24 cm na zaprawie cementowo - wapiennej; stropy: wykonane z płyt kanałowych, przewody wentylacyjne prefabrykowane - żelbetonowe;</t>
  </si>
  <si>
    <t xml:space="preserve"> konstrukcja dachu:dach płaski z płyt korytkowych, opartych na ściankach ażurowych, stropodach wentylowany, element nośny- płyty kanałowe  </t>
  </si>
  <si>
    <t xml:space="preserve"> rodzaj pokrycia dachowego: kryty papą termozgrzewalną   </t>
  </si>
  <si>
    <t>stolarka okinna częściowo wymieniona na stolarkę PCV, roboty malarskie  ( malowanie , tapetowanie ścian) w 4 salach dziecięcych, szatni dziecięcej, klatki schodowej: 2010r., 2011r,. roboty remontowe węzła sanitarnego dla dzieci: 2008r., remont balkonu i części tarasu: 2009r., roboty remontowe pokrycia dachowego: 2009 r. polegający na wymianie pokrycia dachowego na papę termozgrzewalną,</t>
  </si>
  <si>
    <t>Przegląd sprzętu gaśniczego, węży i instalacji hydrantowej: ilość gaśnic-7</t>
  </si>
  <si>
    <t>Przegląd sprzętu gaśniczego, węży i instalacji hydrantowej: ilość hydrantów - 9</t>
  </si>
  <si>
    <t>Monitorowanie systemu alarmowego wraz z dojazdem i interwencją załóg patrolowych</t>
  </si>
  <si>
    <t xml:space="preserve">Przedszkole Miejskie "RZĄDZ" </t>
  </si>
  <si>
    <t>Przedszkole Miejskie"RZĄDZ" w Grudziądzu</t>
  </si>
  <si>
    <t>aktualizacja Instrukcji Bezpieczeństwa Pożarowego - aktualizacja 21.01.2011r.</t>
  </si>
  <si>
    <t>ul . Łęgi 17 86-300 Grudziądz</t>
  </si>
  <si>
    <t>Przedszkole Miejskie "Strzemięcin"</t>
  </si>
  <si>
    <t>obiekty inżynierii wodnej i lądowej, grunty</t>
  </si>
  <si>
    <t>Przedszkole Miejskie "Strzemięcin</t>
  </si>
  <si>
    <t>ul. Korczaka 21</t>
  </si>
  <si>
    <t>technologia mieszana (żelbetonowo-ceglano-płytowa)</t>
  </si>
  <si>
    <t>dach dwuspadowy</t>
  </si>
  <si>
    <t>Budynek po termomodernizacji rok 2011. Wymiana stolarki drzwiowej zewnętrznej oraz stolarka okienna (lata 2005-2011 r.)</t>
  </si>
  <si>
    <t>11</t>
  </si>
  <si>
    <t>ul. Jackowskiego 47</t>
  </si>
  <si>
    <t>Wymiana stolarki drzwiowej zewnętrznej oraz stolarki okiennej (lata 2006-2010)</t>
  </si>
  <si>
    <t>Przedszkole Miejskie "Strzemięcin" (budynek ul. Korczaka 21 i Jackowskiego 47)</t>
  </si>
  <si>
    <t>Przedszkole Miejskie Śródmieście ul.Groblowa 15 G-dz</t>
  </si>
  <si>
    <t>PMŚródmieście</t>
  </si>
  <si>
    <t>ul.Groblowa 15 G-dz</t>
  </si>
  <si>
    <t>Murowane z cegły,bloczki betonowe oraz gipsowych</t>
  </si>
  <si>
    <t xml:space="preserve">Stropo dach wentylowany z warstwą żużla </t>
  </si>
  <si>
    <t>Papa termozgrzewalna</t>
  </si>
  <si>
    <t>2004 remont dachu</t>
  </si>
  <si>
    <t>Konsalnet</t>
  </si>
  <si>
    <t>PM Śródmieście</t>
  </si>
  <si>
    <t>12/2010</t>
  </si>
  <si>
    <t>09/2011</t>
  </si>
  <si>
    <t>07/2012</t>
  </si>
  <si>
    <t>08/2012</t>
  </si>
  <si>
    <t xml:space="preserve">Przedszkole Miejskie Śródmieście </t>
  </si>
  <si>
    <t>ul.Groblowa 15</t>
  </si>
  <si>
    <t>5646239-49</t>
  </si>
  <si>
    <t>ksiegowosc@pmsrodmiesciegrudziadz.pl</t>
  </si>
  <si>
    <t>H.Czarnecka, Ż.Sokołowska</t>
  </si>
  <si>
    <t>340852613</t>
  </si>
  <si>
    <t>Przedszkole Miejskie Śródmieście</t>
  </si>
  <si>
    <t>Przedszkole Miejskie Tarpno</t>
  </si>
  <si>
    <t>ul. Legionów 30 
86-300 Grudziądz</t>
  </si>
  <si>
    <t>II ćwierć XX wieku</t>
  </si>
  <si>
    <t>murowny, z cegły ceramicznej</t>
  </si>
  <si>
    <t xml:space="preserve">drewniana </t>
  </si>
  <si>
    <t>Remont dachu, wymiana rynien-2000,
remont wc dziecięcy parter, modernizacja zmywalni-1999,
remont i modernizacja kompleksu kuchennego-2001,
prace malarsko-tapeciarskie w salach i korytarz 2006,2007</t>
  </si>
  <si>
    <t>6</t>
  </si>
  <si>
    <t>Ul. Dąbrówki 6 86-300 Grudziądz</t>
  </si>
  <si>
    <t>drewniane, obite elementami z płyt paździerzowych + płyty elewacyjne-panele</t>
  </si>
  <si>
    <t>Wymiana wewnętrznej instalacji co - 1999,
pokrycie dachu papą termozgrzewalną - 2005,2006,
modernicacja kuchni-2010</t>
  </si>
  <si>
    <t>Przedszskole Miejskie Tarpno</t>
  </si>
  <si>
    <t>ul.Legionów 30
ul. Dąbrówki 6</t>
  </si>
  <si>
    <t>564622716
564626482</t>
  </si>
  <si>
    <t>dyrektor@pmtarpno.grudziadz.pl</t>
  </si>
  <si>
    <t>Maria Bonk</t>
  </si>
  <si>
    <t>340852599</t>
  </si>
  <si>
    <t>Zespół Szkół Ekonomicznych w Grudziądzu</t>
  </si>
  <si>
    <t>Zespół Szkół Ekonomicznych</t>
  </si>
  <si>
    <t>Konarskiego 39</t>
  </si>
  <si>
    <t>murowane z cegły</t>
  </si>
  <si>
    <t xml:space="preserve">rok 2010 osuszeni i ułożenie izolacji pionowej </t>
  </si>
  <si>
    <t>Zespół Szkół Ekonomicznych w Grudziadzu</t>
  </si>
  <si>
    <t>86-300 Grudziadz, ul. Konarskiego 39</t>
  </si>
  <si>
    <t>(56)4658544</t>
  </si>
  <si>
    <t>zse_grudziadz@poczta.onet.pl</t>
  </si>
  <si>
    <t>Grażyna Leśniewska</t>
  </si>
  <si>
    <t>000184336</t>
  </si>
  <si>
    <t>8022G</t>
  </si>
  <si>
    <t>Zespół Szkół Rolniczych ul. Lipowa 33 Grudziądz</t>
  </si>
  <si>
    <t>Grudziądz, ul. Lipowa 33</t>
  </si>
  <si>
    <t>3+1+1</t>
  </si>
  <si>
    <t>3.336,90 m²</t>
  </si>
  <si>
    <t>żelbetowa prefabrykowana z wypełnieniem z gazobetonu i cegły pełnej</t>
  </si>
  <si>
    <t>stropodach z płyt prefabrykowanych korytkowych</t>
  </si>
  <si>
    <t>papa termozgrzewalna i papa (w większej części bez termoizolacji)</t>
  </si>
  <si>
    <t xml:space="preserve">Wymiana stolarki okiennej i drzwiowej - 2000 r do 2010r..
 Remont dachu nad aulą w cz. I kondygnacyjnej z termoiizolacją  - 2002r.; Remont dachu części III kondygnacyjnej  - 2006r. - połozenie papy termozgrzewalnej; Remont zewnętrznych , frontowych schodów - 2010 r. - wylewane z okładziną z płytek mrozoodpornych, Polbruk;  
Remont dachu łącznika  - 2010 r. - położenie papy termozgrzewalnej z tremoizolacją.
Termo modernizacja budynku - 2010/2011 - ocieplenie ścian zewnetrznych  z zastosowaniem styropianu  z warstwą siatki zbrojeniowej, renowacja cokołu -ocieplenie styropianem, połozenie tynku mozaikowego.  
Remont zewnętrznych schodów od szczytu budynku  - 2011 r. - wyłożenie warstwy lastryka.
Wymiana instalacji elektrycznej aluminiowej na miedzianą sukcesywnie przy okazji remontów pomieszczeń - 2007 r. do 2011 r.  - 12 pomieszczeń.
</t>
  </si>
  <si>
    <t xml:space="preserve">gaśnice proszkowe 6 kg - 9 szt, gaśnice śniegowe 5 kg - 7 </t>
  </si>
  <si>
    <t>hydranty HW -25 - 6 szt</t>
  </si>
  <si>
    <t>I kondygnacyjny</t>
  </si>
  <si>
    <t>608,1 m²</t>
  </si>
  <si>
    <t>papa termozgrzewalna          ( bez termoizolacji)</t>
  </si>
  <si>
    <t xml:space="preserve">Wymiana części stolarki okiennej - 2006 r,
Remont dachu - papa termozgrzewalna - 2009 r.
</t>
  </si>
  <si>
    <t xml:space="preserve">gaśnica proszkowa 12 kg - 1 szt,
gaśnica śniegowa ABC 6 kpg  1 szt
</t>
  </si>
  <si>
    <t>161 m²</t>
  </si>
  <si>
    <t>ściany murowane z cegły, i bloków gazobetonowych</t>
  </si>
  <si>
    <t>żelbetowe, z płyt korytkowych</t>
  </si>
  <si>
    <t>59 m²</t>
  </si>
  <si>
    <t>płyty żerańskie</t>
  </si>
  <si>
    <t>Grudziądz, ul. Trynkowa</t>
  </si>
  <si>
    <t>16,8 m²</t>
  </si>
  <si>
    <t>cegła i 1 z betonu</t>
  </si>
  <si>
    <t>stropodach niwentylowany z płut żerańskich</t>
  </si>
  <si>
    <t>Zaspół Szkół Rolniczych - budynek szkoły+łacznik+sala gimnastyczna</t>
  </si>
  <si>
    <t>Zaspół Szkół Rolniczych - Budynek garaży szkolnych</t>
  </si>
  <si>
    <t>Zaspół Szkół Rolniczych - Budynek hydroforni</t>
  </si>
  <si>
    <t>Zaspół Szkół Rolniczych - budynek przepompowni ścieków</t>
  </si>
  <si>
    <t>Zaspół Szkół Rolniczych - Budynek zajęć praktycznych</t>
  </si>
  <si>
    <t xml:space="preserve"> Zaspół Szkół Rolniczych - budynek szkoły+łacznik+sala gimnastyczna</t>
  </si>
  <si>
    <t>Zaspół Szkół Rolniczych -  Budynek zajęć praktycznych</t>
  </si>
  <si>
    <t>Zaspół Szkół Rolniczych -  Budynek hydroforni</t>
  </si>
  <si>
    <t xml:space="preserve"> luty 2011</t>
  </si>
  <si>
    <t>sierpień 2008 r</t>
  </si>
  <si>
    <t xml:space="preserve"> sierpień 2011</t>
  </si>
  <si>
    <t xml:space="preserve">30.03.2011 r- na pięć lat; 04.07.2011 - raz w roku,  </t>
  </si>
  <si>
    <t xml:space="preserve">Zespół Szkół Rolniczych </t>
  </si>
  <si>
    <t>ul. Lipowa 33, 86-300 Grudziądz</t>
  </si>
  <si>
    <t>56 46 482 40</t>
  </si>
  <si>
    <t>sekretariat7@wp.pl</t>
  </si>
  <si>
    <t>876-13-70-401</t>
  </si>
  <si>
    <t>000096141</t>
  </si>
  <si>
    <t>CG29066</t>
  </si>
  <si>
    <t>KL1SF48TJ6B531414</t>
  </si>
  <si>
    <t>osobowy</t>
  </si>
  <si>
    <t>Chevrolet Aveo</t>
  </si>
  <si>
    <t>31.12.2012</t>
  </si>
  <si>
    <t>immobiliser</t>
  </si>
  <si>
    <t>TYV0634</t>
  </si>
  <si>
    <t>ZFA17600000892691</t>
  </si>
  <si>
    <t>Fiat Punto</t>
  </si>
  <si>
    <t>CG65468</t>
  </si>
  <si>
    <t>WV2ZZ27HZ7H129885</t>
  </si>
  <si>
    <t>Volkswagen 7HC</t>
  </si>
  <si>
    <t>immobiliser, autoalarm</t>
  </si>
  <si>
    <t>TUU2145</t>
  </si>
  <si>
    <t>ciężarowy uniwersalny</t>
  </si>
  <si>
    <t>Nysa 522511</t>
  </si>
  <si>
    <t>Brak</t>
  </si>
  <si>
    <t>TOL8799</t>
  </si>
  <si>
    <t>ciągnik rolniczy</t>
  </si>
  <si>
    <t>Ursus 4512 z kabiną</t>
  </si>
  <si>
    <t>TOZ 016P</t>
  </si>
  <si>
    <t>przyczepa uniwersalna</t>
  </si>
  <si>
    <t>Sanok</t>
  </si>
  <si>
    <t>TOB643L</t>
  </si>
  <si>
    <t>ciągnik</t>
  </si>
  <si>
    <t>Ursus MF235 z kabiną</t>
  </si>
  <si>
    <t>TOB185D</t>
  </si>
  <si>
    <t>motocykl</t>
  </si>
  <si>
    <t>CZ 175</t>
  </si>
  <si>
    <t>TOC110M</t>
  </si>
  <si>
    <t>MO6B3</t>
  </si>
  <si>
    <t>CG2106P</t>
  </si>
  <si>
    <t>CGX00710</t>
  </si>
  <si>
    <t>przyczepa ciężarowa</t>
  </si>
  <si>
    <t>przyczepa SAMB/M</t>
  </si>
  <si>
    <t>Zespół Szkół Specjalnych- budynek główny łącznie z salą gimnastyczną</t>
  </si>
  <si>
    <t>86-300 Grudziądz ul. Sikorskiego 42</t>
  </si>
  <si>
    <t>3 kondygnacje nadziemne, 1 kondygnacja podziemna</t>
  </si>
  <si>
    <t>ściana z cegły</t>
  </si>
  <si>
    <t>stropy akermana, dach żelbetowy</t>
  </si>
  <si>
    <t>rok 2000/01 wymiana instalacjiCO (podłączenie pod OPEC), wymiana instalacji elektrycznej 2001 do 2010- wymiana wykonywna etapami, rok 2007/08 ocieplenie budynku, rok 2007 do 2011wymiana stolarki okiennej</t>
  </si>
  <si>
    <t>10 szt.</t>
  </si>
  <si>
    <t>hydranty wewnętrzne - 8 (na każdej kondygnacji)</t>
  </si>
  <si>
    <t>Zespół Szkół Specjalnych- garaże 4 szt</t>
  </si>
  <si>
    <t>86-300  Grudziądz   ul. Sikorskiego 42</t>
  </si>
  <si>
    <t>1 kondygnacja naziemna</t>
  </si>
  <si>
    <t>ściany z cegły</t>
  </si>
  <si>
    <t>Zespół Szkół Specjalnych</t>
  </si>
  <si>
    <t>aktualna bez zaleceń</t>
  </si>
  <si>
    <t>aktualny bez zaleceń</t>
  </si>
  <si>
    <t>z 2005r., będzie wykonany XI 2012r.</t>
  </si>
  <si>
    <t>aktualny</t>
  </si>
  <si>
    <t>Zespół Szkół Rolniczych - budynek szkoły+łacznik+sala gimnastyczna</t>
  </si>
  <si>
    <t>Zespół Szkół Rolniczych - Budynek zajęć praktycznych</t>
  </si>
  <si>
    <t>Zespół Szkół Rolniczych - Budynek garaży szkolnych</t>
  </si>
  <si>
    <t>Zespół Szkół Rolniczych - Budynek hydroforni</t>
  </si>
  <si>
    <t>Zespół Szkół Rolniczych - budynek przepompowni ścieków</t>
  </si>
  <si>
    <t>Zespół Szkół Rolniczych - Zespół Szkół Specjalnych w Grudziądzu</t>
  </si>
  <si>
    <t>dyrektor@zss.grudziadz.pl</t>
  </si>
  <si>
    <t>Sadowska Helena</t>
  </si>
  <si>
    <t>871629924</t>
  </si>
  <si>
    <t xml:space="preserve">Zespól Szkól Technicznych </t>
  </si>
  <si>
    <t>ul.Hoffmanna 1-7</t>
  </si>
  <si>
    <t>4 + obserwatorium</t>
  </si>
  <si>
    <t>5952m2</t>
  </si>
  <si>
    <t>murowane z cegły czerwonej</t>
  </si>
  <si>
    <t xml:space="preserve">papa na lepiku </t>
  </si>
  <si>
    <t>31</t>
  </si>
  <si>
    <t>Zespól Szkól Technicznych</t>
  </si>
  <si>
    <t>2000,-</t>
  </si>
  <si>
    <t xml:space="preserve">ul.Hoffmanna 1-7 86-300 Grudziądz </t>
  </si>
  <si>
    <t>zst@grudziadz.com.pl</t>
  </si>
  <si>
    <t xml:space="preserve">Adam Szewczuk </t>
  </si>
  <si>
    <t>876-13-70-766</t>
  </si>
  <si>
    <t>000184069</t>
  </si>
  <si>
    <t>Zespół Szkół Budowlanych i Plastycznych</t>
  </si>
  <si>
    <t>Grudziądz, ul. Czarnieckiego 9</t>
  </si>
  <si>
    <t>1980 budynek szkoły + hala sprtowa</t>
  </si>
  <si>
    <t>3213 +1135</t>
  </si>
  <si>
    <t>murowane z prefabrykowanych bloczków</t>
  </si>
  <si>
    <t>dach żelbetowy, dwuspadowy, wentylowany</t>
  </si>
  <si>
    <t>pokryty papą termozgrzewalną</t>
  </si>
  <si>
    <t>2009r - remont dachu, 2008-2009 wymiana stolarki okiennej</t>
  </si>
  <si>
    <t>8</t>
  </si>
  <si>
    <t>Grudziądz, ul. Waryńskiego 78</t>
  </si>
  <si>
    <t>budynek szkoły</t>
  </si>
  <si>
    <t>murowane z cegły pełnej</t>
  </si>
  <si>
    <t>dach stromy dwuspadowy, drewniany, krokwiowy</t>
  </si>
  <si>
    <t>dachówka ceramiczna oraz blachodachówka</t>
  </si>
  <si>
    <t>2004r- wymiana okien i drzwi wejściowych</t>
  </si>
  <si>
    <t>j.w</t>
  </si>
  <si>
    <t>pracownia rzeźby</t>
  </si>
  <si>
    <t>murowane z cegły pełnej i pustaków</t>
  </si>
  <si>
    <t>dach dwuspadowy, drewniany, krokwiowy</t>
  </si>
  <si>
    <t>płytami onduliny</t>
  </si>
  <si>
    <t>2002/2003 ocieplenie ścian, tynki, wstawienie 4 szt.okien połaciowych</t>
  </si>
  <si>
    <t>Zespól Szkół Budowlanych i Plastycznych</t>
  </si>
  <si>
    <t>budynek warsztatowy z zapleczem magazynowym</t>
  </si>
  <si>
    <t>dach płaski niewentylowany, nad częścią magazynową konstrukcja drewniana,nad częścią warsztatową płyty korytkowe i kanałowe</t>
  </si>
  <si>
    <t>papa termozgrzewalna i papa na lepiku</t>
  </si>
  <si>
    <t>2004r- wymiana okien, termoizolacja budynku w części warsztatowej w 2007r</t>
  </si>
  <si>
    <t>Zespół Szkół Budowlanych i Plastycznych w Grudziądzu</t>
  </si>
  <si>
    <t>dyrektor@zsbip.grudziadz.pl</t>
  </si>
  <si>
    <t>Krzysztof Maliszewski - dyrektor</t>
  </si>
  <si>
    <t>876-100-47-31</t>
  </si>
  <si>
    <t>00064389600000</t>
  </si>
  <si>
    <t>Zespół Szkół Gastronomiczno - Hotelarskich w Grudziądzu</t>
  </si>
  <si>
    <t>Zespół Szkół Gastronomiczno - Hotelarskich w Grudziądzu - budynek główny</t>
  </si>
  <si>
    <t>ul. Curie - Skłodowskiej 22/24</t>
  </si>
  <si>
    <t>3 nadziemne</t>
  </si>
  <si>
    <t>2.586 m2</t>
  </si>
  <si>
    <t>kleszczowo-płatwiowa z zastrzałami</t>
  </si>
  <si>
    <t>dachówka ceramiczna (karpiówka)</t>
  </si>
  <si>
    <t>modernizacja instalacji gazowej - 2002; budowa podciągu w ścianie pomiędzy klasami na Ip. - 2003; remont pokrycia ceramicznego dachu 2003 i 2004; rozbudowa wew. instalacji gazu - 2003; wymiana stolarki okiennej - 2007 i 2008; wykonanie otworu drzwiowego - 2009; naprawa orynnowania poziomego - 2010; konserwacja i numeracja złącz instalacji odgromowej - 2010; częściowa wymiana stolarki okiennej - 2010; malowanie rynien - 2011; wymiana luźnych wiatrownic na dachu - 2012.</t>
  </si>
  <si>
    <t>Zespół Szkół Gastronomiczno - Hotelarskich w Grudziądzu - segment A</t>
  </si>
  <si>
    <t>1.262,11 m2</t>
  </si>
  <si>
    <t>drewniana, krokwiowa</t>
  </si>
  <si>
    <t>papa asfaltowa na pełnym deskowaniu</t>
  </si>
  <si>
    <t>remont kapitalny pokrycia dachu - 2004 i 2007; wymiana okien - 2005; wykonanie podłóg drewnianych z płyt OSB i ułożenie wykładzin podłogowych - 2008 i 2009; wykonanie izolacji przeciwwilgociowej ścian fundamentowych - 2010; termomodernizacja stropodachu - 2010.</t>
  </si>
  <si>
    <t>Zespół Szkół Gastronomiczno - Hotelarskich w Grudziądzu  - segment B</t>
  </si>
  <si>
    <t>267,80 m2</t>
  </si>
  <si>
    <t>kleszczowo-płatwiowa z jętkami</t>
  </si>
  <si>
    <t>wykonanie otworów drzwiowych - 2009; konserwacja i naprawa złącz instalacji odgromowej - 2010; roboty blacharskie - 2011; naprawa pokrycia papowego - 2011.</t>
  </si>
  <si>
    <t>Zespół Szkół Gastronomiczno - Hotelarskich w Grudziądzu - sala gimnastyczna C</t>
  </si>
  <si>
    <t>1907 (przebudowa 1972)</t>
  </si>
  <si>
    <t>1 nadziemna (zaplecze - 2)</t>
  </si>
  <si>
    <t>638,10 m2</t>
  </si>
  <si>
    <t>betonowa (zaplecze - drewniana, krokwiowa)</t>
  </si>
  <si>
    <t>papa asfaltowa na lepiku asfaltowym (zaplecze - dachówka ceramiczna)</t>
  </si>
  <si>
    <t xml:space="preserve">rozbudowa zaplecza - 1999; wymiana stolarki okiennej - 2008; remont dachu na budynku siłowni - 2009; wykonanie izolacji przeciwwilgociowej ścian fundamentowych - 2010; konserwacja i numeracja złącz instalacji odgromowej - 2010; </t>
  </si>
  <si>
    <t>Zespół Szkół Gastronomiczno - Hotelarskich w Grudziądzu - sala gimnastyczna D</t>
  </si>
  <si>
    <t xml:space="preserve">1 nadziemna  </t>
  </si>
  <si>
    <t>268 m2</t>
  </si>
  <si>
    <t xml:space="preserve">betonowa  </t>
  </si>
  <si>
    <t>remont pokrycia dachu z papy termozgrzewalnej - 2006; konserwacja rynien - 2011</t>
  </si>
  <si>
    <t>Zespół Szkół Gastronomiczno - Hotelarskich w Grudziądzu - garaż</t>
  </si>
  <si>
    <t>1 nadziemna</t>
  </si>
  <si>
    <t>55,02 m2</t>
  </si>
  <si>
    <t xml:space="preserve">drewniana  </t>
  </si>
  <si>
    <t>X   (2012 - …)</t>
  </si>
  <si>
    <t>X   (2012 - ….)</t>
  </si>
  <si>
    <t>56 / 64-277-42</t>
  </si>
  <si>
    <t>sekretariatzsgh@o2.pl</t>
  </si>
  <si>
    <t>Barbara Rosińska - kierownik gospodarczy</t>
  </si>
  <si>
    <t>876-14-94-267</t>
  </si>
  <si>
    <t>000184566</t>
  </si>
  <si>
    <t>TUG 2452</t>
  </si>
  <si>
    <t>SUPB06CEJWN069506</t>
  </si>
  <si>
    <t>ciężarowy</t>
  </si>
  <si>
    <t>TRUCK 1,6 KAT</t>
  </si>
  <si>
    <t>56 (kW) / 5000 (obr/min)</t>
  </si>
  <si>
    <t>1 t</t>
  </si>
  <si>
    <t>CG 65542</t>
  </si>
  <si>
    <t>VF1FCO7AF34998211</t>
  </si>
  <si>
    <t xml:space="preserve">RENAULT KANGOO </t>
  </si>
  <si>
    <t>48 (kW) / 4000 (obr/min)</t>
  </si>
  <si>
    <t>620 kg</t>
  </si>
  <si>
    <t>26.12.2012</t>
  </si>
  <si>
    <t>garaż</t>
  </si>
  <si>
    <t>Zespół Placówek Młodzieżowych BURSA</t>
  </si>
  <si>
    <t>ZPMBURSA</t>
  </si>
  <si>
    <t>86-300 GRUDZIĄDZ,UL.HALLERA 37</t>
  </si>
  <si>
    <t>1976-83</t>
  </si>
  <si>
    <t>INTERNAT-11</t>
  </si>
  <si>
    <t>ŚCIANY SZCZYTOWE ŻELBETOWE PREFABRYKOWANE,ŚCIANY ZEWNĘTRZNE PODŁUŻNE MUROWANE Z GAZOBETONU</t>
  </si>
  <si>
    <t>DACH ŻELBETOWY,PREFABRYKOWANY</t>
  </si>
  <si>
    <t>PAPA</t>
  </si>
  <si>
    <t>1993r. Likwidacja instalacji gazowe,  2007r.-Wydzielenie klatek schodowych : oddymianie kl., instalacja oddymiająca okna oddymiające, drzwi ognioodporne -24 szt. ścianki ognioodporne na trzech piętrach( I-IIIp),pokrycie dachu warstwą papy, 2008r.-Wydzielenie pożarowe holi przy windach od VIII-X piętra,drzwi ognioodporne, 2009r.Wydzielenie pożarowe holi przy windach od IV-VII piętra,drzwi ognioodporne, 2010r.-Wyposażenie budynku w system sygnalizacji pożarowej-SAP.2011r.-wymiana okien balkonowych na okna oddymiające w korytarzach piętrowych. Wymiana okien od 2006-2008-150 sztuk; Częściowa wymiana instalacji elektrycznej i wod.kan.-od 2008-2012. Remonty i naprawy wykonywane na bieżąco.</t>
  </si>
  <si>
    <t>46</t>
  </si>
  <si>
    <t>ZPM BURSA</t>
  </si>
  <si>
    <t>STOŁÓWKA</t>
  </si>
  <si>
    <t>ŚCIANY Z CEGŁY KRATÓWKI, W UKŁADZIE ŚCIAN NOŚNYCH,PODŁUŻNYCH I POPRZECZNYCH</t>
  </si>
  <si>
    <t>DACH ŻELBETOWY,JEDNOSPADOWY</t>
  </si>
  <si>
    <t>2003r.-remont dachu; Remonty i naprawy wykonywane na bieżąco.Wykonanie obudowy schodów z materiałów ognioodpornych w stołówce. 2009-wymiana instalacji oświetleniowej stołówki.Wymiana sufitu podwieszanego drewnianego na sufit ognioodporny-2012r.</t>
  </si>
  <si>
    <t>Stolarka okienna -sukcesywna wymiana.</t>
  </si>
  <si>
    <t>86-300 Grudziądz,ul.Hallera 37</t>
  </si>
  <si>
    <t>56-643-55-40</t>
  </si>
  <si>
    <t>dyrektor@bursa.grudziadz.pl</t>
  </si>
  <si>
    <t>Ewa Szulc-Goławska</t>
  </si>
  <si>
    <t>876-22-1-306</t>
  </si>
  <si>
    <t>871716043</t>
  </si>
  <si>
    <t>51 osób</t>
  </si>
  <si>
    <t>19 osób</t>
  </si>
  <si>
    <t>ZPM "BURSA"</t>
  </si>
  <si>
    <t>CG18620</t>
  </si>
  <si>
    <t>VF7GJWJYB93116359</t>
  </si>
  <si>
    <t>CIĘŻAROWY</t>
  </si>
  <si>
    <t>BERLINGO X</t>
  </si>
  <si>
    <t>1868cm³</t>
  </si>
  <si>
    <t>71km</t>
  </si>
  <si>
    <t>623kg</t>
  </si>
  <si>
    <t>Specjalny Ośrodek Szkolno-Wychowawczy Nr 1 im. Polskich Olimpijczyków w Grudziądzu, ul. Parkowa 25</t>
  </si>
  <si>
    <t>SOSW 1 budynek internatu</t>
  </si>
  <si>
    <t>ul. Parkowa 25 86-300 Grudziądz</t>
  </si>
  <si>
    <t>941 518,39 zł                       winda 157 518,53 zł</t>
  </si>
  <si>
    <t>murowane z cegły ceramicznej</t>
  </si>
  <si>
    <t xml:space="preserve">słupy stalowe, płyty korytkowe </t>
  </si>
  <si>
    <t>papa asfaltowa</t>
  </si>
  <si>
    <t>sukcesywna wymiana stolarki okiennej, drzwi, bieżące remonty łazienek, sypialni i korytarzy (schody)</t>
  </si>
  <si>
    <t>SOSW 1 budynek stołowki z kuchnią</t>
  </si>
  <si>
    <t>jw.</t>
  </si>
  <si>
    <t>murowane z cegły ceramiczne j + styropian</t>
  </si>
  <si>
    <t>słupy stalowe, stropy z płyt żelbetowych prefabrykowanych</t>
  </si>
  <si>
    <t>stropodach docieplony styropianem pokryty papą asfaltową</t>
  </si>
  <si>
    <t>sukcesywna wymiana stolarki okiennej</t>
  </si>
  <si>
    <t>SOSW 1 budynek szkoły</t>
  </si>
  <si>
    <t>535 213,82 zł                     winda 130 052,00 zł</t>
  </si>
  <si>
    <t>cegła pełna na zaprawie wapniowo-cementowej</t>
  </si>
  <si>
    <t>sukcesywna wymiana stolarki okiennej i drzwi, bieżące remonty klas, częściowa modernizacja sieci elektrycznej, zakup i montaż windy w 2009 r.</t>
  </si>
  <si>
    <t>SOSW 1 budynek sali gimnastycznej i basenu</t>
  </si>
  <si>
    <t>stropy z płyt żelbetowych prefabrykowanych</t>
  </si>
  <si>
    <t>sukcesywna wymiana stolarki okiennej i drzwi, bieżące cyklinowanie parkietu</t>
  </si>
  <si>
    <t>SOSW 1 warsztat rzemieślniczy</t>
  </si>
  <si>
    <t xml:space="preserve">cegła </t>
  </si>
  <si>
    <t>SOSW 1 magazyn szkolny</t>
  </si>
  <si>
    <t>SOSW 1 warsztat malarski</t>
  </si>
  <si>
    <t>Specjalny Ośrodek Szkolno-Wychowawczy Nr 1 im. Polskich Olimpijczyków w Grudziądzu</t>
  </si>
  <si>
    <t>ul. Parkowa 25,                   86-300 Grudziądz</t>
  </si>
  <si>
    <t>sosw1@vp.pl</t>
  </si>
  <si>
    <t>Anna Drozdowska</t>
  </si>
  <si>
    <t>876-17-04-842</t>
  </si>
  <si>
    <t>000198410</t>
  </si>
  <si>
    <t>CG 28720</t>
  </si>
  <si>
    <t>WV2ZZZ7H6X014436</t>
  </si>
  <si>
    <t xml:space="preserve">VW Transporter T5 Shuttle </t>
  </si>
  <si>
    <t>104km</t>
  </si>
  <si>
    <t>15,44 kN</t>
  </si>
  <si>
    <t>autoalarm, blokada skrzyni biegów</t>
  </si>
  <si>
    <t>Specjalny Ośrodek Szkolno-Wychowawczy Nr 2 w Grudziądzu</t>
  </si>
  <si>
    <t>Ośrodek Wypoczynkowy - Gmina Miasto Grudziądz</t>
  </si>
  <si>
    <t>Specjalny Ośrodek Szkolno-Wychowawczy Nr 2</t>
  </si>
  <si>
    <t>86-300 Grudziądz, ul. Kasprowicza 4</t>
  </si>
  <si>
    <t>1970 r.</t>
  </si>
  <si>
    <t>trzy kondygnacje plus jedna kondygnacja łącznik i sala gimnastyczna</t>
  </si>
  <si>
    <t>3.046,02 m2</t>
  </si>
  <si>
    <t>murowana z cegły ceramicznej</t>
  </si>
  <si>
    <t>płyty korytkowe prefabrykowane oparte na ściankach ażurowych z cegły pełnej</t>
  </si>
  <si>
    <t>komleksowy remont sali gimnastycznej (termomodernizacja) 2008- I etap II etap 2009r (wymiana stolarki okiennej, docieplanie scian i stropu, malowanie elewacji,motaż wentylatorów i wyciagów, malowanie scian wewnątrz sali, remont podłogi- szlifowanie lakierowanie malowanie lini). Remont stolarki okiennej-3 szt.(XI/2011). Drobne remonty wynikające z utrzymania budynków w należytym stanie technicznym i estetycznym.</t>
  </si>
  <si>
    <t>siedem gaśnic</t>
  </si>
  <si>
    <t>sześć hydrantów</t>
  </si>
  <si>
    <t>trzy kondygnacje częściowo podpiwniczony</t>
  </si>
  <si>
    <t>2.521,00 m2</t>
  </si>
  <si>
    <t>szkieletowa,żelbetowa słupowo-ryglowa,sciany murowane zprefabrykowanych bloczków żużlobetonowych oraz cegły</t>
  </si>
  <si>
    <t xml:space="preserve">żelbetowy płaski </t>
  </si>
  <si>
    <t>remont pokrycia dochowego wraz z obróbkami blacharskimi 2008 r.Remont stolarki okiennej-13 szt.(XI/ 2011).Wykonanie oświetlenia ewakuacyjnego-(IX/ 2011).Remont hydrantu p.poż.- 1 szt. ( XII/2011). Drobne remonty wynikajace z utrzymania budynków w należytym stanie technicznym i estetycznym</t>
  </si>
  <si>
    <t>cztery hydranty</t>
  </si>
  <si>
    <t>dwie kondygnacje podpiwniczony</t>
  </si>
  <si>
    <t>235,00 m2</t>
  </si>
  <si>
    <t xml:space="preserve"> Drobne remonty wynikajace z utrzymania budyków w należytym stanie technicznym i estetycznym</t>
  </si>
  <si>
    <t>1974 r.</t>
  </si>
  <si>
    <t>jedna kondygnacja</t>
  </si>
  <si>
    <t>294,20 m2</t>
  </si>
  <si>
    <t>murowana w technolgii tradycyjnej</t>
  </si>
  <si>
    <t>konstrukcja tradycyjna jednospadowy</t>
  </si>
  <si>
    <t>papa na lepiku</t>
  </si>
  <si>
    <t>cztery gaśnice</t>
  </si>
  <si>
    <t>1976 r.</t>
  </si>
  <si>
    <t>130,00 m2</t>
  </si>
  <si>
    <t>stalowa i murowana</t>
  </si>
  <si>
    <t>konstrukcja stalowa z kształtownika</t>
  </si>
  <si>
    <t>blacha trapezowa</t>
  </si>
  <si>
    <t>siatka w ramkach stalowych z kształtowników na cokole</t>
  </si>
  <si>
    <t>1997 r.</t>
  </si>
  <si>
    <t>sieć obejmuje wszystkie kondygnacje we wszystkich bydynkach</t>
  </si>
  <si>
    <t>84-360 Łeba, ul. Sosnowa 4</t>
  </si>
  <si>
    <t>1975 r</t>
  </si>
  <si>
    <t>cztery kodygnacje</t>
  </si>
  <si>
    <t>470,00 m2</t>
  </si>
  <si>
    <t>murowana w technologii tradycyjnej</t>
  </si>
  <si>
    <t>konstrukcja drewniana dwuspadowa</t>
  </si>
  <si>
    <t>Drobne remonty wynikajace z utrzymania budyków w należytym stanie technicznym i estetycznym</t>
  </si>
  <si>
    <t>cztey  gaśnice</t>
  </si>
  <si>
    <t>1991 r.</t>
  </si>
  <si>
    <t>dwie kondygnacje</t>
  </si>
  <si>
    <t>252,00 m2</t>
  </si>
  <si>
    <t>urowany w technologii tradycyjnej</t>
  </si>
  <si>
    <t>konstrukcja radycyjna</t>
  </si>
  <si>
    <t>Kompleksowy remont budynku pawilonu 2009 r. Wymiana instalacji co,wod-kan, na holach elektrycznej. Kompleksowy remont łazienek i pokoi. Remont dachu i obróbek blacharskich,malowanie elewacji.</t>
  </si>
  <si>
    <t>dwie gasnice</t>
  </si>
  <si>
    <t>ogrodzenie tradycyjne siatka na cokole</t>
  </si>
  <si>
    <t>SOSW nr 2 - Budynek - Szkoła z salą gimnastyczną</t>
  </si>
  <si>
    <t>SOSW nr 2 - Budynek Internat</t>
  </si>
  <si>
    <t>SOSW nr 2 - Budynek pracowniczy</t>
  </si>
  <si>
    <t>SOSW nr 2 - Budynek przemysłowy-hala warsztatowa</t>
  </si>
  <si>
    <t>SOSW nr 2 - Budynek składowy - magazynowy</t>
  </si>
  <si>
    <t>SOSW nr 2 Budowle - ogrodzenie</t>
  </si>
  <si>
    <t>SOSW nr 2 -Sieć cieplna wysokoparametr. 4 przew.</t>
  </si>
  <si>
    <t xml:space="preserve">Ośrodek Wypoczynkowy - Gmina Miasto Grudziądz -Budynek </t>
  </si>
  <si>
    <t>Ośrodek Wypoczynkowy - Gmina Miasto Grudziądz -Budynek - pawilon</t>
  </si>
  <si>
    <t>Ośrodek Wypoczynkowy - Gmina Miasto Grudziądz -Budowle - ogrodzenie</t>
  </si>
  <si>
    <t>56/4654323</t>
  </si>
  <si>
    <t>osw2grudz@poczta.onet.pl</t>
  </si>
  <si>
    <t>Listowski Piotr</t>
  </si>
  <si>
    <t>876-17-06-982</t>
  </si>
  <si>
    <t>000199237</t>
  </si>
  <si>
    <t>59/8661177</t>
  </si>
  <si>
    <t>876-10-05-541</t>
  </si>
  <si>
    <t>CG31727</t>
  </si>
  <si>
    <t>WV2ZZZ7HZ6X033349</t>
  </si>
  <si>
    <t>osobowy-przewóz osób niepełnosprawnych</t>
  </si>
  <si>
    <t>VW 7HC T5</t>
  </si>
  <si>
    <t>110k.m</t>
  </si>
  <si>
    <t>8+1</t>
  </si>
  <si>
    <t>immobilizer, auto alarm, blokada skrzyni biegów</t>
  </si>
  <si>
    <t>Medyczna Szkoła Policealna Nr1</t>
  </si>
  <si>
    <t>86-300 Grudziądz ul. Kochanowskiego 11-13</t>
  </si>
  <si>
    <t>betonowo-ceglana</t>
  </si>
  <si>
    <t>żelbetowa, płyty korytkowe</t>
  </si>
  <si>
    <t>2004, adaptacja budynku internatu na cele szkolne</t>
  </si>
  <si>
    <t>86-300 Grudziądz ul. Kos. Gdyńskich 17</t>
  </si>
  <si>
    <t>ponad 100 lat</t>
  </si>
  <si>
    <t>ceglana</t>
  </si>
  <si>
    <t xml:space="preserve"> Medyczna Szkoła Policealna Nr1</t>
  </si>
  <si>
    <t>56-46-229-43</t>
  </si>
  <si>
    <t>dyrektor@medyk.grudziądz.pl</t>
  </si>
  <si>
    <t>Katarzyna Rzanna</t>
  </si>
  <si>
    <t>876-13-70-938</t>
  </si>
  <si>
    <t>000597173</t>
  </si>
  <si>
    <t>Centrum Kształcenia Praktycznego</t>
  </si>
  <si>
    <t>Centrum Kształcenia Praktycznego - budynek administracyjno - warsztatowy</t>
  </si>
  <si>
    <t>ul. Czarnieckiego 5/7</t>
  </si>
  <si>
    <t>lata 19</t>
  </si>
  <si>
    <t>I/II</t>
  </si>
  <si>
    <t>ściany konstrukcyjne zewnętrzne i wewnętrzne murowane, ściany fundamentowe murowane z cegły ceramicznej</t>
  </si>
  <si>
    <t>brak więźby dachowej</t>
  </si>
  <si>
    <t>płyty korytkowe oraz panwiowe kryte papą asfaltową i termozgrzewalną</t>
  </si>
  <si>
    <t>Roboty budowlano - remontowe w pracowni instalacji elektrycznych, maszyn i napędów elektrycznych, łazience dziewcząt, pomieszczeniu do przechowywania środków czystości (2009 r);  termorenowacja zespołu budynków CKP, instalacja c.o, wod. kan., instalacja zasilania sprężonym powietrzem w pracowni "Diagnostyki i napraw pojazdów samochodowych - Centrum egzaminowania mechaników i elektromechaników pojazdów samochodowych", budowa pracowni diagnostyki i napraw pojazdów samochodowych, meble laboratoryjne do pracowni "maszyn elektrycznych, napędu i sterowania", roboty budwlano -remontowe w pracowni diagnostyki i napraw pojazdów samochodowych - Centrum egzaminowania mechaników i elektromechaników pojazdów samochodowych (demontaż starych okien, montaż i obróbka tynkarska nowych sześciu okien) - (2009 r.), przebudowa pomieszczenia hali warsztatów szkolnych na centrum egzaminowania mechaników i elektromechaników samochodowych - pracownia diagnostyki i napraw pojazdów samochodowych ( 2009 r.);   w 2010 r.: przebudowa instalacji alarmowej, roboty budowlano - remontowe w pracowni diagnostyki i napraw pojazdów samochodowych - centrum egzaminowania mechaników i elektromechaników pojazdów samochodowych, polegające na demontażu starych wrót, wykonanie zgodnie z rysunkiem nowych i ich osadzenie wraz z obróbką; dostawa i montaż na przygotowanym fundamencie i ułożonej już instalacji elektrycznej barierki automatycznej długości 5,5 m do intensywnej pracy wyposażonej w centralę sterującą, fotokomórki i odbiornik radiowy; kompletna instalacja elektryczna i oświetleniowa w pracowni maszyn elektrycznych i napędów; remont kapitalny dachu na budynku A; budowa monitoringu wizyjnego; remont kapitalny instalacji c.o. w budynku C - część warsztatowa ( 2010 r).</t>
  </si>
  <si>
    <t>9 x 6 kg i 1 x 2 kg</t>
  </si>
  <si>
    <t>6 + 1 zewnętrzny</t>
  </si>
  <si>
    <t>Centrum Kształcenia Praktycznego - budynek warsztatów samochodowych i  diagnostyki</t>
  </si>
  <si>
    <t>ul Czarnieckiego 5/7</t>
  </si>
  <si>
    <t>I</t>
  </si>
  <si>
    <t>3 x 6 kg</t>
  </si>
  <si>
    <t>Centrum Kształcenia Praktycznrgo</t>
  </si>
  <si>
    <t>Centrum kształcenia Praktycznego</t>
  </si>
  <si>
    <t>ul. Czarnieckiego 5/7 86 - 300 Grudziądz</t>
  </si>
  <si>
    <t>kontakt@ckp.net.pl</t>
  </si>
  <si>
    <t xml:space="preserve">mgr inż..Artur Mach </t>
  </si>
  <si>
    <t>876-22-27-396</t>
  </si>
  <si>
    <t>871677745</t>
  </si>
  <si>
    <t>8559B</t>
  </si>
  <si>
    <t>BRAK</t>
  </si>
  <si>
    <t>CG42855</t>
  </si>
  <si>
    <t>SUPB01ABF00429806</t>
  </si>
  <si>
    <t>OSOBOWY</t>
  </si>
  <si>
    <t>FSO WARSZAWA POLONEZ 1,5</t>
  </si>
  <si>
    <t>CG 42856</t>
  </si>
  <si>
    <t>SUF126A0037007684</t>
  </si>
  <si>
    <t>FIAT 126P ELEGANT</t>
  </si>
  <si>
    <t>1993</t>
  </si>
  <si>
    <t>652</t>
  </si>
  <si>
    <t>CG 12957</t>
  </si>
  <si>
    <t>SUPB01CEH1W179536</t>
  </si>
  <si>
    <t>DAEWOO POLONEZ CARO PLUS</t>
  </si>
  <si>
    <t>2001</t>
  </si>
  <si>
    <t>1599</t>
  </si>
  <si>
    <t>CG 35643</t>
  </si>
  <si>
    <t>ZFA146A0000015385</t>
  </si>
  <si>
    <t>FIAT UNO</t>
  </si>
  <si>
    <t>1997</t>
  </si>
  <si>
    <t>1372</t>
  </si>
  <si>
    <t>CG 65874</t>
  </si>
  <si>
    <t>WFOHXXGBUHNE37894</t>
  </si>
  <si>
    <t>FORD TRANSIT</t>
  </si>
  <si>
    <t>1992</t>
  </si>
  <si>
    <t>2496</t>
  </si>
  <si>
    <t>51 KW</t>
  </si>
  <si>
    <t>Centrum Kultury TEATR – budynek teatru</t>
  </si>
  <si>
    <t>Centrum Kultury TEATR – budynek klubu Akcent</t>
  </si>
  <si>
    <t>Centrum Kultury TEATR  - budynek teatru</t>
  </si>
  <si>
    <t>Grudziądz ul. Focha 19</t>
  </si>
  <si>
    <t>pięciokondygnacyjny w cz. zaplecza sceny, dwukondygnacyjny w cz. sali widowiskowej i cz. Administracyjnej</t>
  </si>
  <si>
    <t>żelbetowe,częściowo słupowo-ryglowe</t>
  </si>
  <si>
    <t>Drewniana-kratownice, poszycie deska, kopertowa ze spadkiem pow.20%</t>
  </si>
  <si>
    <t>kapitalny remont dachu 2010 rok,cz. Wymiana stolarki okiennej w 2008 roku</t>
  </si>
  <si>
    <t>Centrum Kultury TEATR  budynek klubu Akcent</t>
  </si>
  <si>
    <t>Grudziądz ul.Wybickiego 38/40</t>
  </si>
  <si>
    <t>budynek główny i jedno skrzydło dwukondygnacyjne, skrzydło północne jednokondygnacyjne</t>
  </si>
  <si>
    <t>cegła ceramiczna</t>
  </si>
  <si>
    <t>Drewniana, tradycyjna ciesielska</t>
  </si>
  <si>
    <t>budynek główny pokryty dachówką ceramiczną, pozostała część pokryta papą</t>
  </si>
  <si>
    <t>częściowa wymiana stolarki okiennej w 2008 i 2009 roku, remont na cz.dachu w 2009 roku</t>
  </si>
  <si>
    <t>Centrum Kultury TEATR budynek teatru</t>
  </si>
  <si>
    <t>Centrum Kultury TEATR budynek klubu Akcent</t>
  </si>
  <si>
    <t>Centrum Kultury TEATR-budynek teatru</t>
  </si>
  <si>
    <t>Centrum Kultury TEATR-budynek klubu Akcent</t>
  </si>
  <si>
    <t>Centrum Kultury TEATR</t>
  </si>
  <si>
    <t>86-300 Grudziądz               ul.Focha 19</t>
  </si>
  <si>
    <t>ksiegowosc@teatr.perfect.net.pl</t>
  </si>
  <si>
    <t>Bożena Wysocka</t>
  </si>
  <si>
    <t>876- 00-13-515</t>
  </si>
  <si>
    <t>870514722</t>
  </si>
  <si>
    <t>9231</t>
  </si>
  <si>
    <t>CG37667</t>
  </si>
  <si>
    <t>WDF63970313331672</t>
  </si>
  <si>
    <t>Mercedes Benz   VITO 111CDI</t>
  </si>
  <si>
    <t>85 kW</t>
  </si>
  <si>
    <t>CG1381P</t>
  </si>
  <si>
    <t>SYBA0753070</t>
  </si>
  <si>
    <t>przyczepa lekka</t>
  </si>
  <si>
    <t>RYDWAN                A750/3</t>
  </si>
  <si>
    <t>0,5T</t>
  </si>
  <si>
    <t>CG0426P</t>
  </si>
  <si>
    <t>CT0100038</t>
  </si>
  <si>
    <t>przyczepa</t>
  </si>
  <si>
    <t>SAM</t>
  </si>
  <si>
    <t>0,97T</t>
  </si>
  <si>
    <t>Dom Pomocy Społecznej Nr 1</t>
  </si>
  <si>
    <t>86-300 Grudziądz, ul.Parkowa 12, budynek A</t>
  </si>
  <si>
    <t>ściany nośne murowane z cegły ceramicznej pełnej, ścianki działowe z cegły ceramicznej</t>
  </si>
  <si>
    <t xml:space="preserve">dach konstrukcji drewnianej, krokwiowo-płatwiowej z mansardą </t>
  </si>
  <si>
    <t>pokryty dachówką ceramiczną</t>
  </si>
  <si>
    <t>remont dachu, 2010 rok, naprawa kominów, wymiana okien na dachu, częściowa wymiana dachówki, rynien; zainstalowanie monitoringu wizyjnego, 2010 rok; sukcesywna wymiana okien od 2008 roku do nadal</t>
  </si>
  <si>
    <t>18</t>
  </si>
  <si>
    <t>86-300 Grudziądz, ul.Parkowa 12, budynek B z łącznikiem</t>
  </si>
  <si>
    <t>1952/1958</t>
  </si>
  <si>
    <t>ściany nośne murowane z cegły ceramicznej pełnej, , stropy ceramiczne-gęstożebrowe, ścianki działowe z cegły ceramicznej</t>
  </si>
  <si>
    <t>dach konstrukcji drewnianej, krokwiowo-płatwiowej</t>
  </si>
  <si>
    <t>pokryty blachodachówką, stropodach płaski wentylowany pokryty papą termozgrzewalną</t>
  </si>
  <si>
    <t>86-300 Grudziądz, ul.Parkowa 12, budynek C</t>
  </si>
  <si>
    <t>ściany nośne murowane z cegły ceramicznej pełnej, stropy żelbetowe, ścianki działowe z cegły ceramicznej</t>
  </si>
  <si>
    <t>remont dachu, 2010 rok, naprawa kominów, wymiana okien na dachu, częściowa wymiana dachówki, rynien; zainstalowanie monitoringu wizyjnego, 2010 rok</t>
  </si>
  <si>
    <t>12</t>
  </si>
  <si>
    <t>86-300 Grudziądz, ul.Parkowa 12, budynek administracyjny z pralnią</t>
  </si>
  <si>
    <t>1970/1986</t>
  </si>
  <si>
    <t>ściany nośne murowane z cegły ceramicznej pełnej, stropy ceramiczne, ścianki działowe z cegły ceramicznej</t>
  </si>
  <si>
    <t>stropodach płaski wentylowany</t>
  </si>
  <si>
    <t>pokryty papą bitumiczną</t>
  </si>
  <si>
    <t>remont centralnego ogrzewania, 2011 rok, wymiana grzejników oraz całej instalacji centralnego ogrzewania; sukcesywna wymiana okien od 2008 roku do nadal</t>
  </si>
  <si>
    <t>86-300 Grudziądz, ul.Parkowa 12, portiernia</t>
  </si>
  <si>
    <t>ściany murowane z cegły ceramicznej</t>
  </si>
  <si>
    <t>dach żelbetowy</t>
  </si>
  <si>
    <t>86-300 Grudziądz, ul.Parkowa 12, budynek garażowo-warsztatowy</t>
  </si>
  <si>
    <t>86-300 Grudziądz, ul.Parkowa 12, budynek główny przy ul.Armii Krajowej 39</t>
  </si>
  <si>
    <t>remont kapitalny - 1992</t>
  </si>
  <si>
    <t xml:space="preserve">dach konstrukcji drewnianej, krokwiowo-płatwiowej </t>
  </si>
  <si>
    <t>pokryty blachodachówką</t>
  </si>
  <si>
    <t>zainstalowanie monitoringu wizyjnego, 2010 rok</t>
  </si>
  <si>
    <t>86-300 Grudziądz, ul.Parkowa 12, budynek po laboratorium przy ul.Armii Krajowej 39</t>
  </si>
  <si>
    <t>ściany murowane z bloczka betonowego</t>
  </si>
  <si>
    <t>86-300 Grudziądz, ul.Parkowa 12</t>
  </si>
  <si>
    <t>56-45-175-20</t>
  </si>
  <si>
    <t>ksiegowosc@dps1.grudziadz.pl</t>
  </si>
  <si>
    <t>Justyna Wachowiak-Socha</t>
  </si>
  <si>
    <t>876-10-33-247</t>
  </si>
  <si>
    <t>000295053</t>
  </si>
  <si>
    <t>TOB413N</t>
  </si>
  <si>
    <t>ZETOR</t>
  </si>
  <si>
    <t>8,5T</t>
  </si>
  <si>
    <t>AUTOSAN</t>
  </si>
  <si>
    <t>0,4T</t>
  </si>
  <si>
    <t>CG29309</t>
  </si>
  <si>
    <t>SUPB01CEHTW855545</t>
  </si>
  <si>
    <t>POLONEZ CARO 1,6 KAT</t>
  </si>
  <si>
    <t>CG24368</t>
  </si>
  <si>
    <t>WV2ZZZ70ZRH047490</t>
  </si>
  <si>
    <t>VOLKSWAGEN TRANSPORTER 1,9</t>
  </si>
  <si>
    <t>CG48582</t>
  </si>
  <si>
    <t>WV2ZZZ7HZ9H067063</t>
  </si>
  <si>
    <t>VOLKSWAGEN T5 Caravelle 1,9 TDI</t>
  </si>
  <si>
    <t>autoalarm, immobiliser</t>
  </si>
  <si>
    <t>CG67484</t>
  </si>
  <si>
    <t>WV2ZZZ7HZCH135655</t>
  </si>
  <si>
    <t>VOLKSWAGEN T5 Caravelle 2,0 TDI</t>
  </si>
  <si>
    <t>102 kM</t>
  </si>
  <si>
    <t>30.05.2013</t>
  </si>
  <si>
    <t>Dom Pomocy Społecznej nr 2                                                  Grudziądz ul. Nadgórna nr 30/32</t>
  </si>
  <si>
    <t>Dom Pomocy Społecznej nr 2  budynek nr 1- biurowy</t>
  </si>
  <si>
    <t>Grudziądz                               ul. Nadgórna nr 30/32</t>
  </si>
  <si>
    <t>cegła,gazobeton</t>
  </si>
  <si>
    <t>drewniany,odeskowany</t>
  </si>
  <si>
    <t>stała konserwacja budynku,malowanie                        i bieżące naprawy</t>
  </si>
  <si>
    <t>1 hydrant zewnętrzny</t>
  </si>
  <si>
    <t>Dom Pomocy Społecznej nr 2  budynek mieszkalny nr2</t>
  </si>
  <si>
    <t>stała konserwacja budynku,malowanie                        i bieżące naprawy, wymiana okien drewnianych na PCV 2010-2012r.</t>
  </si>
  <si>
    <t>Dom Pomocy Społecznej nr 2  budynek mieszkalny nr 2a</t>
  </si>
  <si>
    <t>betonowy,płyty żerańskie i kortykowe</t>
  </si>
  <si>
    <t>stała konserwacja budynku,malowanie                        i bieżące naprawy 2010-2012</t>
  </si>
  <si>
    <t>2 hydranty wewnętrzne-piwnica                         i ostatnia kondygnacja</t>
  </si>
  <si>
    <t>Dom Pomocy Społecznej nr 2  budynek mieszkalny nr 3</t>
  </si>
  <si>
    <t>betonowy DZ-3</t>
  </si>
  <si>
    <t>stała konserwacja budynku,malowanie,bieżące naprawy, wymiana dźwigu osobowego 2010-2012</t>
  </si>
  <si>
    <t>19</t>
  </si>
  <si>
    <t>5 hydrantów wewnętrznych na klatkach schodowych</t>
  </si>
  <si>
    <t>Dom Pomocy Społecznej nr 2  budynek mieszkalny tzw. słupek z kaplicą</t>
  </si>
  <si>
    <t>betonowy, płyty żerańskie</t>
  </si>
  <si>
    <t>stała konserwacja budynku, malowanie        i  bieżące naprawy 2010-2012</t>
  </si>
  <si>
    <t>Dom Pomocy Społecznej nr 2  łącznik między budynkami 2a i 3</t>
  </si>
  <si>
    <t>gazobeton</t>
  </si>
  <si>
    <t>Dom Pomocy Społecznej nr 2  łącznik między budynkami nr 1 biurowy i 2a</t>
  </si>
  <si>
    <t>Dom Pomocy Społecznej nr 2  portiernia</t>
  </si>
  <si>
    <t>1 zewnętrzny</t>
  </si>
  <si>
    <t>Dom Pomocy Społecznej nr 2  budynek byłej chlewni</t>
  </si>
  <si>
    <t>smołowanie dachu 2010, naprawa elewacji</t>
  </si>
  <si>
    <t>Dom Pomocy Społecznej nr 2  wejście do wiatrołapu windy budynek nr 2a</t>
  </si>
  <si>
    <t>gont  bitumiczny,papa</t>
  </si>
  <si>
    <t>stała konserwacja na bieżąco,</t>
  </si>
  <si>
    <t xml:space="preserve">Dom Pomocy Społecznej nr 2 wejście do wiatrołapu windy budynek nr 3  </t>
  </si>
  <si>
    <t>gont bitumiczny, papa</t>
  </si>
  <si>
    <t>portier całodobowo -łączność z agiencją ochrony</t>
  </si>
  <si>
    <t>x                                                      portier całodobowo, obiekt chroniony przez Firmę TAURUS</t>
  </si>
  <si>
    <t>x                                                                       portier całodobowo, obiekt chroniony przez Firmę TAURUS</t>
  </si>
  <si>
    <t>w kasecie metalowej i szafa pancerna</t>
  </si>
  <si>
    <t>w kasecie metalowej i w szafie pancernej</t>
  </si>
  <si>
    <t>x                                                                   krata ze stali</t>
  </si>
  <si>
    <t>nie występuje</t>
  </si>
  <si>
    <t xml:space="preserve">x                                                                            dwa zamki patentowe w drzwiach, krata stalowa z dwuma zamkami </t>
  </si>
  <si>
    <t>x                                                                             2 zamki w kracie</t>
  </si>
  <si>
    <t>x -aktualna instrukcja pożarowa</t>
  </si>
  <si>
    <t xml:space="preserve">protokół z dnia 30.04.2012r.przegl. gaśnic i hydrantów           </t>
  </si>
  <si>
    <t>protokół z dnia 30.04.2012r.</t>
  </si>
  <si>
    <t>centralka p.pożarowa, serwis raz na miesiąc</t>
  </si>
  <si>
    <t>nie występują jesteśmy na etapie opracowania dokumentacji technicznej</t>
  </si>
  <si>
    <t>protokół 19/2011 i 20/2011 14.12.2011r. (raz w roku)</t>
  </si>
  <si>
    <t>protokół 19/2011 i 20/2011r. z dnia 14.12.2011r.(raz w roku)</t>
  </si>
  <si>
    <t>26/DPS-2/2010 z dnia 20.10.2010r.</t>
  </si>
  <si>
    <t>dżwig hydrauliczny 1650 kg- protokół z dnia 23.08.2012</t>
  </si>
  <si>
    <t>protokół 07/2011- 09/2011 z dnia 13.10.2011</t>
  </si>
  <si>
    <t>protokół z dnia 07.12.2011r.</t>
  </si>
  <si>
    <t>nie występują</t>
  </si>
  <si>
    <t>protokół roczny 153-155/2012 z dnia 25.04.2012</t>
  </si>
  <si>
    <t>Dom Pomocy Społecznej nr 2                                            Grudziądz ul. Nadgórna nr 30/32</t>
  </si>
  <si>
    <t xml:space="preserve">Dom Pomocy Społecznej nr 2 </t>
  </si>
  <si>
    <t>Grudziądz                            ul. Nadgórna 30/32</t>
  </si>
  <si>
    <t>056/ 4517620</t>
  </si>
  <si>
    <t>dpsnr2@o2.pl</t>
  </si>
  <si>
    <t>Ewa Rakowska</t>
  </si>
  <si>
    <t>876-174-78-05</t>
  </si>
  <si>
    <t>000295225</t>
  </si>
  <si>
    <t>8790Z</t>
  </si>
  <si>
    <t>98/102</t>
  </si>
  <si>
    <t>Dom Pomocy Społecznej nr 2 Grudziądz ul. Nadgórna 30/32</t>
  </si>
  <si>
    <t>CG 67245</t>
  </si>
  <si>
    <t>WV2ZZZ7HZCH131236</t>
  </si>
  <si>
    <t>osobowo-dostawczy</t>
  </si>
  <si>
    <t>WV Transporter                 9 osobowy</t>
  </si>
  <si>
    <t>1968 cm3</t>
  </si>
  <si>
    <t>103 KW</t>
  </si>
  <si>
    <t>1099 kg</t>
  </si>
  <si>
    <t>17.05.2013r.</t>
  </si>
  <si>
    <t>TYT 1513</t>
  </si>
  <si>
    <t>VF1TBxG0515792973</t>
  </si>
  <si>
    <t>Renaut Trafic</t>
  </si>
  <si>
    <t>2499 cm3</t>
  </si>
  <si>
    <t>55 KW</t>
  </si>
  <si>
    <t xml:space="preserve">         1395 kg</t>
  </si>
  <si>
    <t>31.12.2012r.</t>
  </si>
  <si>
    <t>Dom Pomocy Społecznej Nr 3</t>
  </si>
  <si>
    <t>86-300 Grudziądz ul. Dywizjonu 303 nr 4</t>
  </si>
  <si>
    <t>3.375,60m²</t>
  </si>
  <si>
    <t>bloczki gazobetonowe</t>
  </si>
  <si>
    <t>stropodach z płytek dachowych oparty na ściankach</t>
  </si>
  <si>
    <t>1997 - dobudowanie łącznika</t>
  </si>
  <si>
    <t>25</t>
  </si>
  <si>
    <t>86-300 Grudziądz, ul Dywizjonu 303 Nr 4</t>
  </si>
  <si>
    <t>dps3@grudziadz.com.pl</t>
  </si>
  <si>
    <t>Tomasz Mrozik</t>
  </si>
  <si>
    <t>876-16-46-932</t>
  </si>
  <si>
    <t>870195978</t>
  </si>
  <si>
    <t>CG 48999</t>
  </si>
  <si>
    <t>WV2ZZZ7HZ9H080087</t>
  </si>
  <si>
    <t>ciężarowo-osobowy</t>
  </si>
  <si>
    <t>Volkswagen Transporter</t>
  </si>
  <si>
    <t>1,896cm³</t>
  </si>
  <si>
    <t>75kW</t>
  </si>
  <si>
    <t>0,93t</t>
  </si>
  <si>
    <t>auto alarm</t>
  </si>
  <si>
    <t>TUG 4600</t>
  </si>
  <si>
    <t>VF7MFWJZFXK203925</t>
  </si>
  <si>
    <t>Citroen Berlingo</t>
  </si>
  <si>
    <t>1,868m³</t>
  </si>
  <si>
    <t>71kW</t>
  </si>
  <si>
    <t>0,649t</t>
  </si>
  <si>
    <t>Dom Dziennego Pobytu</t>
  </si>
  <si>
    <t>Grudziądz ul. Pilsudskiego 111</t>
  </si>
  <si>
    <t>słupy, ściany nośne z cegły</t>
  </si>
  <si>
    <t>płaski jednospadowy o konstrukcji drewnianej</t>
  </si>
  <si>
    <t>Dom Dziennego  Pobytu</t>
  </si>
  <si>
    <t>Centrum Kształcenia Ustawicznego w Grudziądzu</t>
  </si>
  <si>
    <t>Ośrodek Doradztwa i Doskonalenia Zawodowego N-li przy CKU</t>
  </si>
  <si>
    <t>ul. Legionów 2-12 86-300 Grudziądz</t>
  </si>
  <si>
    <t>5200 m2</t>
  </si>
  <si>
    <t>cegła pełna</t>
  </si>
  <si>
    <t>dwuspadowy, drewniany, płatwiowo-krokwiowy</t>
  </si>
  <si>
    <t>dachówka, ceramiczna, czerwona, karpiówka podwójna</t>
  </si>
  <si>
    <t>1. Remont auli 1996 r., 2. Remont kotłowni węglowej na gazową 1997 r., 3. Remont instalacji centralnego ogrzewania 1998 r., 4. Remont pokrycia ceramicznego dachu, wymiana dachówki na karpiówkę 2002-2008 r., 5. Remont instalacji elektrycznej i oświetlenia w sali gimnastycznej oraz wymalowanie 2004 r., 6. Remont dachu sali gimnastycznej 2006 r., 7. Przekazanie kotłowni do OPEC 2006 r., 8. Zainstalowanie monitoringu zewnętrznego i wewnętrznego na terenie szkoły 2007 r., 9. Remont i modernizacja rozdzielni głównej 2009 r., 10. Remont i modernizacja podrozdzielni szt 8 2010 r.</t>
  </si>
  <si>
    <t>26</t>
  </si>
  <si>
    <t>Centrum Kształcenia Ustawicznego</t>
  </si>
  <si>
    <t>56 45 136 30-32</t>
  </si>
  <si>
    <t>ckugrudz@poczta.wp.pl dyrektor@cku.grudziadz.pl</t>
  </si>
  <si>
    <t>Dyrektor CKU                                     mgr inż. Lucyna Górska</t>
  </si>
  <si>
    <t>876 14 90 298</t>
  </si>
  <si>
    <t>000194323</t>
  </si>
  <si>
    <t>33 osób</t>
  </si>
  <si>
    <t>56 46 230 19                       56 45 136 51</t>
  </si>
  <si>
    <t>ckuoddzn@op.pl</t>
  </si>
  <si>
    <t>Dyrektor CKU                                        mgr inż. Lucyna Górska</t>
  </si>
  <si>
    <t>871718496</t>
  </si>
  <si>
    <t>1 osoba</t>
  </si>
  <si>
    <t>TYV 4755</t>
  </si>
  <si>
    <t>SUPB01CEHVW123743</t>
  </si>
  <si>
    <t>samochód osobowy</t>
  </si>
  <si>
    <t>Polonez Caro</t>
  </si>
  <si>
    <t>1600 cm3</t>
  </si>
  <si>
    <t>56KW</t>
  </si>
  <si>
    <t>Immobileiser, zabezpieczenie skrzyni biegów, autoalarm</t>
  </si>
  <si>
    <t>Centrum Pomocy Dziecku i Poradnictwa Rodzinnego (wyposażenie Centrum oraz filii)- kwoty brane z wydruków księgowych (opis w załączniku I)</t>
  </si>
  <si>
    <t>Centrum Pomocy Dziecku i Poradnictwa Rodzinnego</t>
  </si>
  <si>
    <t>Mikołaja z Ryńska 8 i 8a</t>
  </si>
  <si>
    <t xml:space="preserve">Obiekt I i II- lata 60 Obiekt III- 1995 </t>
  </si>
  <si>
    <t>Obiekt I i II- dwie    Obiekt III- jedna</t>
  </si>
  <si>
    <t>993,6 m2 (obiekt 1) 1085,43 m2 (obiekt 2), 325,75 m2 (obiekt 3),                     RAZEM: 2404,78 m2</t>
  </si>
  <si>
    <t>Obiekt 1: ścianki działowe: cegła dziurawka i gazobeton, ściany nośne: piwnica – cegła pełna na zaprawie marki „50”, parter i piętro – cegła dziurawka na zaprawie marki „30”; Obiekt 2: ściany nośne: cegła żerańska, ścianki działowe: cegła dziurawka (parter) i gazobeton (piętro); Obiekt 3: ściany nośne: wewnętrzne – cegła pełna, zewnętrzne – warstwowe (cegła kratówka – styropian 6 cm – cegła kratówka); ścianki działowe: cegła dziurawka</t>
  </si>
  <si>
    <t>dach płyty prefabrykowane i korytkowe- dach płaski dwuspadowy</t>
  </si>
  <si>
    <t xml:space="preserve">OBIEKT I: remont dachu- wymiana całego pokrycia z papy oraz całośiowe obróbki blacharskie (czerwiec 2011 roku)
OBIEKT II: remont tarasu (izolacja)- listopad 2011 roku             </t>
  </si>
  <si>
    <t>Filia Centrum Pomocy Dziecku i Poradnictwa Rodzinnego</t>
  </si>
  <si>
    <t>Kochanowskiego 11-13</t>
  </si>
  <si>
    <t>dwie (Filia CPD i PR zajmuje piętro)</t>
  </si>
  <si>
    <t>Filia CPD i PR ma ¼ udziału i zajmuje pomieszczenia o łącznej powierzchni 587,64 m2</t>
  </si>
  <si>
    <t>ściany nośne: płyty betonowe (prefabrykaty),ścianki działowe: cegła lub bloczki betonowe</t>
  </si>
  <si>
    <t>budynek o konstrukcji prefabrykowanej ze stropodachem wentlowanym, dach płaski dwuspadowy</t>
  </si>
  <si>
    <t>remont dachu- wymiana pasa nadrynnowego, rynien oraz obróbki blacharskie (czerwiec 2011 roku)</t>
  </si>
  <si>
    <t>na piętrze (użytkowanym przez Centrum Pomocy Dziecku i Poradnictwa Rodzinnego) dwupoziomowego budynku znajdują się 2 hydranty</t>
  </si>
  <si>
    <t>Centrum pomocy Dziecku i Poradnictwa Rodzinnego</t>
  </si>
  <si>
    <t xml:space="preserve">Centrum Pomocy Dziecku i Poradnictwa Rodzinnego </t>
  </si>
  <si>
    <t>Centrum Pomocy Dziecku I Poradnic</t>
  </si>
  <si>
    <t>ul. Mikołaja z Ryńska 8 Grudziądz</t>
  </si>
  <si>
    <t>(56)4621871</t>
  </si>
  <si>
    <t>ddgr@pro.onet.pl</t>
  </si>
  <si>
    <t>Przemysław Malmon</t>
  </si>
  <si>
    <t>876-13-95-200</t>
  </si>
  <si>
    <t>870212613</t>
  </si>
  <si>
    <t>wychowankowie- 126</t>
  </si>
  <si>
    <t>CG 34680</t>
  </si>
  <si>
    <t>WV2ZZZ74ZX014820</t>
  </si>
  <si>
    <t>VAN</t>
  </si>
  <si>
    <t>Centrum Profilaktyki i Terapii</t>
  </si>
  <si>
    <t>Miejski Ośrodek Pomocy Rodzinie w Grudziądzu     ul. Hallera 1</t>
  </si>
  <si>
    <t>Miejski Ośrodek Pomocy Rodzinie w Grudziądzu</t>
  </si>
  <si>
    <t>ul. Hallera1 86-300 Grudziądz</t>
  </si>
  <si>
    <t>1.095,00 m2</t>
  </si>
  <si>
    <t>194406,36 *</t>
  </si>
  <si>
    <t>Ściany nośne murowane z cegły pełnej. Ścianki działowe murowane z cegły ceramicznej oraz z płyt regipsowych</t>
  </si>
  <si>
    <t>Dach dwuspadowy drewniany, płatwiowo-kleszczowy</t>
  </si>
  <si>
    <t>Dachówka ceramiczna karpiówka</t>
  </si>
  <si>
    <t>1. Modernizacja - regulacja instalacji centralnego ogrzewania - 2009 r.                             2. Remont korytarzy i klatki schodowej - 2009 r.</t>
  </si>
  <si>
    <t>Miejski Ośrodek Pomocy Rodzinie w Grudziądzu ul. Hallera 1</t>
  </si>
  <si>
    <t>Miejski Ośrodek Pomocy Rodzinie w Grudziądzu ul. Piłsudskiego 51 * - własnośc Urząd Miejski w Grudziądzu</t>
  </si>
  <si>
    <t>56/46-269-90 wew.50</t>
  </si>
  <si>
    <t>ksiegowosc@mopr.grudziadz.pl</t>
  </si>
  <si>
    <t>Małgorzata Wiśniewska</t>
  </si>
  <si>
    <t>876-149-18-37</t>
  </si>
  <si>
    <t>005742433</t>
  </si>
  <si>
    <t>138              stan na dzień 3.09.2012 r.</t>
  </si>
  <si>
    <t>Miejski Ośrodek Rekreacji i Wypoczynku w Grudziądzu</t>
  </si>
  <si>
    <t>Miejski Ośrodek Rekreacji i Wypoczynku</t>
  </si>
  <si>
    <t>86-300 Grudziądz ul. Za Basenem 2</t>
  </si>
  <si>
    <t>ceglano-murowane</t>
  </si>
  <si>
    <t>2009/2010 r. - remont główny wymiany pokrycia dachowego</t>
  </si>
  <si>
    <t>86-300 Grudziądz ul. Zaleśna 1</t>
  </si>
  <si>
    <t>2010 r. remont główny wymiany pokrycia dachowego</t>
  </si>
  <si>
    <t>konstrukcja stalowa na dźwigarzch</t>
  </si>
  <si>
    <t>papa-eternit</t>
  </si>
  <si>
    <t>eternit i płyty poljuretanowe</t>
  </si>
  <si>
    <t>86-300 Grudziądz ul. Królowej Jadwigi</t>
  </si>
  <si>
    <t>stalowo-blaszana</t>
  </si>
  <si>
    <t>stalowy</t>
  </si>
  <si>
    <t>blacha nierdzewna</t>
  </si>
  <si>
    <t>26.05.2012</t>
  </si>
  <si>
    <t>28.05.2012</t>
  </si>
  <si>
    <t>01.12.2012</t>
  </si>
  <si>
    <t>28.12.2010</t>
  </si>
  <si>
    <t>01.12.2011</t>
  </si>
  <si>
    <t>22.11.2011</t>
  </si>
  <si>
    <t>5-letni 28.12.2010             1-roczny 01.12.2012</t>
  </si>
  <si>
    <t>Miejski Ośrodek Rekreacji i Wypoczynku  83-300 Grudziądz ul. Za Basenem 2</t>
  </si>
  <si>
    <t>86-300 Grudziądz ul.Za Basenem 2</t>
  </si>
  <si>
    <t>(56)4625654</t>
  </si>
  <si>
    <t>dyrektor@,moriw.grudziadz.pl</t>
  </si>
  <si>
    <t>Maciej Signerski</t>
  </si>
  <si>
    <t>000329875</t>
  </si>
  <si>
    <t>9329-Z</t>
  </si>
  <si>
    <t>niedotyczy</t>
  </si>
  <si>
    <t>CG 43037</t>
  </si>
  <si>
    <t>VF1FC09AF32911542</t>
  </si>
  <si>
    <t>RENAULT-KANGO 1,5DCI</t>
  </si>
  <si>
    <t>1461</t>
  </si>
  <si>
    <t>42,00</t>
  </si>
  <si>
    <t>AUTOALARM</t>
  </si>
  <si>
    <t>CG 29577</t>
  </si>
  <si>
    <t>WF0CXXGBVCST41369</t>
  </si>
  <si>
    <t>FORD-TRANSIT 2,5D</t>
  </si>
  <si>
    <t>1995</t>
  </si>
  <si>
    <t>51,00</t>
  </si>
  <si>
    <t>ZAMKI PATENTOWE</t>
  </si>
  <si>
    <t>CG 64500</t>
  </si>
  <si>
    <t>WOLF7BHB68V663936</t>
  </si>
  <si>
    <t>OPEL/CARPOL-VIVARO</t>
  </si>
  <si>
    <t>84,00</t>
  </si>
  <si>
    <t>02.10.2012</t>
  </si>
  <si>
    <t>Poradnia Psychologiczno - Pedagogiczna</t>
  </si>
  <si>
    <t>86--300 Grudziądz, ul. Korczaka 23</t>
  </si>
  <si>
    <t>2 (parter,                     I piętro)</t>
  </si>
  <si>
    <t>Ściany fundamentowe: ściany piwnic betonowe wylewane na mokro wewnętrzne gr.20 i 24 cm oraz żelbetonowe zewnętrzne gr.24cm. Ściany zewnętrzne-bloki dwuwarstwowe z betonu gr.18 cm ocieplone gazobetonem gr.18 cm</t>
  </si>
  <si>
    <t xml:space="preserve">Dach jednospadowy </t>
  </si>
  <si>
    <t>Naprawa pokrycia dachowego  papą termozgrzewalną, uzupełnienie obróbek blacharskich: kołnierzy, kminów i ścian- 2010r.</t>
  </si>
  <si>
    <t xml:space="preserve">X*                            </t>
  </si>
  <si>
    <t>86-300 Grudziądz,              ul. Korczka 23</t>
  </si>
  <si>
    <t>56/4644805</t>
  </si>
  <si>
    <t>ppp.grudziadz@onet.eu</t>
  </si>
  <si>
    <t>Dorota Meller - Murawska - dyrektor</t>
  </si>
  <si>
    <t>876-20-37-951</t>
  </si>
  <si>
    <t>001082276</t>
  </si>
  <si>
    <t>Powiatowy Urząd Pracy w Grudziadzu</t>
  </si>
  <si>
    <t>Powiatowy urzad Pracy</t>
  </si>
  <si>
    <t>86-300 Grudziądz ul. Parkowa 22</t>
  </si>
  <si>
    <t>orientacyjnie lata 1969 - 1971</t>
  </si>
  <si>
    <t>konstrukcja nośna - murowana</t>
  </si>
  <si>
    <t>2003 r. - kapitalny remont dachu  ; 2004 r. - remont bieżący pomieszczeń piwnicznych pod potrzeby skladnicy akt; 2006 r. - budowa wewnętrznej sieci teleinformacyjnej i pomieszczenia serwera; 2007 r. - wymiana instalacji wodnej w pomieszczeniach piwnicznych oraz wykonanie zabudowy z bloczków częsci korytarzy na I i II piętrze; 2008 r. - wykonanie zabudowy z bloczków części korytarza na parterze, wymiana okien w budynku oraz drzwi wewnętrznych w pomieszczeniu UPS na drzwi o podwyzszonej klasie odporności ogniowej oraz wymiana drzwi zewnętrznych(piwnicznych) na antywłamaniowe; 2009 r. - wymiana drzwi zewnętrznych na antywlamaniowe, remont chodnika i schodow przed budynkiem oraz kompleksowy remont toalety dla interesantów; 2010 r. wymiana drzwi wewnętrznych na PCV z szybą antywłamaniowa w ilości 16 szt wraz z systemem kontroli dostępu (zamki elektroniczne); 2011 r. - termomodernizacja budynku;  modernizacja instalacji grzewczej; wymiana przewodow zasilających WZL od rozdzielni głównej do rozdzielni na II piętrze budynku; wymiana drzwi wewnętrznych na PCV z szybą antywłamaniową w ilości 9 szt wraz z systemem kontroli dostępu (zamki elektroniczne), położenie płytek posadzkowych w pomieszczeniach biurowych, korytarzach i schodach wewnętrznych na I i II kondygnacji oraz Punkcie Obsługi Interesanta wraz z wymianą balustrad przyschodowych i przyokiennych.</t>
  </si>
  <si>
    <t>4 szt</t>
  </si>
  <si>
    <t>Powiatowy Urząd Pracy w Grudziądzu</t>
  </si>
  <si>
    <t xml:space="preserve">Powiatowy Urząd Pracy </t>
  </si>
  <si>
    <t>876-10-17-917</t>
  </si>
  <si>
    <t>871218380</t>
  </si>
  <si>
    <t>8413Z</t>
  </si>
  <si>
    <t>Powiatowy Urząd Pracy</t>
  </si>
  <si>
    <t>CG 38228</t>
  </si>
  <si>
    <t>TMBJX41U242844995</t>
  </si>
  <si>
    <t>Skoda Octavia Combi</t>
  </si>
  <si>
    <t>1595 cm3</t>
  </si>
  <si>
    <t>75 KW</t>
  </si>
  <si>
    <t>zamek centralny, alarm</t>
  </si>
  <si>
    <t>Muzeum im. ks. dr Władysława Łęgi w Grudziądzu</t>
  </si>
  <si>
    <t>ul. Wodna 3/5</t>
  </si>
  <si>
    <t>balustrada schodowa</t>
  </si>
  <si>
    <t xml:space="preserve">zbiory muzealne </t>
  </si>
  <si>
    <t>ul. Spichrzowa 9</t>
  </si>
  <si>
    <t>ul. Klasztorna 4</t>
  </si>
  <si>
    <t>nawierzchnia dziedzińca</t>
  </si>
  <si>
    <t>86-300 Grudziądz       ul. Wodna 3/5</t>
  </si>
  <si>
    <t>XVIII wiek</t>
  </si>
  <si>
    <t>ściany-cegła, strop-żelbeton</t>
  </si>
  <si>
    <t>dachówka ceramiczna</t>
  </si>
  <si>
    <t>wymiana stolarki okiennej 2007-2008, odwilgocenie, licowanie cegły 2007</t>
  </si>
  <si>
    <t>XVII wiek</t>
  </si>
  <si>
    <t>modernizacja systemu sygnalizacji pożaru ul. Spichrzowa 9-17,    2012 r.</t>
  </si>
  <si>
    <t>ul. Spichrzowa 11</t>
  </si>
  <si>
    <t>ul. Spichrzowa 13</t>
  </si>
  <si>
    <t>murowany</t>
  </si>
  <si>
    <t>ul. Spichrzowa 15</t>
  </si>
  <si>
    <t>ul. Spichrzowa 17</t>
  </si>
  <si>
    <t>wymiana instalacji elektrycznej, centralnego ogrzewania 2007 , uzupełnienie tynków ścian, malowanie, konserwacja stropu 2008</t>
  </si>
  <si>
    <t>remont elewacji, konserwacja rzeżb 2006</t>
  </si>
  <si>
    <t>1950-1960</t>
  </si>
  <si>
    <t>podłoże betonowe, kostka brukowa</t>
  </si>
  <si>
    <t>słup oświtleniowy</t>
  </si>
  <si>
    <t>wysokość 5 m</t>
  </si>
  <si>
    <t>usadowiony na fundamencie betonowym</t>
  </si>
  <si>
    <t>poręcze z kształtowników stalowych</t>
  </si>
  <si>
    <t>Muzeum im. ks. dr Władysława Łęgi w Grudziądzu ul. Wodna 3/5</t>
  </si>
  <si>
    <t xml:space="preserve">Muzeum im. ks. dr Władysława Łęgi w Grudziądzu </t>
  </si>
  <si>
    <t>86-300 Grudziądz  ul. Wodna 3/5</t>
  </si>
  <si>
    <t>56/4659063</t>
  </si>
  <si>
    <t>muzeum@muzeum.grudziadz.pl</t>
  </si>
  <si>
    <t>Małgorzata Kurzyńska</t>
  </si>
  <si>
    <t>876-13-70-329</t>
  </si>
  <si>
    <t>007010906</t>
  </si>
  <si>
    <t>9102Z</t>
  </si>
  <si>
    <t>TYW 5691</t>
  </si>
  <si>
    <t>SUPB30CEHWW133708</t>
  </si>
  <si>
    <t>Polonez ATU Plus</t>
  </si>
  <si>
    <t>77 KM</t>
  </si>
  <si>
    <t>5 miejsc+50kg</t>
  </si>
  <si>
    <t>5miejsc</t>
  </si>
  <si>
    <t>autoalarm</t>
  </si>
  <si>
    <t>Gmach główny Biblioteki Miejskiej, ul. Legionów 28, 86-300 Grudziądz</t>
  </si>
  <si>
    <t>Filia nr 1 BM w Szkole Podstawowej nr 1, ul. Nauczycielska 1, 86-300 Grudziądzu</t>
  </si>
  <si>
    <t>Filia nr 3 BM w Poradni Psychologiczno-Pedagogicznej, ul. Korczaka 23, 86-300 Grudziądz</t>
  </si>
  <si>
    <t>Filia nr 4, ul. Tytoniowa 1, 86-300 Grudziądz</t>
  </si>
  <si>
    <t>Filia nr 7 (lokal wynajmowany od MPGN Sp. z o.o.), ul. Chopina 33, 86-300 Grudziądz</t>
  </si>
  <si>
    <t>Filia nr 8 (lokal wynajmowany od Spółdzielni Mieszkaniowej), ul. Łęgi 2, 86-300 Grudziądz</t>
  </si>
  <si>
    <t>Filia nr 13 (lokal wynajmowany od Spółdzielni Mieszkaniowej), ul. M. z Ryńska 1-7, 86-300 Grudziądz</t>
  </si>
  <si>
    <t xml:space="preserve">Filia nr 14 (lokal wynajmowany od Spółdzielni Mieszkaniowej), ul. Mazurska 2, 86-300 Grudziądz </t>
  </si>
  <si>
    <t>Filia Pedagogiczna w Miejskim Domu Kultury, ul. Chełmińska 104, 86-300 Grudziądz</t>
  </si>
  <si>
    <t>Filia nr 11 w Szpitalu Miejskim, ul. Rydygiera 15/17, 86-300 Grudziadz</t>
  </si>
  <si>
    <t>Filia nr 15 w Bursie Szkolnej, ul Hallera 37, 86-300 Grudziądz</t>
  </si>
  <si>
    <t>Garaż przy ul. Legionów 28, 86-300 Grudziądz</t>
  </si>
  <si>
    <t>Gmach główny Biblioteki Miejskiej</t>
  </si>
  <si>
    <t>ul. Legionów 28, 86-300 Grudziądz</t>
  </si>
  <si>
    <t>1911-1917</t>
  </si>
  <si>
    <t>2 piętrowy, wolnostojący</t>
  </si>
  <si>
    <t>1274 m.kw.</t>
  </si>
  <si>
    <t>461.913,44</t>
  </si>
  <si>
    <t>z pełnej cegły</t>
  </si>
  <si>
    <t>dachówka karpiówka</t>
  </si>
  <si>
    <t>remont dachu z robotami tow. - odbiór , 18.10.2007, remont kapitalny ogrodzenia od strony ul. Legionów - odbiór 20.06.2008</t>
  </si>
  <si>
    <t>Pawilon biblioteczny - F 4</t>
  </si>
  <si>
    <t>ul. Tytoniowa 1, 86-300 Grudziądz</t>
  </si>
  <si>
    <t>parterowy, wolnostojący</t>
  </si>
  <si>
    <t>84,6 m.kw.</t>
  </si>
  <si>
    <t>z gazobetonu</t>
  </si>
  <si>
    <t>papą</t>
  </si>
  <si>
    <t>remont kapitalny budynku, tj. roboty budowlane - odbiór 16.07.2003</t>
  </si>
  <si>
    <t xml:space="preserve">Garaż </t>
  </si>
  <si>
    <t>parterowy</t>
  </si>
  <si>
    <t>18,0 m.kw.</t>
  </si>
  <si>
    <t>7.682,95</t>
  </si>
  <si>
    <t>bloczki betonowe</t>
  </si>
  <si>
    <t>nie wiem</t>
  </si>
  <si>
    <t>_</t>
  </si>
  <si>
    <t>Gmach Główny Biblioteki Miejskej,    ul. Legionów 28,      86-300 Grudziądz</t>
  </si>
  <si>
    <t>Instrukcja bezpieczeństwa pożarowego z 09/2010, monitoring systemu sygn. pożaru - umowa nr 5/2011</t>
  </si>
  <si>
    <t>Gaśnice - przegląd 03.08.2012, hydranty - przegląd 31.07.2012</t>
  </si>
  <si>
    <t>Pomiary - 31.07.2012</t>
  </si>
  <si>
    <t>Przegląd - 31.07.2012</t>
  </si>
  <si>
    <t>Protokół 17/05/12 z 18.05.2012 z przeprowadzonego badania stanu technicznego sprawności przewodów kominowych: wentylacyjnych i spalinowych, połączeń spalinowych, dymowych i kratek wentylacyjnych</t>
  </si>
  <si>
    <t>Protokół 11/12/08 z 15.12.2008</t>
  </si>
  <si>
    <t>Protokół 10/12/08 z 15.12.2008</t>
  </si>
  <si>
    <t>Protokół 29/04/12</t>
  </si>
  <si>
    <t>protokół 1/2010 - przegląd pięcioletni</t>
  </si>
  <si>
    <t>Filia nr 4 BM,            ul. Tytoniowa 1,       86-300 Grudziądz</t>
  </si>
  <si>
    <t>Gaśnice - przegląd 03.08.2012</t>
  </si>
  <si>
    <t>Protokół 17/05/12 z 18.05.2012</t>
  </si>
  <si>
    <t>Protokół z 06.10.2011</t>
  </si>
  <si>
    <t xml:space="preserve">Gmach Główny Biblioteki Miejskiej, ul. Legionów 28, 86-300 Grudziądz </t>
  </si>
  <si>
    <t>Filia nr 1, ul. Nauczycielska 19, 86-300 Grudziądz</t>
  </si>
  <si>
    <t>Filia nr 3, ul. Korczaka 23, 86-300 Grudziądz</t>
  </si>
  <si>
    <t>Filia nr 8, ul. Łęgi 2, 86-300 Grudziądz</t>
  </si>
  <si>
    <t>Filia nr 11, ul. Rydygiera 15/17, 86-300 Grudziądz</t>
  </si>
  <si>
    <t>Filia nr 13, ul. M. z Ryńska 1-7, 86-300 Grudziądz</t>
  </si>
  <si>
    <t>Filia nr 14, ul. Mazurska 2, 86-300 Grudziądz</t>
  </si>
  <si>
    <t>Filia Pedagogiczna, ul. Chełmińska 104, 86-300 Grudziądz</t>
  </si>
  <si>
    <t>Biblioteka Miejska</t>
  </si>
  <si>
    <t>bibl@grudziadz.pl</t>
  </si>
  <si>
    <t>Aleksandra Ciżnicka - Dyrektor Biblioteki Miejskiej</t>
  </si>
  <si>
    <t>007008714</t>
  </si>
  <si>
    <t>9251</t>
  </si>
  <si>
    <t>55 osób</t>
  </si>
  <si>
    <t>Biblioteka Miejska w Grudziądzu</t>
  </si>
  <si>
    <t>CG 00661</t>
  </si>
  <si>
    <t>VF7MSW12SYK202844</t>
  </si>
  <si>
    <t>Ciężarowo-osobowy</t>
  </si>
  <si>
    <t>CITROEN BERLINGO 1,9 D</t>
  </si>
  <si>
    <t>51KW</t>
  </si>
  <si>
    <t>598 kg</t>
  </si>
  <si>
    <t>URZĄD MIEJSKI W GRUDZIĄDZU UL.RATUSZOWA 1</t>
  </si>
  <si>
    <t xml:space="preserve">GKS OLIMPIA </t>
  </si>
  <si>
    <t xml:space="preserve">KW Wisła </t>
  </si>
  <si>
    <t xml:space="preserve">KS Stal </t>
  </si>
  <si>
    <t>Grudziądzkie Towarzystwo Żużlowe</t>
  </si>
  <si>
    <t xml:space="preserve">URZĄD MIEJSKI W GRUDZIĄDZU </t>
  </si>
  <si>
    <t>RATUSZOWA 1</t>
  </si>
  <si>
    <t xml:space="preserve">Budynek o charakterze zabytkowym z przełomu XVII i XVIII  w oraz część z XX w 2 piętrowy, ze strychem, wieżą na wysokoch suterenach podpiwniczony, murowany z cegły. Dach konstrukcji drewnianej pokryty dachówką. </t>
  </si>
  <si>
    <t>3095m2</t>
  </si>
  <si>
    <t>DREWNIANA</t>
  </si>
  <si>
    <t xml:space="preserve"> DACHÓWKA</t>
  </si>
  <si>
    <t xml:space="preserve">remont dachu, wymiana istalacji elektrycznej i komputerowej , remont łazienek </t>
  </si>
  <si>
    <t>39</t>
  </si>
  <si>
    <t>MICKIEWICZA 28/30</t>
  </si>
  <si>
    <t>Budynek o charakterze zabytkowym budowany ok. 1867r, podpiwniczony, murowany z cegły licowej. Dach konstrukcji drewnianej pokryty dachówką. Strop nad piwnicą odcinkowy, ceramiczny.</t>
  </si>
  <si>
    <t>1158m2</t>
  </si>
  <si>
    <t>remont łazienek , wymiana instalacji CO</t>
  </si>
  <si>
    <t xml:space="preserve">brak </t>
  </si>
  <si>
    <t>WODNA 7</t>
  </si>
  <si>
    <t xml:space="preserve">budynek zabytkowy, z XIV/XVII/XX w trzy kontygnacje piwnica, przyziemie,  poddasze występuje w dwóch poziomach. Wieżba dachowa drewniana, pokrycie dachowe dachówką ceramiczną. </t>
  </si>
  <si>
    <t>201m2</t>
  </si>
  <si>
    <t>DACHÓWKA CERAMICZNA</t>
  </si>
  <si>
    <t>wymiana rynny</t>
  </si>
  <si>
    <t xml:space="preserve">PIŁSUDSKIEGO 51 Straż Miejska </t>
  </si>
  <si>
    <t>Budynek z płyty betonowej, pokrycie dachowe papą, fundament wylewany, okna plastikowe ul.Piłsudskiego 51 Grudziądz</t>
  </si>
  <si>
    <t>570m2</t>
  </si>
  <si>
    <t>żelbetowo-betonowa</t>
  </si>
  <si>
    <t>beton</t>
  </si>
  <si>
    <t>POKRYCIE PAPĄ</t>
  </si>
  <si>
    <t xml:space="preserve">budowa kotłowni gazowej , wymiana stolarki okiennen, remont przyłącza wodociągowego, przyłączenie do sieci elektroenergetycznej, przyłączenie do sieci gazowej; </t>
  </si>
  <si>
    <t>PIŁSUDSKIEGO 51 BUDYNEK GŁÓWNY</t>
  </si>
  <si>
    <t>rok budowy 1910 r. budynek - lokal użytkowy, rodzaj zabudowy - wolnostojący, podpiwniczony, rodzaj dachu drewniany, konstrukcja budynku tradycyjna</t>
  </si>
  <si>
    <t>1332,66m2</t>
  </si>
  <si>
    <t>remont pomieszczeń,wymiana pokrycia dachu,wykonanie elewacji w 2005r</t>
  </si>
  <si>
    <t>CENTRUM EDUKACJI EKOLOGICZNEJ</t>
  </si>
  <si>
    <t xml:space="preserve"> Nad Torem 1   </t>
  </si>
  <si>
    <t>drewniana krokwiowa</t>
  </si>
  <si>
    <t>LEŚNICZÓWKA</t>
  </si>
  <si>
    <t>NAD TOREM 1</t>
  </si>
  <si>
    <t>2010 ocieplenie ścian, wymiana okien, wymiana pokrycia dachowego i instalacji odgromowej</t>
  </si>
  <si>
    <t>Nad Torem 1</t>
  </si>
  <si>
    <t>blacha</t>
  </si>
  <si>
    <t>WARYŃSKIEGO 32-36*</t>
  </si>
  <si>
    <t>budynek administracyjno biurowy, rok produkcji 1962, stan ogólny dobry, dach żelbetonowy, papa strop betonowy, konstrukcja zelbetonowa, budynek murowany z cegły pełnej ceramicznej, schody betonowe</t>
  </si>
  <si>
    <t>1236,00 m2</t>
  </si>
  <si>
    <t xml:space="preserve">stropodach,żelbet </t>
  </si>
  <si>
    <t>brak hydrantów</t>
  </si>
  <si>
    <t>Spacerowa bud.mieszk.</t>
  </si>
  <si>
    <t>brak danych</t>
  </si>
  <si>
    <t>129 m2</t>
  </si>
  <si>
    <t>Spacerowa bud.warsztatowy</t>
  </si>
  <si>
    <t>110 m2</t>
  </si>
  <si>
    <t>eternit</t>
  </si>
  <si>
    <t>Spacerowa bud.gospodarczy</t>
  </si>
  <si>
    <t>180 m2</t>
  </si>
  <si>
    <t>Spacerowa obiekty szklarniowe</t>
  </si>
  <si>
    <t>500 m2</t>
  </si>
  <si>
    <t>stal,szkło</t>
  </si>
  <si>
    <t>Miłoleśna 12 bud.gosp.</t>
  </si>
  <si>
    <t>202,61m2</t>
  </si>
  <si>
    <t>Miłoleśna 12 stodoła</t>
  </si>
  <si>
    <t>55,97 m2</t>
  </si>
  <si>
    <t>Miłoleśna 12 bud.mieszkalny</t>
  </si>
  <si>
    <t>174,39 m2</t>
  </si>
  <si>
    <t>SŁOWACKIEGO*</t>
  </si>
  <si>
    <t>28m2</t>
  </si>
  <si>
    <t>betonowa</t>
  </si>
  <si>
    <t>pokrycie papą</t>
  </si>
  <si>
    <t xml:space="preserve">Powiatowy Zespól ds.. Orzekania o Niepełnosprawności w Grudziądzu </t>
  </si>
  <si>
    <t>ul. Małomłyńska 1</t>
  </si>
  <si>
    <t>budynek Starostwa Powiatowego</t>
  </si>
  <si>
    <t>Zarządzanie Kryzysowe</t>
  </si>
  <si>
    <t>STRAŻACKA 1*</t>
  </si>
  <si>
    <t>budynek Straży Pożarnej</t>
  </si>
  <si>
    <t>Posterunki Straży Miejskiej:</t>
  </si>
  <si>
    <t>- Legionów 74/80</t>
  </si>
  <si>
    <t>budynek MPGN</t>
  </si>
  <si>
    <t>- Śniadeckich 50</t>
  </si>
  <si>
    <t>budynek OPEC</t>
  </si>
  <si>
    <t>- Nauczycielska 10f</t>
  </si>
  <si>
    <t>-Droga Mazurska 2</t>
  </si>
  <si>
    <t>ubezpieczony   przez           ZSO Nr 1</t>
  </si>
  <si>
    <t>Punkty Sprzedaży Biletów</t>
  </si>
  <si>
    <t>Ul.  Chełmińska 4</t>
  </si>
  <si>
    <t>ubezpieczony przez CH Alfa</t>
  </si>
  <si>
    <t>Ul. Legionów 74</t>
  </si>
  <si>
    <t>ORLIK budowle ul. Piłsudskiego 14</t>
  </si>
  <si>
    <t>ORLIK budowle ul. Korczaka 23</t>
  </si>
  <si>
    <t>ORLIK budowle ul. Sportowców 3</t>
  </si>
  <si>
    <t>ORLIK budowle ul. Sobieskiego 12</t>
  </si>
  <si>
    <t>ORLIK budowle ul. Czarnieckiego 9</t>
  </si>
  <si>
    <t>ORLIK budowle ul.Fortecznej</t>
  </si>
  <si>
    <t>Boisko ul. Słowackiego</t>
  </si>
  <si>
    <t>Klub Wioślarski Wisła ul. Portowa</t>
  </si>
  <si>
    <t xml:space="preserve">1)  Budynek przystani wioślarskiej - 1964 r.                  2) Budynek socjalno-sanitarno-magazynowy 2005 r.                                                          3) Hangar z pomieszczeniami socjalno-sanitarnymi-  1970 r.   </t>
  </si>
  <si>
    <t xml:space="preserve">1) 3                    2) 1          3) 2              </t>
  </si>
  <si>
    <t>1) 562,90m2      2) 36,25m2     3) 326,02m2</t>
  </si>
  <si>
    <t>1) drewniana   2) murowana  3) murowana</t>
  </si>
  <si>
    <t>1) drewniana     2) drewniana    3) drewniana</t>
  </si>
  <si>
    <t>1) dachówka  2) blacho-dachówka    3) blacho- dachówka</t>
  </si>
  <si>
    <t>1) dobudowana siłowania: 1-kondygnacja, ściany murowane, strop żelbetowy, kryty papą</t>
  </si>
  <si>
    <t>Klub GKS Olimpia budynki  ul. Piłsudskiego 14</t>
  </si>
  <si>
    <t>1ab) Hala sportowa z zapleczem socjalnym   -1980 r.                                                           2) Budynek administracyjno-socjalny - bd              3) Trybuny z zapleczem socjalno-szatniowym - 2003 r.                                                        4) Budynek Wc +garaż -   bd                           5) Budynek szatniowo-socjalny -  bd            6) Budynek garażowy -  bd                             7) Kasa biletowa - bd</t>
  </si>
  <si>
    <t xml:space="preserve">1a) Hala sportowa-1     1b) Zaplecze socjalne-2                   2) 3          3) 2              4) 1                    5) 1         6) 1         7) 1  </t>
  </si>
  <si>
    <t xml:space="preserve">1) 3869,70m2      2) ? m2          3) 732,90m2   4) ? m2          5) ? m2                    6 ) ? m2             7) ? m2     </t>
  </si>
  <si>
    <t>1a) Hala sportowa-stalowa            1b) Zaplecze socjalne-murowana     2) murowana  3) murowana  4) murowana  5) murowana 6) murowana  7) murowana</t>
  </si>
  <si>
    <t>1a) Hala sportowa-drewniana           1b) Zaplecze socjalne -stalowa   w części zelbetowa         2) betonowa   3a) Trybuny-drewniana      3b) Zaplecze socjalno-szatniowe-żelbetowa          4) betonowa       5) betonowa      6) stalowa         7) betonowa</t>
  </si>
  <si>
    <t>1) blaszane     2) papowe       3) papowe        4) papowe     5) papowe        6) papowe        7) papowe</t>
  </si>
  <si>
    <t>1) dobudowa zadaszenia trybun               2) rozbudowa monitoringu</t>
  </si>
  <si>
    <t>1 (H52)</t>
  </si>
  <si>
    <t>KS Stal hala ul. Sportowców 3</t>
  </si>
  <si>
    <t xml:space="preserve">1)  Internat sportowy -   1979 r.                      2) Hala Sportowa -  1983r.             </t>
  </si>
  <si>
    <t xml:space="preserve">1) 3                   2) 1                      </t>
  </si>
  <si>
    <t xml:space="preserve">1) 1489,00m2      2) 1600,00m2     </t>
  </si>
  <si>
    <t xml:space="preserve">1) żelbetowa 2) murowana /w części płyta wielowarstwowa  </t>
  </si>
  <si>
    <t xml:space="preserve">1) stalowa          2) drewniana    </t>
  </si>
  <si>
    <t xml:space="preserve">1) blaszane   2) papowe       </t>
  </si>
  <si>
    <t>6 gaśnice</t>
  </si>
  <si>
    <t>1 (przy boisku)</t>
  </si>
  <si>
    <t>GTŻ ul. Hallera 4</t>
  </si>
  <si>
    <t xml:space="preserve">1)  Budynek główny -  1975 r.                            2) Budynek garażowy - 1985r.                       3) Toalety -  1975 r.                                        4) Warsztat z boksami na motory - 1975r.     5) Budynek na motory -  1975r.    </t>
  </si>
  <si>
    <t xml:space="preserve">1) żelbetowa 2) stalowa     3) murowana 4) murowana 5) murowana </t>
  </si>
  <si>
    <t>1) żelbetowa       2) stalowa        3) żelbetowa       4) żelbetowa     5) żelbetowa</t>
  </si>
  <si>
    <t xml:space="preserve">1) papowe    2) blaszane   3) papowe    4) papowe    5) papowe                 </t>
  </si>
  <si>
    <t>1) wykonanie oswietlenia toru, moderniyacja naglosnienia</t>
  </si>
  <si>
    <t>8 gaśnic</t>
  </si>
  <si>
    <t>1 hydrant (w parku maszyn)</t>
  </si>
  <si>
    <t xml:space="preserve">bloczki mandatowe w szafie metalowej </t>
  </si>
  <si>
    <t>x szyfr</t>
  </si>
  <si>
    <t>tak firma TAURUS</t>
  </si>
  <si>
    <t>od 6.00 - 20.00 firma ochroniarska od 20.00-6.00 monitoring</t>
  </si>
  <si>
    <t>9 godz. Firma TAURUS</t>
  </si>
  <si>
    <t>częściowy</t>
  </si>
  <si>
    <t xml:space="preserve">hala </t>
  </si>
  <si>
    <t>w wieżyczka sędziowska</t>
  </si>
  <si>
    <t>pracownicy Klubu</t>
  </si>
  <si>
    <t>okolo 400 kg</t>
  </si>
  <si>
    <t>04.08.2011</t>
  </si>
  <si>
    <t>10.10.2008</t>
  </si>
  <si>
    <t>10.10.2010</t>
  </si>
  <si>
    <t>05.07.2012</t>
  </si>
  <si>
    <t>06.10.2011</t>
  </si>
  <si>
    <t>10.02.2012r.</t>
  </si>
  <si>
    <t>02.02.2012r.</t>
  </si>
  <si>
    <t>13.02.2012r.</t>
  </si>
  <si>
    <t>15.02.2012r.</t>
  </si>
  <si>
    <t xml:space="preserve">hangar: 15.04.2010 budynek socjalno-sanitarny, budynek przstani z siłownią 15.04.2009 </t>
  </si>
  <si>
    <t>30.09.2011</t>
  </si>
  <si>
    <t>03.2011</t>
  </si>
  <si>
    <t>02.2011</t>
  </si>
  <si>
    <t>08.2011</t>
  </si>
  <si>
    <t>30.11.2011</t>
  </si>
  <si>
    <t>05.2012</t>
  </si>
  <si>
    <t>08.2012</t>
  </si>
  <si>
    <t>28.02.2011</t>
  </si>
  <si>
    <t>8.2011</t>
  </si>
  <si>
    <t xml:space="preserve">nie dotyczy </t>
  </si>
  <si>
    <t>30.09.2010</t>
  </si>
  <si>
    <t>13.04.2011</t>
  </si>
  <si>
    <t xml:space="preserve">Urząd Miejski w Grudziądzu </t>
  </si>
  <si>
    <t>56 45 10 200</t>
  </si>
  <si>
    <t>boi@um.grudziadz.pl</t>
  </si>
  <si>
    <t>IWONA ZWOLIŃSKA</t>
  </si>
  <si>
    <t>000596926</t>
  </si>
  <si>
    <t>8411Z</t>
  </si>
  <si>
    <t>347*</t>
  </si>
  <si>
    <t>Urząd Miejski TR</t>
  </si>
  <si>
    <t>CG50600</t>
  </si>
  <si>
    <t>TMBAH25J493095846</t>
  </si>
  <si>
    <t>FABIA</t>
  </si>
  <si>
    <t>Urząd Miejski SM</t>
  </si>
  <si>
    <t>CG15777</t>
  </si>
  <si>
    <t>TMBJB46Y633635455</t>
  </si>
  <si>
    <t>CG39001</t>
  </si>
  <si>
    <t>VOLF7ACA62V612672</t>
  </si>
  <si>
    <t>VIVARO 1,9 CTDI</t>
  </si>
  <si>
    <t>CG39002</t>
  </si>
  <si>
    <t>WOF7ABA54V632204</t>
  </si>
  <si>
    <t>0,94T</t>
  </si>
  <si>
    <t>Urząd Miejski GK</t>
  </si>
  <si>
    <t>CG55570</t>
  </si>
  <si>
    <t>VF7ZCRMHB17390700</t>
  </si>
  <si>
    <t>JUMPER</t>
  </si>
  <si>
    <t xml:space="preserve">Urząd Miejski ED (SOSW Nr 1) </t>
  </si>
  <si>
    <t>CG28720</t>
  </si>
  <si>
    <t>WV2ZZZ7HZ6X014436</t>
  </si>
  <si>
    <t>TRANSPORTER T5 SHUTTLE</t>
  </si>
  <si>
    <t>Urząd Miejski SP (dla szpitala)</t>
  </si>
  <si>
    <t>CG22814</t>
  </si>
  <si>
    <t>WV2ZZZ7HZ5X001433</t>
  </si>
  <si>
    <t>osobowy/wyposażony w windę</t>
  </si>
  <si>
    <t>TRANSPORTER 1,9 TDI</t>
  </si>
  <si>
    <t>CG22842</t>
  </si>
  <si>
    <t>WV2ZZZ7HZ5X000917</t>
  </si>
  <si>
    <t>CG49021</t>
  </si>
  <si>
    <t>WV2ZZZ7HZ9H067288</t>
  </si>
  <si>
    <t>TRANSPORTER 1.9TDI</t>
  </si>
  <si>
    <t>CG56665</t>
  </si>
  <si>
    <t>VF1KCTEEF38078168</t>
  </si>
  <si>
    <t>KANGOO 1,5 DCI</t>
  </si>
  <si>
    <t>CG0938</t>
  </si>
  <si>
    <t>VTLSA341000007813</t>
  </si>
  <si>
    <t>motorower</t>
  </si>
  <si>
    <t>YN 50 08 NEOS</t>
  </si>
  <si>
    <t>CG0939</t>
  </si>
  <si>
    <t>VTLSA341000007928</t>
  </si>
  <si>
    <t>CG0937</t>
  </si>
  <si>
    <t>VTLSA341000007858</t>
  </si>
  <si>
    <t>CG0940</t>
  </si>
  <si>
    <t>VTLSA341000009653</t>
  </si>
  <si>
    <t>CG43003</t>
  </si>
  <si>
    <t>VF1FC1FAF36673525</t>
  </si>
  <si>
    <t>Urząd Miejski KS</t>
  </si>
  <si>
    <t>CG10092</t>
  </si>
  <si>
    <t>XLG000N7AD187282</t>
  </si>
  <si>
    <t>przyczepa do balona</t>
  </si>
  <si>
    <t>SARIS</t>
  </si>
  <si>
    <t>Urząd Miejski OR</t>
  </si>
  <si>
    <t>CG39000</t>
  </si>
  <si>
    <t>VF1BMK40638630472</t>
  </si>
  <si>
    <t>MEGANE II 5D EXPRESSION</t>
  </si>
  <si>
    <t>0,550T</t>
  </si>
  <si>
    <t>CG64064</t>
  </si>
  <si>
    <t>W0LGT6EMXB1086112</t>
  </si>
  <si>
    <t xml:space="preserve"> Opel Insignia </t>
  </si>
  <si>
    <t>118 kW</t>
  </si>
  <si>
    <t>Urząd Miejski w Grudziądzu</t>
  </si>
  <si>
    <t>SZKOŁA PODSTAWOWA NR 15</t>
  </si>
  <si>
    <t>86-300 GRUDZIADZ</t>
  </si>
  <si>
    <t>2.137,20</t>
  </si>
  <si>
    <t>PREFABRYKATY  ŻELBETONOWE</t>
  </si>
  <si>
    <t xml:space="preserve">PŁYTA KORYTKOWA PREFABRYKOWANA </t>
  </si>
  <si>
    <t>PAPA TERMOZGRZEWALNA</t>
  </si>
  <si>
    <t>2008  - TEROMODERNIZACJA</t>
  </si>
  <si>
    <t>TAK</t>
  </si>
  <si>
    <t xml:space="preserve">NIE MA </t>
  </si>
  <si>
    <t>NIE MA</t>
  </si>
  <si>
    <t>POSIADAMY AKTUALNE</t>
  </si>
  <si>
    <t>PRZEGLĄG  - 2012 R.</t>
  </si>
  <si>
    <t>POSIADAMY</t>
  </si>
  <si>
    <t>JEST AKTUALNY</t>
  </si>
  <si>
    <t>WAŻNY DO 2017 ROKU</t>
  </si>
  <si>
    <t>86-300  GRUDZIADZ UL. BYDGOSKA 24</t>
  </si>
  <si>
    <t>sp15ken1@wp.pl</t>
  </si>
  <si>
    <t>DYREKTOR SZKOŁY P. DARIUSZ MIELCARSKI</t>
  </si>
  <si>
    <t>000212587</t>
  </si>
  <si>
    <t>Zespół Szkół Mechanicznych w Grudziądzu</t>
  </si>
  <si>
    <t>Zespół Szkół Mechanicznych w Grudziądzu - budynek szkolny</t>
  </si>
  <si>
    <t>ul.Hallera 31</t>
  </si>
  <si>
    <t>murowany z cegły ceramicznej</t>
  </si>
  <si>
    <t>drewniana, więźba płatowo-kleszczowa</t>
  </si>
  <si>
    <t xml:space="preserve">2007-remont pokrycie dachowego, 
2007- wymiana stolarki okiennej, 
2008/2009-wymiana instalacji elektrycznej
2011 - remont dróg wewnętrznych, plac manewrowy
</t>
  </si>
  <si>
    <t>Zespół Szkół Mechanicznych w Grudziądzu - sala gimnastyczna</t>
  </si>
  <si>
    <t>kratownice stalowe 2-spadowe</t>
  </si>
  <si>
    <t>dachówka ceramiczna + papa na dobudówce</t>
  </si>
  <si>
    <t>2004-modernizacja zaplecza sanitarnego Sali gimnastycznej</t>
  </si>
  <si>
    <t>Zespół Szkół Mechanicznych w Grudziądzu - budynek tzw. Harcówka</t>
  </si>
  <si>
    <t>ul.Hallera 32</t>
  </si>
  <si>
    <t>2000-remont dachu,
2007-wymiana stolarki okiennej</t>
  </si>
  <si>
    <t>ul.Hallera nr 31, 86-300 Grudziądz</t>
  </si>
  <si>
    <t>56 46 590 01</t>
  </si>
  <si>
    <t>mechanik_sekretariat@poczta.fm</t>
  </si>
  <si>
    <t>Marek Kochański</t>
  </si>
  <si>
    <t>876-13-94-356</t>
  </si>
  <si>
    <t>000184810</t>
  </si>
  <si>
    <t>CG23838</t>
  </si>
  <si>
    <t>KL1SF48T15B280993</t>
  </si>
  <si>
    <t>CHEVROLET AVEO</t>
  </si>
  <si>
    <t>CG44001</t>
  </si>
  <si>
    <t>KL1SF48TJ8B142574</t>
  </si>
  <si>
    <t>Ognisko Pracy Pozazszkolnej w Grudziądzu ul.Chełmińska 104</t>
  </si>
  <si>
    <t>Ognisko Pracy Pozaszkolnej</t>
  </si>
  <si>
    <t>Chełmińska 104</t>
  </si>
  <si>
    <t>murowane z cegły ceramicznej pełnej</t>
  </si>
  <si>
    <t>strop żelbetonowy gęsto żebrowy typu akermana</t>
  </si>
  <si>
    <t>w 2003 wymiana pokrycia dachowego</t>
  </si>
  <si>
    <t xml:space="preserve">nie </t>
  </si>
  <si>
    <t>nie posiadamy</t>
  </si>
  <si>
    <t>Ognisko Pracy Pozaszkolnej w Grudziądzu ul.Chełmińska 104</t>
  </si>
  <si>
    <t>IV/2012</t>
  </si>
  <si>
    <t>56-46-585-46</t>
  </si>
  <si>
    <t>dyrektor jednostki Ewa Podemska</t>
  </si>
  <si>
    <t>876-17-16-785</t>
  </si>
  <si>
    <t>000212585</t>
  </si>
  <si>
    <t>9329Z</t>
  </si>
  <si>
    <t xml:space="preserve">ul. Waryńskiego 36 86-300 Grudziądz </t>
  </si>
  <si>
    <t>lata 60-70</t>
  </si>
  <si>
    <t>836m2</t>
  </si>
  <si>
    <t>więźba drewniana</t>
  </si>
  <si>
    <t>kapitalny remont budynku w 2000r.</t>
  </si>
  <si>
    <t>godzin pracy od 7:00 - 7:00</t>
  </si>
  <si>
    <t>xxxx</t>
  </si>
  <si>
    <t>876-21-47-183</t>
  </si>
  <si>
    <t>Przedszkole Miejskie "Lotnisko" ul.Ikara 8</t>
  </si>
  <si>
    <t>Przedszkole Miejskie "Lotnisko" ul.Kustronia 6</t>
  </si>
  <si>
    <t xml:space="preserve">dźwig towarowy - </t>
  </si>
  <si>
    <t>Przedszkole Miejskie "Lotnisko"</t>
  </si>
  <si>
    <t>ul.Ikara 8</t>
  </si>
  <si>
    <t>budynek wolnostojący,dwukondygnacyjny, podpiwniczony, wykonany w technologii sprefabrykowanej-system OWT-67, strop prefabrykowany w systemie OWT</t>
  </si>
  <si>
    <t>dach płaski z elementów prefabrykowanych , kryty papą</t>
  </si>
  <si>
    <t>ul.Kustronia 6</t>
  </si>
  <si>
    <t>Przedszkole Miejskie "Lotnisko'</t>
  </si>
  <si>
    <t>przedszkole Miejskie "Lotnisko" ul.Ikara 8</t>
  </si>
  <si>
    <t>Przedszkole Miejskie "Lotnisko" ul.Kustronia</t>
  </si>
  <si>
    <t>przedszkole Miejskie "Lotnisko"</t>
  </si>
  <si>
    <t>dyrektor@pmlotnisko.grudziadz.pl</t>
  </si>
  <si>
    <t>Aleksandra Lesiak</t>
  </si>
  <si>
    <t>340852547</t>
  </si>
  <si>
    <t>Zamiejscowy Ośrodek Dydaktyczny w Grudziądzu UMK, ul. Sienkiewicza 22, 86-300 Grudziądz -Budynek Główny</t>
  </si>
  <si>
    <t>Zamiejscowy Ośrodek Dydaktyczny w Grudziądzu UMK, ul. Sienkiewicza 22, 86-300 Grudziądz - Hala Sportowa</t>
  </si>
  <si>
    <t>Zamiejscowy Ośrodek Dydaktyczny w Grudziądzu UMK</t>
  </si>
  <si>
    <t>ul. Sienkiewicza 22,        86-300 Grudziądz</t>
  </si>
  <si>
    <t>1950,80 m2</t>
  </si>
  <si>
    <t>technologia tradycyjna, cegła</t>
  </si>
  <si>
    <t>więźba dachowa drewniana</t>
  </si>
  <si>
    <t xml:space="preserve">2008 - remont dachu, 2009 - wymiana elem. ceglanych filarków okiennych, naprawa instalacji odgromowej, </t>
  </si>
  <si>
    <t>24</t>
  </si>
  <si>
    <t>965 m2</t>
  </si>
  <si>
    <t xml:space="preserve"> dachówka ceramiczna, papa</t>
  </si>
  <si>
    <t>2010 - modernizacja instalacji grzewczej, 2011 - remont dachu sali gimn., 2012 - remont dachu zaplecza sali gimn.</t>
  </si>
  <si>
    <t xml:space="preserve">ZSO nr 3 seg. A                        </t>
  </si>
  <si>
    <t>URZĄD MIEJSKI W GRUDZIĄDZU - RATUSZOWA 1</t>
  </si>
  <si>
    <t>URZĄD MIEJSKI W GRUDZIĄDZU - MICKIEWICZA 28/30</t>
  </si>
  <si>
    <t>URZĄD MIEJSKI W GRUDZIĄDZU - WODNA 7</t>
  </si>
  <si>
    <t>URZĄD MIEJSKI W GRUDZIĄDZU - Piłsudskiego 51 SM</t>
  </si>
  <si>
    <t>URZĄD MIEJSKI W GRUDZIĄDZU - Piłsudskiego 51 Główny</t>
  </si>
  <si>
    <t>URZĄD MIEJSKI W GRUDZIĄDZU -Nad Torem 1   CEE</t>
  </si>
  <si>
    <t>URZĄD MIEJSKI W GRUDZIĄDZU NAD TOREM 1 ul. Leśniczówka</t>
  </si>
  <si>
    <t>URZĄD MIEJSKI W GRUDZIĄDZU - Nad Torem 1 garaż</t>
  </si>
  <si>
    <t>URZĄD MIEJSKI W GRUDZIĄDZU - WARYŃSKIEGO 32-36*</t>
  </si>
  <si>
    <t>URZĄD MIEJSKI W GRUDZIĄDZU - Spacerowa</t>
  </si>
  <si>
    <t>URZĄD MIEJSKI W GRUDZIĄDZU - Miłoleśna 12</t>
  </si>
  <si>
    <t>URZĄD MIEJSKI W GRUDZIĄDZU - ul. Słowackiego garaż</t>
  </si>
  <si>
    <t>URZĄD MIEJSKI W GRUDZIĄDZU -RATUSZOWA 1</t>
  </si>
  <si>
    <t>URZĄD MIEJSKI W GRUDZIĄDZU -MICKIEWICZA 28/30</t>
  </si>
  <si>
    <t>URZĄD MIEJSKI W GRUDZIĄDZU -WODNA 7</t>
  </si>
  <si>
    <t>URZĄD MIEJSKI W GRUDZIĄDZU -Piłsudskiego 51 SM</t>
  </si>
  <si>
    <t>URZĄD MIEJSKI W GRUDZIĄDZU -Piłsudskiego 51 Główny</t>
  </si>
  <si>
    <t>URZĄD MIEJSKI W GRUDZIĄDZU - Nad Torem 1   CEE</t>
  </si>
  <si>
    <t>URZĄD MIEJSKI W GRUDZIĄDZU- NAD TOREM 1 Leśniczówka</t>
  </si>
  <si>
    <t>URZĄD MIEJSKI W GRUDZIĄDZU -Nad Torem garaż</t>
  </si>
  <si>
    <t>URZĄD MIEJSKI W GRUDZIĄDZU -WARYŃSKIEGO 32-36*</t>
  </si>
  <si>
    <t>URZĄD MIEJSKI W GRUDZIĄDZU -Spacerowa</t>
  </si>
  <si>
    <t>URZĄD MIEJSKI W GRUDZIĄDZU -Miłoleśna 12</t>
  </si>
  <si>
    <t>URZĄD MIEJSKI W GRUDZIĄDZU -Słowackiego garaż</t>
  </si>
  <si>
    <t xml:space="preserve">1) 2                  2)1                      3) 1                 4)1                      5) 1                      </t>
  </si>
  <si>
    <t xml:space="preserve">1)  ? m2         2) ? m2          3)  ? m2         4) 222,57m2  5) 65,00m2       </t>
  </si>
  <si>
    <t xml:space="preserve">Klub Sportowy Stal Grudziadz
</t>
  </si>
  <si>
    <t>ul. Aleja Sportowców 3, 86-303 Grudziądz</t>
  </si>
  <si>
    <t>876-244-34-21</t>
  </si>
  <si>
    <t>340837795</t>
  </si>
  <si>
    <t>Klub Wioślarski "WISŁA" w Grudziądzu</t>
  </si>
  <si>
    <t>ul. Portowa 8, 86-303 Grudziądz</t>
  </si>
  <si>
    <t>876-10-18-555</t>
  </si>
  <si>
    <t>001069548</t>
  </si>
  <si>
    <t>GKS Olimpia Grudziąd</t>
  </si>
  <si>
    <t>ul. Piłsudskiego 14
86-300 Grudziądz</t>
  </si>
  <si>
    <t>(56) 461-14-40</t>
  </si>
  <si>
    <t>gksolimpia@onet.pl   </t>
  </si>
  <si>
    <t>86-300 Grudziądz, ul. Hallera 4</t>
  </si>
  <si>
    <t>871-642-907</t>
  </si>
  <si>
    <t>86-300 Grudziądz, ul. Korczaka 21</t>
  </si>
  <si>
    <t>876-17-88-885</t>
  </si>
  <si>
    <t>8010A</t>
  </si>
  <si>
    <t>Szkoła Podstawowa nr 9</t>
  </si>
  <si>
    <t>gim9gdz@wp.pl</t>
  </si>
  <si>
    <t>Anna   Kędziora</t>
  </si>
  <si>
    <t>871182802</t>
  </si>
  <si>
    <t>8021 A</t>
  </si>
  <si>
    <t>86-300 Grudziądz, ul. Piłsudskiego 111</t>
  </si>
  <si>
    <t>823316</t>
  </si>
  <si>
    <t>7524Z</t>
  </si>
  <si>
    <t>Ul.Śniadeckich 6</t>
  </si>
  <si>
    <t>56 46 305 60</t>
  </si>
  <si>
    <t>cpit@grudziadz.com.pl</t>
  </si>
  <si>
    <t>Izabela Podlecka-Kandyba</t>
  </si>
  <si>
    <t>871692443</t>
  </si>
  <si>
    <t>8899Z</t>
  </si>
  <si>
    <t>sprzęt użyczony</t>
  </si>
  <si>
    <t>Przedszkole Miejskie "Kuntersztyn" w Grudziądzu</t>
  </si>
  <si>
    <t xml:space="preserve">I Liceum Ogólnokształcace  w Grudziadzu </t>
  </si>
  <si>
    <t>Gimnazjum nr 9 budynek  dydaktyczny</t>
  </si>
  <si>
    <t>Gimnazjum nr 9budynek administracyjny</t>
  </si>
  <si>
    <t>Gimnazjum nr 9 budynek  gospodarczy</t>
  </si>
  <si>
    <t>Muzeum ul. Wodna 3/5</t>
  </si>
  <si>
    <t>Muzeum ul. Spichrzowa 9</t>
  </si>
  <si>
    <t>Muzeum ul. Spichrzowa 11-13</t>
  </si>
  <si>
    <t>Muzeum ul. Spichrzowa 15-17</t>
  </si>
  <si>
    <t>Muzeum ul. Klasztorna 4</t>
  </si>
  <si>
    <t xml:space="preserve">Przedszkole Miejskie Tarpno - budynek gospodarczy </t>
  </si>
  <si>
    <t>7 792,90</t>
  </si>
  <si>
    <t>18 000,00</t>
  </si>
  <si>
    <t>Zarzd Dróg Miejskich</t>
  </si>
  <si>
    <t>Zarząd Dróg Miejskich w Grudziądzu</t>
  </si>
  <si>
    <t>Hallera 79</t>
  </si>
  <si>
    <t>zdm@zdm.grudziadz.pl</t>
  </si>
  <si>
    <t>Natalia Salczyńska</t>
  </si>
  <si>
    <t>340534333</t>
  </si>
  <si>
    <t>CG 61199</t>
  </si>
  <si>
    <t>WV1ZZZ2EZ86011910</t>
  </si>
  <si>
    <t>sam.dostawczy</t>
  </si>
  <si>
    <t>VW CRAFTER</t>
  </si>
  <si>
    <t>80 kW</t>
  </si>
  <si>
    <t>10.03.2013</t>
  </si>
  <si>
    <t xml:space="preserve">Centralny zamek, imobilajzer, auto alarm, </t>
  </si>
  <si>
    <t>Przedszkole Miejskie "Kuntersztyn"</t>
  </si>
  <si>
    <t>Grudziądz, ul Piłsudskiego 31</t>
  </si>
  <si>
    <t>remont dachu 2002 , termomodernizacja  budynku 2009</t>
  </si>
  <si>
    <t>Grudziądz, ul.Tysiąclecia 75</t>
  </si>
  <si>
    <t>strop drewniany</t>
  </si>
  <si>
    <t>remont dachu i termomodernizacja  budynku 2011</t>
  </si>
  <si>
    <t>ogrodzenie i brodzik betonowy</t>
  </si>
  <si>
    <t>zestaw zabawowy "Iza"</t>
  </si>
  <si>
    <t>zestaw zabawowy"Tomek"</t>
  </si>
  <si>
    <t>nawierzchnie, ogrodzenie</t>
  </si>
  <si>
    <t>Grudziądz, ul.Piłsudskiego 31</t>
  </si>
  <si>
    <t>ksiegowosc@pmkuntersztyn.grudziadz.pl</t>
  </si>
  <si>
    <t>Barbara Ostrowska</t>
  </si>
  <si>
    <t>340852560</t>
  </si>
  <si>
    <t>8510Z</t>
  </si>
  <si>
    <t xml:space="preserve">                       sprzęt audio-tele     mienie dzierżawione użyczone</t>
  </si>
  <si>
    <t>ogrodzenie terenu Gminazjum nr 9</t>
  </si>
  <si>
    <t>ul. Łęgi 17</t>
  </si>
  <si>
    <t>ul. Mastalerza 6</t>
  </si>
  <si>
    <t>Majątek likwidowanej jednostki; majątek będzie przejęty przez 2 jednostki organizacyjne Miasta  Grudziądz</t>
  </si>
  <si>
    <t>CG1810P</t>
  </si>
  <si>
    <t>21.12.2013</t>
  </si>
  <si>
    <t>Wartość</t>
  </si>
  <si>
    <t>Załącznik nr 8 do opisu przedmiotu zamówienia</t>
  </si>
  <si>
    <t>rodzaj ubezpieczenia</t>
  </si>
  <si>
    <t xml:space="preserve">ilość szkód </t>
  </si>
  <si>
    <t xml:space="preserve">wysokość wypłaconych odszkodowań </t>
  </si>
  <si>
    <t>ogień i inne zdarzenia losowe</t>
  </si>
  <si>
    <t>715 - mienie od wszystkich ryzk  - ryzyka naturalne</t>
  </si>
  <si>
    <t>716 - mienie od wszystkich ryzk  - kradzieź</t>
  </si>
  <si>
    <t>NNW</t>
  </si>
  <si>
    <t>AC</t>
  </si>
  <si>
    <t>OC ogólne</t>
  </si>
  <si>
    <t>łącznie 2009</t>
  </si>
  <si>
    <t>rezerwy</t>
  </si>
  <si>
    <t>elektronika</t>
  </si>
  <si>
    <t>OC komunikacyjne</t>
  </si>
  <si>
    <t>łącznie 2010</t>
  </si>
  <si>
    <t>2011 do 15.10</t>
  </si>
  <si>
    <t>716 - mienie od wszystkich ryzk  - kradzież</t>
  </si>
  <si>
    <t>714 - maszyny i urządzenia od awarii</t>
  </si>
  <si>
    <t>łącznie 2011</t>
  </si>
  <si>
    <t>Szkodowść 2009-2012</t>
  </si>
  <si>
    <t>2012 do 17.09</t>
  </si>
  <si>
    <t>mienie od wszystkich ryzyk</t>
  </si>
  <si>
    <t>łącznie 2012</t>
  </si>
  <si>
    <t>AC komunikacyjne</t>
  </si>
  <si>
    <t xml:space="preserve"> Sumy ubezpieczenia - mienie od wszystkich ryzyk</t>
  </si>
  <si>
    <t>Załącznik nr 2 do opisu przedmiotu zamówienia</t>
  </si>
  <si>
    <t xml:space="preserve"> Opis budynków i budowli oraz inne informacje na temat ubezpieczonego mienia</t>
  </si>
  <si>
    <t>Załącznik nr 3 do opisu przedmiotu zamówienia</t>
  </si>
  <si>
    <t>Wykaz zabezpieczeń przeciwkradzieżowych</t>
  </si>
  <si>
    <t>Załącznik nr 4 do opisu przedmiotu zamówienia</t>
  </si>
  <si>
    <t>Protokoły</t>
  </si>
  <si>
    <t>Załącznik nr 5 do opisu przedmiotu zamówienia</t>
  </si>
  <si>
    <t>Sumy ubezpieczenia sprzętu elektronicznego</t>
  </si>
  <si>
    <t>Załącznik nr 6 do opisu przedmiotu zamówienia</t>
  </si>
  <si>
    <t>Informacje do ubezpieczenia w ramach odpowiedzialności cywilnej</t>
  </si>
  <si>
    <t>Załącznik nr 7 do opisu przedmiotu zamówienia</t>
  </si>
  <si>
    <t>Wykaz pojazdów do ubezpieczenia komunikacyjnego, sumy ubezpieczenia AC</t>
  </si>
  <si>
    <t xml:space="preserve">- </t>
  </si>
  <si>
    <t>- instalacji gazowej</t>
  </si>
  <si>
    <t>Załącznik nr 1 do opisu przedmiotu zamówienia</t>
  </si>
</sst>
</file>

<file path=xl/styles.xml><?xml version="1.0" encoding="utf-8"?>
<styleSheet xmlns="http://schemas.openxmlformats.org/spreadsheetml/2006/main">
  <numFmts count="8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.00\ _z_ſ_-;\-* #,##0.00\ _z_ſ_-;_-* &quot;-&quot;??\ _z_ſ_-;_-@_-"/>
    <numFmt numFmtId="165" formatCode="&quot; &quot;#,##0.00&quot;      &quot;;&quot;-&quot;#,##0.00&quot;      &quot;;&quot; -&quot;#&quot;      &quot;;@&quot; &quot;"/>
    <numFmt numFmtId="166" formatCode="[$-415]General"/>
    <numFmt numFmtId="167" formatCode="d&quot;.&quot;mm&quot;.&quot;yyyy"/>
    <numFmt numFmtId="168" formatCode="0.0"/>
    <numFmt numFmtId="169" formatCode="#,##0.00\ &quot;zł&quot;"/>
  </numFmts>
  <fonts count="33">
    <font>
      <sz val="10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u/>
      <sz val="8"/>
      <color indexed="12"/>
      <name val="Arial CE"/>
      <charset val="238"/>
    </font>
    <font>
      <sz val="8"/>
      <name val="Arial CE"/>
      <charset val="238"/>
    </font>
    <font>
      <sz val="10"/>
      <name val="Bookman Old Style"/>
      <family val="1"/>
      <charset val="238"/>
    </font>
    <font>
      <vertAlign val="superscript"/>
      <sz val="10"/>
      <name val="Bookman Old Style"/>
      <family val="1"/>
      <charset val="238"/>
    </font>
    <font>
      <b/>
      <sz val="10"/>
      <name val="Bookman Old Style"/>
      <family val="1"/>
      <charset val="238"/>
    </font>
    <font>
      <b/>
      <vertAlign val="superscript"/>
      <sz val="10"/>
      <name val="Bookman Old Style"/>
      <family val="1"/>
      <charset val="238"/>
    </font>
    <font>
      <u/>
      <sz val="10"/>
      <name val="Bookman Old Style"/>
      <family val="1"/>
      <charset val="238"/>
    </font>
    <font>
      <sz val="20"/>
      <color indexed="10"/>
      <name val="Bookman Old Style"/>
      <family val="1"/>
      <charset val="238"/>
    </font>
    <font>
      <i/>
      <sz val="10"/>
      <color rgb="FFFF0000"/>
      <name val="Bookman Old Style"/>
      <family val="1"/>
      <charset val="238"/>
    </font>
    <font>
      <sz val="8"/>
      <name val="Bookman Old Style"/>
      <family val="1"/>
      <charset val="238"/>
    </font>
    <font>
      <i/>
      <sz val="10"/>
      <name val="Bookman Old Style"/>
      <family val="1"/>
      <charset val="238"/>
    </font>
    <font>
      <i/>
      <sz val="9"/>
      <name val="Bookman Old Style"/>
      <family val="1"/>
      <charset val="238"/>
    </font>
    <font>
      <u/>
      <sz val="9"/>
      <color indexed="12"/>
      <name val="Arial CE"/>
      <charset val="238"/>
    </font>
    <font>
      <sz val="9"/>
      <name val="Bookman Old Style"/>
      <family val="1"/>
      <charset val="238"/>
    </font>
    <font>
      <i/>
      <sz val="9"/>
      <color rgb="FFFF0000"/>
      <name val="Bookman Old Style"/>
      <family val="1"/>
      <charset val="238"/>
    </font>
    <font>
      <sz val="11"/>
      <color theme="1"/>
      <name val="Arial"/>
      <family val="2"/>
      <charset val="238"/>
    </font>
    <font>
      <u/>
      <sz val="8"/>
      <color rgb="FF0000FF"/>
      <name val="Arial CE"/>
      <charset val="238"/>
    </font>
    <font>
      <sz val="10"/>
      <name val="Bookman Old Style"/>
      <family val="1"/>
    </font>
    <font>
      <sz val="9"/>
      <name val="Arial CE"/>
      <family val="2"/>
      <charset val="238"/>
    </font>
    <font>
      <u/>
      <sz val="9"/>
      <name val="Arial CE"/>
      <charset val="238"/>
    </font>
    <font>
      <sz val="9"/>
      <name val="Arial CE"/>
      <charset val="238"/>
    </font>
    <font>
      <i/>
      <sz val="10"/>
      <name val="Bookman Old Style"/>
    </font>
    <font>
      <sz val="10"/>
      <name val="Bookman Old Style"/>
    </font>
    <font>
      <sz val="8"/>
      <name val="Bookman Old Style"/>
    </font>
    <font>
      <b/>
      <sz val="12"/>
      <name val="Bookman Old Style"/>
      <family val="1"/>
      <charset val="238"/>
    </font>
    <font>
      <sz val="11"/>
      <color theme="1"/>
      <name val="Bookman Old Style"/>
      <family val="1"/>
      <charset val="238"/>
    </font>
    <font>
      <b/>
      <sz val="11"/>
      <color theme="1"/>
      <name val="Bookman Old Style"/>
      <family val="1"/>
      <charset val="238"/>
    </font>
    <font>
      <sz val="12"/>
      <name val="Bookman Old Style"/>
      <family val="1"/>
      <charset val="238"/>
    </font>
    <font>
      <b/>
      <sz val="11"/>
      <name val="Bookman Old Style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165" fontId="19" fillId="0" borderId="0"/>
    <xf numFmtId="0" fontId="20" fillId="0" borderId="0"/>
    <xf numFmtId="44" fontId="1" fillId="0" borderId="0" applyFont="0" applyFill="0" applyBorder="0" applyAlignment="0" applyProtection="0"/>
  </cellStyleXfs>
  <cellXfs count="212">
    <xf numFmtId="0" fontId="0" fillId="0" borderId="0" xfId="0"/>
    <xf numFmtId="0" fontId="6" fillId="0" borderId="0" xfId="0" applyFont="1" applyFill="1" applyBorder="1" applyAlignment="1">
      <alignment horizontal="left"/>
    </xf>
    <xf numFmtId="4" fontId="6" fillId="0" borderId="0" xfId="1" applyNumberFormat="1" applyFont="1" applyFill="1" applyBorder="1" applyAlignment="1">
      <alignment horizontal="left" vertical="center" wrapText="1"/>
    </xf>
    <xf numFmtId="4" fontId="10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/>
    <xf numFmtId="4" fontId="6" fillId="0" borderId="0" xfId="0" applyNumberFormat="1" applyFont="1" applyFill="1" applyBorder="1" applyAlignment="1">
      <alignment horizontal="right" wrapText="1"/>
    </xf>
    <xf numFmtId="4" fontId="6" fillId="0" borderId="0" xfId="1" applyNumberFormat="1" applyFont="1" applyFill="1" applyBorder="1" applyAlignment="1">
      <alignment horizontal="right" wrapText="1"/>
    </xf>
    <xf numFmtId="0" fontId="6" fillId="0" borderId="0" xfId="0" applyFont="1" applyFill="1" applyBorder="1"/>
    <xf numFmtId="0" fontId="6" fillId="0" borderId="0" xfId="0" applyFont="1" applyAlignment="1">
      <alignment wrapText="1"/>
    </xf>
    <xf numFmtId="0" fontId="10" fillId="0" borderId="0" xfId="0" applyFont="1" applyFill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0" xfId="0" applyFont="1" applyBorder="1" applyAlignment="1">
      <alignment horizontal="left"/>
    </xf>
    <xf numFmtId="4" fontId="6" fillId="0" borderId="0" xfId="0" applyNumberFormat="1" applyFont="1" applyFill="1" applyBorder="1" applyAlignment="1">
      <alignment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center" wrapText="1"/>
    </xf>
    <xf numFmtId="1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Border="1"/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6" fillId="0" borderId="0" xfId="0" applyFont="1" applyFill="1" applyAlignment="1">
      <alignment horizontal="left" wrapText="1"/>
    </xf>
    <xf numFmtId="4" fontId="10" fillId="0" borderId="0" xfId="0" applyNumberFormat="1" applyFont="1" applyBorder="1" applyAlignment="1"/>
    <xf numFmtId="4" fontId="6" fillId="0" borderId="0" xfId="0" applyNumberFormat="1" applyFont="1" applyBorder="1" applyAlignment="1">
      <alignment horizontal="right"/>
    </xf>
    <xf numFmtId="4" fontId="6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1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wrapText="1"/>
    </xf>
    <xf numFmtId="49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6" fillId="0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/>
    </xf>
    <xf numFmtId="0" fontId="11" fillId="0" borderId="0" xfId="0" applyFont="1" applyFill="1" applyBorder="1" applyAlignment="1"/>
    <xf numFmtId="4" fontId="11" fillId="0" borderId="0" xfId="0" applyNumberFormat="1" applyFont="1" applyFill="1" applyBorder="1" applyAlignment="1">
      <alignment horizontal="right" wrapText="1"/>
    </xf>
    <xf numFmtId="4" fontId="11" fillId="0" borderId="0" xfId="1" applyNumberFormat="1" applyFont="1" applyFill="1" applyBorder="1" applyAlignment="1">
      <alignment horizontal="right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4" fontId="6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4" fontId="13" fillId="0" borderId="0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wrapText="1"/>
    </xf>
    <xf numFmtId="4" fontId="6" fillId="0" borderId="0" xfId="1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 vertical="center" wrapText="1"/>
    </xf>
    <xf numFmtId="49" fontId="15" fillId="0" borderId="0" xfId="0" applyNumberFormat="1" applyFont="1" applyFill="1" applyBorder="1" applyAlignment="1">
      <alignment horizontal="center" vertical="center" wrapText="1"/>
    </xf>
    <xf numFmtId="0" fontId="16" fillId="0" borderId="0" xfId="3" applyFont="1" applyFill="1" applyBorder="1" applyAlignment="1" applyProtection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7" fillId="0" borderId="0" xfId="0" applyFont="1" applyFill="1" applyBorder="1" applyAlignment="1">
      <alignment horizontal="center" vertical="center" wrapText="1"/>
    </xf>
    <xf numFmtId="1" fontId="17" fillId="0" borderId="0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left"/>
    </xf>
    <xf numFmtId="1" fontId="6" fillId="0" borderId="0" xfId="4" applyNumberFormat="1" applyFont="1" applyFill="1" applyBorder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3" fontId="13" fillId="0" borderId="0" xfId="4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49" fontId="22" fillId="0" borderId="0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4" fontId="14" fillId="0" borderId="0" xfId="1" applyNumberFormat="1" applyFont="1" applyFill="1" applyBorder="1" applyAlignment="1">
      <alignment horizontal="center" vertical="center" wrapText="1"/>
    </xf>
    <xf numFmtId="4" fontId="14" fillId="0" borderId="0" xfId="5" applyNumberFormat="1" applyFont="1" applyFill="1" applyBorder="1" applyAlignment="1" applyProtection="1">
      <alignment horizontal="center" vertical="center" wrapText="1"/>
    </xf>
    <xf numFmtId="4" fontId="8" fillId="0" borderId="3" xfId="0" applyNumberFormat="1" applyFont="1" applyFill="1" applyBorder="1" applyAlignment="1">
      <alignment horizontal="center" vertical="center"/>
    </xf>
    <xf numFmtId="4" fontId="8" fillId="0" borderId="4" xfId="0" applyNumberFormat="1" applyFont="1" applyFill="1" applyBorder="1" applyAlignment="1">
      <alignment horizontal="center" vertical="center"/>
    </xf>
    <xf numFmtId="4" fontId="8" fillId="0" borderId="4" xfId="1" applyNumberFormat="1" applyFont="1" applyFill="1" applyBorder="1" applyAlignment="1">
      <alignment horizontal="center" vertical="center"/>
    </xf>
    <xf numFmtId="4" fontId="8" fillId="0" borderId="4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Fill="1" applyBorder="1" applyAlignment="1">
      <alignment horizontal="left" vertical="center" wrapText="1"/>
    </xf>
    <xf numFmtId="4" fontId="14" fillId="0" borderId="0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4" fontId="15" fillId="0" borderId="0" xfId="1" applyNumberFormat="1" applyFont="1" applyFill="1" applyBorder="1" applyAlignment="1">
      <alignment horizontal="center" vertical="center" wrapText="1"/>
    </xf>
    <xf numFmtId="4" fontId="14" fillId="3" borderId="0" xfId="1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" fontId="8" fillId="0" borderId="4" xfId="4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17" fillId="0" borderId="0" xfId="0" applyNumberFormat="1" applyFont="1" applyFill="1" applyBorder="1" applyAlignment="1">
      <alignment horizontal="center" vertical="center" wrapText="1"/>
    </xf>
    <xf numFmtId="4" fontId="17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vertical="center" wrapText="1"/>
    </xf>
    <xf numFmtId="3" fontId="6" fillId="0" borderId="0" xfId="0" applyNumberFormat="1" applyFont="1" applyFill="1" applyBorder="1" applyAlignment="1">
      <alignment horizontal="center" vertical="center" wrapText="1"/>
    </xf>
    <xf numFmtId="168" fontId="6" fillId="0" borderId="0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17" fontId="6" fillId="0" borderId="0" xfId="0" applyNumberFormat="1" applyFont="1" applyFill="1" applyBorder="1" applyAlignment="1">
      <alignment horizontal="center" vertical="center" wrapText="1"/>
    </xf>
    <xf numFmtId="0" fontId="6" fillId="0" borderId="0" xfId="0" quotePrefix="1" applyFont="1" applyFill="1" applyBorder="1" applyAlignment="1">
      <alignment horizontal="center" vertical="center" wrapText="1"/>
    </xf>
    <xf numFmtId="4" fontId="6" fillId="0" borderId="3" xfId="0" applyNumberFormat="1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4" fontId="6" fillId="0" borderId="2" xfId="0" applyNumberFormat="1" applyFont="1" applyFill="1" applyBorder="1" applyAlignment="1">
      <alignment horizontal="center" vertical="center" wrapText="1" shrinkToFit="1"/>
    </xf>
    <xf numFmtId="0" fontId="6" fillId="0" borderId="0" xfId="0" applyNumberFormat="1" applyFont="1" applyFill="1" applyBorder="1" applyAlignment="1">
      <alignment horizontal="center" vertical="center" wrapText="1"/>
    </xf>
    <xf numFmtId="0" fontId="23" fillId="0" borderId="0" xfId="3" applyFont="1" applyFill="1" applyBorder="1" applyAlignment="1" applyProtection="1">
      <alignment horizontal="center" vertical="center" wrapText="1"/>
    </xf>
    <xf numFmtId="0" fontId="23" fillId="0" borderId="0" xfId="6" applyFont="1" applyFill="1" applyBorder="1" applyAlignment="1" applyProtection="1">
      <alignment horizontal="center" vertical="center" wrapText="1"/>
    </xf>
    <xf numFmtId="166" fontId="17" fillId="0" borderId="0" xfId="0" applyNumberFormat="1" applyFont="1" applyFill="1" applyBorder="1" applyAlignment="1">
      <alignment horizontal="center" vertical="center" wrapText="1"/>
    </xf>
    <xf numFmtId="0" fontId="23" fillId="0" borderId="0" xfId="3" applyFont="1" applyFill="1" applyBorder="1" applyAlignment="1" applyProtection="1">
      <alignment horizontal="left" vertical="center" wrapText="1"/>
    </xf>
    <xf numFmtId="0" fontId="24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vertical="center" wrapText="1"/>
    </xf>
    <xf numFmtId="4" fontId="17" fillId="0" borderId="0" xfId="0" applyNumberFormat="1" applyFont="1" applyFill="1" applyBorder="1" applyAlignment="1">
      <alignment vertical="center" wrapText="1"/>
    </xf>
    <xf numFmtId="167" fontId="6" fillId="0" borderId="0" xfId="0" applyNumberFormat="1" applyFont="1" applyFill="1" applyBorder="1" applyAlignment="1">
      <alignment horizontal="center" vertical="center" wrapText="1"/>
    </xf>
    <xf numFmtId="4" fontId="6" fillId="3" borderId="0" xfId="0" applyNumberFormat="1" applyFont="1" applyFill="1" applyBorder="1" applyAlignment="1">
      <alignment horizontal="left" vertical="center" wrapText="1"/>
    </xf>
    <xf numFmtId="4" fontId="6" fillId="2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4" fillId="0" borderId="0" xfId="0" applyFont="1" applyBorder="1"/>
    <xf numFmtId="4" fontId="25" fillId="0" borderId="0" xfId="1" applyNumberFormat="1" applyFont="1" applyFill="1" applyBorder="1" applyAlignment="1">
      <alignment horizontal="center" vertical="center" wrapText="1"/>
    </xf>
    <xf numFmtId="4" fontId="14" fillId="0" borderId="0" xfId="0" applyNumberFormat="1" applyFont="1" applyFill="1" applyBorder="1" applyAlignment="1">
      <alignment horizontal="center" vertical="center" wrapText="1"/>
    </xf>
    <xf numFmtId="4" fontId="14" fillId="0" borderId="5" xfId="1" applyNumberFormat="1" applyFont="1" applyFill="1" applyBorder="1" applyAlignment="1">
      <alignment horizontal="center" vertical="center" wrapText="1"/>
    </xf>
    <xf numFmtId="4" fontId="13" fillId="0" borderId="0" xfId="1" applyNumberFormat="1" applyFont="1" applyFill="1" applyBorder="1" applyAlignment="1">
      <alignment horizontal="center" vertical="center" wrapText="1"/>
    </xf>
    <xf numFmtId="4" fontId="14" fillId="0" borderId="0" xfId="1" applyNumberFormat="1" applyFont="1" applyFill="1" applyBorder="1" applyAlignment="1">
      <alignment horizontal="right" vertical="center" wrapText="1"/>
    </xf>
    <xf numFmtId="4" fontId="14" fillId="0" borderId="0" xfId="0" applyNumberFormat="1" applyFont="1" applyFill="1" applyAlignment="1">
      <alignment horizontal="right" vertical="center" wrapText="1"/>
    </xf>
    <xf numFmtId="0" fontId="27" fillId="0" borderId="0" xfId="0" applyFont="1" applyFill="1" applyBorder="1" applyAlignment="1">
      <alignment horizontal="center" vertical="center" wrapText="1"/>
    </xf>
    <xf numFmtId="3" fontId="27" fillId="0" borderId="0" xfId="4" applyNumberFormat="1" applyFont="1" applyFill="1" applyBorder="1" applyAlignment="1">
      <alignment horizontal="center" vertical="center" wrapText="1"/>
    </xf>
    <xf numFmtId="4" fontId="27" fillId="0" borderId="0" xfId="0" applyNumberFormat="1" applyFont="1" applyFill="1" applyBorder="1" applyAlignment="1">
      <alignment horizontal="center" vertical="center" wrapText="1"/>
    </xf>
    <xf numFmtId="49" fontId="27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4" fontId="1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4" fontId="2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4" fontId="6" fillId="0" borderId="0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 wrapText="1"/>
    </xf>
    <xf numFmtId="4" fontId="8" fillId="0" borderId="0" xfId="0" applyNumberFormat="1" applyFont="1" applyFill="1" applyBorder="1" applyAlignment="1">
      <alignment horizontal="center" vertical="center"/>
    </xf>
    <xf numFmtId="4" fontId="8" fillId="0" borderId="2" xfId="0" applyNumberFormat="1" applyFont="1" applyFill="1" applyBorder="1" applyAlignment="1">
      <alignment horizontal="center" vertical="center" wrapText="1"/>
    </xf>
    <xf numFmtId="4" fontId="25" fillId="0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0" fontId="6" fillId="0" borderId="0" xfId="0" applyFont="1"/>
    <xf numFmtId="44" fontId="29" fillId="0" borderId="0" xfId="7" applyFont="1"/>
    <xf numFmtId="0" fontId="30" fillId="0" borderId="9" xfId="0" applyFont="1" applyBorder="1"/>
    <xf numFmtId="0" fontId="6" fillId="0" borderId="12" xfId="0" applyFont="1" applyBorder="1"/>
    <xf numFmtId="0" fontId="6" fillId="0" borderId="1" xfId="0" applyFont="1" applyBorder="1"/>
    <xf numFmtId="44" fontId="29" fillId="0" borderId="13" xfId="7" applyFont="1" applyBorder="1"/>
    <xf numFmtId="0" fontId="6" fillId="0" borderId="14" xfId="0" applyFont="1" applyBorder="1"/>
    <xf numFmtId="0" fontId="6" fillId="0" borderId="5" xfId="0" applyFont="1" applyBorder="1"/>
    <xf numFmtId="44" fontId="29" fillId="0" borderId="15" xfId="7" applyFont="1" applyBorder="1"/>
    <xf numFmtId="0" fontId="6" fillId="0" borderId="16" xfId="0" applyFont="1" applyBorder="1"/>
    <xf numFmtId="0" fontId="6" fillId="0" borderId="17" xfId="0" applyFont="1" applyBorder="1"/>
    <xf numFmtId="44" fontId="29" fillId="0" borderId="18" xfId="7" applyFont="1" applyBorder="1"/>
    <xf numFmtId="0" fontId="6" fillId="0" borderId="19" xfId="0" applyFont="1" applyBorder="1"/>
    <xf numFmtId="44" fontId="30" fillId="0" borderId="20" xfId="7" applyFont="1" applyBorder="1"/>
    <xf numFmtId="44" fontId="29" fillId="0" borderId="1" xfId="7" applyFont="1" applyBorder="1"/>
    <xf numFmtId="44" fontId="29" fillId="0" borderId="5" xfId="7" applyFont="1" applyBorder="1"/>
    <xf numFmtId="0" fontId="6" fillId="0" borderId="16" xfId="0" applyFont="1" applyFill="1" applyBorder="1"/>
    <xf numFmtId="44" fontId="29" fillId="0" borderId="17" xfId="7" applyFont="1" applyBorder="1"/>
    <xf numFmtId="0" fontId="6" fillId="0" borderId="21" xfId="0" applyFont="1" applyBorder="1"/>
    <xf numFmtId="44" fontId="30" fillId="0" borderId="22" xfId="7" applyFont="1" applyBorder="1"/>
    <xf numFmtId="0" fontId="6" fillId="0" borderId="21" xfId="0" applyFont="1" applyBorder="1" applyAlignment="1">
      <alignment horizontal="right"/>
    </xf>
    <xf numFmtId="0" fontId="30" fillId="0" borderId="10" xfId="0" applyFont="1" applyBorder="1" applyAlignment="1">
      <alignment horizontal="center" vertical="center" wrapText="1"/>
    </xf>
    <xf numFmtId="44" fontId="30" fillId="0" borderId="10" xfId="7" applyFont="1" applyBorder="1" applyAlignment="1">
      <alignment horizontal="center" vertical="center" wrapText="1"/>
    </xf>
    <xf numFmtId="44" fontId="30" fillId="0" borderId="11" xfId="7" applyFont="1" applyBorder="1" applyAlignment="1">
      <alignment horizontal="center" vertical="center"/>
    </xf>
    <xf numFmtId="44" fontId="30" fillId="0" borderId="11" xfId="7" applyFont="1" applyBorder="1" applyAlignment="1">
      <alignment horizontal="center" vertical="center" wrapText="1"/>
    </xf>
    <xf numFmtId="0" fontId="6" fillId="0" borderId="23" xfId="0" applyFont="1" applyBorder="1"/>
    <xf numFmtId="0" fontId="6" fillId="0" borderId="24" xfId="0" applyFont="1" applyBorder="1"/>
    <xf numFmtId="44" fontId="29" fillId="0" borderId="24" xfId="7" applyFont="1" applyBorder="1"/>
    <xf numFmtId="44" fontId="29" fillId="0" borderId="25" xfId="7" applyFont="1" applyBorder="1"/>
    <xf numFmtId="0" fontId="6" fillId="0" borderId="14" xfId="0" applyFont="1" applyFill="1" applyBorder="1"/>
    <xf numFmtId="0" fontId="28" fillId="0" borderId="0" xfId="0" applyFont="1" applyFill="1" applyBorder="1" applyAlignment="1"/>
    <xf numFmtId="4" fontId="31" fillId="0" borderId="0" xfId="0" applyNumberFormat="1" applyFont="1" applyFill="1" applyBorder="1" applyAlignment="1">
      <alignment horizontal="right" wrapText="1"/>
    </xf>
    <xf numFmtId="4" fontId="31" fillId="0" borderId="0" xfId="1" applyNumberFormat="1" applyFont="1" applyFill="1" applyBorder="1" applyAlignment="1">
      <alignment horizontal="right" wrapText="1"/>
    </xf>
    <xf numFmtId="0" fontId="31" fillId="0" borderId="0" xfId="0" applyFont="1" applyFill="1" applyBorder="1"/>
    <xf numFmtId="0" fontId="28" fillId="0" borderId="0" xfId="0" applyFont="1" applyFill="1" applyBorder="1"/>
    <xf numFmtId="1" fontId="31" fillId="0" borderId="0" xfId="0" applyNumberFormat="1" applyFont="1" applyAlignment="1">
      <alignment vertical="center" wrapText="1"/>
    </xf>
    <xf numFmtId="49" fontId="31" fillId="0" borderId="0" xfId="0" applyNumberFormat="1" applyFont="1" applyAlignment="1">
      <alignment wrapText="1"/>
    </xf>
    <xf numFmtId="49" fontId="31" fillId="0" borderId="0" xfId="0" applyNumberFormat="1" applyFont="1" applyAlignment="1">
      <alignment vertical="center" wrapText="1"/>
    </xf>
    <xf numFmtId="2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 applyFill="1" applyBorder="1"/>
    <xf numFmtId="4" fontId="32" fillId="0" borderId="0" xfId="0" applyNumberFormat="1" applyFont="1" applyFill="1" applyBorder="1" applyAlignment="1">
      <alignment horizontal="left" wrapText="1"/>
    </xf>
    <xf numFmtId="4" fontId="32" fillId="0" borderId="0" xfId="0" applyNumberFormat="1" applyFont="1" applyFill="1" applyBorder="1" applyAlignment="1">
      <alignment horizontal="center" wrapText="1"/>
    </xf>
    <xf numFmtId="0" fontId="32" fillId="0" borderId="0" xfId="0" applyNumberFormat="1" applyFont="1" applyFill="1" applyBorder="1" applyAlignment="1">
      <alignment horizontal="center" wrapText="1"/>
    </xf>
    <xf numFmtId="1" fontId="32" fillId="0" borderId="0" xfId="0" applyNumberFormat="1" applyFont="1" applyFill="1" applyBorder="1" applyAlignment="1">
      <alignment horizontal="center" wrapText="1"/>
    </xf>
    <xf numFmtId="4" fontId="32" fillId="0" borderId="0" xfId="0" applyNumberFormat="1" applyFont="1" applyFill="1" applyBorder="1" applyAlignment="1">
      <alignment wrapText="1"/>
    </xf>
    <xf numFmtId="4" fontId="32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left" vertical="center" wrapText="1"/>
    </xf>
    <xf numFmtId="4" fontId="26" fillId="0" borderId="0" xfId="0" applyNumberFormat="1" applyFont="1" applyFill="1" applyAlignment="1">
      <alignment horizontal="right" vertical="center" wrapText="1"/>
    </xf>
    <xf numFmtId="0" fontId="6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>
      <alignment horizontal="center" wrapText="1"/>
    </xf>
    <xf numFmtId="0" fontId="28" fillId="0" borderId="26" xfId="0" applyFont="1" applyFill="1" applyBorder="1" applyAlignment="1">
      <alignment horizontal="left" wrapText="1"/>
    </xf>
    <xf numFmtId="0" fontId="28" fillId="0" borderId="0" xfId="0" applyFont="1" applyAlignment="1">
      <alignment horizontal="center" wrapText="1"/>
    </xf>
    <xf numFmtId="0" fontId="28" fillId="0" borderId="26" xfId="0" applyFont="1" applyBorder="1" applyAlignment="1">
      <alignment horizontal="left" wrapText="1"/>
    </xf>
    <xf numFmtId="0" fontId="32" fillId="0" borderId="0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</cellXfs>
  <cellStyles count="8">
    <cellStyle name="Dziesiętny" xfId="1" builtinId="3"/>
    <cellStyle name="DziesiĿtny" xfId="2"/>
    <cellStyle name="Excel Built-in Comma" xfId="5"/>
    <cellStyle name="Excel Built-in Hyperlink" xfId="6"/>
    <cellStyle name="Hiperłącze" xfId="3" builtinId="8"/>
    <cellStyle name="Normalny" xfId="0" builtinId="0"/>
    <cellStyle name="Normalny 2" xfId="4"/>
    <cellStyle name="Walutowy" xfId="7" builtinId="4"/>
  </cellStyles>
  <dxfs count="1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strike val="0"/>
        <outline val="0"/>
        <shadow val="0"/>
        <vertAlign val="baseline"/>
        <sz val="9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indexed="10"/>
        <name val="Bookman Old Style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relativeIndent="255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 outline="0">
        <left/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4:H90" totalsRowCount="1" headerRowDxfId="145" dataDxfId="143" headerRowBorderDxfId="144" tableBorderDxfId="142" totalsRowBorderDxfId="141" dataCellStyle="Dziesiętny">
  <autoFilter ref="A4:H89"/>
  <tableColumns count="8">
    <tableColumn id="1" name="Nazwa placówki/rodzaj mienia " dataDxfId="140" totalsRowDxfId="139"/>
    <tableColumn id="2" name="Budynki" totalsRowFunction="custom" dataDxfId="138" totalsRowDxfId="137" dataCellStyle="Dziesiętny">
      <totalsRowFormula>SUM([Budynki])</totalsRowFormula>
    </tableColumn>
    <tableColumn id="3" name="Budowle" totalsRowFunction="custom" dataDxfId="136" totalsRowDxfId="135" dataCellStyle="Dziesiętny">
      <totalsRowFormula>SUM([Budowle])</totalsRowFormula>
    </tableColumn>
    <tableColumn id="4" name="Maszyny, urządzenia i wyposażenie 1" totalsRowFunction="custom" dataDxfId="134" totalsRowDxfId="133" dataCellStyle="Dziesiętny">
      <totalsRowFormula>SUM([Maszyny, urządzenia i wyposażenie 1])</totalsRowFormula>
    </tableColumn>
    <tableColumn id="9" name="Księgozbiór" totalsRowFunction="custom" dataDxfId="132" totalsRowDxfId="131" dataCellStyle="Dziesiętny">
      <totalsRowFormula>SUM([Księgozbiór])</totalsRowFormula>
    </tableColumn>
    <tableColumn id="10" name="Inne/ile" totalsRowFunction="custom" dataDxfId="130" totalsRowDxfId="129" dataCellStyle="Dziesiętny">
      <totalsRowFormula>SUM([Inne/ile])</totalsRowFormula>
    </tableColumn>
    <tableColumn id="11" name="Inne opis jakie" totalsRowFunction="custom" dataDxfId="128" totalsRowDxfId="127" dataCellStyle="Dziesiętny">
      <totalsRowFormula>SUM([Inne opis jakie])</totalsRowFormula>
    </tableColumn>
    <tableColumn id="5" name="Razem" totalsRowFunction="sum" dataDxfId="126" totalsRowDxfId="125" dataCellStyle="Dziesiętny">
      <calculatedColumnFormula>SUM(Tabela1[[#This Row],[Budynki]:[Inne opis jakie]])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3:L225" insertRowShift="1" totalsRowShown="0" headerRowDxfId="124" dataDxfId="122" headerRowBorderDxfId="123" tableBorderDxfId="121" totalsRowBorderDxfId="120">
  <autoFilter ref="A3:L225"/>
  <tableColumns count="12">
    <tableColumn id="1" name="Nazwa jednostki" dataDxfId="119"/>
    <tableColumn id="2" name="Adres" dataDxfId="118"/>
    <tableColumn id="3" name="Rok budowy" dataDxfId="117"/>
    <tableColumn id="4" name="Ilość kondygnacji" dataDxfId="116"/>
    <tableColumn id="5" name="Powierzchnia użytkowa budynku" dataDxfId="115"/>
    <tableColumn id="6" name="Wartość_x000a_(księgowa brutto)" dataDxfId="114"/>
    <tableColumn id="7" name="Konstrukcja  ścian" dataDxfId="113"/>
    <tableColumn id="8" name="Konstrukcja dachu" dataDxfId="112"/>
    <tableColumn id="9" name="Pokrycie dachu" dataDxfId="111"/>
    <tableColumn id="10" name="Remonty/modernizacje budynków, ich rok oraz informacja co zostało wykonane" dataDxfId="110"/>
    <tableColumn id="11" name="Zabezpieczenia ppoż budynku_x000a_(ilośc gaśnic)" dataDxfId="109"/>
    <tableColumn id="12" name="Zabezpieczenia ppoż budynku (iośc hydrantów)" dataDxfId="10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3:P93" totalsRowShown="0" headerRowDxfId="107" dataDxfId="105" headerRowBorderDxfId="106" tableBorderDxfId="104" totalsRowBorderDxfId="103">
  <autoFilter ref="A3:P93"/>
  <tableColumns count="16">
    <tableColumn id="1" name="Nazwa jednostki" dataDxfId="102"/>
    <tableColumn id="2" name="Alarm w sygnalizacją lokalną " dataDxfId="101"/>
    <tableColumn id="3" name="Alarm z powiadomieniem agencji ochrony " dataDxfId="100"/>
    <tableColumn id="4" name="Alarm z interwencją załóg patrolowych agencji ochrony lub policji" dataDxfId="99"/>
    <tableColumn id="5" name="Dozór placówki całodobowy" dataDxfId="98"/>
    <tableColumn id="6" name="Dozór placówki w godzinach pracy" dataDxfId="97"/>
    <tableColumn id="7" name="Dozór placówki poza godzinami pracy" dataDxfId="96"/>
    <tableColumn id="8" name="Gotówka w kasecie stalowej" dataDxfId="95"/>
    <tableColumn id="9" name="Gotówka w szafie stalowej" dataDxfId="94"/>
    <tableColumn id="10" name="Gotówka w szafie pancernej" dataDxfId="93"/>
    <tableColumn id="11" name="Schowek jest przymocowany na stałe do podłogi lub ściany" dataDxfId="92"/>
    <tableColumn id="12" name="Schowek  nie jest przymocowany na stałe do podłogi lub ściany" dataDxfId="91"/>
    <tableColumn id="13" name="Pokój kasowy - okratowane okna" dataDxfId="90"/>
    <tableColumn id="14" name="Pokój kasowy bez okratowanych okien" dataDxfId="89"/>
    <tableColumn id="15" name="Pokój kasowy ma  drzwi zamykane na minimum dwa zamki patentowe " dataDxfId="88"/>
    <tableColumn id="16" name="Pokój kasowy w drzwiach nie ma 2 zamków wielozastawkowych " dataDxfId="8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3:O84" totalsRowShown="0" headerRowDxfId="86" dataDxfId="84" headerRowBorderDxfId="85" tableBorderDxfId="83" totalsRowBorderDxfId="82">
  <autoFilter ref="A3:O84"/>
  <tableColumns count="15">
    <tableColumn id="1" name="Nazwa jednostki" dataDxfId="81"/>
    <tableColumn id="2" name="Instrukcję bezpieczeństwa pożarowego (aktualizacja co najmniej raz na dwa lata)" dataDxfId="80"/>
    <tableColumn id="3" name="Protokół przeglądu sprzętu p.poż. (gaśnice, hydranty, tryskacze – jeśli występują)" dataDxfId="79"/>
    <tableColumn id="4" name="Protokół z pomiarów ciśnienia statycznego i dynamicznego w hydrantach wewnętrznych (jeśli występują) i zewnętrznych " dataDxfId="78"/>
    <tableColumn id="5" name="Protokół badania węży hydrantowych (jeśli występują) – nie starszy niż 5 lat" dataDxfId="77"/>
    <tableColumn id="6" name="Protokół przeglądu systemów ppoż (sap, rop, dso, oddymianie) – jeśli istnieją te instalacje" dataDxfId="76"/>
    <tableColumn id="7" name="Protokół pomiarów szczelności izotopowych czujek dymowych – jeśli występują czujki" dataDxfId="75"/>
    <tableColumn id="8" name="Protokół badania skuteczności ochrony przeciwporażeniowej – ostatni (nie starszy niż 5 lat)" dataDxfId="74"/>
    <tableColumn id="9" name="Protokół pomiaru rezystancji izolacji przewodów – ostatni (nie starszy niż 5 lat)" dataDxfId="73"/>
    <tableColumn id="10" name="Protokół badania uziomów instalacji piorunochronnej – jeśli występuje instalacja" dataDxfId="72"/>
    <tableColumn id="11" name="Księgi rewizyjne, protokoły z przeglądów i decyzje udt (jeśli są urządzenia podlegające pod urząd, np. windy, wózki widłowe, zbiorniki ciśnieniowe)" dataDxfId="71"/>
    <tableColumn id="12" name="Protokół okresowej kontroli przewodów kominowych – jeśli występują kominy dymowe (kotłownia)" dataDxfId="70"/>
    <tableColumn id="13" name="Protokół przeglądu technicznego i szczelności instalacji gazowej – jeśli występuje instalacja" dataDxfId="69"/>
    <tableColumn id="14" name="Protokół przeglądu systemu detekcji gazów (jeśli występuje)" dataDxfId="68"/>
    <tableColumn id="15" name="Protokół okresowej kontroli budynków (pięcioletni lub roczny)." dataDxfId="6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3:F78" totalsRowCount="1" headerRowDxfId="66" dataDxfId="64" headerRowBorderDxfId="65" tableBorderDxfId="63" totalsRowBorderDxfId="62" dataCellStyle="Dziesiętny">
  <autoFilter ref="A3:F77"/>
  <tableColumns count="6">
    <tableColumn id="1" name="Nazwa jednostki " dataDxfId="61" totalsRowDxfId="60"/>
    <tableColumn id="2" name="Sprzęt stacjonarny" totalsRowFunction="custom" dataDxfId="59" totalsRowDxfId="58" dataCellStyle="Dziesiętny">
      <totalsRowFormula>SUM([Sprzęt stacjonarny])</totalsRowFormula>
    </tableColumn>
    <tableColumn id="3" name="Sprzęt przenośny" totalsRowFunction="custom" dataDxfId="57" totalsRowDxfId="56" dataCellStyle="Dziesiętny">
      <totalsRowFormula>SUM([Sprzęt przenośny])</totalsRowFormula>
    </tableColumn>
    <tableColumn id="4" name="Monitoring zewnętrzny i wewnętrzny" totalsRowFunction="custom" dataDxfId="55" totalsRowDxfId="54" dataCellStyle="Dziesiętny">
      <totalsRowFormula>SUM([Monitoring zewnętrzny i wewnętrzny])</totalsRowFormula>
    </tableColumn>
    <tableColumn id="8" name="sprzęt użyczony" totalsRowFunction="custom" dataDxfId="53" totalsRowDxfId="52" dataCellStyle="Dziesiętny">
      <totalsRowFormula>SUM([sprzęt użyczony])</totalsRowFormula>
    </tableColumn>
    <tableColumn id="6" name="Razem" totalsRowFunction="custom" dataDxfId="51" totalsRowDxfId="50" dataCellStyle="Dziesiętny">
      <calculatedColumnFormula>SUM(#REF!)</calculatedColumnFormula>
      <totalsRowFormula>SUM([Razem])</totalsRow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ela6" displayName="Tabela6" ref="A3:K68" totalsRowShown="0" headerRowDxfId="49" dataDxfId="47" headerRowBorderDxfId="48" tableBorderDxfId="46" totalsRowBorderDxfId="45">
  <autoFilter ref="A3:K68"/>
  <tableColumns count="11">
    <tableColumn id="1" name="Nazwa jednostki" dataDxfId="44"/>
    <tableColumn id="2" name="Adres jednostki" dataDxfId="43"/>
    <tableColumn id="3" name="Telefon" dataDxfId="42"/>
    <tableColumn id="4" name="E-mail " dataDxfId="41" dataCellStyle="Hiperłącze"/>
    <tableColumn id="5" name="Osoba odpowiedzialna za ubezpieczenia" dataDxfId="40"/>
    <tableColumn id="6" name="NIP" dataDxfId="39"/>
    <tableColumn id="7" name="REGON" dataDxfId="38"/>
    <tableColumn id="8" name="EKD" dataDxfId="37"/>
    <tableColumn id="9" name="Zatrudnienie ogółem" dataDxfId="36"/>
    <tableColumn id="10" name="W tym nauczyciele (dotyczy jednostek oświaty)" dataDxfId="35"/>
    <tableColumn id="11" name="Ilość uczniów" dataDxfId="3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ela79" displayName="Tabela79" ref="A3:P65" totalsRowShown="0" headerRowDxfId="33" dataDxfId="32">
  <autoFilter ref="A3:P65"/>
  <tableColumns count="16">
    <tableColumn id="15" name="Nazwa jednoski" dataDxfId="31" totalsRowDxfId="30"/>
    <tableColumn id="1" name="Nr rejestracyjny" dataDxfId="29" totalsRowDxfId="28"/>
    <tableColumn id="2" name="Nr nadwozia" dataDxfId="27" totalsRowDxfId="26"/>
    <tableColumn id="3" name="Rodzaj pojazdu" dataDxfId="25" totalsRowDxfId="24"/>
    <tableColumn id="4" name="Marka, typ, model" dataDxfId="23" totalsRowDxfId="22"/>
    <tableColumn id="5" name="Rok produkcji" dataDxfId="21" totalsRowDxfId="20"/>
    <tableColumn id="6" name="Pojemność silnika" dataDxfId="19" totalsRowDxfId="18"/>
    <tableColumn id="7" name="Moc silnika" dataDxfId="17" totalsRowDxfId="16"/>
    <tableColumn id="8" name="Ładowność" dataDxfId="15" totalsRowDxfId="14"/>
    <tableColumn id="9" name="Ilość miejsc" dataDxfId="13" totalsRowDxfId="12"/>
    <tableColumn id="10" name="Wartość w zł z ostatniej polisy" dataDxfId="11" totalsRowDxfId="10"/>
    <tableColumn id="16" name="Wartość" dataDxfId="9" totalsRowDxfId="8"/>
    <tableColumn id="11" name="Koniec umowy AC" dataDxfId="7" totalsRowDxfId="6"/>
    <tableColumn id="12" name="Koniec umowy NNW" dataDxfId="5" totalsRowDxfId="4"/>
    <tableColumn id="14" name="Koniec umowy OC" dataDxfId="3" totalsRowDxfId="2"/>
    <tableColumn id="13" name="Zabezpieczenia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dpsnr2@o2.pl" TargetMode="External"/><Relationship Id="rId2" Type="http://schemas.openxmlformats.org/officeDocument/2006/relationships/hyperlink" Target="mailto:osw2grudz@poczta.onet.pl" TargetMode="External"/><Relationship Id="rId1" Type="http://schemas.openxmlformats.org/officeDocument/2006/relationships/hyperlink" Target="mailto:sp12_grudziadz@%20wp.pl" TargetMode="External"/><Relationship Id="rId6" Type="http://schemas.openxmlformats.org/officeDocument/2006/relationships/table" Target="../tables/table6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boi@um.grudziadz.p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view="pageBreakPreview" zoomScale="75" zoomScaleNormal="100" zoomScaleSheetLayoutView="75" workbookViewId="0">
      <selection activeCell="A2" sqref="A2"/>
    </sheetView>
  </sheetViews>
  <sheetFormatPr defaultRowHeight="15"/>
  <cols>
    <col min="1" max="1" width="59.28515625" style="5" customWidth="1"/>
    <col min="2" max="2" width="18" style="6" bestFit="1" customWidth="1"/>
    <col min="3" max="3" width="18" style="7" customWidth="1"/>
    <col min="4" max="4" width="21.7109375" style="6" customWidth="1"/>
    <col min="5" max="5" width="17.5703125" style="6" bestFit="1" customWidth="1"/>
    <col min="6" max="6" width="15" style="6" bestFit="1" customWidth="1"/>
    <col min="7" max="7" width="18.42578125" style="6" customWidth="1"/>
    <col min="8" max="8" width="17.85546875" style="6" customWidth="1"/>
    <col min="9" max="9" width="20.5703125" style="8" customWidth="1"/>
    <col min="10" max="16384" width="9.140625" style="8"/>
  </cols>
  <sheetData>
    <row r="1" spans="1:12" ht="16.5">
      <c r="A1" s="199" t="s">
        <v>2013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 ht="16.5">
      <c r="A2" s="177" t="s">
        <v>1998</v>
      </c>
      <c r="B2" s="178"/>
      <c r="C2" s="179"/>
      <c r="D2" s="178"/>
      <c r="E2" s="178"/>
      <c r="F2" s="178"/>
      <c r="G2" s="178"/>
      <c r="H2" s="178"/>
      <c r="I2" s="178"/>
      <c r="J2" s="178"/>
      <c r="K2" s="178"/>
      <c r="L2" s="180"/>
    </row>
    <row r="4" spans="1:12" s="1" customFormat="1" ht="39.75">
      <c r="A4" s="77" t="s">
        <v>41</v>
      </c>
      <c r="B4" s="78" t="s">
        <v>0</v>
      </c>
      <c r="C4" s="79" t="s">
        <v>2</v>
      </c>
      <c r="D4" s="80" t="s">
        <v>42</v>
      </c>
      <c r="E4" s="78" t="s">
        <v>43</v>
      </c>
      <c r="F4" s="78" t="s">
        <v>44</v>
      </c>
      <c r="G4" s="80" t="s">
        <v>39</v>
      </c>
      <c r="H4" s="144" t="s">
        <v>1</v>
      </c>
      <c r="I4" s="143"/>
    </row>
    <row r="5" spans="1:12" s="67" customFormat="1">
      <c r="A5" s="81" t="s">
        <v>1546</v>
      </c>
      <c r="B5" s="75">
        <v>8922291.4100000001</v>
      </c>
      <c r="C5" s="122">
        <v>6809597.21</v>
      </c>
      <c r="D5" s="122">
        <v>1515323.9300000002</v>
      </c>
      <c r="E5" s="75"/>
      <c r="F5" s="75"/>
      <c r="G5" s="75"/>
      <c r="H5" s="75">
        <f>SUM(Tabela1[[#This Row],[Budynki]:[Inne opis jakie]])</f>
        <v>17247212.550000001</v>
      </c>
      <c r="I5" s="75"/>
    </row>
    <row r="6" spans="1:12" s="67" customFormat="1">
      <c r="A6" s="81" t="s">
        <v>1547</v>
      </c>
      <c r="B6" s="75">
        <v>3680002.88</v>
      </c>
      <c r="C6" s="122">
        <v>5151532.47</v>
      </c>
      <c r="D6" s="122"/>
      <c r="E6" s="122"/>
      <c r="F6" s="122"/>
      <c r="G6" s="75"/>
      <c r="H6" s="75">
        <f>SUM(Tabela1[[#This Row],[Budynki]:[Inne opis jakie]])</f>
        <v>8831535.3499999996</v>
      </c>
      <c r="I6" s="75"/>
    </row>
    <row r="7" spans="1:12" s="67" customFormat="1">
      <c r="A7" s="81" t="s">
        <v>1548</v>
      </c>
      <c r="B7" s="75">
        <v>890961.81</v>
      </c>
      <c r="C7" s="122"/>
      <c r="D7" s="122">
        <v>127357.03</v>
      </c>
      <c r="E7" s="122"/>
      <c r="F7" s="122"/>
      <c r="G7" s="75"/>
      <c r="H7" s="75">
        <f>SUM(Tabela1[[#This Row],[Budynki]:[Inne opis jakie]])</f>
        <v>1018318.8400000001</v>
      </c>
      <c r="I7" s="75"/>
    </row>
    <row r="8" spans="1:12" s="67" customFormat="1">
      <c r="A8" s="81" t="s">
        <v>1549</v>
      </c>
      <c r="B8" s="75">
        <v>560123.61</v>
      </c>
      <c r="C8" s="122"/>
      <c r="D8" s="122"/>
      <c r="E8" s="122"/>
      <c r="F8" s="122"/>
      <c r="G8" s="75"/>
      <c r="H8" s="75">
        <f>SUM(Tabela1[[#This Row],[Budynki]:[Inne opis jakie]])</f>
        <v>560123.61</v>
      </c>
      <c r="I8" s="75"/>
    </row>
    <row r="9" spans="1:12" s="67" customFormat="1">
      <c r="A9" s="81" t="s">
        <v>1550</v>
      </c>
      <c r="B9" s="75">
        <v>1248884.03</v>
      </c>
      <c r="C9" s="122"/>
      <c r="D9" s="122">
        <v>264000</v>
      </c>
      <c r="E9" s="122"/>
      <c r="F9" s="122"/>
      <c r="G9" s="75"/>
      <c r="H9" s="75">
        <f>SUM(Tabela1[[#This Row],[Budynki]:[Inne opis jakie]])</f>
        <v>1512884.03</v>
      </c>
      <c r="I9" s="75"/>
    </row>
    <row r="10" spans="1:12" s="73" customFormat="1">
      <c r="A10" s="81" t="s">
        <v>1938</v>
      </c>
      <c r="B10" s="75">
        <v>0</v>
      </c>
      <c r="C10" s="75">
        <v>500000</v>
      </c>
      <c r="D10" s="75">
        <v>133113.73000000001</v>
      </c>
      <c r="E10" s="75"/>
      <c r="F10" s="75"/>
      <c r="G10" s="75"/>
      <c r="H10" s="75">
        <f>SUM(Tabela1[[#This Row],[Budynki]:[Inne opis jakie]])</f>
        <v>633113.73</v>
      </c>
      <c r="I10" s="75"/>
    </row>
    <row r="11" spans="1:12" s="63" customFormat="1">
      <c r="A11" s="69" t="s">
        <v>523</v>
      </c>
      <c r="B11" s="75">
        <v>535446.65</v>
      </c>
      <c r="C11" s="75">
        <v>60780.72</v>
      </c>
      <c r="D11" s="75">
        <v>291964.74</v>
      </c>
      <c r="E11" s="75">
        <v>3264.3</v>
      </c>
      <c r="F11" s="75"/>
      <c r="G11" s="75"/>
      <c r="H11" s="75">
        <f>SUM(Tabela1[[#This Row],[Budynki]:[Inne opis jakie]])</f>
        <v>891456.41</v>
      </c>
      <c r="I11" s="75"/>
    </row>
    <row r="12" spans="1:12" s="73" customFormat="1">
      <c r="A12" s="69" t="s">
        <v>1925</v>
      </c>
      <c r="B12" s="75">
        <v>404607.54000000004</v>
      </c>
      <c r="C12" s="75">
        <v>54564.72</v>
      </c>
      <c r="D12" s="75">
        <v>324852.87</v>
      </c>
      <c r="E12" s="75">
        <v>2914.86</v>
      </c>
      <c r="F12" s="75"/>
      <c r="G12" s="75"/>
      <c r="H12" s="75">
        <f>SUM(Tabela1[[#This Row],[Budynki]:[Inne opis jakie]])</f>
        <v>786939.99</v>
      </c>
      <c r="I12" s="75"/>
    </row>
    <row r="13" spans="1:12" s="70" customFormat="1">
      <c r="A13" s="69" t="s">
        <v>1839</v>
      </c>
      <c r="B13" s="75">
        <v>195935.95</v>
      </c>
      <c r="C13" s="75">
        <v>56669.14</v>
      </c>
      <c r="D13" s="75">
        <v>92828.4</v>
      </c>
      <c r="E13" s="75">
        <v>2441.7600000000002</v>
      </c>
      <c r="F13" s="75"/>
      <c r="G13" s="75">
        <v>0</v>
      </c>
      <c r="H13" s="75">
        <f>SUM(Tabela1[[#This Row],[Budynki]:[Inne opis jakie]])</f>
        <v>347875.25</v>
      </c>
      <c r="I13" s="75"/>
    </row>
    <row r="14" spans="1:12" s="70" customFormat="1">
      <c r="A14" s="69" t="s">
        <v>1840</v>
      </c>
      <c r="B14" s="75">
        <v>309451.05</v>
      </c>
      <c r="C14" s="75">
        <v>14507.9</v>
      </c>
      <c r="D14" s="75">
        <v>121180.92</v>
      </c>
      <c r="E14" s="75">
        <v>4224.42</v>
      </c>
      <c r="F14" s="75">
        <v>6805.44</v>
      </c>
      <c r="G14" s="75" t="s">
        <v>1841</v>
      </c>
      <c r="H14" s="75">
        <f>SUM(Tabela1[[#This Row],[Budynki]:[Inne opis jakie]])</f>
        <v>456169.73</v>
      </c>
      <c r="I14" s="75"/>
    </row>
    <row r="15" spans="1:12" s="63" customFormat="1">
      <c r="A15" s="81" t="s">
        <v>556</v>
      </c>
      <c r="B15" s="75">
        <v>168488.66</v>
      </c>
      <c r="C15" s="75"/>
      <c r="D15" s="75">
        <v>106091.83</v>
      </c>
      <c r="E15" s="75">
        <v>1378.21</v>
      </c>
      <c r="F15" s="75"/>
      <c r="G15" s="75"/>
      <c r="H15" s="75">
        <f>SUM(Tabela1[[#This Row],[Budynki]:[Inne opis jakie]])</f>
        <v>275958.7</v>
      </c>
      <c r="I15" s="75"/>
    </row>
    <row r="16" spans="1:12" s="63" customFormat="1">
      <c r="A16" s="69" t="s">
        <v>578</v>
      </c>
      <c r="B16" s="75">
        <v>719549.92</v>
      </c>
      <c r="C16" s="75">
        <v>23054.83</v>
      </c>
      <c r="D16" s="75">
        <v>202067.15</v>
      </c>
      <c r="E16" s="75">
        <v>4570.96</v>
      </c>
      <c r="F16" s="75"/>
      <c r="G16" s="75"/>
      <c r="H16" s="75">
        <f>SUM(Tabela1[[#This Row],[Budynki]:[Inne opis jakie]])</f>
        <v>949242.86</v>
      </c>
      <c r="I16" s="75"/>
    </row>
    <row r="17" spans="1:9" s="63" customFormat="1" ht="40.5">
      <c r="A17" s="81" t="s">
        <v>600</v>
      </c>
      <c r="B17" s="75">
        <v>849199.71</v>
      </c>
      <c r="C17" s="75"/>
      <c r="D17" s="75">
        <v>91348.21</v>
      </c>
      <c r="E17" s="75">
        <v>14393.71</v>
      </c>
      <c r="F17" s="75">
        <v>37936.28</v>
      </c>
      <c r="G17" s="75" t="s">
        <v>601</v>
      </c>
      <c r="H17" s="75">
        <f>SUM(Tabela1[[#This Row],[Budynki]:[Inne opis jakie]])</f>
        <v>992877.90999999992</v>
      </c>
      <c r="I17" s="75"/>
    </row>
    <row r="18" spans="1:9" s="63" customFormat="1">
      <c r="A18" s="81" t="s">
        <v>611</v>
      </c>
      <c r="B18" s="75">
        <v>152423.79</v>
      </c>
      <c r="C18" s="75"/>
      <c r="D18" s="75">
        <v>95840.29</v>
      </c>
      <c r="E18" s="75">
        <v>1557.74</v>
      </c>
      <c r="F18" s="75"/>
      <c r="G18" s="75"/>
      <c r="H18" s="75">
        <f>SUM(Tabela1[[#This Row],[Budynki]:[Inne opis jakie]])</f>
        <v>249821.82</v>
      </c>
      <c r="I18" s="75"/>
    </row>
    <row r="19" spans="1:9" s="63" customFormat="1">
      <c r="A19" s="81" t="s">
        <v>631</v>
      </c>
      <c r="B19" s="75">
        <v>677453.3</v>
      </c>
      <c r="C19" s="75">
        <v>79845.48</v>
      </c>
      <c r="D19" s="75">
        <v>330002.21999999997</v>
      </c>
      <c r="E19" s="75">
        <v>6657</v>
      </c>
      <c r="F19" s="75"/>
      <c r="G19" s="75"/>
      <c r="H19" s="75">
        <f>SUM(Tabela1[[#This Row],[Budynki]:[Inne opis jakie]])</f>
        <v>1093958</v>
      </c>
      <c r="I19" s="75"/>
    </row>
    <row r="20" spans="1:9" s="43" customFormat="1">
      <c r="A20" s="74" t="s">
        <v>102</v>
      </c>
      <c r="B20" s="44">
        <v>1640082.67</v>
      </c>
      <c r="C20" s="44">
        <v>115045.49</v>
      </c>
      <c r="D20" s="44">
        <v>330727.53999999998</v>
      </c>
      <c r="E20" s="44">
        <v>25216.48</v>
      </c>
      <c r="F20" s="44"/>
      <c r="G20" s="44"/>
      <c r="H20" s="44">
        <f>SUM(Tabela1[[#This Row],[Budynki]:[Inne opis jakie]])</f>
        <v>2111072.1800000002</v>
      </c>
      <c r="I20" s="44"/>
    </row>
    <row r="21" spans="1:9" s="50" customFormat="1">
      <c r="A21" s="69" t="s">
        <v>122</v>
      </c>
      <c r="B21" s="75">
        <v>1198313.8999999999</v>
      </c>
      <c r="C21" s="75">
        <v>64062.03</v>
      </c>
      <c r="D21" s="75">
        <v>161919.66</v>
      </c>
      <c r="E21" s="75">
        <v>18334.400000000001</v>
      </c>
      <c r="F21" s="75"/>
      <c r="G21" s="75"/>
      <c r="H21" s="75">
        <f>SUM(Tabela1[[#This Row],[Budynki]:[Inne opis jakie]])</f>
        <v>1442629.9899999998</v>
      </c>
      <c r="I21" s="75"/>
    </row>
    <row r="22" spans="1:9" s="50" customFormat="1">
      <c r="A22" s="69" t="s">
        <v>137</v>
      </c>
      <c r="B22" s="75">
        <v>1006845.5</v>
      </c>
      <c r="C22" s="75">
        <v>44999.9</v>
      </c>
      <c r="D22" s="75">
        <v>334583.46000000002</v>
      </c>
      <c r="E22" s="75">
        <v>23057.94</v>
      </c>
      <c r="F22" s="75"/>
      <c r="G22" s="75"/>
      <c r="H22" s="75">
        <f>SUM(Tabela1[[#This Row],[Budynki]:[Inne opis jakie]])</f>
        <v>1409486.7999999998</v>
      </c>
      <c r="I22" s="75"/>
    </row>
    <row r="23" spans="1:9" s="50" customFormat="1">
      <c r="A23" s="71" t="s">
        <v>149</v>
      </c>
      <c r="B23" s="44">
        <v>2032523.43</v>
      </c>
      <c r="C23" s="44">
        <v>118335.14</v>
      </c>
      <c r="D23" s="75">
        <v>384539.69</v>
      </c>
      <c r="E23" s="75">
        <v>42065.26</v>
      </c>
      <c r="F23" s="75"/>
      <c r="G23" s="75"/>
      <c r="H23" s="75">
        <f>SUM(Tabela1[[#This Row],[Budynki]:[Inne opis jakie]])</f>
        <v>2577463.5199999996</v>
      </c>
      <c r="I23" s="75"/>
    </row>
    <row r="24" spans="1:9" s="50" customFormat="1">
      <c r="A24" s="69" t="s">
        <v>172</v>
      </c>
      <c r="B24" s="76">
        <v>1381996</v>
      </c>
      <c r="C24" s="76">
        <v>310926</v>
      </c>
      <c r="D24" s="76">
        <v>272879.27</v>
      </c>
      <c r="E24" s="76">
        <v>21090.31</v>
      </c>
      <c r="F24" s="76">
        <v>0</v>
      </c>
      <c r="G24" s="76">
        <v>0</v>
      </c>
      <c r="H24" s="76">
        <f>SUM(Tabela1[[#This Row],[Budynki]:[Inne opis jakie]])</f>
        <v>1986891.58</v>
      </c>
      <c r="I24" s="76"/>
    </row>
    <row r="25" spans="1:9" s="67" customFormat="1">
      <c r="A25" s="69" t="s">
        <v>1773</v>
      </c>
      <c r="B25" s="82">
        <v>3261743.48</v>
      </c>
      <c r="C25" s="82">
        <v>316300</v>
      </c>
      <c r="D25" s="82">
        <v>538980.71</v>
      </c>
      <c r="E25" s="82">
        <v>40537.919999999998</v>
      </c>
      <c r="F25" s="82"/>
      <c r="G25" s="82"/>
      <c r="H25" s="82">
        <f>SUM(Tabela1[[#This Row],[Budynki]:[Inne opis jakie]])</f>
        <v>4157562.11</v>
      </c>
      <c r="I25" s="82"/>
    </row>
    <row r="26" spans="1:9" s="50" customFormat="1">
      <c r="A26" s="69" t="s">
        <v>186</v>
      </c>
      <c r="B26" s="75">
        <v>1836483.37</v>
      </c>
      <c r="C26" s="75">
        <v>560560.80000000005</v>
      </c>
      <c r="D26" s="75">
        <v>284375.17</v>
      </c>
      <c r="E26" s="75">
        <v>20049.68</v>
      </c>
      <c r="F26" s="75"/>
      <c r="G26" s="75"/>
      <c r="H26" s="75">
        <f>SUM(Tabela1[[#This Row],[Budynki]:[Inne opis jakie]])</f>
        <v>2701469.02</v>
      </c>
      <c r="I26" s="133"/>
    </row>
    <row r="27" spans="1:9" s="50" customFormat="1">
      <c r="A27" s="69" t="s">
        <v>196</v>
      </c>
      <c r="B27" s="75">
        <v>1883458.68</v>
      </c>
      <c r="C27" s="75">
        <v>87996.3</v>
      </c>
      <c r="D27" s="75">
        <v>521783.13</v>
      </c>
      <c r="E27" s="75">
        <v>37429.93</v>
      </c>
      <c r="F27" s="75"/>
      <c r="G27" s="75"/>
      <c r="H27" s="75">
        <f>SUM(Tabela1[[#This Row],[Budynki]:[Inne opis jakie]])</f>
        <v>2530668.04</v>
      </c>
      <c r="I27" s="75"/>
    </row>
    <row r="28" spans="1:9" s="50" customFormat="1">
      <c r="A28" s="69" t="s">
        <v>209</v>
      </c>
      <c r="B28" s="75">
        <v>2364124.7999999998</v>
      </c>
      <c r="C28" s="75">
        <v>252080.09</v>
      </c>
      <c r="D28" s="75">
        <v>377610.68</v>
      </c>
      <c r="E28" s="75">
        <v>19665.41</v>
      </c>
      <c r="F28" s="75" t="s">
        <v>210</v>
      </c>
      <c r="G28" s="75" t="s">
        <v>210</v>
      </c>
      <c r="H28" s="75">
        <f>SUM(Tabela1[[#This Row],[Budynki]:[Inne opis jakie]])</f>
        <v>3013480.98</v>
      </c>
      <c r="I28" s="75"/>
    </row>
    <row r="29" spans="1:9" s="50" customFormat="1">
      <c r="A29" s="69" t="s">
        <v>235</v>
      </c>
      <c r="B29" s="75">
        <v>1736449.49</v>
      </c>
      <c r="C29" s="75">
        <v>201328.11</v>
      </c>
      <c r="D29" s="75">
        <v>381086.22</v>
      </c>
      <c r="E29" s="75">
        <v>22489.25</v>
      </c>
      <c r="F29" s="75"/>
      <c r="G29" s="75"/>
      <c r="H29" s="75">
        <f>SUM(Tabela1[[#This Row],[Budynki]:[Inne opis jakie]])</f>
        <v>2341353.0700000003</v>
      </c>
      <c r="I29" s="75"/>
    </row>
    <row r="30" spans="1:9" s="50" customFormat="1" ht="27">
      <c r="A30" s="69" t="s">
        <v>250</v>
      </c>
      <c r="B30" s="75">
        <v>1653455</v>
      </c>
      <c r="C30" s="75">
        <v>203446</v>
      </c>
      <c r="D30" s="75">
        <v>260770.75</v>
      </c>
      <c r="E30" s="75">
        <v>71477.41</v>
      </c>
      <c r="F30" s="75">
        <v>0</v>
      </c>
      <c r="G30" s="75">
        <v>0</v>
      </c>
      <c r="H30" s="75">
        <f>SUM(Tabela1[[#This Row],[Budynki]:[Inne opis jakie]])</f>
        <v>2189149.16</v>
      </c>
      <c r="I30" s="75"/>
    </row>
    <row r="31" spans="1:9" s="50" customFormat="1">
      <c r="A31" s="69" t="s">
        <v>305</v>
      </c>
      <c r="B31" s="75"/>
      <c r="C31" s="75"/>
      <c r="D31" s="75">
        <v>140052.04</v>
      </c>
      <c r="E31" s="75">
        <v>15301.55</v>
      </c>
      <c r="F31" s="75"/>
      <c r="G31" s="75"/>
      <c r="H31" s="75">
        <f>SUM(Tabela1[[#This Row],[Budynki]:[Inne opis jakie]])</f>
        <v>155353.59</v>
      </c>
      <c r="I31" s="75"/>
    </row>
    <row r="32" spans="1:9" s="50" customFormat="1" ht="27">
      <c r="A32" s="69" t="s">
        <v>314</v>
      </c>
      <c r="B32" s="75">
        <v>847333.34</v>
      </c>
      <c r="C32" s="75">
        <v>19950.8</v>
      </c>
      <c r="D32" s="75" t="s">
        <v>315</v>
      </c>
      <c r="E32" s="75">
        <v>29559.67</v>
      </c>
      <c r="F32" s="75">
        <v>250429.67</v>
      </c>
      <c r="G32" s="75" t="s">
        <v>316</v>
      </c>
      <c r="H32" s="75">
        <f>SUM(Tabela1[[#This Row],[Budynki]:[Inne opis jakie]])</f>
        <v>1147273.48</v>
      </c>
      <c r="I32" s="75"/>
    </row>
    <row r="33" spans="1:9" s="50" customFormat="1">
      <c r="A33" s="83" t="s">
        <v>1926</v>
      </c>
      <c r="B33" s="84">
        <v>2718614.1</v>
      </c>
      <c r="C33" s="84">
        <v>235356.4</v>
      </c>
      <c r="D33" s="84">
        <v>394550.95</v>
      </c>
      <c r="E33" s="84">
        <v>64233</v>
      </c>
      <c r="F33" s="84"/>
      <c r="G33" s="84"/>
      <c r="H33" s="84">
        <f>SUM(Tabela1[[#This Row],[Budynki]:[Inne opis jakie]])</f>
        <v>3412754.45</v>
      </c>
      <c r="I33" s="84"/>
    </row>
    <row r="34" spans="1:9" s="50" customFormat="1" ht="27">
      <c r="A34" s="69" t="s">
        <v>354</v>
      </c>
      <c r="B34" s="75">
        <v>2185242.7999999998</v>
      </c>
      <c r="C34" s="75">
        <v>374199</v>
      </c>
      <c r="D34" s="75">
        <v>256118.52</v>
      </c>
      <c r="E34" s="75">
        <v>49693.22</v>
      </c>
      <c r="F34" s="75">
        <v>0</v>
      </c>
      <c r="G34" s="75">
        <v>0</v>
      </c>
      <c r="H34" s="75">
        <f>SUM(Tabela1[[#This Row],[Budynki]:[Inne opis jakie]])</f>
        <v>2865253.54</v>
      </c>
      <c r="I34" s="75"/>
    </row>
    <row r="35" spans="1:9" s="61" customFormat="1">
      <c r="A35" s="69" t="s">
        <v>372</v>
      </c>
      <c r="B35" s="75"/>
      <c r="C35" s="75"/>
      <c r="D35" s="75">
        <v>121428.12</v>
      </c>
      <c r="E35" s="75">
        <v>57946.87</v>
      </c>
      <c r="F35" s="75"/>
      <c r="G35" s="75"/>
      <c r="H35" s="75">
        <f>SUM(Tabela1[[#This Row],[Budynki]:[Inne opis jakie]])</f>
        <v>179374.99</v>
      </c>
      <c r="I35" s="75"/>
    </row>
    <row r="36" spans="1:9" s="61" customFormat="1">
      <c r="A36" s="69" t="s">
        <v>382</v>
      </c>
      <c r="B36" s="75"/>
      <c r="C36" s="75"/>
      <c r="D36" s="75">
        <v>366414.14</v>
      </c>
      <c r="E36" s="75">
        <v>53033.68</v>
      </c>
      <c r="F36" s="75"/>
      <c r="G36" s="75"/>
      <c r="H36" s="75">
        <f>SUM(Tabela1[[#This Row],[Budynki]:[Inne opis jakie]])</f>
        <v>419447.82</v>
      </c>
      <c r="I36" s="75"/>
    </row>
    <row r="37" spans="1:9" s="61" customFormat="1">
      <c r="A37" s="69" t="s">
        <v>403</v>
      </c>
      <c r="B37" s="75">
        <v>2254626.16</v>
      </c>
      <c r="C37" s="75">
        <v>224211.17</v>
      </c>
      <c r="D37" s="75">
        <v>533886.9</v>
      </c>
      <c r="E37" s="75">
        <v>38238.83</v>
      </c>
      <c r="F37" s="75" t="s">
        <v>219</v>
      </c>
      <c r="G37" s="75" t="s">
        <v>219</v>
      </c>
      <c r="H37" s="75">
        <f>SUM(Tabela1[[#This Row],[Budynki]:[Inne opis jakie]])</f>
        <v>3050963.06</v>
      </c>
      <c r="I37" s="75"/>
    </row>
    <row r="38" spans="1:9" s="61" customFormat="1">
      <c r="A38" s="69" t="s">
        <v>417</v>
      </c>
      <c r="B38" s="75">
        <v>8633649.75</v>
      </c>
      <c r="C38" s="75">
        <v>784465.57</v>
      </c>
      <c r="D38" s="75">
        <v>958360.38</v>
      </c>
      <c r="E38" s="75">
        <v>59625.4</v>
      </c>
      <c r="F38" s="75"/>
      <c r="G38" s="75"/>
      <c r="H38" s="75">
        <f>SUM(Tabela1[[#This Row],[Budynki]:[Inne opis jakie]])</f>
        <v>10436101.100000001</v>
      </c>
      <c r="I38" s="75"/>
    </row>
    <row r="39" spans="1:9" s="61" customFormat="1">
      <c r="A39" s="69" t="s">
        <v>448</v>
      </c>
      <c r="B39" s="75">
        <v>6619595.5</v>
      </c>
      <c r="C39" s="75">
        <v>469052</v>
      </c>
      <c r="D39" s="75">
        <v>752767.74</v>
      </c>
      <c r="E39" s="75">
        <v>57326.39</v>
      </c>
      <c r="F39" s="75">
        <v>0</v>
      </c>
      <c r="G39" s="75">
        <v>0</v>
      </c>
      <c r="H39" s="75">
        <f>SUM(Tabela1[[#This Row],[Budynki]:[Inne opis jakie]])</f>
        <v>7898741.6299999999</v>
      </c>
      <c r="I39" s="75"/>
    </row>
    <row r="40" spans="1:9" s="50" customFormat="1">
      <c r="A40" s="69" t="s">
        <v>481</v>
      </c>
      <c r="B40" s="75">
        <v>1501543.37</v>
      </c>
      <c r="C40" s="75">
        <v>170737.84</v>
      </c>
      <c r="D40" s="75"/>
      <c r="E40" s="75">
        <v>27136.69</v>
      </c>
      <c r="F40" s="75">
        <v>0</v>
      </c>
      <c r="G40" s="75">
        <v>0</v>
      </c>
      <c r="H40" s="75">
        <f>SUM(Tabela1[[#This Row],[Budynki]:[Inne opis jakie]])</f>
        <v>1699417.9000000001</v>
      </c>
      <c r="I40" s="75"/>
    </row>
    <row r="41" spans="1:9" s="50" customFormat="1">
      <c r="A41" s="69" t="s">
        <v>498</v>
      </c>
      <c r="B41" s="75">
        <v>11916243.83</v>
      </c>
      <c r="C41" s="75">
        <v>1172759.8600000001</v>
      </c>
      <c r="D41" s="75">
        <v>2075592.63</v>
      </c>
      <c r="E41" s="75">
        <v>81219.33</v>
      </c>
      <c r="F41" s="75"/>
      <c r="G41" s="75"/>
      <c r="H41" s="75">
        <f>SUM(Tabela1[[#This Row],[Budynki]:[Inne opis jakie]])</f>
        <v>15245815.65</v>
      </c>
      <c r="I41" s="75"/>
    </row>
    <row r="42" spans="1:9" s="50" customFormat="1">
      <c r="A42" s="69" t="s">
        <v>647</v>
      </c>
      <c r="B42" s="75">
        <v>1890827.61</v>
      </c>
      <c r="C42" s="75">
        <v>0</v>
      </c>
      <c r="D42" s="75">
        <v>256171.66</v>
      </c>
      <c r="E42" s="75">
        <v>71469.509999999995</v>
      </c>
      <c r="F42" s="75">
        <v>0</v>
      </c>
      <c r="G42" s="75">
        <v>0</v>
      </c>
      <c r="H42" s="75">
        <f>SUM(Tabela1[[#This Row],[Budynki]:[Inne opis jakie]])</f>
        <v>2218468.7799999998</v>
      </c>
      <c r="I42" s="75"/>
    </row>
    <row r="43" spans="1:9" s="67" customFormat="1">
      <c r="A43" s="69" t="s">
        <v>1792</v>
      </c>
      <c r="B43" s="75">
        <v>2423457.17</v>
      </c>
      <c r="C43" s="75"/>
      <c r="D43" s="75">
        <v>629348.82999999996</v>
      </c>
      <c r="E43" s="75">
        <v>46028.47</v>
      </c>
      <c r="F43" s="75"/>
      <c r="G43" s="75"/>
      <c r="H43" s="75">
        <f>SUM(Tabela1[[#This Row],[Budynki]:[Inne opis jakie]])</f>
        <v>3098834.47</v>
      </c>
      <c r="I43" s="75"/>
    </row>
    <row r="44" spans="1:9" s="63" customFormat="1">
      <c r="A44" s="69" t="s">
        <v>659</v>
      </c>
      <c r="B44" s="75">
        <v>1437316.58</v>
      </c>
      <c r="C44" s="75">
        <v>297583.56</v>
      </c>
      <c r="D44" s="75">
        <v>910813.56</v>
      </c>
      <c r="E44" s="75">
        <v>57779.15</v>
      </c>
      <c r="F44" s="75">
        <v>0</v>
      </c>
      <c r="G44" s="75">
        <v>0</v>
      </c>
      <c r="H44" s="75">
        <f>SUM(Tabela1[[#This Row],[Budynki]:[Inne opis jakie]])</f>
        <v>2703492.85</v>
      </c>
      <c r="I44" s="75"/>
    </row>
    <row r="45" spans="1:9" s="63" customFormat="1">
      <c r="A45" s="69" t="s">
        <v>748</v>
      </c>
      <c r="B45" s="75">
        <v>1741652.88</v>
      </c>
      <c r="C45" s="75">
        <v>253194.93</v>
      </c>
      <c r="D45" s="75">
        <v>455964.31</v>
      </c>
      <c r="E45" s="75">
        <v>38798.58</v>
      </c>
      <c r="F45" s="75" t="s">
        <v>101</v>
      </c>
      <c r="G45" s="75" t="s">
        <v>101</v>
      </c>
      <c r="H45" s="75">
        <f>SUM(Tabela1[[#This Row],[Budynki]:[Inne opis jakie]])</f>
        <v>2489610.6999999997</v>
      </c>
      <c r="I45" s="75"/>
    </row>
    <row r="46" spans="1:9" s="63" customFormat="1">
      <c r="A46" s="69" t="s">
        <v>762</v>
      </c>
      <c r="B46" s="75">
        <v>3836165.1</v>
      </c>
      <c r="C46" s="75">
        <v>68692.600000000006</v>
      </c>
      <c r="D46" s="75">
        <v>645701.03</v>
      </c>
      <c r="E46" s="75">
        <v>60693.64</v>
      </c>
      <c r="F46" s="75"/>
      <c r="G46" s="75"/>
      <c r="H46" s="75">
        <f>SUM(Tabela1[[#This Row],[Budynki]:[Inne opis jakie]])</f>
        <v>4611252.37</v>
      </c>
      <c r="I46" s="75"/>
    </row>
    <row r="47" spans="1:9" s="63" customFormat="1">
      <c r="A47" s="69" t="s">
        <v>776</v>
      </c>
      <c r="B47" s="75">
        <v>453924</v>
      </c>
      <c r="C47" s="75">
        <v>26509</v>
      </c>
      <c r="D47" s="75">
        <v>498783</v>
      </c>
      <c r="E47" s="75">
        <v>40504</v>
      </c>
      <c r="F47" s="75">
        <v>0</v>
      </c>
      <c r="G47" s="75">
        <v>0</v>
      </c>
      <c r="H47" s="75">
        <f>SUM(Tabela1[[#This Row],[Budynki]:[Inne opis jakie]])</f>
        <v>1019720</v>
      </c>
      <c r="I47" s="75"/>
    </row>
    <row r="48" spans="1:9" s="63" customFormat="1">
      <c r="A48" s="69" t="s">
        <v>807</v>
      </c>
      <c r="B48" s="75">
        <v>5824243.6100000003</v>
      </c>
      <c r="C48" s="75" t="s">
        <v>219</v>
      </c>
      <c r="D48" s="75">
        <v>1044927.43</v>
      </c>
      <c r="E48" s="75">
        <v>72521.86</v>
      </c>
      <c r="F48" s="75" t="s">
        <v>219</v>
      </c>
      <c r="G48" s="75" t="s">
        <v>219</v>
      </c>
      <c r="H48" s="75">
        <f>SUM(Tabela1[[#This Row],[Budynki]:[Inne opis jakie]])</f>
        <v>6941692.9000000004</v>
      </c>
      <c r="I48" s="75"/>
    </row>
    <row r="49" spans="1:9" s="63" customFormat="1">
      <c r="A49" s="69" t="s">
        <v>860</v>
      </c>
      <c r="B49" s="75">
        <v>4242992.05</v>
      </c>
      <c r="C49" s="75">
        <v>223440.4</v>
      </c>
      <c r="D49" s="75">
        <v>650363.43999999994</v>
      </c>
      <c r="E49" s="75"/>
      <c r="F49" s="75"/>
      <c r="G49" s="75"/>
      <c r="H49" s="75">
        <f>SUM(Tabela1[[#This Row],[Budynki]:[Inne opis jakie]])</f>
        <v>5116795.8900000006</v>
      </c>
      <c r="I49" s="75"/>
    </row>
    <row r="50" spans="1:9" s="63" customFormat="1">
      <c r="A50" s="69" t="s">
        <v>1005</v>
      </c>
      <c r="B50" s="75">
        <v>617919</v>
      </c>
      <c r="C50" s="75">
        <v>69955</v>
      </c>
      <c r="D50" s="75">
        <v>422930.48</v>
      </c>
      <c r="E50" s="75">
        <v>19790.95</v>
      </c>
      <c r="F50" s="75"/>
      <c r="G50" s="75"/>
      <c r="H50" s="75">
        <f>SUM(Tabela1[[#This Row],[Budynki]:[Inne opis jakie]])</f>
        <v>1130595.43</v>
      </c>
      <c r="I50" s="75"/>
    </row>
    <row r="51" spans="1:9" s="63" customFormat="1" ht="27">
      <c r="A51" s="69" t="s">
        <v>892</v>
      </c>
      <c r="B51" s="75">
        <v>4306329.59</v>
      </c>
      <c r="C51" s="75">
        <v>1463998.23</v>
      </c>
      <c r="D51" s="75">
        <v>839081.06</v>
      </c>
      <c r="E51" s="75">
        <v>42440.65</v>
      </c>
      <c r="F51" s="75" t="s">
        <v>219</v>
      </c>
      <c r="G51" s="75" t="s">
        <v>219</v>
      </c>
      <c r="H51" s="75">
        <f>SUM(Tabela1[[#This Row],[Budynki]:[Inne opis jakie]])</f>
        <v>6651849.5300000012</v>
      </c>
      <c r="I51" s="75"/>
    </row>
    <row r="52" spans="1:9" s="63" customFormat="1">
      <c r="A52" s="69" t="s">
        <v>929</v>
      </c>
      <c r="B52" s="75">
        <v>3678429.3</v>
      </c>
      <c r="C52" s="75">
        <v>163113.54</v>
      </c>
      <c r="D52" s="75">
        <v>884916.34</v>
      </c>
      <c r="E52" s="75">
        <v>6777.48</v>
      </c>
      <c r="F52" s="75"/>
      <c r="G52" s="75"/>
      <c r="H52" s="75">
        <f>SUM(Tabela1[[#This Row],[Budynki]:[Inne opis jakie]])</f>
        <v>4733236.66</v>
      </c>
      <c r="I52" s="75"/>
    </row>
    <row r="53" spans="1:9" s="63" customFormat="1">
      <c r="A53" s="69" t="s">
        <v>930</v>
      </c>
      <c r="B53" s="75">
        <v>1115840.27</v>
      </c>
      <c r="C53" s="75">
        <v>7967.13</v>
      </c>
      <c r="D53" s="75">
        <v>68995.240000000005</v>
      </c>
      <c r="E53" s="75"/>
      <c r="F53" s="75"/>
      <c r="G53" s="75"/>
      <c r="H53" s="75">
        <f>SUM(Tabela1[[#This Row],[Budynki]:[Inne opis jakie]])</f>
        <v>1192802.6399999999</v>
      </c>
      <c r="I53" s="75"/>
    </row>
    <row r="54" spans="1:9" s="63" customFormat="1">
      <c r="A54" s="69" t="s">
        <v>1279</v>
      </c>
      <c r="B54" s="75">
        <v>1762378.65</v>
      </c>
      <c r="C54" s="75">
        <v>0</v>
      </c>
      <c r="D54" s="75">
        <v>628706.11</v>
      </c>
      <c r="E54" s="75">
        <v>49162.78</v>
      </c>
      <c r="F54" s="75">
        <v>0</v>
      </c>
      <c r="G54" s="75">
        <v>0</v>
      </c>
      <c r="H54" s="75">
        <f>SUM(Tabela1[[#This Row],[Budynki]:[Inne opis jakie]])</f>
        <v>2440247.5399999996</v>
      </c>
      <c r="I54" s="75"/>
    </row>
    <row r="55" spans="1:9" s="63" customFormat="1">
      <c r="A55" s="69" t="s">
        <v>1280</v>
      </c>
      <c r="B55" s="75">
        <v>0</v>
      </c>
      <c r="C55" s="75">
        <v>0</v>
      </c>
      <c r="D55" s="75">
        <v>102318.69</v>
      </c>
      <c r="E55" s="75">
        <v>0</v>
      </c>
      <c r="F55" s="75">
        <v>0</v>
      </c>
      <c r="G55" s="75">
        <v>0</v>
      </c>
      <c r="H55" s="75">
        <f>SUM(Tabela1[[#This Row],[Budynki]:[Inne opis jakie]])</f>
        <v>102318.69</v>
      </c>
      <c r="I55" s="75"/>
    </row>
    <row r="56" spans="1:9" s="63" customFormat="1">
      <c r="A56" s="69" t="s">
        <v>1019</v>
      </c>
      <c r="B56" s="75">
        <v>2205104.25</v>
      </c>
      <c r="C56" s="75">
        <v>346739.61</v>
      </c>
      <c r="D56" s="75">
        <v>2019370.94</v>
      </c>
      <c r="E56" s="75">
        <v>4727.95</v>
      </c>
      <c r="F56" s="75"/>
      <c r="G56" s="75"/>
      <c r="H56" s="75">
        <f>SUM(Tabela1[[#This Row],[Budynki]:[Inne opis jakie]])</f>
        <v>4575942.75</v>
      </c>
      <c r="I56" s="75"/>
    </row>
    <row r="57" spans="1:9" s="67" customFormat="1" ht="27">
      <c r="A57" s="69" t="s">
        <v>1816</v>
      </c>
      <c r="B57" s="75">
        <v>884932.83</v>
      </c>
      <c r="C57" s="75">
        <v>9804.7900000000009</v>
      </c>
      <c r="D57" s="75">
        <v>116956.87</v>
      </c>
      <c r="E57" s="75">
        <v>0</v>
      </c>
      <c r="F57" s="75">
        <v>0</v>
      </c>
      <c r="G57" s="75">
        <v>0</v>
      </c>
      <c r="H57" s="75">
        <f>SUM(Tabela1[[#This Row],[Budynki]:[Inne opis jakie]])</f>
        <v>1011694.49</v>
      </c>
      <c r="I57" s="75"/>
    </row>
    <row r="58" spans="1:9" s="63" customFormat="1" ht="67.5">
      <c r="A58" s="69" t="s">
        <v>1068</v>
      </c>
      <c r="B58" s="75">
        <v>1664330.05</v>
      </c>
      <c r="C58" s="75"/>
      <c r="D58" s="75">
        <v>1052735.43</v>
      </c>
      <c r="E58" s="75">
        <v>41738.65</v>
      </c>
      <c r="F58" s="75">
        <v>108608.99</v>
      </c>
      <c r="G58" s="75" t="s">
        <v>1966</v>
      </c>
      <c r="H58" s="75">
        <f>SUM(Tabela1[[#This Row],[Budynki]:[Inne opis jakie]])</f>
        <v>2867413.12</v>
      </c>
      <c r="I58" s="75"/>
    </row>
    <row r="59" spans="1:9" s="63" customFormat="1">
      <c r="A59" s="69" t="s">
        <v>1069</v>
      </c>
      <c r="B59" s="75">
        <v>38151.43</v>
      </c>
      <c r="C59" s="75"/>
      <c r="D59" s="75">
        <v>252859.16</v>
      </c>
      <c r="E59" s="75">
        <v>1887.14</v>
      </c>
      <c r="F59" s="75"/>
      <c r="G59" s="75"/>
      <c r="H59" s="75">
        <f>SUM(Tabela1[[#This Row],[Budynki]:[Inne opis jakie]])</f>
        <v>292897.73000000004</v>
      </c>
      <c r="I59" s="75"/>
    </row>
    <row r="60" spans="1:9" s="63" customFormat="1" ht="27">
      <c r="A60" s="69" t="s">
        <v>1108</v>
      </c>
      <c r="B60" s="75">
        <v>8416044.0800000001</v>
      </c>
      <c r="C60" s="75">
        <v>206992.48</v>
      </c>
      <c r="D60" s="75">
        <v>906014.9</v>
      </c>
      <c r="E60" s="75"/>
      <c r="F60" s="85">
        <v>649899.74</v>
      </c>
      <c r="G60" s="75" t="s">
        <v>316</v>
      </c>
      <c r="H60" s="75">
        <f>SUM(Tabela1[[#This Row],[Budynki]:[Inne opis jakie]])</f>
        <v>10178951.200000001</v>
      </c>
      <c r="I60" s="75"/>
    </row>
    <row r="61" spans="1:9" s="63" customFormat="1" ht="27">
      <c r="A61" s="81" t="s">
        <v>1167</v>
      </c>
      <c r="B61" s="75">
        <v>3671517.44</v>
      </c>
      <c r="C61" s="75">
        <v>139857.22</v>
      </c>
      <c r="D61" s="75">
        <v>1495853.46</v>
      </c>
      <c r="E61" s="75"/>
      <c r="F61" s="75"/>
      <c r="G61" s="75"/>
      <c r="H61" s="75">
        <f>SUM(Tabela1[[#This Row],[Budynki]:[Inne opis jakie]])</f>
        <v>5307228.12</v>
      </c>
      <c r="I61" s="75"/>
    </row>
    <row r="62" spans="1:9" s="63" customFormat="1">
      <c r="A62" s="69" t="s">
        <v>1248</v>
      </c>
      <c r="B62" s="75">
        <v>3022674</v>
      </c>
      <c r="C62" s="75">
        <v>16575</v>
      </c>
      <c r="D62" s="75">
        <v>960135.39</v>
      </c>
      <c r="E62" s="75"/>
      <c r="F62" s="75"/>
      <c r="G62" s="75"/>
      <c r="H62" s="75">
        <f>SUM(Tabela1[[#This Row],[Budynki]:[Inne opis jakie]])</f>
        <v>3999384.39</v>
      </c>
      <c r="I62" s="75"/>
    </row>
    <row r="63" spans="1:9" s="63" customFormat="1">
      <c r="A63" s="69" t="s">
        <v>1274</v>
      </c>
      <c r="B63" s="75">
        <v>83312.3</v>
      </c>
      <c r="C63" s="75">
        <v>34684.300000000003</v>
      </c>
      <c r="D63" s="75">
        <v>109452.34</v>
      </c>
      <c r="E63" s="75">
        <v>404.7</v>
      </c>
      <c r="F63" s="75"/>
      <c r="G63" s="75"/>
      <c r="H63" s="75">
        <f>SUM(Tabela1[[#This Row],[Budynki]:[Inne opis jakie]])</f>
        <v>227853.64</v>
      </c>
      <c r="I63" s="75"/>
    </row>
    <row r="64" spans="1:9" s="63" customFormat="1" ht="40.5">
      <c r="A64" s="69" t="s">
        <v>1307</v>
      </c>
      <c r="B64" s="75">
        <v>2108804.16</v>
      </c>
      <c r="C64" s="75">
        <v>88923.73</v>
      </c>
      <c r="D64" s="75">
        <v>663929.24</v>
      </c>
      <c r="E64" s="75"/>
      <c r="F64" s="75"/>
      <c r="G64" s="75"/>
      <c r="H64" s="75">
        <f>SUM(Tabela1[[#This Row],[Budynki]:[Inne opis jakie]])</f>
        <v>2861657.13</v>
      </c>
      <c r="I64" s="75"/>
    </row>
    <row r="65" spans="1:9" s="67" customFormat="1">
      <c r="A65" s="69" t="s">
        <v>1337</v>
      </c>
      <c r="B65" s="75"/>
      <c r="C65" s="75"/>
      <c r="D65" s="75">
        <v>169833.56</v>
      </c>
      <c r="E65" s="75">
        <v>13114.38</v>
      </c>
      <c r="F65" s="75"/>
      <c r="G65" s="75"/>
      <c r="H65" s="75">
        <f>SUM(Tabela1[[#This Row],[Budynki]:[Inne opis jakie]])</f>
        <v>182947.94</v>
      </c>
      <c r="I65" s="75"/>
    </row>
    <row r="66" spans="1:9" s="67" customFormat="1" ht="27">
      <c r="A66" s="132" t="s">
        <v>1970</v>
      </c>
      <c r="B66" s="75">
        <v>1462361</v>
      </c>
      <c r="C66" s="75">
        <v>218748.96</v>
      </c>
      <c r="D66" s="75">
        <v>247972.88</v>
      </c>
      <c r="E66" s="75">
        <v>0</v>
      </c>
      <c r="F66" s="75">
        <v>0</v>
      </c>
      <c r="G66" s="75">
        <v>0</v>
      </c>
      <c r="H66" s="75">
        <f>SUM(Tabela1[[#This Row],[Budynki]:[Inne opis jakie]])</f>
        <v>1929082.8399999999</v>
      </c>
      <c r="I66" s="75"/>
    </row>
    <row r="67" spans="1:9" s="67" customFormat="1" ht="27">
      <c r="A67" s="69" t="s">
        <v>1338</v>
      </c>
      <c r="B67" s="75">
        <v>194406.36</v>
      </c>
      <c r="C67" s="75"/>
      <c r="D67" s="75">
        <v>748526.12</v>
      </c>
      <c r="E67" s="75"/>
      <c r="F67" s="75"/>
      <c r="G67" s="75"/>
      <c r="H67" s="75">
        <f>SUM(Tabela1[[#This Row],[Budynki]:[Inne opis jakie]])</f>
        <v>942932.47999999998</v>
      </c>
      <c r="I67" s="75"/>
    </row>
    <row r="68" spans="1:9" s="67" customFormat="1">
      <c r="A68" s="69" t="s">
        <v>1355</v>
      </c>
      <c r="B68" s="75">
        <v>1111272.95</v>
      </c>
      <c r="C68" s="75">
        <v>1224278.28</v>
      </c>
      <c r="D68" s="75">
        <v>861504.54</v>
      </c>
      <c r="E68" s="75">
        <v>3000</v>
      </c>
      <c r="F68" s="75"/>
      <c r="G68" s="75"/>
      <c r="H68" s="75">
        <f>SUM(Tabela1[[#This Row],[Budynki]:[Inne opis jakie]])</f>
        <v>3200055.77</v>
      </c>
      <c r="I68" s="75"/>
    </row>
    <row r="69" spans="1:9" s="67" customFormat="1">
      <c r="A69" s="69" t="s">
        <v>1401</v>
      </c>
      <c r="B69" s="75">
        <v>537585.49</v>
      </c>
      <c r="C69" s="75">
        <v>0</v>
      </c>
      <c r="D69" s="75">
        <v>158046.47</v>
      </c>
      <c r="E69" s="75">
        <v>14426.07</v>
      </c>
      <c r="F69" s="75">
        <v>0</v>
      </c>
      <c r="G69" s="75">
        <v>0</v>
      </c>
      <c r="H69" s="75">
        <f>SUM(Tabela1[[#This Row],[Budynki]:[Inne opis jakie]])</f>
        <v>710058.02999999991</v>
      </c>
      <c r="I69" s="75"/>
    </row>
    <row r="70" spans="1:9" s="63" customFormat="1">
      <c r="A70" s="69" t="s">
        <v>1414</v>
      </c>
      <c r="B70" s="75">
        <v>1622884.92</v>
      </c>
      <c r="C70" s="75"/>
      <c r="D70" s="75">
        <v>1293907.76</v>
      </c>
      <c r="E70" s="75"/>
      <c r="F70" s="75"/>
      <c r="G70" s="75"/>
      <c r="H70" s="75">
        <f>SUM(Tabela1[[#This Row],[Budynki]:[Inne opis jakie]])</f>
        <v>2916792.6799999997</v>
      </c>
      <c r="I70" s="75"/>
    </row>
    <row r="71" spans="1:9" s="63" customFormat="1">
      <c r="A71" s="69" t="s">
        <v>1930</v>
      </c>
      <c r="B71" s="75">
        <v>620828.68000000005</v>
      </c>
      <c r="C71" s="75">
        <v>226199.14</v>
      </c>
      <c r="D71" s="75">
        <v>82607.12</v>
      </c>
      <c r="E71" s="75">
        <v>60834.43</v>
      </c>
      <c r="F71" s="75">
        <v>1064617</v>
      </c>
      <c r="G71" s="75" t="s">
        <v>1436</v>
      </c>
      <c r="H71" s="75">
        <f>SUM(Tabela1[[#This Row],[Budynki]:[Inne opis jakie]])</f>
        <v>2055086.37</v>
      </c>
      <c r="I71" s="75"/>
    </row>
    <row r="72" spans="1:9" s="67" customFormat="1">
      <c r="A72" s="69" t="s">
        <v>1931</v>
      </c>
      <c r="B72" s="75">
        <v>120150</v>
      </c>
      <c r="C72" s="75"/>
      <c r="D72" s="75">
        <v>165408.09</v>
      </c>
      <c r="E72" s="75"/>
      <c r="F72" s="75">
        <v>243209.1</v>
      </c>
      <c r="G72" s="75" t="s">
        <v>1436</v>
      </c>
      <c r="H72" s="75">
        <f>SUM(Tabela1[[#This Row],[Budynki]:[Inne opis jakie]])</f>
        <v>528767.18999999994</v>
      </c>
      <c r="I72" s="75"/>
    </row>
    <row r="73" spans="1:9" s="67" customFormat="1">
      <c r="A73" s="69" t="s">
        <v>1932</v>
      </c>
      <c r="B73" s="75">
        <v>232340</v>
      </c>
      <c r="C73" s="75"/>
      <c r="D73" s="75">
        <v>42323.75</v>
      </c>
      <c r="E73" s="75"/>
      <c r="F73" s="75">
        <v>29211.17</v>
      </c>
      <c r="G73" s="75" t="s">
        <v>1436</v>
      </c>
      <c r="H73" s="75">
        <f>SUM(Tabela1[[#This Row],[Budynki]:[Inne opis jakie]])</f>
        <v>303874.92</v>
      </c>
      <c r="I73" s="75"/>
    </row>
    <row r="74" spans="1:9" s="67" customFormat="1">
      <c r="A74" s="69" t="s">
        <v>1933</v>
      </c>
      <c r="B74" s="75">
        <v>507707.39</v>
      </c>
      <c r="C74" s="75"/>
      <c r="D74" s="75">
        <v>42323.75</v>
      </c>
      <c r="E74" s="75"/>
      <c r="F74" s="75">
        <v>38681.96</v>
      </c>
      <c r="G74" s="75" t="s">
        <v>1436</v>
      </c>
      <c r="H74" s="75">
        <f>SUM(Tabela1[[#This Row],[Budynki]:[Inne opis jakie]])</f>
        <v>588713.1</v>
      </c>
      <c r="I74" s="75"/>
    </row>
    <row r="75" spans="1:9" s="67" customFormat="1">
      <c r="A75" s="69" t="s">
        <v>1934</v>
      </c>
      <c r="B75" s="75">
        <v>247872.48</v>
      </c>
      <c r="C75" s="75"/>
      <c r="D75" s="75">
        <v>48185.75</v>
      </c>
      <c r="E75" s="75"/>
      <c r="F75" s="75">
        <v>199076.19</v>
      </c>
      <c r="G75" s="75" t="s">
        <v>1436</v>
      </c>
      <c r="H75" s="75">
        <f>SUM(Tabela1[[#This Row],[Budynki]:[Inne opis jakie]])</f>
        <v>495134.42</v>
      </c>
      <c r="I75" s="75"/>
    </row>
    <row r="76" spans="1:9" s="67" customFormat="1" ht="27">
      <c r="A76" s="69" t="s">
        <v>1476</v>
      </c>
      <c r="B76" s="75">
        <v>461913.44</v>
      </c>
      <c r="C76" s="75"/>
      <c r="D76" s="75">
        <v>255465.71</v>
      </c>
      <c r="E76" s="75">
        <v>523102</v>
      </c>
      <c r="F76" s="75"/>
      <c r="G76" s="75"/>
      <c r="H76" s="75">
        <f>SUM(Tabela1[[#This Row],[Budynki]:[Inne opis jakie]])</f>
        <v>1240481.1499999999</v>
      </c>
      <c r="I76" s="75"/>
    </row>
    <row r="77" spans="1:9" s="67" customFormat="1" ht="27">
      <c r="A77" s="69" t="s">
        <v>1477</v>
      </c>
      <c r="B77" s="75"/>
      <c r="C77" s="75"/>
      <c r="D77" s="75">
        <v>11237.300000000001</v>
      </c>
      <c r="E77" s="75">
        <v>130773</v>
      </c>
      <c r="F77" s="75"/>
      <c r="G77" s="75"/>
      <c r="H77" s="75">
        <f>SUM(Tabela1[[#This Row],[Budynki]:[Inne opis jakie]])</f>
        <v>142010.29999999999</v>
      </c>
      <c r="I77" s="75"/>
    </row>
    <row r="78" spans="1:9" s="67" customFormat="1" ht="27">
      <c r="A78" s="69" t="s">
        <v>1478</v>
      </c>
      <c r="B78" s="75"/>
      <c r="C78" s="75"/>
      <c r="D78" s="75">
        <v>7058.57</v>
      </c>
      <c r="E78" s="75">
        <v>130773</v>
      </c>
      <c r="F78" s="75"/>
      <c r="G78" s="75"/>
      <c r="H78" s="75">
        <f>SUM(Tabela1[[#This Row],[Budynki]:[Inne opis jakie]])</f>
        <v>137831.57</v>
      </c>
      <c r="I78" s="75"/>
    </row>
    <row r="79" spans="1:9" s="67" customFormat="1">
      <c r="A79" s="69" t="s">
        <v>1479</v>
      </c>
      <c r="B79" s="75">
        <v>34046.800000000003</v>
      </c>
      <c r="C79" s="75"/>
      <c r="D79" s="75">
        <v>8714.23</v>
      </c>
      <c r="E79" s="75">
        <v>130773</v>
      </c>
      <c r="F79" s="75"/>
      <c r="G79" s="75"/>
      <c r="H79" s="75">
        <f>SUM(Tabela1[[#This Row],[Budynki]:[Inne opis jakie]])</f>
        <v>173534.03</v>
      </c>
      <c r="I79" s="75"/>
    </row>
    <row r="80" spans="1:9" s="67" customFormat="1" ht="27">
      <c r="A80" s="69" t="s">
        <v>1480</v>
      </c>
      <c r="B80" s="75"/>
      <c r="C80" s="75"/>
      <c r="D80" s="75">
        <v>27910.55</v>
      </c>
      <c r="E80" s="75">
        <v>130773</v>
      </c>
      <c r="F80" s="75"/>
      <c r="G80" s="75"/>
      <c r="H80" s="75">
        <f>SUM(Tabela1[[#This Row],[Budynki]:[Inne opis jakie]])</f>
        <v>158683.54999999999</v>
      </c>
      <c r="I80" s="75"/>
    </row>
    <row r="81" spans="1:9" s="67" customFormat="1" ht="27">
      <c r="A81" s="69" t="s">
        <v>1481</v>
      </c>
      <c r="B81" s="75"/>
      <c r="C81" s="75"/>
      <c r="D81" s="75">
        <v>26051.510000000002</v>
      </c>
      <c r="E81" s="75">
        <v>130773</v>
      </c>
      <c r="F81" s="75"/>
      <c r="G81" s="75"/>
      <c r="H81" s="75">
        <f>SUM(Tabela1[[#This Row],[Budynki]:[Inne opis jakie]])</f>
        <v>156824.51</v>
      </c>
      <c r="I81" s="75"/>
    </row>
    <row r="82" spans="1:9" s="50" customFormat="1" ht="27">
      <c r="A82" s="69" t="s">
        <v>1482</v>
      </c>
      <c r="B82" s="75">
        <v>69811.47</v>
      </c>
      <c r="C82" s="75"/>
      <c r="D82" s="75">
        <v>42097.53</v>
      </c>
      <c r="E82" s="75">
        <v>130773</v>
      </c>
      <c r="F82" s="75"/>
      <c r="G82" s="75"/>
      <c r="H82" s="75">
        <f>SUM(Tabela1[[#This Row],[Budynki]:[Inne opis jakie]])</f>
        <v>242682</v>
      </c>
      <c r="I82" s="75"/>
    </row>
    <row r="83" spans="1:9" s="42" customFormat="1" ht="27">
      <c r="A83" s="69" t="s">
        <v>1483</v>
      </c>
      <c r="B83" s="75"/>
      <c r="C83" s="75"/>
      <c r="D83" s="75">
        <v>13938.869999999999</v>
      </c>
      <c r="E83" s="75">
        <v>130773</v>
      </c>
      <c r="F83" s="75"/>
      <c r="G83" s="75"/>
      <c r="H83" s="75">
        <f>SUM(Tabela1[[#This Row],[Budynki]:[Inne opis jakie]])</f>
        <v>144711.87</v>
      </c>
      <c r="I83" s="75"/>
    </row>
    <row r="84" spans="1:9" s="42" customFormat="1" ht="27">
      <c r="A84" s="69" t="s">
        <v>1484</v>
      </c>
      <c r="B84" s="75"/>
      <c r="C84" s="75"/>
      <c r="D84" s="75">
        <v>11020.36</v>
      </c>
      <c r="E84" s="75">
        <v>130773</v>
      </c>
      <c r="F84" s="75"/>
      <c r="G84" s="75"/>
      <c r="H84" s="75">
        <f>SUM(Tabela1[[#This Row],[Budynki]:[Inne opis jakie]])</f>
        <v>141793.35999999999</v>
      </c>
      <c r="I84" s="75"/>
    </row>
    <row r="85" spans="1:9" s="1" customFormat="1" ht="27">
      <c r="A85" s="69" t="s">
        <v>1485</v>
      </c>
      <c r="B85" s="75"/>
      <c r="C85" s="75"/>
      <c r="D85" s="75">
        <v>1115.07</v>
      </c>
      <c r="E85" s="75">
        <v>130773</v>
      </c>
      <c r="F85" s="75"/>
      <c r="G85" s="75"/>
      <c r="H85" s="75">
        <f>SUM(Tabela1[[#This Row],[Budynki]:[Inne opis jakie]])</f>
        <v>131888.07</v>
      </c>
      <c r="I85" s="75"/>
    </row>
    <row r="86" spans="1:9">
      <c r="A86" s="69" t="s">
        <v>1486</v>
      </c>
      <c r="B86" s="75"/>
      <c r="C86" s="75"/>
      <c r="D86" s="75">
        <v>435.16</v>
      </c>
      <c r="E86" s="75">
        <v>130773</v>
      </c>
      <c r="F86" s="75"/>
      <c r="G86" s="75"/>
      <c r="H86" s="75">
        <f>SUM(Tabela1[[#This Row],[Budynki]:[Inne opis jakie]])</f>
        <v>131208.16</v>
      </c>
      <c r="I86" s="75"/>
    </row>
    <row r="87" spans="1:9">
      <c r="A87" s="69" t="s">
        <v>1487</v>
      </c>
      <c r="B87" s="75">
        <v>7682.95</v>
      </c>
      <c r="C87" s="75"/>
      <c r="D87" s="75">
        <v>0</v>
      </c>
      <c r="E87" s="75">
        <v>0</v>
      </c>
      <c r="F87" s="75"/>
      <c r="G87" s="75"/>
      <c r="H87" s="75">
        <f>SUM(Tabela1[[#This Row],[Budynki]:[Inne opis jakie]])</f>
        <v>7682.95</v>
      </c>
      <c r="I87" s="75"/>
    </row>
    <row r="88" spans="1:9" ht="27">
      <c r="A88" s="69" t="s">
        <v>1854</v>
      </c>
      <c r="B88" s="75">
        <v>2681956.42</v>
      </c>
      <c r="C88" s="75"/>
      <c r="D88" s="75">
        <v>200305.7</v>
      </c>
      <c r="E88" s="75">
        <v>0</v>
      </c>
      <c r="F88" s="75">
        <v>0</v>
      </c>
      <c r="G88" s="75"/>
      <c r="H88" s="75">
        <f>SUM(Tabela1[[#This Row],[Budynki]:[Inne opis jakie]])</f>
        <v>2882262.12</v>
      </c>
      <c r="I88" s="75"/>
    </row>
    <row r="89" spans="1:9" ht="27">
      <c r="A89" s="69" t="s">
        <v>1855</v>
      </c>
      <c r="B89" s="75">
        <v>2238549</v>
      </c>
      <c r="C89" s="75"/>
      <c r="D89" s="75">
        <v>44719</v>
      </c>
      <c r="E89" s="75">
        <v>0</v>
      </c>
      <c r="F89" s="75">
        <v>0</v>
      </c>
      <c r="G89" s="75"/>
      <c r="H89" s="75">
        <f>SUM(Tabela1[[#This Row],[Budynki]:[Inne opis jakie]])</f>
        <v>2283268</v>
      </c>
      <c r="I89" s="75"/>
    </row>
    <row r="90" spans="1:9">
      <c r="A90" s="69"/>
      <c r="B90" s="123">
        <f>SUM([Budynki])</f>
        <v>143564861.17999995</v>
      </c>
      <c r="C90" s="123">
        <f>SUM([Budowle])</f>
        <v>23563622.870000001</v>
      </c>
      <c r="D90" s="123">
        <f>SUM([Maszyny, urządzenia i wyposażenie 1])</f>
        <v>33271437.280000009</v>
      </c>
      <c r="E90" s="123">
        <f>SUM([Księgozbiór])</f>
        <v>3393063.9699999993</v>
      </c>
      <c r="F90" s="123">
        <f>SUM([Inne/ile])</f>
        <v>2628475.54</v>
      </c>
      <c r="G90" s="123">
        <f>SUM([Inne opis jakie])</f>
        <v>0</v>
      </c>
      <c r="H90" s="145">
        <f>SUBTOTAL(109,[Razem])</f>
        <v>206421460.83999994</v>
      </c>
      <c r="I90" s="123"/>
    </row>
    <row r="91" spans="1:9" ht="32.25" customHeight="1">
      <c r="A91" s="3" t="s">
        <v>49</v>
      </c>
      <c r="B91" s="2"/>
      <c r="C91" s="2"/>
      <c r="D91" s="2"/>
      <c r="E91" s="2"/>
      <c r="F91" s="2"/>
      <c r="G91" s="2"/>
      <c r="H91" s="2"/>
      <c r="I91" s="138"/>
    </row>
    <row r="92" spans="1:9" ht="20.25" customHeight="1">
      <c r="A92" s="5" t="s">
        <v>26</v>
      </c>
    </row>
    <row r="93" spans="1:9">
      <c r="A93" s="198" t="s">
        <v>46</v>
      </c>
      <c r="B93" s="198"/>
      <c r="C93" s="198"/>
      <c r="D93" s="198"/>
      <c r="E93" s="198"/>
      <c r="F93" s="198"/>
      <c r="G93" s="198"/>
      <c r="H93" s="198"/>
      <c r="I93" s="139"/>
    </row>
    <row r="94" spans="1:9" ht="16.5">
      <c r="A94" s="197" t="s">
        <v>40</v>
      </c>
      <c r="B94" s="197"/>
      <c r="C94" s="197"/>
      <c r="D94" s="197"/>
      <c r="E94" s="197"/>
      <c r="F94" s="197"/>
      <c r="G94" s="197"/>
      <c r="H94" s="197"/>
      <c r="I94" s="138"/>
    </row>
    <row r="95" spans="1:9" ht="16.5">
      <c r="A95" s="197" t="s">
        <v>45</v>
      </c>
      <c r="B95" s="197"/>
      <c r="C95" s="197"/>
      <c r="D95" s="197"/>
    </row>
    <row r="97" spans="1:4" ht="25.5">
      <c r="A97" s="39"/>
      <c r="B97" s="40"/>
      <c r="C97" s="41"/>
      <c r="D97" s="40"/>
    </row>
  </sheetData>
  <mergeCells count="4">
    <mergeCell ref="A95:D95"/>
    <mergeCell ref="A93:H93"/>
    <mergeCell ref="A94:H94"/>
    <mergeCell ref="A1:L1"/>
  </mergeCells>
  <phoneticPr fontId="0" type="noConversion"/>
  <pageMargins left="0.59055118110236227" right="0.59055118110236227" top="0.98425196850393704" bottom="0.98425196850393704" header="0.51181102362204722" footer="0.51181102362204722"/>
  <pageSetup paperSize="9" scale="73" firstPageNumber="21" orientation="landscape" useFirstPageNumber="1" verticalDpi="300" r:id="rId1"/>
  <headerFooter alignWithMargins="0">
    <oddFooter>&amp;R&amp;P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0"/>
  <sheetViews>
    <sheetView zoomScaleNormal="100" zoomScaleSheetLayoutView="100" workbookViewId="0">
      <selection activeCell="A2" sqref="A2"/>
    </sheetView>
  </sheetViews>
  <sheetFormatPr defaultRowHeight="15"/>
  <cols>
    <col min="1" max="1" width="25.140625" style="15" customWidth="1"/>
    <col min="2" max="2" width="21.5703125" style="16" customWidth="1"/>
    <col min="3" max="3" width="10.5703125" style="15" customWidth="1"/>
    <col min="4" max="4" width="15.42578125" style="15" customWidth="1"/>
    <col min="5" max="5" width="14.85546875" style="17" customWidth="1"/>
    <col min="6" max="6" width="13.28515625" style="13" customWidth="1"/>
    <col min="7" max="7" width="13.85546875" style="15" customWidth="1"/>
    <col min="8" max="8" width="14" style="15" customWidth="1"/>
    <col min="9" max="9" width="16.140625" style="15" customWidth="1"/>
    <col min="10" max="10" width="65.85546875" style="15" customWidth="1"/>
    <col min="11" max="12" width="19.28515625" style="15" customWidth="1"/>
    <col min="13" max="16384" width="9.140625" style="15"/>
  </cols>
  <sheetData>
    <row r="1" spans="1:12" ht="16.5">
      <c r="A1" s="199" t="s">
        <v>1999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2" ht="16.5">
      <c r="A2" s="177" t="s">
        <v>2000</v>
      </c>
      <c r="B2" s="178"/>
      <c r="C2" s="179"/>
      <c r="D2" s="178"/>
      <c r="E2" s="178"/>
      <c r="F2" s="178"/>
      <c r="G2" s="178"/>
      <c r="H2" s="178"/>
      <c r="I2" s="178"/>
      <c r="J2" s="178"/>
      <c r="K2" s="178"/>
      <c r="L2" s="180"/>
    </row>
    <row r="3" spans="1:12" s="14" customFormat="1" ht="38.25">
      <c r="A3" s="86" t="s">
        <v>15</v>
      </c>
      <c r="B3" s="87" t="s">
        <v>16</v>
      </c>
      <c r="C3" s="87" t="s">
        <v>17</v>
      </c>
      <c r="D3" s="87" t="s">
        <v>19</v>
      </c>
      <c r="E3" s="88" t="s">
        <v>21</v>
      </c>
      <c r="F3" s="80" t="s">
        <v>18</v>
      </c>
      <c r="G3" s="87" t="s">
        <v>30</v>
      </c>
      <c r="H3" s="87" t="s">
        <v>31</v>
      </c>
      <c r="I3" s="87" t="s">
        <v>20</v>
      </c>
      <c r="J3" s="87" t="s">
        <v>47</v>
      </c>
      <c r="K3" s="89" t="s">
        <v>263</v>
      </c>
      <c r="L3" s="90" t="s">
        <v>264</v>
      </c>
    </row>
    <row r="4" spans="1:12" s="14" customFormat="1" ht="267.75">
      <c r="A4" s="45" t="s">
        <v>1551</v>
      </c>
      <c r="B4" s="45" t="s">
        <v>1552</v>
      </c>
      <c r="C4" s="45" t="s">
        <v>1553</v>
      </c>
      <c r="D4" s="45">
        <v>5</v>
      </c>
      <c r="E4" s="68" t="s">
        <v>1554</v>
      </c>
      <c r="F4" s="46">
        <v>4685923.0999999996</v>
      </c>
      <c r="G4" s="45" t="s">
        <v>139</v>
      </c>
      <c r="H4" s="45" t="s">
        <v>1555</v>
      </c>
      <c r="I4" s="45" t="s">
        <v>1556</v>
      </c>
      <c r="J4" s="45" t="s">
        <v>1557</v>
      </c>
      <c r="K4" s="47" t="s">
        <v>1558</v>
      </c>
      <c r="L4" s="47">
        <v>4</v>
      </c>
    </row>
    <row r="5" spans="1:12" s="14" customFormat="1" ht="242.25">
      <c r="A5" s="45" t="s">
        <v>1551</v>
      </c>
      <c r="B5" s="45" t="s">
        <v>1559</v>
      </c>
      <c r="C5" s="45" t="s">
        <v>1560</v>
      </c>
      <c r="D5" s="45">
        <v>4</v>
      </c>
      <c r="E5" s="68" t="s">
        <v>1561</v>
      </c>
      <c r="F5" s="46">
        <v>645470.57999999996</v>
      </c>
      <c r="G5" s="45" t="s">
        <v>139</v>
      </c>
      <c r="H5" s="45" t="s">
        <v>1555</v>
      </c>
      <c r="I5" s="45" t="s">
        <v>1556</v>
      </c>
      <c r="J5" s="45" t="s">
        <v>1562</v>
      </c>
      <c r="K5" s="47" t="s">
        <v>1287</v>
      </c>
      <c r="L5" s="47" t="s">
        <v>1563</v>
      </c>
    </row>
    <row r="6" spans="1:12" s="14" customFormat="1" ht="242.25">
      <c r="A6" s="45" t="s">
        <v>1551</v>
      </c>
      <c r="B6" s="45" t="s">
        <v>1564</v>
      </c>
      <c r="C6" s="45" t="s">
        <v>1565</v>
      </c>
      <c r="D6" s="45">
        <v>3</v>
      </c>
      <c r="E6" s="68" t="s">
        <v>1566</v>
      </c>
      <c r="F6" s="46">
        <v>21446.36</v>
      </c>
      <c r="G6" s="45" t="s">
        <v>139</v>
      </c>
      <c r="H6" s="45" t="s">
        <v>1555</v>
      </c>
      <c r="I6" s="45" t="s">
        <v>1567</v>
      </c>
      <c r="J6" s="45" t="s">
        <v>1568</v>
      </c>
      <c r="K6" s="47" t="s">
        <v>323</v>
      </c>
      <c r="L6" s="47" t="s">
        <v>1563</v>
      </c>
    </row>
    <row r="7" spans="1:12" s="14" customFormat="1" ht="165.75">
      <c r="A7" s="45" t="s">
        <v>1551</v>
      </c>
      <c r="B7" s="45" t="s">
        <v>1569</v>
      </c>
      <c r="C7" s="45" t="s">
        <v>1570</v>
      </c>
      <c r="D7" s="45">
        <v>1</v>
      </c>
      <c r="E7" s="68" t="s">
        <v>1571</v>
      </c>
      <c r="F7" s="46">
        <v>156771.72</v>
      </c>
      <c r="G7" s="45" t="s">
        <v>1572</v>
      </c>
      <c r="H7" s="45" t="s">
        <v>1573</v>
      </c>
      <c r="I7" s="45" t="s">
        <v>1574</v>
      </c>
      <c r="J7" s="45" t="s">
        <v>1575</v>
      </c>
      <c r="K7" s="47" t="s">
        <v>530</v>
      </c>
      <c r="L7" s="47" t="s">
        <v>1563</v>
      </c>
    </row>
    <row r="8" spans="1:12" s="14" customFormat="1" ht="204">
      <c r="A8" s="45" t="s">
        <v>1551</v>
      </c>
      <c r="B8" s="45" t="s">
        <v>1576</v>
      </c>
      <c r="C8" s="45" t="s">
        <v>1577</v>
      </c>
      <c r="D8" s="45">
        <v>3</v>
      </c>
      <c r="E8" s="68" t="s">
        <v>1578</v>
      </c>
      <c r="F8" s="46">
        <v>1598481.21</v>
      </c>
      <c r="G8" s="45" t="s">
        <v>650</v>
      </c>
      <c r="H8" s="45" t="s">
        <v>635</v>
      </c>
      <c r="I8" s="45" t="s">
        <v>321</v>
      </c>
      <c r="J8" s="45" t="s">
        <v>1579</v>
      </c>
      <c r="K8" s="47">
        <v>7</v>
      </c>
      <c r="L8" s="47" t="s">
        <v>326</v>
      </c>
    </row>
    <row r="9" spans="1:12" s="14" customFormat="1" ht="25.5">
      <c r="A9" s="45" t="s">
        <v>1551</v>
      </c>
      <c r="B9" s="128" t="s">
        <v>1632</v>
      </c>
      <c r="C9" s="128"/>
      <c r="D9" s="128"/>
      <c r="E9" s="129"/>
      <c r="F9" s="130"/>
      <c r="G9" s="128"/>
      <c r="H9" s="128"/>
      <c r="I9" s="128"/>
      <c r="J9" s="128"/>
      <c r="K9" s="131"/>
      <c r="L9" s="131"/>
    </row>
    <row r="10" spans="1:12" s="14" customFormat="1" ht="25.5">
      <c r="A10" s="45" t="s">
        <v>1551</v>
      </c>
      <c r="B10" s="128" t="s">
        <v>1633</v>
      </c>
      <c r="C10" s="128"/>
      <c r="D10" s="128"/>
      <c r="E10" s="129"/>
      <c r="F10" s="130"/>
      <c r="G10" s="128"/>
      <c r="H10" s="128"/>
      <c r="I10" s="128"/>
      <c r="J10" s="128"/>
      <c r="K10" s="131"/>
      <c r="L10" s="131"/>
    </row>
    <row r="11" spans="1:12" s="14" customFormat="1" ht="25.5">
      <c r="A11" s="45" t="s">
        <v>1551</v>
      </c>
      <c r="B11" s="128" t="s">
        <v>1634</v>
      </c>
      <c r="C11" s="128"/>
      <c r="D11" s="128"/>
      <c r="E11" s="129"/>
      <c r="F11" s="130"/>
      <c r="G11" s="128"/>
      <c r="H11" s="128"/>
      <c r="I11" s="128"/>
      <c r="J11" s="128"/>
      <c r="K11" s="131"/>
      <c r="L11" s="131"/>
    </row>
    <row r="12" spans="1:12" s="14" customFormat="1" ht="25.5">
      <c r="A12" s="45" t="s">
        <v>1551</v>
      </c>
      <c r="B12" s="128" t="s">
        <v>1635</v>
      </c>
      <c r="C12" s="128"/>
      <c r="D12" s="128"/>
      <c r="E12" s="129"/>
      <c r="F12" s="130"/>
      <c r="G12" s="128"/>
      <c r="H12" s="128"/>
      <c r="I12" s="128"/>
      <c r="J12" s="128"/>
      <c r="K12" s="131"/>
      <c r="L12" s="131"/>
    </row>
    <row r="13" spans="1:12" s="14" customFormat="1" ht="25.5">
      <c r="A13" s="45" t="s">
        <v>1551</v>
      </c>
      <c r="B13" s="128" t="s">
        <v>1636</v>
      </c>
      <c r="C13" s="128"/>
      <c r="D13" s="128"/>
      <c r="E13" s="129"/>
      <c r="F13" s="130"/>
      <c r="G13" s="128"/>
      <c r="H13" s="128"/>
      <c r="I13" s="128"/>
      <c r="J13" s="128"/>
      <c r="K13" s="131"/>
      <c r="L13" s="131"/>
    </row>
    <row r="14" spans="1:12" s="14" customFormat="1" ht="25.5">
      <c r="A14" s="45" t="s">
        <v>1551</v>
      </c>
      <c r="B14" s="128" t="s">
        <v>1637</v>
      </c>
      <c r="C14" s="128"/>
      <c r="D14" s="128"/>
      <c r="E14" s="129"/>
      <c r="F14" s="130"/>
      <c r="G14" s="128"/>
      <c r="H14" s="128"/>
      <c r="I14" s="128"/>
      <c r="J14" s="128"/>
      <c r="K14" s="131"/>
      <c r="L14" s="131"/>
    </row>
    <row r="15" spans="1:12" s="14" customFormat="1" ht="25.5">
      <c r="A15" s="45" t="s">
        <v>1551</v>
      </c>
      <c r="B15" s="128" t="s">
        <v>1638</v>
      </c>
      <c r="C15" s="128"/>
      <c r="D15" s="128"/>
      <c r="E15" s="129"/>
      <c r="F15" s="130"/>
      <c r="G15" s="128"/>
      <c r="H15" s="128"/>
      <c r="I15" s="128"/>
      <c r="J15" s="128"/>
      <c r="K15" s="131"/>
      <c r="L15" s="131"/>
    </row>
    <row r="16" spans="1:12" s="14" customFormat="1" ht="51">
      <c r="A16" s="45" t="s">
        <v>1551</v>
      </c>
      <c r="B16" s="45" t="s">
        <v>1614</v>
      </c>
      <c r="C16" s="45" t="s">
        <v>1615</v>
      </c>
      <c r="D16" s="45" t="s">
        <v>1616</v>
      </c>
      <c r="E16" s="129"/>
      <c r="F16" s="130"/>
      <c r="G16" s="128"/>
      <c r="H16" s="128"/>
      <c r="I16" s="128"/>
      <c r="J16" s="128"/>
      <c r="K16" s="131"/>
      <c r="L16" s="131"/>
    </row>
    <row r="17" spans="1:12" s="14" customFormat="1" ht="25.5">
      <c r="A17" s="45" t="s">
        <v>1551</v>
      </c>
      <c r="B17" s="45" t="s">
        <v>1617</v>
      </c>
      <c r="C17" s="45" t="s">
        <v>1618</v>
      </c>
      <c r="D17" s="45" t="s">
        <v>1619</v>
      </c>
      <c r="E17" s="129"/>
      <c r="F17" s="130"/>
      <c r="G17" s="128"/>
      <c r="H17" s="128"/>
      <c r="I17" s="128"/>
      <c r="J17" s="128"/>
      <c r="K17" s="131"/>
      <c r="L17" s="131"/>
    </row>
    <row r="18" spans="1:12" s="14" customFormat="1" ht="25.5">
      <c r="A18" s="45" t="s">
        <v>1551</v>
      </c>
      <c r="B18" s="45" t="s">
        <v>1620</v>
      </c>
      <c r="C18" s="45" t="s">
        <v>1621</v>
      </c>
      <c r="D18" s="45" t="s">
        <v>1622</v>
      </c>
      <c r="E18" s="129"/>
      <c r="F18" s="130"/>
      <c r="G18" s="128"/>
      <c r="H18" s="128"/>
      <c r="I18" s="128"/>
      <c r="J18" s="128"/>
      <c r="K18" s="131"/>
      <c r="L18" s="131"/>
    </row>
    <row r="19" spans="1:12" s="14" customFormat="1" ht="38.25">
      <c r="A19" s="45" t="s">
        <v>1551</v>
      </c>
      <c r="B19" s="45"/>
      <c r="C19" s="45" t="s">
        <v>1623</v>
      </c>
      <c r="D19" s="45" t="s">
        <v>1624</v>
      </c>
      <c r="E19" s="129"/>
      <c r="F19" s="130"/>
      <c r="G19" s="128"/>
      <c r="H19" s="128"/>
      <c r="I19" s="128"/>
      <c r="J19" s="128"/>
      <c r="K19" s="131"/>
      <c r="L19" s="131"/>
    </row>
    <row r="20" spans="1:12" s="14" customFormat="1" ht="38.25">
      <c r="A20" s="45" t="s">
        <v>1551</v>
      </c>
      <c r="B20" s="45"/>
      <c r="C20" s="45" t="s">
        <v>1625</v>
      </c>
      <c r="D20" s="45" t="s">
        <v>1624</v>
      </c>
      <c r="E20" s="129"/>
      <c r="F20" s="130"/>
      <c r="G20" s="128"/>
      <c r="H20" s="128"/>
      <c r="I20" s="128"/>
      <c r="J20" s="128"/>
      <c r="K20" s="131"/>
      <c r="L20" s="131"/>
    </row>
    <row r="21" spans="1:12" s="14" customFormat="1" ht="38.25">
      <c r="A21" s="45" t="s">
        <v>1551</v>
      </c>
      <c r="B21" s="45"/>
      <c r="C21" s="45" t="s">
        <v>1626</v>
      </c>
      <c r="D21" s="45" t="s">
        <v>1627</v>
      </c>
      <c r="E21" s="129"/>
      <c r="F21" s="130"/>
      <c r="G21" s="128"/>
      <c r="H21" s="128"/>
      <c r="I21" s="128"/>
      <c r="J21" s="128"/>
      <c r="K21" s="131"/>
      <c r="L21" s="131"/>
    </row>
    <row r="22" spans="1:12" s="14" customFormat="1" ht="38.25">
      <c r="A22" s="45" t="s">
        <v>1551</v>
      </c>
      <c r="B22" s="45" t="s">
        <v>1628</v>
      </c>
      <c r="C22" s="45" t="s">
        <v>1629</v>
      </c>
      <c r="D22" s="45" t="s">
        <v>1630</v>
      </c>
      <c r="E22" s="129"/>
      <c r="F22" s="130"/>
      <c r="G22" s="128"/>
      <c r="H22" s="128"/>
      <c r="I22" s="128"/>
      <c r="J22" s="128"/>
      <c r="K22" s="131"/>
      <c r="L22" s="131"/>
    </row>
    <row r="23" spans="1:12" s="14" customFormat="1" ht="38.25">
      <c r="A23" s="45" t="s">
        <v>1551</v>
      </c>
      <c r="B23" s="45"/>
      <c r="C23" s="45" t="s">
        <v>1631</v>
      </c>
      <c r="D23" s="45" t="s">
        <v>1622</v>
      </c>
      <c r="E23" s="129"/>
      <c r="F23" s="130"/>
      <c r="G23" s="128"/>
      <c r="H23" s="128"/>
      <c r="I23" s="128"/>
      <c r="J23" s="128"/>
      <c r="K23" s="131"/>
      <c r="L23" s="131"/>
    </row>
    <row r="24" spans="1:12" s="14" customFormat="1" ht="25.5">
      <c r="A24" s="45" t="s">
        <v>1580</v>
      </c>
      <c r="B24" s="45" t="s">
        <v>1581</v>
      </c>
      <c r="C24" s="45">
        <v>2009</v>
      </c>
      <c r="D24" s="45">
        <v>1</v>
      </c>
      <c r="E24" s="68">
        <v>154.30000000000001</v>
      </c>
      <c r="F24" s="46">
        <v>485059.31</v>
      </c>
      <c r="G24" s="45" t="s">
        <v>160</v>
      </c>
      <c r="H24" s="45" t="s">
        <v>1582</v>
      </c>
      <c r="I24" s="45" t="s">
        <v>1443</v>
      </c>
      <c r="J24" s="45" t="s">
        <v>219</v>
      </c>
      <c r="K24" s="47" t="s">
        <v>99</v>
      </c>
      <c r="L24" s="47"/>
    </row>
    <row r="25" spans="1:12" s="14" customFormat="1" ht="25.5">
      <c r="A25" s="45" t="s">
        <v>1583</v>
      </c>
      <c r="B25" s="45" t="s">
        <v>1584</v>
      </c>
      <c r="C25" s="45" t="s">
        <v>219</v>
      </c>
      <c r="D25" s="45">
        <v>2</v>
      </c>
      <c r="E25" s="68">
        <v>140</v>
      </c>
      <c r="F25" s="46">
        <v>64382.9</v>
      </c>
      <c r="G25" s="45" t="s">
        <v>1283</v>
      </c>
      <c r="H25" s="45" t="s">
        <v>340</v>
      </c>
      <c r="I25" s="45" t="s">
        <v>100</v>
      </c>
      <c r="J25" s="45" t="s">
        <v>1585</v>
      </c>
      <c r="K25" s="47" t="s">
        <v>219</v>
      </c>
      <c r="L25" s="47" t="s">
        <v>219</v>
      </c>
    </row>
    <row r="26" spans="1:12" s="14" customFormat="1" ht="12.75">
      <c r="A26" s="45" t="s">
        <v>859</v>
      </c>
      <c r="B26" s="45" t="s">
        <v>1586</v>
      </c>
      <c r="C26" s="45">
        <v>2011</v>
      </c>
      <c r="D26" s="45" t="s">
        <v>219</v>
      </c>
      <c r="E26" s="68">
        <v>22.75</v>
      </c>
      <c r="F26" s="46">
        <v>6000</v>
      </c>
      <c r="G26" s="45" t="s">
        <v>1587</v>
      </c>
      <c r="H26" s="45" t="s">
        <v>1587</v>
      </c>
      <c r="I26" s="45" t="s">
        <v>1587</v>
      </c>
      <c r="J26" s="45" t="s">
        <v>219</v>
      </c>
      <c r="K26" s="47" t="s">
        <v>219</v>
      </c>
      <c r="L26" s="47" t="s">
        <v>219</v>
      </c>
    </row>
    <row r="27" spans="1:12" s="14" customFormat="1" ht="38.25">
      <c r="A27" s="45"/>
      <c r="B27" s="45" t="s">
        <v>1588</v>
      </c>
      <c r="C27" s="45">
        <v>1962</v>
      </c>
      <c r="D27" s="45">
        <v>5</v>
      </c>
      <c r="E27" s="68" t="s">
        <v>1590</v>
      </c>
      <c r="F27" s="46">
        <v>1111500</v>
      </c>
      <c r="G27" s="45" t="s">
        <v>139</v>
      </c>
      <c r="H27" s="45" t="s">
        <v>1591</v>
      </c>
      <c r="I27" s="45" t="s">
        <v>100</v>
      </c>
      <c r="J27" s="45" t="s">
        <v>1589</v>
      </c>
      <c r="K27" s="47" t="s">
        <v>503</v>
      </c>
      <c r="L27" s="47" t="s">
        <v>1592</v>
      </c>
    </row>
    <row r="28" spans="1:12" s="14" customFormat="1" ht="25.5">
      <c r="A28" s="45"/>
      <c r="B28" s="45" t="s">
        <v>1593</v>
      </c>
      <c r="C28" s="45" t="s">
        <v>1594</v>
      </c>
      <c r="D28" s="45">
        <v>1</v>
      </c>
      <c r="E28" s="68" t="s">
        <v>1595</v>
      </c>
      <c r="F28" s="46"/>
      <c r="G28" s="45" t="s">
        <v>139</v>
      </c>
      <c r="H28" s="45" t="s">
        <v>1591</v>
      </c>
      <c r="I28" s="45" t="s">
        <v>100</v>
      </c>
      <c r="J28" s="45" t="s">
        <v>108</v>
      </c>
      <c r="K28" s="47" t="s">
        <v>108</v>
      </c>
      <c r="L28" s="47" t="s">
        <v>1592</v>
      </c>
    </row>
    <row r="29" spans="1:12" s="14" customFormat="1" ht="25.5">
      <c r="A29" s="45"/>
      <c r="B29" s="45" t="s">
        <v>1596</v>
      </c>
      <c r="C29" s="45" t="s">
        <v>1594</v>
      </c>
      <c r="D29" s="45">
        <v>1</v>
      </c>
      <c r="E29" s="68" t="s">
        <v>1597</v>
      </c>
      <c r="F29" s="46"/>
      <c r="G29" s="45" t="s">
        <v>139</v>
      </c>
      <c r="H29" s="45" t="s">
        <v>1591</v>
      </c>
      <c r="I29" s="45" t="s">
        <v>1598</v>
      </c>
      <c r="J29" s="45" t="s">
        <v>108</v>
      </c>
      <c r="K29" s="47" t="s">
        <v>108</v>
      </c>
      <c r="L29" s="47" t="s">
        <v>1592</v>
      </c>
    </row>
    <row r="30" spans="1:12" s="14" customFormat="1" ht="25.5">
      <c r="A30" s="45"/>
      <c r="B30" s="45" t="s">
        <v>1599</v>
      </c>
      <c r="C30" s="45" t="s">
        <v>1594</v>
      </c>
      <c r="D30" s="45">
        <v>1</v>
      </c>
      <c r="E30" s="68" t="s">
        <v>1600</v>
      </c>
      <c r="F30" s="46"/>
      <c r="G30" s="45" t="s">
        <v>139</v>
      </c>
      <c r="H30" s="45" t="s">
        <v>1591</v>
      </c>
      <c r="I30" s="45" t="s">
        <v>1598</v>
      </c>
      <c r="J30" s="45" t="s">
        <v>108</v>
      </c>
      <c r="K30" s="47" t="s">
        <v>108</v>
      </c>
      <c r="L30" s="47" t="s">
        <v>1592</v>
      </c>
    </row>
    <row r="31" spans="1:12" s="14" customFormat="1" ht="25.5">
      <c r="A31" s="45"/>
      <c r="B31" s="45" t="s">
        <v>1601</v>
      </c>
      <c r="C31" s="45" t="s">
        <v>1594</v>
      </c>
      <c r="D31" s="45">
        <v>1</v>
      </c>
      <c r="E31" s="68" t="s">
        <v>1602</v>
      </c>
      <c r="F31" s="46"/>
      <c r="G31" s="45" t="s">
        <v>1603</v>
      </c>
      <c r="H31" s="45" t="s">
        <v>1603</v>
      </c>
      <c r="I31" s="45" t="s">
        <v>1603</v>
      </c>
      <c r="J31" s="45" t="s">
        <v>108</v>
      </c>
      <c r="K31" s="47" t="s">
        <v>108</v>
      </c>
      <c r="L31" s="47" t="s">
        <v>108</v>
      </c>
    </row>
    <row r="32" spans="1:12" s="14" customFormat="1" ht="12.75">
      <c r="A32" s="45"/>
      <c r="B32" s="45" t="s">
        <v>1604</v>
      </c>
      <c r="C32" s="45"/>
      <c r="D32" s="45">
        <v>1</v>
      </c>
      <c r="E32" s="68" t="s">
        <v>1605</v>
      </c>
      <c r="F32" s="46">
        <v>56000</v>
      </c>
      <c r="G32" s="45" t="s">
        <v>139</v>
      </c>
      <c r="H32" s="45" t="s">
        <v>107</v>
      </c>
      <c r="I32" s="45" t="s">
        <v>100</v>
      </c>
      <c r="J32" s="45" t="s">
        <v>108</v>
      </c>
      <c r="K32" s="47" t="s">
        <v>108</v>
      </c>
      <c r="L32" s="47" t="s">
        <v>1592</v>
      </c>
    </row>
    <row r="33" spans="1:12" s="14" customFormat="1" ht="12.75">
      <c r="A33" s="45"/>
      <c r="B33" s="45" t="s">
        <v>1606</v>
      </c>
      <c r="C33" s="45"/>
      <c r="D33" s="45">
        <v>1</v>
      </c>
      <c r="E33" s="68" t="s">
        <v>1607</v>
      </c>
      <c r="F33" s="46"/>
      <c r="G33" s="45" t="s">
        <v>107</v>
      </c>
      <c r="H33" s="45" t="s">
        <v>107</v>
      </c>
      <c r="I33" s="45" t="s">
        <v>100</v>
      </c>
      <c r="J33" s="45" t="s">
        <v>108</v>
      </c>
      <c r="K33" s="47" t="s">
        <v>108</v>
      </c>
      <c r="L33" s="47" t="s">
        <v>1592</v>
      </c>
    </row>
    <row r="34" spans="1:12" s="14" customFormat="1" ht="25.5">
      <c r="A34" s="45"/>
      <c r="B34" s="45" t="s">
        <v>1608</v>
      </c>
      <c r="C34" s="45"/>
      <c r="D34" s="45">
        <v>2</v>
      </c>
      <c r="E34" s="68" t="s">
        <v>1609</v>
      </c>
      <c r="F34" s="46">
        <v>77000</v>
      </c>
      <c r="G34" s="45" t="s">
        <v>139</v>
      </c>
      <c r="H34" s="45" t="s">
        <v>107</v>
      </c>
      <c r="I34" s="45" t="s">
        <v>100</v>
      </c>
      <c r="J34" s="45" t="s">
        <v>108</v>
      </c>
      <c r="K34" s="47" t="s">
        <v>108</v>
      </c>
      <c r="L34" s="47" t="s">
        <v>1592</v>
      </c>
    </row>
    <row r="35" spans="1:12" s="14" customFormat="1" ht="12.75">
      <c r="A35" s="45"/>
      <c r="B35" s="45" t="s">
        <v>1610</v>
      </c>
      <c r="C35" s="45" t="s">
        <v>859</v>
      </c>
      <c r="D35" s="45">
        <v>1</v>
      </c>
      <c r="E35" s="68" t="s">
        <v>1611</v>
      </c>
      <c r="F35" s="46">
        <v>14256.23</v>
      </c>
      <c r="G35" s="45" t="s">
        <v>1612</v>
      </c>
      <c r="H35" s="45" t="s">
        <v>1573</v>
      </c>
      <c r="I35" s="45" t="s">
        <v>1613</v>
      </c>
      <c r="J35" s="45"/>
      <c r="K35" s="47" t="s">
        <v>99</v>
      </c>
      <c r="L35" s="47" t="s">
        <v>1563</v>
      </c>
    </row>
    <row r="36" spans="1:12" s="14" customFormat="1" ht="191.25">
      <c r="A36" s="45" t="s">
        <v>1639</v>
      </c>
      <c r="B36" s="45" t="s">
        <v>1639</v>
      </c>
      <c r="C36" s="45" t="s">
        <v>1640</v>
      </c>
      <c r="D36" s="45" t="s">
        <v>1641</v>
      </c>
      <c r="E36" s="68" t="s">
        <v>1642</v>
      </c>
      <c r="F36" s="46">
        <v>890961.81</v>
      </c>
      <c r="G36" s="45" t="s">
        <v>1643</v>
      </c>
      <c r="H36" s="45" t="s">
        <v>1644</v>
      </c>
      <c r="I36" s="45" t="s">
        <v>1645</v>
      </c>
      <c r="J36" s="45" t="s">
        <v>1646</v>
      </c>
      <c r="K36" s="47" t="s">
        <v>784</v>
      </c>
      <c r="L36" s="47" t="s">
        <v>1592</v>
      </c>
    </row>
    <row r="37" spans="1:12" s="14" customFormat="1" ht="357">
      <c r="A37" s="45" t="s">
        <v>1647</v>
      </c>
      <c r="B37" s="45" t="s">
        <v>1647</v>
      </c>
      <c r="C37" s="45" t="s">
        <v>1648</v>
      </c>
      <c r="D37" s="45" t="s">
        <v>1649</v>
      </c>
      <c r="E37" s="68" t="s">
        <v>1650</v>
      </c>
      <c r="F37" s="46">
        <v>3680002.88</v>
      </c>
      <c r="G37" s="45" t="s">
        <v>1651</v>
      </c>
      <c r="H37" s="45" t="s">
        <v>1652</v>
      </c>
      <c r="I37" s="45" t="s">
        <v>1653</v>
      </c>
      <c r="J37" s="45" t="s">
        <v>1654</v>
      </c>
      <c r="K37" s="47" t="s">
        <v>240</v>
      </c>
      <c r="L37" s="47" t="s">
        <v>1655</v>
      </c>
    </row>
    <row r="38" spans="1:12" s="14" customFormat="1" ht="76.5">
      <c r="A38" s="45" t="s">
        <v>1656</v>
      </c>
      <c r="B38" s="45" t="s">
        <v>1656</v>
      </c>
      <c r="C38" s="45" t="s">
        <v>1657</v>
      </c>
      <c r="D38" s="45" t="s">
        <v>1658</v>
      </c>
      <c r="E38" s="68" t="s">
        <v>1659</v>
      </c>
      <c r="F38" s="46">
        <v>560123.61</v>
      </c>
      <c r="G38" s="45" t="s">
        <v>1660</v>
      </c>
      <c r="H38" s="45" t="s">
        <v>1661</v>
      </c>
      <c r="I38" s="45" t="s">
        <v>1662</v>
      </c>
      <c r="J38" s="45"/>
      <c r="K38" s="47" t="s">
        <v>1663</v>
      </c>
      <c r="L38" s="47" t="s">
        <v>1664</v>
      </c>
    </row>
    <row r="39" spans="1:12" s="14" customFormat="1" ht="191.25">
      <c r="A39" s="45" t="s">
        <v>1665</v>
      </c>
      <c r="B39" s="45" t="s">
        <v>1665</v>
      </c>
      <c r="C39" s="45" t="s">
        <v>1666</v>
      </c>
      <c r="D39" s="117" t="s">
        <v>1891</v>
      </c>
      <c r="E39" s="68" t="s">
        <v>1892</v>
      </c>
      <c r="F39" s="46">
        <v>1248884.03</v>
      </c>
      <c r="G39" s="45" t="s">
        <v>1667</v>
      </c>
      <c r="H39" s="45" t="s">
        <v>1668</v>
      </c>
      <c r="I39" s="45" t="s">
        <v>1669</v>
      </c>
      <c r="J39" s="45" t="s">
        <v>1670</v>
      </c>
      <c r="K39" s="47" t="s">
        <v>1671</v>
      </c>
      <c r="L39" s="47" t="s">
        <v>1672</v>
      </c>
    </row>
    <row r="40" spans="1:12" s="14" customFormat="1" ht="114.75">
      <c r="A40" s="128" t="s">
        <v>524</v>
      </c>
      <c r="B40" s="128" t="s">
        <v>525</v>
      </c>
      <c r="C40" s="128">
        <v>1942</v>
      </c>
      <c r="D40" s="128">
        <v>1</v>
      </c>
      <c r="E40" s="129" t="s">
        <v>526</v>
      </c>
      <c r="F40" s="130">
        <v>136302.35</v>
      </c>
      <c r="G40" s="128" t="s">
        <v>527</v>
      </c>
      <c r="H40" s="128" t="s">
        <v>528</v>
      </c>
      <c r="I40" s="128" t="s">
        <v>98</v>
      </c>
      <c r="J40" s="128" t="s">
        <v>529</v>
      </c>
      <c r="K40" s="131" t="s">
        <v>530</v>
      </c>
      <c r="L40" s="131">
        <v>3</v>
      </c>
    </row>
    <row r="41" spans="1:12" s="14" customFormat="1" ht="267.75">
      <c r="A41" s="128" t="s">
        <v>524</v>
      </c>
      <c r="B41" s="128" t="s">
        <v>531</v>
      </c>
      <c r="C41" s="128">
        <v>1954</v>
      </c>
      <c r="D41" s="128">
        <v>2</v>
      </c>
      <c r="E41" s="129" t="s">
        <v>532</v>
      </c>
      <c r="F41" s="130">
        <v>212996.37</v>
      </c>
      <c r="G41" s="128" t="s">
        <v>533</v>
      </c>
      <c r="H41" s="128" t="s">
        <v>534</v>
      </c>
      <c r="I41" s="128" t="s">
        <v>98</v>
      </c>
      <c r="J41" s="128" t="s">
        <v>535</v>
      </c>
      <c r="K41" s="131" t="s">
        <v>503</v>
      </c>
      <c r="L41" s="131">
        <v>2</v>
      </c>
    </row>
    <row r="42" spans="1:12" s="14" customFormat="1" ht="293.25">
      <c r="A42" s="128" t="s">
        <v>524</v>
      </c>
      <c r="B42" s="128" t="s">
        <v>536</v>
      </c>
      <c r="C42" s="128">
        <v>1951</v>
      </c>
      <c r="D42" s="128">
        <v>2</v>
      </c>
      <c r="E42" s="129" t="s">
        <v>537</v>
      </c>
      <c r="F42" s="130">
        <v>186107.93</v>
      </c>
      <c r="G42" s="128" t="s">
        <v>538</v>
      </c>
      <c r="H42" s="128" t="s">
        <v>534</v>
      </c>
      <c r="I42" s="128" t="s">
        <v>98</v>
      </c>
      <c r="J42" s="128" t="s">
        <v>539</v>
      </c>
      <c r="K42" s="131" t="s">
        <v>503</v>
      </c>
      <c r="L42" s="131">
        <v>2</v>
      </c>
    </row>
    <row r="43" spans="1:12" s="14" customFormat="1" ht="25.5">
      <c r="A43" s="45" t="s">
        <v>1951</v>
      </c>
      <c r="B43" s="45" t="s">
        <v>1952</v>
      </c>
      <c r="C43" s="45">
        <v>1958</v>
      </c>
      <c r="D43" s="45">
        <v>2</v>
      </c>
      <c r="E43" s="68">
        <v>700</v>
      </c>
      <c r="F43" s="46">
        <v>253254.76</v>
      </c>
      <c r="G43" s="45" t="s">
        <v>97</v>
      </c>
      <c r="H43" s="45" t="s">
        <v>1860</v>
      </c>
      <c r="I43" s="45" t="s">
        <v>563</v>
      </c>
      <c r="J43" s="45" t="s">
        <v>1953</v>
      </c>
      <c r="K43" s="47" t="s">
        <v>637</v>
      </c>
      <c r="L43" s="47">
        <v>4</v>
      </c>
    </row>
    <row r="44" spans="1:12" s="14" customFormat="1" ht="25.5">
      <c r="A44" s="45" t="s">
        <v>1951</v>
      </c>
      <c r="B44" s="45" t="s">
        <v>1954</v>
      </c>
      <c r="C44" s="45">
        <v>1951</v>
      </c>
      <c r="D44" s="45">
        <v>3</v>
      </c>
      <c r="E44" s="68">
        <v>628</v>
      </c>
      <c r="F44" s="46">
        <v>145552.98000000001</v>
      </c>
      <c r="G44" s="45" t="s">
        <v>97</v>
      </c>
      <c r="H44" s="45" t="s">
        <v>1955</v>
      </c>
      <c r="I44" s="45" t="s">
        <v>100</v>
      </c>
      <c r="J44" s="45" t="s">
        <v>1956</v>
      </c>
      <c r="K44" s="47" t="s">
        <v>503</v>
      </c>
      <c r="L44" s="47">
        <v>3</v>
      </c>
    </row>
    <row r="45" spans="1:12" s="14" customFormat="1" ht="30">
      <c r="A45" s="45" t="s">
        <v>1951</v>
      </c>
      <c r="B45" s="74" t="s">
        <v>1957</v>
      </c>
      <c r="C45" s="45"/>
      <c r="D45" s="45"/>
      <c r="E45" s="68"/>
      <c r="F45" s="125">
        <v>25196.959999999999</v>
      </c>
      <c r="G45" s="45"/>
      <c r="H45" s="45"/>
      <c r="I45" s="45"/>
      <c r="J45" s="45"/>
      <c r="K45" s="47"/>
      <c r="L45" s="47"/>
    </row>
    <row r="46" spans="1:12" s="14" customFormat="1" ht="30">
      <c r="A46" s="45" t="s">
        <v>1951</v>
      </c>
      <c r="B46" s="74" t="s">
        <v>1958</v>
      </c>
      <c r="C46" s="45"/>
      <c r="D46" s="45"/>
      <c r="E46" s="68"/>
      <c r="F46" s="125">
        <v>12993</v>
      </c>
      <c r="G46" s="45"/>
      <c r="H46" s="45"/>
      <c r="I46" s="45"/>
      <c r="J46" s="45"/>
      <c r="K46" s="47"/>
      <c r="L46" s="47"/>
    </row>
    <row r="47" spans="1:12" s="14" customFormat="1" ht="30">
      <c r="A47" s="45" t="s">
        <v>1951</v>
      </c>
      <c r="B47" s="74" t="s">
        <v>1960</v>
      </c>
      <c r="C47" s="45"/>
      <c r="D47" s="45"/>
      <c r="E47" s="68"/>
      <c r="F47" s="125">
        <v>4235.76</v>
      </c>
      <c r="G47" s="45"/>
      <c r="H47" s="45"/>
      <c r="I47" s="45"/>
      <c r="J47" s="45"/>
      <c r="K47" s="47"/>
      <c r="L47" s="47"/>
    </row>
    <row r="48" spans="1:12" s="14" customFormat="1" ht="30">
      <c r="A48" s="45" t="s">
        <v>1951</v>
      </c>
      <c r="B48" s="74" t="s">
        <v>1959</v>
      </c>
      <c r="C48" s="45"/>
      <c r="D48" s="45"/>
      <c r="E48" s="68"/>
      <c r="F48" s="125">
        <v>12139</v>
      </c>
      <c r="G48" s="45"/>
      <c r="H48" s="45"/>
      <c r="I48" s="45"/>
      <c r="J48" s="45"/>
      <c r="K48" s="47"/>
      <c r="L48" s="47"/>
    </row>
    <row r="49" spans="1:12" s="14" customFormat="1" ht="165.75">
      <c r="A49" s="45" t="s">
        <v>1842</v>
      </c>
      <c r="B49" s="45" t="s">
        <v>1843</v>
      </c>
      <c r="C49" s="45">
        <v>1985</v>
      </c>
      <c r="D49" s="45">
        <v>2</v>
      </c>
      <c r="E49" s="68">
        <v>744</v>
      </c>
      <c r="F49" s="46">
        <v>195935.95</v>
      </c>
      <c r="G49" s="45" t="s">
        <v>1844</v>
      </c>
      <c r="H49" s="45" t="s">
        <v>1845</v>
      </c>
      <c r="I49" s="45" t="s">
        <v>100</v>
      </c>
      <c r="J49" s="45"/>
      <c r="K49" s="47" t="s">
        <v>637</v>
      </c>
      <c r="L49" s="47">
        <v>3</v>
      </c>
    </row>
    <row r="50" spans="1:12" s="14" customFormat="1" ht="165.75">
      <c r="A50" s="45" t="s">
        <v>1842</v>
      </c>
      <c r="B50" s="45" t="s">
        <v>1846</v>
      </c>
      <c r="C50" s="45">
        <v>1988</v>
      </c>
      <c r="D50" s="45">
        <v>2</v>
      </c>
      <c r="E50" s="68">
        <v>1108</v>
      </c>
      <c r="F50" s="46">
        <v>285346.40000000002</v>
      </c>
      <c r="G50" s="45" t="s">
        <v>1844</v>
      </c>
      <c r="H50" s="45" t="s">
        <v>1845</v>
      </c>
      <c r="I50" s="45" t="s">
        <v>100</v>
      </c>
      <c r="J50" s="45"/>
      <c r="K50" s="47" t="s">
        <v>530</v>
      </c>
      <c r="L50" s="47">
        <v>2</v>
      </c>
    </row>
    <row r="51" spans="1:12" s="14" customFormat="1" ht="25.5">
      <c r="A51" s="45" t="s">
        <v>556</v>
      </c>
      <c r="B51" s="45" t="s">
        <v>557</v>
      </c>
      <c r="C51" s="45" t="s">
        <v>558</v>
      </c>
      <c r="D51" s="45" t="s">
        <v>559</v>
      </c>
      <c r="E51" s="68" t="s">
        <v>560</v>
      </c>
      <c r="F51" s="46">
        <v>168448.66</v>
      </c>
      <c r="G51" s="45" t="s">
        <v>561</v>
      </c>
      <c r="H51" s="45" t="s">
        <v>562</v>
      </c>
      <c r="I51" s="45" t="s">
        <v>563</v>
      </c>
      <c r="J51" s="45" t="s">
        <v>564</v>
      </c>
      <c r="K51" s="47" t="s">
        <v>503</v>
      </c>
      <c r="L51" s="47">
        <v>1</v>
      </c>
    </row>
    <row r="52" spans="1:12" s="14" customFormat="1" ht="409.5">
      <c r="A52" s="45" t="s">
        <v>578</v>
      </c>
      <c r="B52" s="45" t="s">
        <v>1968</v>
      </c>
      <c r="C52" s="45">
        <v>1987</v>
      </c>
      <c r="D52" s="45" t="s">
        <v>579</v>
      </c>
      <c r="E52" s="68" t="s">
        <v>580</v>
      </c>
      <c r="F52" s="46">
        <v>425593.12</v>
      </c>
      <c r="G52" s="45" t="s">
        <v>581</v>
      </c>
      <c r="H52" s="45" t="s">
        <v>582</v>
      </c>
      <c r="I52" s="45" t="s">
        <v>583</v>
      </c>
      <c r="J52" s="45" t="s">
        <v>584</v>
      </c>
      <c r="K52" s="47" t="s">
        <v>585</v>
      </c>
      <c r="L52" s="47" t="s">
        <v>586</v>
      </c>
    </row>
    <row r="53" spans="1:12" s="14" customFormat="1" ht="409.5">
      <c r="A53" s="45" t="s">
        <v>578</v>
      </c>
      <c r="B53" s="45" t="s">
        <v>1969</v>
      </c>
      <c r="C53" s="45">
        <v>1988</v>
      </c>
      <c r="D53" s="45" t="s">
        <v>587</v>
      </c>
      <c r="E53" s="68" t="s">
        <v>588</v>
      </c>
      <c r="F53" s="46">
        <v>293956.8</v>
      </c>
      <c r="G53" s="45" t="s">
        <v>589</v>
      </c>
      <c r="H53" s="45" t="s">
        <v>590</v>
      </c>
      <c r="I53" s="45" t="s">
        <v>591</v>
      </c>
      <c r="J53" s="45" t="s">
        <v>592</v>
      </c>
      <c r="K53" s="47" t="s">
        <v>593</v>
      </c>
      <c r="L53" s="47" t="s">
        <v>594</v>
      </c>
    </row>
    <row r="54" spans="1:12" s="14" customFormat="1" ht="63.75">
      <c r="A54" s="45" t="s">
        <v>602</v>
      </c>
      <c r="B54" s="45" t="s">
        <v>603</v>
      </c>
      <c r="C54" s="45">
        <v>1985</v>
      </c>
      <c r="D54" s="45">
        <v>2</v>
      </c>
      <c r="E54" s="68">
        <v>1173.3</v>
      </c>
      <c r="F54" s="46">
        <v>486087.11</v>
      </c>
      <c r="G54" s="45" t="s">
        <v>604</v>
      </c>
      <c r="H54" s="45" t="s">
        <v>605</v>
      </c>
      <c r="I54" s="45" t="s">
        <v>100</v>
      </c>
      <c r="J54" s="45" t="s">
        <v>606</v>
      </c>
      <c r="K54" s="47" t="s">
        <v>607</v>
      </c>
      <c r="L54" s="47" t="s">
        <v>259</v>
      </c>
    </row>
    <row r="55" spans="1:12" s="14" customFormat="1" ht="63.75">
      <c r="A55" s="45" t="s">
        <v>602</v>
      </c>
      <c r="B55" s="45" t="s">
        <v>608</v>
      </c>
      <c r="C55" s="45">
        <v>1982</v>
      </c>
      <c r="D55" s="45">
        <v>2</v>
      </c>
      <c r="E55" s="68">
        <v>964.1</v>
      </c>
      <c r="F55" s="46">
        <v>363112.6</v>
      </c>
      <c r="G55" s="45" t="s">
        <v>604</v>
      </c>
      <c r="H55" s="45" t="s">
        <v>605</v>
      </c>
      <c r="I55" s="45" t="s">
        <v>100</v>
      </c>
      <c r="J55" s="45" t="s">
        <v>609</v>
      </c>
      <c r="K55" s="47" t="s">
        <v>530</v>
      </c>
      <c r="L55" s="47">
        <v>1</v>
      </c>
    </row>
    <row r="56" spans="1:12" s="14" customFormat="1" ht="51">
      <c r="A56" s="45" t="s">
        <v>612</v>
      </c>
      <c r="B56" s="45" t="s">
        <v>613</v>
      </c>
      <c r="C56" s="45">
        <v>1958</v>
      </c>
      <c r="D56" s="45">
        <v>2</v>
      </c>
      <c r="E56" s="68">
        <v>1744</v>
      </c>
      <c r="F56" s="46">
        <v>152423.79</v>
      </c>
      <c r="G56" s="45" t="s">
        <v>614</v>
      </c>
      <c r="H56" s="45" t="s">
        <v>615</v>
      </c>
      <c r="I56" s="45" t="s">
        <v>616</v>
      </c>
      <c r="J56" s="45" t="s">
        <v>617</v>
      </c>
      <c r="K56" s="47" t="s">
        <v>503</v>
      </c>
      <c r="L56" s="47">
        <v>2</v>
      </c>
    </row>
    <row r="57" spans="1:12" s="14" customFormat="1" ht="51">
      <c r="A57" s="45" t="s">
        <v>631</v>
      </c>
      <c r="B57" s="45" t="s">
        <v>632</v>
      </c>
      <c r="C57" s="45" t="s">
        <v>633</v>
      </c>
      <c r="D57" s="45">
        <v>2</v>
      </c>
      <c r="E57" s="68">
        <v>473.8</v>
      </c>
      <c r="F57" s="46">
        <v>85819.65</v>
      </c>
      <c r="G57" s="45" t="s">
        <v>634</v>
      </c>
      <c r="H57" s="45" t="s">
        <v>635</v>
      </c>
      <c r="I57" s="45" t="s">
        <v>100</v>
      </c>
      <c r="J57" s="45" t="s">
        <v>636</v>
      </c>
      <c r="K57" s="47" t="s">
        <v>637</v>
      </c>
      <c r="L57" s="47">
        <v>0</v>
      </c>
    </row>
    <row r="58" spans="1:12" s="14" customFormat="1" ht="102">
      <c r="A58" s="45" t="s">
        <v>631</v>
      </c>
      <c r="B58" s="45" t="s">
        <v>638</v>
      </c>
      <c r="C58" s="45">
        <v>1976</v>
      </c>
      <c r="D58" s="45">
        <v>1</v>
      </c>
      <c r="E58" s="68">
        <v>841</v>
      </c>
      <c r="F58" s="46">
        <v>590195.44999999995</v>
      </c>
      <c r="G58" s="45" t="s">
        <v>639</v>
      </c>
      <c r="H58" s="45" t="s">
        <v>635</v>
      </c>
      <c r="I58" s="45" t="s">
        <v>100</v>
      </c>
      <c r="J58" s="45" t="s">
        <v>640</v>
      </c>
      <c r="K58" s="47" t="s">
        <v>503</v>
      </c>
      <c r="L58" s="47">
        <v>2</v>
      </c>
    </row>
    <row r="59" spans="1:12" s="14" customFormat="1" ht="25.5">
      <c r="A59" s="45" t="s">
        <v>1935</v>
      </c>
      <c r="B59" s="45" t="s">
        <v>632</v>
      </c>
      <c r="C59" s="45"/>
      <c r="D59" s="45"/>
      <c r="E59" s="68"/>
      <c r="F59" s="46">
        <v>1438.2</v>
      </c>
      <c r="G59" s="45"/>
      <c r="H59" s="45"/>
      <c r="I59" s="45"/>
      <c r="J59" s="45"/>
      <c r="K59" s="47"/>
      <c r="L59" s="47"/>
    </row>
    <row r="60" spans="1:12" s="48" customFormat="1" ht="25.5">
      <c r="A60" s="45" t="s">
        <v>103</v>
      </c>
      <c r="B60" s="45" t="s">
        <v>104</v>
      </c>
      <c r="C60" s="45">
        <v>1892</v>
      </c>
      <c r="D60" s="45" t="s">
        <v>105</v>
      </c>
      <c r="E60" s="45" t="s">
        <v>106</v>
      </c>
      <c r="F60" s="46">
        <v>10747.58</v>
      </c>
      <c r="G60" s="45" t="s">
        <v>97</v>
      </c>
      <c r="H60" s="45" t="s">
        <v>107</v>
      </c>
      <c r="I60" s="45" t="s">
        <v>100</v>
      </c>
      <c r="J60" s="45" t="s">
        <v>108</v>
      </c>
      <c r="K60" s="47" t="s">
        <v>109</v>
      </c>
      <c r="L60" s="45">
        <v>6</v>
      </c>
    </row>
    <row r="61" spans="1:12" s="48" customFormat="1" ht="25.5">
      <c r="A61" s="45" t="s">
        <v>103</v>
      </c>
      <c r="B61" s="45" t="s">
        <v>104</v>
      </c>
      <c r="C61" s="45">
        <v>1892</v>
      </c>
      <c r="D61" s="45">
        <v>3</v>
      </c>
      <c r="E61" s="91" t="s">
        <v>110</v>
      </c>
      <c r="F61" s="46">
        <v>1394268.91</v>
      </c>
      <c r="G61" s="45" t="s">
        <v>97</v>
      </c>
      <c r="H61" s="45" t="s">
        <v>107</v>
      </c>
      <c r="I61" s="45" t="s">
        <v>100</v>
      </c>
      <c r="J61" s="45" t="s">
        <v>111</v>
      </c>
      <c r="K61" s="47" t="s">
        <v>99</v>
      </c>
      <c r="L61" s="45">
        <v>0</v>
      </c>
    </row>
    <row r="62" spans="1:12" s="48" customFormat="1" ht="25.5">
      <c r="A62" s="45" t="s">
        <v>103</v>
      </c>
      <c r="B62" s="45" t="s">
        <v>104</v>
      </c>
      <c r="C62" s="45">
        <v>1957</v>
      </c>
      <c r="D62" s="45" t="s">
        <v>105</v>
      </c>
      <c r="E62" s="91">
        <v>386.82</v>
      </c>
      <c r="F62" s="46">
        <v>235066.18</v>
      </c>
      <c r="G62" s="45" t="s">
        <v>97</v>
      </c>
      <c r="H62" s="45" t="s">
        <v>112</v>
      </c>
      <c r="I62" s="45" t="s">
        <v>100</v>
      </c>
      <c r="J62" s="45" t="s">
        <v>108</v>
      </c>
      <c r="K62" s="47" t="s">
        <v>99</v>
      </c>
      <c r="L62" s="45">
        <v>1</v>
      </c>
    </row>
    <row r="63" spans="1:12" s="48" customFormat="1" ht="178.5">
      <c r="A63" s="45" t="s">
        <v>122</v>
      </c>
      <c r="B63" s="45" t="s">
        <v>265</v>
      </c>
      <c r="C63" s="45" t="s">
        <v>123</v>
      </c>
      <c r="D63" s="45" t="s">
        <v>124</v>
      </c>
      <c r="E63" s="91" t="s">
        <v>266</v>
      </c>
      <c r="F63" s="124">
        <v>1198313.8999999999</v>
      </c>
      <c r="G63" s="45" t="s">
        <v>267</v>
      </c>
      <c r="H63" s="45" t="s">
        <v>268</v>
      </c>
      <c r="I63" s="45" t="s">
        <v>98</v>
      </c>
      <c r="J63" s="45" t="s">
        <v>269</v>
      </c>
      <c r="K63" s="47" t="s">
        <v>270</v>
      </c>
      <c r="L63" s="45" t="s">
        <v>271</v>
      </c>
    </row>
    <row r="64" spans="1:12" s="62" customFormat="1" ht="127.5">
      <c r="A64" s="57" t="s">
        <v>137</v>
      </c>
      <c r="B64" s="57" t="s">
        <v>272</v>
      </c>
      <c r="C64" s="57">
        <v>1951</v>
      </c>
      <c r="D64" s="57">
        <v>3</v>
      </c>
      <c r="E64" s="92" t="s">
        <v>138</v>
      </c>
      <c r="F64" s="93">
        <v>1006845.5</v>
      </c>
      <c r="G64" s="57" t="s">
        <v>139</v>
      </c>
      <c r="H64" s="57" t="s">
        <v>140</v>
      </c>
      <c r="I64" s="57" t="s">
        <v>141</v>
      </c>
      <c r="J64" s="57" t="s">
        <v>273</v>
      </c>
      <c r="K64" s="59" t="s">
        <v>142</v>
      </c>
      <c r="L64" s="57">
        <v>7</v>
      </c>
    </row>
    <row r="65" spans="1:12" s="48" customFormat="1" ht="45">
      <c r="A65" s="20" t="s">
        <v>150</v>
      </c>
      <c r="B65" s="20" t="s">
        <v>151</v>
      </c>
      <c r="C65" s="15" t="s">
        <v>274</v>
      </c>
      <c r="D65" s="20">
        <v>4</v>
      </c>
      <c r="E65" s="17" t="s">
        <v>152</v>
      </c>
      <c r="F65" s="65">
        <v>889745.13</v>
      </c>
      <c r="G65" s="15" t="s">
        <v>153</v>
      </c>
      <c r="H65" s="20" t="s">
        <v>154</v>
      </c>
      <c r="I65" s="20" t="s">
        <v>100</v>
      </c>
      <c r="J65" s="20"/>
      <c r="K65" s="66"/>
      <c r="L65" s="20"/>
    </row>
    <row r="66" spans="1:12" s="48" customFormat="1" ht="45">
      <c r="A66" s="20" t="s">
        <v>150</v>
      </c>
      <c r="B66" s="16" t="s">
        <v>275</v>
      </c>
      <c r="C66" s="20" t="s">
        <v>155</v>
      </c>
      <c r="D66" s="16">
        <v>4</v>
      </c>
      <c r="E66" s="17" t="s">
        <v>156</v>
      </c>
      <c r="F66" s="37">
        <v>284109.8</v>
      </c>
      <c r="G66" s="15"/>
      <c r="H66" s="16" t="s">
        <v>157</v>
      </c>
      <c r="I66" s="16" t="s">
        <v>100</v>
      </c>
      <c r="J66" s="15"/>
      <c r="K66" s="15">
        <v>20</v>
      </c>
      <c r="L66" s="15">
        <v>11</v>
      </c>
    </row>
    <row r="67" spans="1:12" s="48" customFormat="1" ht="45">
      <c r="A67" s="20" t="s">
        <v>150</v>
      </c>
      <c r="B67" s="20"/>
      <c r="C67" s="15">
        <v>1976</v>
      </c>
      <c r="D67" s="20">
        <v>1</v>
      </c>
      <c r="E67" s="20" t="s">
        <v>158</v>
      </c>
      <c r="F67" s="65">
        <v>235893.5</v>
      </c>
      <c r="G67" s="20"/>
      <c r="H67" s="20" t="s">
        <v>157</v>
      </c>
      <c r="I67" s="20" t="s">
        <v>100</v>
      </c>
      <c r="J67" s="20"/>
      <c r="K67" s="66"/>
      <c r="L67" s="20"/>
    </row>
    <row r="68" spans="1:12" s="48" customFormat="1" ht="45">
      <c r="A68" s="20" t="s">
        <v>150</v>
      </c>
      <c r="B68" s="20"/>
      <c r="C68" s="94">
        <v>2011</v>
      </c>
      <c r="D68" s="20">
        <v>1</v>
      </c>
      <c r="E68" s="20" t="s">
        <v>159</v>
      </c>
      <c r="F68" s="65">
        <v>622775</v>
      </c>
      <c r="G68" s="20" t="s">
        <v>160</v>
      </c>
      <c r="H68" s="20" t="s">
        <v>154</v>
      </c>
      <c r="I68" s="20" t="s">
        <v>100</v>
      </c>
      <c r="J68" s="20"/>
      <c r="K68" s="66"/>
      <c r="L68" s="20"/>
    </row>
    <row r="69" spans="1:12" s="48" customFormat="1" ht="90">
      <c r="A69" s="71" t="s">
        <v>276</v>
      </c>
      <c r="B69" s="20" t="s">
        <v>277</v>
      </c>
      <c r="C69" s="20">
        <v>1959</v>
      </c>
      <c r="D69" s="20" t="s">
        <v>174</v>
      </c>
      <c r="E69" s="17" t="s">
        <v>175</v>
      </c>
      <c r="F69" s="65">
        <v>1381996</v>
      </c>
      <c r="G69" s="20" t="s">
        <v>278</v>
      </c>
      <c r="H69" s="20" t="s">
        <v>176</v>
      </c>
      <c r="I69" s="20" t="s">
        <v>177</v>
      </c>
      <c r="J69" s="20" t="s">
        <v>279</v>
      </c>
      <c r="K69" s="66" t="s">
        <v>109</v>
      </c>
      <c r="L69" s="20">
        <v>6</v>
      </c>
    </row>
    <row r="70" spans="1:12" s="48" customFormat="1" ht="204">
      <c r="A70" s="45" t="s">
        <v>186</v>
      </c>
      <c r="B70" s="45" t="s">
        <v>280</v>
      </c>
      <c r="C70" s="45" t="s">
        <v>187</v>
      </c>
      <c r="D70" s="45">
        <v>3</v>
      </c>
      <c r="E70" s="91" t="s">
        <v>188</v>
      </c>
      <c r="F70" s="46">
        <v>1836483.37</v>
      </c>
      <c r="G70" s="45" t="s">
        <v>281</v>
      </c>
      <c r="H70" s="45" t="s">
        <v>282</v>
      </c>
      <c r="I70" s="45" t="s">
        <v>98</v>
      </c>
      <c r="J70" s="45" t="s">
        <v>283</v>
      </c>
      <c r="K70" s="47" t="s">
        <v>142</v>
      </c>
      <c r="L70" s="45">
        <v>7</v>
      </c>
    </row>
    <row r="71" spans="1:12" s="48" customFormat="1" ht="51">
      <c r="A71" s="45" t="s">
        <v>1773</v>
      </c>
      <c r="B71" s="45" t="s">
        <v>1774</v>
      </c>
      <c r="C71" s="45">
        <v>1972</v>
      </c>
      <c r="D71" s="45">
        <v>3</v>
      </c>
      <c r="E71" s="91" t="s">
        <v>1775</v>
      </c>
      <c r="F71" s="46">
        <v>3261743.48</v>
      </c>
      <c r="G71" s="45" t="s">
        <v>1776</v>
      </c>
      <c r="H71" s="45" t="s">
        <v>1777</v>
      </c>
      <c r="I71" s="45" t="s">
        <v>1778</v>
      </c>
      <c r="J71" s="45" t="s">
        <v>1779</v>
      </c>
      <c r="K71" s="47" t="s">
        <v>607</v>
      </c>
      <c r="L71" s="45">
        <v>7</v>
      </c>
    </row>
    <row r="72" spans="1:12" s="48" customFormat="1" ht="102">
      <c r="A72" s="45" t="s">
        <v>197</v>
      </c>
      <c r="B72" s="45" t="s">
        <v>198</v>
      </c>
      <c r="C72" s="45" t="s">
        <v>199</v>
      </c>
      <c r="D72" s="45">
        <v>4</v>
      </c>
      <c r="E72" s="91">
        <v>3320</v>
      </c>
      <c r="F72" s="46">
        <v>1883458.68</v>
      </c>
      <c r="G72" s="45" t="s">
        <v>200</v>
      </c>
      <c r="H72" s="45" t="s">
        <v>201</v>
      </c>
      <c r="I72" s="45" t="s">
        <v>100</v>
      </c>
      <c r="J72" s="45" t="s">
        <v>284</v>
      </c>
      <c r="K72" s="47" t="s">
        <v>202</v>
      </c>
      <c r="L72" s="45">
        <v>8</v>
      </c>
    </row>
    <row r="73" spans="1:12" s="48" customFormat="1" ht="140.25">
      <c r="A73" s="45" t="s">
        <v>211</v>
      </c>
      <c r="B73" s="45" t="s">
        <v>212</v>
      </c>
      <c r="C73" s="45">
        <v>1962</v>
      </c>
      <c r="D73" s="45">
        <v>4</v>
      </c>
      <c r="E73" s="91" t="s">
        <v>213</v>
      </c>
      <c r="F73" s="46">
        <v>2364124.7999999998</v>
      </c>
      <c r="G73" s="45" t="s">
        <v>214</v>
      </c>
      <c r="H73" s="45" t="s">
        <v>215</v>
      </c>
      <c r="I73" s="45" t="s">
        <v>98</v>
      </c>
      <c r="J73" s="45" t="s">
        <v>216</v>
      </c>
      <c r="K73" s="47" t="s">
        <v>217</v>
      </c>
      <c r="L73" s="45" t="s">
        <v>218</v>
      </c>
    </row>
    <row r="74" spans="1:12" s="48" customFormat="1" ht="38.25">
      <c r="A74" s="45" t="s">
        <v>236</v>
      </c>
      <c r="B74" s="45" t="s">
        <v>285</v>
      </c>
      <c r="C74" s="45">
        <v>1967</v>
      </c>
      <c r="D74" s="45">
        <v>2</v>
      </c>
      <c r="E74" s="91" t="s">
        <v>237</v>
      </c>
      <c r="F74" s="46">
        <v>1736449.49</v>
      </c>
      <c r="G74" s="45" t="s">
        <v>97</v>
      </c>
      <c r="H74" s="45" t="s">
        <v>238</v>
      </c>
      <c r="I74" s="45" t="s">
        <v>100</v>
      </c>
      <c r="J74" s="45" t="s">
        <v>239</v>
      </c>
      <c r="K74" s="47" t="s">
        <v>240</v>
      </c>
      <c r="L74" s="45">
        <v>5</v>
      </c>
    </row>
    <row r="75" spans="1:12" s="48" customFormat="1" ht="63.75">
      <c r="A75" s="45" t="s">
        <v>286</v>
      </c>
      <c r="B75" s="45" t="s">
        <v>287</v>
      </c>
      <c r="C75" s="45" t="s">
        <v>288</v>
      </c>
      <c r="D75" s="45">
        <v>3</v>
      </c>
      <c r="E75" s="91" t="s">
        <v>251</v>
      </c>
      <c r="F75" s="46">
        <v>971090</v>
      </c>
      <c r="G75" s="45" t="s">
        <v>252</v>
      </c>
      <c r="H75" s="45" t="s">
        <v>253</v>
      </c>
      <c r="I75" s="45" t="s">
        <v>100</v>
      </c>
      <c r="J75" s="45"/>
      <c r="K75" s="47" t="s">
        <v>254</v>
      </c>
      <c r="L75" s="45">
        <v>3</v>
      </c>
    </row>
    <row r="76" spans="1:12" s="48" customFormat="1" ht="114.75">
      <c r="A76" s="45" t="s">
        <v>286</v>
      </c>
      <c r="B76" s="45" t="s">
        <v>190</v>
      </c>
      <c r="C76" s="45" t="s">
        <v>289</v>
      </c>
      <c r="D76" s="45" t="s">
        <v>255</v>
      </c>
      <c r="E76" s="91" t="s">
        <v>256</v>
      </c>
      <c r="F76" s="46">
        <v>682365</v>
      </c>
      <c r="G76" s="45" t="s">
        <v>257</v>
      </c>
      <c r="H76" s="45" t="s">
        <v>258</v>
      </c>
      <c r="I76" s="45" t="s">
        <v>100</v>
      </c>
      <c r="J76" s="45"/>
      <c r="K76" s="47" t="s">
        <v>259</v>
      </c>
      <c r="L76" s="45">
        <v>0</v>
      </c>
    </row>
    <row r="77" spans="1:12" s="48" customFormat="1" ht="38.25">
      <c r="A77" s="45" t="s">
        <v>286</v>
      </c>
      <c r="B77" s="45"/>
      <c r="C77" s="45" t="s">
        <v>290</v>
      </c>
      <c r="D77" s="45">
        <v>0</v>
      </c>
      <c r="E77" s="91" t="s">
        <v>291</v>
      </c>
      <c r="F77" s="46">
        <v>113879</v>
      </c>
      <c r="G77" s="45" t="s">
        <v>260</v>
      </c>
      <c r="H77" s="45"/>
      <c r="I77" s="45"/>
      <c r="J77" s="45"/>
      <c r="K77" s="47"/>
      <c r="L77" s="45"/>
    </row>
    <row r="78" spans="1:12" s="48" customFormat="1" ht="63.75">
      <c r="A78" s="45" t="s">
        <v>286</v>
      </c>
      <c r="B78" s="45"/>
      <c r="C78" s="45" t="s">
        <v>292</v>
      </c>
      <c r="D78" s="45">
        <v>0</v>
      </c>
      <c r="E78" s="91" t="s">
        <v>261</v>
      </c>
      <c r="F78" s="46">
        <v>66365</v>
      </c>
      <c r="G78" s="45" t="s">
        <v>262</v>
      </c>
      <c r="H78" s="45"/>
      <c r="I78" s="45"/>
      <c r="J78" s="45"/>
      <c r="K78" s="47"/>
      <c r="L78" s="45"/>
    </row>
    <row r="79" spans="1:12" s="48" customFormat="1" ht="38.25">
      <c r="A79" s="45" t="s">
        <v>286</v>
      </c>
      <c r="B79" s="45"/>
      <c r="C79" s="45" t="s">
        <v>293</v>
      </c>
      <c r="D79" s="45">
        <v>0</v>
      </c>
      <c r="E79" s="91"/>
      <c r="F79" s="46">
        <v>23202</v>
      </c>
      <c r="G79" s="45" t="s">
        <v>294</v>
      </c>
      <c r="H79" s="45"/>
      <c r="I79" s="45"/>
      <c r="J79" s="45"/>
      <c r="K79" s="47"/>
      <c r="L79" s="45"/>
    </row>
    <row r="80" spans="1:12" s="48" customFormat="1" ht="13.5">
      <c r="A80" s="45" t="s">
        <v>306</v>
      </c>
      <c r="B80" s="45" t="s">
        <v>307</v>
      </c>
      <c r="C80" s="45"/>
      <c r="D80" s="45"/>
      <c r="E80" s="91"/>
      <c r="F80" s="46"/>
      <c r="G80" s="45"/>
      <c r="H80" s="45"/>
      <c r="I80" s="45"/>
      <c r="J80" s="45"/>
      <c r="K80" s="47"/>
      <c r="L80" s="45"/>
    </row>
    <row r="81" spans="1:12" s="48" customFormat="1" ht="89.25">
      <c r="A81" s="45" t="s">
        <v>1927</v>
      </c>
      <c r="B81" s="45" t="s">
        <v>317</v>
      </c>
      <c r="C81" s="45">
        <v>1904</v>
      </c>
      <c r="D81" s="45" t="s">
        <v>318</v>
      </c>
      <c r="E81" s="91">
        <v>415</v>
      </c>
      <c r="F81" s="46">
        <v>608050.24</v>
      </c>
      <c r="G81" s="45" t="s">
        <v>319</v>
      </c>
      <c r="H81" s="45" t="s">
        <v>320</v>
      </c>
      <c r="I81" s="45" t="s">
        <v>321</v>
      </c>
      <c r="J81" s="45" t="s">
        <v>322</v>
      </c>
      <c r="K81" s="47" t="s">
        <v>323</v>
      </c>
      <c r="L81" s="45">
        <v>0</v>
      </c>
    </row>
    <row r="82" spans="1:12" s="48" customFormat="1" ht="89.25">
      <c r="A82" s="45" t="s">
        <v>1928</v>
      </c>
      <c r="B82" s="45" t="s">
        <v>317</v>
      </c>
      <c r="C82" s="45">
        <v>1904</v>
      </c>
      <c r="D82" s="45" t="s">
        <v>318</v>
      </c>
      <c r="E82" s="91">
        <v>310</v>
      </c>
      <c r="F82" s="46">
        <v>211091.1</v>
      </c>
      <c r="G82" s="45" t="s">
        <v>324</v>
      </c>
      <c r="H82" s="45" t="s">
        <v>325</v>
      </c>
      <c r="I82" s="45" t="s">
        <v>321</v>
      </c>
      <c r="J82" s="45"/>
      <c r="K82" s="47" t="s">
        <v>326</v>
      </c>
      <c r="L82" s="45">
        <v>0</v>
      </c>
    </row>
    <row r="83" spans="1:12" s="48" customFormat="1" ht="51">
      <c r="A83" s="45" t="s">
        <v>1929</v>
      </c>
      <c r="B83" s="45" t="s">
        <v>317</v>
      </c>
      <c r="C83" s="45">
        <v>1984</v>
      </c>
      <c r="D83" s="45" t="s">
        <v>105</v>
      </c>
      <c r="E83" s="91">
        <v>33</v>
      </c>
      <c r="F83" s="46">
        <v>11924.1</v>
      </c>
      <c r="G83" s="45" t="s">
        <v>327</v>
      </c>
      <c r="H83" s="45" t="s">
        <v>328</v>
      </c>
      <c r="I83" s="45" t="s">
        <v>100</v>
      </c>
      <c r="J83" s="45"/>
      <c r="K83" s="47" t="s">
        <v>329</v>
      </c>
      <c r="L83" s="45">
        <v>0</v>
      </c>
    </row>
    <row r="84" spans="1:12" s="48" customFormat="1" ht="25.5">
      <c r="A84" s="45" t="s">
        <v>1967</v>
      </c>
      <c r="B84" s="45" t="s">
        <v>317</v>
      </c>
      <c r="C84" s="45"/>
      <c r="D84" s="45"/>
      <c r="E84" s="91"/>
      <c r="F84" s="46">
        <v>16267.9</v>
      </c>
      <c r="G84" s="45"/>
      <c r="H84" s="45"/>
      <c r="I84" s="45"/>
      <c r="J84" s="45"/>
      <c r="K84" s="47"/>
      <c r="L84" s="45"/>
    </row>
    <row r="85" spans="1:12" s="48" customFormat="1" ht="51">
      <c r="A85" s="45" t="s">
        <v>333</v>
      </c>
      <c r="B85" s="45" t="s">
        <v>334</v>
      </c>
      <c r="C85" s="45">
        <v>1861</v>
      </c>
      <c r="D85" s="45">
        <v>3</v>
      </c>
      <c r="E85" s="91" t="s">
        <v>335</v>
      </c>
      <c r="F85" s="46">
        <v>1937059.6</v>
      </c>
      <c r="G85" s="45" t="s">
        <v>336</v>
      </c>
      <c r="H85" s="45" t="s">
        <v>337</v>
      </c>
      <c r="I85" s="45" t="s">
        <v>100</v>
      </c>
      <c r="J85" s="45" t="s">
        <v>338</v>
      </c>
      <c r="K85" s="47" t="s">
        <v>254</v>
      </c>
      <c r="L85" s="45">
        <v>5</v>
      </c>
    </row>
    <row r="86" spans="1:12" s="48" customFormat="1" ht="38.25">
      <c r="A86" s="45" t="s">
        <v>333</v>
      </c>
      <c r="B86" s="45" t="s">
        <v>334</v>
      </c>
      <c r="C86" s="45">
        <v>1974</v>
      </c>
      <c r="D86" s="45">
        <v>3</v>
      </c>
      <c r="E86" s="91">
        <v>854</v>
      </c>
      <c r="F86" s="46">
        <v>407544.68</v>
      </c>
      <c r="G86" s="45" t="s">
        <v>339</v>
      </c>
      <c r="H86" s="45" t="s">
        <v>340</v>
      </c>
      <c r="I86" s="45" t="s">
        <v>100</v>
      </c>
      <c r="J86" s="45" t="s">
        <v>341</v>
      </c>
      <c r="K86" s="47" t="s">
        <v>323</v>
      </c>
      <c r="L86" s="45">
        <v>3</v>
      </c>
    </row>
    <row r="87" spans="1:12" s="48" customFormat="1" ht="51">
      <c r="A87" s="45" t="s">
        <v>333</v>
      </c>
      <c r="B87" s="45" t="s">
        <v>334</v>
      </c>
      <c r="C87" s="45">
        <v>1861</v>
      </c>
      <c r="D87" s="45">
        <v>1</v>
      </c>
      <c r="E87" s="91">
        <v>364</v>
      </c>
      <c r="F87" s="46">
        <v>219219.9</v>
      </c>
      <c r="G87" s="45" t="s">
        <v>336</v>
      </c>
      <c r="H87" s="45" t="s">
        <v>342</v>
      </c>
      <c r="I87" s="45" t="s">
        <v>100</v>
      </c>
      <c r="J87" s="45" t="s">
        <v>343</v>
      </c>
      <c r="K87" s="47" t="s">
        <v>99</v>
      </c>
      <c r="L87" s="45">
        <v>0</v>
      </c>
    </row>
    <row r="88" spans="1:12" s="48" customFormat="1" ht="140.25">
      <c r="A88" s="45" t="s">
        <v>355</v>
      </c>
      <c r="B88" s="45" t="s">
        <v>356</v>
      </c>
      <c r="C88" s="45" t="s">
        <v>357</v>
      </c>
      <c r="D88" s="45">
        <v>3</v>
      </c>
      <c r="E88" s="91">
        <v>2802.1</v>
      </c>
      <c r="F88" s="46">
        <v>2185242.7999999998</v>
      </c>
      <c r="G88" s="45" t="s">
        <v>358</v>
      </c>
      <c r="H88" s="45" t="s">
        <v>359</v>
      </c>
      <c r="I88" s="45" t="s">
        <v>360</v>
      </c>
      <c r="J88" s="45" t="s">
        <v>361</v>
      </c>
      <c r="K88" s="47">
        <v>14</v>
      </c>
      <c r="L88" s="45">
        <v>3</v>
      </c>
    </row>
    <row r="89" spans="1:12" s="48" customFormat="1" ht="30">
      <c r="A89" s="20" t="s">
        <v>373</v>
      </c>
      <c r="B89" s="45"/>
      <c r="C89" s="45"/>
      <c r="D89" s="45"/>
      <c r="E89" s="91"/>
      <c r="F89" s="46"/>
      <c r="G89" s="45"/>
      <c r="H89" s="45"/>
      <c r="I89" s="45"/>
      <c r="J89" s="45"/>
      <c r="K89" s="47"/>
      <c r="L89" s="45"/>
    </row>
    <row r="90" spans="1:12" s="48" customFormat="1" ht="76.5">
      <c r="A90" s="45" t="s">
        <v>383</v>
      </c>
      <c r="B90" s="45" t="s">
        <v>384</v>
      </c>
      <c r="C90" s="45" t="s">
        <v>385</v>
      </c>
      <c r="D90" s="45">
        <v>4</v>
      </c>
      <c r="E90" s="91" t="s">
        <v>386</v>
      </c>
      <c r="F90" s="46" t="s">
        <v>395</v>
      </c>
      <c r="G90" s="45" t="s">
        <v>387</v>
      </c>
      <c r="H90" s="45" t="s">
        <v>388</v>
      </c>
      <c r="I90" s="45" t="s">
        <v>389</v>
      </c>
      <c r="J90" s="45" t="s">
        <v>390</v>
      </c>
      <c r="K90" s="47" t="s">
        <v>326</v>
      </c>
      <c r="L90" s="45">
        <v>4</v>
      </c>
    </row>
    <row r="91" spans="1:12" s="48" customFormat="1" ht="76.5">
      <c r="A91" s="45" t="s">
        <v>391</v>
      </c>
      <c r="B91" s="45" t="s">
        <v>384</v>
      </c>
      <c r="C91" s="45" t="s">
        <v>392</v>
      </c>
      <c r="D91" s="45">
        <v>4</v>
      </c>
      <c r="E91" s="91" t="s">
        <v>393</v>
      </c>
      <c r="F91" s="46" t="s">
        <v>395</v>
      </c>
      <c r="G91" s="45" t="s">
        <v>387</v>
      </c>
      <c r="H91" s="45" t="s">
        <v>388</v>
      </c>
      <c r="I91" s="45" t="s">
        <v>389</v>
      </c>
      <c r="J91" s="45" t="s">
        <v>390</v>
      </c>
      <c r="K91" s="47" t="s">
        <v>109</v>
      </c>
      <c r="L91" s="45">
        <v>4</v>
      </c>
    </row>
    <row r="92" spans="1:12" s="48" customFormat="1" ht="52.5" customHeight="1">
      <c r="A92" s="71" t="s">
        <v>403</v>
      </c>
      <c r="B92" s="20" t="s">
        <v>404</v>
      </c>
      <c r="C92" s="20">
        <v>1960</v>
      </c>
      <c r="D92" s="20">
        <v>2</v>
      </c>
      <c r="E92" s="17">
        <v>1592</v>
      </c>
      <c r="F92" s="65">
        <f>1185063.26+139637</f>
        <v>1324700.26</v>
      </c>
      <c r="G92" s="20" t="s">
        <v>405</v>
      </c>
      <c r="H92" s="20" t="s">
        <v>406</v>
      </c>
      <c r="I92" s="20" t="s">
        <v>100</v>
      </c>
      <c r="J92" s="20" t="s">
        <v>407</v>
      </c>
      <c r="K92" s="66" t="s">
        <v>408</v>
      </c>
      <c r="L92" s="20">
        <v>8</v>
      </c>
    </row>
    <row r="93" spans="1:12" s="48" customFormat="1" ht="45">
      <c r="A93" s="71" t="s">
        <v>403</v>
      </c>
      <c r="B93" s="20" t="s">
        <v>404</v>
      </c>
      <c r="C93" s="20">
        <v>1988</v>
      </c>
      <c r="D93" s="20">
        <v>4</v>
      </c>
      <c r="E93" s="17">
        <f>2102.6+83.16</f>
        <v>2185.7599999999998</v>
      </c>
      <c r="F93" s="65">
        <v>929925.9</v>
      </c>
      <c r="G93" s="20"/>
      <c r="H93" s="20"/>
      <c r="I93" s="20" t="s">
        <v>98</v>
      </c>
      <c r="J93" s="20" t="s">
        <v>409</v>
      </c>
      <c r="K93" s="66"/>
      <c r="L93" s="20"/>
    </row>
    <row r="94" spans="1:12" s="48" customFormat="1" ht="76.5">
      <c r="A94" s="45" t="s">
        <v>418</v>
      </c>
      <c r="B94" s="45" t="s">
        <v>419</v>
      </c>
      <c r="C94" s="45" t="s">
        <v>420</v>
      </c>
      <c r="D94" s="45">
        <v>4</v>
      </c>
      <c r="E94" s="91" t="s">
        <v>421</v>
      </c>
      <c r="F94" s="46"/>
      <c r="G94" s="45" t="s">
        <v>387</v>
      </c>
      <c r="H94" s="45" t="s">
        <v>388</v>
      </c>
      <c r="I94" s="45" t="s">
        <v>389</v>
      </c>
      <c r="J94" s="45" t="s">
        <v>390</v>
      </c>
      <c r="K94" s="47"/>
      <c r="L94" s="45">
        <v>4</v>
      </c>
    </row>
    <row r="95" spans="1:12" s="48" customFormat="1" ht="76.5">
      <c r="A95" s="45" t="s">
        <v>422</v>
      </c>
      <c r="B95" s="45" t="s">
        <v>419</v>
      </c>
      <c r="C95" s="45" t="s">
        <v>385</v>
      </c>
      <c r="D95" s="45">
        <v>4</v>
      </c>
      <c r="E95" s="91" t="s">
        <v>423</v>
      </c>
      <c r="F95" s="46"/>
      <c r="G95" s="45" t="s">
        <v>387</v>
      </c>
      <c r="H95" s="45" t="s">
        <v>388</v>
      </c>
      <c r="I95" s="45" t="s">
        <v>424</v>
      </c>
      <c r="J95" s="45" t="s">
        <v>390</v>
      </c>
      <c r="K95" s="47"/>
      <c r="L95" s="45">
        <v>4</v>
      </c>
    </row>
    <row r="96" spans="1:12" s="48" customFormat="1" ht="76.5">
      <c r="A96" s="45" t="s">
        <v>425</v>
      </c>
      <c r="B96" s="45" t="s">
        <v>419</v>
      </c>
      <c r="C96" s="45" t="s">
        <v>420</v>
      </c>
      <c r="D96" s="45">
        <v>4</v>
      </c>
      <c r="E96" s="91" t="s">
        <v>386</v>
      </c>
      <c r="F96" s="46"/>
      <c r="G96" s="45" t="s">
        <v>387</v>
      </c>
      <c r="H96" s="45" t="s">
        <v>388</v>
      </c>
      <c r="I96" s="45" t="s">
        <v>389</v>
      </c>
      <c r="J96" s="45" t="s">
        <v>390</v>
      </c>
      <c r="K96" s="47"/>
      <c r="L96" s="45">
        <v>4</v>
      </c>
    </row>
    <row r="97" spans="1:12" s="48" customFormat="1" ht="76.5">
      <c r="A97" s="45" t="s">
        <v>426</v>
      </c>
      <c r="B97" s="45" t="s">
        <v>419</v>
      </c>
      <c r="C97" s="45" t="s">
        <v>385</v>
      </c>
      <c r="D97" s="45">
        <v>4</v>
      </c>
      <c r="E97" s="91" t="s">
        <v>386</v>
      </c>
      <c r="F97" s="46"/>
      <c r="G97" s="45" t="s">
        <v>387</v>
      </c>
      <c r="H97" s="45" t="s">
        <v>388</v>
      </c>
      <c r="I97" s="45" t="s">
        <v>389</v>
      </c>
      <c r="J97" s="45" t="s">
        <v>390</v>
      </c>
      <c r="K97" s="47"/>
      <c r="L97" s="45">
        <v>4</v>
      </c>
    </row>
    <row r="98" spans="1:12" s="48" customFormat="1" ht="76.5">
      <c r="A98" s="45" t="s">
        <v>427</v>
      </c>
      <c r="B98" s="45" t="s">
        <v>419</v>
      </c>
      <c r="C98" s="45" t="s">
        <v>392</v>
      </c>
      <c r="D98" s="45">
        <v>4</v>
      </c>
      <c r="E98" s="91" t="s">
        <v>393</v>
      </c>
      <c r="F98" s="46"/>
      <c r="G98" s="45" t="s">
        <v>387</v>
      </c>
      <c r="H98" s="45" t="s">
        <v>388</v>
      </c>
      <c r="I98" s="45" t="s">
        <v>389</v>
      </c>
      <c r="J98" s="45" t="s">
        <v>390</v>
      </c>
      <c r="K98" s="47"/>
      <c r="L98" s="45">
        <v>4</v>
      </c>
    </row>
    <row r="99" spans="1:12" ht="114.75">
      <c r="A99" s="45" t="s">
        <v>428</v>
      </c>
      <c r="B99" s="45" t="s">
        <v>419</v>
      </c>
      <c r="C99" s="45" t="s">
        <v>429</v>
      </c>
      <c r="D99" s="45">
        <v>2</v>
      </c>
      <c r="E99" s="45" t="s">
        <v>430</v>
      </c>
      <c r="F99" s="46"/>
      <c r="G99" s="45" t="s">
        <v>431</v>
      </c>
      <c r="H99" s="45" t="s">
        <v>432</v>
      </c>
      <c r="I99" s="45" t="s">
        <v>389</v>
      </c>
      <c r="J99" s="45" t="s">
        <v>390</v>
      </c>
      <c r="K99" s="47"/>
      <c r="L99" s="45">
        <v>4</v>
      </c>
    </row>
    <row r="100" spans="1:12" ht="63.75">
      <c r="A100" s="45" t="s">
        <v>433</v>
      </c>
      <c r="B100" s="45" t="s">
        <v>419</v>
      </c>
      <c r="C100" s="45" t="s">
        <v>434</v>
      </c>
      <c r="D100" s="45">
        <v>2</v>
      </c>
      <c r="E100" s="45" t="s">
        <v>435</v>
      </c>
      <c r="F100" s="46"/>
      <c r="G100" s="45" t="s">
        <v>436</v>
      </c>
      <c r="H100" s="45" t="s">
        <v>437</v>
      </c>
      <c r="I100" s="45" t="s">
        <v>389</v>
      </c>
      <c r="J100" s="45" t="s">
        <v>390</v>
      </c>
      <c r="K100" s="47"/>
      <c r="L100" s="45">
        <v>3</v>
      </c>
    </row>
    <row r="101" spans="1:12" ht="76.5">
      <c r="A101" s="45" t="s">
        <v>438</v>
      </c>
      <c r="B101" s="45" t="s">
        <v>419</v>
      </c>
      <c r="C101" s="45" t="s">
        <v>420</v>
      </c>
      <c r="D101" s="45">
        <v>2</v>
      </c>
      <c r="E101" s="45" t="s">
        <v>439</v>
      </c>
      <c r="F101" s="46"/>
      <c r="G101" s="45" t="s">
        <v>387</v>
      </c>
      <c r="H101" s="45" t="s">
        <v>388</v>
      </c>
      <c r="I101" s="45" t="s">
        <v>440</v>
      </c>
      <c r="J101" s="45" t="s">
        <v>390</v>
      </c>
      <c r="K101" s="47" t="s">
        <v>329</v>
      </c>
      <c r="L101" s="45">
        <v>0</v>
      </c>
    </row>
    <row r="102" spans="1:12" ht="60">
      <c r="A102" s="20" t="s">
        <v>1866</v>
      </c>
      <c r="B102" s="20" t="s">
        <v>449</v>
      </c>
      <c r="C102" s="20">
        <v>1982</v>
      </c>
      <c r="D102" s="20">
        <v>3</v>
      </c>
      <c r="E102" s="20" t="s">
        <v>450</v>
      </c>
      <c r="F102" s="65">
        <v>591078.34</v>
      </c>
      <c r="G102" s="20" t="s">
        <v>451</v>
      </c>
      <c r="H102" s="20" t="s">
        <v>452</v>
      </c>
      <c r="I102" s="20" t="s">
        <v>453</v>
      </c>
      <c r="J102" s="20" t="s">
        <v>454</v>
      </c>
      <c r="K102" s="66" t="s">
        <v>326</v>
      </c>
      <c r="L102" s="20">
        <v>3</v>
      </c>
    </row>
    <row r="103" spans="1:12" ht="60">
      <c r="A103" s="16" t="s">
        <v>468</v>
      </c>
      <c r="B103" s="20" t="str">
        <f t="shared" ref="B103:B108" si="0">B102</f>
        <v xml:space="preserve">ul. Korczka 23 </v>
      </c>
      <c r="C103" s="16">
        <v>1979</v>
      </c>
      <c r="D103" s="16">
        <v>3</v>
      </c>
      <c r="E103" s="17" t="s">
        <v>455</v>
      </c>
      <c r="F103" s="37">
        <v>1320977.52</v>
      </c>
      <c r="G103" s="20" t="s">
        <v>451</v>
      </c>
      <c r="H103" s="20" t="s">
        <v>452</v>
      </c>
      <c r="I103" s="20" t="s">
        <v>453</v>
      </c>
      <c r="J103" s="16" t="s">
        <v>456</v>
      </c>
      <c r="K103" s="16">
        <v>3</v>
      </c>
      <c r="L103" s="16">
        <v>3</v>
      </c>
    </row>
    <row r="104" spans="1:12" ht="60">
      <c r="A104" s="16" t="s">
        <v>469</v>
      </c>
      <c r="B104" s="20" t="str">
        <f t="shared" si="0"/>
        <v xml:space="preserve">ul. Korczka 23 </v>
      </c>
      <c r="C104" s="16">
        <v>1980</v>
      </c>
      <c r="D104" s="16">
        <v>3</v>
      </c>
      <c r="E104" s="17" t="s">
        <v>457</v>
      </c>
      <c r="F104" s="37">
        <v>790274.52</v>
      </c>
      <c r="G104" s="20" t="s">
        <v>451</v>
      </c>
      <c r="H104" s="20" t="s">
        <v>452</v>
      </c>
      <c r="I104" s="20" t="s">
        <v>453</v>
      </c>
      <c r="J104" s="16" t="s">
        <v>458</v>
      </c>
      <c r="K104" s="16">
        <v>2</v>
      </c>
      <c r="L104" s="16">
        <v>3</v>
      </c>
    </row>
    <row r="105" spans="1:12" ht="60">
      <c r="A105" s="16" t="s">
        <v>470</v>
      </c>
      <c r="B105" s="20" t="str">
        <f t="shared" si="0"/>
        <v xml:space="preserve">ul. Korczka 23 </v>
      </c>
      <c r="C105" s="16">
        <v>1981</v>
      </c>
      <c r="D105" s="16">
        <v>3</v>
      </c>
      <c r="E105" s="17" t="s">
        <v>459</v>
      </c>
      <c r="F105" s="37">
        <v>1055877.52</v>
      </c>
      <c r="G105" s="20" t="s">
        <v>451</v>
      </c>
      <c r="H105" s="20" t="s">
        <v>452</v>
      </c>
      <c r="I105" s="20" t="s">
        <v>453</v>
      </c>
      <c r="J105" s="16" t="s">
        <v>460</v>
      </c>
      <c r="K105" s="16">
        <v>2</v>
      </c>
      <c r="L105" s="16">
        <v>3</v>
      </c>
    </row>
    <row r="106" spans="1:12" ht="60">
      <c r="A106" s="16" t="s">
        <v>471</v>
      </c>
      <c r="B106" s="20" t="str">
        <f t="shared" si="0"/>
        <v xml:space="preserve">ul. Korczka 23 </v>
      </c>
      <c r="C106" s="16">
        <v>1982</v>
      </c>
      <c r="D106" s="16">
        <v>3</v>
      </c>
      <c r="E106" s="17" t="s">
        <v>461</v>
      </c>
      <c r="F106" s="37">
        <v>690233.52</v>
      </c>
      <c r="G106" s="20" t="s">
        <v>451</v>
      </c>
      <c r="H106" s="20" t="s">
        <v>452</v>
      </c>
      <c r="I106" s="20" t="s">
        <v>453</v>
      </c>
      <c r="J106" s="16" t="s">
        <v>462</v>
      </c>
      <c r="K106" s="16">
        <v>2</v>
      </c>
      <c r="L106" s="16">
        <v>3</v>
      </c>
    </row>
    <row r="107" spans="1:12" ht="60">
      <c r="A107" s="16" t="s">
        <v>472</v>
      </c>
      <c r="B107" s="20" t="str">
        <f t="shared" si="0"/>
        <v xml:space="preserve">ul. Korczka 23 </v>
      </c>
      <c r="C107" s="16">
        <v>1984</v>
      </c>
      <c r="D107" s="16">
        <v>2</v>
      </c>
      <c r="E107" s="17" t="s">
        <v>463</v>
      </c>
      <c r="F107" s="37">
        <v>1663819.56</v>
      </c>
      <c r="G107" s="20" t="s">
        <v>451</v>
      </c>
      <c r="H107" s="20" t="s">
        <v>452</v>
      </c>
      <c r="I107" s="20" t="s">
        <v>453</v>
      </c>
      <c r="J107" s="16" t="s">
        <v>464</v>
      </c>
      <c r="K107" s="16">
        <v>4</v>
      </c>
      <c r="L107" s="16">
        <v>3</v>
      </c>
    </row>
    <row r="108" spans="1:12" ht="30">
      <c r="A108" s="16" t="s">
        <v>473</v>
      </c>
      <c r="B108" s="20" t="str">
        <f t="shared" si="0"/>
        <v xml:space="preserve">ul. Korczka 23 </v>
      </c>
      <c r="C108" s="16">
        <v>1982</v>
      </c>
      <c r="D108" s="16">
        <v>2</v>
      </c>
      <c r="E108" s="17" t="s">
        <v>465</v>
      </c>
      <c r="F108" s="37">
        <v>507334.52</v>
      </c>
      <c r="G108" s="20" t="s">
        <v>451</v>
      </c>
      <c r="H108" s="20" t="s">
        <v>466</v>
      </c>
      <c r="I108" s="20" t="s">
        <v>453</v>
      </c>
      <c r="J108" s="16" t="s">
        <v>467</v>
      </c>
      <c r="K108" s="16">
        <v>1</v>
      </c>
      <c r="L108" s="16">
        <v>0</v>
      </c>
    </row>
    <row r="109" spans="1:12" ht="60">
      <c r="A109" s="20" t="s">
        <v>482</v>
      </c>
      <c r="B109" s="20" t="s">
        <v>483</v>
      </c>
      <c r="C109" s="20">
        <v>1994</v>
      </c>
      <c r="D109" s="20">
        <v>1</v>
      </c>
      <c r="E109" s="64" t="s">
        <v>484</v>
      </c>
      <c r="F109" s="65">
        <v>376302.46</v>
      </c>
      <c r="G109" s="20" t="s">
        <v>485</v>
      </c>
      <c r="H109" s="20" t="s">
        <v>486</v>
      </c>
      <c r="I109" s="20" t="s">
        <v>100</v>
      </c>
      <c r="J109" s="20" t="s">
        <v>108</v>
      </c>
      <c r="K109" s="66" t="s">
        <v>323</v>
      </c>
      <c r="L109" s="66" t="s">
        <v>99</v>
      </c>
    </row>
    <row r="110" spans="1:12" ht="90">
      <c r="A110" s="20" t="s">
        <v>481</v>
      </c>
      <c r="B110" s="20" t="s">
        <v>483</v>
      </c>
      <c r="C110" s="20">
        <v>1952</v>
      </c>
      <c r="D110" s="20">
        <v>4</v>
      </c>
      <c r="E110" s="20" t="s">
        <v>487</v>
      </c>
      <c r="F110" s="65">
        <v>1125240.9099999999</v>
      </c>
      <c r="G110" s="20" t="s">
        <v>488</v>
      </c>
      <c r="H110" s="20" t="s">
        <v>489</v>
      </c>
      <c r="I110" s="20" t="s">
        <v>490</v>
      </c>
      <c r="J110" s="20" t="s">
        <v>108</v>
      </c>
      <c r="K110" s="66" t="s">
        <v>491</v>
      </c>
      <c r="L110" s="20">
        <v>9</v>
      </c>
    </row>
    <row r="111" spans="1:12" ht="25.5">
      <c r="A111" s="45" t="s">
        <v>499</v>
      </c>
      <c r="B111" s="45" t="s">
        <v>500</v>
      </c>
      <c r="C111" s="45">
        <v>1989</v>
      </c>
      <c r="D111" s="45">
        <v>3</v>
      </c>
      <c r="E111" s="91">
        <v>2604</v>
      </c>
      <c r="F111" s="46">
        <v>860366.34</v>
      </c>
      <c r="G111" s="45" t="s">
        <v>501</v>
      </c>
      <c r="H111" s="45" t="s">
        <v>502</v>
      </c>
      <c r="I111" s="45" t="s">
        <v>98</v>
      </c>
      <c r="J111" s="45"/>
      <c r="K111" s="47" t="s">
        <v>503</v>
      </c>
      <c r="L111" s="45">
        <v>4</v>
      </c>
    </row>
    <row r="112" spans="1:12" ht="25.5">
      <c r="A112" s="45" t="s">
        <v>504</v>
      </c>
      <c r="B112" s="45" t="s">
        <v>500</v>
      </c>
      <c r="C112" s="45">
        <v>1988</v>
      </c>
      <c r="D112" s="45">
        <v>3</v>
      </c>
      <c r="E112" s="91">
        <v>2372</v>
      </c>
      <c r="F112" s="46">
        <v>1283260.8999999999</v>
      </c>
      <c r="G112" s="45" t="s">
        <v>501</v>
      </c>
      <c r="H112" s="45" t="s">
        <v>502</v>
      </c>
      <c r="I112" s="45" t="s">
        <v>98</v>
      </c>
      <c r="J112" s="45" t="s">
        <v>505</v>
      </c>
      <c r="K112" s="47" t="s">
        <v>503</v>
      </c>
      <c r="L112" s="45">
        <v>4</v>
      </c>
    </row>
    <row r="113" spans="1:13" ht="25.5">
      <c r="A113" s="45" t="s">
        <v>506</v>
      </c>
      <c r="B113" s="45" t="s">
        <v>500</v>
      </c>
      <c r="C113" s="45">
        <v>1989</v>
      </c>
      <c r="D113" s="45">
        <v>3</v>
      </c>
      <c r="E113" s="91">
        <v>1670</v>
      </c>
      <c r="F113" s="46">
        <v>878951.16</v>
      </c>
      <c r="G113" s="45" t="s">
        <v>501</v>
      </c>
      <c r="H113" s="45" t="s">
        <v>502</v>
      </c>
      <c r="I113" s="45" t="s">
        <v>98</v>
      </c>
      <c r="J113" s="45"/>
      <c r="K113" s="47" t="s">
        <v>503</v>
      </c>
      <c r="L113" s="45">
        <v>4</v>
      </c>
    </row>
    <row r="114" spans="1:13" ht="25.5">
      <c r="A114" s="45" t="s">
        <v>507</v>
      </c>
      <c r="B114" s="45" t="s">
        <v>500</v>
      </c>
      <c r="C114" s="45">
        <v>1989</v>
      </c>
      <c r="D114" s="45">
        <v>1</v>
      </c>
      <c r="E114" s="91">
        <v>2203</v>
      </c>
      <c r="F114" s="46">
        <v>430593.01</v>
      </c>
      <c r="G114" s="45" t="s">
        <v>501</v>
      </c>
      <c r="H114" s="45" t="s">
        <v>502</v>
      </c>
      <c r="I114" s="45" t="s">
        <v>98</v>
      </c>
      <c r="J114" s="45"/>
      <c r="K114" s="47" t="s">
        <v>329</v>
      </c>
      <c r="L114" s="45">
        <v>0</v>
      </c>
    </row>
    <row r="115" spans="1:13" ht="25.5">
      <c r="A115" s="45" t="s">
        <v>508</v>
      </c>
      <c r="B115" s="45" t="s">
        <v>500</v>
      </c>
      <c r="C115" s="45">
        <v>1990</v>
      </c>
      <c r="D115" s="45">
        <v>3</v>
      </c>
      <c r="E115" s="91">
        <v>1670</v>
      </c>
      <c r="F115" s="46">
        <v>353352.83</v>
      </c>
      <c r="G115" s="45" t="s">
        <v>501</v>
      </c>
      <c r="H115" s="45" t="s">
        <v>502</v>
      </c>
      <c r="I115" s="45" t="s">
        <v>98</v>
      </c>
      <c r="J115" s="45"/>
      <c r="K115" s="47" t="s">
        <v>503</v>
      </c>
      <c r="L115" s="45">
        <v>4</v>
      </c>
    </row>
    <row r="116" spans="1:13" ht="25.5">
      <c r="A116" s="45" t="s">
        <v>509</v>
      </c>
      <c r="B116" s="45" t="s">
        <v>500</v>
      </c>
      <c r="C116" s="45">
        <v>1991</v>
      </c>
      <c r="D116" s="45">
        <v>3</v>
      </c>
      <c r="E116" s="91">
        <v>1904</v>
      </c>
      <c r="F116" s="46">
        <v>1113333.56</v>
      </c>
      <c r="G116" s="45" t="s">
        <v>501</v>
      </c>
      <c r="H116" s="45" t="s">
        <v>502</v>
      </c>
      <c r="I116" s="45" t="s">
        <v>98</v>
      </c>
      <c r="J116" s="45"/>
      <c r="K116" s="47" t="s">
        <v>503</v>
      </c>
      <c r="L116" s="45">
        <v>4</v>
      </c>
    </row>
    <row r="117" spans="1:13" ht="25.5">
      <c r="A117" s="45" t="s">
        <v>510</v>
      </c>
      <c r="B117" s="45" t="s">
        <v>500</v>
      </c>
      <c r="C117" s="45">
        <v>1993</v>
      </c>
      <c r="D117" s="45">
        <v>1</v>
      </c>
      <c r="E117" s="91">
        <v>2140</v>
      </c>
      <c r="F117" s="46">
        <v>1702621.51</v>
      </c>
      <c r="G117" s="45" t="s">
        <v>501</v>
      </c>
      <c r="H117" s="45" t="s">
        <v>502</v>
      </c>
      <c r="I117" s="45" t="s">
        <v>98</v>
      </c>
      <c r="J117" s="45"/>
      <c r="K117" s="47" t="s">
        <v>323</v>
      </c>
      <c r="L117" s="45">
        <v>1</v>
      </c>
    </row>
    <row r="118" spans="1:13" s="8" customFormat="1" ht="63.75">
      <c r="A118" s="45" t="s">
        <v>511</v>
      </c>
      <c r="B118" s="45" t="s">
        <v>500</v>
      </c>
      <c r="C118" s="45">
        <v>1996</v>
      </c>
      <c r="D118" s="45">
        <v>2</v>
      </c>
      <c r="E118" s="45">
        <v>3932</v>
      </c>
      <c r="F118" s="46">
        <v>5293764.5199999996</v>
      </c>
      <c r="G118" s="45" t="s">
        <v>512</v>
      </c>
      <c r="H118" s="45" t="s">
        <v>513</v>
      </c>
      <c r="I118" s="45" t="s">
        <v>514</v>
      </c>
      <c r="J118" s="45"/>
      <c r="K118" s="47" t="s">
        <v>240</v>
      </c>
      <c r="L118" s="45">
        <v>3</v>
      </c>
      <c r="M118" s="13"/>
    </row>
    <row r="119" spans="1:13" s="8" customFormat="1" ht="25.5">
      <c r="A119" s="45" t="s">
        <v>648</v>
      </c>
      <c r="B119" s="45" t="s">
        <v>649</v>
      </c>
      <c r="C119" s="45">
        <v>1963</v>
      </c>
      <c r="D119" s="45">
        <v>3</v>
      </c>
      <c r="E119" s="91">
        <v>2443.61</v>
      </c>
      <c r="F119" s="46">
        <v>1890827.61</v>
      </c>
      <c r="G119" s="45" t="s">
        <v>650</v>
      </c>
      <c r="H119" s="45" t="s">
        <v>466</v>
      </c>
      <c r="I119" s="45" t="s">
        <v>100</v>
      </c>
      <c r="J119" s="45" t="s">
        <v>651</v>
      </c>
      <c r="K119" s="47">
        <v>20</v>
      </c>
      <c r="L119" s="45">
        <v>5</v>
      </c>
      <c r="M119" s="13"/>
    </row>
    <row r="120" spans="1:13" s="8" customFormat="1" ht="63.75">
      <c r="A120" s="45" t="s">
        <v>1793</v>
      </c>
      <c r="B120" s="45" t="s">
        <v>1794</v>
      </c>
      <c r="C120" s="45">
        <v>1911</v>
      </c>
      <c r="D120" s="45">
        <v>5</v>
      </c>
      <c r="E120" s="91">
        <v>1978.19</v>
      </c>
      <c r="F120" s="46">
        <v>1900141.92</v>
      </c>
      <c r="G120" s="45" t="s">
        <v>1795</v>
      </c>
      <c r="H120" s="45" t="s">
        <v>1796</v>
      </c>
      <c r="I120" s="45" t="s">
        <v>1443</v>
      </c>
      <c r="J120" s="45" t="s">
        <v>1797</v>
      </c>
      <c r="K120" s="47" t="s">
        <v>408</v>
      </c>
      <c r="L120" s="45">
        <v>7</v>
      </c>
      <c r="M120" s="13"/>
    </row>
    <row r="121" spans="1:13" s="8" customFormat="1" ht="38.25">
      <c r="A121" s="45" t="s">
        <v>1798</v>
      </c>
      <c r="B121" s="45" t="s">
        <v>1794</v>
      </c>
      <c r="C121" s="45">
        <v>1911</v>
      </c>
      <c r="D121" s="45">
        <v>1</v>
      </c>
      <c r="E121" s="91">
        <v>294.04000000000002</v>
      </c>
      <c r="F121" s="46">
        <v>376600.17</v>
      </c>
      <c r="G121" s="45" t="s">
        <v>1795</v>
      </c>
      <c r="H121" s="45" t="s">
        <v>1799</v>
      </c>
      <c r="I121" s="45" t="s">
        <v>1800</v>
      </c>
      <c r="J121" s="45" t="s">
        <v>1801</v>
      </c>
      <c r="K121" s="47" t="s">
        <v>99</v>
      </c>
      <c r="L121" s="45">
        <v>0</v>
      </c>
      <c r="M121" s="13"/>
    </row>
    <row r="122" spans="1:13" s="8" customFormat="1" ht="38.25">
      <c r="A122" s="45" t="s">
        <v>1802</v>
      </c>
      <c r="B122" s="45" t="s">
        <v>1803</v>
      </c>
      <c r="C122" s="45">
        <v>1911</v>
      </c>
      <c r="D122" s="45">
        <v>2</v>
      </c>
      <c r="E122" s="91">
        <v>150</v>
      </c>
      <c r="F122" s="46">
        <v>146715.07999999999</v>
      </c>
      <c r="G122" s="45" t="s">
        <v>1795</v>
      </c>
      <c r="H122" s="45" t="s">
        <v>1796</v>
      </c>
      <c r="I122" s="45" t="s">
        <v>1443</v>
      </c>
      <c r="J122" s="45" t="s">
        <v>1804</v>
      </c>
      <c r="K122" s="47" t="s">
        <v>326</v>
      </c>
      <c r="L122" s="45">
        <v>0</v>
      </c>
      <c r="M122" s="13"/>
    </row>
    <row r="123" spans="1:13" s="8" customFormat="1" ht="191.25">
      <c r="A123" s="45" t="s">
        <v>683</v>
      </c>
      <c r="B123" s="45" t="s">
        <v>660</v>
      </c>
      <c r="C123" s="45">
        <v>1977</v>
      </c>
      <c r="D123" s="45" t="s">
        <v>661</v>
      </c>
      <c r="E123" s="91" t="s">
        <v>662</v>
      </c>
      <c r="F123" s="46"/>
      <c r="G123" s="45" t="s">
        <v>663</v>
      </c>
      <c r="H123" s="45" t="s">
        <v>664</v>
      </c>
      <c r="I123" s="45" t="s">
        <v>665</v>
      </c>
      <c r="J123" s="45" t="s">
        <v>666</v>
      </c>
      <c r="K123" s="47" t="s">
        <v>667</v>
      </c>
      <c r="L123" s="45" t="s">
        <v>668</v>
      </c>
      <c r="M123" s="13"/>
    </row>
    <row r="124" spans="1:13" s="8" customFormat="1" ht="63.75">
      <c r="A124" s="45" t="s">
        <v>687</v>
      </c>
      <c r="B124" s="45" t="s">
        <v>660</v>
      </c>
      <c r="C124" s="45">
        <v>1977</v>
      </c>
      <c r="D124" s="45" t="s">
        <v>669</v>
      </c>
      <c r="E124" s="91" t="s">
        <v>670</v>
      </c>
      <c r="F124" s="46"/>
      <c r="G124" s="45" t="s">
        <v>663</v>
      </c>
      <c r="H124" s="45" t="s">
        <v>664</v>
      </c>
      <c r="I124" s="45" t="s">
        <v>671</v>
      </c>
      <c r="J124" s="45" t="s">
        <v>672</v>
      </c>
      <c r="K124" s="47" t="s">
        <v>673</v>
      </c>
      <c r="L124" s="45" t="s">
        <v>108</v>
      </c>
      <c r="M124" s="13"/>
    </row>
    <row r="125" spans="1:13" s="8" customFormat="1" ht="51">
      <c r="A125" s="45" t="s">
        <v>684</v>
      </c>
      <c r="B125" s="45" t="s">
        <v>660</v>
      </c>
      <c r="C125" s="45">
        <v>1977</v>
      </c>
      <c r="D125" s="45" t="s">
        <v>669</v>
      </c>
      <c r="E125" s="91" t="s">
        <v>674</v>
      </c>
      <c r="F125" s="46"/>
      <c r="G125" s="45" t="s">
        <v>675</v>
      </c>
      <c r="H125" s="45" t="s">
        <v>676</v>
      </c>
      <c r="I125" s="45" t="s">
        <v>100</v>
      </c>
      <c r="J125" s="45"/>
      <c r="K125" s="47"/>
      <c r="L125" s="45"/>
      <c r="M125" s="13"/>
    </row>
    <row r="126" spans="1:13" s="8" customFormat="1" ht="25.5">
      <c r="A126" s="45" t="s">
        <v>685</v>
      </c>
      <c r="B126" s="45"/>
      <c r="C126" s="45">
        <v>1977</v>
      </c>
      <c r="D126" s="45" t="s">
        <v>669</v>
      </c>
      <c r="E126" s="91" t="s">
        <v>677</v>
      </c>
      <c r="F126" s="46"/>
      <c r="G126" s="45" t="s">
        <v>139</v>
      </c>
      <c r="H126" s="45" t="s">
        <v>678</v>
      </c>
      <c r="I126" s="45" t="s">
        <v>100</v>
      </c>
      <c r="J126" s="45"/>
      <c r="K126" s="47"/>
      <c r="L126" s="45"/>
      <c r="M126" s="13"/>
    </row>
    <row r="127" spans="1:13" s="8" customFormat="1" ht="51">
      <c r="A127" s="45" t="s">
        <v>686</v>
      </c>
      <c r="B127" s="45" t="s">
        <v>679</v>
      </c>
      <c r="C127" s="45">
        <v>1977</v>
      </c>
      <c r="D127" s="45" t="s">
        <v>669</v>
      </c>
      <c r="E127" s="91" t="s">
        <v>680</v>
      </c>
      <c r="F127" s="46"/>
      <c r="G127" s="45" t="s">
        <v>681</v>
      </c>
      <c r="H127" s="45" t="s">
        <v>682</v>
      </c>
      <c r="I127" s="45" t="s">
        <v>100</v>
      </c>
      <c r="J127" s="45"/>
      <c r="K127" s="47"/>
      <c r="L127" s="45"/>
      <c r="M127" s="13"/>
    </row>
    <row r="128" spans="1:13" s="8" customFormat="1" ht="51">
      <c r="A128" s="45" t="s">
        <v>736</v>
      </c>
      <c r="B128" s="45" t="s">
        <v>737</v>
      </c>
      <c r="C128" s="45">
        <v>1960</v>
      </c>
      <c r="D128" s="45" t="s">
        <v>738</v>
      </c>
      <c r="E128" s="91">
        <v>2229.5</v>
      </c>
      <c r="F128" s="46">
        <v>1731542.71</v>
      </c>
      <c r="G128" s="45" t="s">
        <v>739</v>
      </c>
      <c r="H128" s="45" t="s">
        <v>740</v>
      </c>
      <c r="I128" s="45" t="s">
        <v>100</v>
      </c>
      <c r="J128" s="45" t="s">
        <v>741</v>
      </c>
      <c r="K128" s="47" t="s">
        <v>742</v>
      </c>
      <c r="L128" s="45" t="s">
        <v>743</v>
      </c>
      <c r="M128" s="13"/>
    </row>
    <row r="129" spans="1:13" s="8" customFormat="1" ht="25.5">
      <c r="A129" s="45" t="s">
        <v>744</v>
      </c>
      <c r="B129" s="45" t="s">
        <v>745</v>
      </c>
      <c r="C129" s="45"/>
      <c r="D129" s="45" t="s">
        <v>746</v>
      </c>
      <c r="E129" s="91">
        <v>60</v>
      </c>
      <c r="F129" s="46">
        <v>10110.17</v>
      </c>
      <c r="G129" s="45" t="s">
        <v>747</v>
      </c>
      <c r="H129" s="45"/>
      <c r="I129" s="45" t="s">
        <v>100</v>
      </c>
      <c r="J129" s="45"/>
      <c r="K129" s="47"/>
      <c r="L129" s="45"/>
      <c r="M129" s="13"/>
    </row>
    <row r="130" spans="1:13" s="8" customFormat="1" ht="25.5">
      <c r="A130" s="45" t="s">
        <v>762</v>
      </c>
      <c r="B130" s="45" t="s">
        <v>763</v>
      </c>
      <c r="C130" s="45">
        <v>1932</v>
      </c>
      <c r="D130" s="45" t="s">
        <v>764</v>
      </c>
      <c r="E130" s="91" t="s">
        <v>765</v>
      </c>
      <c r="F130" s="46">
        <v>3836165.1</v>
      </c>
      <c r="G130" s="45" t="s">
        <v>766</v>
      </c>
      <c r="H130" s="45" t="s">
        <v>635</v>
      </c>
      <c r="I130" s="45" t="s">
        <v>767</v>
      </c>
      <c r="J130" s="45"/>
      <c r="K130" s="47" t="s">
        <v>768</v>
      </c>
      <c r="L130" s="45">
        <v>15</v>
      </c>
      <c r="M130" s="13"/>
    </row>
    <row r="131" spans="1:13" s="8" customFormat="1" ht="63.75">
      <c r="A131" s="45" t="s">
        <v>776</v>
      </c>
      <c r="B131" s="45" t="s">
        <v>777</v>
      </c>
      <c r="C131" s="45" t="s">
        <v>778</v>
      </c>
      <c r="D131" s="45">
        <v>3</v>
      </c>
      <c r="E131" s="91" t="s">
        <v>779</v>
      </c>
      <c r="F131" s="46">
        <v>420072</v>
      </c>
      <c r="G131" s="45" t="s">
        <v>780</v>
      </c>
      <c r="H131" s="45" t="s">
        <v>781</v>
      </c>
      <c r="I131" s="45" t="s">
        <v>782</v>
      </c>
      <c r="J131" s="45" t="s">
        <v>783</v>
      </c>
      <c r="K131" s="47" t="s">
        <v>784</v>
      </c>
      <c r="L131" s="45">
        <v>8</v>
      </c>
      <c r="M131" s="13"/>
    </row>
    <row r="132" spans="1:13" s="8" customFormat="1" ht="51">
      <c r="A132" s="45" t="s">
        <v>776</v>
      </c>
      <c r="B132" s="45" t="s">
        <v>785</v>
      </c>
      <c r="C132" s="45" t="s">
        <v>786</v>
      </c>
      <c r="D132" s="45">
        <v>1</v>
      </c>
      <c r="E132" s="91">
        <v>160</v>
      </c>
      <c r="F132" s="46">
        <v>34207</v>
      </c>
      <c r="G132" s="45" t="s">
        <v>787</v>
      </c>
      <c r="H132" s="45" t="s">
        <v>788</v>
      </c>
      <c r="I132" s="45" t="s">
        <v>789</v>
      </c>
      <c r="J132" s="45" t="s">
        <v>790</v>
      </c>
      <c r="K132" s="47" t="s">
        <v>259</v>
      </c>
      <c r="L132" s="45">
        <v>0</v>
      </c>
      <c r="M132" s="13"/>
    </row>
    <row r="133" spans="1:13" s="8" customFormat="1" ht="51">
      <c r="A133" s="45" t="s">
        <v>776</v>
      </c>
      <c r="B133" s="45" t="s">
        <v>791</v>
      </c>
      <c r="C133" s="45" t="s">
        <v>792</v>
      </c>
      <c r="D133" s="45">
        <v>1</v>
      </c>
      <c r="E133" s="91">
        <v>50</v>
      </c>
      <c r="F133" s="46">
        <v>4605</v>
      </c>
      <c r="G133" s="45" t="s">
        <v>793</v>
      </c>
      <c r="H133" s="45" t="s">
        <v>794</v>
      </c>
      <c r="I133" s="45" t="s">
        <v>795</v>
      </c>
      <c r="J133" s="45" t="s">
        <v>796</v>
      </c>
      <c r="K133" s="47">
        <v>1</v>
      </c>
      <c r="L133" s="45">
        <v>0</v>
      </c>
      <c r="M133" s="13"/>
    </row>
    <row r="134" spans="1:13" s="8" customFormat="1" ht="127.5">
      <c r="A134" s="45" t="s">
        <v>797</v>
      </c>
      <c r="B134" s="45" t="s">
        <v>791</v>
      </c>
      <c r="C134" s="45" t="s">
        <v>798</v>
      </c>
      <c r="D134" s="45">
        <v>1</v>
      </c>
      <c r="E134" s="91">
        <v>221</v>
      </c>
      <c r="F134" s="46">
        <v>21549</v>
      </c>
      <c r="G134" s="45" t="s">
        <v>793</v>
      </c>
      <c r="H134" s="45" t="s">
        <v>799</v>
      </c>
      <c r="I134" s="45" t="s">
        <v>800</v>
      </c>
      <c r="J134" s="45" t="s">
        <v>801</v>
      </c>
      <c r="K134" s="47">
        <v>1</v>
      </c>
      <c r="L134" s="45">
        <v>0</v>
      </c>
      <c r="M134" s="13"/>
    </row>
    <row r="135" spans="1:13" s="8" customFormat="1" ht="89.25">
      <c r="A135" s="45" t="s">
        <v>808</v>
      </c>
      <c r="B135" s="45" t="s">
        <v>809</v>
      </c>
      <c r="C135" s="45">
        <v>1908</v>
      </c>
      <c r="D135" s="45" t="s">
        <v>810</v>
      </c>
      <c r="E135" s="91" t="s">
        <v>811</v>
      </c>
      <c r="F135" s="46">
        <v>3296195.99</v>
      </c>
      <c r="G135" s="45" t="s">
        <v>97</v>
      </c>
      <c r="H135" s="45" t="s">
        <v>812</v>
      </c>
      <c r="I135" s="45" t="s">
        <v>813</v>
      </c>
      <c r="J135" s="45" t="s">
        <v>814</v>
      </c>
      <c r="K135" s="47" t="s">
        <v>408</v>
      </c>
      <c r="L135" s="45">
        <v>2</v>
      </c>
      <c r="M135" s="13"/>
    </row>
    <row r="136" spans="1:13" s="8" customFormat="1" ht="51">
      <c r="A136" s="45" t="s">
        <v>815</v>
      </c>
      <c r="B136" s="45" t="s">
        <v>809</v>
      </c>
      <c r="C136" s="45">
        <v>1860</v>
      </c>
      <c r="D136" s="45" t="s">
        <v>810</v>
      </c>
      <c r="E136" s="91" t="s">
        <v>816</v>
      </c>
      <c r="F136" s="46">
        <v>650387</v>
      </c>
      <c r="G136" s="45" t="s">
        <v>97</v>
      </c>
      <c r="H136" s="45" t="s">
        <v>817</v>
      </c>
      <c r="I136" s="45" t="s">
        <v>818</v>
      </c>
      <c r="J136" s="45" t="s">
        <v>819</v>
      </c>
      <c r="K136" s="47" t="s">
        <v>637</v>
      </c>
      <c r="L136" s="45" t="s">
        <v>219</v>
      </c>
      <c r="M136" s="13"/>
    </row>
    <row r="137" spans="1:13" s="8" customFormat="1" ht="38.25">
      <c r="A137" s="45" t="s">
        <v>820</v>
      </c>
      <c r="B137" s="45" t="s">
        <v>809</v>
      </c>
      <c r="C137" s="45">
        <v>1907</v>
      </c>
      <c r="D137" s="45" t="s">
        <v>810</v>
      </c>
      <c r="E137" s="91" t="s">
        <v>821</v>
      </c>
      <c r="F137" s="46">
        <v>1124783.3899999999</v>
      </c>
      <c r="G137" s="45" t="s">
        <v>97</v>
      </c>
      <c r="H137" s="45" t="s">
        <v>822</v>
      </c>
      <c r="I137" s="45" t="s">
        <v>818</v>
      </c>
      <c r="J137" s="45" t="s">
        <v>823</v>
      </c>
      <c r="K137" s="47" t="s">
        <v>503</v>
      </c>
      <c r="L137" s="45">
        <v>3</v>
      </c>
      <c r="M137" s="13"/>
    </row>
    <row r="138" spans="1:13" s="8" customFormat="1" ht="63.75">
      <c r="A138" s="45" t="s">
        <v>824</v>
      </c>
      <c r="B138" s="45" t="s">
        <v>809</v>
      </c>
      <c r="C138" s="45" t="s">
        <v>825</v>
      </c>
      <c r="D138" s="45" t="s">
        <v>826</v>
      </c>
      <c r="E138" s="91" t="s">
        <v>827</v>
      </c>
      <c r="F138" s="46">
        <v>632385.23</v>
      </c>
      <c r="G138" s="45" t="s">
        <v>97</v>
      </c>
      <c r="H138" s="45" t="s">
        <v>828</v>
      </c>
      <c r="I138" s="45" t="s">
        <v>829</v>
      </c>
      <c r="J138" s="45" t="s">
        <v>830</v>
      </c>
      <c r="K138" s="47" t="s">
        <v>259</v>
      </c>
      <c r="L138" s="45" t="s">
        <v>219</v>
      </c>
      <c r="M138" s="13"/>
    </row>
    <row r="139" spans="1:13" s="8" customFormat="1" ht="38.25">
      <c r="A139" s="45" t="s">
        <v>831</v>
      </c>
      <c r="B139" s="45" t="s">
        <v>809</v>
      </c>
      <c r="C139" s="45">
        <v>1890</v>
      </c>
      <c r="D139" s="45" t="s">
        <v>832</v>
      </c>
      <c r="E139" s="91" t="s">
        <v>833</v>
      </c>
      <c r="F139" s="46">
        <v>120492</v>
      </c>
      <c r="G139" s="45" t="s">
        <v>97</v>
      </c>
      <c r="H139" s="45" t="s">
        <v>834</v>
      </c>
      <c r="I139" s="45" t="s">
        <v>98</v>
      </c>
      <c r="J139" s="45" t="s">
        <v>835</v>
      </c>
      <c r="K139" s="47" t="s">
        <v>99</v>
      </c>
      <c r="L139" s="45" t="s">
        <v>219</v>
      </c>
      <c r="M139" s="13"/>
    </row>
    <row r="140" spans="1:13" s="8" customFormat="1" ht="38.25">
      <c r="A140" s="45" t="s">
        <v>836</v>
      </c>
      <c r="B140" s="45" t="s">
        <v>809</v>
      </c>
      <c r="C140" s="45"/>
      <c r="D140" s="45" t="s">
        <v>837</v>
      </c>
      <c r="E140" s="91" t="s">
        <v>838</v>
      </c>
      <c r="F140" s="46"/>
      <c r="G140" s="45" t="s">
        <v>97</v>
      </c>
      <c r="H140" s="45" t="s">
        <v>839</v>
      </c>
      <c r="I140" s="45" t="s">
        <v>100</v>
      </c>
      <c r="J140" s="45" t="s">
        <v>219</v>
      </c>
      <c r="K140" s="47" t="s">
        <v>219</v>
      </c>
      <c r="L140" s="45" t="s">
        <v>219</v>
      </c>
      <c r="M140" s="13"/>
    </row>
    <row r="141" spans="1:13" s="8" customFormat="1" ht="127.5">
      <c r="A141" s="45" t="s">
        <v>861</v>
      </c>
      <c r="B141" s="45" t="s">
        <v>862</v>
      </c>
      <c r="C141" s="45" t="s">
        <v>863</v>
      </c>
      <c r="D141" s="45" t="s">
        <v>864</v>
      </c>
      <c r="E141" s="91">
        <v>8528.91</v>
      </c>
      <c r="F141" s="46">
        <v>3048999.75</v>
      </c>
      <c r="G141" s="45" t="s">
        <v>865</v>
      </c>
      <c r="H141" s="45" t="s">
        <v>866</v>
      </c>
      <c r="I141" s="45" t="s">
        <v>867</v>
      </c>
      <c r="J141" s="45" t="s">
        <v>868</v>
      </c>
      <c r="K141" s="47" t="s">
        <v>869</v>
      </c>
      <c r="L141" s="45">
        <v>17</v>
      </c>
      <c r="M141" s="13"/>
    </row>
    <row r="142" spans="1:13" s="8" customFormat="1" ht="114.75">
      <c r="A142" s="45" t="s">
        <v>870</v>
      </c>
      <c r="B142" s="45" t="s">
        <v>862</v>
      </c>
      <c r="C142" s="45" t="s">
        <v>863</v>
      </c>
      <c r="D142" s="45" t="s">
        <v>871</v>
      </c>
      <c r="E142" s="91">
        <v>1932.76</v>
      </c>
      <c r="F142" s="46">
        <v>1193992.3</v>
      </c>
      <c r="G142" s="45" t="s">
        <v>872</v>
      </c>
      <c r="H142" s="45" t="s">
        <v>873</v>
      </c>
      <c r="I142" s="45" t="s">
        <v>867</v>
      </c>
      <c r="J142" s="45" t="s">
        <v>874</v>
      </c>
      <c r="K142" s="47">
        <v>11</v>
      </c>
      <c r="L142" s="45">
        <v>3</v>
      </c>
      <c r="M142" s="13"/>
    </row>
    <row r="143" spans="1:13" s="8" customFormat="1" ht="25.5">
      <c r="A143" s="45" t="s">
        <v>1005</v>
      </c>
      <c r="B143" s="45" t="s">
        <v>1006</v>
      </c>
      <c r="C143" s="45">
        <v>1974</v>
      </c>
      <c r="D143" s="45">
        <v>2</v>
      </c>
      <c r="E143" s="91">
        <v>1420.92</v>
      </c>
      <c r="F143" s="46"/>
      <c r="G143" s="45" t="s">
        <v>1007</v>
      </c>
      <c r="H143" s="45" t="s">
        <v>1008</v>
      </c>
      <c r="I143" s="45" t="s">
        <v>100</v>
      </c>
      <c r="J143" s="45" t="s">
        <v>1009</v>
      </c>
      <c r="K143" s="47" t="s">
        <v>637</v>
      </c>
      <c r="L143" s="45">
        <v>2</v>
      </c>
      <c r="M143" s="13"/>
    </row>
    <row r="144" spans="1:13" s="8" customFormat="1" ht="25.5">
      <c r="A144" s="45" t="s">
        <v>1005</v>
      </c>
      <c r="B144" s="45" t="s">
        <v>1006</v>
      </c>
      <c r="C144" s="45">
        <v>1974</v>
      </c>
      <c r="D144" s="45">
        <v>1</v>
      </c>
      <c r="E144" s="91">
        <v>148</v>
      </c>
      <c r="F144" s="46"/>
      <c r="G144" s="45" t="s">
        <v>1007</v>
      </c>
      <c r="H144" s="45" t="s">
        <v>1008</v>
      </c>
      <c r="I144" s="45" t="s">
        <v>100</v>
      </c>
      <c r="J144" s="45"/>
      <c r="K144" s="47" t="s">
        <v>99</v>
      </c>
      <c r="L144" s="45">
        <v>0</v>
      </c>
      <c r="M144" s="13"/>
    </row>
    <row r="145" spans="1:13" s="8" customFormat="1" ht="25.5">
      <c r="A145" s="45" t="s">
        <v>1005</v>
      </c>
      <c r="B145" s="45" t="s">
        <v>1010</v>
      </c>
      <c r="C145" s="45" t="s">
        <v>1011</v>
      </c>
      <c r="D145" s="45">
        <v>1</v>
      </c>
      <c r="E145" s="91">
        <v>950</v>
      </c>
      <c r="F145" s="46"/>
      <c r="G145" s="45" t="s">
        <v>1012</v>
      </c>
      <c r="H145" s="45" t="s">
        <v>107</v>
      </c>
      <c r="I145" s="45" t="s">
        <v>100</v>
      </c>
      <c r="J145" s="45"/>
      <c r="K145" s="47" t="s">
        <v>326</v>
      </c>
      <c r="L145" s="45">
        <v>0</v>
      </c>
      <c r="M145" s="13"/>
    </row>
    <row r="146" spans="1:13" s="8" customFormat="1" ht="38.25">
      <c r="A146" s="45" t="s">
        <v>893</v>
      </c>
      <c r="B146" s="45" t="s">
        <v>894</v>
      </c>
      <c r="C146" s="45">
        <v>1975</v>
      </c>
      <c r="D146" s="45">
        <v>5</v>
      </c>
      <c r="E146" s="91">
        <v>1267.4000000000001</v>
      </c>
      <c r="F146" s="46" t="s">
        <v>895</v>
      </c>
      <c r="G146" s="45" t="s">
        <v>896</v>
      </c>
      <c r="H146" s="45" t="s">
        <v>897</v>
      </c>
      <c r="I146" s="45" t="s">
        <v>898</v>
      </c>
      <c r="J146" s="45" t="s">
        <v>899</v>
      </c>
      <c r="K146" s="47" t="s">
        <v>142</v>
      </c>
      <c r="L146" s="45">
        <v>10</v>
      </c>
      <c r="M146" s="13"/>
    </row>
    <row r="147" spans="1:13" s="8" customFormat="1" ht="63.75">
      <c r="A147" s="45" t="s">
        <v>900</v>
      </c>
      <c r="B147" s="45" t="s">
        <v>894</v>
      </c>
      <c r="C147" s="45">
        <v>1975</v>
      </c>
      <c r="D147" s="45">
        <v>1</v>
      </c>
      <c r="E147" s="91">
        <v>340.7</v>
      </c>
      <c r="F147" s="46" t="s">
        <v>901</v>
      </c>
      <c r="G147" s="45" t="s">
        <v>902</v>
      </c>
      <c r="H147" s="45" t="s">
        <v>903</v>
      </c>
      <c r="I147" s="45" t="s">
        <v>904</v>
      </c>
      <c r="J147" s="45" t="s">
        <v>905</v>
      </c>
      <c r="K147" s="47" t="s">
        <v>323</v>
      </c>
      <c r="L147" s="45">
        <v>1</v>
      </c>
      <c r="M147" s="13"/>
    </row>
    <row r="148" spans="1:13" s="8" customFormat="1" ht="63.75">
      <c r="A148" s="45" t="s">
        <v>906</v>
      </c>
      <c r="B148" s="45" t="s">
        <v>894</v>
      </c>
      <c r="C148" s="45">
        <v>1970</v>
      </c>
      <c r="D148" s="45">
        <v>4</v>
      </c>
      <c r="E148" s="91">
        <v>1481.4</v>
      </c>
      <c r="F148" s="46" t="s">
        <v>907</v>
      </c>
      <c r="G148" s="45" t="s">
        <v>908</v>
      </c>
      <c r="H148" s="45" t="s">
        <v>903</v>
      </c>
      <c r="I148" s="45" t="s">
        <v>898</v>
      </c>
      <c r="J148" s="45" t="s">
        <v>909</v>
      </c>
      <c r="K148" s="47" t="s">
        <v>254</v>
      </c>
      <c r="L148" s="45">
        <v>4</v>
      </c>
      <c r="M148" s="13"/>
    </row>
    <row r="149" spans="1:13" s="8" customFormat="1" ht="51">
      <c r="A149" s="45" t="s">
        <v>910</v>
      </c>
      <c r="B149" s="45" t="s">
        <v>894</v>
      </c>
      <c r="C149" s="45">
        <v>1975</v>
      </c>
      <c r="D149" s="45">
        <v>1</v>
      </c>
      <c r="E149" s="91">
        <v>1370.5</v>
      </c>
      <c r="F149" s="46">
        <v>2813566.75</v>
      </c>
      <c r="G149" s="45" t="s">
        <v>896</v>
      </c>
      <c r="H149" s="45" t="s">
        <v>911</v>
      </c>
      <c r="I149" s="45" t="s">
        <v>898</v>
      </c>
      <c r="J149" s="45" t="s">
        <v>912</v>
      </c>
      <c r="K149" s="47" t="s">
        <v>637</v>
      </c>
      <c r="L149" s="45">
        <v>3</v>
      </c>
      <c r="M149" s="13"/>
    </row>
    <row r="150" spans="1:13" s="8" customFormat="1" ht="25.5">
      <c r="A150" s="45" t="s">
        <v>913</v>
      </c>
      <c r="B150" s="45" t="s">
        <v>894</v>
      </c>
      <c r="C150" s="45" t="s">
        <v>219</v>
      </c>
      <c r="D150" s="45">
        <v>1</v>
      </c>
      <c r="E150" s="91">
        <v>35</v>
      </c>
      <c r="F150" s="46">
        <v>8307.09</v>
      </c>
      <c r="G150" s="45" t="s">
        <v>914</v>
      </c>
      <c r="H150" s="45" t="s">
        <v>219</v>
      </c>
      <c r="I150" s="45" t="s">
        <v>898</v>
      </c>
      <c r="J150" s="45" t="s">
        <v>219</v>
      </c>
      <c r="K150" s="47" t="s">
        <v>329</v>
      </c>
      <c r="L150" s="45">
        <v>0</v>
      </c>
      <c r="M150" s="13"/>
    </row>
    <row r="151" spans="1:13" s="8" customFormat="1" ht="25.5">
      <c r="A151" s="45" t="s">
        <v>915</v>
      </c>
      <c r="B151" s="45" t="s">
        <v>894</v>
      </c>
      <c r="C151" s="45" t="s">
        <v>219</v>
      </c>
      <c r="D151" s="45">
        <v>1</v>
      </c>
      <c r="E151" s="91">
        <v>14</v>
      </c>
      <c r="F151" s="46">
        <v>6288.07</v>
      </c>
      <c r="G151" s="45" t="s">
        <v>139</v>
      </c>
      <c r="H151" s="45" t="s">
        <v>219</v>
      </c>
      <c r="I151" s="45" t="s">
        <v>898</v>
      </c>
      <c r="J151" s="45" t="s">
        <v>219</v>
      </c>
      <c r="K151" s="47" t="s">
        <v>329</v>
      </c>
      <c r="L151" s="45">
        <v>0</v>
      </c>
      <c r="M151" s="13"/>
    </row>
    <row r="152" spans="1:13" s="8" customFormat="1" ht="25.5">
      <c r="A152" s="45" t="s">
        <v>916</v>
      </c>
      <c r="B152" s="45" t="s">
        <v>894</v>
      </c>
      <c r="C152" s="45" t="s">
        <v>219</v>
      </c>
      <c r="D152" s="45">
        <v>1</v>
      </c>
      <c r="E152" s="91">
        <v>14</v>
      </c>
      <c r="F152" s="46">
        <v>1435.47</v>
      </c>
      <c r="G152" s="45" t="s">
        <v>139</v>
      </c>
      <c r="H152" s="45" t="s">
        <v>219</v>
      </c>
      <c r="I152" s="45" t="s">
        <v>898</v>
      </c>
      <c r="J152" s="45" t="s">
        <v>219</v>
      </c>
      <c r="K152" s="47" t="s">
        <v>329</v>
      </c>
      <c r="L152" s="45">
        <v>0</v>
      </c>
      <c r="M152" s="13"/>
    </row>
    <row r="153" spans="1:13" s="8" customFormat="1" ht="76.5">
      <c r="A153" s="45" t="s">
        <v>981</v>
      </c>
      <c r="B153" s="45" t="s">
        <v>932</v>
      </c>
      <c r="C153" s="45" t="s">
        <v>933</v>
      </c>
      <c r="D153" s="45" t="s">
        <v>934</v>
      </c>
      <c r="E153" s="91" t="s">
        <v>935</v>
      </c>
      <c r="F153" s="46">
        <v>1607096.44</v>
      </c>
      <c r="G153" s="45" t="s">
        <v>936</v>
      </c>
      <c r="H153" s="45" t="s">
        <v>937</v>
      </c>
      <c r="I153" s="45" t="s">
        <v>98</v>
      </c>
      <c r="J153" s="45" t="s">
        <v>938</v>
      </c>
      <c r="K153" s="47" t="s">
        <v>939</v>
      </c>
      <c r="L153" s="45" t="s">
        <v>940</v>
      </c>
      <c r="M153" s="13"/>
    </row>
    <row r="154" spans="1:13" s="8" customFormat="1" ht="102">
      <c r="A154" s="45" t="s">
        <v>982</v>
      </c>
      <c r="B154" s="45" t="s">
        <v>932</v>
      </c>
      <c r="C154" s="45" t="s">
        <v>933</v>
      </c>
      <c r="D154" s="45" t="s">
        <v>941</v>
      </c>
      <c r="E154" s="91" t="s">
        <v>942</v>
      </c>
      <c r="F154" s="46">
        <v>1601863.4</v>
      </c>
      <c r="G154" s="45" t="s">
        <v>943</v>
      </c>
      <c r="H154" s="45" t="s">
        <v>944</v>
      </c>
      <c r="I154" s="45" t="s">
        <v>98</v>
      </c>
      <c r="J154" s="45" t="s">
        <v>945</v>
      </c>
      <c r="K154" s="47" t="s">
        <v>939</v>
      </c>
      <c r="L154" s="45" t="s">
        <v>946</v>
      </c>
      <c r="M154" s="13"/>
    </row>
    <row r="155" spans="1:13" s="8" customFormat="1" ht="38.25">
      <c r="A155" s="45" t="s">
        <v>983</v>
      </c>
      <c r="B155" s="45" t="s">
        <v>932</v>
      </c>
      <c r="C155" s="45" t="s">
        <v>933</v>
      </c>
      <c r="D155" s="45" t="s">
        <v>947</v>
      </c>
      <c r="E155" s="91" t="s">
        <v>948</v>
      </c>
      <c r="F155" s="46">
        <v>245242.47</v>
      </c>
      <c r="G155" s="45" t="s">
        <v>936</v>
      </c>
      <c r="H155" s="45" t="s">
        <v>944</v>
      </c>
      <c r="I155" s="45" t="s">
        <v>98</v>
      </c>
      <c r="J155" s="45" t="s">
        <v>949</v>
      </c>
      <c r="K155" s="47" t="s">
        <v>108</v>
      </c>
      <c r="L155" s="45" t="s">
        <v>108</v>
      </c>
      <c r="M155" s="13"/>
    </row>
    <row r="156" spans="1:13" s="8" customFormat="1" ht="38.25">
      <c r="A156" s="45" t="s">
        <v>984</v>
      </c>
      <c r="B156" s="45" t="s">
        <v>932</v>
      </c>
      <c r="C156" s="45" t="s">
        <v>950</v>
      </c>
      <c r="D156" s="45" t="s">
        <v>951</v>
      </c>
      <c r="E156" s="91" t="s">
        <v>952</v>
      </c>
      <c r="F156" s="46">
        <v>214791.27</v>
      </c>
      <c r="G156" s="45" t="s">
        <v>953</v>
      </c>
      <c r="H156" s="45" t="s">
        <v>954</v>
      </c>
      <c r="I156" s="45" t="s">
        <v>955</v>
      </c>
      <c r="J156" s="45" t="s">
        <v>949</v>
      </c>
      <c r="K156" s="47" t="s">
        <v>956</v>
      </c>
      <c r="L156" s="45" t="s">
        <v>108</v>
      </c>
      <c r="M156" s="13"/>
    </row>
    <row r="157" spans="1:13" s="8" customFormat="1" ht="38.25">
      <c r="A157" s="45" t="s">
        <v>985</v>
      </c>
      <c r="B157" s="45" t="s">
        <v>932</v>
      </c>
      <c r="C157" s="45" t="s">
        <v>957</v>
      </c>
      <c r="D157" s="45" t="s">
        <v>951</v>
      </c>
      <c r="E157" s="91" t="s">
        <v>958</v>
      </c>
      <c r="F157" s="46">
        <v>9435.7199999999993</v>
      </c>
      <c r="G157" s="45" t="s">
        <v>959</v>
      </c>
      <c r="H157" s="45" t="s">
        <v>960</v>
      </c>
      <c r="I157" s="45" t="s">
        <v>961</v>
      </c>
      <c r="J157" s="45" t="s">
        <v>108</v>
      </c>
      <c r="K157" s="47" t="s">
        <v>108</v>
      </c>
      <c r="L157" s="45" t="s">
        <v>108</v>
      </c>
      <c r="M157" s="13"/>
    </row>
    <row r="158" spans="1:13" s="8" customFormat="1" ht="63.75">
      <c r="A158" s="45" t="s">
        <v>986</v>
      </c>
      <c r="B158" s="45" t="s">
        <v>932</v>
      </c>
      <c r="C158" s="45" t="s">
        <v>933</v>
      </c>
      <c r="D158" s="45"/>
      <c r="E158" s="91"/>
      <c r="F158" s="46">
        <v>45511.97</v>
      </c>
      <c r="G158" s="45" t="s">
        <v>962</v>
      </c>
      <c r="H158" s="45"/>
      <c r="I158" s="45"/>
      <c r="J158" s="45"/>
      <c r="K158" s="47"/>
      <c r="L158" s="45"/>
      <c r="M158" s="13"/>
    </row>
    <row r="159" spans="1:13" s="8" customFormat="1" ht="63.75">
      <c r="A159" s="45" t="s">
        <v>987</v>
      </c>
      <c r="B159" s="45" t="s">
        <v>932</v>
      </c>
      <c r="C159" s="45" t="s">
        <v>963</v>
      </c>
      <c r="D159" s="45" t="s">
        <v>964</v>
      </c>
      <c r="E159" s="91"/>
      <c r="F159" s="46">
        <v>117601.57</v>
      </c>
      <c r="G159" s="45"/>
      <c r="H159" s="45"/>
      <c r="I159" s="45"/>
      <c r="J159" s="45"/>
      <c r="K159" s="47"/>
      <c r="L159" s="45"/>
      <c r="M159" s="13"/>
    </row>
    <row r="160" spans="1:13" s="8" customFormat="1" ht="38.25">
      <c r="A160" s="45" t="s">
        <v>988</v>
      </c>
      <c r="B160" s="45" t="s">
        <v>965</v>
      </c>
      <c r="C160" s="45" t="s">
        <v>966</v>
      </c>
      <c r="D160" s="45" t="s">
        <v>967</v>
      </c>
      <c r="E160" s="91" t="s">
        <v>968</v>
      </c>
      <c r="F160" s="46">
        <v>572558.06999999995</v>
      </c>
      <c r="G160" s="45" t="s">
        <v>969</v>
      </c>
      <c r="H160" s="45" t="s">
        <v>970</v>
      </c>
      <c r="I160" s="45"/>
      <c r="J160" s="45" t="s">
        <v>971</v>
      </c>
      <c r="K160" s="47" t="s">
        <v>972</v>
      </c>
      <c r="L160" s="45" t="s">
        <v>108</v>
      </c>
      <c r="M160" s="13"/>
    </row>
    <row r="161" spans="1:13" s="8" customFormat="1" ht="38.25">
      <c r="A161" s="45" t="s">
        <v>989</v>
      </c>
      <c r="B161" s="45" t="s">
        <v>965</v>
      </c>
      <c r="C161" s="45" t="s">
        <v>973</v>
      </c>
      <c r="D161" s="45" t="s">
        <v>974</v>
      </c>
      <c r="E161" s="91" t="s">
        <v>975</v>
      </c>
      <c r="F161" s="46">
        <v>543282.19999999995</v>
      </c>
      <c r="G161" s="45" t="s">
        <v>976</v>
      </c>
      <c r="H161" s="45" t="s">
        <v>977</v>
      </c>
      <c r="I161" s="45" t="s">
        <v>98</v>
      </c>
      <c r="J161" s="45" t="s">
        <v>978</v>
      </c>
      <c r="K161" s="47" t="s">
        <v>979</v>
      </c>
      <c r="L161" s="45" t="s">
        <v>108</v>
      </c>
      <c r="M161" s="13"/>
    </row>
    <row r="162" spans="1:13" s="8" customFormat="1" ht="51">
      <c r="A162" s="45" t="s">
        <v>990</v>
      </c>
      <c r="B162" s="45" t="s">
        <v>965</v>
      </c>
      <c r="C162" s="45"/>
      <c r="D162" s="45"/>
      <c r="E162" s="91"/>
      <c r="F162" s="46">
        <v>7967.13</v>
      </c>
      <c r="G162" s="45" t="s">
        <v>980</v>
      </c>
      <c r="H162" s="45"/>
      <c r="I162" s="45"/>
      <c r="J162" s="45"/>
      <c r="K162" s="47"/>
      <c r="L162" s="45"/>
      <c r="M162" s="13"/>
    </row>
    <row r="163" spans="1:13" s="8" customFormat="1" ht="114.75">
      <c r="A163" s="45" t="s">
        <v>1279</v>
      </c>
      <c r="B163" s="45" t="s">
        <v>1281</v>
      </c>
      <c r="C163" s="45">
        <v>1897</v>
      </c>
      <c r="D163" s="45">
        <v>3</v>
      </c>
      <c r="E163" s="91" t="s">
        <v>1282</v>
      </c>
      <c r="F163" s="46">
        <v>1762378.65</v>
      </c>
      <c r="G163" s="45" t="s">
        <v>1283</v>
      </c>
      <c r="H163" s="45" t="s">
        <v>1284</v>
      </c>
      <c r="I163" s="45" t="s">
        <v>1285</v>
      </c>
      <c r="J163" s="45" t="s">
        <v>1286</v>
      </c>
      <c r="K163" s="47" t="s">
        <v>1287</v>
      </c>
      <c r="L163" s="45">
        <v>4</v>
      </c>
      <c r="M163" s="13"/>
    </row>
    <row r="164" spans="1:13" s="8" customFormat="1" ht="216.75">
      <c r="A164" s="45" t="s">
        <v>1020</v>
      </c>
      <c r="B164" s="45" t="s">
        <v>1021</v>
      </c>
      <c r="C164" s="45" t="s">
        <v>1022</v>
      </c>
      <c r="D164" s="45" t="s">
        <v>1023</v>
      </c>
      <c r="E164" s="91">
        <v>1290</v>
      </c>
      <c r="F164" s="46">
        <v>2205104.25</v>
      </c>
      <c r="G164" s="45" t="s">
        <v>1024</v>
      </c>
      <c r="H164" s="45" t="s">
        <v>1025</v>
      </c>
      <c r="I164" s="45" t="s">
        <v>1026</v>
      </c>
      <c r="J164" s="45" t="s">
        <v>1027</v>
      </c>
      <c r="K164" s="47" t="s">
        <v>1028</v>
      </c>
      <c r="L164" s="45" t="s">
        <v>1029</v>
      </c>
      <c r="M164" s="13"/>
    </row>
    <row r="165" spans="1:13" s="8" customFormat="1" ht="127.5">
      <c r="A165" s="45" t="s">
        <v>1030</v>
      </c>
      <c r="B165" s="45" t="s">
        <v>1031</v>
      </c>
      <c r="C165" s="45" t="s">
        <v>1022</v>
      </c>
      <c r="D165" s="45" t="s">
        <v>1032</v>
      </c>
      <c r="E165" s="91">
        <v>443.75</v>
      </c>
      <c r="F165" s="46">
        <v>346739.61</v>
      </c>
      <c r="G165" s="45" t="s">
        <v>1024</v>
      </c>
      <c r="H165" s="45" t="s">
        <v>1025</v>
      </c>
      <c r="I165" s="45" t="s">
        <v>898</v>
      </c>
      <c r="J165" s="45"/>
      <c r="K165" s="47" t="s">
        <v>1033</v>
      </c>
      <c r="L165" s="45"/>
      <c r="M165" s="13"/>
    </row>
    <row r="166" spans="1:13" s="8" customFormat="1" ht="75">
      <c r="A166" s="20" t="s">
        <v>1817</v>
      </c>
      <c r="B166" s="20" t="s">
        <v>1818</v>
      </c>
      <c r="C166" s="20">
        <v>1912</v>
      </c>
      <c r="D166" s="20" t="s">
        <v>124</v>
      </c>
      <c r="E166" s="95">
        <v>1218</v>
      </c>
      <c r="F166" s="65">
        <v>884932.83</v>
      </c>
      <c r="G166" s="20" t="s">
        <v>1819</v>
      </c>
      <c r="H166" s="20" t="s">
        <v>1820</v>
      </c>
      <c r="I166" s="20" t="s">
        <v>1443</v>
      </c>
      <c r="J166" s="20" t="s">
        <v>1821</v>
      </c>
      <c r="K166" s="66" t="s">
        <v>408</v>
      </c>
      <c r="L166" s="20">
        <v>1</v>
      </c>
      <c r="M166" s="13"/>
    </row>
    <row r="167" spans="1:13" s="8" customFormat="1" ht="102">
      <c r="A167" s="45" t="s">
        <v>1070</v>
      </c>
      <c r="B167" s="45" t="s">
        <v>1071</v>
      </c>
      <c r="C167" s="45">
        <v>1925</v>
      </c>
      <c r="D167" s="45" t="s">
        <v>1072</v>
      </c>
      <c r="E167" s="91">
        <v>3042</v>
      </c>
      <c r="F167" s="46">
        <v>1664330.05</v>
      </c>
      <c r="G167" s="45" t="s">
        <v>1073</v>
      </c>
      <c r="H167" s="45" t="s">
        <v>1074</v>
      </c>
      <c r="I167" s="45" t="s">
        <v>100</v>
      </c>
      <c r="J167" s="45" t="s">
        <v>1075</v>
      </c>
      <c r="K167" s="47" t="s">
        <v>768</v>
      </c>
      <c r="L167" s="45">
        <v>18</v>
      </c>
      <c r="M167" s="13"/>
    </row>
    <row r="168" spans="1:13" s="8" customFormat="1" ht="89.25">
      <c r="A168" s="45" t="s">
        <v>1076</v>
      </c>
      <c r="B168" s="45" t="s">
        <v>1077</v>
      </c>
      <c r="C168" s="45">
        <v>1935</v>
      </c>
      <c r="D168" s="45" t="s">
        <v>1078</v>
      </c>
      <c r="E168" s="91">
        <v>1401.8</v>
      </c>
      <c r="F168" s="46">
        <v>38151.43</v>
      </c>
      <c r="G168" s="45" t="s">
        <v>1079</v>
      </c>
      <c r="H168" s="45" t="s">
        <v>1080</v>
      </c>
      <c r="I168" s="45" t="s">
        <v>1081</v>
      </c>
      <c r="J168" s="45" t="s">
        <v>1082</v>
      </c>
      <c r="K168" s="47">
        <v>10</v>
      </c>
      <c r="L168" s="45">
        <v>2</v>
      </c>
      <c r="M168" s="13"/>
    </row>
    <row r="169" spans="1:13" s="8" customFormat="1" ht="135">
      <c r="A169" s="20" t="s">
        <v>1108</v>
      </c>
      <c r="B169" s="20" t="s">
        <v>1109</v>
      </c>
      <c r="C169" s="20">
        <v>1912</v>
      </c>
      <c r="D169" s="20">
        <v>2</v>
      </c>
      <c r="E169" s="20">
        <v>858.1</v>
      </c>
      <c r="F169" s="65">
        <v>1245788.06</v>
      </c>
      <c r="G169" s="20" t="s">
        <v>1110</v>
      </c>
      <c r="H169" s="20" t="s">
        <v>1111</v>
      </c>
      <c r="I169" s="20" t="s">
        <v>1112</v>
      </c>
      <c r="J169" s="20" t="s">
        <v>1113</v>
      </c>
      <c r="K169" s="66" t="s">
        <v>1114</v>
      </c>
      <c r="L169" s="20">
        <v>2</v>
      </c>
      <c r="M169" s="13"/>
    </row>
    <row r="170" spans="1:13" s="8" customFormat="1" ht="180">
      <c r="A170" s="20" t="s">
        <v>1108</v>
      </c>
      <c r="B170" s="20" t="s">
        <v>1115</v>
      </c>
      <c r="C170" s="20" t="s">
        <v>1116</v>
      </c>
      <c r="D170" s="20">
        <v>3</v>
      </c>
      <c r="E170" s="20">
        <v>2129.6999999999998</v>
      </c>
      <c r="F170" s="65">
        <v>3238684.58</v>
      </c>
      <c r="G170" s="20" t="s">
        <v>1117</v>
      </c>
      <c r="H170" s="20" t="s">
        <v>1118</v>
      </c>
      <c r="I170" s="20" t="s">
        <v>1119</v>
      </c>
      <c r="J170" s="20" t="s">
        <v>1113</v>
      </c>
      <c r="K170" s="66" t="s">
        <v>607</v>
      </c>
      <c r="L170" s="20">
        <v>6</v>
      </c>
      <c r="M170" s="13"/>
    </row>
    <row r="171" spans="1:13" s="8" customFormat="1" ht="150">
      <c r="A171" s="20" t="s">
        <v>1108</v>
      </c>
      <c r="B171" s="20" t="s">
        <v>1120</v>
      </c>
      <c r="C171" s="20">
        <v>1999</v>
      </c>
      <c r="D171" s="20">
        <v>4</v>
      </c>
      <c r="E171" s="20">
        <v>1367.2</v>
      </c>
      <c r="F171" s="65">
        <v>2254585.27</v>
      </c>
      <c r="G171" s="20" t="s">
        <v>1121</v>
      </c>
      <c r="H171" s="20" t="s">
        <v>1118</v>
      </c>
      <c r="I171" s="20" t="s">
        <v>1112</v>
      </c>
      <c r="J171" s="20" t="s">
        <v>1122</v>
      </c>
      <c r="K171" s="66" t="s">
        <v>1123</v>
      </c>
      <c r="L171" s="20">
        <v>4</v>
      </c>
      <c r="M171" s="13"/>
    </row>
    <row r="172" spans="1:13" s="8" customFormat="1" ht="150">
      <c r="A172" s="20" t="s">
        <v>1108</v>
      </c>
      <c r="B172" s="20" t="s">
        <v>1124</v>
      </c>
      <c r="C172" s="20" t="s">
        <v>1125</v>
      </c>
      <c r="D172" s="20">
        <v>2</v>
      </c>
      <c r="E172" s="96">
        <v>537.6</v>
      </c>
      <c r="F172" s="65">
        <v>917870.15</v>
      </c>
      <c r="G172" s="20" t="s">
        <v>1126</v>
      </c>
      <c r="H172" s="20" t="s">
        <v>1127</v>
      </c>
      <c r="I172" s="20" t="s">
        <v>1128</v>
      </c>
      <c r="J172" s="20" t="s">
        <v>1129</v>
      </c>
      <c r="K172" s="66" t="s">
        <v>530</v>
      </c>
      <c r="L172" s="20">
        <v>1</v>
      </c>
      <c r="M172" s="13"/>
    </row>
    <row r="173" spans="1:13" s="8" customFormat="1" ht="60">
      <c r="A173" s="20" t="s">
        <v>1108</v>
      </c>
      <c r="B173" s="20" t="s">
        <v>1130</v>
      </c>
      <c r="C173" s="20">
        <v>1982</v>
      </c>
      <c r="D173" s="20">
        <v>1</v>
      </c>
      <c r="E173" s="96">
        <v>12.5</v>
      </c>
      <c r="F173" s="65">
        <v>23057.89</v>
      </c>
      <c r="G173" s="20" t="s">
        <v>1131</v>
      </c>
      <c r="H173" s="20" t="s">
        <v>1132</v>
      </c>
      <c r="I173" s="20" t="s">
        <v>1128</v>
      </c>
      <c r="J173" s="20" t="s">
        <v>219</v>
      </c>
      <c r="K173" s="66" t="s">
        <v>99</v>
      </c>
      <c r="L173" s="20" t="s">
        <v>219</v>
      </c>
      <c r="M173" s="13"/>
    </row>
    <row r="174" spans="1:13" s="8" customFormat="1" ht="60">
      <c r="A174" s="20" t="s">
        <v>1108</v>
      </c>
      <c r="B174" s="20" t="s">
        <v>1133</v>
      </c>
      <c r="C174" s="20">
        <v>1970</v>
      </c>
      <c r="D174" s="20">
        <v>1</v>
      </c>
      <c r="E174" s="96">
        <v>312.60000000000002</v>
      </c>
      <c r="F174" s="65">
        <v>214380.34</v>
      </c>
      <c r="G174" s="20" t="s">
        <v>1131</v>
      </c>
      <c r="H174" s="20" t="s">
        <v>1132</v>
      </c>
      <c r="I174" s="20" t="s">
        <v>1128</v>
      </c>
      <c r="J174" s="20" t="s">
        <v>219</v>
      </c>
      <c r="K174" s="66" t="s">
        <v>637</v>
      </c>
      <c r="L174" s="20" t="s">
        <v>219</v>
      </c>
      <c r="M174" s="13"/>
    </row>
    <row r="175" spans="1:13" s="8" customFormat="1" ht="150">
      <c r="A175" s="20" t="s">
        <v>1108</v>
      </c>
      <c r="B175" s="20" t="s">
        <v>1134</v>
      </c>
      <c r="C175" s="20" t="s">
        <v>1135</v>
      </c>
      <c r="D175" s="20">
        <v>3</v>
      </c>
      <c r="E175" s="96">
        <v>1266.5</v>
      </c>
      <c r="F175" s="65">
        <v>505692.99</v>
      </c>
      <c r="G175" s="20" t="s">
        <v>1126</v>
      </c>
      <c r="H175" s="20" t="s">
        <v>1136</v>
      </c>
      <c r="I175" s="20" t="s">
        <v>1137</v>
      </c>
      <c r="J175" s="20" t="s">
        <v>1138</v>
      </c>
      <c r="K175" s="66" t="s">
        <v>202</v>
      </c>
      <c r="L175" s="20">
        <v>4</v>
      </c>
      <c r="M175" s="13"/>
    </row>
    <row r="176" spans="1:13" s="8" customFormat="1" ht="75">
      <c r="A176" s="20" t="s">
        <v>1108</v>
      </c>
      <c r="B176" s="20" t="s">
        <v>1139</v>
      </c>
      <c r="C176" s="20"/>
      <c r="D176" s="20">
        <v>1</v>
      </c>
      <c r="E176" s="96">
        <v>50.7</v>
      </c>
      <c r="F176" s="65">
        <v>15984.8</v>
      </c>
      <c r="G176" s="20" t="s">
        <v>1140</v>
      </c>
      <c r="H176" s="20" t="s">
        <v>1132</v>
      </c>
      <c r="I176" s="20" t="s">
        <v>1128</v>
      </c>
      <c r="J176" s="20" t="s">
        <v>219</v>
      </c>
      <c r="K176" s="66" t="s">
        <v>219</v>
      </c>
      <c r="L176" s="20" t="s">
        <v>219</v>
      </c>
      <c r="M176" s="13"/>
    </row>
    <row r="177" spans="1:13" s="8" customFormat="1" ht="25.5">
      <c r="A177" s="45" t="s">
        <v>1168</v>
      </c>
      <c r="B177" s="45" t="s">
        <v>1169</v>
      </c>
      <c r="C177" s="45">
        <v>1972</v>
      </c>
      <c r="D177" s="45">
        <v>2</v>
      </c>
      <c r="E177" s="91">
        <v>309</v>
      </c>
      <c r="F177" s="46">
        <v>145499.98000000001</v>
      </c>
      <c r="G177" s="45" t="s">
        <v>1170</v>
      </c>
      <c r="H177" s="45" t="s">
        <v>1171</v>
      </c>
      <c r="I177" s="45" t="s">
        <v>100</v>
      </c>
      <c r="J177" s="45" t="s">
        <v>1172</v>
      </c>
      <c r="K177" s="47" t="s">
        <v>637</v>
      </c>
      <c r="L177" s="45" t="s">
        <v>1173</v>
      </c>
      <c r="M177" s="13"/>
    </row>
    <row r="178" spans="1:13" s="8" customFormat="1" ht="25.5">
      <c r="A178" s="45" t="s">
        <v>1174</v>
      </c>
      <c r="B178" s="45" t="s">
        <v>1169</v>
      </c>
      <c r="C178" s="45">
        <v>1978</v>
      </c>
      <c r="D178" s="45">
        <v>4</v>
      </c>
      <c r="E178" s="91">
        <v>1053</v>
      </c>
      <c r="F178" s="46">
        <v>1521540.28</v>
      </c>
      <c r="G178" s="45" t="s">
        <v>1170</v>
      </c>
      <c r="H178" s="45" t="s">
        <v>1171</v>
      </c>
      <c r="I178" s="45" t="s">
        <v>100</v>
      </c>
      <c r="J178" s="45" t="s">
        <v>1175</v>
      </c>
      <c r="K178" s="47" t="s">
        <v>240</v>
      </c>
      <c r="L178" s="45" t="s">
        <v>1173</v>
      </c>
      <c r="M178" s="13"/>
    </row>
    <row r="179" spans="1:13" s="8" customFormat="1" ht="38.25">
      <c r="A179" s="45" t="s">
        <v>1176</v>
      </c>
      <c r="B179" s="45" t="s">
        <v>1169</v>
      </c>
      <c r="C179" s="45">
        <v>1989</v>
      </c>
      <c r="D179" s="45">
        <v>4</v>
      </c>
      <c r="E179" s="91">
        <v>963</v>
      </c>
      <c r="F179" s="46">
        <v>335232.90999999997</v>
      </c>
      <c r="G179" s="45" t="s">
        <v>1170</v>
      </c>
      <c r="H179" s="45" t="s">
        <v>1177</v>
      </c>
      <c r="I179" s="45" t="s">
        <v>98</v>
      </c>
      <c r="J179" s="45" t="s">
        <v>1178</v>
      </c>
      <c r="K179" s="47" t="s">
        <v>607</v>
      </c>
      <c r="L179" s="45" t="s">
        <v>1179</v>
      </c>
      <c r="M179" s="13"/>
    </row>
    <row r="180" spans="1:13" s="8" customFormat="1" ht="38.25">
      <c r="A180" s="45" t="s">
        <v>1180</v>
      </c>
      <c r="B180" s="45" t="s">
        <v>1169</v>
      </c>
      <c r="C180" s="45">
        <v>1975</v>
      </c>
      <c r="D180" s="45">
        <v>4</v>
      </c>
      <c r="E180" s="91">
        <v>1712</v>
      </c>
      <c r="F180" s="46">
        <v>1184690.72</v>
      </c>
      <c r="G180" s="45" t="s">
        <v>1170</v>
      </c>
      <c r="H180" s="45" t="s">
        <v>1181</v>
      </c>
      <c r="I180" s="45" t="s">
        <v>98</v>
      </c>
      <c r="J180" s="45" t="s">
        <v>1182</v>
      </c>
      <c r="K180" s="47" t="s">
        <v>1183</v>
      </c>
      <c r="L180" s="45" t="s">
        <v>1184</v>
      </c>
      <c r="M180" s="13"/>
    </row>
    <row r="181" spans="1:13" s="8" customFormat="1" ht="38.25">
      <c r="A181" s="45" t="s">
        <v>1185</v>
      </c>
      <c r="B181" s="45" t="s">
        <v>1169</v>
      </c>
      <c r="C181" s="45">
        <v>1990</v>
      </c>
      <c r="D181" s="45">
        <v>4</v>
      </c>
      <c r="E181" s="91">
        <v>225</v>
      </c>
      <c r="F181" s="46">
        <v>293776.27</v>
      </c>
      <c r="G181" s="45" t="s">
        <v>1170</v>
      </c>
      <c r="H181" s="45" t="s">
        <v>1186</v>
      </c>
      <c r="I181" s="45" t="s">
        <v>98</v>
      </c>
      <c r="J181" s="45" t="s">
        <v>1187</v>
      </c>
      <c r="K181" s="47" t="s">
        <v>326</v>
      </c>
      <c r="L181" s="45" t="s">
        <v>108</v>
      </c>
      <c r="M181" s="13"/>
    </row>
    <row r="182" spans="1:13" s="8" customFormat="1" ht="38.25">
      <c r="A182" s="45" t="s">
        <v>1188</v>
      </c>
      <c r="B182" s="45" t="s">
        <v>1169</v>
      </c>
      <c r="C182" s="45">
        <v>1991</v>
      </c>
      <c r="D182" s="45">
        <v>1</v>
      </c>
      <c r="E182" s="91">
        <v>27</v>
      </c>
      <c r="F182" s="46">
        <v>10521.5</v>
      </c>
      <c r="G182" s="45" t="s">
        <v>1189</v>
      </c>
      <c r="H182" s="45" t="s">
        <v>157</v>
      </c>
      <c r="I182" s="45" t="s">
        <v>98</v>
      </c>
      <c r="J182" s="45" t="s">
        <v>1187</v>
      </c>
      <c r="K182" s="47" t="s">
        <v>329</v>
      </c>
      <c r="L182" s="45" t="s">
        <v>108</v>
      </c>
      <c r="M182" s="13"/>
    </row>
    <row r="183" spans="1:13" s="8" customFormat="1" ht="38.25">
      <c r="A183" s="45" t="s">
        <v>1188</v>
      </c>
      <c r="B183" s="45" t="s">
        <v>1169</v>
      </c>
      <c r="C183" s="45">
        <v>1991</v>
      </c>
      <c r="D183" s="45">
        <v>1</v>
      </c>
      <c r="E183" s="91">
        <v>27</v>
      </c>
      <c r="F183" s="46">
        <v>10521.5</v>
      </c>
      <c r="G183" s="45" t="s">
        <v>1189</v>
      </c>
      <c r="H183" s="45" t="s">
        <v>157</v>
      </c>
      <c r="I183" s="45" t="s">
        <v>98</v>
      </c>
      <c r="J183" s="45" t="s">
        <v>1187</v>
      </c>
      <c r="K183" s="47" t="s">
        <v>329</v>
      </c>
      <c r="L183" s="45" t="s">
        <v>108</v>
      </c>
      <c r="M183" s="13"/>
    </row>
    <row r="184" spans="1:13" s="8" customFormat="1" ht="38.25">
      <c r="A184" s="45" t="s">
        <v>1188</v>
      </c>
      <c r="B184" s="45" t="s">
        <v>1169</v>
      </c>
      <c r="C184" s="45">
        <v>1991</v>
      </c>
      <c r="D184" s="45">
        <v>1</v>
      </c>
      <c r="E184" s="91">
        <v>27</v>
      </c>
      <c r="F184" s="46">
        <v>10201.33</v>
      </c>
      <c r="G184" s="45" t="s">
        <v>1189</v>
      </c>
      <c r="H184" s="45" t="s">
        <v>157</v>
      </c>
      <c r="I184" s="45"/>
      <c r="J184" s="45" t="s">
        <v>1187</v>
      </c>
      <c r="K184" s="47" t="s">
        <v>329</v>
      </c>
      <c r="L184" s="45" t="s">
        <v>108</v>
      </c>
      <c r="M184" s="13"/>
    </row>
    <row r="185" spans="1:13" s="8" customFormat="1" ht="38.25">
      <c r="A185" s="45" t="s">
        <v>1190</v>
      </c>
      <c r="B185" s="45" t="s">
        <v>1169</v>
      </c>
      <c r="C185" s="45">
        <v>1991</v>
      </c>
      <c r="D185" s="45">
        <v>1</v>
      </c>
      <c r="E185" s="91">
        <v>39</v>
      </c>
      <c r="F185" s="46">
        <v>42446.73</v>
      </c>
      <c r="G185" s="45" t="s">
        <v>1189</v>
      </c>
      <c r="H185" s="45" t="s">
        <v>154</v>
      </c>
      <c r="I185" s="45" t="s">
        <v>98</v>
      </c>
      <c r="J185" s="45" t="s">
        <v>1187</v>
      </c>
      <c r="K185" s="47" t="s">
        <v>99</v>
      </c>
      <c r="L185" s="45" t="s">
        <v>108</v>
      </c>
      <c r="M185" s="13"/>
    </row>
    <row r="186" spans="1:13" s="8" customFormat="1" ht="25.5">
      <c r="A186" s="45" t="s">
        <v>1191</v>
      </c>
      <c r="B186" s="45" t="s">
        <v>1169</v>
      </c>
      <c r="C186" s="45">
        <v>1988</v>
      </c>
      <c r="D186" s="45">
        <v>1</v>
      </c>
      <c r="E186" s="91">
        <v>10</v>
      </c>
      <c r="F186" s="46">
        <v>16263.39</v>
      </c>
      <c r="G186" s="45" t="s">
        <v>1189</v>
      </c>
      <c r="H186" s="45" t="s">
        <v>157</v>
      </c>
      <c r="I186" s="45" t="s">
        <v>98</v>
      </c>
      <c r="J186" s="45" t="s">
        <v>1187</v>
      </c>
      <c r="K186" s="47" t="s">
        <v>99</v>
      </c>
      <c r="L186" s="45" t="s">
        <v>1192</v>
      </c>
      <c r="M186" s="13"/>
    </row>
    <row r="187" spans="1:13" s="8" customFormat="1" ht="25.5">
      <c r="A187" s="45" t="s">
        <v>1193</v>
      </c>
      <c r="B187" s="45" t="s">
        <v>1169</v>
      </c>
      <c r="C187" s="45">
        <v>1975</v>
      </c>
      <c r="D187" s="45">
        <v>1</v>
      </c>
      <c r="E187" s="91">
        <v>139</v>
      </c>
      <c r="F187" s="46">
        <v>10668.72</v>
      </c>
      <c r="G187" s="45" t="s">
        <v>139</v>
      </c>
      <c r="H187" s="45" t="s">
        <v>157</v>
      </c>
      <c r="I187" s="45" t="s">
        <v>100</v>
      </c>
      <c r="J187" s="45" t="s">
        <v>1194</v>
      </c>
      <c r="K187" s="47" t="s">
        <v>329</v>
      </c>
      <c r="L187" s="45" t="s">
        <v>108</v>
      </c>
      <c r="M187" s="13"/>
    </row>
    <row r="188" spans="1:13" s="8" customFormat="1" ht="38.25">
      <c r="A188" s="45" t="s">
        <v>1195</v>
      </c>
      <c r="B188" s="45" t="s">
        <v>1169</v>
      </c>
      <c r="C188" s="45">
        <v>2007</v>
      </c>
      <c r="D188" s="45">
        <v>1</v>
      </c>
      <c r="E188" s="91">
        <v>5</v>
      </c>
      <c r="F188" s="46">
        <v>32880</v>
      </c>
      <c r="G188" s="45" t="s">
        <v>1189</v>
      </c>
      <c r="H188" s="45" t="s">
        <v>154</v>
      </c>
      <c r="I188" s="45" t="s">
        <v>1196</v>
      </c>
      <c r="J188" s="45" t="s">
        <v>1197</v>
      </c>
      <c r="K188" s="47" t="s">
        <v>329</v>
      </c>
      <c r="L188" s="45" t="s">
        <v>108</v>
      </c>
      <c r="M188" s="13"/>
    </row>
    <row r="189" spans="1:13" s="8" customFormat="1" ht="38.25">
      <c r="A189" s="45" t="s">
        <v>1198</v>
      </c>
      <c r="B189" s="45" t="s">
        <v>1169</v>
      </c>
      <c r="C189" s="45">
        <v>2011</v>
      </c>
      <c r="D189" s="45">
        <v>1</v>
      </c>
      <c r="E189" s="91">
        <v>8.6999999999999993</v>
      </c>
      <c r="F189" s="46">
        <v>57274.11</v>
      </c>
      <c r="G189" s="45" t="s">
        <v>1189</v>
      </c>
      <c r="H189" s="45" t="s">
        <v>154</v>
      </c>
      <c r="I189" s="45" t="s">
        <v>1199</v>
      </c>
      <c r="J189" s="45" t="s">
        <v>1197</v>
      </c>
      <c r="K189" s="47" t="s">
        <v>329</v>
      </c>
      <c r="L189" s="45" t="s">
        <v>108</v>
      </c>
      <c r="M189" s="13"/>
    </row>
    <row r="190" spans="1:13" s="8" customFormat="1" ht="63.75">
      <c r="A190" s="45" t="s">
        <v>1248</v>
      </c>
      <c r="B190" s="45" t="s">
        <v>1249</v>
      </c>
      <c r="C190" s="45">
        <v>1992</v>
      </c>
      <c r="D190" s="45">
        <v>2</v>
      </c>
      <c r="E190" s="91" t="s">
        <v>1250</v>
      </c>
      <c r="F190" s="46">
        <v>3022675</v>
      </c>
      <c r="G190" s="45" t="s">
        <v>1251</v>
      </c>
      <c r="H190" s="45" t="s">
        <v>1252</v>
      </c>
      <c r="I190" s="45" t="s">
        <v>100</v>
      </c>
      <c r="J190" s="45" t="s">
        <v>1253</v>
      </c>
      <c r="K190" s="47" t="s">
        <v>1254</v>
      </c>
      <c r="L190" s="45">
        <v>5</v>
      </c>
      <c r="M190" s="13"/>
    </row>
    <row r="191" spans="1:13" s="8" customFormat="1" ht="51">
      <c r="A191" s="45" t="s">
        <v>1274</v>
      </c>
      <c r="B191" s="45" t="s">
        <v>1275</v>
      </c>
      <c r="C191" s="45">
        <v>1996</v>
      </c>
      <c r="D191" s="45">
        <v>4</v>
      </c>
      <c r="E191" s="91">
        <v>362.93</v>
      </c>
      <c r="F191" s="46">
        <v>77261.7</v>
      </c>
      <c r="G191" s="45" t="s">
        <v>1276</v>
      </c>
      <c r="H191" s="45" t="s">
        <v>1277</v>
      </c>
      <c r="I191" s="45" t="s">
        <v>898</v>
      </c>
      <c r="J191" s="45"/>
      <c r="K191" s="47"/>
      <c r="L191" s="45"/>
      <c r="M191" s="13"/>
    </row>
    <row r="192" spans="1:13" s="8" customFormat="1" ht="25.5">
      <c r="A192" s="45" t="s">
        <v>1274</v>
      </c>
      <c r="B192" s="45" t="s">
        <v>1275</v>
      </c>
      <c r="C192" s="45">
        <v>1996</v>
      </c>
      <c r="D192" s="45">
        <v>1</v>
      </c>
      <c r="E192" s="91">
        <v>28.25</v>
      </c>
      <c r="F192" s="46">
        <v>6050.6</v>
      </c>
      <c r="G192" s="45"/>
      <c r="H192" s="45"/>
      <c r="I192" s="45"/>
      <c r="J192" s="45"/>
      <c r="K192" s="47"/>
      <c r="L192" s="45"/>
      <c r="M192" s="13"/>
    </row>
    <row r="193" spans="1:13" s="8" customFormat="1" ht="409.5">
      <c r="A193" s="45" t="s">
        <v>1308</v>
      </c>
      <c r="B193" s="45" t="s">
        <v>1309</v>
      </c>
      <c r="C193" s="45" t="s">
        <v>1310</v>
      </c>
      <c r="D193" s="45" t="s">
        <v>1311</v>
      </c>
      <c r="E193" s="91" t="s">
        <v>1312</v>
      </c>
      <c r="F193" s="46">
        <v>1469656.77</v>
      </c>
      <c r="G193" s="45" t="s">
        <v>1313</v>
      </c>
      <c r="H193" s="45" t="s">
        <v>1314</v>
      </c>
      <c r="I193" s="45" t="s">
        <v>177</v>
      </c>
      <c r="J193" s="45" t="s">
        <v>1315</v>
      </c>
      <c r="K193" s="47" t="s">
        <v>240</v>
      </c>
      <c r="L193" s="45">
        <v>6</v>
      </c>
      <c r="M193" s="13"/>
    </row>
    <row r="194" spans="1:13" s="8" customFormat="1" ht="102">
      <c r="A194" s="45" t="s">
        <v>1316</v>
      </c>
      <c r="B194" s="45" t="s">
        <v>1317</v>
      </c>
      <c r="C194" s="45"/>
      <c r="D194" s="45" t="s">
        <v>1318</v>
      </c>
      <c r="E194" s="91" t="s">
        <v>1319</v>
      </c>
      <c r="F194" s="46">
        <v>639147.39</v>
      </c>
      <c r="G194" s="45" t="s">
        <v>1320</v>
      </c>
      <c r="H194" s="45" t="s">
        <v>1321</v>
      </c>
      <c r="I194" s="45" t="s">
        <v>177</v>
      </c>
      <c r="J194" s="45" t="s">
        <v>1322</v>
      </c>
      <c r="K194" s="47" t="s">
        <v>323</v>
      </c>
      <c r="L194" s="45" t="s">
        <v>1323</v>
      </c>
      <c r="M194" s="13"/>
    </row>
    <row r="195" spans="1:13" s="8" customFormat="1" ht="67.5">
      <c r="A195" s="132" t="s">
        <v>1970</v>
      </c>
      <c r="B195" s="45" t="s">
        <v>1831</v>
      </c>
      <c r="C195" s="45" t="s">
        <v>1832</v>
      </c>
      <c r="D195" s="45">
        <v>2</v>
      </c>
      <c r="E195" s="91" t="s">
        <v>1833</v>
      </c>
      <c r="F195" s="46">
        <v>1462361</v>
      </c>
      <c r="G195" s="45" t="s">
        <v>139</v>
      </c>
      <c r="H195" s="45" t="s">
        <v>1834</v>
      </c>
      <c r="I195" s="45" t="s">
        <v>563</v>
      </c>
      <c r="J195" s="45" t="s">
        <v>1835</v>
      </c>
      <c r="K195" s="47" t="s">
        <v>784</v>
      </c>
      <c r="L195" s="45">
        <v>4</v>
      </c>
      <c r="M195" s="13"/>
    </row>
    <row r="196" spans="1:13" s="8" customFormat="1" ht="127.5">
      <c r="A196" s="45" t="s">
        <v>1339</v>
      </c>
      <c r="B196" s="45" t="s">
        <v>1340</v>
      </c>
      <c r="C196" s="45"/>
      <c r="D196" s="45">
        <v>4</v>
      </c>
      <c r="E196" s="91" t="s">
        <v>1341</v>
      </c>
      <c r="F196" s="46" t="s">
        <v>1342</v>
      </c>
      <c r="G196" s="45" t="s">
        <v>1343</v>
      </c>
      <c r="H196" s="45" t="s">
        <v>1344</v>
      </c>
      <c r="I196" s="45" t="s">
        <v>1345</v>
      </c>
      <c r="J196" s="45" t="s">
        <v>1346</v>
      </c>
      <c r="K196" s="47" t="s">
        <v>1123</v>
      </c>
      <c r="L196" s="45" t="s">
        <v>717</v>
      </c>
      <c r="M196" s="13"/>
    </row>
    <row r="197" spans="1:13" s="8" customFormat="1" ht="45">
      <c r="A197" s="20" t="s">
        <v>1356</v>
      </c>
      <c r="B197" s="20" t="s">
        <v>1357</v>
      </c>
      <c r="C197" s="20">
        <v>1973</v>
      </c>
      <c r="D197" s="20">
        <v>3</v>
      </c>
      <c r="E197" s="95">
        <v>1169</v>
      </c>
      <c r="F197" s="65">
        <v>506752.87</v>
      </c>
      <c r="G197" s="20" t="s">
        <v>1358</v>
      </c>
      <c r="H197" s="20" t="s">
        <v>340</v>
      </c>
      <c r="I197" s="20" t="s">
        <v>98</v>
      </c>
      <c r="J197" s="20" t="s">
        <v>1359</v>
      </c>
      <c r="K197" s="66" t="s">
        <v>1123</v>
      </c>
      <c r="L197" s="20">
        <v>1</v>
      </c>
      <c r="M197" s="13"/>
    </row>
    <row r="198" spans="1:13" s="8" customFormat="1" ht="45">
      <c r="A198" s="20" t="s">
        <v>1356</v>
      </c>
      <c r="B198" s="20" t="s">
        <v>1357</v>
      </c>
      <c r="C198" s="20">
        <v>1934</v>
      </c>
      <c r="D198" s="20">
        <v>1</v>
      </c>
      <c r="E198" s="95">
        <v>53</v>
      </c>
      <c r="F198" s="65">
        <v>6828.91</v>
      </c>
      <c r="G198" s="20" t="s">
        <v>1358</v>
      </c>
      <c r="H198" s="20" t="s">
        <v>340</v>
      </c>
      <c r="I198" s="20" t="s">
        <v>98</v>
      </c>
      <c r="J198" s="20"/>
      <c r="K198" s="66" t="s">
        <v>108</v>
      </c>
      <c r="L198" s="20" t="s">
        <v>108</v>
      </c>
      <c r="M198" s="13"/>
    </row>
    <row r="199" spans="1:13" s="8" customFormat="1" ht="45">
      <c r="A199" s="20" t="s">
        <v>1356</v>
      </c>
      <c r="B199" s="20" t="s">
        <v>1360</v>
      </c>
      <c r="C199" s="20">
        <v>1973</v>
      </c>
      <c r="D199" s="20">
        <v>2</v>
      </c>
      <c r="E199" s="95">
        <v>745</v>
      </c>
      <c r="F199" s="65">
        <v>172569.38</v>
      </c>
      <c r="G199" s="20" t="s">
        <v>1358</v>
      </c>
      <c r="H199" s="20" t="s">
        <v>340</v>
      </c>
      <c r="I199" s="20" t="s">
        <v>98</v>
      </c>
      <c r="J199" s="20"/>
      <c r="K199" s="66" t="s">
        <v>323</v>
      </c>
      <c r="L199" s="20" t="s">
        <v>108</v>
      </c>
      <c r="M199" s="13"/>
    </row>
    <row r="200" spans="1:13" s="8" customFormat="1" ht="45">
      <c r="A200" s="20" t="s">
        <v>1356</v>
      </c>
      <c r="B200" s="20" t="s">
        <v>1360</v>
      </c>
      <c r="C200" s="20">
        <v>1965</v>
      </c>
      <c r="D200" s="20">
        <v>1</v>
      </c>
      <c r="E200" s="95">
        <v>500</v>
      </c>
      <c r="F200" s="65">
        <v>116908.49</v>
      </c>
      <c r="G200" s="20" t="s">
        <v>1358</v>
      </c>
      <c r="H200" s="20" t="s">
        <v>340</v>
      </c>
      <c r="I200" s="20" t="s">
        <v>98</v>
      </c>
      <c r="J200" s="20"/>
      <c r="K200" s="66" t="s">
        <v>323</v>
      </c>
      <c r="L200" s="20" t="s">
        <v>108</v>
      </c>
      <c r="M200" s="13"/>
    </row>
    <row r="201" spans="1:13" s="8" customFormat="1" ht="45">
      <c r="A201" s="20" t="s">
        <v>1356</v>
      </c>
      <c r="B201" s="20" t="s">
        <v>1360</v>
      </c>
      <c r="C201" s="20">
        <v>1990</v>
      </c>
      <c r="D201" s="20">
        <v>1</v>
      </c>
      <c r="E201" s="95">
        <v>131</v>
      </c>
      <c r="F201" s="65">
        <v>135950.67000000001</v>
      </c>
      <c r="G201" s="20" t="s">
        <v>1358</v>
      </c>
      <c r="H201" s="20" t="s">
        <v>340</v>
      </c>
      <c r="I201" s="20" t="s">
        <v>98</v>
      </c>
      <c r="J201" s="20" t="s">
        <v>1361</v>
      </c>
      <c r="K201" s="66" t="s">
        <v>259</v>
      </c>
      <c r="L201" s="20" t="s">
        <v>108</v>
      </c>
      <c r="M201" s="13"/>
    </row>
    <row r="202" spans="1:13" s="8" customFormat="1" ht="45">
      <c r="A202" s="20" t="s">
        <v>1356</v>
      </c>
      <c r="B202" s="20" t="s">
        <v>1360</v>
      </c>
      <c r="C202" s="20">
        <v>1965</v>
      </c>
      <c r="D202" s="20">
        <v>1</v>
      </c>
      <c r="E202" s="95">
        <v>51</v>
      </c>
      <c r="F202" s="65">
        <v>39494.67</v>
      </c>
      <c r="G202" s="20" t="s">
        <v>1358</v>
      </c>
      <c r="H202" s="20" t="s">
        <v>340</v>
      </c>
      <c r="I202" s="20" t="s">
        <v>98</v>
      </c>
      <c r="J202" s="20"/>
      <c r="K202" s="66" t="s">
        <v>108</v>
      </c>
      <c r="L202" s="20" t="s">
        <v>108</v>
      </c>
      <c r="M202" s="13"/>
    </row>
    <row r="203" spans="1:13" s="8" customFormat="1" ht="45">
      <c r="A203" s="20" t="s">
        <v>1356</v>
      </c>
      <c r="B203" s="20" t="s">
        <v>1360</v>
      </c>
      <c r="C203" s="20">
        <v>1956</v>
      </c>
      <c r="D203" s="20">
        <v>1</v>
      </c>
      <c r="E203" s="95">
        <v>44</v>
      </c>
      <c r="F203" s="65">
        <v>7233.14</v>
      </c>
      <c r="G203" s="20" t="s">
        <v>1358</v>
      </c>
      <c r="H203" s="20" t="s">
        <v>340</v>
      </c>
      <c r="I203" s="20" t="s">
        <v>98</v>
      </c>
      <c r="J203" s="20"/>
      <c r="K203" s="66" t="s">
        <v>108</v>
      </c>
      <c r="L203" s="20" t="s">
        <v>108</v>
      </c>
      <c r="M203" s="13"/>
    </row>
    <row r="204" spans="1:13" s="8" customFormat="1" ht="45">
      <c r="A204" s="20" t="s">
        <v>1356</v>
      </c>
      <c r="B204" s="20" t="s">
        <v>1360</v>
      </c>
      <c r="C204" s="20">
        <v>1990</v>
      </c>
      <c r="D204" s="20">
        <v>1</v>
      </c>
      <c r="E204" s="95">
        <v>35</v>
      </c>
      <c r="F204" s="65">
        <v>21216.65</v>
      </c>
      <c r="G204" s="20" t="s">
        <v>1362</v>
      </c>
      <c r="H204" s="20" t="s">
        <v>340</v>
      </c>
      <c r="I204" s="20" t="s">
        <v>1363</v>
      </c>
      <c r="J204" s="20"/>
      <c r="K204" s="66" t="s">
        <v>99</v>
      </c>
      <c r="L204" s="20" t="s">
        <v>108</v>
      </c>
      <c r="M204" s="13"/>
    </row>
    <row r="205" spans="1:13" s="8" customFormat="1" ht="30">
      <c r="A205" s="20" t="s">
        <v>1356</v>
      </c>
      <c r="B205" s="20" t="s">
        <v>1360</v>
      </c>
      <c r="C205" s="20">
        <v>1965</v>
      </c>
      <c r="D205" s="20">
        <v>1</v>
      </c>
      <c r="E205" s="95">
        <v>519</v>
      </c>
      <c r="F205" s="65">
        <v>22897.41</v>
      </c>
      <c r="G205" s="20" t="s">
        <v>1358</v>
      </c>
      <c r="H205" s="20" t="s">
        <v>340</v>
      </c>
      <c r="I205" s="20" t="s">
        <v>1364</v>
      </c>
      <c r="J205" s="20"/>
      <c r="K205" s="66" t="s">
        <v>108</v>
      </c>
      <c r="L205" s="20" t="s">
        <v>108</v>
      </c>
      <c r="M205" s="13"/>
    </row>
    <row r="206" spans="1:13" s="8" customFormat="1" ht="45">
      <c r="A206" s="20" t="s">
        <v>1356</v>
      </c>
      <c r="B206" s="20" t="s">
        <v>1360</v>
      </c>
      <c r="C206" s="20">
        <v>1979</v>
      </c>
      <c r="D206" s="20">
        <v>1</v>
      </c>
      <c r="E206" s="95">
        <v>71</v>
      </c>
      <c r="F206" s="65">
        <v>11613.68</v>
      </c>
      <c r="G206" s="20" t="s">
        <v>1358</v>
      </c>
      <c r="H206" s="20" t="s">
        <v>340</v>
      </c>
      <c r="I206" s="20" t="s">
        <v>98</v>
      </c>
      <c r="J206" s="20"/>
      <c r="K206" s="66" t="s">
        <v>99</v>
      </c>
      <c r="L206" s="20" t="s">
        <v>108</v>
      </c>
      <c r="M206" s="13"/>
    </row>
    <row r="207" spans="1:13" s="8" customFormat="1" ht="30">
      <c r="A207" s="20" t="s">
        <v>1356</v>
      </c>
      <c r="B207" s="20" t="s">
        <v>1365</v>
      </c>
      <c r="C207" s="20">
        <v>2009</v>
      </c>
      <c r="D207" s="20">
        <v>1</v>
      </c>
      <c r="E207" s="95">
        <v>3</v>
      </c>
      <c r="F207" s="65">
        <v>69807.08</v>
      </c>
      <c r="G207" s="20" t="s">
        <v>1366</v>
      </c>
      <c r="H207" s="20" t="s">
        <v>1367</v>
      </c>
      <c r="I207" s="20" t="s">
        <v>1368</v>
      </c>
      <c r="J207" s="20"/>
      <c r="K207" s="66" t="s">
        <v>108</v>
      </c>
      <c r="L207" s="20">
        <v>1</v>
      </c>
      <c r="M207" s="13"/>
    </row>
    <row r="208" spans="1:13" s="8" customFormat="1" ht="255">
      <c r="A208" s="45" t="s">
        <v>1401</v>
      </c>
      <c r="B208" s="45" t="s">
        <v>1402</v>
      </c>
      <c r="C208" s="45">
        <v>1982</v>
      </c>
      <c r="D208" s="45" t="s">
        <v>1403</v>
      </c>
      <c r="E208" s="91">
        <v>755</v>
      </c>
      <c r="F208" s="46">
        <v>537585.49</v>
      </c>
      <c r="G208" s="45" t="s">
        <v>1404</v>
      </c>
      <c r="H208" s="45" t="s">
        <v>1405</v>
      </c>
      <c r="I208" s="45" t="s">
        <v>616</v>
      </c>
      <c r="J208" s="45" t="s">
        <v>1406</v>
      </c>
      <c r="K208" s="47" t="s">
        <v>323</v>
      </c>
      <c r="L208" s="45">
        <v>2</v>
      </c>
      <c r="M208" s="13"/>
    </row>
    <row r="209" spans="1:13" s="8" customFormat="1" ht="204">
      <c r="A209" s="45" t="s">
        <v>1415</v>
      </c>
      <c r="B209" s="45" t="s">
        <v>1416</v>
      </c>
      <c r="C209" s="45" t="s">
        <v>1417</v>
      </c>
      <c r="D209" s="45">
        <v>3</v>
      </c>
      <c r="E209" s="91">
        <v>1496.3</v>
      </c>
      <c r="F209" s="46">
        <v>1293075.3999999999</v>
      </c>
      <c r="G209" s="45" t="s">
        <v>1418</v>
      </c>
      <c r="H209" s="45" t="s">
        <v>466</v>
      </c>
      <c r="I209" s="45" t="s">
        <v>98</v>
      </c>
      <c r="J209" s="45" t="s">
        <v>1419</v>
      </c>
      <c r="K209" s="47" t="s">
        <v>1123</v>
      </c>
      <c r="L209" s="45" t="s">
        <v>1420</v>
      </c>
      <c r="M209" s="13"/>
    </row>
    <row r="210" spans="1:13" s="8" customFormat="1" ht="38.25">
      <c r="A210" s="45" t="s">
        <v>1433</v>
      </c>
      <c r="B210" s="45" t="s">
        <v>1440</v>
      </c>
      <c r="C210" s="45" t="s">
        <v>1441</v>
      </c>
      <c r="D210" s="45">
        <v>3</v>
      </c>
      <c r="E210" s="91">
        <v>1063.77</v>
      </c>
      <c r="F210" s="46">
        <v>584048.67000000004</v>
      </c>
      <c r="G210" s="45" t="s">
        <v>1442</v>
      </c>
      <c r="H210" s="45" t="s">
        <v>107</v>
      </c>
      <c r="I210" s="45" t="s">
        <v>1443</v>
      </c>
      <c r="J210" s="45" t="s">
        <v>1444</v>
      </c>
      <c r="K210" s="47" t="s">
        <v>109</v>
      </c>
      <c r="L210" s="45">
        <v>3</v>
      </c>
      <c r="M210" s="13"/>
    </row>
    <row r="211" spans="1:13" s="8" customFormat="1" ht="25.5">
      <c r="A211" s="45"/>
      <c r="B211" s="45" t="s">
        <v>1437</v>
      </c>
      <c r="C211" s="45" t="s">
        <v>1445</v>
      </c>
      <c r="D211" s="45">
        <v>6</v>
      </c>
      <c r="E211" s="91">
        <v>472</v>
      </c>
      <c r="F211" s="46">
        <v>120150</v>
      </c>
      <c r="G211" s="45" t="s">
        <v>1442</v>
      </c>
      <c r="H211" s="45" t="s">
        <v>107</v>
      </c>
      <c r="I211" s="45" t="s">
        <v>1443</v>
      </c>
      <c r="J211" s="45" t="s">
        <v>1446</v>
      </c>
      <c r="K211" s="47" t="s">
        <v>784</v>
      </c>
      <c r="L211" s="45">
        <v>5</v>
      </c>
      <c r="M211" s="13"/>
    </row>
    <row r="212" spans="1:13" s="8" customFormat="1" ht="25.5">
      <c r="A212" s="45"/>
      <c r="B212" s="45" t="s">
        <v>1447</v>
      </c>
      <c r="C212" s="45" t="s">
        <v>1445</v>
      </c>
      <c r="D212" s="45">
        <v>6</v>
      </c>
      <c r="E212" s="91">
        <v>430.5</v>
      </c>
      <c r="F212" s="46">
        <v>81201</v>
      </c>
      <c r="G212" s="45" t="s">
        <v>1442</v>
      </c>
      <c r="H212" s="45" t="s">
        <v>107</v>
      </c>
      <c r="I212" s="45" t="s">
        <v>1443</v>
      </c>
      <c r="J212" s="45"/>
      <c r="K212" s="47" t="s">
        <v>530</v>
      </c>
      <c r="L212" s="45">
        <v>6</v>
      </c>
      <c r="M212" s="13"/>
    </row>
    <row r="213" spans="1:13" s="8" customFormat="1" ht="25.5">
      <c r="A213" s="45"/>
      <c r="B213" s="45" t="s">
        <v>1448</v>
      </c>
      <c r="C213" s="45" t="s">
        <v>1445</v>
      </c>
      <c r="D213" s="45">
        <v>3</v>
      </c>
      <c r="E213" s="91">
        <v>340.5</v>
      </c>
      <c r="F213" s="46">
        <v>151139</v>
      </c>
      <c r="G213" s="45" t="s">
        <v>1449</v>
      </c>
      <c r="H213" s="45" t="s">
        <v>107</v>
      </c>
      <c r="I213" s="45" t="s">
        <v>1443</v>
      </c>
      <c r="J213" s="45"/>
      <c r="K213" s="47" t="s">
        <v>323</v>
      </c>
      <c r="L213" s="45">
        <v>0</v>
      </c>
      <c r="M213" s="13"/>
    </row>
    <row r="214" spans="1:13" s="8" customFormat="1" ht="25.5">
      <c r="A214" s="45"/>
      <c r="B214" s="45" t="s">
        <v>1450</v>
      </c>
      <c r="C214" s="45" t="s">
        <v>1445</v>
      </c>
      <c r="D214" s="45">
        <v>6</v>
      </c>
      <c r="E214" s="91">
        <v>342.4</v>
      </c>
      <c r="F214" s="46">
        <v>152533</v>
      </c>
      <c r="G214" s="45" t="s">
        <v>1449</v>
      </c>
      <c r="H214" s="45" t="s">
        <v>107</v>
      </c>
      <c r="I214" s="45" t="s">
        <v>1443</v>
      </c>
      <c r="J214" s="45"/>
      <c r="K214" s="47" t="s">
        <v>637</v>
      </c>
      <c r="L214" s="45">
        <v>0</v>
      </c>
      <c r="M214" s="13"/>
    </row>
    <row r="215" spans="1:13" s="8" customFormat="1" ht="25.5">
      <c r="A215" s="45"/>
      <c r="B215" s="45" t="s">
        <v>1451</v>
      </c>
      <c r="C215" s="45" t="s">
        <v>1445</v>
      </c>
      <c r="D215" s="45">
        <v>6</v>
      </c>
      <c r="E215" s="91">
        <v>508</v>
      </c>
      <c r="F215" s="46">
        <v>355174.39</v>
      </c>
      <c r="G215" s="45" t="s">
        <v>1449</v>
      </c>
      <c r="H215" s="45" t="s">
        <v>107</v>
      </c>
      <c r="I215" s="45" t="s">
        <v>1443</v>
      </c>
      <c r="J215" s="45" t="s">
        <v>1452</v>
      </c>
      <c r="K215" s="47" t="s">
        <v>503</v>
      </c>
      <c r="L215" s="45">
        <v>6</v>
      </c>
      <c r="M215" s="13"/>
    </row>
    <row r="216" spans="1:13" s="8" customFormat="1" ht="25.5">
      <c r="A216" s="45"/>
      <c r="B216" s="45" t="s">
        <v>1438</v>
      </c>
      <c r="C216" s="45" t="s">
        <v>1441</v>
      </c>
      <c r="D216" s="45">
        <v>3</v>
      </c>
      <c r="E216" s="91">
        <v>543.82000000000005</v>
      </c>
      <c r="F216" s="46">
        <v>247872.48</v>
      </c>
      <c r="G216" s="45" t="s">
        <v>1449</v>
      </c>
      <c r="H216" s="45"/>
      <c r="I216" s="45" t="s">
        <v>1443</v>
      </c>
      <c r="J216" s="45" t="s">
        <v>1453</v>
      </c>
      <c r="K216" s="47" t="s">
        <v>503</v>
      </c>
      <c r="L216" s="45">
        <v>3</v>
      </c>
      <c r="M216" s="13"/>
    </row>
    <row r="217" spans="1:13" s="8" customFormat="1">
      <c r="A217" s="45" t="s">
        <v>859</v>
      </c>
      <c r="B217" s="45" t="s">
        <v>1434</v>
      </c>
      <c r="C217" s="45" t="s">
        <v>1454</v>
      </c>
      <c r="D217" s="45">
        <v>1</v>
      </c>
      <c r="E217" s="91">
        <v>36</v>
      </c>
      <c r="F217" s="46">
        <v>12880</v>
      </c>
      <c r="G217" s="45" t="s">
        <v>1449</v>
      </c>
      <c r="H217" s="45" t="s">
        <v>107</v>
      </c>
      <c r="I217" s="45" t="s">
        <v>100</v>
      </c>
      <c r="J217" s="45"/>
      <c r="K217" s="47" t="s">
        <v>99</v>
      </c>
      <c r="L217" s="45"/>
      <c r="M217" s="13"/>
    </row>
    <row r="218" spans="1:13" s="8" customFormat="1" ht="38.25">
      <c r="A218" s="45" t="s">
        <v>1439</v>
      </c>
      <c r="B218" s="45" t="s">
        <v>1434</v>
      </c>
      <c r="C218" s="45">
        <v>2004</v>
      </c>
      <c r="D218" s="45"/>
      <c r="E218" s="91">
        <v>1029.5999999999999</v>
      </c>
      <c r="F218" s="46">
        <v>213700</v>
      </c>
      <c r="G218" s="45" t="s">
        <v>1455</v>
      </c>
      <c r="H218" s="45"/>
      <c r="I218" s="45"/>
      <c r="J218" s="45"/>
      <c r="K218" s="47"/>
      <c r="L218" s="45"/>
      <c r="M218" s="13"/>
    </row>
    <row r="219" spans="1:13" s="8" customFormat="1" ht="38.25">
      <c r="A219" s="45" t="s">
        <v>1456</v>
      </c>
      <c r="B219" s="45" t="s">
        <v>1434</v>
      </c>
      <c r="C219" s="45">
        <v>2006</v>
      </c>
      <c r="D219" s="45"/>
      <c r="E219" s="91" t="s">
        <v>1457</v>
      </c>
      <c r="F219" s="46">
        <v>5500</v>
      </c>
      <c r="G219" s="45" t="s">
        <v>1458</v>
      </c>
      <c r="H219" s="45"/>
      <c r="I219" s="45"/>
      <c r="J219" s="45"/>
      <c r="K219" s="47"/>
      <c r="L219" s="45"/>
      <c r="M219" s="13"/>
    </row>
    <row r="220" spans="1:13" s="8" customFormat="1" ht="38.25">
      <c r="A220" s="45" t="s">
        <v>1435</v>
      </c>
      <c r="B220" s="45" t="s">
        <v>1434</v>
      </c>
      <c r="C220" s="45">
        <v>2009</v>
      </c>
      <c r="D220" s="45"/>
      <c r="E220" s="91"/>
      <c r="F220" s="46">
        <v>6999.14</v>
      </c>
      <c r="G220" s="45" t="s">
        <v>1459</v>
      </c>
      <c r="H220" s="45"/>
      <c r="I220" s="45"/>
      <c r="J220" s="45"/>
      <c r="K220" s="47"/>
      <c r="L220" s="45"/>
      <c r="M220" s="13"/>
    </row>
    <row r="221" spans="1:13" s="8" customFormat="1" ht="25.5">
      <c r="A221" s="45" t="s">
        <v>1488</v>
      </c>
      <c r="B221" s="45" t="s">
        <v>1489</v>
      </c>
      <c r="C221" s="45" t="s">
        <v>1490</v>
      </c>
      <c r="D221" s="45" t="s">
        <v>1491</v>
      </c>
      <c r="E221" s="91" t="s">
        <v>1492</v>
      </c>
      <c r="F221" s="46" t="s">
        <v>1493</v>
      </c>
      <c r="G221" s="45" t="s">
        <v>1494</v>
      </c>
      <c r="H221" s="45" t="s">
        <v>107</v>
      </c>
      <c r="I221" s="45" t="s">
        <v>1495</v>
      </c>
      <c r="J221" s="45" t="s">
        <v>1496</v>
      </c>
      <c r="K221" s="47" t="s">
        <v>254</v>
      </c>
      <c r="L221" s="45">
        <v>4</v>
      </c>
      <c r="M221" s="13"/>
    </row>
    <row r="222" spans="1:13" s="8" customFormat="1" ht="25.5">
      <c r="A222" s="45" t="s">
        <v>1497</v>
      </c>
      <c r="B222" s="45" t="s">
        <v>1498</v>
      </c>
      <c r="C222" s="45">
        <v>1962</v>
      </c>
      <c r="D222" s="45" t="s">
        <v>1499</v>
      </c>
      <c r="E222" s="91" t="s">
        <v>1500</v>
      </c>
      <c r="F222" s="46">
        <v>34046.800000000003</v>
      </c>
      <c r="G222" s="45" t="s">
        <v>1501</v>
      </c>
      <c r="H222" s="45" t="s">
        <v>112</v>
      </c>
      <c r="I222" s="45" t="s">
        <v>1502</v>
      </c>
      <c r="J222" s="45" t="s">
        <v>1503</v>
      </c>
      <c r="K222" s="47" t="s">
        <v>99</v>
      </c>
      <c r="L222" s="45" t="s">
        <v>219</v>
      </c>
      <c r="M222" s="13"/>
    </row>
    <row r="223" spans="1:13" s="8" customFormat="1" ht="25.5">
      <c r="A223" s="45" t="s">
        <v>1504</v>
      </c>
      <c r="B223" s="45" t="s">
        <v>1489</v>
      </c>
      <c r="C223" s="45">
        <v>1990</v>
      </c>
      <c r="D223" s="45" t="s">
        <v>1505</v>
      </c>
      <c r="E223" s="91" t="s">
        <v>1506</v>
      </c>
      <c r="F223" s="46" t="s">
        <v>1507</v>
      </c>
      <c r="G223" s="45" t="s">
        <v>1508</v>
      </c>
      <c r="H223" s="45" t="s">
        <v>112</v>
      </c>
      <c r="I223" s="45" t="s">
        <v>1502</v>
      </c>
      <c r="J223" s="45" t="s">
        <v>219</v>
      </c>
      <c r="K223" s="47" t="s">
        <v>99</v>
      </c>
      <c r="L223" s="45" t="s">
        <v>219</v>
      </c>
      <c r="M223" s="13"/>
    </row>
    <row r="224" spans="1:13" s="8" customFormat="1" ht="38.25">
      <c r="A224" s="45" t="s">
        <v>1856</v>
      </c>
      <c r="B224" s="45" t="s">
        <v>1857</v>
      </c>
      <c r="C224" s="45">
        <v>1901</v>
      </c>
      <c r="D224" s="45">
        <v>4</v>
      </c>
      <c r="E224" s="91" t="s">
        <v>1858</v>
      </c>
      <c r="F224" s="46">
        <v>2681956.42</v>
      </c>
      <c r="G224" s="45" t="s">
        <v>1859</v>
      </c>
      <c r="H224" s="45" t="s">
        <v>1860</v>
      </c>
      <c r="I224" s="45" t="s">
        <v>1443</v>
      </c>
      <c r="J224" s="45" t="s">
        <v>1861</v>
      </c>
      <c r="K224" s="47" t="s">
        <v>1862</v>
      </c>
      <c r="L224" s="45">
        <v>4</v>
      </c>
      <c r="M224" s="13"/>
    </row>
    <row r="225" spans="1:13" s="8" customFormat="1" ht="38.25">
      <c r="A225" s="45" t="s">
        <v>1856</v>
      </c>
      <c r="B225" s="45" t="s">
        <v>1857</v>
      </c>
      <c r="C225" s="45">
        <v>2004</v>
      </c>
      <c r="D225" s="45">
        <v>1</v>
      </c>
      <c r="E225" s="91" t="s">
        <v>1863</v>
      </c>
      <c r="F225" s="46">
        <v>2238549</v>
      </c>
      <c r="G225" s="45" t="s">
        <v>1859</v>
      </c>
      <c r="H225" s="45" t="s">
        <v>562</v>
      </c>
      <c r="I225" s="45" t="s">
        <v>1864</v>
      </c>
      <c r="J225" s="45" t="s">
        <v>1865</v>
      </c>
      <c r="K225" s="47" t="s">
        <v>326</v>
      </c>
      <c r="L225" s="45">
        <v>2</v>
      </c>
      <c r="M225" s="13"/>
    </row>
    <row r="226" spans="1:13" ht="22.5" customHeight="1">
      <c r="A226" s="10" t="s">
        <v>48</v>
      </c>
    </row>
    <row r="227" spans="1:13">
      <c r="A227" s="1" t="s">
        <v>25</v>
      </c>
      <c r="B227" s="1"/>
      <c r="C227" s="1"/>
      <c r="D227" s="1"/>
      <c r="E227" s="1"/>
      <c r="F227" s="1"/>
      <c r="G227" s="1"/>
      <c r="H227" s="18"/>
    </row>
    <row r="228" spans="1:13">
      <c r="A228" s="197" t="s">
        <v>27</v>
      </c>
      <c r="B228" s="197"/>
      <c r="C228" s="197"/>
      <c r="D228" s="197"/>
      <c r="E228" s="197"/>
      <c r="F228" s="197"/>
      <c r="G228" s="197"/>
      <c r="H228" s="6"/>
      <c r="I228" s="6"/>
      <c r="J228" s="6"/>
      <c r="K228" s="6"/>
      <c r="L228" s="6"/>
    </row>
    <row r="230" spans="1:13">
      <c r="B230" s="15"/>
    </row>
  </sheetData>
  <mergeCells count="2">
    <mergeCell ref="A228:G228"/>
    <mergeCell ref="A1:L1"/>
  </mergeCells>
  <phoneticPr fontId="5" type="noConversion"/>
  <pageMargins left="0.75" right="0.75" top="1" bottom="1" header="0.5" footer="0.5"/>
  <pageSetup paperSize="9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"/>
  <sheetViews>
    <sheetView view="pageBreakPreview" zoomScale="75" zoomScaleNormal="90" zoomScaleSheetLayoutView="75" workbookViewId="0">
      <selection activeCell="A2" sqref="A2"/>
    </sheetView>
  </sheetViews>
  <sheetFormatPr defaultRowHeight="15"/>
  <cols>
    <col min="1" max="1" width="29.5703125" style="15" customWidth="1"/>
    <col min="2" max="2" width="16.5703125" style="8" customWidth="1"/>
    <col min="3" max="3" width="20.85546875" style="8" customWidth="1"/>
    <col min="4" max="4" width="28" style="8" customWidth="1"/>
    <col min="5" max="5" width="15.42578125" style="8" customWidth="1"/>
    <col min="6" max="6" width="18.42578125" style="8" customWidth="1"/>
    <col min="7" max="7" width="18.28515625" style="8" customWidth="1"/>
    <col min="8" max="8" width="13.5703125" style="8" customWidth="1"/>
    <col min="9" max="9" width="15" style="8" customWidth="1"/>
    <col min="10" max="10" width="15.140625" style="8" customWidth="1"/>
    <col min="11" max="12" width="27" style="8" customWidth="1"/>
    <col min="13" max="13" width="16.140625" style="8" customWidth="1"/>
    <col min="14" max="14" width="18.85546875" style="8" customWidth="1"/>
    <col min="15" max="15" width="29.42578125" style="8" customWidth="1"/>
    <col min="16" max="16" width="27.85546875" style="8" customWidth="1"/>
    <col min="17" max="16384" width="9.140625" style="8"/>
  </cols>
  <sheetData>
    <row r="1" spans="1:16" ht="15.75">
      <c r="A1" s="200" t="s">
        <v>2001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16.5">
      <c r="A2" s="177" t="s">
        <v>2002</v>
      </c>
      <c r="B2" s="178"/>
      <c r="C2" s="179"/>
      <c r="D2" s="178"/>
      <c r="E2" s="178"/>
      <c r="F2" s="178"/>
      <c r="G2" s="178"/>
      <c r="H2" s="178"/>
      <c r="I2" s="178"/>
      <c r="J2" s="178"/>
      <c r="K2" s="178"/>
      <c r="L2" s="180"/>
    </row>
    <row r="3" spans="1:16" ht="45" customHeight="1">
      <c r="A3" s="97" t="s">
        <v>15</v>
      </c>
      <c r="B3" s="98" t="s">
        <v>50</v>
      </c>
      <c r="C3" s="98" t="s">
        <v>51</v>
      </c>
      <c r="D3" s="98" t="s">
        <v>52</v>
      </c>
      <c r="E3" s="98" t="s">
        <v>53</v>
      </c>
      <c r="F3" s="98" t="s">
        <v>54</v>
      </c>
      <c r="G3" s="98" t="s">
        <v>55</v>
      </c>
      <c r="H3" s="98" t="s">
        <v>56</v>
      </c>
      <c r="I3" s="98" t="s">
        <v>57</v>
      </c>
      <c r="J3" s="98" t="s">
        <v>58</v>
      </c>
      <c r="K3" s="98" t="s">
        <v>59</v>
      </c>
      <c r="L3" s="98" t="s">
        <v>60</v>
      </c>
      <c r="M3" s="98" t="s">
        <v>61</v>
      </c>
      <c r="N3" s="98" t="s">
        <v>62</v>
      </c>
      <c r="O3" s="98" t="s">
        <v>63</v>
      </c>
      <c r="P3" s="99" t="s">
        <v>64</v>
      </c>
    </row>
    <row r="4" spans="1:16" ht="45" customHeight="1">
      <c r="A4" s="20" t="s">
        <v>1867</v>
      </c>
      <c r="B4" s="20" t="s">
        <v>219</v>
      </c>
      <c r="C4" s="20" t="s">
        <v>219</v>
      </c>
      <c r="D4" s="20" t="s">
        <v>219</v>
      </c>
      <c r="E4" s="20" t="s">
        <v>219</v>
      </c>
      <c r="F4" s="20" t="s">
        <v>219</v>
      </c>
      <c r="G4" s="20" t="s">
        <v>101</v>
      </c>
      <c r="H4" s="20" t="s">
        <v>101</v>
      </c>
      <c r="I4" s="20" t="s">
        <v>219</v>
      </c>
      <c r="J4" s="20" t="s">
        <v>101</v>
      </c>
      <c r="K4" s="20" t="s">
        <v>219</v>
      </c>
      <c r="L4" s="20" t="s">
        <v>101</v>
      </c>
      <c r="M4" s="20" t="s">
        <v>101</v>
      </c>
      <c r="N4" s="20" t="s">
        <v>219</v>
      </c>
      <c r="O4" s="20" t="s">
        <v>101</v>
      </c>
      <c r="P4" s="20" t="s">
        <v>219</v>
      </c>
    </row>
    <row r="5" spans="1:16" ht="45" customHeight="1">
      <c r="A5" s="20" t="s">
        <v>1868</v>
      </c>
      <c r="B5" s="20" t="s">
        <v>2011</v>
      </c>
      <c r="C5" s="20" t="s">
        <v>219</v>
      </c>
      <c r="D5" s="20" t="s">
        <v>219</v>
      </c>
      <c r="E5" s="20" t="s">
        <v>219</v>
      </c>
      <c r="F5" s="20" t="s">
        <v>219</v>
      </c>
      <c r="G5" s="20" t="s">
        <v>101</v>
      </c>
      <c r="H5" s="20" t="s">
        <v>101</v>
      </c>
      <c r="I5" s="20" t="s">
        <v>219</v>
      </c>
      <c r="J5" s="20" t="s">
        <v>101</v>
      </c>
      <c r="K5" s="20" t="s">
        <v>219</v>
      </c>
      <c r="L5" s="20" t="s">
        <v>101</v>
      </c>
      <c r="M5" s="20" t="s">
        <v>101</v>
      </c>
      <c r="N5" s="20" t="s">
        <v>219</v>
      </c>
      <c r="O5" s="20" t="s">
        <v>101</v>
      </c>
      <c r="P5" s="20" t="s">
        <v>219</v>
      </c>
    </row>
    <row r="6" spans="1:16" ht="45" customHeight="1">
      <c r="A6" s="20" t="s">
        <v>1869</v>
      </c>
      <c r="B6" s="20" t="s">
        <v>219</v>
      </c>
      <c r="C6" s="20" t="s">
        <v>101</v>
      </c>
      <c r="D6" s="20" t="s">
        <v>101</v>
      </c>
      <c r="E6" s="20" t="s">
        <v>219</v>
      </c>
      <c r="F6" s="20" t="s">
        <v>219</v>
      </c>
      <c r="G6" s="20" t="s">
        <v>101</v>
      </c>
      <c r="H6" s="20" t="s">
        <v>101</v>
      </c>
      <c r="I6" s="20" t="s">
        <v>219</v>
      </c>
      <c r="J6" s="20" t="s">
        <v>101</v>
      </c>
      <c r="K6" s="20" t="s">
        <v>219</v>
      </c>
      <c r="L6" s="20" t="s">
        <v>101</v>
      </c>
      <c r="M6" s="20" t="s">
        <v>101</v>
      </c>
      <c r="N6" s="20" t="s">
        <v>219</v>
      </c>
      <c r="O6" s="20" t="s">
        <v>219</v>
      </c>
      <c r="P6" s="20" t="s">
        <v>101</v>
      </c>
    </row>
    <row r="7" spans="1:16" ht="45" customHeight="1">
      <c r="A7" s="20" t="s">
        <v>1870</v>
      </c>
      <c r="B7" s="20" t="s">
        <v>2011</v>
      </c>
      <c r="C7" s="20" t="s">
        <v>101</v>
      </c>
      <c r="D7" s="20" t="s">
        <v>101</v>
      </c>
      <c r="E7" s="20" t="s">
        <v>219</v>
      </c>
      <c r="F7" s="20" t="s">
        <v>219</v>
      </c>
      <c r="G7" s="20" t="s">
        <v>101</v>
      </c>
      <c r="H7" s="20" t="s">
        <v>219</v>
      </c>
      <c r="I7" s="20" t="s">
        <v>1673</v>
      </c>
      <c r="J7" s="20" t="s">
        <v>219</v>
      </c>
      <c r="K7" s="20" t="s">
        <v>219</v>
      </c>
      <c r="L7" s="20" t="s">
        <v>101</v>
      </c>
      <c r="M7" s="20" t="s">
        <v>219</v>
      </c>
      <c r="N7" s="20" t="s">
        <v>101</v>
      </c>
      <c r="O7" s="20" t="s">
        <v>219</v>
      </c>
      <c r="P7" s="20" t="s">
        <v>1674</v>
      </c>
    </row>
    <row r="8" spans="1:16" ht="45" customHeight="1">
      <c r="A8" s="20" t="s">
        <v>1871</v>
      </c>
      <c r="B8" s="20" t="s">
        <v>101</v>
      </c>
      <c r="C8" s="20" t="s">
        <v>1675</v>
      </c>
      <c r="D8" s="20" t="s">
        <v>1675</v>
      </c>
      <c r="E8" s="20" t="s">
        <v>1676</v>
      </c>
      <c r="F8" s="20" t="s">
        <v>1677</v>
      </c>
      <c r="G8" s="20" t="s">
        <v>345</v>
      </c>
      <c r="H8" s="20" t="s">
        <v>219</v>
      </c>
      <c r="I8" s="20" t="s">
        <v>219</v>
      </c>
      <c r="J8" s="20" t="s">
        <v>219</v>
      </c>
      <c r="K8" s="20" t="s">
        <v>219</v>
      </c>
      <c r="L8" s="20" t="s">
        <v>219</v>
      </c>
      <c r="M8" s="20" t="s">
        <v>219</v>
      </c>
      <c r="N8" s="20" t="s">
        <v>219</v>
      </c>
      <c r="O8" s="20" t="s">
        <v>219</v>
      </c>
      <c r="P8" s="20" t="s">
        <v>219</v>
      </c>
    </row>
    <row r="9" spans="1:16" ht="45" customHeight="1">
      <c r="A9" s="20" t="s">
        <v>1872</v>
      </c>
      <c r="B9" s="20" t="s">
        <v>219</v>
      </c>
      <c r="C9" s="20" t="s">
        <v>219</v>
      </c>
      <c r="D9" s="20" t="s">
        <v>101</v>
      </c>
      <c r="E9" s="20" t="s">
        <v>219</v>
      </c>
      <c r="F9" s="20" t="s">
        <v>101</v>
      </c>
      <c r="G9" s="20" t="s">
        <v>1678</v>
      </c>
      <c r="H9" s="20" t="s">
        <v>219</v>
      </c>
      <c r="I9" s="20" t="s">
        <v>219</v>
      </c>
      <c r="J9" s="20" t="s">
        <v>219</v>
      </c>
      <c r="K9" s="20" t="s">
        <v>219</v>
      </c>
      <c r="L9" s="20" t="s">
        <v>219</v>
      </c>
      <c r="M9" s="20" t="s">
        <v>219</v>
      </c>
      <c r="N9" s="20" t="s">
        <v>219</v>
      </c>
      <c r="O9" s="20" t="s">
        <v>219</v>
      </c>
      <c r="P9" s="20" t="s">
        <v>219</v>
      </c>
    </row>
    <row r="10" spans="1:16" ht="45" customHeight="1">
      <c r="A10" s="20" t="s">
        <v>1873</v>
      </c>
      <c r="B10" s="20" t="s">
        <v>219</v>
      </c>
      <c r="C10" s="20" t="s">
        <v>219</v>
      </c>
      <c r="D10" s="20" t="s">
        <v>101</v>
      </c>
      <c r="E10" s="20" t="s">
        <v>219</v>
      </c>
      <c r="F10" s="20" t="s">
        <v>101</v>
      </c>
      <c r="G10" s="20" t="s">
        <v>1678</v>
      </c>
      <c r="H10" s="20" t="s">
        <v>219</v>
      </c>
      <c r="I10" s="20" t="s">
        <v>219</v>
      </c>
      <c r="J10" s="20" t="s">
        <v>219</v>
      </c>
      <c r="K10" s="20" t="s">
        <v>219</v>
      </c>
      <c r="L10" s="20" t="s">
        <v>219</v>
      </c>
      <c r="M10" s="20" t="s">
        <v>219</v>
      </c>
      <c r="N10" s="20" t="s">
        <v>219</v>
      </c>
      <c r="O10" s="20" t="s">
        <v>219</v>
      </c>
      <c r="P10" s="20" t="s">
        <v>219</v>
      </c>
    </row>
    <row r="11" spans="1:16" ht="45" customHeight="1">
      <c r="A11" s="20" t="s">
        <v>1874</v>
      </c>
      <c r="B11" s="20" t="s">
        <v>219</v>
      </c>
      <c r="C11" s="20" t="s">
        <v>219</v>
      </c>
      <c r="D11" s="20" t="s">
        <v>101</v>
      </c>
      <c r="E11" s="20" t="s">
        <v>219</v>
      </c>
      <c r="F11" s="20" t="s">
        <v>101</v>
      </c>
      <c r="G11" s="20" t="s">
        <v>1678</v>
      </c>
      <c r="H11" s="20" t="s">
        <v>219</v>
      </c>
      <c r="I11" s="20" t="s">
        <v>219</v>
      </c>
      <c r="J11" s="20" t="s">
        <v>219</v>
      </c>
      <c r="K11" s="20" t="s">
        <v>219</v>
      </c>
      <c r="L11" s="20" t="s">
        <v>219</v>
      </c>
      <c r="M11" s="20" t="s">
        <v>219</v>
      </c>
      <c r="N11" s="20" t="s">
        <v>219</v>
      </c>
      <c r="O11" s="20" t="s">
        <v>219</v>
      </c>
      <c r="P11" s="20" t="s">
        <v>219</v>
      </c>
    </row>
    <row r="12" spans="1:16" ht="45" customHeight="1">
      <c r="A12" s="20" t="s">
        <v>1875</v>
      </c>
      <c r="B12" s="20" t="s">
        <v>219</v>
      </c>
      <c r="C12" s="20" t="s">
        <v>219</v>
      </c>
      <c r="D12" s="20" t="s">
        <v>219</v>
      </c>
      <c r="E12" s="20" t="s">
        <v>101</v>
      </c>
      <c r="F12" s="20" t="s">
        <v>101</v>
      </c>
      <c r="G12" s="20" t="s">
        <v>101</v>
      </c>
      <c r="H12" s="20" t="s">
        <v>219</v>
      </c>
      <c r="I12" s="20" t="s">
        <v>219</v>
      </c>
      <c r="J12" s="20" t="s">
        <v>219</v>
      </c>
      <c r="K12" s="20" t="s">
        <v>219</v>
      </c>
      <c r="L12" s="20" t="s">
        <v>219</v>
      </c>
      <c r="M12" s="20" t="s">
        <v>219</v>
      </c>
      <c r="N12" s="20" t="s">
        <v>219</v>
      </c>
      <c r="O12" s="20" t="s">
        <v>219</v>
      </c>
      <c r="P12" s="20" t="s">
        <v>219</v>
      </c>
    </row>
    <row r="13" spans="1:16" ht="45" customHeight="1">
      <c r="A13" s="20" t="s">
        <v>1876</v>
      </c>
      <c r="B13" s="20" t="s">
        <v>219</v>
      </c>
      <c r="C13" s="20" t="s">
        <v>219</v>
      </c>
      <c r="D13" s="20" t="s">
        <v>219</v>
      </c>
      <c r="E13" s="20" t="s">
        <v>219</v>
      </c>
      <c r="F13" s="20" t="s">
        <v>219</v>
      </c>
      <c r="G13" s="20" t="s">
        <v>219</v>
      </c>
      <c r="H13" s="20" t="s">
        <v>219</v>
      </c>
      <c r="I13" s="20" t="s">
        <v>219</v>
      </c>
      <c r="J13" s="20" t="s">
        <v>219</v>
      </c>
      <c r="K13" s="20" t="s">
        <v>219</v>
      </c>
      <c r="L13" s="20" t="s">
        <v>219</v>
      </c>
      <c r="M13" s="20" t="s">
        <v>219</v>
      </c>
      <c r="N13" s="20" t="s">
        <v>219</v>
      </c>
      <c r="O13" s="20" t="s">
        <v>219</v>
      </c>
      <c r="P13" s="20" t="s">
        <v>219</v>
      </c>
    </row>
    <row r="14" spans="1:16" ht="45" customHeight="1">
      <c r="A14" s="20" t="s">
        <v>1877</v>
      </c>
      <c r="B14" s="20" t="s">
        <v>219</v>
      </c>
      <c r="C14" s="20" t="s">
        <v>219</v>
      </c>
      <c r="D14" s="20" t="s">
        <v>219</v>
      </c>
      <c r="E14" s="20" t="s">
        <v>219</v>
      </c>
      <c r="F14" s="20" t="s">
        <v>219</v>
      </c>
      <c r="G14" s="20" t="s">
        <v>219</v>
      </c>
      <c r="H14" s="20" t="s">
        <v>219</v>
      </c>
      <c r="I14" s="20" t="s">
        <v>219</v>
      </c>
      <c r="J14" s="20" t="s">
        <v>219</v>
      </c>
      <c r="K14" s="20" t="s">
        <v>219</v>
      </c>
      <c r="L14" s="20" t="s">
        <v>219</v>
      </c>
      <c r="M14" s="20" t="s">
        <v>219</v>
      </c>
      <c r="N14" s="20" t="s">
        <v>219</v>
      </c>
      <c r="O14" s="20" t="s">
        <v>219</v>
      </c>
      <c r="P14" s="20" t="s">
        <v>219</v>
      </c>
    </row>
    <row r="15" spans="1:16" ht="45" customHeight="1">
      <c r="A15" s="20" t="s">
        <v>1878</v>
      </c>
      <c r="B15" s="20" t="s">
        <v>219</v>
      </c>
      <c r="C15" s="20" t="s">
        <v>219</v>
      </c>
      <c r="D15" s="20" t="s">
        <v>219</v>
      </c>
      <c r="E15" s="20" t="s">
        <v>219</v>
      </c>
      <c r="F15" s="20" t="s">
        <v>219</v>
      </c>
      <c r="G15" s="20" t="s">
        <v>219</v>
      </c>
      <c r="H15" s="20" t="s">
        <v>219</v>
      </c>
      <c r="I15" s="20" t="s">
        <v>219</v>
      </c>
      <c r="J15" s="20" t="s">
        <v>219</v>
      </c>
      <c r="K15" s="20" t="s">
        <v>219</v>
      </c>
      <c r="L15" s="20" t="s">
        <v>219</v>
      </c>
      <c r="M15" s="20" t="s">
        <v>219</v>
      </c>
      <c r="N15" s="20" t="s">
        <v>219</v>
      </c>
      <c r="O15" s="20" t="s">
        <v>219</v>
      </c>
      <c r="P15" s="20" t="s">
        <v>219</v>
      </c>
    </row>
    <row r="16" spans="1:16" ht="45" customHeight="1">
      <c r="A16" s="20" t="s">
        <v>1639</v>
      </c>
      <c r="B16" s="20" t="s">
        <v>219</v>
      </c>
      <c r="C16" s="20" t="s">
        <v>219</v>
      </c>
      <c r="D16" s="20" t="s">
        <v>219</v>
      </c>
      <c r="E16" s="20" t="s">
        <v>219</v>
      </c>
      <c r="F16" s="20" t="s">
        <v>1681</v>
      </c>
      <c r="G16" s="20" t="s">
        <v>219</v>
      </c>
      <c r="H16" s="20" t="s">
        <v>219</v>
      </c>
      <c r="I16" s="20" t="s">
        <v>219</v>
      </c>
      <c r="J16" s="20" t="s">
        <v>219</v>
      </c>
      <c r="K16" s="20" t="s">
        <v>219</v>
      </c>
      <c r="L16" s="20" t="s">
        <v>219</v>
      </c>
      <c r="M16" s="20" t="s">
        <v>219</v>
      </c>
      <c r="N16" s="20" t="s">
        <v>219</v>
      </c>
      <c r="O16" s="20" t="s">
        <v>219</v>
      </c>
      <c r="P16" s="20" t="s">
        <v>219</v>
      </c>
    </row>
    <row r="17" spans="1:16" ht="45" customHeight="1">
      <c r="A17" s="20" t="s">
        <v>1647</v>
      </c>
      <c r="B17" s="20" t="s">
        <v>219</v>
      </c>
      <c r="C17" s="20" t="s">
        <v>219</v>
      </c>
      <c r="D17" s="20" t="s">
        <v>219</v>
      </c>
      <c r="E17" s="20" t="s">
        <v>219</v>
      </c>
      <c r="F17" s="20" t="s">
        <v>1681</v>
      </c>
      <c r="G17" s="20" t="s">
        <v>219</v>
      </c>
      <c r="H17" s="20" t="s">
        <v>101</v>
      </c>
      <c r="I17" s="20" t="s">
        <v>101</v>
      </c>
      <c r="J17" s="20" t="s">
        <v>219</v>
      </c>
      <c r="K17" s="20" t="s">
        <v>101</v>
      </c>
      <c r="L17" s="20" t="s">
        <v>219</v>
      </c>
      <c r="M17" s="20" t="s">
        <v>101</v>
      </c>
      <c r="N17" s="20" t="s">
        <v>219</v>
      </c>
      <c r="O17" s="20" t="s">
        <v>101</v>
      </c>
      <c r="P17" s="20" t="s">
        <v>219</v>
      </c>
    </row>
    <row r="18" spans="1:16" ht="45" customHeight="1">
      <c r="A18" s="20" t="s">
        <v>1656</v>
      </c>
      <c r="B18" s="20" t="s">
        <v>1679</v>
      </c>
      <c r="C18" s="20" t="s">
        <v>101</v>
      </c>
      <c r="D18" s="20" t="s">
        <v>219</v>
      </c>
      <c r="E18" s="20" t="s">
        <v>219</v>
      </c>
      <c r="F18" s="20" t="s">
        <v>1681</v>
      </c>
      <c r="G18" s="20" t="s">
        <v>219</v>
      </c>
      <c r="H18" s="20" t="s">
        <v>101</v>
      </c>
      <c r="I18" s="20" t="s">
        <v>219</v>
      </c>
      <c r="J18" s="20" t="s">
        <v>219</v>
      </c>
      <c r="K18" s="20" t="s">
        <v>219</v>
      </c>
      <c r="L18" s="20" t="s">
        <v>219</v>
      </c>
      <c r="M18" s="20" t="s">
        <v>219</v>
      </c>
      <c r="N18" s="20" t="s">
        <v>219</v>
      </c>
      <c r="O18" s="20" t="s">
        <v>219</v>
      </c>
      <c r="P18" s="20" t="s">
        <v>219</v>
      </c>
    </row>
    <row r="19" spans="1:16" ht="45" customHeight="1">
      <c r="A19" s="20" t="s">
        <v>1665</v>
      </c>
      <c r="B19" s="20" t="s">
        <v>1680</v>
      </c>
      <c r="C19" s="20" t="s">
        <v>101</v>
      </c>
      <c r="D19" s="20" t="s">
        <v>219</v>
      </c>
      <c r="E19" s="20" t="s">
        <v>219</v>
      </c>
      <c r="F19" s="20" t="s">
        <v>1681</v>
      </c>
      <c r="G19" s="20" t="s">
        <v>219</v>
      </c>
      <c r="H19" s="20" t="s">
        <v>101</v>
      </c>
      <c r="I19" s="20" t="s">
        <v>101</v>
      </c>
      <c r="J19" s="20" t="s">
        <v>219</v>
      </c>
      <c r="K19" s="20" t="s">
        <v>1682</v>
      </c>
      <c r="L19" s="20" t="s">
        <v>219</v>
      </c>
      <c r="M19" s="20" t="s">
        <v>101</v>
      </c>
      <c r="N19" s="20" t="s">
        <v>219</v>
      </c>
      <c r="O19" s="20" t="s">
        <v>101</v>
      </c>
      <c r="P19" s="20" t="s">
        <v>219</v>
      </c>
    </row>
    <row r="20" spans="1:16" ht="30">
      <c r="A20" s="20" t="s">
        <v>540</v>
      </c>
      <c r="B20" s="20"/>
      <c r="C20" s="20"/>
      <c r="D20" s="20" t="s">
        <v>101</v>
      </c>
      <c r="E20" s="20" t="s">
        <v>101</v>
      </c>
      <c r="F20" s="20"/>
      <c r="G20" s="20"/>
      <c r="H20" s="20" t="s">
        <v>346</v>
      </c>
      <c r="I20" s="20"/>
      <c r="J20" s="20" t="s">
        <v>346</v>
      </c>
      <c r="K20" s="20"/>
      <c r="L20" s="20" t="s">
        <v>161</v>
      </c>
      <c r="M20" s="20" t="s">
        <v>346</v>
      </c>
      <c r="N20" s="20"/>
      <c r="O20" s="20"/>
      <c r="P20" s="20" t="s">
        <v>161</v>
      </c>
    </row>
    <row r="21" spans="1:16" ht="30">
      <c r="A21" s="20" t="s">
        <v>1847</v>
      </c>
      <c r="B21" s="20" t="s">
        <v>101</v>
      </c>
      <c r="C21" s="20" t="s">
        <v>101</v>
      </c>
      <c r="D21" s="20" t="s">
        <v>101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>
      <c r="A22" s="20" t="s">
        <v>565</v>
      </c>
      <c r="B22" s="20"/>
      <c r="C22" s="20"/>
      <c r="D22" s="20" t="s">
        <v>101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ht="48">
      <c r="A23" s="20" t="s">
        <v>596</v>
      </c>
      <c r="B23" s="20"/>
      <c r="C23" s="72" t="s">
        <v>595</v>
      </c>
      <c r="D23" s="20" t="s">
        <v>101</v>
      </c>
      <c r="E23" s="20"/>
      <c r="F23" s="20"/>
      <c r="G23" s="20"/>
      <c r="H23" s="20" t="s">
        <v>101</v>
      </c>
      <c r="I23" s="20"/>
      <c r="J23" s="20" t="s">
        <v>101</v>
      </c>
      <c r="K23" s="20"/>
      <c r="L23" s="20"/>
      <c r="M23" s="20"/>
      <c r="N23" s="20" t="s">
        <v>101</v>
      </c>
      <c r="O23" s="20" t="s">
        <v>101</v>
      </c>
      <c r="P23" s="20"/>
    </row>
    <row r="24" spans="1:16" ht="60">
      <c r="A24" s="20" t="s">
        <v>610</v>
      </c>
      <c r="B24" s="20"/>
      <c r="C24" s="20" t="s">
        <v>101</v>
      </c>
      <c r="D24" s="20" t="s">
        <v>101</v>
      </c>
      <c r="E24" s="20" t="s">
        <v>101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 t="s">
        <v>619</v>
      </c>
      <c r="B25" s="20"/>
      <c r="C25" s="20"/>
      <c r="D25" s="20" t="s">
        <v>618</v>
      </c>
      <c r="E25" s="20"/>
      <c r="F25" s="20"/>
      <c r="G25" s="20"/>
      <c r="H25" s="20" t="s">
        <v>101</v>
      </c>
      <c r="I25" s="20"/>
      <c r="J25" s="20"/>
      <c r="K25" s="20"/>
      <c r="L25" s="20"/>
      <c r="M25" s="20"/>
      <c r="N25" s="20"/>
      <c r="O25" s="20"/>
      <c r="P25" s="20" t="s">
        <v>101</v>
      </c>
    </row>
    <row r="26" spans="1:16">
      <c r="A26" s="20" t="s">
        <v>631</v>
      </c>
      <c r="B26" s="20"/>
      <c r="C26" s="20" t="s">
        <v>101</v>
      </c>
      <c r="D26" s="20" t="s">
        <v>101</v>
      </c>
      <c r="E26" s="20" t="s">
        <v>101</v>
      </c>
      <c r="F26" s="20"/>
      <c r="G26" s="20"/>
      <c r="H26" s="20" t="s">
        <v>101</v>
      </c>
      <c r="I26" s="20"/>
      <c r="J26" s="20"/>
      <c r="K26" s="20"/>
      <c r="L26" s="20" t="s">
        <v>101</v>
      </c>
      <c r="M26" s="20"/>
      <c r="N26" s="20"/>
      <c r="O26" s="20"/>
      <c r="P26" s="20"/>
    </row>
    <row r="27" spans="1:16" ht="30">
      <c r="A27" s="20" t="s">
        <v>113</v>
      </c>
      <c r="B27" s="20"/>
      <c r="C27" s="20" t="s">
        <v>101</v>
      </c>
      <c r="D27" s="20"/>
      <c r="E27" s="20" t="s">
        <v>101</v>
      </c>
      <c r="F27" s="20"/>
      <c r="G27" s="20"/>
      <c r="H27" s="20"/>
      <c r="I27" s="20"/>
      <c r="J27" s="20" t="s">
        <v>101</v>
      </c>
      <c r="K27" s="20"/>
      <c r="L27" s="20"/>
      <c r="M27" s="20"/>
      <c r="N27" s="20" t="s">
        <v>101</v>
      </c>
      <c r="O27" s="20" t="s">
        <v>101</v>
      </c>
      <c r="P27" s="20"/>
    </row>
    <row r="28" spans="1:16" ht="60">
      <c r="A28" s="20" t="s">
        <v>125</v>
      </c>
      <c r="B28" s="20"/>
      <c r="C28" s="20" t="s">
        <v>101</v>
      </c>
      <c r="D28" s="20"/>
      <c r="E28" s="20"/>
      <c r="F28" s="20"/>
      <c r="G28" s="20" t="s">
        <v>101</v>
      </c>
      <c r="H28" s="20" t="s">
        <v>101</v>
      </c>
      <c r="I28" s="20" t="s">
        <v>126</v>
      </c>
      <c r="J28" s="20"/>
      <c r="K28" s="20" t="s">
        <v>127</v>
      </c>
      <c r="L28" s="20"/>
      <c r="M28" s="20" t="s">
        <v>101</v>
      </c>
      <c r="N28" s="20"/>
      <c r="O28" s="20"/>
      <c r="P28" s="20"/>
    </row>
    <row r="29" spans="1:16">
      <c r="A29" s="20" t="s">
        <v>137</v>
      </c>
      <c r="B29" s="20" t="s">
        <v>101</v>
      </c>
      <c r="C29" s="20" t="s">
        <v>101</v>
      </c>
      <c r="D29" s="20" t="s">
        <v>101</v>
      </c>
      <c r="E29" s="20"/>
      <c r="F29" s="20"/>
      <c r="G29" s="20" t="s">
        <v>101</v>
      </c>
      <c r="H29" s="20" t="s">
        <v>101</v>
      </c>
      <c r="I29" s="20"/>
      <c r="J29" s="20" t="s">
        <v>101</v>
      </c>
      <c r="K29" s="20"/>
      <c r="L29" s="20" t="s">
        <v>101</v>
      </c>
      <c r="M29" s="20"/>
      <c r="N29" s="20" t="s">
        <v>101</v>
      </c>
      <c r="O29" s="20" t="s">
        <v>101</v>
      </c>
      <c r="P29" s="20"/>
    </row>
    <row r="30" spans="1:16">
      <c r="A30" s="20" t="s">
        <v>150</v>
      </c>
      <c r="B30" s="20" t="s">
        <v>161</v>
      </c>
      <c r="C30" s="20" t="s">
        <v>162</v>
      </c>
      <c r="D30" s="20" t="s">
        <v>162</v>
      </c>
      <c r="E30" s="20"/>
      <c r="F30" s="20" t="s">
        <v>162</v>
      </c>
      <c r="G30" s="20" t="s">
        <v>162</v>
      </c>
      <c r="H30" s="20" t="s">
        <v>162</v>
      </c>
      <c r="I30" s="20" t="s">
        <v>162</v>
      </c>
      <c r="J30" s="20" t="s">
        <v>163</v>
      </c>
      <c r="K30" s="20" t="s">
        <v>161</v>
      </c>
      <c r="L30" s="20"/>
      <c r="M30" s="20" t="s">
        <v>219</v>
      </c>
      <c r="N30" s="20" t="s">
        <v>219</v>
      </c>
      <c r="O30" s="20" t="s">
        <v>165</v>
      </c>
      <c r="P30" s="20" t="s">
        <v>219</v>
      </c>
    </row>
    <row r="31" spans="1:16" ht="30">
      <c r="A31" s="71" t="s">
        <v>171</v>
      </c>
      <c r="B31" s="20" t="s">
        <v>101</v>
      </c>
      <c r="C31" s="20" t="s">
        <v>101</v>
      </c>
      <c r="D31" s="20" t="s">
        <v>101</v>
      </c>
      <c r="E31" s="20" t="s">
        <v>101</v>
      </c>
      <c r="F31" s="20" t="s">
        <v>101</v>
      </c>
      <c r="G31" s="20" t="s">
        <v>101</v>
      </c>
      <c r="H31" s="20" t="s">
        <v>101</v>
      </c>
      <c r="I31" s="20" t="s">
        <v>101</v>
      </c>
      <c r="J31" s="20"/>
      <c r="K31" s="20"/>
      <c r="L31" s="20"/>
      <c r="M31" s="20"/>
      <c r="N31" s="20" t="s">
        <v>162</v>
      </c>
      <c r="O31" s="20"/>
      <c r="P31" s="20"/>
    </row>
    <row r="32" spans="1:16" ht="30">
      <c r="A32" s="20" t="s">
        <v>1773</v>
      </c>
      <c r="B32" s="20" t="s">
        <v>1780</v>
      </c>
      <c r="C32" s="20" t="s">
        <v>1780</v>
      </c>
      <c r="D32" s="20" t="s">
        <v>1780</v>
      </c>
      <c r="E32" s="20" t="s">
        <v>1780</v>
      </c>
      <c r="F32" s="20" t="s">
        <v>1780</v>
      </c>
      <c r="G32" s="20" t="s">
        <v>1780</v>
      </c>
      <c r="H32" s="20" t="s">
        <v>1780</v>
      </c>
      <c r="I32" s="20" t="s">
        <v>1780</v>
      </c>
      <c r="J32" s="20" t="s">
        <v>1780</v>
      </c>
      <c r="K32" s="20" t="s">
        <v>1781</v>
      </c>
      <c r="L32" s="20" t="s">
        <v>1782</v>
      </c>
      <c r="M32" s="20" t="s">
        <v>1780</v>
      </c>
      <c r="N32" s="20" t="s">
        <v>1782</v>
      </c>
      <c r="O32" s="20" t="s">
        <v>1780</v>
      </c>
      <c r="P32" s="20">
        <f>-P37</f>
        <v>0</v>
      </c>
    </row>
    <row r="33" spans="1:16" ht="30">
      <c r="A33" s="20" t="s">
        <v>186</v>
      </c>
      <c r="B33" s="20" t="s">
        <v>101</v>
      </c>
      <c r="C33" s="20" t="s">
        <v>101</v>
      </c>
      <c r="D33" s="20" t="s">
        <v>101</v>
      </c>
      <c r="E33" s="20"/>
      <c r="F33" s="20" t="s">
        <v>101</v>
      </c>
      <c r="G33" s="20"/>
      <c r="H33" s="20" t="s">
        <v>101</v>
      </c>
      <c r="I33" s="20" t="s">
        <v>101</v>
      </c>
      <c r="J33" s="20"/>
      <c r="K33" s="20" t="s">
        <v>101</v>
      </c>
      <c r="L33" s="20"/>
      <c r="M33" s="20"/>
      <c r="N33" s="20"/>
      <c r="O33" s="20" t="s">
        <v>101</v>
      </c>
      <c r="P33" s="20"/>
    </row>
    <row r="34" spans="1:16">
      <c r="A34" s="20" t="s">
        <v>197</v>
      </c>
      <c r="B34" s="20"/>
      <c r="C34" s="20" t="s">
        <v>162</v>
      </c>
      <c r="D34" s="20" t="s">
        <v>162</v>
      </c>
      <c r="E34" s="20"/>
      <c r="F34" s="20" t="s">
        <v>162</v>
      </c>
      <c r="G34" s="20"/>
      <c r="H34" s="20"/>
      <c r="I34" s="20" t="s">
        <v>162</v>
      </c>
      <c r="J34" s="20"/>
      <c r="K34" s="20"/>
      <c r="L34" s="20"/>
      <c r="M34" s="20"/>
      <c r="N34" s="20"/>
      <c r="O34" s="20"/>
      <c r="P34" s="20"/>
    </row>
    <row r="35" spans="1:16">
      <c r="A35" s="100" t="s">
        <v>211</v>
      </c>
      <c r="B35" s="100" t="s">
        <v>162</v>
      </c>
      <c r="C35" s="100" t="s">
        <v>162</v>
      </c>
      <c r="D35" s="100" t="s">
        <v>162</v>
      </c>
      <c r="E35" s="100" t="s">
        <v>162</v>
      </c>
      <c r="F35" s="100" t="s">
        <v>162</v>
      </c>
      <c r="G35" s="100" t="s">
        <v>162</v>
      </c>
      <c r="H35" s="100" t="s">
        <v>162</v>
      </c>
      <c r="I35" s="100" t="s">
        <v>219</v>
      </c>
      <c r="J35" s="100" t="s">
        <v>162</v>
      </c>
      <c r="K35" s="100" t="s">
        <v>219</v>
      </c>
      <c r="L35" s="100" t="s">
        <v>162</v>
      </c>
      <c r="M35" s="100" t="s">
        <v>162</v>
      </c>
      <c r="N35" s="100" t="s">
        <v>219</v>
      </c>
      <c r="O35" s="100" t="s">
        <v>219</v>
      </c>
      <c r="P35" s="100" t="s">
        <v>162</v>
      </c>
    </row>
    <row r="36" spans="1:16">
      <c r="A36" s="20" t="s">
        <v>241</v>
      </c>
      <c r="B36" s="20"/>
      <c r="C36" s="20"/>
      <c r="D36" s="20" t="s">
        <v>162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ht="75">
      <c r="A37" s="20" t="s">
        <v>295</v>
      </c>
      <c r="B37" s="20" t="s">
        <v>101</v>
      </c>
      <c r="C37" s="20" t="s">
        <v>162</v>
      </c>
      <c r="D37" s="20"/>
      <c r="E37" s="20" t="s">
        <v>101</v>
      </c>
      <c r="F37" s="20"/>
      <c r="G37" s="20"/>
      <c r="H37" s="20" t="s">
        <v>101</v>
      </c>
      <c r="I37" s="20"/>
      <c r="J37" s="20" t="s">
        <v>101</v>
      </c>
      <c r="K37" s="20"/>
      <c r="L37" s="20"/>
      <c r="M37" s="20"/>
      <c r="N37" s="20"/>
      <c r="O37" s="20"/>
      <c r="P37" s="20"/>
    </row>
    <row r="38" spans="1:16">
      <c r="A38" s="20" t="s">
        <v>308</v>
      </c>
      <c r="B38" s="20" t="s">
        <v>101</v>
      </c>
      <c r="C38" s="20" t="s">
        <v>101</v>
      </c>
      <c r="D38" s="20" t="s">
        <v>101</v>
      </c>
      <c r="E38" s="20" t="s">
        <v>101</v>
      </c>
      <c r="F38" s="20" t="s">
        <v>101</v>
      </c>
      <c r="G38" s="20" t="s">
        <v>101</v>
      </c>
      <c r="H38" s="20" t="s">
        <v>101</v>
      </c>
      <c r="I38" s="20" t="s">
        <v>101</v>
      </c>
      <c r="J38" s="20"/>
      <c r="K38" s="20"/>
      <c r="L38" s="20"/>
      <c r="M38" s="20" t="s">
        <v>101</v>
      </c>
      <c r="N38" s="20"/>
      <c r="O38" s="20" t="s">
        <v>101</v>
      </c>
      <c r="P38" s="20"/>
    </row>
    <row r="39" spans="1:16">
      <c r="A39" s="20" t="s">
        <v>330</v>
      </c>
      <c r="B39" s="20"/>
      <c r="C39" s="20" t="s">
        <v>101</v>
      </c>
      <c r="D39" s="20" t="s">
        <v>101</v>
      </c>
      <c r="E39" s="20" t="s">
        <v>101</v>
      </c>
      <c r="F39" s="20" t="s">
        <v>344</v>
      </c>
      <c r="G39" s="20" t="s">
        <v>345</v>
      </c>
      <c r="H39" s="20" t="s">
        <v>101</v>
      </c>
      <c r="I39" s="20" t="s">
        <v>101</v>
      </c>
      <c r="J39" s="20" t="s">
        <v>346</v>
      </c>
      <c r="K39" s="20" t="s">
        <v>346</v>
      </c>
      <c r="L39" s="20" t="s">
        <v>101</v>
      </c>
      <c r="M39" s="20"/>
      <c r="N39" s="20"/>
      <c r="O39" s="20" t="s">
        <v>101</v>
      </c>
      <c r="P39" s="20"/>
    </row>
    <row r="40" spans="1:16" ht="45">
      <c r="A40" s="20" t="s">
        <v>362</v>
      </c>
      <c r="B40" s="20"/>
      <c r="C40" s="20" t="s">
        <v>101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>
      <c r="A41" s="20" t="s">
        <v>373</v>
      </c>
      <c r="B41" s="20" t="s">
        <v>101</v>
      </c>
      <c r="C41" s="20" t="s">
        <v>101</v>
      </c>
      <c r="D41" s="20" t="s">
        <v>101</v>
      </c>
      <c r="E41" s="20" t="s">
        <v>101</v>
      </c>
      <c r="F41" s="20" t="s">
        <v>101</v>
      </c>
      <c r="G41" s="20" t="s">
        <v>101</v>
      </c>
      <c r="H41" s="20" t="s">
        <v>101</v>
      </c>
      <c r="I41" s="20" t="s">
        <v>101</v>
      </c>
      <c r="J41" s="20"/>
      <c r="K41" s="20"/>
      <c r="L41" s="20"/>
      <c r="M41" s="20" t="s">
        <v>101</v>
      </c>
      <c r="N41" s="20"/>
      <c r="O41" s="20" t="s">
        <v>101</v>
      </c>
      <c r="P41" s="20"/>
    </row>
    <row r="42" spans="1:16">
      <c r="A42" s="20" t="s">
        <v>394</v>
      </c>
      <c r="B42" s="20" t="s">
        <v>101</v>
      </c>
      <c r="C42" s="20" t="s">
        <v>101</v>
      </c>
      <c r="D42" s="20" t="s">
        <v>101</v>
      </c>
      <c r="E42" s="20"/>
      <c r="F42" s="20"/>
      <c r="G42" s="20"/>
      <c r="H42" s="20">
        <v>500</v>
      </c>
      <c r="I42" s="20"/>
      <c r="J42" s="20"/>
      <c r="K42" s="20" t="s">
        <v>101</v>
      </c>
      <c r="L42" s="20"/>
      <c r="M42" s="20"/>
      <c r="N42" s="20" t="s">
        <v>101</v>
      </c>
      <c r="O42" s="20"/>
      <c r="P42" s="20" t="s">
        <v>101</v>
      </c>
    </row>
    <row r="43" spans="1:16" ht="45">
      <c r="A43" s="20" t="s">
        <v>403</v>
      </c>
      <c r="B43" s="20"/>
      <c r="C43" s="20" t="s">
        <v>162</v>
      </c>
      <c r="D43" s="20" t="s">
        <v>162</v>
      </c>
      <c r="E43" s="20" t="s">
        <v>162</v>
      </c>
      <c r="F43" s="20" t="s">
        <v>162</v>
      </c>
      <c r="G43" s="20" t="s">
        <v>162</v>
      </c>
      <c r="H43" s="20" t="s">
        <v>162</v>
      </c>
      <c r="I43" s="20" t="s">
        <v>162</v>
      </c>
      <c r="J43" s="20" t="s">
        <v>162</v>
      </c>
      <c r="K43" s="20"/>
      <c r="L43" s="20" t="s">
        <v>162</v>
      </c>
      <c r="M43" s="20" t="s">
        <v>162</v>
      </c>
      <c r="N43" s="20"/>
      <c r="O43" s="20" t="s">
        <v>162</v>
      </c>
      <c r="P43" s="20"/>
    </row>
    <row r="44" spans="1:16" ht="30">
      <c r="A44" s="20" t="s">
        <v>441</v>
      </c>
      <c r="B44" s="20" t="s">
        <v>101</v>
      </c>
      <c r="C44" s="20" t="s">
        <v>101</v>
      </c>
      <c r="D44" s="20" t="s">
        <v>101</v>
      </c>
      <c r="E44" s="20"/>
      <c r="F44" s="20"/>
      <c r="G44" s="20"/>
      <c r="H44" s="20"/>
      <c r="I44" s="20"/>
      <c r="J44" s="20"/>
      <c r="K44" s="20" t="s">
        <v>101</v>
      </c>
      <c r="L44" s="20"/>
      <c r="M44" s="20"/>
      <c r="N44" s="20"/>
      <c r="O44" s="20"/>
      <c r="P44" s="20"/>
    </row>
    <row r="45" spans="1:16" ht="45">
      <c r="A45" s="20" t="s">
        <v>448</v>
      </c>
      <c r="B45" s="20" t="s">
        <v>101</v>
      </c>
      <c r="C45" s="20" t="s">
        <v>101</v>
      </c>
      <c r="D45" s="20" t="s">
        <v>101</v>
      </c>
      <c r="E45" s="20"/>
      <c r="F45" s="20" t="s">
        <v>162</v>
      </c>
      <c r="G45" s="20"/>
      <c r="H45" s="20" t="s">
        <v>101</v>
      </c>
      <c r="I45" s="20" t="s">
        <v>101</v>
      </c>
      <c r="J45" s="20"/>
      <c r="K45" s="20"/>
      <c r="L45" s="20" t="s">
        <v>162</v>
      </c>
      <c r="M45" s="20"/>
      <c r="N45" s="20" t="s">
        <v>101</v>
      </c>
      <c r="O45" s="20" t="s">
        <v>101</v>
      </c>
      <c r="P45" s="20"/>
    </row>
    <row r="46" spans="1:16" ht="30">
      <c r="A46" s="20" t="s">
        <v>481</v>
      </c>
      <c r="B46" s="20" t="s">
        <v>346</v>
      </c>
      <c r="C46" s="20" t="s">
        <v>346</v>
      </c>
      <c r="D46" s="20" t="s">
        <v>346</v>
      </c>
      <c r="E46" s="20" t="s">
        <v>161</v>
      </c>
      <c r="F46" s="20" t="s">
        <v>346</v>
      </c>
      <c r="G46" s="20" t="s">
        <v>161</v>
      </c>
      <c r="H46" s="20" t="s">
        <v>346</v>
      </c>
      <c r="I46" s="20" t="s">
        <v>161</v>
      </c>
      <c r="J46" s="20" t="s">
        <v>346</v>
      </c>
      <c r="K46" s="20" t="s">
        <v>346</v>
      </c>
      <c r="L46" s="20" t="s">
        <v>346</v>
      </c>
      <c r="M46" s="20" t="s">
        <v>219</v>
      </c>
      <c r="N46" s="20" t="s">
        <v>219</v>
      </c>
      <c r="O46" s="20" t="s">
        <v>219</v>
      </c>
      <c r="P46" s="20" t="s">
        <v>219</v>
      </c>
    </row>
    <row r="47" spans="1:16" ht="30">
      <c r="A47" s="20" t="s">
        <v>498</v>
      </c>
      <c r="B47" s="20"/>
      <c r="C47" s="20" t="s">
        <v>162</v>
      </c>
      <c r="D47" s="20" t="s">
        <v>162</v>
      </c>
      <c r="E47" s="20"/>
      <c r="F47" s="20"/>
      <c r="G47" s="20" t="s">
        <v>162</v>
      </c>
      <c r="H47" s="20"/>
      <c r="I47" s="20"/>
      <c r="J47" s="20" t="s">
        <v>162</v>
      </c>
      <c r="K47" s="20"/>
      <c r="L47" s="20"/>
      <c r="M47" s="20"/>
      <c r="N47" s="20" t="s">
        <v>162</v>
      </c>
      <c r="O47" s="20" t="s">
        <v>162</v>
      </c>
      <c r="P47" s="20"/>
    </row>
    <row r="48" spans="1:16" ht="30">
      <c r="A48" s="20" t="s">
        <v>652</v>
      </c>
      <c r="B48" s="20" t="s">
        <v>101</v>
      </c>
      <c r="C48" s="20" t="s">
        <v>101</v>
      </c>
      <c r="D48" s="20" t="s">
        <v>101</v>
      </c>
      <c r="E48" s="20" t="s">
        <v>101</v>
      </c>
      <c r="F48" s="20" t="s">
        <v>101</v>
      </c>
      <c r="G48" s="20" t="s">
        <v>101</v>
      </c>
      <c r="H48" s="20" t="s">
        <v>101</v>
      </c>
      <c r="I48" s="20">
        <v>0</v>
      </c>
      <c r="J48" s="20" t="s">
        <v>101</v>
      </c>
      <c r="K48" s="20" t="s">
        <v>101</v>
      </c>
      <c r="L48" s="20">
        <v>0</v>
      </c>
      <c r="M48" s="20" t="s">
        <v>101</v>
      </c>
      <c r="N48" s="20">
        <v>0</v>
      </c>
      <c r="O48" s="20" t="s">
        <v>101</v>
      </c>
      <c r="P48" s="20">
        <v>0</v>
      </c>
    </row>
    <row r="49" spans="1:16" ht="30">
      <c r="A49" s="20" t="s">
        <v>1792</v>
      </c>
      <c r="B49" s="20"/>
      <c r="C49" s="20"/>
      <c r="D49" s="20" t="s">
        <v>101</v>
      </c>
      <c r="E49" s="20"/>
      <c r="F49" s="20"/>
      <c r="G49" s="20"/>
      <c r="H49" s="20"/>
      <c r="I49" s="20" t="s">
        <v>101</v>
      </c>
      <c r="J49" s="20"/>
      <c r="K49" s="20"/>
      <c r="L49" s="20"/>
      <c r="M49" s="20" t="s">
        <v>101</v>
      </c>
      <c r="N49" s="20"/>
      <c r="O49" s="20" t="s">
        <v>101</v>
      </c>
      <c r="P49" s="20"/>
    </row>
    <row r="50" spans="1:16" ht="45">
      <c r="A50" s="20" t="s">
        <v>688</v>
      </c>
      <c r="B50" s="20" t="s">
        <v>101</v>
      </c>
      <c r="C50" s="20" t="s">
        <v>101</v>
      </c>
      <c r="D50" s="20" t="s">
        <v>101</v>
      </c>
      <c r="E50" s="20"/>
      <c r="F50" s="20" t="s">
        <v>101</v>
      </c>
      <c r="G50" s="20" t="s">
        <v>101</v>
      </c>
      <c r="H50" s="20" t="s">
        <v>101</v>
      </c>
      <c r="I50" s="20" t="s">
        <v>101</v>
      </c>
      <c r="J50" s="20" t="s">
        <v>101</v>
      </c>
      <c r="K50" s="20"/>
      <c r="L50" s="20"/>
      <c r="M50" s="20" t="s">
        <v>101</v>
      </c>
      <c r="N50" s="20"/>
      <c r="O50" s="20" t="s">
        <v>101</v>
      </c>
      <c r="P50" s="20"/>
    </row>
    <row r="51" spans="1:16" ht="30">
      <c r="A51" s="20" t="s">
        <v>689</v>
      </c>
      <c r="B51" s="20" t="s">
        <v>101</v>
      </c>
      <c r="C51" s="20" t="s">
        <v>101</v>
      </c>
      <c r="D51" s="20" t="s">
        <v>101</v>
      </c>
      <c r="E51" s="20"/>
      <c r="F51" s="20" t="s">
        <v>101</v>
      </c>
      <c r="G51" s="20" t="s">
        <v>101</v>
      </c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30">
      <c r="A52" s="20" t="s">
        <v>684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ht="30">
      <c r="A53" s="20" t="s">
        <v>690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ht="45">
      <c r="A54" s="20" t="s">
        <v>686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20" t="s">
        <v>748</v>
      </c>
      <c r="B55" s="20" t="s">
        <v>219</v>
      </c>
      <c r="C55" s="20" t="s">
        <v>219</v>
      </c>
      <c r="D55" s="20" t="s">
        <v>219</v>
      </c>
      <c r="E55" s="20" t="s">
        <v>219</v>
      </c>
      <c r="F55" s="20" t="s">
        <v>219</v>
      </c>
      <c r="G55" s="20" t="s">
        <v>219</v>
      </c>
      <c r="H55" s="20" t="s">
        <v>219</v>
      </c>
      <c r="I55" s="20" t="s">
        <v>162</v>
      </c>
      <c r="J55" s="20" t="s">
        <v>219</v>
      </c>
      <c r="K55" s="20" t="s">
        <v>219</v>
      </c>
      <c r="L55" s="20" t="s">
        <v>101</v>
      </c>
      <c r="M55" s="20" t="s">
        <v>219</v>
      </c>
      <c r="N55" s="20" t="s">
        <v>219</v>
      </c>
      <c r="O55" s="20" t="s">
        <v>219</v>
      </c>
      <c r="P55" s="20" t="s">
        <v>219</v>
      </c>
    </row>
    <row r="56" spans="1:16">
      <c r="A56" s="20" t="s">
        <v>769</v>
      </c>
      <c r="B56" s="20" t="s">
        <v>101</v>
      </c>
      <c r="C56" s="20" t="s">
        <v>101</v>
      </c>
      <c r="D56" s="20" t="s">
        <v>101</v>
      </c>
      <c r="E56" s="20"/>
      <c r="F56" s="20" t="s">
        <v>101</v>
      </c>
      <c r="G56" s="20" t="s">
        <v>101</v>
      </c>
      <c r="H56" s="20" t="s">
        <v>770</v>
      </c>
      <c r="I56" s="20" t="s">
        <v>770</v>
      </c>
      <c r="J56" s="20"/>
      <c r="K56" s="20"/>
      <c r="L56" s="20"/>
      <c r="M56" s="20"/>
      <c r="N56" s="20"/>
      <c r="O56" s="20"/>
      <c r="P56" s="20"/>
    </row>
    <row r="57" spans="1:16" ht="30">
      <c r="A57" s="20" t="s">
        <v>802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/>
      <c r="G57" s="20"/>
      <c r="H57" s="20"/>
      <c r="I57" s="20"/>
      <c r="J57" s="20" t="s">
        <v>101</v>
      </c>
      <c r="K57" s="20"/>
      <c r="L57" s="20" t="s">
        <v>101</v>
      </c>
      <c r="M57" s="20"/>
      <c r="N57" s="20" t="s">
        <v>101</v>
      </c>
      <c r="O57" s="20"/>
      <c r="P57" s="20" t="s">
        <v>101</v>
      </c>
    </row>
    <row r="58" spans="1:16" ht="30">
      <c r="A58" s="20" t="s">
        <v>807</v>
      </c>
      <c r="B58" s="20" t="s">
        <v>162</v>
      </c>
      <c r="C58" s="20" t="s">
        <v>162</v>
      </c>
      <c r="D58" s="20" t="s">
        <v>162</v>
      </c>
      <c r="E58" s="20" t="s">
        <v>162</v>
      </c>
      <c r="F58" s="20"/>
      <c r="G58" s="20"/>
      <c r="H58" s="20"/>
      <c r="I58" s="20"/>
      <c r="J58" s="20" t="s">
        <v>162</v>
      </c>
      <c r="K58" s="20" t="s">
        <v>162</v>
      </c>
      <c r="L58" s="20"/>
      <c r="M58" s="20" t="s">
        <v>162</v>
      </c>
      <c r="N58" s="20"/>
      <c r="O58" s="20" t="s">
        <v>162</v>
      </c>
      <c r="P58" s="20"/>
    </row>
    <row r="59" spans="1:16">
      <c r="A59" s="20" t="s">
        <v>861</v>
      </c>
      <c r="B59" s="20"/>
      <c r="C59" s="20"/>
      <c r="D59" s="20"/>
      <c r="E59" s="20" t="s">
        <v>162</v>
      </c>
      <c r="F59" s="20" t="s">
        <v>162</v>
      </c>
      <c r="G59" s="20" t="s">
        <v>162</v>
      </c>
      <c r="H59" s="20" t="s">
        <v>162</v>
      </c>
      <c r="I59" s="20" t="s">
        <v>162</v>
      </c>
      <c r="J59" s="20" t="s">
        <v>162</v>
      </c>
      <c r="K59" s="20" t="s">
        <v>162</v>
      </c>
      <c r="L59" s="20" t="s">
        <v>162</v>
      </c>
      <c r="M59" s="20" t="s">
        <v>162</v>
      </c>
      <c r="N59" s="20"/>
      <c r="O59" s="20" t="s">
        <v>162</v>
      </c>
      <c r="P59" s="20"/>
    </row>
    <row r="60" spans="1:16" ht="30">
      <c r="A60" s="20" t="s">
        <v>1013</v>
      </c>
      <c r="B60" s="20"/>
      <c r="C60" s="20"/>
      <c r="D60" s="20"/>
      <c r="E60" s="20"/>
      <c r="F60" s="20"/>
      <c r="G60" s="20"/>
      <c r="H60" s="20"/>
      <c r="I60" s="20"/>
      <c r="J60" s="20" t="s">
        <v>101</v>
      </c>
      <c r="K60" s="20"/>
      <c r="L60" s="20" t="s">
        <v>101</v>
      </c>
      <c r="M60" s="20"/>
      <c r="N60" s="20" t="s">
        <v>101</v>
      </c>
      <c r="O60" s="20" t="s">
        <v>101</v>
      </c>
      <c r="P60" s="20"/>
    </row>
    <row r="61" spans="1:16" ht="60">
      <c r="A61" s="20" t="s">
        <v>892</v>
      </c>
      <c r="B61" s="20" t="s">
        <v>162</v>
      </c>
      <c r="C61" s="20" t="s">
        <v>162</v>
      </c>
      <c r="D61" s="20" t="s">
        <v>162</v>
      </c>
      <c r="E61" s="20" t="s">
        <v>162</v>
      </c>
      <c r="F61" s="20" t="s">
        <v>162</v>
      </c>
      <c r="G61" s="20" t="s">
        <v>162</v>
      </c>
      <c r="H61" s="20" t="s">
        <v>162</v>
      </c>
      <c r="I61" s="20" t="s">
        <v>162</v>
      </c>
      <c r="J61" s="20" t="s">
        <v>162</v>
      </c>
      <c r="K61" s="20" t="s">
        <v>219</v>
      </c>
      <c r="L61" s="20" t="s">
        <v>162</v>
      </c>
      <c r="M61" s="20" t="s">
        <v>162</v>
      </c>
      <c r="N61" s="20" t="s">
        <v>219</v>
      </c>
      <c r="O61" s="20" t="s">
        <v>162</v>
      </c>
      <c r="P61" s="20" t="s">
        <v>219</v>
      </c>
    </row>
    <row r="62" spans="1:16" ht="45">
      <c r="A62" s="20" t="s">
        <v>929</v>
      </c>
      <c r="B62" s="20" t="s">
        <v>101</v>
      </c>
      <c r="C62" s="20" t="s">
        <v>101</v>
      </c>
      <c r="D62" s="20" t="s">
        <v>101</v>
      </c>
      <c r="E62" s="20"/>
      <c r="F62" s="20" t="s">
        <v>101</v>
      </c>
      <c r="G62" s="20"/>
      <c r="H62" s="20"/>
      <c r="I62" s="20"/>
      <c r="J62" s="20" t="s">
        <v>101</v>
      </c>
      <c r="K62" s="20"/>
      <c r="L62" s="20"/>
      <c r="M62" s="20" t="s">
        <v>101</v>
      </c>
      <c r="N62" s="20"/>
      <c r="O62" s="20" t="s">
        <v>101</v>
      </c>
      <c r="P62" s="20"/>
    </row>
    <row r="63" spans="1:16" ht="30">
      <c r="A63" s="20" t="s">
        <v>930</v>
      </c>
      <c r="B63" s="20"/>
      <c r="C63" s="20"/>
      <c r="D63" s="20"/>
      <c r="E63" s="20"/>
      <c r="F63" s="20" t="s">
        <v>101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ht="30">
      <c r="A64" s="20" t="s">
        <v>1288</v>
      </c>
      <c r="B64" s="20" t="s">
        <v>162</v>
      </c>
      <c r="C64" s="20" t="s">
        <v>162</v>
      </c>
      <c r="D64" s="20" t="s">
        <v>162</v>
      </c>
      <c r="E64" s="20" t="s">
        <v>162</v>
      </c>
      <c r="F64" s="20" t="s">
        <v>162</v>
      </c>
      <c r="G64" s="20" t="s">
        <v>162</v>
      </c>
      <c r="H64" s="20" t="s">
        <v>162</v>
      </c>
      <c r="I64" s="20"/>
      <c r="J64" s="20" t="s">
        <v>162</v>
      </c>
      <c r="K64" s="20" t="s">
        <v>162</v>
      </c>
      <c r="L64" s="20"/>
      <c r="M64" s="20"/>
      <c r="N64" s="20" t="s">
        <v>162</v>
      </c>
      <c r="O64" s="20" t="s">
        <v>162</v>
      </c>
      <c r="P64" s="20"/>
    </row>
    <row r="65" spans="1:16" ht="30">
      <c r="A65" s="20" t="s">
        <v>1034</v>
      </c>
      <c r="B65" s="20"/>
      <c r="C65" s="20" t="s">
        <v>101</v>
      </c>
      <c r="D65" s="20" t="s">
        <v>101</v>
      </c>
      <c r="E65" s="20" t="s">
        <v>101</v>
      </c>
      <c r="F65" s="20" t="s">
        <v>101</v>
      </c>
      <c r="G65" s="20" t="s">
        <v>101</v>
      </c>
      <c r="H65" s="20" t="s">
        <v>101</v>
      </c>
      <c r="I65" s="20"/>
      <c r="J65" s="20" t="s">
        <v>101</v>
      </c>
      <c r="K65" s="20"/>
      <c r="L65" s="20"/>
      <c r="M65" s="20"/>
      <c r="N65" s="20" t="s">
        <v>101</v>
      </c>
      <c r="O65" s="20"/>
      <c r="P65" s="20" t="s">
        <v>101</v>
      </c>
    </row>
    <row r="66" spans="1:16">
      <c r="A66" s="20" t="s">
        <v>1817</v>
      </c>
      <c r="B66" s="20">
        <v>0</v>
      </c>
      <c r="C66" s="20" t="s">
        <v>101</v>
      </c>
      <c r="D66" s="20">
        <v>0</v>
      </c>
      <c r="E66" s="20">
        <v>0</v>
      </c>
      <c r="F66" s="20">
        <v>0</v>
      </c>
      <c r="G66" s="20">
        <v>0</v>
      </c>
      <c r="H66" s="20" t="s">
        <v>101</v>
      </c>
      <c r="I66" s="20">
        <v>0</v>
      </c>
      <c r="J66" s="20">
        <v>500</v>
      </c>
      <c r="K66" s="20" t="s">
        <v>1822</v>
      </c>
      <c r="L66" s="20" t="s">
        <v>161</v>
      </c>
      <c r="M66" s="20" t="s">
        <v>161</v>
      </c>
      <c r="N66" s="20" t="s">
        <v>1823</v>
      </c>
      <c r="O66" s="20" t="s">
        <v>161</v>
      </c>
      <c r="P66" s="20" t="s">
        <v>161</v>
      </c>
    </row>
    <row r="67" spans="1:16" ht="30">
      <c r="A67" s="20" t="s">
        <v>1083</v>
      </c>
      <c r="B67" s="20"/>
      <c r="C67" s="20"/>
      <c r="D67" s="20"/>
      <c r="E67" s="20" t="s">
        <v>101</v>
      </c>
      <c r="F67" s="20"/>
      <c r="G67" s="20"/>
      <c r="H67" s="20"/>
      <c r="I67" s="20"/>
      <c r="J67" s="20" t="s">
        <v>101</v>
      </c>
      <c r="K67" s="20"/>
      <c r="L67" s="20" t="s">
        <v>101</v>
      </c>
      <c r="M67" s="20"/>
      <c r="N67" s="20" t="s">
        <v>101</v>
      </c>
      <c r="O67" s="20" t="s">
        <v>101</v>
      </c>
      <c r="P67" s="20"/>
    </row>
    <row r="68" spans="1:16" ht="30">
      <c r="A68" s="20" t="s">
        <v>1084</v>
      </c>
      <c r="B68" s="20"/>
      <c r="C68" s="20"/>
      <c r="D68" s="20"/>
      <c r="E68" s="20" t="s">
        <v>101</v>
      </c>
      <c r="F68" s="20"/>
      <c r="G68" s="20"/>
      <c r="H68" s="20" t="s">
        <v>101</v>
      </c>
      <c r="I68" s="20"/>
      <c r="J68" s="20"/>
      <c r="K68" s="20"/>
      <c r="L68" s="20"/>
      <c r="M68" s="20"/>
      <c r="N68" s="20"/>
      <c r="O68" s="20"/>
      <c r="P68" s="20"/>
    </row>
    <row r="69" spans="1:16">
      <c r="A69" s="20" t="s">
        <v>1108</v>
      </c>
      <c r="B69" s="20"/>
      <c r="C69" s="20"/>
      <c r="D69" s="20"/>
      <c r="E69" s="20" t="s">
        <v>101</v>
      </c>
      <c r="F69" s="20"/>
      <c r="G69" s="20"/>
      <c r="H69" s="20" t="s">
        <v>101</v>
      </c>
      <c r="I69" s="20"/>
      <c r="J69" s="20" t="s">
        <v>101</v>
      </c>
      <c r="K69" s="20" t="s">
        <v>101</v>
      </c>
      <c r="L69" s="20"/>
      <c r="M69" s="20" t="s">
        <v>101</v>
      </c>
      <c r="N69" s="20"/>
      <c r="O69" s="20"/>
      <c r="P69" s="20" t="s">
        <v>101</v>
      </c>
    </row>
    <row r="70" spans="1:16" ht="105">
      <c r="A70" s="20" t="s">
        <v>1167</v>
      </c>
      <c r="B70" s="20" t="s">
        <v>101</v>
      </c>
      <c r="C70" s="20" t="s">
        <v>1200</v>
      </c>
      <c r="D70" s="20" t="s">
        <v>101</v>
      </c>
      <c r="E70" s="20" t="s">
        <v>1201</v>
      </c>
      <c r="F70" s="20" t="s">
        <v>1201</v>
      </c>
      <c r="G70" s="20" t="s">
        <v>1202</v>
      </c>
      <c r="H70" s="20" t="s">
        <v>1203</v>
      </c>
      <c r="I70" s="20" t="s">
        <v>1203</v>
      </c>
      <c r="J70" s="20" t="s">
        <v>1204</v>
      </c>
      <c r="K70" s="20" t="s">
        <v>161</v>
      </c>
      <c r="L70" s="20" t="s">
        <v>161</v>
      </c>
      <c r="M70" s="20" t="s">
        <v>1205</v>
      </c>
      <c r="N70" s="20" t="s">
        <v>1206</v>
      </c>
      <c r="O70" s="20" t="s">
        <v>1207</v>
      </c>
      <c r="P70" s="20" t="s">
        <v>1208</v>
      </c>
    </row>
    <row r="71" spans="1:16">
      <c r="A71" s="20" t="s">
        <v>1248</v>
      </c>
      <c r="B71" s="20" t="s">
        <v>101</v>
      </c>
      <c r="C71" s="20" t="s">
        <v>101</v>
      </c>
      <c r="D71" s="20"/>
      <c r="E71" s="20" t="s">
        <v>101</v>
      </c>
      <c r="F71" s="20"/>
      <c r="G71" s="20"/>
      <c r="H71" s="20" t="s">
        <v>101</v>
      </c>
      <c r="I71" s="20"/>
      <c r="J71" s="20" t="s">
        <v>101</v>
      </c>
      <c r="K71" s="20"/>
      <c r="L71" s="20"/>
      <c r="M71" s="20"/>
      <c r="N71" s="20" t="s">
        <v>101</v>
      </c>
      <c r="O71" s="20" t="s">
        <v>101</v>
      </c>
      <c r="P71" s="20"/>
    </row>
    <row r="72" spans="1:16">
      <c r="A72" s="20" t="s">
        <v>1278</v>
      </c>
      <c r="B72" s="20"/>
      <c r="C72" s="20" t="s">
        <v>101</v>
      </c>
      <c r="D72" s="20" t="s">
        <v>101</v>
      </c>
      <c r="E72" s="20" t="s">
        <v>101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ht="30">
      <c r="A73" s="20" t="s">
        <v>1324</v>
      </c>
      <c r="B73" s="20"/>
      <c r="C73" s="20"/>
      <c r="D73" s="20"/>
      <c r="E73" s="20" t="s">
        <v>101</v>
      </c>
      <c r="F73" s="20"/>
      <c r="G73" s="20"/>
      <c r="H73" s="20" t="s">
        <v>101</v>
      </c>
      <c r="I73" s="20" t="s">
        <v>101</v>
      </c>
      <c r="J73" s="20"/>
      <c r="K73" s="20"/>
      <c r="L73" s="20"/>
      <c r="M73" s="20" t="s">
        <v>101</v>
      </c>
      <c r="N73" s="20"/>
      <c r="O73" s="20" t="s">
        <v>101</v>
      </c>
      <c r="P73" s="20"/>
    </row>
    <row r="74" spans="1:16" ht="30">
      <c r="A74" s="20" t="s">
        <v>1337</v>
      </c>
      <c r="B74" s="20"/>
      <c r="C74" s="20"/>
      <c r="D74" s="20" t="s">
        <v>101</v>
      </c>
      <c r="E74" s="20"/>
      <c r="F74" s="20"/>
      <c r="G74" s="20"/>
      <c r="H74" s="20" t="s">
        <v>101</v>
      </c>
      <c r="I74" s="20"/>
      <c r="J74" s="20"/>
      <c r="K74" s="20"/>
      <c r="L74" s="20"/>
      <c r="M74" s="20"/>
      <c r="N74" s="20"/>
      <c r="O74" s="20"/>
      <c r="P74" s="20"/>
    </row>
    <row r="75" spans="1:16" ht="67.5">
      <c r="A75" s="134" t="s">
        <v>1970</v>
      </c>
      <c r="B75" s="20" t="s">
        <v>219</v>
      </c>
      <c r="C75" s="20" t="s">
        <v>219</v>
      </c>
      <c r="D75" s="20" t="s">
        <v>219</v>
      </c>
      <c r="E75" s="20" t="s">
        <v>346</v>
      </c>
      <c r="F75" s="20" t="s">
        <v>346</v>
      </c>
      <c r="G75" s="20" t="s">
        <v>1836</v>
      </c>
      <c r="H75" s="20">
        <v>0</v>
      </c>
      <c r="I75" s="20">
        <v>0</v>
      </c>
      <c r="J75" s="20">
        <v>0</v>
      </c>
      <c r="K75" s="20" t="s">
        <v>161</v>
      </c>
      <c r="L75" s="20" t="s">
        <v>346</v>
      </c>
      <c r="M75" s="20" t="s">
        <v>161</v>
      </c>
      <c r="N75" s="20" t="s">
        <v>346</v>
      </c>
      <c r="O75" s="20" t="s">
        <v>161</v>
      </c>
      <c r="P75" s="20" t="s">
        <v>346</v>
      </c>
    </row>
    <row r="76" spans="1:16" ht="45">
      <c r="A76" s="20" t="s">
        <v>1347</v>
      </c>
      <c r="B76" s="20"/>
      <c r="C76" s="20"/>
      <c r="D76" s="20"/>
      <c r="E76" s="20" t="s">
        <v>101</v>
      </c>
      <c r="F76" s="20"/>
      <c r="G76" s="20"/>
      <c r="H76" s="20" t="s">
        <v>101</v>
      </c>
      <c r="I76" s="20"/>
      <c r="J76" s="20" t="s">
        <v>101</v>
      </c>
      <c r="K76" s="20" t="s">
        <v>101</v>
      </c>
      <c r="L76" s="20"/>
      <c r="M76" s="20"/>
      <c r="N76" s="20"/>
      <c r="O76" s="20"/>
      <c r="P76" s="20"/>
    </row>
    <row r="77" spans="1:16" ht="60">
      <c r="A77" s="20" t="s">
        <v>1348</v>
      </c>
      <c r="B77" s="20" t="s">
        <v>101</v>
      </c>
      <c r="C77" s="20" t="s">
        <v>101</v>
      </c>
      <c r="D77" s="20" t="s">
        <v>101</v>
      </c>
      <c r="E77" s="20"/>
      <c r="F77" s="20" t="s">
        <v>101</v>
      </c>
      <c r="G77" s="20"/>
      <c r="H77" s="20" t="s">
        <v>101</v>
      </c>
      <c r="I77" s="20"/>
      <c r="J77" s="20" t="s">
        <v>101</v>
      </c>
      <c r="K77" s="20" t="s">
        <v>101</v>
      </c>
      <c r="L77" s="20"/>
      <c r="M77" s="20" t="s">
        <v>101</v>
      </c>
      <c r="N77" s="20"/>
      <c r="O77" s="20" t="s">
        <v>101</v>
      </c>
      <c r="P77" s="20" t="s">
        <v>101</v>
      </c>
    </row>
    <row r="78" spans="1:16" ht="30">
      <c r="A78" s="20" t="s">
        <v>1355</v>
      </c>
      <c r="B78" s="20"/>
      <c r="C78" s="20"/>
      <c r="D78" s="20"/>
      <c r="E78" s="20"/>
      <c r="F78" s="20"/>
      <c r="G78" s="20" t="s">
        <v>101</v>
      </c>
      <c r="H78" s="20" t="s">
        <v>101</v>
      </c>
      <c r="I78" s="20"/>
      <c r="J78" s="20" t="s">
        <v>101</v>
      </c>
      <c r="K78" s="20"/>
      <c r="L78" s="20"/>
      <c r="M78" s="20" t="s">
        <v>101</v>
      </c>
      <c r="N78" s="20"/>
      <c r="O78" s="20" t="s">
        <v>101</v>
      </c>
      <c r="P78" s="20" t="s">
        <v>101</v>
      </c>
    </row>
    <row r="79" spans="1:16" ht="30">
      <c r="A79" s="20" t="s">
        <v>1401</v>
      </c>
      <c r="B79" s="20"/>
      <c r="C79" s="20" t="s">
        <v>162</v>
      </c>
      <c r="D79" s="20"/>
      <c r="E79" s="20"/>
      <c r="F79" s="20"/>
      <c r="G79" s="20"/>
      <c r="H79" s="20" t="s">
        <v>1407</v>
      </c>
      <c r="I79" s="20"/>
      <c r="J79" s="20"/>
      <c r="K79" s="20"/>
      <c r="L79" s="20"/>
      <c r="M79" s="20"/>
      <c r="N79" s="20"/>
      <c r="O79" s="20"/>
      <c r="P79" s="20"/>
    </row>
    <row r="80" spans="1:16" ht="30">
      <c r="A80" s="20" t="s">
        <v>1421</v>
      </c>
      <c r="B80" s="20" t="s">
        <v>101</v>
      </c>
      <c r="C80" s="20"/>
      <c r="D80" s="20"/>
      <c r="E80" s="20"/>
      <c r="F80" s="20"/>
      <c r="G80" s="20"/>
      <c r="H80" s="20"/>
      <c r="I80" s="20"/>
      <c r="J80" s="20" t="s">
        <v>162</v>
      </c>
      <c r="K80" s="20"/>
      <c r="L80" s="20"/>
      <c r="M80" s="20"/>
      <c r="N80" s="20" t="s">
        <v>101</v>
      </c>
      <c r="O80" s="20"/>
      <c r="P80" s="20" t="s">
        <v>162</v>
      </c>
    </row>
    <row r="81" spans="1:16" ht="45">
      <c r="A81" s="20" t="s">
        <v>1433</v>
      </c>
      <c r="B81" s="20" t="s">
        <v>101</v>
      </c>
      <c r="C81" s="20" t="s">
        <v>101</v>
      </c>
      <c r="D81" s="20" t="s">
        <v>101</v>
      </c>
      <c r="E81" s="20" t="s">
        <v>101</v>
      </c>
      <c r="F81" s="20" t="s">
        <v>101</v>
      </c>
      <c r="G81" s="20" t="s">
        <v>101</v>
      </c>
      <c r="H81" s="20" t="s">
        <v>101</v>
      </c>
      <c r="I81" s="20" t="s">
        <v>101</v>
      </c>
      <c r="J81" s="20"/>
      <c r="K81" s="20" t="s">
        <v>101</v>
      </c>
      <c r="L81" s="20"/>
      <c r="M81" s="20" t="s">
        <v>101</v>
      </c>
      <c r="N81" s="20"/>
      <c r="O81" s="20" t="s">
        <v>101</v>
      </c>
      <c r="P81" s="20"/>
    </row>
    <row r="82" spans="1:16" ht="45">
      <c r="A82" s="20" t="s">
        <v>1476</v>
      </c>
      <c r="B82" s="20" t="s">
        <v>219</v>
      </c>
      <c r="C82" s="20" t="s">
        <v>219</v>
      </c>
      <c r="D82" s="20" t="s">
        <v>219</v>
      </c>
      <c r="E82" s="20" t="s">
        <v>219</v>
      </c>
      <c r="F82" s="20" t="s">
        <v>219</v>
      </c>
      <c r="G82" s="20" t="s">
        <v>219</v>
      </c>
      <c r="H82" s="20" t="s">
        <v>162</v>
      </c>
      <c r="I82" s="20" t="s">
        <v>219</v>
      </c>
      <c r="J82" s="20" t="s">
        <v>162</v>
      </c>
      <c r="K82" s="20" t="s">
        <v>219</v>
      </c>
      <c r="L82" s="20" t="s">
        <v>162</v>
      </c>
      <c r="M82" s="20" t="s">
        <v>219</v>
      </c>
      <c r="N82" s="20" t="s">
        <v>162</v>
      </c>
      <c r="O82" s="20" t="s">
        <v>162</v>
      </c>
      <c r="P82" s="20" t="s">
        <v>219</v>
      </c>
    </row>
    <row r="83" spans="1:16" ht="60">
      <c r="A83" s="20" t="s">
        <v>1477</v>
      </c>
      <c r="B83" s="20" t="s">
        <v>1509</v>
      </c>
      <c r="C83" s="20" t="s">
        <v>1509</v>
      </c>
      <c r="D83" s="20" t="s">
        <v>1509</v>
      </c>
      <c r="E83" s="20" t="s">
        <v>219</v>
      </c>
      <c r="F83" s="20" t="s">
        <v>219</v>
      </c>
      <c r="G83" s="20" t="s">
        <v>219</v>
      </c>
      <c r="H83" s="20" t="s">
        <v>162</v>
      </c>
      <c r="I83" s="20" t="s">
        <v>219</v>
      </c>
      <c r="J83" s="20" t="s">
        <v>219</v>
      </c>
      <c r="K83" s="20" t="s">
        <v>219</v>
      </c>
      <c r="L83" s="20" t="s">
        <v>162</v>
      </c>
      <c r="M83" s="20" t="s">
        <v>219</v>
      </c>
      <c r="N83" s="20" t="s">
        <v>219</v>
      </c>
      <c r="O83" s="20" t="s">
        <v>219</v>
      </c>
      <c r="P83" s="20" t="s">
        <v>219</v>
      </c>
    </row>
    <row r="84" spans="1:16" ht="60">
      <c r="A84" s="20" t="s">
        <v>1478</v>
      </c>
      <c r="B84" s="20" t="s">
        <v>1509</v>
      </c>
      <c r="C84" s="20" t="s">
        <v>1509</v>
      </c>
      <c r="D84" s="20" t="s">
        <v>1509</v>
      </c>
      <c r="E84" s="20" t="s">
        <v>219</v>
      </c>
      <c r="F84" s="20" t="s">
        <v>219</v>
      </c>
      <c r="G84" s="20" t="s">
        <v>219</v>
      </c>
      <c r="H84" s="20" t="s">
        <v>162</v>
      </c>
      <c r="I84" s="20" t="s">
        <v>219</v>
      </c>
      <c r="J84" s="20" t="s">
        <v>219</v>
      </c>
      <c r="K84" s="20" t="s">
        <v>219</v>
      </c>
      <c r="L84" s="20" t="s">
        <v>162</v>
      </c>
      <c r="M84" s="20" t="s">
        <v>219</v>
      </c>
      <c r="N84" s="20" t="s">
        <v>219</v>
      </c>
      <c r="O84" s="20" t="s">
        <v>219</v>
      </c>
      <c r="P84" s="20" t="s">
        <v>219</v>
      </c>
    </row>
    <row r="85" spans="1:16" ht="30">
      <c r="A85" s="20" t="s">
        <v>1479</v>
      </c>
      <c r="B85" s="20" t="s">
        <v>219</v>
      </c>
      <c r="C85" s="20" t="s">
        <v>219</v>
      </c>
      <c r="D85" s="20" t="s">
        <v>219</v>
      </c>
      <c r="E85" s="20" t="s">
        <v>219</v>
      </c>
      <c r="F85" s="20" t="s">
        <v>219</v>
      </c>
      <c r="G85" s="20" t="s">
        <v>219</v>
      </c>
      <c r="H85" s="20" t="s">
        <v>162</v>
      </c>
      <c r="I85" s="20" t="s">
        <v>219</v>
      </c>
      <c r="J85" s="20" t="s">
        <v>219</v>
      </c>
      <c r="K85" s="20" t="s">
        <v>219</v>
      </c>
      <c r="L85" s="20" t="s">
        <v>162</v>
      </c>
      <c r="M85" s="20" t="s">
        <v>219</v>
      </c>
      <c r="N85" s="20" t="s">
        <v>219</v>
      </c>
      <c r="O85" s="20" t="s">
        <v>219</v>
      </c>
      <c r="P85" s="20" t="s">
        <v>219</v>
      </c>
    </row>
    <row r="86" spans="1:16" ht="60">
      <c r="A86" s="20" t="s">
        <v>1480</v>
      </c>
      <c r="B86" s="20" t="s">
        <v>219</v>
      </c>
      <c r="C86" s="20" t="s">
        <v>219</v>
      </c>
      <c r="D86" s="20" t="s">
        <v>219</v>
      </c>
      <c r="E86" s="20" t="s">
        <v>219</v>
      </c>
      <c r="F86" s="20" t="s">
        <v>219</v>
      </c>
      <c r="G86" s="20" t="s">
        <v>219</v>
      </c>
      <c r="H86" s="20" t="s">
        <v>162</v>
      </c>
      <c r="I86" s="20" t="s">
        <v>219</v>
      </c>
      <c r="J86" s="20" t="s">
        <v>219</v>
      </c>
      <c r="K86" s="20" t="s">
        <v>219</v>
      </c>
      <c r="L86" s="20" t="s">
        <v>162</v>
      </c>
      <c r="M86" s="20" t="s">
        <v>219</v>
      </c>
      <c r="N86" s="20" t="s">
        <v>219</v>
      </c>
      <c r="O86" s="20" t="s">
        <v>219</v>
      </c>
      <c r="P86" s="20" t="s">
        <v>219</v>
      </c>
    </row>
    <row r="87" spans="1:16" ht="60">
      <c r="A87" s="20" t="s">
        <v>1481</v>
      </c>
      <c r="B87" s="20" t="s">
        <v>219</v>
      </c>
      <c r="C87" s="20" t="s">
        <v>219</v>
      </c>
      <c r="D87" s="20" t="s">
        <v>219</v>
      </c>
      <c r="E87" s="20" t="s">
        <v>219</v>
      </c>
      <c r="F87" s="20" t="s">
        <v>219</v>
      </c>
      <c r="G87" s="20" t="s">
        <v>219</v>
      </c>
      <c r="H87" s="20" t="s">
        <v>162</v>
      </c>
      <c r="I87" s="20" t="s">
        <v>219</v>
      </c>
      <c r="J87" s="20" t="s">
        <v>219</v>
      </c>
      <c r="K87" s="20" t="s">
        <v>219</v>
      </c>
      <c r="L87" s="20" t="s">
        <v>162</v>
      </c>
      <c r="M87" s="20" t="s">
        <v>219</v>
      </c>
      <c r="N87" s="20" t="s">
        <v>219</v>
      </c>
      <c r="O87" s="20" t="s">
        <v>219</v>
      </c>
      <c r="P87" s="20" t="s">
        <v>219</v>
      </c>
    </row>
    <row r="88" spans="1:16" ht="60">
      <c r="A88" s="20" t="s">
        <v>1482</v>
      </c>
      <c r="B88" s="20" t="s">
        <v>219</v>
      </c>
      <c r="C88" s="20" t="s">
        <v>162</v>
      </c>
      <c r="D88" s="20" t="s">
        <v>162</v>
      </c>
      <c r="E88" s="20" t="s">
        <v>219</v>
      </c>
      <c r="F88" s="20" t="s">
        <v>219</v>
      </c>
      <c r="G88" s="20" t="s">
        <v>219</v>
      </c>
      <c r="H88" s="20" t="s">
        <v>162</v>
      </c>
      <c r="I88" s="20" t="s">
        <v>219</v>
      </c>
      <c r="J88" s="20" t="s">
        <v>219</v>
      </c>
      <c r="K88" s="20" t="s">
        <v>219</v>
      </c>
      <c r="L88" s="20" t="s">
        <v>101</v>
      </c>
      <c r="M88" s="20" t="s">
        <v>219</v>
      </c>
      <c r="N88" s="20" t="s">
        <v>219</v>
      </c>
      <c r="O88" s="20" t="s">
        <v>219</v>
      </c>
      <c r="P88" s="20" t="s">
        <v>219</v>
      </c>
    </row>
    <row r="89" spans="1:16" ht="60">
      <c r="A89" s="20" t="s">
        <v>1483</v>
      </c>
      <c r="B89" s="20" t="s">
        <v>219</v>
      </c>
      <c r="C89" s="20" t="s">
        <v>219</v>
      </c>
      <c r="D89" s="20" t="s">
        <v>219</v>
      </c>
      <c r="E89" s="20" t="s">
        <v>219</v>
      </c>
      <c r="F89" s="20" t="s">
        <v>219</v>
      </c>
      <c r="G89" s="20" t="s">
        <v>219</v>
      </c>
      <c r="H89" s="20" t="s">
        <v>162</v>
      </c>
      <c r="I89" s="20" t="s">
        <v>219</v>
      </c>
      <c r="J89" s="20" t="s">
        <v>219</v>
      </c>
      <c r="K89" s="20" t="s">
        <v>219</v>
      </c>
      <c r="L89" s="20" t="s">
        <v>162</v>
      </c>
      <c r="M89" s="20" t="s">
        <v>219</v>
      </c>
      <c r="N89" s="20" t="s">
        <v>219</v>
      </c>
      <c r="O89" s="20" t="s">
        <v>219</v>
      </c>
      <c r="P89" s="20" t="s">
        <v>219</v>
      </c>
    </row>
    <row r="90" spans="1:16" ht="60">
      <c r="A90" s="20" t="s">
        <v>1484</v>
      </c>
      <c r="B90" s="20" t="s">
        <v>1509</v>
      </c>
      <c r="C90" s="20" t="s">
        <v>1509</v>
      </c>
      <c r="D90" s="20" t="s">
        <v>1509</v>
      </c>
      <c r="E90" s="20" t="s">
        <v>1509</v>
      </c>
      <c r="F90" s="20" t="s">
        <v>1509</v>
      </c>
      <c r="G90" s="20" t="s">
        <v>1509</v>
      </c>
      <c r="H90" s="20" t="s">
        <v>162</v>
      </c>
      <c r="I90" s="20" t="s">
        <v>219</v>
      </c>
      <c r="J90" s="20" t="s">
        <v>219</v>
      </c>
      <c r="K90" s="20" t="s">
        <v>219</v>
      </c>
      <c r="L90" s="20" t="s">
        <v>162</v>
      </c>
      <c r="M90" s="20" t="s">
        <v>1510</v>
      </c>
      <c r="N90" s="20" t="s">
        <v>219</v>
      </c>
      <c r="O90" s="20" t="s">
        <v>219</v>
      </c>
      <c r="P90" s="20" t="s">
        <v>219</v>
      </c>
    </row>
    <row r="91" spans="1:16" ht="45">
      <c r="A91" s="20" t="s">
        <v>1485</v>
      </c>
      <c r="B91" s="20" t="s">
        <v>1509</v>
      </c>
      <c r="C91" s="20" t="s">
        <v>1509</v>
      </c>
      <c r="D91" s="20" t="s">
        <v>1509</v>
      </c>
      <c r="E91" s="20" t="s">
        <v>1509</v>
      </c>
      <c r="F91" s="20" t="s">
        <v>1509</v>
      </c>
      <c r="G91" s="20" t="s">
        <v>1509</v>
      </c>
      <c r="H91" s="20" t="s">
        <v>219</v>
      </c>
      <c r="I91" s="20" t="s">
        <v>219</v>
      </c>
      <c r="J91" s="20" t="s">
        <v>219</v>
      </c>
      <c r="K91" s="20" t="s">
        <v>219</v>
      </c>
      <c r="L91" s="20" t="s">
        <v>219</v>
      </c>
      <c r="M91" s="20" t="s">
        <v>219</v>
      </c>
      <c r="N91" s="20" t="s">
        <v>219</v>
      </c>
      <c r="O91" s="20" t="s">
        <v>219</v>
      </c>
      <c r="P91" s="20" t="s">
        <v>219</v>
      </c>
    </row>
    <row r="92" spans="1:16" ht="45">
      <c r="A92" s="20" t="s">
        <v>1486</v>
      </c>
      <c r="B92" s="20" t="s">
        <v>1509</v>
      </c>
      <c r="C92" s="20" t="s">
        <v>1509</v>
      </c>
      <c r="D92" s="20" t="s">
        <v>1509</v>
      </c>
      <c r="E92" s="20" t="s">
        <v>1509</v>
      </c>
      <c r="F92" s="20" t="s">
        <v>1509</v>
      </c>
      <c r="G92" s="20" t="s">
        <v>1509</v>
      </c>
      <c r="H92" s="20" t="s">
        <v>219</v>
      </c>
      <c r="I92" s="20" t="s">
        <v>219</v>
      </c>
      <c r="J92" s="20" t="s">
        <v>219</v>
      </c>
      <c r="K92" s="20" t="s">
        <v>219</v>
      </c>
      <c r="L92" s="20" t="s">
        <v>219</v>
      </c>
      <c r="M92" s="20" t="s">
        <v>219</v>
      </c>
      <c r="N92" s="20" t="s">
        <v>219</v>
      </c>
      <c r="O92" s="20" t="s">
        <v>219</v>
      </c>
      <c r="P92" s="20" t="s">
        <v>219</v>
      </c>
    </row>
    <row r="93" spans="1:16" ht="45">
      <c r="A93" s="20" t="s">
        <v>1856</v>
      </c>
      <c r="B93" s="20" t="s">
        <v>219</v>
      </c>
      <c r="C93" s="20" t="s">
        <v>219</v>
      </c>
      <c r="D93" s="20" t="s">
        <v>219</v>
      </c>
      <c r="E93" s="20" t="s">
        <v>101</v>
      </c>
      <c r="F93" s="20" t="s">
        <v>101</v>
      </c>
      <c r="G93" s="20" t="s">
        <v>101</v>
      </c>
      <c r="H93" s="20"/>
      <c r="I93" s="20"/>
      <c r="J93" s="20"/>
      <c r="K93" s="20"/>
      <c r="L93" s="20"/>
      <c r="M93" s="20"/>
      <c r="N93" s="20"/>
      <c r="O93" s="20"/>
      <c r="P93" s="20"/>
    </row>
    <row r="94" spans="1:16" s="4" customForma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4" customFormat="1">
      <c r="A95" s="23" t="s">
        <v>65</v>
      </c>
      <c r="B95" s="22"/>
      <c r="C95" s="22"/>
      <c r="D95" s="22"/>
      <c r="E95" s="2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>
      <c r="A96" s="198" t="s">
        <v>22</v>
      </c>
      <c r="B96" s="198"/>
      <c r="C96" s="198"/>
      <c r="D96" s="198"/>
      <c r="E96" s="198"/>
      <c r="F96" s="198"/>
      <c r="G96" s="198"/>
      <c r="H96" s="198"/>
      <c r="I96" s="198"/>
      <c r="J96" s="21"/>
      <c r="K96" s="21"/>
      <c r="L96" s="21"/>
      <c r="M96" s="21"/>
      <c r="N96" s="21"/>
      <c r="O96" s="21"/>
      <c r="P96" s="21"/>
    </row>
    <row r="97" spans="1:16">
      <c r="A97" s="1" t="s">
        <v>33</v>
      </c>
      <c r="B97" s="1"/>
      <c r="C97" s="1"/>
      <c r="D97" s="1"/>
      <c r="E97" s="1"/>
      <c r="F97" s="1"/>
      <c r="G97" s="1"/>
      <c r="H97" s="1"/>
      <c r="I97" s="1"/>
      <c r="J97" s="5"/>
      <c r="K97" s="5"/>
      <c r="L97" s="5"/>
      <c r="M97" s="5"/>
      <c r="N97" s="5"/>
      <c r="O97" s="5"/>
      <c r="P97" s="5"/>
    </row>
    <row r="98" spans="1:16">
      <c r="A98" s="5" t="s">
        <v>66</v>
      </c>
    </row>
    <row r="99" spans="1:16">
      <c r="A99" s="8" t="s">
        <v>67</v>
      </c>
    </row>
    <row r="100" spans="1:16">
      <c r="A100" s="8" t="s">
        <v>32</v>
      </c>
    </row>
  </sheetData>
  <mergeCells count="2">
    <mergeCell ref="A96:I96"/>
    <mergeCell ref="A1:P1"/>
  </mergeCells>
  <phoneticPr fontId="5" type="noConversion"/>
  <pageMargins left="0.75" right="0.75" top="1" bottom="1" header="0.5" footer="0.5"/>
  <pageSetup paperSize="9" scale="53" fitToHeight="0" orientation="landscape" r:id="rId1"/>
  <headerFooter alignWithMargins="0"/>
  <rowBreaks count="1" manualBreakCount="1">
    <brk id="77" max="15" man="1"/>
  </rowBreaks>
  <colBreaks count="1" manualBreakCount="1">
    <brk id="7" max="99" man="1"/>
  </col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89"/>
  <sheetViews>
    <sheetView topLeftCell="B1" zoomScaleNormal="100" workbookViewId="0">
      <selection activeCell="A2" sqref="A2"/>
    </sheetView>
  </sheetViews>
  <sheetFormatPr defaultRowHeight="15"/>
  <cols>
    <col min="1" max="1" width="59.7109375" style="8" customWidth="1"/>
    <col min="2" max="2" width="37.5703125" style="8" customWidth="1"/>
    <col min="3" max="3" width="24.85546875" style="8" customWidth="1"/>
    <col min="4" max="4" width="29.42578125" style="8" customWidth="1"/>
    <col min="5" max="5" width="17.5703125" style="8" customWidth="1"/>
    <col min="6" max="6" width="23" style="8" customWidth="1"/>
    <col min="7" max="7" width="21.42578125" style="8" customWidth="1"/>
    <col min="8" max="8" width="22.42578125" style="8" customWidth="1"/>
    <col min="9" max="9" width="19.28515625" style="8" customWidth="1"/>
    <col min="10" max="10" width="20.7109375" style="8" customWidth="1"/>
    <col min="11" max="11" width="32" style="8" customWidth="1"/>
    <col min="12" max="12" width="21.5703125" style="8" customWidth="1"/>
    <col min="13" max="13" width="23.28515625" style="8" customWidth="1"/>
    <col min="14" max="14" width="19.42578125" style="8" customWidth="1"/>
    <col min="15" max="15" width="20.42578125" style="8" customWidth="1"/>
    <col min="16" max="16384" width="9.140625" style="8"/>
  </cols>
  <sheetData>
    <row r="1" spans="1:16" ht="15.75">
      <c r="A1" s="200" t="s">
        <v>2003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ht="16.5">
      <c r="A2" s="181" t="s">
        <v>2004</v>
      </c>
    </row>
    <row r="3" spans="1:16" ht="92.25" customHeight="1">
      <c r="A3" s="97" t="s">
        <v>15</v>
      </c>
      <c r="B3" s="98" t="s">
        <v>70</v>
      </c>
      <c r="C3" s="98" t="s">
        <v>71</v>
      </c>
      <c r="D3" s="98" t="s">
        <v>72</v>
      </c>
      <c r="E3" s="98" t="s">
        <v>73</v>
      </c>
      <c r="F3" s="98" t="s">
        <v>74</v>
      </c>
      <c r="G3" s="98" t="s">
        <v>75</v>
      </c>
      <c r="H3" s="98" t="s">
        <v>76</v>
      </c>
      <c r="I3" s="98" t="s">
        <v>77</v>
      </c>
      <c r="J3" s="98" t="s">
        <v>78</v>
      </c>
      <c r="K3" s="98" t="s">
        <v>79</v>
      </c>
      <c r="L3" s="98" t="s">
        <v>80</v>
      </c>
      <c r="M3" s="98" t="s">
        <v>81</v>
      </c>
      <c r="N3" s="98" t="s">
        <v>82</v>
      </c>
      <c r="O3" s="99" t="s">
        <v>83</v>
      </c>
    </row>
    <row r="4" spans="1:16">
      <c r="A4" s="71" t="s">
        <v>1879</v>
      </c>
      <c r="B4" s="20" t="s">
        <v>101</v>
      </c>
      <c r="C4" s="20" t="s">
        <v>101</v>
      </c>
      <c r="D4" s="20" t="s">
        <v>101</v>
      </c>
      <c r="E4" s="20" t="s">
        <v>101</v>
      </c>
      <c r="F4" s="20" t="s">
        <v>219</v>
      </c>
      <c r="G4" s="20" t="s">
        <v>219</v>
      </c>
      <c r="H4" s="20" t="s">
        <v>101</v>
      </c>
      <c r="I4" s="20" t="s">
        <v>101</v>
      </c>
      <c r="J4" s="20" t="s">
        <v>101</v>
      </c>
      <c r="K4" s="20" t="s">
        <v>101</v>
      </c>
      <c r="L4" s="20" t="s">
        <v>101</v>
      </c>
      <c r="M4" s="20" t="s">
        <v>219</v>
      </c>
      <c r="N4" s="20" t="s">
        <v>219</v>
      </c>
      <c r="O4" s="20" t="s">
        <v>101</v>
      </c>
    </row>
    <row r="5" spans="1:16">
      <c r="A5" s="71" t="s">
        <v>1880</v>
      </c>
      <c r="B5" s="20" t="s">
        <v>101</v>
      </c>
      <c r="C5" s="20" t="s">
        <v>101</v>
      </c>
      <c r="D5" s="20" t="s">
        <v>219</v>
      </c>
      <c r="E5" s="20" t="s">
        <v>219</v>
      </c>
      <c r="F5" s="20" t="s">
        <v>219</v>
      </c>
      <c r="G5" s="20" t="s">
        <v>219</v>
      </c>
      <c r="H5" s="20" t="s">
        <v>101</v>
      </c>
      <c r="I5" s="20" t="s">
        <v>101</v>
      </c>
      <c r="J5" s="20" t="s">
        <v>101</v>
      </c>
      <c r="K5" s="20" t="s">
        <v>219</v>
      </c>
      <c r="L5" s="20" t="s">
        <v>101</v>
      </c>
      <c r="M5" s="20" t="s">
        <v>219</v>
      </c>
      <c r="N5" s="20" t="s">
        <v>219</v>
      </c>
      <c r="O5" s="20" t="s">
        <v>101</v>
      </c>
    </row>
    <row r="6" spans="1:16">
      <c r="A6" s="71" t="s">
        <v>1881</v>
      </c>
      <c r="B6" s="20" t="s">
        <v>219</v>
      </c>
      <c r="C6" s="20" t="s">
        <v>101</v>
      </c>
      <c r="D6" s="20" t="s">
        <v>219</v>
      </c>
      <c r="E6" s="20" t="s">
        <v>219</v>
      </c>
      <c r="F6" s="20" t="s">
        <v>219</v>
      </c>
      <c r="G6" s="20" t="s">
        <v>219</v>
      </c>
      <c r="H6" s="20" t="s">
        <v>101</v>
      </c>
      <c r="I6" s="20" t="s">
        <v>101</v>
      </c>
      <c r="J6" s="20" t="s">
        <v>101</v>
      </c>
      <c r="K6" s="20" t="s">
        <v>219</v>
      </c>
      <c r="L6" s="20" t="s">
        <v>101</v>
      </c>
      <c r="M6" s="20" t="s">
        <v>101</v>
      </c>
      <c r="N6" s="20" t="s">
        <v>219</v>
      </c>
      <c r="O6" s="20" t="s">
        <v>101</v>
      </c>
    </row>
    <row r="7" spans="1:16">
      <c r="A7" s="71" t="s">
        <v>1882</v>
      </c>
      <c r="B7" s="20" t="s">
        <v>219</v>
      </c>
      <c r="C7" s="20" t="s">
        <v>101</v>
      </c>
      <c r="D7" s="20" t="s">
        <v>219</v>
      </c>
      <c r="E7" s="20" t="s">
        <v>219</v>
      </c>
      <c r="F7" s="20" t="s">
        <v>219</v>
      </c>
      <c r="G7" s="20" t="s">
        <v>219</v>
      </c>
      <c r="H7" s="20" t="s">
        <v>101</v>
      </c>
      <c r="I7" s="20" t="s">
        <v>101</v>
      </c>
      <c r="J7" s="20" t="s">
        <v>101</v>
      </c>
      <c r="K7" s="20" t="s">
        <v>219</v>
      </c>
      <c r="L7" s="20" t="s">
        <v>101</v>
      </c>
      <c r="M7" s="20" t="s">
        <v>219</v>
      </c>
      <c r="N7" s="20" t="s">
        <v>219</v>
      </c>
      <c r="O7" s="20" t="s">
        <v>219</v>
      </c>
    </row>
    <row r="8" spans="1:16">
      <c r="A8" s="71" t="s">
        <v>1883</v>
      </c>
      <c r="B8" s="20" t="s">
        <v>1683</v>
      </c>
      <c r="C8" s="20" t="s">
        <v>1683</v>
      </c>
      <c r="D8" s="20" t="s">
        <v>1683</v>
      </c>
      <c r="E8" s="20" t="s">
        <v>1683</v>
      </c>
      <c r="F8" s="20" t="s">
        <v>164</v>
      </c>
      <c r="G8" s="20" t="s">
        <v>164</v>
      </c>
      <c r="H8" s="20" t="s">
        <v>1684</v>
      </c>
      <c r="I8" s="20" t="s">
        <v>1684</v>
      </c>
      <c r="J8" s="20" t="s">
        <v>1685</v>
      </c>
      <c r="K8" s="20" t="s">
        <v>1686</v>
      </c>
      <c r="L8" s="20" t="s">
        <v>1687</v>
      </c>
      <c r="M8" s="20" t="s">
        <v>164</v>
      </c>
      <c r="N8" s="20" t="s">
        <v>164</v>
      </c>
      <c r="O8" s="20" t="s">
        <v>1684</v>
      </c>
    </row>
    <row r="9" spans="1:16">
      <c r="A9" s="71" t="s">
        <v>1884</v>
      </c>
      <c r="B9" s="20" t="s">
        <v>101</v>
      </c>
      <c r="C9" s="20" t="s">
        <v>101</v>
      </c>
      <c r="D9" s="20" t="s">
        <v>219</v>
      </c>
      <c r="E9" s="20" t="s">
        <v>219</v>
      </c>
      <c r="F9" s="20" t="s">
        <v>219</v>
      </c>
      <c r="G9" s="20" t="s">
        <v>219</v>
      </c>
      <c r="H9" s="20" t="s">
        <v>101</v>
      </c>
      <c r="I9" s="20" t="s">
        <v>101</v>
      </c>
      <c r="J9" s="20" t="s">
        <v>101</v>
      </c>
      <c r="K9" s="20" t="s">
        <v>219</v>
      </c>
      <c r="L9" s="20" t="s">
        <v>101</v>
      </c>
      <c r="M9" s="20" t="s">
        <v>101</v>
      </c>
      <c r="N9" s="20" t="s">
        <v>219</v>
      </c>
      <c r="O9" s="20" t="s">
        <v>101</v>
      </c>
    </row>
    <row r="10" spans="1:16" ht="30">
      <c r="A10" s="71" t="s">
        <v>1885</v>
      </c>
      <c r="B10" s="20" t="s">
        <v>101</v>
      </c>
      <c r="C10" s="20" t="s">
        <v>101</v>
      </c>
      <c r="D10" s="20" t="s">
        <v>219</v>
      </c>
      <c r="E10" s="20" t="s">
        <v>219</v>
      </c>
      <c r="F10" s="20" t="s">
        <v>219</v>
      </c>
      <c r="G10" s="20" t="s">
        <v>219</v>
      </c>
      <c r="H10" s="20" t="s">
        <v>101</v>
      </c>
      <c r="I10" s="20" t="s">
        <v>101</v>
      </c>
      <c r="J10" s="20" t="s">
        <v>101</v>
      </c>
      <c r="K10" s="20" t="s">
        <v>219</v>
      </c>
      <c r="L10" s="20" t="s">
        <v>101</v>
      </c>
      <c r="M10" s="20" t="s">
        <v>101</v>
      </c>
      <c r="N10" s="20" t="s">
        <v>219</v>
      </c>
      <c r="O10" s="20" t="s">
        <v>101</v>
      </c>
    </row>
    <row r="11" spans="1:16">
      <c r="A11" s="71" t="s">
        <v>1886</v>
      </c>
      <c r="B11" s="20" t="s">
        <v>219</v>
      </c>
      <c r="C11" s="20" t="s">
        <v>219</v>
      </c>
      <c r="D11" s="20" t="s">
        <v>219</v>
      </c>
      <c r="E11" s="20" t="s">
        <v>219</v>
      </c>
      <c r="F11" s="20" t="s">
        <v>219</v>
      </c>
      <c r="G11" s="20" t="s">
        <v>219</v>
      </c>
      <c r="H11" s="20" t="s">
        <v>219</v>
      </c>
      <c r="I11" s="20" t="s">
        <v>219</v>
      </c>
      <c r="J11" s="20" t="s">
        <v>219</v>
      </c>
      <c r="K11" s="20" t="s">
        <v>219</v>
      </c>
      <c r="L11" s="20" t="s">
        <v>219</v>
      </c>
      <c r="M11" s="20" t="s">
        <v>219</v>
      </c>
      <c r="N11" s="20" t="s">
        <v>219</v>
      </c>
      <c r="O11" s="20" t="s">
        <v>219</v>
      </c>
    </row>
    <row r="12" spans="1:16">
      <c r="A12" s="71" t="s">
        <v>1887</v>
      </c>
      <c r="B12" s="20" t="s">
        <v>219</v>
      </c>
      <c r="C12" s="20" t="s">
        <v>219</v>
      </c>
      <c r="D12" s="20" t="s">
        <v>219</v>
      </c>
      <c r="E12" s="20" t="s">
        <v>219</v>
      </c>
      <c r="F12" s="20" t="s">
        <v>219</v>
      </c>
      <c r="G12" s="20" t="s">
        <v>219</v>
      </c>
      <c r="H12" s="20" t="s">
        <v>1688</v>
      </c>
      <c r="I12" s="20"/>
      <c r="J12" s="20" t="s">
        <v>1688</v>
      </c>
      <c r="K12" s="20"/>
      <c r="L12" s="20" t="s">
        <v>1689</v>
      </c>
      <c r="M12" s="20" t="s">
        <v>1690</v>
      </c>
      <c r="N12" s="20" t="s">
        <v>219</v>
      </c>
      <c r="O12" s="20" t="s">
        <v>1691</v>
      </c>
    </row>
    <row r="13" spans="1:16">
      <c r="A13" s="71" t="s">
        <v>1888</v>
      </c>
      <c r="B13" s="20" t="s">
        <v>219</v>
      </c>
      <c r="C13" s="20" t="s">
        <v>219</v>
      </c>
      <c r="D13" s="20" t="s">
        <v>219</v>
      </c>
      <c r="E13" s="20" t="s">
        <v>219</v>
      </c>
      <c r="F13" s="20" t="s">
        <v>219</v>
      </c>
      <c r="G13" s="20" t="s">
        <v>219</v>
      </c>
      <c r="H13" s="20" t="s">
        <v>219</v>
      </c>
      <c r="I13" s="20" t="s">
        <v>219</v>
      </c>
      <c r="J13" s="20" t="s">
        <v>219</v>
      </c>
      <c r="K13" s="20" t="s">
        <v>219</v>
      </c>
      <c r="L13" s="20" t="s">
        <v>219</v>
      </c>
      <c r="M13" s="20" t="s">
        <v>219</v>
      </c>
      <c r="N13" s="20" t="s">
        <v>219</v>
      </c>
      <c r="O13" s="20" t="s">
        <v>219</v>
      </c>
    </row>
    <row r="14" spans="1:16">
      <c r="A14" s="71" t="s">
        <v>1889</v>
      </c>
      <c r="B14" s="20" t="s">
        <v>219</v>
      </c>
      <c r="C14" s="20" t="s">
        <v>219</v>
      </c>
      <c r="D14" s="20" t="s">
        <v>219</v>
      </c>
      <c r="E14" s="20" t="s">
        <v>219</v>
      </c>
      <c r="F14" s="20" t="s">
        <v>219</v>
      </c>
      <c r="G14" s="20" t="s">
        <v>219</v>
      </c>
      <c r="H14" s="20" t="s">
        <v>219</v>
      </c>
      <c r="I14" s="20" t="s">
        <v>219</v>
      </c>
      <c r="J14" s="20" t="s">
        <v>219</v>
      </c>
      <c r="K14" s="20" t="s">
        <v>219</v>
      </c>
      <c r="L14" s="20" t="s">
        <v>219</v>
      </c>
      <c r="M14" s="20" t="s">
        <v>219</v>
      </c>
      <c r="N14" s="20" t="s">
        <v>219</v>
      </c>
      <c r="O14" s="20" t="s">
        <v>219</v>
      </c>
    </row>
    <row r="15" spans="1:16">
      <c r="A15" s="71" t="s">
        <v>1890</v>
      </c>
      <c r="B15" s="20" t="s">
        <v>219</v>
      </c>
      <c r="C15" s="20" t="s">
        <v>101</v>
      </c>
      <c r="D15" s="20" t="s">
        <v>219</v>
      </c>
      <c r="E15" s="20" t="s">
        <v>219</v>
      </c>
      <c r="F15" s="20" t="s">
        <v>219</v>
      </c>
      <c r="G15" s="20" t="s">
        <v>219</v>
      </c>
      <c r="H15" s="20" t="s">
        <v>219</v>
      </c>
      <c r="I15" s="20" t="s">
        <v>219</v>
      </c>
      <c r="J15" s="20" t="s">
        <v>219</v>
      </c>
      <c r="K15" s="20" t="s">
        <v>219</v>
      </c>
      <c r="L15" s="20" t="s">
        <v>219</v>
      </c>
      <c r="M15" s="20" t="s">
        <v>219</v>
      </c>
      <c r="N15" s="20" t="s">
        <v>219</v>
      </c>
      <c r="O15" s="20" t="s">
        <v>219</v>
      </c>
    </row>
    <row r="16" spans="1:16" ht="78.75" customHeight="1">
      <c r="A16" s="71" t="s">
        <v>1639</v>
      </c>
      <c r="B16" s="20" t="s">
        <v>219</v>
      </c>
      <c r="C16" s="20" t="s">
        <v>219</v>
      </c>
      <c r="D16" s="20" t="s">
        <v>164</v>
      </c>
      <c r="E16" s="20" t="s">
        <v>164</v>
      </c>
      <c r="F16" s="20" t="s">
        <v>164</v>
      </c>
      <c r="G16" s="20" t="s">
        <v>164</v>
      </c>
      <c r="H16" s="20" t="s">
        <v>1692</v>
      </c>
      <c r="I16" s="20" t="s">
        <v>1692</v>
      </c>
      <c r="J16" s="20" t="s">
        <v>1692</v>
      </c>
      <c r="K16" s="20" t="s">
        <v>164</v>
      </c>
      <c r="L16" s="20" t="s">
        <v>1693</v>
      </c>
      <c r="M16" s="20" t="s">
        <v>164</v>
      </c>
      <c r="N16" s="20" t="s">
        <v>164</v>
      </c>
      <c r="O16" s="20" t="s">
        <v>1692</v>
      </c>
    </row>
    <row r="17" spans="1:15">
      <c r="A17" s="71" t="s">
        <v>1647</v>
      </c>
      <c r="B17" s="20" t="s">
        <v>1694</v>
      </c>
      <c r="C17" s="20" t="s">
        <v>1694</v>
      </c>
      <c r="D17" s="20" t="s">
        <v>1695</v>
      </c>
      <c r="E17" s="20" t="s">
        <v>164</v>
      </c>
      <c r="F17" s="20" t="s">
        <v>164</v>
      </c>
      <c r="G17" s="20" t="s">
        <v>164</v>
      </c>
      <c r="H17" s="20" t="s">
        <v>1696</v>
      </c>
      <c r="I17" s="20" t="s">
        <v>1696</v>
      </c>
      <c r="J17" s="20" t="s">
        <v>1696</v>
      </c>
      <c r="K17" s="20" t="s">
        <v>164</v>
      </c>
      <c r="L17" s="20" t="s">
        <v>1697</v>
      </c>
      <c r="M17" s="20" t="s">
        <v>164</v>
      </c>
      <c r="N17" s="20" t="s">
        <v>164</v>
      </c>
      <c r="O17" s="20" t="s">
        <v>1698</v>
      </c>
    </row>
    <row r="18" spans="1:15">
      <c r="A18" s="71" t="s">
        <v>1656</v>
      </c>
      <c r="B18" s="20" t="s">
        <v>1699</v>
      </c>
      <c r="C18" s="20" t="s">
        <v>1699</v>
      </c>
      <c r="D18" s="20" t="s">
        <v>1699</v>
      </c>
      <c r="E18" s="20" t="s">
        <v>164</v>
      </c>
      <c r="F18" s="20" t="s">
        <v>164</v>
      </c>
      <c r="G18" s="20" t="s">
        <v>164</v>
      </c>
      <c r="H18" s="20" t="s">
        <v>1700</v>
      </c>
      <c r="I18" s="20" t="s">
        <v>1700</v>
      </c>
      <c r="J18" s="20" t="s">
        <v>1700</v>
      </c>
      <c r="K18" s="20" t="s">
        <v>164</v>
      </c>
      <c r="L18" s="20" t="s">
        <v>1701</v>
      </c>
      <c r="M18" s="20" t="s">
        <v>164</v>
      </c>
      <c r="N18" s="20" t="s">
        <v>164</v>
      </c>
      <c r="O18" s="20" t="s">
        <v>1700</v>
      </c>
    </row>
    <row r="19" spans="1:15">
      <c r="A19" s="71" t="s">
        <v>1665</v>
      </c>
      <c r="B19" s="20" t="s">
        <v>219</v>
      </c>
      <c r="C19" s="20" t="s">
        <v>219</v>
      </c>
      <c r="D19" s="20" t="s">
        <v>1702</v>
      </c>
      <c r="E19" s="20" t="s">
        <v>164</v>
      </c>
      <c r="F19" s="20" t="s">
        <v>164</v>
      </c>
      <c r="G19" s="20" t="s">
        <v>164</v>
      </c>
      <c r="H19" s="20" t="s">
        <v>1703</v>
      </c>
      <c r="I19" s="20" t="s">
        <v>1703</v>
      </c>
      <c r="J19" s="20" t="s">
        <v>1703</v>
      </c>
      <c r="K19" s="20" t="s">
        <v>164</v>
      </c>
      <c r="L19" s="20" t="s">
        <v>1704</v>
      </c>
      <c r="M19" s="20" t="s">
        <v>164</v>
      </c>
      <c r="N19" s="20" t="s">
        <v>164</v>
      </c>
      <c r="O19" s="20" t="s">
        <v>1703</v>
      </c>
    </row>
    <row r="20" spans="1:15">
      <c r="A20" s="71" t="s">
        <v>524</v>
      </c>
      <c r="B20" s="20" t="s">
        <v>541</v>
      </c>
      <c r="C20" s="20" t="s">
        <v>542</v>
      </c>
      <c r="D20" s="20" t="s">
        <v>542</v>
      </c>
      <c r="E20" s="20" t="s">
        <v>542</v>
      </c>
      <c r="F20" s="20"/>
      <c r="G20" s="20"/>
      <c r="H20" s="20" t="s">
        <v>543</v>
      </c>
      <c r="I20" s="20" t="s">
        <v>543</v>
      </c>
      <c r="J20" s="20" t="s">
        <v>543</v>
      </c>
      <c r="K20" s="20"/>
      <c r="L20" s="20" t="s">
        <v>544</v>
      </c>
      <c r="M20" s="20" t="s">
        <v>545</v>
      </c>
      <c r="N20" s="20"/>
      <c r="O20" s="20" t="s">
        <v>546</v>
      </c>
    </row>
    <row r="21" spans="1:15">
      <c r="A21" s="71" t="s">
        <v>1842</v>
      </c>
      <c r="B21" s="20" t="s">
        <v>101</v>
      </c>
      <c r="C21" s="20" t="s">
        <v>101</v>
      </c>
      <c r="D21" s="20" t="s">
        <v>101</v>
      </c>
      <c r="E21" s="20" t="s">
        <v>101</v>
      </c>
      <c r="F21" s="20"/>
      <c r="G21" s="20"/>
      <c r="H21" s="20" t="s">
        <v>101</v>
      </c>
      <c r="I21" s="20" t="s">
        <v>101</v>
      </c>
      <c r="J21" s="20" t="s">
        <v>101</v>
      </c>
      <c r="K21" s="20" t="s">
        <v>101</v>
      </c>
      <c r="L21" s="20" t="s">
        <v>101</v>
      </c>
      <c r="M21" s="20" t="s">
        <v>101</v>
      </c>
      <c r="N21" s="20" t="s">
        <v>101</v>
      </c>
      <c r="O21" s="20" t="s">
        <v>101</v>
      </c>
    </row>
    <row r="22" spans="1:15" s="15" customFormat="1" ht="60">
      <c r="A22" s="71" t="s">
        <v>556</v>
      </c>
      <c r="B22" s="20" t="s">
        <v>566</v>
      </c>
      <c r="C22" s="20" t="s">
        <v>567</v>
      </c>
      <c r="D22" s="20" t="s">
        <v>568</v>
      </c>
      <c r="E22" s="20"/>
      <c r="F22" s="20"/>
      <c r="G22" s="20"/>
      <c r="H22" s="20"/>
      <c r="I22" s="20"/>
      <c r="J22" s="20" t="s">
        <v>569</v>
      </c>
      <c r="K22" s="20"/>
      <c r="L22" s="20" t="s">
        <v>570</v>
      </c>
      <c r="M22" s="20" t="s">
        <v>571</v>
      </c>
      <c r="N22" s="20"/>
      <c r="O22" s="20" t="s">
        <v>572</v>
      </c>
    </row>
    <row r="23" spans="1:15" s="15" customFormat="1" ht="45">
      <c r="A23" s="71" t="s">
        <v>597</v>
      </c>
      <c r="B23" s="71" t="s">
        <v>598</v>
      </c>
      <c r="C23" s="71" t="s">
        <v>101</v>
      </c>
      <c r="D23" s="71"/>
      <c r="E23" s="71" t="s">
        <v>101</v>
      </c>
      <c r="F23" s="71" t="s">
        <v>101</v>
      </c>
      <c r="G23" s="71" t="s">
        <v>101</v>
      </c>
      <c r="H23" s="71" t="s">
        <v>101</v>
      </c>
      <c r="I23" s="71" t="s">
        <v>101</v>
      </c>
      <c r="J23" s="71" t="s">
        <v>101</v>
      </c>
      <c r="K23" s="71" t="s">
        <v>101</v>
      </c>
      <c r="L23" s="71" t="s">
        <v>101</v>
      </c>
      <c r="M23" s="71" t="s">
        <v>101</v>
      </c>
      <c r="N23" s="71"/>
      <c r="O23" s="71" t="s">
        <v>101</v>
      </c>
    </row>
    <row r="24" spans="1:15">
      <c r="A24" s="71" t="s">
        <v>600</v>
      </c>
      <c r="B24" s="20" t="s">
        <v>101</v>
      </c>
      <c r="C24" s="20" t="s">
        <v>101</v>
      </c>
      <c r="D24" s="20" t="s">
        <v>101</v>
      </c>
      <c r="E24" s="20" t="s">
        <v>101</v>
      </c>
      <c r="F24" s="20"/>
      <c r="G24" s="20"/>
      <c r="H24" s="20" t="s">
        <v>101</v>
      </c>
      <c r="I24" s="20" t="s">
        <v>101</v>
      </c>
      <c r="J24" s="20" t="s">
        <v>101</v>
      </c>
      <c r="K24" s="20" t="s">
        <v>101</v>
      </c>
      <c r="L24" s="20" t="s">
        <v>101</v>
      </c>
      <c r="M24" s="20" t="s">
        <v>101</v>
      </c>
      <c r="N24" s="20" t="s">
        <v>101</v>
      </c>
      <c r="O24" s="20" t="s">
        <v>101</v>
      </c>
    </row>
    <row r="25" spans="1:15">
      <c r="A25" s="71" t="s">
        <v>612</v>
      </c>
      <c r="B25" s="20" t="s">
        <v>101</v>
      </c>
      <c r="C25" s="20" t="s">
        <v>620</v>
      </c>
      <c r="D25" s="20" t="s">
        <v>101</v>
      </c>
      <c r="E25" s="20" t="s">
        <v>621</v>
      </c>
      <c r="F25" s="20" t="s">
        <v>621</v>
      </c>
      <c r="G25" s="20"/>
      <c r="H25" s="20" t="s">
        <v>621</v>
      </c>
      <c r="I25" s="20" t="s">
        <v>622</v>
      </c>
      <c r="J25" s="20" t="s">
        <v>622</v>
      </c>
      <c r="K25" s="20"/>
      <c r="L25" s="20"/>
      <c r="M25" s="20" t="s">
        <v>623</v>
      </c>
      <c r="N25" s="20"/>
      <c r="O25" s="20">
        <v>2012</v>
      </c>
    </row>
    <row r="26" spans="1:15">
      <c r="A26" s="71" t="s">
        <v>631</v>
      </c>
      <c r="B26" s="20" t="s">
        <v>101</v>
      </c>
      <c r="C26" s="20" t="s">
        <v>101</v>
      </c>
      <c r="D26" s="20" t="s">
        <v>101</v>
      </c>
      <c r="E26" s="20" t="s">
        <v>101</v>
      </c>
      <c r="F26" s="20"/>
      <c r="G26" s="20"/>
      <c r="H26" s="20"/>
      <c r="I26" s="20" t="s">
        <v>101</v>
      </c>
      <c r="J26" s="20" t="s">
        <v>101</v>
      </c>
      <c r="K26" s="20" t="s">
        <v>101</v>
      </c>
      <c r="L26" s="20" t="s">
        <v>101</v>
      </c>
      <c r="M26" s="20" t="s">
        <v>101</v>
      </c>
      <c r="N26" s="20"/>
      <c r="O26" s="20" t="s">
        <v>101</v>
      </c>
    </row>
    <row r="27" spans="1:15">
      <c r="A27" s="71" t="s">
        <v>114</v>
      </c>
      <c r="B27" s="20" t="s">
        <v>101</v>
      </c>
      <c r="C27" s="20" t="s">
        <v>101</v>
      </c>
      <c r="D27" s="20"/>
      <c r="E27" s="20" t="s">
        <v>101</v>
      </c>
      <c r="F27" s="20"/>
      <c r="G27" s="20"/>
      <c r="H27" s="20" t="s">
        <v>101</v>
      </c>
      <c r="I27" s="20"/>
      <c r="J27" s="20" t="s">
        <v>101</v>
      </c>
      <c r="K27" s="20" t="s">
        <v>101</v>
      </c>
      <c r="L27" s="20" t="s">
        <v>101</v>
      </c>
      <c r="M27" s="20" t="s">
        <v>101</v>
      </c>
      <c r="N27" s="20"/>
      <c r="O27" s="20" t="s">
        <v>101</v>
      </c>
    </row>
    <row r="28" spans="1:15" ht="30">
      <c r="A28" s="71" t="s">
        <v>122</v>
      </c>
      <c r="B28" s="20" t="s">
        <v>101</v>
      </c>
      <c r="C28" s="20" t="s">
        <v>101</v>
      </c>
      <c r="D28" s="20"/>
      <c r="E28" s="20" t="s">
        <v>101</v>
      </c>
      <c r="F28" s="20"/>
      <c r="G28" s="20"/>
      <c r="H28" s="20" t="s">
        <v>101</v>
      </c>
      <c r="I28" s="20"/>
      <c r="J28" s="20" t="s">
        <v>101</v>
      </c>
      <c r="K28" s="20"/>
      <c r="L28" s="20" t="s">
        <v>128</v>
      </c>
      <c r="M28" s="20" t="s">
        <v>129</v>
      </c>
      <c r="N28" s="20"/>
      <c r="O28" s="20" t="s">
        <v>101</v>
      </c>
    </row>
    <row r="29" spans="1:15">
      <c r="A29" s="71" t="s">
        <v>143</v>
      </c>
      <c r="B29" s="20" t="s">
        <v>101</v>
      </c>
      <c r="C29" s="20" t="s">
        <v>101</v>
      </c>
      <c r="D29" s="20" t="s">
        <v>101</v>
      </c>
      <c r="E29" s="20"/>
      <c r="F29" s="20"/>
      <c r="G29" s="20"/>
      <c r="H29" s="20" t="s">
        <v>101</v>
      </c>
      <c r="I29" s="20" t="s">
        <v>101</v>
      </c>
      <c r="J29" s="20" t="s">
        <v>101</v>
      </c>
      <c r="K29" s="20"/>
      <c r="L29" s="20"/>
      <c r="M29" s="20" t="s">
        <v>101</v>
      </c>
      <c r="N29" s="20"/>
      <c r="O29" s="45" t="s">
        <v>101</v>
      </c>
    </row>
    <row r="30" spans="1:15">
      <c r="A30" s="71" t="s">
        <v>149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>
      <c r="A31" s="71" t="s">
        <v>178</v>
      </c>
      <c r="B31" s="20" t="s">
        <v>162</v>
      </c>
      <c r="C31" s="20" t="s">
        <v>162</v>
      </c>
      <c r="D31" s="20"/>
      <c r="E31" s="20" t="s">
        <v>162</v>
      </c>
      <c r="F31" s="20" t="s">
        <v>162</v>
      </c>
      <c r="G31" s="20"/>
      <c r="H31" s="20" t="s">
        <v>162</v>
      </c>
      <c r="I31" s="20"/>
      <c r="J31" s="20"/>
      <c r="K31" s="20"/>
      <c r="L31" s="20" t="s">
        <v>162</v>
      </c>
      <c r="M31" s="20" t="s">
        <v>162</v>
      </c>
      <c r="N31" s="20"/>
      <c r="O31" s="20" t="s">
        <v>162</v>
      </c>
    </row>
    <row r="32" spans="1:15" ht="30">
      <c r="A32" s="71" t="s">
        <v>1773</v>
      </c>
      <c r="B32" s="20" t="s">
        <v>1783</v>
      </c>
      <c r="C32" s="20" t="s">
        <v>1784</v>
      </c>
      <c r="D32" s="20" t="s">
        <v>1783</v>
      </c>
      <c r="E32" s="20" t="s">
        <v>1783</v>
      </c>
      <c r="F32" s="20">
        <v>0</v>
      </c>
      <c r="G32" s="20">
        <v>0</v>
      </c>
      <c r="H32" s="20" t="s">
        <v>1783</v>
      </c>
      <c r="I32" s="20" t="s">
        <v>1783</v>
      </c>
      <c r="J32" s="20" t="s">
        <v>1783</v>
      </c>
      <c r="K32" s="20" t="s">
        <v>1785</v>
      </c>
      <c r="L32" s="20">
        <v>0</v>
      </c>
      <c r="M32" s="20" t="s">
        <v>1786</v>
      </c>
      <c r="N32" s="20">
        <v>0</v>
      </c>
      <c r="O32" s="20" t="s">
        <v>1787</v>
      </c>
    </row>
    <row r="33" spans="1:15">
      <c r="A33" s="71" t="s">
        <v>186</v>
      </c>
      <c r="B33" s="20" t="s">
        <v>101</v>
      </c>
      <c r="C33" s="20" t="s">
        <v>101</v>
      </c>
      <c r="D33" s="20" t="s">
        <v>101</v>
      </c>
      <c r="E33" s="20" t="s">
        <v>101</v>
      </c>
      <c r="F33" s="20"/>
      <c r="G33" s="20"/>
      <c r="H33" s="20" t="s">
        <v>101</v>
      </c>
      <c r="I33" s="20" t="s">
        <v>101</v>
      </c>
      <c r="J33" s="20" t="s">
        <v>101</v>
      </c>
      <c r="K33" s="20"/>
      <c r="L33" s="20" t="s">
        <v>101</v>
      </c>
      <c r="M33" s="20" t="s">
        <v>101</v>
      </c>
      <c r="N33" s="20"/>
      <c r="O33" s="20" t="s">
        <v>101</v>
      </c>
    </row>
    <row r="34" spans="1:15">
      <c r="A34" s="71" t="s">
        <v>196</v>
      </c>
      <c r="B34" s="20" t="s">
        <v>162</v>
      </c>
      <c r="C34" s="20" t="s">
        <v>162</v>
      </c>
      <c r="D34" s="20" t="s">
        <v>162</v>
      </c>
      <c r="E34" s="20" t="s">
        <v>162</v>
      </c>
      <c r="F34" s="20"/>
      <c r="G34" s="20"/>
      <c r="H34" s="20" t="s">
        <v>162</v>
      </c>
      <c r="I34" s="20" t="s">
        <v>162</v>
      </c>
      <c r="J34" s="20" t="s">
        <v>162</v>
      </c>
      <c r="K34" s="20"/>
      <c r="L34" s="20" t="s">
        <v>162</v>
      </c>
      <c r="M34" s="20" t="s">
        <v>162</v>
      </c>
      <c r="N34" s="20"/>
      <c r="O34" s="20" t="s">
        <v>162</v>
      </c>
    </row>
    <row r="35" spans="1:15" ht="30">
      <c r="A35" s="71" t="s">
        <v>211</v>
      </c>
      <c r="B35" s="101" t="s">
        <v>220</v>
      </c>
      <c r="C35" s="20" t="s">
        <v>221</v>
      </c>
      <c r="D35" s="20" t="s">
        <v>222</v>
      </c>
      <c r="E35" s="20" t="s">
        <v>222</v>
      </c>
      <c r="F35" s="20" t="s">
        <v>221</v>
      </c>
      <c r="G35" s="102" t="s">
        <v>210</v>
      </c>
      <c r="H35" s="20" t="s">
        <v>223</v>
      </c>
      <c r="I35" s="20" t="s">
        <v>224</v>
      </c>
      <c r="J35" s="20" t="s">
        <v>223</v>
      </c>
      <c r="K35" s="102" t="s">
        <v>225</v>
      </c>
      <c r="L35" s="20" t="s">
        <v>226</v>
      </c>
      <c r="M35" s="20" t="s">
        <v>227</v>
      </c>
      <c r="N35" s="102" t="s">
        <v>225</v>
      </c>
      <c r="O35" s="20" t="s">
        <v>228</v>
      </c>
    </row>
    <row r="36" spans="1:15">
      <c r="A36" s="71" t="s">
        <v>241</v>
      </c>
      <c r="B36" s="20" t="s">
        <v>162</v>
      </c>
      <c r="C36" s="20" t="s">
        <v>162</v>
      </c>
      <c r="D36" s="20" t="s">
        <v>162</v>
      </c>
      <c r="E36" s="20"/>
      <c r="F36" s="20"/>
      <c r="G36" s="20"/>
      <c r="H36" s="20" t="s">
        <v>162</v>
      </c>
      <c r="I36" s="20" t="s">
        <v>162</v>
      </c>
      <c r="J36" s="20" t="s">
        <v>162</v>
      </c>
      <c r="K36" s="20" t="s">
        <v>162</v>
      </c>
      <c r="L36" s="20" t="s">
        <v>162</v>
      </c>
      <c r="M36" s="20" t="s">
        <v>162</v>
      </c>
      <c r="N36" s="20"/>
      <c r="O36" s="20" t="s">
        <v>162</v>
      </c>
    </row>
    <row r="37" spans="1:15" ht="30">
      <c r="A37" s="71" t="s">
        <v>296</v>
      </c>
      <c r="B37" s="20" t="s">
        <v>162</v>
      </c>
      <c r="C37" s="20" t="s">
        <v>162</v>
      </c>
      <c r="D37" s="20" t="s">
        <v>162</v>
      </c>
      <c r="E37" s="20" t="s">
        <v>162</v>
      </c>
      <c r="F37" s="20"/>
      <c r="G37" s="20"/>
      <c r="H37" s="20" t="s">
        <v>162</v>
      </c>
      <c r="I37" s="20" t="s">
        <v>162</v>
      </c>
      <c r="J37" s="20" t="s">
        <v>162</v>
      </c>
      <c r="K37" s="20"/>
      <c r="L37" s="20" t="s">
        <v>162</v>
      </c>
      <c r="M37" s="20" t="s">
        <v>162</v>
      </c>
      <c r="N37" s="20"/>
      <c r="O37" s="20" t="s">
        <v>162</v>
      </c>
    </row>
    <row r="38" spans="1:15">
      <c r="A38" s="71" t="s">
        <v>308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>
      <c r="A39" s="71" t="s">
        <v>314</v>
      </c>
      <c r="B39" s="20" t="s">
        <v>101</v>
      </c>
      <c r="C39" s="20" t="s">
        <v>101</v>
      </c>
      <c r="D39" s="20" t="s">
        <v>331</v>
      </c>
      <c r="E39" s="20" t="s">
        <v>331</v>
      </c>
      <c r="F39" s="20" t="s">
        <v>331</v>
      </c>
      <c r="G39" s="20" t="s">
        <v>331</v>
      </c>
      <c r="H39" s="20" t="s">
        <v>101</v>
      </c>
      <c r="I39" s="20" t="s">
        <v>101</v>
      </c>
      <c r="J39" s="20" t="s">
        <v>101</v>
      </c>
      <c r="K39" s="20" t="s">
        <v>331</v>
      </c>
      <c r="L39" s="20" t="s">
        <v>331</v>
      </c>
      <c r="M39" s="20" t="s">
        <v>331</v>
      </c>
      <c r="N39" s="20" t="s">
        <v>331</v>
      </c>
      <c r="O39" s="20" t="s">
        <v>101</v>
      </c>
    </row>
    <row r="40" spans="1:15">
      <c r="A40" s="71" t="s">
        <v>333</v>
      </c>
      <c r="B40" s="20" t="s">
        <v>346</v>
      </c>
      <c r="C40" s="20" t="s">
        <v>347</v>
      </c>
      <c r="D40" s="20" t="s">
        <v>347</v>
      </c>
      <c r="E40" s="20" t="s">
        <v>347</v>
      </c>
      <c r="F40" s="20" t="s">
        <v>347</v>
      </c>
      <c r="G40" s="20"/>
      <c r="H40" s="20" t="s">
        <v>348</v>
      </c>
      <c r="I40" s="20" t="s">
        <v>348</v>
      </c>
      <c r="J40" s="20" t="s">
        <v>348</v>
      </c>
      <c r="K40" s="20" t="s">
        <v>346</v>
      </c>
      <c r="L40" s="20" t="s">
        <v>347</v>
      </c>
      <c r="M40" s="20" t="s">
        <v>347</v>
      </c>
      <c r="N40" s="20"/>
      <c r="O40" s="20" t="s">
        <v>349</v>
      </c>
    </row>
    <row r="41" spans="1:15" ht="30">
      <c r="A41" s="71" t="s">
        <v>363</v>
      </c>
      <c r="B41" s="20" t="s">
        <v>101</v>
      </c>
      <c r="C41" s="20" t="s">
        <v>101</v>
      </c>
      <c r="D41" s="20" t="s">
        <v>101</v>
      </c>
      <c r="E41" s="20" t="s">
        <v>101</v>
      </c>
      <c r="F41" s="20"/>
      <c r="G41" s="20"/>
      <c r="H41" s="20" t="s">
        <v>101</v>
      </c>
      <c r="I41" s="20" t="s">
        <v>101</v>
      </c>
      <c r="J41" s="20" t="s">
        <v>101</v>
      </c>
      <c r="K41" s="20"/>
      <c r="L41" s="20"/>
      <c r="M41" s="20" t="s">
        <v>101</v>
      </c>
      <c r="N41" s="20"/>
      <c r="O41" s="20" t="s">
        <v>101</v>
      </c>
    </row>
    <row r="42" spans="1:15">
      <c r="A42" s="71" t="s">
        <v>373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>
      <c r="A43" s="71" t="s">
        <v>394</v>
      </c>
      <c r="B43" s="20" t="s">
        <v>101</v>
      </c>
      <c r="C43" s="20" t="s">
        <v>101</v>
      </c>
      <c r="D43" s="20" t="s">
        <v>101</v>
      </c>
      <c r="E43" s="20" t="s">
        <v>101</v>
      </c>
      <c r="F43" s="20"/>
      <c r="G43" s="20"/>
      <c r="H43" s="20"/>
      <c r="I43" s="20" t="s">
        <v>101</v>
      </c>
      <c r="J43" s="20" t="s">
        <v>101</v>
      </c>
      <c r="K43" s="20"/>
      <c r="L43" s="20"/>
      <c r="M43" s="20"/>
      <c r="N43" s="20"/>
      <c r="O43" s="20" t="s">
        <v>101</v>
      </c>
    </row>
    <row r="44" spans="1:15">
      <c r="A44" s="71" t="s">
        <v>403</v>
      </c>
      <c r="B44" s="20" t="s">
        <v>162</v>
      </c>
      <c r="C44" s="20" t="s">
        <v>162</v>
      </c>
      <c r="D44" s="20" t="s">
        <v>162</v>
      </c>
      <c r="E44" s="20" t="s">
        <v>162</v>
      </c>
      <c r="F44" s="20" t="s">
        <v>219</v>
      </c>
      <c r="G44" s="20" t="s">
        <v>219</v>
      </c>
      <c r="H44" s="20" t="s">
        <v>162</v>
      </c>
      <c r="I44" s="20" t="s">
        <v>162</v>
      </c>
      <c r="J44" s="20" t="s">
        <v>162</v>
      </c>
      <c r="K44" s="20" t="s">
        <v>219</v>
      </c>
      <c r="L44" s="20" t="s">
        <v>162</v>
      </c>
      <c r="M44" s="20" t="s">
        <v>162</v>
      </c>
      <c r="N44" s="20" t="s">
        <v>219</v>
      </c>
      <c r="O44" s="20" t="s">
        <v>162</v>
      </c>
    </row>
    <row r="45" spans="1:15">
      <c r="A45" s="71" t="s">
        <v>441</v>
      </c>
      <c r="B45" s="20" t="s">
        <v>101</v>
      </c>
      <c r="C45" s="20" t="s">
        <v>101</v>
      </c>
      <c r="D45" s="20" t="s">
        <v>101</v>
      </c>
      <c r="E45" s="20" t="s">
        <v>101</v>
      </c>
      <c r="F45" s="20"/>
      <c r="G45" s="20"/>
      <c r="H45" s="20"/>
      <c r="I45" s="20" t="s">
        <v>101</v>
      </c>
      <c r="J45" s="20" t="s">
        <v>101</v>
      </c>
      <c r="K45" s="20" t="s">
        <v>101</v>
      </c>
      <c r="L45" s="20" t="s">
        <v>101</v>
      </c>
      <c r="M45" s="20" t="s">
        <v>101</v>
      </c>
      <c r="N45" s="20"/>
      <c r="O45" s="20" t="s">
        <v>101</v>
      </c>
    </row>
    <row r="46" spans="1:15">
      <c r="A46" s="71" t="s">
        <v>448</v>
      </c>
      <c r="B46" s="20" t="s">
        <v>101</v>
      </c>
      <c r="C46" s="20" t="s">
        <v>101</v>
      </c>
      <c r="D46" s="20" t="s">
        <v>101</v>
      </c>
      <c r="E46" s="20" t="s">
        <v>101</v>
      </c>
      <c r="F46" s="20"/>
      <c r="G46" s="20"/>
      <c r="H46" s="20" t="s">
        <v>101</v>
      </c>
      <c r="I46" s="20" t="s">
        <v>101</v>
      </c>
      <c r="J46" s="20" t="s">
        <v>101</v>
      </c>
      <c r="K46" s="20" t="s">
        <v>101</v>
      </c>
      <c r="L46" s="20"/>
      <c r="M46" s="20" t="s">
        <v>101</v>
      </c>
      <c r="N46" s="20"/>
      <c r="O46" s="20" t="s">
        <v>101</v>
      </c>
    </row>
    <row r="47" spans="1:15">
      <c r="A47" s="71" t="s">
        <v>492</v>
      </c>
      <c r="B47" s="20" t="s">
        <v>346</v>
      </c>
      <c r="C47" s="20" t="s">
        <v>346</v>
      </c>
      <c r="D47" s="20" t="s">
        <v>346</v>
      </c>
      <c r="E47" s="20" t="s">
        <v>346</v>
      </c>
      <c r="F47" s="20" t="s">
        <v>346</v>
      </c>
      <c r="G47" s="20" t="s">
        <v>161</v>
      </c>
      <c r="H47" s="20" t="s">
        <v>346</v>
      </c>
      <c r="I47" s="20" t="s">
        <v>346</v>
      </c>
      <c r="J47" s="20" t="s">
        <v>346</v>
      </c>
      <c r="K47" s="20" t="s">
        <v>161</v>
      </c>
      <c r="L47" s="20" t="s">
        <v>161</v>
      </c>
      <c r="M47" s="20" t="s">
        <v>346</v>
      </c>
      <c r="N47" s="20" t="s">
        <v>161</v>
      </c>
      <c r="O47" s="20" t="s">
        <v>346</v>
      </c>
    </row>
    <row r="48" spans="1:15">
      <c r="A48" s="71" t="s">
        <v>498</v>
      </c>
      <c r="B48" s="20" t="s">
        <v>162</v>
      </c>
      <c r="C48" s="20" t="s">
        <v>162</v>
      </c>
      <c r="D48" s="20" t="s">
        <v>162</v>
      </c>
      <c r="E48" s="20" t="s">
        <v>162</v>
      </c>
      <c r="F48" s="20"/>
      <c r="G48" s="20"/>
      <c r="H48" s="20" t="s">
        <v>162</v>
      </c>
      <c r="I48" s="20" t="s">
        <v>162</v>
      </c>
      <c r="J48" s="20" t="s">
        <v>162</v>
      </c>
      <c r="K48" s="20" t="s">
        <v>162</v>
      </c>
      <c r="L48" s="20" t="s">
        <v>162</v>
      </c>
      <c r="M48" s="20" t="s">
        <v>162</v>
      </c>
      <c r="N48" s="20"/>
      <c r="O48" s="20" t="s">
        <v>162</v>
      </c>
    </row>
    <row r="49" spans="1:15">
      <c r="A49" s="71" t="s">
        <v>648</v>
      </c>
      <c r="B49" s="20" t="s">
        <v>101</v>
      </c>
      <c r="C49" s="20" t="s">
        <v>101</v>
      </c>
      <c r="D49" s="20" t="s">
        <v>101</v>
      </c>
      <c r="E49" s="20" t="s">
        <v>101</v>
      </c>
      <c r="F49" s="20"/>
      <c r="G49" s="20">
        <v>0</v>
      </c>
      <c r="H49" s="20" t="s">
        <v>101</v>
      </c>
      <c r="I49" s="20" t="s">
        <v>101</v>
      </c>
      <c r="J49" s="20" t="s">
        <v>101</v>
      </c>
      <c r="K49" s="20" t="s">
        <v>101</v>
      </c>
      <c r="L49" s="20" t="s">
        <v>101</v>
      </c>
      <c r="M49" s="20">
        <v>0</v>
      </c>
      <c r="N49" s="20">
        <v>0</v>
      </c>
      <c r="O49" s="20" t="s">
        <v>101</v>
      </c>
    </row>
    <row r="50" spans="1:15">
      <c r="A50" s="71" t="s">
        <v>1792</v>
      </c>
      <c r="B50" s="20" t="s">
        <v>101</v>
      </c>
      <c r="C50" s="20" t="s">
        <v>101</v>
      </c>
      <c r="D50" s="20" t="s">
        <v>101</v>
      </c>
      <c r="E50" s="20" t="s">
        <v>101</v>
      </c>
      <c r="F50" s="20"/>
      <c r="G50" s="20"/>
      <c r="H50" s="20" t="s">
        <v>101</v>
      </c>
      <c r="I50" s="20" t="s">
        <v>101</v>
      </c>
      <c r="J50" s="20" t="s">
        <v>101</v>
      </c>
      <c r="K50" s="20"/>
      <c r="L50" s="20" t="s">
        <v>101</v>
      </c>
      <c r="M50" s="20"/>
      <c r="N50" s="20"/>
      <c r="O50" s="20" t="s">
        <v>101</v>
      </c>
    </row>
    <row r="51" spans="1:15" ht="45">
      <c r="A51" s="71" t="s">
        <v>753</v>
      </c>
      <c r="B51" s="20" t="s">
        <v>691</v>
      </c>
      <c r="C51" s="20">
        <v>2011</v>
      </c>
      <c r="D51" s="20">
        <v>2011</v>
      </c>
      <c r="E51" s="20">
        <v>2008</v>
      </c>
      <c r="F51" s="20"/>
      <c r="G51" s="20"/>
      <c r="H51" s="20" t="s">
        <v>692</v>
      </c>
      <c r="I51" s="20" t="s">
        <v>692</v>
      </c>
      <c r="J51" s="20" t="s">
        <v>692</v>
      </c>
      <c r="K51" s="20"/>
      <c r="L51" s="20" t="s">
        <v>693</v>
      </c>
      <c r="M51" s="20"/>
      <c r="N51" s="20"/>
      <c r="O51" s="20" t="s">
        <v>694</v>
      </c>
    </row>
    <row r="52" spans="1:15" ht="45">
      <c r="A52" s="71" t="s">
        <v>754</v>
      </c>
      <c r="B52" s="20"/>
      <c r="C52" s="20">
        <v>2011</v>
      </c>
      <c r="D52" s="20"/>
      <c r="E52" s="20"/>
      <c r="F52" s="20"/>
      <c r="G52" s="20"/>
      <c r="H52" s="20" t="s">
        <v>692</v>
      </c>
      <c r="I52" s="20" t="s">
        <v>692</v>
      </c>
      <c r="J52" s="20" t="s">
        <v>692</v>
      </c>
      <c r="K52" s="20"/>
      <c r="L52" s="20" t="s">
        <v>693</v>
      </c>
      <c r="M52" s="20"/>
      <c r="N52" s="20"/>
      <c r="O52" s="20" t="s">
        <v>694</v>
      </c>
    </row>
    <row r="53" spans="1:15" ht="45">
      <c r="A53" s="71" t="s">
        <v>755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 t="s">
        <v>694</v>
      </c>
    </row>
    <row r="54" spans="1:15" ht="45">
      <c r="A54" s="71" t="s">
        <v>756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 t="s">
        <v>694</v>
      </c>
    </row>
    <row r="55" spans="1:15" ht="45">
      <c r="A55" s="71" t="s">
        <v>757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 t="s">
        <v>694</v>
      </c>
    </row>
    <row r="56" spans="1:15" ht="45">
      <c r="A56" s="71" t="s">
        <v>758</v>
      </c>
      <c r="B56" s="20" t="s">
        <v>749</v>
      </c>
      <c r="C56" s="20" t="s">
        <v>750</v>
      </c>
      <c r="D56" s="20" t="s">
        <v>750</v>
      </c>
      <c r="E56" s="20" t="s">
        <v>750</v>
      </c>
      <c r="F56" s="20" t="s">
        <v>164</v>
      </c>
      <c r="G56" s="20" t="s">
        <v>164</v>
      </c>
      <c r="H56" s="20" t="s">
        <v>751</v>
      </c>
      <c r="I56" s="20" t="s">
        <v>751</v>
      </c>
      <c r="J56" s="20" t="s">
        <v>751</v>
      </c>
      <c r="K56" s="20" t="s">
        <v>164</v>
      </c>
      <c r="L56" s="20" t="s">
        <v>164</v>
      </c>
      <c r="M56" s="20" t="s">
        <v>752</v>
      </c>
      <c r="N56" s="20" t="s">
        <v>164</v>
      </c>
      <c r="O56" s="20" t="s">
        <v>752</v>
      </c>
    </row>
    <row r="57" spans="1:15">
      <c r="A57" s="71" t="s">
        <v>769</v>
      </c>
      <c r="B57" s="20" t="s">
        <v>101</v>
      </c>
      <c r="C57" s="20" t="s">
        <v>101</v>
      </c>
      <c r="D57" s="20" t="s">
        <v>101</v>
      </c>
      <c r="E57" s="20" t="s">
        <v>101</v>
      </c>
      <c r="F57" s="20"/>
      <c r="G57" s="20"/>
      <c r="H57" s="20" t="s">
        <v>101</v>
      </c>
      <c r="I57" s="20" t="s">
        <v>101</v>
      </c>
      <c r="J57" s="20" t="s">
        <v>101</v>
      </c>
      <c r="K57" s="20"/>
      <c r="L57" s="20" t="s">
        <v>101</v>
      </c>
      <c r="M57" s="20" t="s">
        <v>101</v>
      </c>
      <c r="N57" s="20"/>
      <c r="O57" s="20" t="s">
        <v>101</v>
      </c>
    </row>
    <row r="58" spans="1:15">
      <c r="A58" s="71" t="s">
        <v>802</v>
      </c>
      <c r="B58" s="20" t="s">
        <v>101</v>
      </c>
      <c r="C58" s="20" t="s">
        <v>101</v>
      </c>
      <c r="D58" s="20" t="s">
        <v>101</v>
      </c>
      <c r="E58" s="20" t="s">
        <v>101</v>
      </c>
      <c r="F58" s="20" t="s">
        <v>164</v>
      </c>
      <c r="G58" s="20" t="s">
        <v>164</v>
      </c>
      <c r="H58" s="20" t="s">
        <v>101</v>
      </c>
      <c r="I58" s="20" t="s">
        <v>101</v>
      </c>
      <c r="J58" s="20" t="s">
        <v>101</v>
      </c>
      <c r="K58" s="20" t="s">
        <v>164</v>
      </c>
      <c r="L58" s="20" t="s">
        <v>101</v>
      </c>
      <c r="M58" s="20" t="s">
        <v>164</v>
      </c>
      <c r="N58" s="20" t="s">
        <v>164</v>
      </c>
      <c r="O58" s="20" t="s">
        <v>101</v>
      </c>
    </row>
    <row r="59" spans="1:15">
      <c r="A59" s="71" t="s">
        <v>807</v>
      </c>
      <c r="B59" s="20" t="s">
        <v>840</v>
      </c>
      <c r="C59" s="20" t="s">
        <v>162</v>
      </c>
      <c r="D59" s="20" t="s">
        <v>162</v>
      </c>
      <c r="E59" s="20" t="s">
        <v>162</v>
      </c>
      <c r="F59" s="20" t="s">
        <v>409</v>
      </c>
      <c r="G59" s="20" t="s">
        <v>409</v>
      </c>
      <c r="H59" s="20" t="s">
        <v>162</v>
      </c>
      <c r="I59" s="20" t="s">
        <v>162</v>
      </c>
      <c r="J59" s="20" t="s">
        <v>162</v>
      </c>
      <c r="K59" s="20" t="s">
        <v>409</v>
      </c>
      <c r="L59" s="20" t="s">
        <v>409</v>
      </c>
      <c r="M59" s="20" t="s">
        <v>162</v>
      </c>
      <c r="N59" s="20" t="s">
        <v>409</v>
      </c>
      <c r="O59" s="20" t="s">
        <v>841</v>
      </c>
    </row>
    <row r="60" spans="1:15" ht="45">
      <c r="A60" s="71" t="s">
        <v>870</v>
      </c>
      <c r="B60" s="20" t="s">
        <v>162</v>
      </c>
      <c r="C60" s="20" t="s">
        <v>162</v>
      </c>
      <c r="D60" s="20" t="s">
        <v>162</v>
      </c>
      <c r="E60" s="20" t="s">
        <v>162</v>
      </c>
      <c r="F60" s="20" t="s">
        <v>162</v>
      </c>
      <c r="G60" s="20"/>
      <c r="H60" s="20" t="s">
        <v>162</v>
      </c>
      <c r="I60" s="20" t="s">
        <v>162</v>
      </c>
      <c r="J60" s="20" t="s">
        <v>162</v>
      </c>
      <c r="K60" s="20" t="s">
        <v>162</v>
      </c>
      <c r="L60" s="20" t="s">
        <v>162</v>
      </c>
      <c r="M60" s="20" t="s">
        <v>162</v>
      </c>
      <c r="N60" s="20"/>
      <c r="O60" s="20" t="s">
        <v>875</v>
      </c>
    </row>
    <row r="61" spans="1:15">
      <c r="A61" s="71" t="s">
        <v>1013</v>
      </c>
      <c r="B61" s="20" t="s">
        <v>162</v>
      </c>
      <c r="C61" s="20" t="s">
        <v>162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 t="s">
        <v>162</v>
      </c>
    </row>
    <row r="62" spans="1:15" ht="30">
      <c r="A62" s="71" t="s">
        <v>892</v>
      </c>
      <c r="B62" s="20" t="s">
        <v>162</v>
      </c>
      <c r="C62" s="20" t="s">
        <v>162</v>
      </c>
      <c r="D62" s="20" t="s">
        <v>162</v>
      </c>
      <c r="E62" s="20" t="s">
        <v>162</v>
      </c>
      <c r="F62" s="20" t="s">
        <v>219</v>
      </c>
      <c r="G62" s="20" t="s">
        <v>219</v>
      </c>
      <c r="H62" s="20" t="s">
        <v>162</v>
      </c>
      <c r="I62" s="20" t="s">
        <v>162</v>
      </c>
      <c r="J62" s="20" t="s">
        <v>162</v>
      </c>
      <c r="K62" s="20" t="s">
        <v>162</v>
      </c>
      <c r="L62" s="20" t="s">
        <v>162</v>
      </c>
      <c r="M62" s="20" t="s">
        <v>219</v>
      </c>
      <c r="N62" s="20" t="s">
        <v>219</v>
      </c>
      <c r="O62" s="20" t="s">
        <v>162</v>
      </c>
    </row>
    <row r="63" spans="1:15">
      <c r="A63" s="71" t="s">
        <v>929</v>
      </c>
      <c r="B63" s="20" t="s">
        <v>101</v>
      </c>
      <c r="C63" s="20" t="s">
        <v>101</v>
      </c>
      <c r="D63" s="20" t="s">
        <v>101</v>
      </c>
      <c r="E63" s="20" t="s">
        <v>101</v>
      </c>
      <c r="F63" s="20"/>
      <c r="G63" s="20"/>
      <c r="H63" s="20" t="s">
        <v>101</v>
      </c>
      <c r="I63" s="20" t="s">
        <v>101</v>
      </c>
      <c r="J63" s="20" t="s">
        <v>101</v>
      </c>
      <c r="K63" s="20"/>
      <c r="L63" s="20" t="s">
        <v>101</v>
      </c>
      <c r="M63" s="20" t="s">
        <v>101</v>
      </c>
      <c r="N63" s="20"/>
      <c r="O63" s="20" t="s">
        <v>101</v>
      </c>
    </row>
    <row r="64" spans="1:15">
      <c r="A64" s="71" t="s">
        <v>930</v>
      </c>
      <c r="B64" s="20" t="s">
        <v>101</v>
      </c>
      <c r="C64" s="20" t="s">
        <v>101</v>
      </c>
      <c r="D64" s="20"/>
      <c r="E64" s="20"/>
      <c r="F64" s="20"/>
      <c r="G64" s="20"/>
      <c r="H64" s="20" t="s">
        <v>101</v>
      </c>
      <c r="I64" s="20" t="s">
        <v>101</v>
      </c>
      <c r="J64" s="20" t="s">
        <v>101</v>
      </c>
      <c r="K64" s="20"/>
      <c r="L64" s="20" t="s">
        <v>101</v>
      </c>
      <c r="M64" s="20"/>
      <c r="N64" s="20"/>
      <c r="O64" s="20" t="s">
        <v>101</v>
      </c>
    </row>
    <row r="65" spans="1:15">
      <c r="A65" s="71" t="s">
        <v>1288</v>
      </c>
      <c r="B65" s="20" t="s">
        <v>162</v>
      </c>
      <c r="C65" s="20" t="s">
        <v>162</v>
      </c>
      <c r="D65" s="20"/>
      <c r="E65" s="20" t="s">
        <v>162</v>
      </c>
      <c r="F65" s="20"/>
      <c r="G65" s="20"/>
      <c r="H65" s="20" t="s">
        <v>162</v>
      </c>
      <c r="I65" s="20"/>
      <c r="J65" s="20" t="s">
        <v>162</v>
      </c>
      <c r="K65" s="20"/>
      <c r="L65" s="20" t="s">
        <v>162</v>
      </c>
      <c r="M65" s="20"/>
      <c r="N65" s="20"/>
      <c r="O65" s="20" t="s">
        <v>162</v>
      </c>
    </row>
    <row r="66" spans="1:15">
      <c r="A66" s="71" t="s">
        <v>1019</v>
      </c>
      <c r="B66" s="20" t="s">
        <v>101</v>
      </c>
      <c r="C66" s="20" t="s">
        <v>101</v>
      </c>
      <c r="D66" s="20" t="s">
        <v>101</v>
      </c>
      <c r="E66" s="20" t="s">
        <v>101</v>
      </c>
      <c r="F66" s="20"/>
      <c r="G66" s="20"/>
      <c r="H66" s="20" t="s">
        <v>101</v>
      </c>
      <c r="I66" s="20" t="s">
        <v>101</v>
      </c>
      <c r="J66" s="20"/>
      <c r="K66" s="20"/>
      <c r="L66" s="20" t="s">
        <v>101</v>
      </c>
      <c r="M66" s="20"/>
      <c r="N66" s="20"/>
      <c r="O66" s="20" t="s">
        <v>101</v>
      </c>
    </row>
    <row r="67" spans="1:15" ht="30">
      <c r="A67" s="71" t="s">
        <v>1824</v>
      </c>
      <c r="B67" s="20" t="s">
        <v>101</v>
      </c>
      <c r="C67" s="20" t="s">
        <v>101</v>
      </c>
      <c r="D67" s="20" t="s">
        <v>164</v>
      </c>
      <c r="E67" s="20" t="s">
        <v>164</v>
      </c>
      <c r="F67" s="20" t="s">
        <v>164</v>
      </c>
      <c r="G67" s="20" t="s">
        <v>164</v>
      </c>
      <c r="H67" s="20" t="s">
        <v>164</v>
      </c>
      <c r="I67" s="20" t="s">
        <v>164</v>
      </c>
      <c r="J67" s="20" t="s">
        <v>164</v>
      </c>
      <c r="K67" s="20" t="s">
        <v>164</v>
      </c>
      <c r="L67" s="20" t="s">
        <v>164</v>
      </c>
      <c r="M67" s="20" t="s">
        <v>164</v>
      </c>
      <c r="N67" s="20" t="s">
        <v>164</v>
      </c>
      <c r="O67" s="20" t="s">
        <v>1825</v>
      </c>
    </row>
    <row r="68" spans="1:15">
      <c r="A68" s="71" t="s">
        <v>1085</v>
      </c>
      <c r="B68" s="20" t="s">
        <v>101</v>
      </c>
      <c r="C68" s="20" t="s">
        <v>101</v>
      </c>
      <c r="D68" s="20" t="s">
        <v>101</v>
      </c>
      <c r="E68" s="20" t="s">
        <v>101</v>
      </c>
      <c r="F68" s="20" t="s">
        <v>101</v>
      </c>
      <c r="G68" s="20" t="s">
        <v>101</v>
      </c>
      <c r="H68" s="20" t="s">
        <v>101</v>
      </c>
      <c r="I68" s="20" t="s">
        <v>101</v>
      </c>
      <c r="J68" s="20" t="s">
        <v>101</v>
      </c>
      <c r="K68" s="20" t="s">
        <v>101</v>
      </c>
      <c r="L68" s="20"/>
      <c r="M68" s="20"/>
      <c r="N68" s="20"/>
      <c r="O68" s="20" t="s">
        <v>101</v>
      </c>
    </row>
    <row r="69" spans="1:15">
      <c r="A69" s="71" t="s">
        <v>1086</v>
      </c>
      <c r="B69" s="20" t="s">
        <v>101</v>
      </c>
      <c r="C69" s="20" t="s">
        <v>101</v>
      </c>
      <c r="D69" s="20" t="s">
        <v>101</v>
      </c>
      <c r="E69" s="20" t="s">
        <v>101</v>
      </c>
      <c r="F69" s="20" t="s">
        <v>101</v>
      </c>
      <c r="G69" s="20"/>
      <c r="H69" s="20" t="s">
        <v>101</v>
      </c>
      <c r="I69" s="20" t="s">
        <v>101</v>
      </c>
      <c r="J69" s="20" t="s">
        <v>101</v>
      </c>
      <c r="K69" s="20"/>
      <c r="L69" s="20" t="s">
        <v>101</v>
      </c>
      <c r="M69" s="20" t="s">
        <v>101</v>
      </c>
      <c r="N69" s="20" t="s">
        <v>101</v>
      </c>
      <c r="O69" s="20" t="s">
        <v>101</v>
      </c>
    </row>
    <row r="70" spans="1:15">
      <c r="A70" s="71" t="s">
        <v>1108</v>
      </c>
      <c r="B70" s="20" t="s">
        <v>101</v>
      </c>
      <c r="C70" s="20" t="s">
        <v>101</v>
      </c>
      <c r="D70" s="20" t="s">
        <v>101</v>
      </c>
      <c r="E70" s="20" t="s">
        <v>101</v>
      </c>
      <c r="F70" s="20" t="s">
        <v>101</v>
      </c>
      <c r="G70" s="20" t="s">
        <v>101</v>
      </c>
      <c r="H70" s="20" t="s">
        <v>101</v>
      </c>
      <c r="I70" s="20" t="s">
        <v>101</v>
      </c>
      <c r="J70" s="20" t="s">
        <v>101</v>
      </c>
      <c r="K70" s="20" t="s">
        <v>101</v>
      </c>
      <c r="L70" s="20" t="s">
        <v>101</v>
      </c>
      <c r="M70" s="20" t="s">
        <v>101</v>
      </c>
      <c r="N70" s="20"/>
      <c r="O70" s="20" t="s">
        <v>101</v>
      </c>
    </row>
    <row r="71" spans="1:15" ht="75">
      <c r="A71" s="71" t="s">
        <v>1167</v>
      </c>
      <c r="B71" s="20" t="s">
        <v>1209</v>
      </c>
      <c r="C71" s="20" t="s">
        <v>1210</v>
      </c>
      <c r="D71" s="20" t="s">
        <v>1211</v>
      </c>
      <c r="E71" s="20" t="s">
        <v>1211</v>
      </c>
      <c r="F71" s="20" t="s">
        <v>1212</v>
      </c>
      <c r="G71" s="20" t="s">
        <v>1213</v>
      </c>
      <c r="H71" s="20" t="s">
        <v>1214</v>
      </c>
      <c r="I71" s="20" t="s">
        <v>1215</v>
      </c>
      <c r="J71" s="20" t="s">
        <v>1216</v>
      </c>
      <c r="K71" s="20" t="s">
        <v>1217</v>
      </c>
      <c r="L71" s="20" t="s">
        <v>1218</v>
      </c>
      <c r="M71" s="20" t="s">
        <v>1219</v>
      </c>
      <c r="N71" s="20" t="s">
        <v>1220</v>
      </c>
      <c r="O71" s="20" t="s">
        <v>1221</v>
      </c>
    </row>
    <row r="72" spans="1:15">
      <c r="A72" s="71" t="s">
        <v>1248</v>
      </c>
      <c r="B72" s="20" t="s">
        <v>101</v>
      </c>
      <c r="C72" s="20" t="s">
        <v>101</v>
      </c>
      <c r="D72" s="20" t="s">
        <v>101</v>
      </c>
      <c r="E72" s="20"/>
      <c r="F72" s="20" t="s">
        <v>101</v>
      </c>
      <c r="G72" s="20" t="s">
        <v>101</v>
      </c>
      <c r="H72" s="20" t="s">
        <v>101</v>
      </c>
      <c r="I72" s="20" t="s">
        <v>101</v>
      </c>
      <c r="J72" s="20" t="s">
        <v>101</v>
      </c>
      <c r="K72" s="20" t="s">
        <v>101</v>
      </c>
      <c r="L72" s="20" t="s">
        <v>101</v>
      </c>
      <c r="M72" s="20"/>
      <c r="N72" s="20"/>
      <c r="O72" s="20" t="s">
        <v>101</v>
      </c>
    </row>
    <row r="73" spans="1:15">
      <c r="A73" s="71" t="s">
        <v>1274</v>
      </c>
      <c r="B73" s="20" t="s">
        <v>101</v>
      </c>
      <c r="C73" s="20" t="s">
        <v>101</v>
      </c>
      <c r="D73" s="20"/>
      <c r="E73" s="20"/>
      <c r="F73" s="20" t="s">
        <v>101</v>
      </c>
      <c r="G73" s="20"/>
      <c r="H73" s="20" t="s">
        <v>101</v>
      </c>
      <c r="I73" s="20"/>
      <c r="J73" s="20"/>
      <c r="K73" s="20"/>
      <c r="L73" s="20" t="s">
        <v>101</v>
      </c>
      <c r="M73" s="20" t="s">
        <v>101</v>
      </c>
      <c r="N73" s="20"/>
      <c r="O73" s="20" t="s">
        <v>101</v>
      </c>
    </row>
    <row r="74" spans="1:15">
      <c r="A74" s="71" t="s">
        <v>1325</v>
      </c>
      <c r="B74" s="20" t="s">
        <v>101</v>
      </c>
      <c r="C74" s="20" t="s">
        <v>101</v>
      </c>
      <c r="D74" s="20" t="s">
        <v>101</v>
      </c>
      <c r="E74" s="20" t="s">
        <v>101</v>
      </c>
      <c r="F74" s="20" t="s">
        <v>101</v>
      </c>
      <c r="G74" s="20"/>
      <c r="H74" s="20" t="s">
        <v>101</v>
      </c>
      <c r="I74" s="20"/>
      <c r="J74" s="20"/>
      <c r="K74" s="20"/>
      <c r="L74" s="20" t="s">
        <v>101</v>
      </c>
      <c r="M74" s="20" t="s">
        <v>101</v>
      </c>
      <c r="N74" s="20" t="s">
        <v>101</v>
      </c>
      <c r="O74" s="20" t="s">
        <v>101</v>
      </c>
    </row>
    <row r="75" spans="1:15">
      <c r="A75" s="71" t="s">
        <v>1337</v>
      </c>
      <c r="B75" s="20" t="s">
        <v>101</v>
      </c>
      <c r="C75" s="20" t="s">
        <v>101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 ht="27">
      <c r="A76" s="135" t="s">
        <v>1970</v>
      </c>
      <c r="B76" s="20" t="s">
        <v>346</v>
      </c>
      <c r="C76" s="20" t="s">
        <v>346</v>
      </c>
      <c r="D76" s="20" t="s">
        <v>346</v>
      </c>
      <c r="E76" s="20" t="s">
        <v>346</v>
      </c>
      <c r="F76" s="20" t="s">
        <v>1837</v>
      </c>
      <c r="G76" s="20" t="s">
        <v>1837</v>
      </c>
      <c r="H76" s="20" t="s">
        <v>161</v>
      </c>
      <c r="I76" s="20" t="s">
        <v>346</v>
      </c>
      <c r="J76" s="20" t="s">
        <v>346</v>
      </c>
      <c r="K76" s="20" t="s">
        <v>161</v>
      </c>
      <c r="L76" s="20" t="s">
        <v>346</v>
      </c>
      <c r="M76" s="20" t="s">
        <v>2012</v>
      </c>
      <c r="N76" s="20" t="s">
        <v>1837</v>
      </c>
      <c r="O76" s="20" t="s">
        <v>346</v>
      </c>
    </row>
    <row r="77" spans="1:15" ht="30">
      <c r="A77" s="71" t="s">
        <v>1338</v>
      </c>
      <c r="B77" s="20" t="s">
        <v>101</v>
      </c>
      <c r="C77" s="20" t="s">
        <v>101</v>
      </c>
      <c r="D77" s="20"/>
      <c r="E77" s="20"/>
      <c r="F77" s="20" t="s">
        <v>101</v>
      </c>
      <c r="G77" s="20"/>
      <c r="H77" s="20" t="s">
        <v>101</v>
      </c>
      <c r="I77" s="20" t="s">
        <v>101</v>
      </c>
      <c r="J77" s="20" t="s">
        <v>101</v>
      </c>
      <c r="K77" s="20"/>
      <c r="L77" s="20" t="s">
        <v>101</v>
      </c>
      <c r="M77" s="20"/>
      <c r="N77" s="20"/>
      <c r="O77" s="20" t="s">
        <v>101</v>
      </c>
    </row>
    <row r="78" spans="1:15" ht="30">
      <c r="A78" s="71" t="s">
        <v>1355</v>
      </c>
      <c r="B78" s="20" t="s">
        <v>1369</v>
      </c>
      <c r="C78" s="20" t="s">
        <v>1370</v>
      </c>
      <c r="D78" s="20" t="s">
        <v>1370</v>
      </c>
      <c r="E78" s="20" t="s">
        <v>1370</v>
      </c>
      <c r="F78" s="20" t="s">
        <v>164</v>
      </c>
      <c r="G78" s="20" t="s">
        <v>1220</v>
      </c>
      <c r="H78" s="20" t="s">
        <v>1371</v>
      </c>
      <c r="I78" s="20" t="s">
        <v>1372</v>
      </c>
      <c r="J78" s="20" t="s">
        <v>1373</v>
      </c>
      <c r="K78" s="20" t="s">
        <v>164</v>
      </c>
      <c r="L78" s="20" t="s">
        <v>1374</v>
      </c>
      <c r="M78" s="20" t="s">
        <v>164</v>
      </c>
      <c r="N78" s="20" t="s">
        <v>164</v>
      </c>
      <c r="O78" s="20" t="s">
        <v>1375</v>
      </c>
    </row>
    <row r="79" spans="1:15">
      <c r="A79" s="71" t="s">
        <v>1401</v>
      </c>
      <c r="B79" s="20" t="s">
        <v>162</v>
      </c>
      <c r="C79" s="20" t="s">
        <v>162</v>
      </c>
      <c r="D79" s="20" t="s">
        <v>162</v>
      </c>
      <c r="E79" s="20" t="s">
        <v>162</v>
      </c>
      <c r="F79" s="20"/>
      <c r="G79" s="20"/>
      <c r="H79" s="20"/>
      <c r="I79" s="20" t="s">
        <v>162</v>
      </c>
      <c r="J79" s="20" t="s">
        <v>162</v>
      </c>
      <c r="K79" s="20"/>
      <c r="L79" s="20"/>
      <c r="M79" s="20"/>
      <c r="N79" s="20"/>
      <c r="O79" s="20" t="s">
        <v>162</v>
      </c>
    </row>
    <row r="80" spans="1:15">
      <c r="A80" s="71" t="s">
        <v>1421</v>
      </c>
      <c r="B80" s="20" t="s">
        <v>162</v>
      </c>
      <c r="C80" s="20" t="s">
        <v>162</v>
      </c>
      <c r="D80" s="20" t="s">
        <v>162</v>
      </c>
      <c r="E80" s="20" t="s">
        <v>162</v>
      </c>
      <c r="F80" s="20"/>
      <c r="G80" s="20"/>
      <c r="H80" s="20"/>
      <c r="I80" s="20" t="s">
        <v>162</v>
      </c>
      <c r="J80" s="20" t="s">
        <v>162</v>
      </c>
      <c r="K80" s="20" t="s">
        <v>162</v>
      </c>
      <c r="L80" s="20" t="s">
        <v>162</v>
      </c>
      <c r="M80" s="20" t="s">
        <v>162</v>
      </c>
      <c r="N80" s="20" t="s">
        <v>162</v>
      </c>
      <c r="O80" s="20" t="s">
        <v>162</v>
      </c>
    </row>
    <row r="81" spans="1:15">
      <c r="A81" s="71" t="s">
        <v>1433</v>
      </c>
      <c r="B81" s="20" t="s">
        <v>162</v>
      </c>
      <c r="C81" s="20" t="s">
        <v>162</v>
      </c>
      <c r="D81" s="20" t="s">
        <v>162</v>
      </c>
      <c r="E81" s="20" t="s">
        <v>162</v>
      </c>
      <c r="F81" s="20" t="s">
        <v>162</v>
      </c>
      <c r="G81" s="20" t="s">
        <v>162</v>
      </c>
      <c r="H81" s="20" t="s">
        <v>162</v>
      </c>
      <c r="I81" s="20" t="s">
        <v>162</v>
      </c>
      <c r="J81" s="20" t="s">
        <v>162</v>
      </c>
      <c r="K81" s="20" t="s">
        <v>162</v>
      </c>
      <c r="L81" s="20" t="s">
        <v>162</v>
      </c>
      <c r="M81" s="20" t="s">
        <v>162</v>
      </c>
      <c r="N81" s="20" t="s">
        <v>162</v>
      </c>
      <c r="O81" s="20" t="s">
        <v>162</v>
      </c>
    </row>
    <row r="82" spans="1:15" ht="180">
      <c r="A82" s="71" t="s">
        <v>1511</v>
      </c>
      <c r="B82" s="20" t="s">
        <v>1512</v>
      </c>
      <c r="C82" s="20" t="s">
        <v>1513</v>
      </c>
      <c r="D82" s="20" t="s">
        <v>1514</v>
      </c>
      <c r="E82" s="20" t="s">
        <v>1515</v>
      </c>
      <c r="F82" s="20" t="s">
        <v>1516</v>
      </c>
      <c r="G82" s="20" t="s">
        <v>219</v>
      </c>
      <c r="H82" s="20" t="s">
        <v>1517</v>
      </c>
      <c r="I82" s="20" t="s">
        <v>1518</v>
      </c>
      <c r="J82" s="20" t="s">
        <v>1519</v>
      </c>
      <c r="K82" s="20" t="s">
        <v>219</v>
      </c>
      <c r="L82" s="20" t="s">
        <v>219</v>
      </c>
      <c r="M82" s="20" t="s">
        <v>219</v>
      </c>
      <c r="N82" s="20" t="s">
        <v>219</v>
      </c>
      <c r="O82" s="20" t="s">
        <v>1520</v>
      </c>
    </row>
    <row r="83" spans="1:15" ht="30">
      <c r="A83" s="71" t="s">
        <v>1521</v>
      </c>
      <c r="B83" s="20" t="s">
        <v>219</v>
      </c>
      <c r="C83" s="20" t="s">
        <v>1522</v>
      </c>
      <c r="D83" s="20" t="s">
        <v>219</v>
      </c>
      <c r="E83" s="20" t="s">
        <v>219</v>
      </c>
      <c r="F83" s="20" t="s">
        <v>1523</v>
      </c>
      <c r="G83" s="20" t="s">
        <v>219</v>
      </c>
      <c r="H83" s="20" t="s">
        <v>219</v>
      </c>
      <c r="I83" s="20" t="s">
        <v>219</v>
      </c>
      <c r="J83" s="20" t="s">
        <v>219</v>
      </c>
      <c r="K83" s="20" t="s">
        <v>219</v>
      </c>
      <c r="L83" s="20" t="s">
        <v>219</v>
      </c>
      <c r="M83" s="20" t="s">
        <v>1524</v>
      </c>
      <c r="N83" s="20" t="s">
        <v>219</v>
      </c>
      <c r="O83" s="20" t="s">
        <v>1520</v>
      </c>
    </row>
    <row r="84" spans="1:15">
      <c r="A84" s="71" t="s">
        <v>1856</v>
      </c>
      <c r="B84" s="20" t="s">
        <v>101</v>
      </c>
      <c r="C84" s="20" t="s">
        <v>101</v>
      </c>
      <c r="D84" s="20" t="s">
        <v>101</v>
      </c>
      <c r="E84" s="20" t="s">
        <v>101</v>
      </c>
      <c r="F84" s="20"/>
      <c r="G84" s="20"/>
      <c r="H84" s="20" t="s">
        <v>101</v>
      </c>
      <c r="I84" s="20" t="s">
        <v>101</v>
      </c>
      <c r="J84" s="20" t="s">
        <v>101</v>
      </c>
      <c r="K84" s="20" t="s">
        <v>101</v>
      </c>
      <c r="L84" s="20" t="s">
        <v>101</v>
      </c>
      <c r="M84" s="20"/>
      <c r="N84" s="20"/>
      <c r="O84" s="20" t="s">
        <v>101</v>
      </c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 s="25" t="s">
        <v>68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>
      <c r="A87" s="8" t="s">
        <v>33</v>
      </c>
    </row>
    <row r="88" spans="1:15">
      <c r="A88" s="197" t="s">
        <v>34</v>
      </c>
      <c r="B88" s="197"/>
      <c r="C88" s="197"/>
      <c r="D88" s="197"/>
      <c r="E88" s="197"/>
    </row>
    <row r="89" spans="1:15">
      <c r="A89" s="8" t="s">
        <v>69</v>
      </c>
    </row>
  </sheetData>
  <mergeCells count="2">
    <mergeCell ref="A88:E88"/>
    <mergeCell ref="A1:P1"/>
  </mergeCells>
  <phoneticPr fontId="5" type="noConversion"/>
  <pageMargins left="0.75" right="0.75" top="1" bottom="1" header="0.5" footer="0.5"/>
  <pageSetup paperSize="9" orientation="landscape" r:id="rId1"/>
  <headerFooter alignWithMargins="0"/>
  <colBreaks count="1" manualBreakCount="1">
    <brk id="3" min="2" max="8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83"/>
  <sheetViews>
    <sheetView view="pageBreakPreview" zoomScale="80" zoomScaleNormal="100" zoomScaleSheetLayoutView="80" workbookViewId="0">
      <selection activeCell="A2" sqref="A2:D2"/>
    </sheetView>
  </sheetViews>
  <sheetFormatPr defaultRowHeight="15"/>
  <cols>
    <col min="1" max="1" width="29.85546875" style="18" customWidth="1"/>
    <col min="2" max="2" width="15.7109375" style="28" customWidth="1"/>
    <col min="3" max="3" width="20.85546875" style="28" customWidth="1"/>
    <col min="4" max="4" width="24.7109375" style="28" customWidth="1"/>
    <col min="5" max="5" width="20.85546875" style="28" customWidth="1"/>
    <col min="6" max="6" width="17" style="28" customWidth="1"/>
    <col min="7" max="16384" width="9.140625" style="19"/>
  </cols>
  <sheetData>
    <row r="1" spans="1:6" ht="16.5" customHeight="1">
      <c r="A1" s="203" t="s">
        <v>2005</v>
      </c>
      <c r="B1" s="203"/>
      <c r="C1" s="203"/>
      <c r="D1" s="203"/>
    </row>
    <row r="2" spans="1:6" ht="17.25" customHeight="1" thickBot="1">
      <c r="A2" s="204" t="s">
        <v>2006</v>
      </c>
      <c r="B2" s="204"/>
      <c r="C2" s="204"/>
      <c r="D2" s="204"/>
    </row>
    <row r="3" spans="1:6" s="30" customFormat="1" ht="30">
      <c r="A3" s="103" t="s">
        <v>23</v>
      </c>
      <c r="B3" s="104" t="s">
        <v>6</v>
      </c>
      <c r="C3" s="104" t="s">
        <v>7</v>
      </c>
      <c r="D3" s="104" t="s">
        <v>88</v>
      </c>
      <c r="E3" s="105" t="s">
        <v>1924</v>
      </c>
      <c r="F3" s="105" t="s">
        <v>1</v>
      </c>
    </row>
    <row r="4" spans="1:6" s="30" customFormat="1">
      <c r="A4" s="29" t="s">
        <v>1772</v>
      </c>
      <c r="B4" s="49">
        <v>1897357.23</v>
      </c>
      <c r="C4" s="49">
        <v>98805.7</v>
      </c>
      <c r="D4" s="49">
        <v>439400</v>
      </c>
      <c r="E4" s="49">
        <v>81490</v>
      </c>
      <c r="F4" s="49">
        <f>SUM(Tabela5[[#This Row],[Sprzęt stacjonarny]:[sprzęt użyczony]])</f>
        <v>2517052.9299999997</v>
      </c>
    </row>
    <row r="5" spans="1:6" s="30" customFormat="1" ht="30">
      <c r="A5" s="29" t="s">
        <v>1939</v>
      </c>
      <c r="B5" s="49">
        <v>186524.7</v>
      </c>
      <c r="C5" s="49">
        <v>18534</v>
      </c>
      <c r="D5" s="49"/>
      <c r="E5" s="49"/>
      <c r="F5" s="49">
        <f>SUM(Tabela5[[#This Row],[Sprzęt stacjonarny]:[sprzęt użyczony]])</f>
        <v>205058.7</v>
      </c>
    </row>
    <row r="6" spans="1:6" s="30" customFormat="1" ht="30">
      <c r="A6" s="29" t="s">
        <v>547</v>
      </c>
      <c r="B6" s="49">
        <v>4357.8999999999996</v>
      </c>
      <c r="C6" s="49">
        <v>6514</v>
      </c>
      <c r="D6" s="49">
        <v>2849.82</v>
      </c>
      <c r="E6" s="49"/>
      <c r="F6" s="49">
        <f>SUM(Tabela5[[#This Row],[Sprzęt stacjonarny]:[sprzęt użyczony]])</f>
        <v>13721.72</v>
      </c>
    </row>
    <row r="7" spans="1:6" s="30" customFormat="1" ht="45">
      <c r="A7" s="29" t="s">
        <v>548</v>
      </c>
      <c r="B7" s="49">
        <v>1550</v>
      </c>
      <c r="C7" s="49">
        <v>5093.01</v>
      </c>
      <c r="D7" s="49">
        <v>4863.21</v>
      </c>
      <c r="E7" s="49"/>
      <c r="F7" s="49">
        <f>SUM(Tabela5[[#This Row],[Sprzęt stacjonarny]:[sprzęt użyczony]])</f>
        <v>11506.220000000001</v>
      </c>
    </row>
    <row r="8" spans="1:6" s="30" customFormat="1" ht="30">
      <c r="A8" s="29" t="s">
        <v>549</v>
      </c>
      <c r="B8" s="49">
        <v>1549.4</v>
      </c>
      <c r="C8" s="49">
        <v>1800</v>
      </c>
      <c r="D8" s="49">
        <v>3280.57</v>
      </c>
      <c r="E8" s="49"/>
      <c r="F8" s="49">
        <f>SUM(Tabela5[[#This Row],[Sprzęt stacjonarny]:[sprzęt użyczony]])</f>
        <v>6629.97</v>
      </c>
    </row>
    <row r="9" spans="1:6" s="30" customFormat="1" ht="30">
      <c r="A9" s="29" t="s">
        <v>1925</v>
      </c>
      <c r="B9" s="49">
        <v>10537</v>
      </c>
      <c r="C9" s="49"/>
      <c r="D9" s="49">
        <v>8090</v>
      </c>
      <c r="E9" s="49"/>
      <c r="F9" s="49">
        <f>SUM(Tabela5[[#This Row],[Sprzęt stacjonarny]:[sprzęt użyczony]])</f>
        <v>18627</v>
      </c>
    </row>
    <row r="10" spans="1:6" s="30" customFormat="1" ht="27">
      <c r="A10" s="69" t="s">
        <v>1848</v>
      </c>
      <c r="B10" s="126">
        <v>5787.57</v>
      </c>
      <c r="C10" s="126">
        <v>754.77</v>
      </c>
      <c r="D10" s="126">
        <v>5000</v>
      </c>
      <c r="E10" s="49"/>
      <c r="F10" s="49">
        <f>SUM(Tabela5[[#This Row],[Sprzęt stacjonarny]:[sprzęt użyczony]])</f>
        <v>11542.34</v>
      </c>
    </row>
    <row r="11" spans="1:6" s="30" customFormat="1" ht="27">
      <c r="A11" s="69" t="s">
        <v>1849</v>
      </c>
      <c r="B11" s="126">
        <v>13542.03</v>
      </c>
      <c r="C11" s="126">
        <v>5401.01</v>
      </c>
      <c r="D11" s="126">
        <v>5693.2</v>
      </c>
      <c r="E11" s="49"/>
      <c r="F11" s="49">
        <f>SUM(Tabela5[[#This Row],[Sprzęt stacjonarny]:[sprzęt użyczony]])</f>
        <v>24636.240000000002</v>
      </c>
    </row>
    <row r="12" spans="1:6" s="30" customFormat="1">
      <c r="A12" s="29" t="s">
        <v>573</v>
      </c>
      <c r="B12" s="49">
        <v>9736</v>
      </c>
      <c r="C12" s="49"/>
      <c r="D12" s="49">
        <v>4899.99</v>
      </c>
      <c r="E12" s="49"/>
      <c r="F12" s="49">
        <f>SUM(Tabela5[[#This Row],[Sprzęt stacjonarny]:[sprzęt użyczony]])</f>
        <v>14635.99</v>
      </c>
    </row>
    <row r="13" spans="1:6" s="30" customFormat="1" ht="30">
      <c r="A13" s="29" t="s">
        <v>578</v>
      </c>
      <c r="B13" s="49">
        <v>15747.14</v>
      </c>
      <c r="C13" s="49">
        <v>0</v>
      </c>
      <c r="D13" s="49">
        <v>11315</v>
      </c>
      <c r="E13" s="49"/>
      <c r="F13" s="49">
        <f>SUM(Tabela5[[#This Row],[Sprzęt stacjonarny]:[sprzęt użyczony]])</f>
        <v>27062.14</v>
      </c>
    </row>
    <row r="14" spans="1:6" s="30" customFormat="1" ht="30">
      <c r="A14" s="29" t="s">
        <v>600</v>
      </c>
      <c r="B14" s="126">
        <v>15392.4</v>
      </c>
      <c r="C14" s="126">
        <v>4142.54</v>
      </c>
      <c r="D14" s="126">
        <v>10000</v>
      </c>
      <c r="E14" s="49"/>
      <c r="F14" s="49">
        <f>SUM(Tabela5[[#This Row],[Sprzęt stacjonarny]:[sprzęt użyczony]])</f>
        <v>29534.94</v>
      </c>
    </row>
    <row r="15" spans="1:6" s="30" customFormat="1" ht="30">
      <c r="A15" s="29" t="s">
        <v>624</v>
      </c>
      <c r="B15" s="49">
        <v>8831</v>
      </c>
      <c r="C15" s="49">
        <v>8425</v>
      </c>
      <c r="D15" s="49">
        <v>4900</v>
      </c>
      <c r="E15" s="49"/>
      <c r="F15" s="49">
        <f>SUM(Tabela5[[#This Row],[Sprzęt stacjonarny]:[sprzęt użyczony]])</f>
        <v>22156</v>
      </c>
    </row>
    <row r="16" spans="1:6" s="30" customFormat="1">
      <c r="A16" s="29" t="s">
        <v>631</v>
      </c>
      <c r="B16" s="49">
        <v>13687</v>
      </c>
      <c r="C16" s="49">
        <v>2399</v>
      </c>
      <c r="D16" s="49">
        <v>13840.84</v>
      </c>
      <c r="E16" s="49"/>
      <c r="F16" s="49">
        <f>SUM(Tabela5[[#This Row],[Sprzęt stacjonarny]:[sprzęt użyczony]])</f>
        <v>29926.84</v>
      </c>
    </row>
    <row r="17" spans="1:6" s="30" customFormat="1" ht="30">
      <c r="A17" s="29" t="s">
        <v>115</v>
      </c>
      <c r="B17" s="49">
        <v>66139.020000000019</v>
      </c>
      <c r="C17" s="49">
        <v>17511.04</v>
      </c>
      <c r="D17" s="49">
        <v>10905.59</v>
      </c>
      <c r="E17" s="49"/>
      <c r="F17" s="49">
        <f>SUM(Tabela5[[#This Row],[Sprzęt stacjonarny]:[sprzęt użyczony]])</f>
        <v>94555.650000000023</v>
      </c>
    </row>
    <row r="18" spans="1:6" s="30" customFormat="1" ht="30">
      <c r="A18" s="29" t="s">
        <v>122</v>
      </c>
      <c r="B18" s="49">
        <v>60160.69</v>
      </c>
      <c r="C18" s="49">
        <v>18837.849999999999</v>
      </c>
      <c r="D18" s="49"/>
      <c r="E18" s="49"/>
      <c r="F18" s="49">
        <f>SUM(Tabela5[[#This Row],[Sprzęt stacjonarny]:[sprzęt użyczony]])</f>
        <v>78998.540000000008</v>
      </c>
    </row>
    <row r="19" spans="1:6" s="30" customFormat="1">
      <c r="A19" s="29" t="s">
        <v>137</v>
      </c>
      <c r="B19" s="49">
        <v>95826.94</v>
      </c>
      <c r="C19" s="49">
        <v>25593.57</v>
      </c>
      <c r="D19" s="49">
        <v>27296.69</v>
      </c>
      <c r="E19" s="49"/>
      <c r="F19" s="49">
        <f>SUM(Tabela5[[#This Row],[Sprzęt stacjonarny]:[sprzęt użyczony]])</f>
        <v>148717.20000000001</v>
      </c>
    </row>
    <row r="20" spans="1:6" s="30" customFormat="1" ht="30">
      <c r="A20" s="71" t="s">
        <v>149</v>
      </c>
      <c r="B20" s="49">
        <v>107619.82</v>
      </c>
      <c r="C20" s="28">
        <v>8118.1</v>
      </c>
      <c r="D20" s="49">
        <v>15090</v>
      </c>
      <c r="E20" s="49"/>
      <c r="F20" s="49">
        <f>SUM(Tabela5[[#This Row],[Sprzęt stacjonarny]:[sprzęt użyczony]])</f>
        <v>130827.92000000001</v>
      </c>
    </row>
    <row r="21" spans="1:6" s="30" customFormat="1" ht="30">
      <c r="A21" s="29" t="s">
        <v>179</v>
      </c>
      <c r="B21" s="49">
        <v>53145.800000000017</v>
      </c>
      <c r="C21" s="49">
        <v>47927.539999999986</v>
      </c>
      <c r="D21" s="49">
        <v>15740</v>
      </c>
      <c r="E21" s="49"/>
      <c r="F21" s="49">
        <f>SUM(Tabela5[[#This Row],[Sprzęt stacjonarny]:[sprzęt użyczony]])</f>
        <v>116813.34</v>
      </c>
    </row>
    <row r="22" spans="1:6" s="30" customFormat="1" ht="30">
      <c r="A22" s="29" t="s">
        <v>1773</v>
      </c>
      <c r="B22" s="49">
        <v>116385.5</v>
      </c>
      <c r="C22" s="49" t="s">
        <v>1936</v>
      </c>
      <c r="D22" s="49" t="s">
        <v>1937</v>
      </c>
      <c r="E22" s="49"/>
      <c r="F22" s="49">
        <f>SUM(Tabela5[[#This Row],[Sprzęt stacjonarny]:[sprzęt użyczony]])</f>
        <v>116385.5</v>
      </c>
    </row>
    <row r="23" spans="1:6" s="30" customFormat="1" ht="30">
      <c r="A23" s="29" t="s">
        <v>186</v>
      </c>
      <c r="B23" s="49">
        <v>11453.54</v>
      </c>
      <c r="C23" s="49">
        <v>65318.61</v>
      </c>
      <c r="D23" s="49">
        <v>14413</v>
      </c>
      <c r="E23" s="49"/>
      <c r="F23" s="49">
        <f>SUM(Tabela5[[#This Row],[Sprzęt stacjonarny]:[sprzęt użyczony]])</f>
        <v>91185.15</v>
      </c>
    </row>
    <row r="24" spans="1:6" s="30" customFormat="1">
      <c r="A24" s="29" t="s">
        <v>196</v>
      </c>
      <c r="B24" s="49">
        <v>105009.97</v>
      </c>
      <c r="C24" s="49">
        <v>27240.71</v>
      </c>
      <c r="D24" s="49">
        <v>15400</v>
      </c>
      <c r="E24" s="49"/>
      <c r="F24" s="49">
        <f>SUM(Tabela5[[#This Row],[Sprzęt stacjonarny]:[sprzęt użyczony]])</f>
        <v>147650.68</v>
      </c>
    </row>
    <row r="25" spans="1:6" s="30" customFormat="1">
      <c r="A25" s="29" t="s">
        <v>211</v>
      </c>
      <c r="B25" s="49">
        <v>31145</v>
      </c>
      <c r="C25" s="49">
        <v>15557.01</v>
      </c>
      <c r="D25" s="49">
        <v>20100</v>
      </c>
      <c r="E25" s="49"/>
      <c r="F25" s="49">
        <f>SUM(Tabela5[[#This Row],[Sprzęt stacjonarny]:[sprzęt użyczony]])</f>
        <v>66802.010000000009</v>
      </c>
    </row>
    <row r="26" spans="1:6" s="30" customFormat="1">
      <c r="A26" s="29" t="s">
        <v>242</v>
      </c>
      <c r="B26" s="49">
        <v>65559</v>
      </c>
      <c r="C26" s="49">
        <v>19476.8</v>
      </c>
      <c r="D26" s="49">
        <v>15990</v>
      </c>
      <c r="E26" s="49"/>
      <c r="F26" s="49">
        <f>SUM(Tabela5[[#This Row],[Sprzęt stacjonarny]:[sprzęt użyczony]])</f>
        <v>101025.8</v>
      </c>
    </row>
    <row r="27" spans="1:6" s="30" customFormat="1" ht="75">
      <c r="A27" s="29" t="s">
        <v>297</v>
      </c>
      <c r="B27" s="49">
        <v>70097.64</v>
      </c>
      <c r="C27" s="49">
        <v>7961</v>
      </c>
      <c r="D27" s="49">
        <v>14336.4</v>
      </c>
      <c r="E27" s="49"/>
      <c r="F27" s="49">
        <f>SUM(Tabela5[[#This Row],[Sprzęt stacjonarny]:[sprzęt użyczony]])</f>
        <v>92395.04</v>
      </c>
    </row>
    <row r="28" spans="1:6" s="30" customFormat="1" ht="30">
      <c r="A28" s="29" t="s">
        <v>305</v>
      </c>
      <c r="B28" s="49">
        <v>45263.8</v>
      </c>
      <c r="C28" s="49">
        <v>7705.9</v>
      </c>
      <c r="D28" s="49">
        <v>0</v>
      </c>
      <c r="E28" s="49"/>
      <c r="F28" s="49">
        <f>SUM(Tabela5[[#This Row],[Sprzęt stacjonarny]:[sprzęt użyczony]])</f>
        <v>52969.700000000004</v>
      </c>
    </row>
    <row r="29" spans="1:6" s="30" customFormat="1">
      <c r="A29" s="29" t="s">
        <v>332</v>
      </c>
      <c r="B29" s="49">
        <v>5760.08</v>
      </c>
      <c r="C29" s="49">
        <v>6211</v>
      </c>
      <c r="D29" s="49">
        <v>14280</v>
      </c>
      <c r="E29" s="49"/>
      <c r="F29" s="49">
        <f>SUM(Tabela5[[#This Row],[Sprzęt stacjonarny]:[sprzęt użyczony]])</f>
        <v>26251.08</v>
      </c>
    </row>
    <row r="30" spans="1:6" s="30" customFormat="1">
      <c r="A30" s="29" t="s">
        <v>333</v>
      </c>
      <c r="B30" s="49">
        <v>56665.89</v>
      </c>
      <c r="C30" s="49">
        <v>25682.31</v>
      </c>
      <c r="D30" s="49"/>
      <c r="E30" s="49"/>
      <c r="F30" s="49">
        <f>SUM(Tabela5[[#This Row],[Sprzęt stacjonarny]:[sprzęt użyczony]])</f>
        <v>82348.2</v>
      </c>
    </row>
    <row r="31" spans="1:6" s="30" customFormat="1" ht="45">
      <c r="A31" s="29" t="s">
        <v>362</v>
      </c>
      <c r="B31" s="127">
        <v>11508</v>
      </c>
      <c r="C31" s="127">
        <v>7728</v>
      </c>
      <c r="D31" s="127">
        <v>25985.870000000003</v>
      </c>
      <c r="E31" s="49"/>
      <c r="F31" s="49">
        <f>SUM(Tabela5[[#This Row],[Sprzęt stacjonarny]:[sprzęt użyczony]])</f>
        <v>45221.87</v>
      </c>
    </row>
    <row r="32" spans="1:6" s="30" customFormat="1" ht="30">
      <c r="A32" s="29" t="s">
        <v>374</v>
      </c>
      <c r="B32" s="49">
        <v>37537.33</v>
      </c>
      <c r="C32" s="49">
        <v>6199.98</v>
      </c>
      <c r="D32" s="49"/>
      <c r="E32" s="49"/>
      <c r="F32" s="49">
        <f>SUM(Tabela5[[#This Row],[Sprzęt stacjonarny]:[sprzęt użyczony]])</f>
        <v>43737.31</v>
      </c>
    </row>
    <row r="33" spans="1:6" s="30" customFormat="1">
      <c r="A33" s="71" t="s">
        <v>394</v>
      </c>
      <c r="B33" s="49">
        <v>34623.49</v>
      </c>
      <c r="C33" s="49">
        <v>12049</v>
      </c>
      <c r="D33" s="49">
        <v>1230</v>
      </c>
      <c r="E33" s="49"/>
      <c r="F33" s="49">
        <f>SUM(Tabela5[[#This Row],[Sprzęt stacjonarny]:[sprzęt użyczony]])</f>
        <v>47902.49</v>
      </c>
    </row>
    <row r="34" spans="1:6" s="30" customFormat="1" ht="45">
      <c r="A34" s="29" t="s">
        <v>403</v>
      </c>
      <c r="B34" s="49">
        <v>146254.22</v>
      </c>
      <c r="C34" s="49">
        <v>8140.8899999999994</v>
      </c>
      <c r="D34" s="49">
        <v>20854</v>
      </c>
      <c r="E34" s="49"/>
      <c r="F34" s="49">
        <f>SUM(Tabela5[[#This Row],[Sprzęt stacjonarny]:[sprzęt użyczony]])</f>
        <v>175249.11</v>
      </c>
    </row>
    <row r="35" spans="1:6" s="30" customFormat="1" ht="30">
      <c r="A35" s="29" t="s">
        <v>417</v>
      </c>
      <c r="B35" s="49">
        <v>91936.09</v>
      </c>
      <c r="C35" s="49">
        <v>42315.46</v>
      </c>
      <c r="D35" s="49">
        <v>16724.7</v>
      </c>
      <c r="E35" s="49"/>
      <c r="F35" s="49">
        <f>SUM(Tabela5[[#This Row],[Sprzęt stacjonarny]:[sprzęt użyczony]])</f>
        <v>150976.25</v>
      </c>
    </row>
    <row r="36" spans="1:6" s="30" customFormat="1" ht="45">
      <c r="A36" s="29" t="s">
        <v>448</v>
      </c>
      <c r="B36" s="49">
        <v>202997.91</v>
      </c>
      <c r="C36" s="49">
        <v>30664.5</v>
      </c>
      <c r="D36" s="49">
        <v>7118</v>
      </c>
      <c r="E36" s="49"/>
      <c r="F36" s="49">
        <f>SUM(Tabela5[[#This Row],[Sprzęt stacjonarny]:[sprzęt użyczony]])</f>
        <v>240780.41</v>
      </c>
    </row>
    <row r="37" spans="1:6" s="30" customFormat="1" ht="30">
      <c r="A37" s="29" t="s">
        <v>492</v>
      </c>
      <c r="B37" s="49">
        <v>134500.74</v>
      </c>
      <c r="C37" s="49">
        <v>14072</v>
      </c>
      <c r="D37" s="49">
        <v>14987.61</v>
      </c>
      <c r="E37" s="49"/>
      <c r="F37" s="49">
        <f>SUM(Tabela5[[#This Row],[Sprzęt stacjonarny]:[sprzęt użyczony]])</f>
        <v>163560.34999999998</v>
      </c>
    </row>
    <row r="38" spans="1:6" s="30" customFormat="1" ht="30">
      <c r="A38" s="29" t="s">
        <v>498</v>
      </c>
      <c r="B38" s="49">
        <v>86117.99</v>
      </c>
      <c r="C38" s="49">
        <v>84151.44</v>
      </c>
      <c r="D38" s="49">
        <v>15829.5</v>
      </c>
      <c r="E38" s="49"/>
      <c r="F38" s="49">
        <f>SUM(Tabela5[[#This Row],[Sprzęt stacjonarny]:[sprzęt użyczony]])</f>
        <v>186098.93</v>
      </c>
    </row>
    <row r="39" spans="1:6" s="30" customFormat="1" ht="30">
      <c r="A39" s="29" t="s">
        <v>652</v>
      </c>
      <c r="B39" s="49">
        <v>171525.81</v>
      </c>
      <c r="C39" s="49">
        <v>25645.9</v>
      </c>
      <c r="D39" s="49">
        <v>0</v>
      </c>
      <c r="E39" s="49"/>
      <c r="F39" s="49">
        <f>SUM(Tabela5[[#This Row],[Sprzęt stacjonarny]:[sprzęt użyczony]])</f>
        <v>197171.71</v>
      </c>
    </row>
    <row r="40" spans="1:6" s="30" customFormat="1" ht="30">
      <c r="A40" s="29" t="s">
        <v>1792</v>
      </c>
      <c r="B40" s="49">
        <v>17458</v>
      </c>
      <c r="C40" s="49">
        <v>24966.87</v>
      </c>
      <c r="D40" s="49">
        <v>15320</v>
      </c>
      <c r="E40" s="49"/>
      <c r="F40" s="49">
        <f>SUM(Tabela5[[#This Row],[Sprzęt stacjonarny]:[sprzęt użyczony]])</f>
        <v>57744.869999999995</v>
      </c>
    </row>
    <row r="41" spans="1:6" s="30" customFormat="1" ht="30">
      <c r="A41" s="29" t="s">
        <v>659</v>
      </c>
      <c r="B41" s="49">
        <v>26404.75</v>
      </c>
      <c r="C41" s="49">
        <v>13978.99</v>
      </c>
      <c r="D41" s="49">
        <v>33060.69</v>
      </c>
      <c r="E41" s="49"/>
      <c r="F41" s="49">
        <f>SUM(Tabela5[[#This Row],[Sprzęt stacjonarny]:[sprzęt użyczony]])</f>
        <v>73444.429999999993</v>
      </c>
    </row>
    <row r="42" spans="1:6" s="30" customFormat="1">
      <c r="A42" s="29" t="s">
        <v>748</v>
      </c>
      <c r="B42" s="49">
        <v>44613.18</v>
      </c>
      <c r="C42" s="49">
        <v>2772</v>
      </c>
      <c r="D42" s="49">
        <v>0</v>
      </c>
      <c r="E42" s="49"/>
      <c r="F42" s="49">
        <f>SUM(Tabela5[[#This Row],[Sprzęt stacjonarny]:[sprzęt użyczony]])</f>
        <v>47385.18</v>
      </c>
    </row>
    <row r="43" spans="1:6" s="30" customFormat="1">
      <c r="A43" s="29" t="s">
        <v>762</v>
      </c>
      <c r="B43" s="49">
        <v>320258.21999999997</v>
      </c>
      <c r="C43" s="49">
        <v>12453.4</v>
      </c>
      <c r="D43" s="49">
        <v>14965.74</v>
      </c>
      <c r="E43" s="49"/>
      <c r="F43" s="49">
        <f>SUM(Tabela5[[#This Row],[Sprzęt stacjonarny]:[sprzęt użyczony]])</f>
        <v>347677.36</v>
      </c>
    </row>
    <row r="44" spans="1:6" s="30" customFormat="1" ht="30">
      <c r="A44" s="29" t="s">
        <v>802</v>
      </c>
      <c r="B44" s="49">
        <v>36673.58</v>
      </c>
      <c r="C44" s="49">
        <v>25754.9</v>
      </c>
      <c r="D44" s="49">
        <v>13000</v>
      </c>
      <c r="E44" s="49"/>
      <c r="F44" s="49">
        <f>SUM(Tabela5[[#This Row],[Sprzęt stacjonarny]:[sprzęt użyczony]])</f>
        <v>75428.48000000001</v>
      </c>
    </row>
    <row r="45" spans="1:6" s="30" customFormat="1" ht="30">
      <c r="A45" s="29" t="s">
        <v>807</v>
      </c>
      <c r="B45" s="49">
        <v>66139.02</v>
      </c>
      <c r="C45" s="49">
        <v>17511.04</v>
      </c>
      <c r="D45" s="49">
        <v>10905.59</v>
      </c>
      <c r="E45" s="49"/>
      <c r="F45" s="49">
        <f>SUM(Tabela5[[#This Row],[Sprzęt stacjonarny]:[sprzęt użyczony]])</f>
        <v>94555.65</v>
      </c>
    </row>
    <row r="46" spans="1:6" s="30" customFormat="1" ht="30">
      <c r="A46" s="29" t="s">
        <v>860</v>
      </c>
      <c r="B46" s="49">
        <v>14862</v>
      </c>
      <c r="C46" s="49">
        <v>11867</v>
      </c>
      <c r="D46" s="49">
        <v>17086.02</v>
      </c>
      <c r="E46" s="49"/>
      <c r="F46" s="49">
        <f>SUM(Tabela5[[#This Row],[Sprzęt stacjonarny]:[sprzęt użyczony]])</f>
        <v>43815.020000000004</v>
      </c>
    </row>
    <row r="47" spans="1:6" s="30" customFormat="1" ht="30">
      <c r="A47" s="29" t="s">
        <v>1013</v>
      </c>
      <c r="B47" s="49">
        <v>75369.440000000002</v>
      </c>
      <c r="C47" s="49">
        <v>5541</v>
      </c>
      <c r="D47" s="49"/>
      <c r="E47" s="49"/>
      <c r="F47" s="49">
        <f>SUM(Tabela5[[#This Row],[Sprzęt stacjonarny]:[sprzęt użyczony]])</f>
        <v>80910.44</v>
      </c>
    </row>
    <row r="48" spans="1:6" s="30" customFormat="1" ht="60">
      <c r="A48" s="29" t="s">
        <v>892</v>
      </c>
      <c r="B48" s="49">
        <v>384062.69</v>
      </c>
      <c r="C48" s="49">
        <v>33936.320000000007</v>
      </c>
      <c r="D48" s="49">
        <v>19761.400000000001</v>
      </c>
      <c r="E48" s="49"/>
      <c r="F48" s="49">
        <f>SUM(Tabela5[[#This Row],[Sprzęt stacjonarny]:[sprzęt użyczony]])</f>
        <v>437760.41000000003</v>
      </c>
    </row>
    <row r="49" spans="1:6" s="30" customFormat="1" ht="45">
      <c r="A49" s="29" t="s">
        <v>929</v>
      </c>
      <c r="B49" s="49">
        <v>123994.96</v>
      </c>
      <c r="C49" s="49">
        <v>28827.8</v>
      </c>
      <c r="D49" s="49"/>
      <c r="E49" s="49"/>
      <c r="F49" s="49">
        <f>SUM(Tabela5[[#This Row],[Sprzęt stacjonarny]:[sprzęt użyczony]])</f>
        <v>152822.76</v>
      </c>
    </row>
    <row r="50" spans="1:6" s="30" customFormat="1" ht="30">
      <c r="A50" s="29" t="s">
        <v>930</v>
      </c>
      <c r="B50" s="49"/>
      <c r="C50" s="49"/>
      <c r="D50" s="49"/>
      <c r="E50" s="49"/>
      <c r="F50" s="49"/>
    </row>
    <row r="51" spans="1:6" s="30" customFormat="1" ht="30">
      <c r="A51" s="29" t="s">
        <v>1279</v>
      </c>
      <c r="B51" s="49">
        <v>102308.66</v>
      </c>
      <c r="C51" s="49">
        <v>45129.99</v>
      </c>
      <c r="D51" s="49">
        <v>36521.839999999997</v>
      </c>
      <c r="E51" s="49"/>
      <c r="F51" s="49">
        <v>239336</v>
      </c>
    </row>
    <row r="52" spans="1:6" s="30" customFormat="1" ht="45">
      <c r="A52" s="29" t="s">
        <v>1280</v>
      </c>
      <c r="B52" s="49">
        <v>9456.06</v>
      </c>
      <c r="C52" s="49">
        <v>23366.6</v>
      </c>
      <c r="D52" s="49">
        <v>0</v>
      </c>
      <c r="E52" s="49"/>
      <c r="F52" s="49">
        <v>40616.959999999999</v>
      </c>
    </row>
    <row r="53" spans="1:6" s="30" customFormat="1" ht="30">
      <c r="A53" s="29" t="s">
        <v>1035</v>
      </c>
      <c r="B53" s="49">
        <v>87810.57</v>
      </c>
      <c r="C53" s="49">
        <v>28483</v>
      </c>
      <c r="D53" s="49"/>
      <c r="E53" s="49"/>
      <c r="F53" s="49">
        <v>166630.51999999999</v>
      </c>
    </row>
    <row r="54" spans="1:6" s="30" customFormat="1" ht="45">
      <c r="A54" s="29" t="s">
        <v>1824</v>
      </c>
      <c r="B54" s="49">
        <v>8364.5400000000009</v>
      </c>
      <c r="C54" s="49">
        <v>4709.0600000000004</v>
      </c>
      <c r="D54" s="49">
        <v>0</v>
      </c>
      <c r="E54" s="49"/>
      <c r="F54" s="49">
        <v>15905.6</v>
      </c>
    </row>
    <row r="55" spans="1:6" s="30" customFormat="1" ht="30">
      <c r="A55" s="29" t="s">
        <v>1068</v>
      </c>
      <c r="B55" s="49">
        <v>121542.2</v>
      </c>
      <c r="C55" s="49">
        <v>8856.09</v>
      </c>
      <c r="D55" s="49"/>
      <c r="E55" s="49"/>
      <c r="F55" s="49">
        <v>130398.29</v>
      </c>
    </row>
    <row r="56" spans="1:6" s="30" customFormat="1" ht="30">
      <c r="A56" s="29" t="s">
        <v>1069</v>
      </c>
      <c r="B56" s="49">
        <v>57982.86</v>
      </c>
      <c r="C56" s="49">
        <v>4158.3999999999996</v>
      </c>
      <c r="D56" s="49"/>
      <c r="E56" s="49"/>
      <c r="F56" s="49">
        <v>62141.26</v>
      </c>
    </row>
    <row r="57" spans="1:6" s="30" customFormat="1">
      <c r="A57" s="29" t="s">
        <v>1108</v>
      </c>
      <c r="B57" s="49">
        <v>68536.820000000007</v>
      </c>
      <c r="C57" s="49">
        <v>7235</v>
      </c>
      <c r="D57" s="49">
        <v>74224.800000000003</v>
      </c>
      <c r="E57" s="49"/>
      <c r="F57" s="49">
        <v>149996.62</v>
      </c>
    </row>
    <row r="58" spans="1:6" s="30" customFormat="1" ht="45">
      <c r="A58" s="29" t="s">
        <v>1222</v>
      </c>
      <c r="B58" s="49">
        <v>35395.46</v>
      </c>
      <c r="C58" s="49"/>
      <c r="D58" s="49">
        <v>39251.870000000003</v>
      </c>
      <c r="E58" s="49"/>
      <c r="F58" s="49">
        <v>99560.89</v>
      </c>
    </row>
    <row r="59" spans="1:6" s="30" customFormat="1">
      <c r="A59" s="29" t="s">
        <v>1248</v>
      </c>
      <c r="B59" s="49">
        <v>21119.360000000001</v>
      </c>
      <c r="C59" s="49">
        <v>10599</v>
      </c>
      <c r="D59" s="49">
        <v>33500</v>
      </c>
      <c r="E59" s="49"/>
      <c r="F59" s="49">
        <v>96249.39</v>
      </c>
    </row>
    <row r="60" spans="1:6" s="30" customFormat="1">
      <c r="A60" s="29" t="s">
        <v>1274</v>
      </c>
      <c r="B60" s="49">
        <v>3515</v>
      </c>
      <c r="C60" s="49">
        <v>2410</v>
      </c>
      <c r="D60" s="49"/>
      <c r="E60" s="49"/>
      <c r="F60" s="49">
        <v>17173</v>
      </c>
    </row>
    <row r="61" spans="1:6" s="30" customFormat="1" ht="30">
      <c r="A61" s="29" t="s">
        <v>1326</v>
      </c>
      <c r="B61" s="49">
        <v>15823.93</v>
      </c>
      <c r="C61" s="49">
        <v>16784.060000000001</v>
      </c>
      <c r="D61" s="49">
        <v>27000</v>
      </c>
      <c r="E61" s="49"/>
      <c r="F61" s="126">
        <f>SUM(Tabela5[[#This Row],[Sprzęt stacjonarny]:[sprzęt użyczony]])</f>
        <v>59607.990000000005</v>
      </c>
    </row>
    <row r="62" spans="1:6" s="30" customFormat="1" ht="30">
      <c r="A62" s="29" t="s">
        <v>1337</v>
      </c>
      <c r="B62" s="49">
        <v>6742</v>
      </c>
      <c r="C62" s="49">
        <v>12339.01</v>
      </c>
      <c r="D62" s="49"/>
      <c r="E62" s="49"/>
      <c r="F62" s="49">
        <v>33422.020000000004</v>
      </c>
    </row>
    <row r="63" spans="1:6" s="30" customFormat="1" ht="67.5">
      <c r="A63" s="135" t="s">
        <v>1970</v>
      </c>
      <c r="B63" s="49">
        <v>28599.57</v>
      </c>
      <c r="C63" s="49">
        <v>7178</v>
      </c>
      <c r="D63" s="49">
        <v>38491</v>
      </c>
      <c r="E63" s="49"/>
      <c r="F63" s="49">
        <v>74268.570000000007</v>
      </c>
    </row>
    <row r="64" spans="1:6" s="30" customFormat="1" ht="45">
      <c r="A64" s="29" t="s">
        <v>1338</v>
      </c>
      <c r="B64" s="49">
        <v>382963.93</v>
      </c>
      <c r="C64" s="49">
        <v>28309.82</v>
      </c>
      <c r="D64" s="49"/>
      <c r="E64" s="49"/>
      <c r="F64" s="49">
        <v>527053.92999999993</v>
      </c>
    </row>
    <row r="65" spans="1:6" s="30" customFormat="1" ht="45">
      <c r="A65" s="29" t="s">
        <v>1376</v>
      </c>
      <c r="B65" s="49">
        <v>26501.27</v>
      </c>
      <c r="C65" s="49">
        <v>8325.6200000000008</v>
      </c>
      <c r="D65" s="49">
        <v>15189</v>
      </c>
      <c r="E65" s="49"/>
      <c r="F65" s="49">
        <v>53923.88</v>
      </c>
    </row>
    <row r="66" spans="1:6" s="30" customFormat="1" ht="30">
      <c r="A66" s="29" t="s">
        <v>1401</v>
      </c>
      <c r="B66" s="49">
        <v>21698.32</v>
      </c>
      <c r="C66" s="49">
        <v>10729</v>
      </c>
      <c r="D66" s="49"/>
      <c r="E66" s="49"/>
      <c r="F66" s="49">
        <v>32427.32</v>
      </c>
    </row>
    <row r="67" spans="1:6" s="30" customFormat="1" ht="30">
      <c r="A67" s="29" t="s">
        <v>1421</v>
      </c>
      <c r="B67" s="49">
        <v>962177.48</v>
      </c>
      <c r="C67" s="49">
        <v>81490.490000000005</v>
      </c>
      <c r="D67" s="49"/>
      <c r="E67" s="49"/>
      <c r="F67" s="49">
        <v>1474830.06</v>
      </c>
    </row>
    <row r="68" spans="1:6" s="30" customFormat="1" ht="45">
      <c r="A68" s="29" t="s">
        <v>1460</v>
      </c>
      <c r="B68" s="49">
        <v>54041.78</v>
      </c>
      <c r="C68" s="49">
        <v>17808.490000000002</v>
      </c>
      <c r="D68" s="49">
        <v>0</v>
      </c>
      <c r="E68" s="49"/>
      <c r="F68" s="49">
        <v>91038.94</v>
      </c>
    </row>
    <row r="69" spans="1:6" s="30" customFormat="1" ht="45">
      <c r="A69" s="29" t="s">
        <v>1525</v>
      </c>
      <c r="B69" s="49">
        <v>51945.83</v>
      </c>
      <c r="C69" s="49" t="s">
        <v>219</v>
      </c>
      <c r="D69" s="49" t="s">
        <v>219</v>
      </c>
      <c r="E69" s="49"/>
      <c r="F69" s="49">
        <v>73048.010000000009</v>
      </c>
    </row>
    <row r="70" spans="1:6" s="30" customFormat="1" ht="30">
      <c r="A70" s="29" t="s">
        <v>1526</v>
      </c>
      <c r="B70" s="49">
        <v>3536.11</v>
      </c>
      <c r="C70" s="49" t="s">
        <v>219</v>
      </c>
      <c r="D70" s="49"/>
      <c r="E70" s="49"/>
      <c r="F70" s="49">
        <v>3536.11</v>
      </c>
    </row>
    <row r="71" spans="1:6" s="30" customFormat="1" ht="30">
      <c r="A71" s="29" t="s">
        <v>1527</v>
      </c>
      <c r="B71" s="49">
        <v>6334.3600000000006</v>
      </c>
      <c r="C71" s="49" t="s">
        <v>219</v>
      </c>
      <c r="D71" s="49"/>
      <c r="E71" s="49"/>
      <c r="F71" s="49">
        <v>6334.3600000000006</v>
      </c>
    </row>
    <row r="72" spans="1:6" s="30" customFormat="1" ht="30">
      <c r="A72" s="29" t="s">
        <v>1479</v>
      </c>
      <c r="B72" s="49">
        <v>5898.25</v>
      </c>
      <c r="C72" s="49"/>
      <c r="D72" s="49"/>
      <c r="E72" s="49"/>
      <c r="F72" s="49">
        <v>5898.25</v>
      </c>
    </row>
    <row r="73" spans="1:6" s="30" customFormat="1" ht="30">
      <c r="A73" s="29" t="s">
        <v>1528</v>
      </c>
      <c r="B73" s="49">
        <v>6334.3600000000006</v>
      </c>
      <c r="C73" s="49" t="s">
        <v>219</v>
      </c>
      <c r="D73" s="49" t="s">
        <v>219</v>
      </c>
      <c r="E73" s="49"/>
      <c r="F73" s="49">
        <v>6334.3600000000006</v>
      </c>
    </row>
    <row r="74" spans="1:6" s="30" customFormat="1" ht="30">
      <c r="A74" s="29" t="s">
        <v>1529</v>
      </c>
      <c r="B74" s="49">
        <v>3536.11</v>
      </c>
      <c r="C74" s="49" t="s">
        <v>219</v>
      </c>
      <c r="D74" s="49"/>
      <c r="E74" s="49"/>
      <c r="F74" s="49">
        <v>3536.11</v>
      </c>
    </row>
    <row r="75" spans="1:6" s="30" customFormat="1" ht="30">
      <c r="A75" s="29" t="s">
        <v>1530</v>
      </c>
      <c r="B75" s="49">
        <v>3264.2</v>
      </c>
      <c r="C75" s="49"/>
      <c r="D75" s="49"/>
      <c r="E75" s="49"/>
      <c r="F75" s="49">
        <v>3264.2</v>
      </c>
    </row>
    <row r="76" spans="1:6" s="30" customFormat="1" ht="30">
      <c r="A76" s="29" t="s">
        <v>1531</v>
      </c>
      <c r="B76" s="49">
        <v>3536.11</v>
      </c>
      <c r="C76" s="49" t="s">
        <v>219</v>
      </c>
      <c r="D76" s="49" t="s">
        <v>219</v>
      </c>
      <c r="E76" s="49"/>
      <c r="F76" s="49">
        <v>3536.11</v>
      </c>
    </row>
    <row r="77" spans="1:6" s="30" customFormat="1" ht="45">
      <c r="A77" s="29" t="s">
        <v>1532</v>
      </c>
      <c r="B77" s="49">
        <v>6647.35</v>
      </c>
      <c r="C77" s="49" t="s">
        <v>219</v>
      </c>
      <c r="D77" s="49"/>
      <c r="E77" s="49"/>
      <c r="F77" s="49">
        <v>6647.35</v>
      </c>
    </row>
    <row r="78" spans="1:6">
      <c r="A78" s="194"/>
      <c r="B78" s="195">
        <f>SUM([Sprzęt stacjonarny])</f>
        <v>7207281.9700000035</v>
      </c>
      <c r="C78" s="195">
        <f>SUM([Sprzęt przenośny])</f>
        <v>1171498.5900000003</v>
      </c>
      <c r="D78" s="195">
        <f>SUM([Monitoring zewnętrzny i wewnętrzny])</f>
        <v>1168691.94</v>
      </c>
      <c r="E78" s="195">
        <f>SUM([sprzęt użyczony])</f>
        <v>81490</v>
      </c>
      <c r="F78" s="195">
        <f>SUM([Razem])</f>
        <v>10417975.969999997</v>
      </c>
    </row>
    <row r="80" spans="1:6">
      <c r="A80" s="27" t="s">
        <v>84</v>
      </c>
    </row>
    <row r="81" spans="1:6">
      <c r="A81" s="12" t="s">
        <v>85</v>
      </c>
      <c r="B81" s="12"/>
      <c r="C81" s="12"/>
      <c r="D81" s="12"/>
      <c r="E81" s="12"/>
      <c r="F81" s="12"/>
    </row>
    <row r="82" spans="1:6" ht="75.75" customHeight="1">
      <c r="A82" s="201" t="s">
        <v>86</v>
      </c>
      <c r="B82" s="201"/>
      <c r="C82" s="201"/>
      <c r="D82" s="201"/>
      <c r="E82" s="201"/>
      <c r="F82" s="201"/>
    </row>
    <row r="83" spans="1:6" ht="28.5" customHeight="1">
      <c r="A83" s="202" t="s">
        <v>87</v>
      </c>
      <c r="B83" s="202"/>
      <c r="C83" s="202"/>
      <c r="D83" s="202"/>
      <c r="E83" s="202"/>
      <c r="F83" s="202"/>
    </row>
  </sheetData>
  <mergeCells count="4">
    <mergeCell ref="A82:F82"/>
    <mergeCell ref="A83:F83"/>
    <mergeCell ref="A1:D1"/>
    <mergeCell ref="A2:D2"/>
  </mergeCells>
  <phoneticPr fontId="0" type="noConversion"/>
  <pageMargins left="0.75" right="0.75" top="0.83" bottom="1" header="0.5" footer="0.5"/>
  <pageSetup paperSize="9" scale="88" firstPageNumber="25" fitToHeight="2" orientation="landscape" useFirstPageNumber="1" verticalDpi="300" r:id="rId1"/>
  <headerFooter alignWithMargins="0">
    <oddFooter>&amp;R&amp;P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9"/>
  <sheetViews>
    <sheetView view="pageBreakPreview" zoomScale="110" zoomScaleNormal="110" zoomScaleSheetLayoutView="110" workbookViewId="0">
      <selection sqref="A1:L1"/>
    </sheetView>
  </sheetViews>
  <sheetFormatPr defaultRowHeight="15"/>
  <cols>
    <col min="1" max="1" width="18.7109375" style="26" customWidth="1"/>
    <col min="2" max="2" width="18.7109375" style="11" customWidth="1"/>
    <col min="3" max="3" width="13.28515625" style="11" bestFit="1" customWidth="1"/>
    <col min="4" max="4" width="17.7109375" style="11" customWidth="1"/>
    <col min="5" max="5" width="24" style="9" customWidth="1"/>
    <col min="6" max="6" width="15.42578125" style="31" customWidth="1"/>
    <col min="7" max="7" width="13" style="32" bestFit="1" customWidth="1"/>
    <col min="8" max="8" width="7.28515625" style="33" customWidth="1"/>
    <col min="9" max="9" width="14.7109375" style="34" customWidth="1"/>
    <col min="10" max="10" width="30" style="35" customWidth="1"/>
    <col min="11" max="11" width="11.140625" style="35" customWidth="1"/>
    <col min="12" max="12" width="6.85546875" style="9" customWidth="1"/>
    <col min="13" max="14" width="9.140625" style="9" hidden="1" customWidth="1"/>
    <col min="15" max="16384" width="9.140625" style="9"/>
  </cols>
  <sheetData>
    <row r="1" spans="1:12" ht="16.5" customHeight="1">
      <c r="A1" s="205" t="s">
        <v>2007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12" ht="17.25" customHeight="1" thickBot="1">
      <c r="A2" s="206" t="s">
        <v>2008</v>
      </c>
      <c r="B2" s="206"/>
      <c r="C2" s="206"/>
      <c r="D2" s="206"/>
      <c r="E2" s="206"/>
      <c r="F2" s="206"/>
      <c r="G2" s="182"/>
      <c r="H2" s="183"/>
      <c r="I2" s="184"/>
      <c r="J2" s="185"/>
      <c r="K2" s="186"/>
      <c r="L2" s="186"/>
    </row>
    <row r="3" spans="1:12" ht="24.75" customHeight="1">
      <c r="A3" s="86" t="s">
        <v>15</v>
      </c>
      <c r="B3" s="87" t="s">
        <v>35</v>
      </c>
      <c r="C3" s="89" t="s">
        <v>36</v>
      </c>
      <c r="D3" s="87" t="s">
        <v>89</v>
      </c>
      <c r="E3" s="87" t="s">
        <v>38</v>
      </c>
      <c r="F3" s="118" t="s">
        <v>3</v>
      </c>
      <c r="G3" s="89" t="s">
        <v>4</v>
      </c>
      <c r="H3" s="89" t="s">
        <v>5</v>
      </c>
      <c r="I3" s="119" t="s">
        <v>8</v>
      </c>
      <c r="J3" s="87" t="s">
        <v>37</v>
      </c>
      <c r="K3" s="120" t="s">
        <v>9</v>
      </c>
    </row>
    <row r="4" spans="1:12" ht="25.5">
      <c r="A4" s="112" t="s">
        <v>1705</v>
      </c>
      <c r="B4" s="57" t="s">
        <v>1552</v>
      </c>
      <c r="C4" s="57" t="s">
        <v>1706</v>
      </c>
      <c r="D4" s="107" t="s">
        <v>1707</v>
      </c>
      <c r="E4" s="57" t="s">
        <v>1708</v>
      </c>
      <c r="F4" s="58">
        <v>8761005541</v>
      </c>
      <c r="G4" s="59" t="s">
        <v>1709</v>
      </c>
      <c r="H4" s="59" t="s">
        <v>1710</v>
      </c>
      <c r="I4" s="60" t="s">
        <v>1711</v>
      </c>
      <c r="J4" s="60"/>
      <c r="K4" s="60"/>
    </row>
    <row r="5" spans="1:12" ht="38.25">
      <c r="A5" s="51" t="s">
        <v>1893</v>
      </c>
      <c r="B5" s="51" t="s">
        <v>1894</v>
      </c>
      <c r="C5" s="51"/>
      <c r="D5" s="53"/>
      <c r="E5" s="51"/>
      <c r="F5" s="54" t="s">
        <v>1895</v>
      </c>
      <c r="G5" s="52" t="s">
        <v>1896</v>
      </c>
      <c r="H5" s="52"/>
      <c r="I5" s="55"/>
      <c r="J5" s="55"/>
      <c r="K5" s="55"/>
    </row>
    <row r="6" spans="1:12" ht="38.25">
      <c r="A6" s="51" t="s">
        <v>1897</v>
      </c>
      <c r="B6" s="51" t="s">
        <v>1898</v>
      </c>
      <c r="C6" s="51"/>
      <c r="D6" s="53"/>
      <c r="E6" s="51"/>
      <c r="F6" s="54" t="s">
        <v>1899</v>
      </c>
      <c r="G6" s="52" t="s">
        <v>1900</v>
      </c>
      <c r="H6" s="52"/>
      <c r="I6" s="55"/>
      <c r="J6" s="55"/>
      <c r="K6" s="55"/>
    </row>
    <row r="7" spans="1:12" ht="25.5">
      <c r="A7" s="51" t="s">
        <v>1901</v>
      </c>
      <c r="B7" s="51" t="s">
        <v>1902</v>
      </c>
      <c r="C7" s="51" t="s">
        <v>1903</v>
      </c>
      <c r="D7" s="53" t="s">
        <v>1904</v>
      </c>
      <c r="E7" s="51"/>
      <c r="F7" s="54"/>
      <c r="G7" s="52"/>
      <c r="H7" s="52"/>
      <c r="I7" s="55"/>
      <c r="J7" s="55"/>
      <c r="K7" s="55"/>
    </row>
    <row r="8" spans="1:12" ht="38.25">
      <c r="A8" s="51" t="s">
        <v>1550</v>
      </c>
      <c r="B8" s="51" t="s">
        <v>1905</v>
      </c>
      <c r="C8" s="51"/>
      <c r="D8" s="53"/>
      <c r="E8" s="51"/>
      <c r="F8" s="54" t="s">
        <v>1906</v>
      </c>
      <c r="G8" s="52"/>
      <c r="H8" s="52">
        <v>9133</v>
      </c>
      <c r="I8" s="55"/>
      <c r="J8" s="55"/>
      <c r="K8" s="55"/>
    </row>
    <row r="9" spans="1:12" ht="38.25">
      <c r="A9" s="51" t="s">
        <v>1939</v>
      </c>
      <c r="B9" s="51" t="s">
        <v>1940</v>
      </c>
      <c r="C9" s="51">
        <v>564510395</v>
      </c>
      <c r="D9" s="53" t="s">
        <v>1941</v>
      </c>
      <c r="E9" s="51" t="s">
        <v>1942</v>
      </c>
      <c r="F9" s="54">
        <v>8762403226</v>
      </c>
      <c r="G9" s="52" t="s">
        <v>1943</v>
      </c>
      <c r="H9" s="52"/>
      <c r="I9" s="55">
        <v>32</v>
      </c>
      <c r="J9" s="55"/>
      <c r="K9" s="55"/>
    </row>
    <row r="10" spans="1:12" ht="38.25">
      <c r="A10" s="112" t="s">
        <v>540</v>
      </c>
      <c r="B10" s="57" t="s">
        <v>550</v>
      </c>
      <c r="C10" s="59" t="s">
        <v>551</v>
      </c>
      <c r="D10" s="107" t="s">
        <v>552</v>
      </c>
      <c r="E10" s="57" t="s">
        <v>553</v>
      </c>
      <c r="F10" s="58" t="s">
        <v>554</v>
      </c>
      <c r="G10" s="59" t="s">
        <v>555</v>
      </c>
      <c r="H10" s="59"/>
      <c r="I10" s="60">
        <v>62.68</v>
      </c>
      <c r="J10" s="60">
        <v>39.68</v>
      </c>
      <c r="K10" s="60">
        <v>461</v>
      </c>
    </row>
    <row r="11" spans="1:12" ht="36">
      <c r="A11" s="51" t="s">
        <v>1951</v>
      </c>
      <c r="B11" s="51" t="s">
        <v>1961</v>
      </c>
      <c r="C11" s="52">
        <v>564622801</v>
      </c>
      <c r="D11" s="53" t="s">
        <v>1962</v>
      </c>
      <c r="E11" s="51" t="s">
        <v>1963</v>
      </c>
      <c r="F11" s="54">
        <v>8762443616</v>
      </c>
      <c r="G11" s="52" t="s">
        <v>1964</v>
      </c>
      <c r="H11" s="52" t="s">
        <v>1965</v>
      </c>
      <c r="I11" s="55">
        <v>38</v>
      </c>
      <c r="J11" s="55">
        <v>21</v>
      </c>
      <c r="K11" s="55">
        <v>225</v>
      </c>
    </row>
    <row r="12" spans="1:12" ht="25.5">
      <c r="A12" s="112" t="s">
        <v>1850</v>
      </c>
      <c r="B12" s="57" t="s">
        <v>1846</v>
      </c>
      <c r="C12" s="59">
        <v>564638706</v>
      </c>
      <c r="D12" s="107" t="s">
        <v>1851</v>
      </c>
      <c r="E12" s="57" t="s">
        <v>1852</v>
      </c>
      <c r="F12" s="58">
        <v>8762443869</v>
      </c>
      <c r="G12" s="59" t="s">
        <v>1853</v>
      </c>
      <c r="H12" s="59"/>
      <c r="I12" s="60">
        <v>36</v>
      </c>
      <c r="J12" s="60">
        <v>21</v>
      </c>
      <c r="K12" s="60">
        <v>301</v>
      </c>
    </row>
    <row r="13" spans="1:12" ht="25.5">
      <c r="A13" s="112" t="s">
        <v>556</v>
      </c>
      <c r="B13" s="57" t="s">
        <v>574</v>
      </c>
      <c r="C13" s="59">
        <v>564651653</v>
      </c>
      <c r="D13" s="107" t="s">
        <v>575</v>
      </c>
      <c r="E13" s="57" t="s">
        <v>576</v>
      </c>
      <c r="F13" s="58">
        <v>8762443875</v>
      </c>
      <c r="G13" s="59" t="s">
        <v>577</v>
      </c>
      <c r="H13" s="59"/>
      <c r="I13" s="60">
        <v>16</v>
      </c>
      <c r="J13" s="60">
        <v>9</v>
      </c>
      <c r="K13" s="60">
        <v>112</v>
      </c>
    </row>
    <row r="14" spans="1:12" ht="25.5">
      <c r="A14" s="112" t="s">
        <v>596</v>
      </c>
      <c r="B14" s="57" t="s">
        <v>599</v>
      </c>
      <c r="C14" s="59"/>
      <c r="D14" s="107"/>
      <c r="E14" s="57"/>
      <c r="F14" s="58"/>
      <c r="G14" s="59"/>
      <c r="H14" s="59"/>
      <c r="I14" s="60"/>
      <c r="J14" s="60"/>
      <c r="K14" s="60"/>
    </row>
    <row r="15" spans="1:12" ht="38.25">
      <c r="A15" s="112" t="s">
        <v>600</v>
      </c>
      <c r="B15" s="57" t="s">
        <v>1907</v>
      </c>
      <c r="C15" s="59"/>
      <c r="D15" s="107"/>
      <c r="E15" s="57"/>
      <c r="F15" s="58" t="s">
        <v>1908</v>
      </c>
      <c r="G15" s="59">
        <v>870002695</v>
      </c>
      <c r="H15" s="59" t="s">
        <v>1909</v>
      </c>
      <c r="I15" s="60">
        <v>42</v>
      </c>
      <c r="J15" s="60"/>
      <c r="K15" s="60"/>
    </row>
    <row r="16" spans="1:12" ht="38.25">
      <c r="A16" s="112" t="s">
        <v>630</v>
      </c>
      <c r="B16" s="57" t="s">
        <v>625</v>
      </c>
      <c r="C16" s="59" t="s">
        <v>626</v>
      </c>
      <c r="D16" s="107" t="s">
        <v>627</v>
      </c>
      <c r="E16" s="57" t="s">
        <v>628</v>
      </c>
      <c r="F16" s="58">
        <v>8762443645</v>
      </c>
      <c r="G16" s="59" t="s">
        <v>629</v>
      </c>
      <c r="H16" s="59"/>
      <c r="I16" s="60">
        <v>24</v>
      </c>
      <c r="J16" s="60">
        <v>14</v>
      </c>
      <c r="K16" s="60">
        <v>204</v>
      </c>
    </row>
    <row r="17" spans="1:11" ht="25.5">
      <c r="A17" s="112" t="s">
        <v>641</v>
      </c>
      <c r="B17" s="57" t="s">
        <v>642</v>
      </c>
      <c r="C17" s="59" t="s">
        <v>643</v>
      </c>
      <c r="D17" s="107" t="s">
        <v>644</v>
      </c>
      <c r="E17" s="57" t="s">
        <v>645</v>
      </c>
      <c r="F17" s="58">
        <v>8762443881</v>
      </c>
      <c r="G17" s="59" t="s">
        <v>646</v>
      </c>
      <c r="H17" s="59"/>
      <c r="I17" s="60">
        <v>47</v>
      </c>
      <c r="J17" s="60">
        <v>28</v>
      </c>
      <c r="K17" s="60">
        <v>395</v>
      </c>
    </row>
    <row r="18" spans="1:11" s="56" customFormat="1" ht="25.5">
      <c r="A18" s="112" t="s">
        <v>116</v>
      </c>
      <c r="B18" s="57" t="s">
        <v>104</v>
      </c>
      <c r="C18" s="59">
        <v>564613752</v>
      </c>
      <c r="D18" s="107" t="s">
        <v>117</v>
      </c>
      <c r="E18" s="57" t="s">
        <v>118</v>
      </c>
      <c r="F18" s="58" t="s">
        <v>119</v>
      </c>
      <c r="G18" s="59" t="s">
        <v>120</v>
      </c>
      <c r="H18" s="59" t="s">
        <v>121</v>
      </c>
      <c r="I18" s="60">
        <v>37</v>
      </c>
      <c r="J18" s="60">
        <v>26</v>
      </c>
      <c r="K18" s="60">
        <v>260</v>
      </c>
    </row>
    <row r="19" spans="1:11" s="56" customFormat="1" ht="25.5">
      <c r="A19" s="112" t="s">
        <v>122</v>
      </c>
      <c r="B19" s="57" t="s">
        <v>130</v>
      </c>
      <c r="C19" s="59" t="s">
        <v>131</v>
      </c>
      <c r="D19" s="107" t="s">
        <v>132</v>
      </c>
      <c r="E19" s="57" t="s">
        <v>133</v>
      </c>
      <c r="F19" s="58" t="s">
        <v>134</v>
      </c>
      <c r="G19" s="59" t="s">
        <v>135</v>
      </c>
      <c r="H19" s="59" t="s">
        <v>136</v>
      </c>
      <c r="I19" s="60">
        <v>23</v>
      </c>
      <c r="J19" s="60">
        <v>15</v>
      </c>
      <c r="K19" s="60">
        <v>154</v>
      </c>
    </row>
    <row r="20" spans="1:11" s="56" customFormat="1" ht="25.5">
      <c r="A20" s="112" t="s">
        <v>143</v>
      </c>
      <c r="B20" s="57" t="s">
        <v>144</v>
      </c>
      <c r="C20" s="59">
        <v>564613104</v>
      </c>
      <c r="D20" s="107" t="s">
        <v>145</v>
      </c>
      <c r="E20" s="57" t="s">
        <v>146</v>
      </c>
      <c r="F20" s="58" t="s">
        <v>147</v>
      </c>
      <c r="G20" s="59" t="s">
        <v>148</v>
      </c>
      <c r="H20" s="59"/>
      <c r="I20" s="60">
        <v>64</v>
      </c>
      <c r="J20" s="60">
        <v>50</v>
      </c>
      <c r="K20" s="60">
        <v>584</v>
      </c>
    </row>
    <row r="21" spans="1:11" s="56" customFormat="1" ht="25.5">
      <c r="A21" s="112" t="s">
        <v>1910</v>
      </c>
      <c r="B21" s="57" t="s">
        <v>166</v>
      </c>
      <c r="C21" s="59" t="s">
        <v>167</v>
      </c>
      <c r="D21" s="107"/>
      <c r="E21" s="57"/>
      <c r="F21" s="58" t="s">
        <v>168</v>
      </c>
      <c r="G21" s="59" t="s">
        <v>169</v>
      </c>
      <c r="H21" s="59" t="s">
        <v>170</v>
      </c>
      <c r="I21" s="60">
        <v>50</v>
      </c>
      <c r="J21" s="60">
        <v>37</v>
      </c>
      <c r="K21" s="60">
        <v>449</v>
      </c>
    </row>
    <row r="22" spans="1:11" s="56" customFormat="1" ht="63.75">
      <c r="A22" s="112" t="s">
        <v>172</v>
      </c>
      <c r="B22" s="57" t="s">
        <v>173</v>
      </c>
      <c r="C22" s="57" t="s">
        <v>180</v>
      </c>
      <c r="D22" s="108" t="s">
        <v>181</v>
      </c>
      <c r="E22" s="57" t="s">
        <v>182</v>
      </c>
      <c r="F22" s="58" t="s">
        <v>183</v>
      </c>
      <c r="G22" s="59" t="s">
        <v>184</v>
      </c>
      <c r="H22" s="59" t="s">
        <v>185</v>
      </c>
      <c r="I22" s="109">
        <v>42</v>
      </c>
      <c r="J22" s="57">
        <v>30</v>
      </c>
      <c r="K22" s="57">
        <v>341</v>
      </c>
    </row>
    <row r="23" spans="1:11" s="56" customFormat="1" ht="38.25">
      <c r="A23" s="112" t="s">
        <v>1773</v>
      </c>
      <c r="B23" s="57" t="s">
        <v>1788</v>
      </c>
      <c r="C23" s="57">
        <v>564627408</v>
      </c>
      <c r="D23" s="107" t="s">
        <v>1789</v>
      </c>
      <c r="E23" s="57" t="s">
        <v>1790</v>
      </c>
      <c r="F23" s="58">
        <v>8761717052</v>
      </c>
      <c r="G23" s="59" t="s">
        <v>1791</v>
      </c>
      <c r="H23" s="59" t="s">
        <v>170</v>
      </c>
      <c r="I23" s="60">
        <v>68</v>
      </c>
      <c r="J23" s="60">
        <v>51</v>
      </c>
      <c r="K23" s="60">
        <v>499</v>
      </c>
    </row>
    <row r="24" spans="1:11" s="56" customFormat="1" ht="25.5">
      <c r="A24" s="112" t="s">
        <v>189</v>
      </c>
      <c r="B24" s="57" t="s">
        <v>190</v>
      </c>
      <c r="C24" s="59" t="s">
        <v>191</v>
      </c>
      <c r="D24" s="107" t="s">
        <v>192</v>
      </c>
      <c r="E24" s="57" t="s">
        <v>193</v>
      </c>
      <c r="F24" s="58" t="s">
        <v>194</v>
      </c>
      <c r="G24" s="59" t="s">
        <v>195</v>
      </c>
      <c r="H24" s="59" t="s">
        <v>170</v>
      </c>
      <c r="I24" s="60">
        <v>50</v>
      </c>
      <c r="J24" s="60">
        <v>39</v>
      </c>
      <c r="K24" s="60">
        <v>504</v>
      </c>
    </row>
    <row r="25" spans="1:11" s="56" customFormat="1" ht="25.5">
      <c r="A25" s="112" t="s">
        <v>197</v>
      </c>
      <c r="B25" s="57" t="s">
        <v>203</v>
      </c>
      <c r="C25" s="59">
        <v>564650207</v>
      </c>
      <c r="D25" s="107" t="s">
        <v>204</v>
      </c>
      <c r="E25" s="57" t="s">
        <v>205</v>
      </c>
      <c r="F25" s="58" t="s">
        <v>206</v>
      </c>
      <c r="G25" s="59" t="s">
        <v>207</v>
      </c>
      <c r="H25" s="59" t="s">
        <v>208</v>
      </c>
      <c r="I25" s="60">
        <v>51</v>
      </c>
      <c r="J25" s="60">
        <v>40</v>
      </c>
      <c r="K25" s="60">
        <v>470</v>
      </c>
    </row>
    <row r="26" spans="1:11" s="56" customFormat="1" ht="25.5">
      <c r="A26" s="112" t="s">
        <v>211</v>
      </c>
      <c r="B26" s="57" t="s">
        <v>212</v>
      </c>
      <c r="C26" s="59" t="s">
        <v>229</v>
      </c>
      <c r="D26" s="107" t="s">
        <v>230</v>
      </c>
      <c r="E26" s="57" t="s">
        <v>231</v>
      </c>
      <c r="F26" s="58" t="s">
        <v>232</v>
      </c>
      <c r="G26" s="59" t="s">
        <v>233</v>
      </c>
      <c r="H26" s="59" t="s">
        <v>234</v>
      </c>
      <c r="I26" s="60">
        <v>40</v>
      </c>
      <c r="J26" s="60">
        <v>28</v>
      </c>
      <c r="K26" s="60">
        <v>266</v>
      </c>
    </row>
    <row r="27" spans="1:11" s="56" customFormat="1" ht="25.5">
      <c r="A27" s="112" t="s">
        <v>241</v>
      </c>
      <c r="B27" s="57" t="s">
        <v>243</v>
      </c>
      <c r="C27" s="59" t="s">
        <v>244</v>
      </c>
      <c r="D27" s="107" t="s">
        <v>245</v>
      </c>
      <c r="E27" s="57" t="s">
        <v>246</v>
      </c>
      <c r="F27" s="58" t="s">
        <v>247</v>
      </c>
      <c r="G27" s="59" t="s">
        <v>248</v>
      </c>
      <c r="H27" s="59" t="s">
        <v>249</v>
      </c>
      <c r="I27" s="60">
        <v>54</v>
      </c>
      <c r="J27" s="60">
        <v>44</v>
      </c>
      <c r="K27" s="60">
        <v>291</v>
      </c>
    </row>
    <row r="28" spans="1:11" s="56" customFormat="1" ht="38.25">
      <c r="A28" s="112" t="s">
        <v>298</v>
      </c>
      <c r="B28" s="57" t="s">
        <v>299</v>
      </c>
      <c r="C28" s="59">
        <v>564622657</v>
      </c>
      <c r="D28" s="107" t="s">
        <v>300</v>
      </c>
      <c r="E28" s="57" t="s">
        <v>301</v>
      </c>
      <c r="F28" s="58" t="s">
        <v>302</v>
      </c>
      <c r="G28" s="59" t="s">
        <v>303</v>
      </c>
      <c r="H28" s="59" t="s">
        <v>304</v>
      </c>
      <c r="I28" s="60">
        <v>69</v>
      </c>
      <c r="J28" s="60">
        <v>56</v>
      </c>
      <c r="K28" s="60">
        <v>592</v>
      </c>
    </row>
    <row r="29" spans="1:11" s="56" customFormat="1" ht="24">
      <c r="A29" s="112" t="s">
        <v>308</v>
      </c>
      <c r="B29" s="57" t="s">
        <v>307</v>
      </c>
      <c r="C29" s="59" t="s">
        <v>309</v>
      </c>
      <c r="D29" s="107" t="s">
        <v>310</v>
      </c>
      <c r="E29" s="57" t="s">
        <v>311</v>
      </c>
      <c r="F29" s="58" t="s">
        <v>312</v>
      </c>
      <c r="G29" s="59" t="s">
        <v>313</v>
      </c>
      <c r="H29" s="59" t="s">
        <v>234</v>
      </c>
      <c r="I29" s="60">
        <v>28</v>
      </c>
      <c r="J29" s="60">
        <v>23</v>
      </c>
      <c r="K29" s="60">
        <v>220</v>
      </c>
    </row>
    <row r="30" spans="1:11" s="56" customFormat="1" ht="12.75">
      <c r="A30" s="112" t="s">
        <v>332</v>
      </c>
      <c r="B30" s="57" t="s">
        <v>317</v>
      </c>
      <c r="C30" s="59">
        <v>564613698</v>
      </c>
      <c r="D30" s="107" t="s">
        <v>1911</v>
      </c>
      <c r="E30" s="57" t="s">
        <v>1912</v>
      </c>
      <c r="F30" s="58">
        <v>8762046849</v>
      </c>
      <c r="G30" s="59" t="s">
        <v>1913</v>
      </c>
      <c r="H30" s="59" t="s">
        <v>1914</v>
      </c>
      <c r="I30" s="60">
        <v>33</v>
      </c>
      <c r="J30" s="60">
        <v>25</v>
      </c>
      <c r="K30" s="60">
        <v>194</v>
      </c>
    </row>
    <row r="31" spans="1:11" s="56" customFormat="1" ht="25.5">
      <c r="A31" s="112" t="s">
        <v>333</v>
      </c>
      <c r="B31" s="57" t="s">
        <v>350</v>
      </c>
      <c r="C31" s="59">
        <v>564622942</v>
      </c>
      <c r="D31" s="107" t="s">
        <v>351</v>
      </c>
      <c r="E31" s="57" t="s">
        <v>352</v>
      </c>
      <c r="F31" s="58">
        <v>8761374391</v>
      </c>
      <c r="G31" s="59" t="s">
        <v>353</v>
      </c>
      <c r="H31" s="59"/>
      <c r="I31" s="60">
        <v>58</v>
      </c>
      <c r="J31" s="60">
        <v>46</v>
      </c>
      <c r="K31" s="60">
        <v>600</v>
      </c>
    </row>
    <row r="32" spans="1:11" s="56" customFormat="1" ht="51">
      <c r="A32" s="112" t="s">
        <v>364</v>
      </c>
      <c r="B32" s="57" t="s">
        <v>365</v>
      </c>
      <c r="C32" s="59" t="s">
        <v>366</v>
      </c>
      <c r="D32" s="107" t="s">
        <v>367</v>
      </c>
      <c r="E32" s="57" t="s">
        <v>368</v>
      </c>
      <c r="F32" s="58" t="s">
        <v>369</v>
      </c>
      <c r="G32" s="59" t="s">
        <v>370</v>
      </c>
      <c r="H32" s="59" t="s">
        <v>371</v>
      </c>
      <c r="I32" s="60">
        <v>50</v>
      </c>
      <c r="J32" s="60">
        <v>40</v>
      </c>
      <c r="K32" s="60">
        <v>522</v>
      </c>
    </row>
    <row r="33" spans="1:11" s="56" customFormat="1" ht="25.5">
      <c r="A33" s="112" t="s">
        <v>375</v>
      </c>
      <c r="B33" s="57" t="s">
        <v>376</v>
      </c>
      <c r="C33" s="59" t="s">
        <v>377</v>
      </c>
      <c r="D33" s="107" t="s">
        <v>378</v>
      </c>
      <c r="E33" s="57" t="s">
        <v>379</v>
      </c>
      <c r="F33" s="58">
        <v>8762260169</v>
      </c>
      <c r="G33" s="59" t="s">
        <v>380</v>
      </c>
      <c r="H33" s="59" t="s">
        <v>381</v>
      </c>
      <c r="I33" s="60">
        <v>38</v>
      </c>
      <c r="J33" s="60">
        <v>29</v>
      </c>
      <c r="K33" s="60">
        <v>323</v>
      </c>
    </row>
    <row r="34" spans="1:11" s="56" customFormat="1" ht="25.5">
      <c r="A34" s="112" t="s">
        <v>396</v>
      </c>
      <c r="B34" s="57" t="s">
        <v>397</v>
      </c>
      <c r="C34" s="59" t="s">
        <v>398</v>
      </c>
      <c r="D34" s="107" t="s">
        <v>399</v>
      </c>
      <c r="E34" s="57" t="s">
        <v>400</v>
      </c>
      <c r="F34" s="58" t="s">
        <v>401</v>
      </c>
      <c r="G34" s="59" t="s">
        <v>402</v>
      </c>
      <c r="H34" s="59"/>
      <c r="I34" s="60">
        <v>48</v>
      </c>
      <c r="J34" s="60">
        <v>35</v>
      </c>
      <c r="K34" s="60">
        <v>343</v>
      </c>
    </row>
    <row r="35" spans="1:11" s="56" customFormat="1" ht="38.25">
      <c r="A35" s="112" t="s">
        <v>403</v>
      </c>
      <c r="B35" s="57" t="s">
        <v>410</v>
      </c>
      <c r="C35" s="59" t="s">
        <v>411</v>
      </c>
      <c r="D35" s="107" t="s">
        <v>412</v>
      </c>
      <c r="E35" s="57" t="s">
        <v>413</v>
      </c>
      <c r="F35" s="58" t="s">
        <v>414</v>
      </c>
      <c r="G35" s="59" t="s">
        <v>415</v>
      </c>
      <c r="H35" s="59" t="s">
        <v>416</v>
      </c>
      <c r="I35" s="60">
        <v>51</v>
      </c>
      <c r="J35" s="60">
        <v>38</v>
      </c>
      <c r="K35" s="60">
        <v>359</v>
      </c>
    </row>
    <row r="36" spans="1:11" s="56" customFormat="1" ht="38.25">
      <c r="A36" s="112" t="s">
        <v>417</v>
      </c>
      <c r="B36" s="57" t="s">
        <v>442</v>
      </c>
      <c r="C36" s="59" t="s">
        <v>443</v>
      </c>
      <c r="D36" s="107" t="s">
        <v>444</v>
      </c>
      <c r="E36" s="57" t="s">
        <v>445</v>
      </c>
      <c r="F36" s="57">
        <v>8762229544</v>
      </c>
      <c r="G36" s="59" t="s">
        <v>446</v>
      </c>
      <c r="H36" s="59" t="s">
        <v>447</v>
      </c>
      <c r="I36" s="60">
        <v>95.55</v>
      </c>
      <c r="J36" s="60">
        <v>68.05</v>
      </c>
      <c r="K36" s="60">
        <v>752</v>
      </c>
    </row>
    <row r="37" spans="1:11" s="56" customFormat="1" ht="63.75">
      <c r="A37" s="112" t="s">
        <v>474</v>
      </c>
      <c r="B37" s="57" t="s">
        <v>475</v>
      </c>
      <c r="C37" s="59">
        <v>564631576</v>
      </c>
      <c r="D37" s="107" t="s">
        <v>476</v>
      </c>
      <c r="E37" s="57" t="s">
        <v>477</v>
      </c>
      <c r="F37" s="58" t="s">
        <v>478</v>
      </c>
      <c r="G37" s="59" t="s">
        <v>479</v>
      </c>
      <c r="H37" s="59"/>
      <c r="I37" s="60">
        <v>117</v>
      </c>
      <c r="J37" s="60">
        <v>89</v>
      </c>
      <c r="K37" s="60" t="s">
        <v>480</v>
      </c>
    </row>
    <row r="38" spans="1:11" s="56" customFormat="1" ht="38.25">
      <c r="A38" s="112" t="s">
        <v>481</v>
      </c>
      <c r="B38" s="57" t="s">
        <v>483</v>
      </c>
      <c r="C38" s="59" t="s">
        <v>493</v>
      </c>
      <c r="D38" s="107" t="s">
        <v>494</v>
      </c>
      <c r="E38" s="57" t="s">
        <v>495</v>
      </c>
      <c r="F38" s="58" t="s">
        <v>496</v>
      </c>
      <c r="G38" s="59" t="s">
        <v>497</v>
      </c>
      <c r="H38" s="59"/>
      <c r="I38" s="60">
        <v>36</v>
      </c>
      <c r="J38" s="60">
        <v>25</v>
      </c>
      <c r="K38" s="60">
        <v>248</v>
      </c>
    </row>
    <row r="39" spans="1:11" s="56" customFormat="1" ht="38.25">
      <c r="A39" s="112" t="s">
        <v>515</v>
      </c>
      <c r="B39" s="57" t="s">
        <v>516</v>
      </c>
      <c r="C39" s="59" t="s">
        <v>517</v>
      </c>
      <c r="D39" s="107" t="s">
        <v>518</v>
      </c>
      <c r="E39" s="57" t="s">
        <v>519</v>
      </c>
      <c r="F39" s="58" t="s">
        <v>520</v>
      </c>
      <c r="G39" s="59" t="s">
        <v>521</v>
      </c>
      <c r="H39" s="59" t="s">
        <v>522</v>
      </c>
      <c r="I39" s="60">
        <v>118</v>
      </c>
      <c r="J39" s="60">
        <v>88</v>
      </c>
      <c r="K39" s="60">
        <v>1000</v>
      </c>
    </row>
    <row r="40" spans="1:11" s="56" customFormat="1" ht="25.5">
      <c r="A40" s="112" t="s">
        <v>648</v>
      </c>
      <c r="B40" s="57" t="s">
        <v>653</v>
      </c>
      <c r="C40" s="59" t="s">
        <v>654</v>
      </c>
      <c r="D40" s="107" t="s">
        <v>655</v>
      </c>
      <c r="E40" s="57" t="s">
        <v>656</v>
      </c>
      <c r="F40" s="58">
        <v>8761370660</v>
      </c>
      <c r="G40" s="59" t="s">
        <v>657</v>
      </c>
      <c r="H40" s="59" t="s">
        <v>658</v>
      </c>
      <c r="I40" s="60">
        <v>51</v>
      </c>
      <c r="J40" s="60">
        <v>39</v>
      </c>
      <c r="K40" s="60">
        <v>327</v>
      </c>
    </row>
    <row r="41" spans="1:11" s="56" customFormat="1" ht="38.25">
      <c r="A41" s="112" t="s">
        <v>1792</v>
      </c>
      <c r="B41" s="57" t="s">
        <v>1805</v>
      </c>
      <c r="C41" s="59" t="s">
        <v>1806</v>
      </c>
      <c r="D41" s="107" t="s">
        <v>1807</v>
      </c>
      <c r="E41" s="57" t="s">
        <v>1808</v>
      </c>
      <c r="F41" s="58" t="s">
        <v>1809</v>
      </c>
      <c r="G41" s="59" t="s">
        <v>1810</v>
      </c>
      <c r="H41" s="59"/>
      <c r="I41" s="60">
        <v>40.39</v>
      </c>
      <c r="J41" s="60">
        <v>29.89</v>
      </c>
      <c r="K41" s="60">
        <v>441</v>
      </c>
    </row>
    <row r="42" spans="1:11" s="56" customFormat="1" ht="25.5">
      <c r="A42" s="112" t="s">
        <v>695</v>
      </c>
      <c r="B42" s="57" t="s">
        <v>696</v>
      </c>
      <c r="C42" s="59" t="s">
        <v>697</v>
      </c>
      <c r="D42" s="107" t="s">
        <v>698</v>
      </c>
      <c r="E42" s="57"/>
      <c r="F42" s="58" t="s">
        <v>699</v>
      </c>
      <c r="G42" s="59" t="s">
        <v>700</v>
      </c>
      <c r="H42" s="59" t="s">
        <v>658</v>
      </c>
      <c r="I42" s="60">
        <v>65</v>
      </c>
      <c r="J42" s="60">
        <v>46</v>
      </c>
      <c r="K42" s="60">
        <v>389</v>
      </c>
    </row>
    <row r="43" spans="1:11" s="56" customFormat="1" ht="25.5">
      <c r="A43" s="112" t="s">
        <v>748</v>
      </c>
      <c r="B43" s="57" t="s">
        <v>737</v>
      </c>
      <c r="C43" s="59">
        <v>564613598</v>
      </c>
      <c r="D43" s="107" t="s">
        <v>759</v>
      </c>
      <c r="E43" s="57" t="s">
        <v>760</v>
      </c>
      <c r="F43" s="58">
        <v>8762197353</v>
      </c>
      <c r="G43" s="59" t="s">
        <v>761</v>
      </c>
      <c r="H43" s="59"/>
      <c r="I43" s="60">
        <v>62</v>
      </c>
      <c r="J43" s="60">
        <v>48</v>
      </c>
      <c r="K43" s="60">
        <v>119</v>
      </c>
    </row>
    <row r="44" spans="1:11" s="56" customFormat="1" ht="25.5">
      <c r="A44" s="112" t="s">
        <v>762</v>
      </c>
      <c r="B44" s="57" t="s">
        <v>771</v>
      </c>
      <c r="C44" s="59">
        <v>564658383</v>
      </c>
      <c r="D44" s="107" t="s">
        <v>772</v>
      </c>
      <c r="E44" s="57" t="s">
        <v>773</v>
      </c>
      <c r="F44" s="58" t="s">
        <v>774</v>
      </c>
      <c r="G44" s="59" t="s">
        <v>775</v>
      </c>
      <c r="H44" s="59" t="s">
        <v>447</v>
      </c>
      <c r="I44" s="60">
        <v>85</v>
      </c>
      <c r="J44" s="60">
        <v>67</v>
      </c>
      <c r="K44" s="60">
        <v>563</v>
      </c>
    </row>
    <row r="45" spans="1:11" s="56" customFormat="1" ht="38.25">
      <c r="A45" s="112" t="s">
        <v>776</v>
      </c>
      <c r="B45" s="57" t="s">
        <v>777</v>
      </c>
      <c r="C45" s="59">
        <v>566434002</v>
      </c>
      <c r="D45" s="107" t="s">
        <v>803</v>
      </c>
      <c r="E45" s="57" t="s">
        <v>804</v>
      </c>
      <c r="F45" s="58" t="s">
        <v>805</v>
      </c>
      <c r="G45" s="59" t="s">
        <v>806</v>
      </c>
      <c r="H45" s="59" t="s">
        <v>447</v>
      </c>
      <c r="I45" s="60">
        <v>80</v>
      </c>
      <c r="J45" s="60">
        <v>64</v>
      </c>
      <c r="K45" s="60">
        <v>553</v>
      </c>
    </row>
    <row r="46" spans="1:11" s="56" customFormat="1" ht="51">
      <c r="A46" s="112" t="s">
        <v>807</v>
      </c>
      <c r="B46" s="57" t="s">
        <v>809</v>
      </c>
      <c r="C46" s="59" t="s">
        <v>842</v>
      </c>
      <c r="D46" s="107" t="s">
        <v>843</v>
      </c>
      <c r="E46" s="57" t="s">
        <v>844</v>
      </c>
      <c r="F46" s="58" t="s">
        <v>845</v>
      </c>
      <c r="G46" s="59" t="s">
        <v>846</v>
      </c>
      <c r="H46" s="59" t="s">
        <v>219</v>
      </c>
      <c r="I46" s="60">
        <v>109</v>
      </c>
      <c r="J46" s="60">
        <v>77</v>
      </c>
      <c r="K46" s="60">
        <v>759</v>
      </c>
    </row>
    <row r="47" spans="1:11" s="56" customFormat="1" ht="38.25">
      <c r="A47" s="112" t="s">
        <v>860</v>
      </c>
      <c r="B47" s="57" t="s">
        <v>876</v>
      </c>
      <c r="C47" s="59" t="s">
        <v>877</v>
      </c>
      <c r="D47" s="107" t="s">
        <v>878</v>
      </c>
      <c r="E47" s="57" t="s">
        <v>879</v>
      </c>
      <c r="F47" s="58" t="s">
        <v>880</v>
      </c>
      <c r="G47" s="59" t="s">
        <v>881</v>
      </c>
      <c r="H47" s="59" t="s">
        <v>447</v>
      </c>
      <c r="I47" s="60" t="s">
        <v>882</v>
      </c>
      <c r="J47" s="60" t="s">
        <v>883</v>
      </c>
      <c r="K47" s="60">
        <v>280</v>
      </c>
    </row>
    <row r="48" spans="1:11" s="56" customFormat="1" ht="38.25">
      <c r="A48" s="112" t="s">
        <v>1005</v>
      </c>
      <c r="B48" s="57" t="s">
        <v>1006</v>
      </c>
      <c r="C48" s="59" t="s">
        <v>1014</v>
      </c>
      <c r="D48" s="107" t="s">
        <v>1015</v>
      </c>
      <c r="E48" s="57" t="s">
        <v>1016</v>
      </c>
      <c r="F48" s="58" t="s">
        <v>1017</v>
      </c>
      <c r="G48" s="59" t="s">
        <v>1018</v>
      </c>
      <c r="H48" s="59" t="s">
        <v>447</v>
      </c>
      <c r="I48" s="60">
        <v>32</v>
      </c>
      <c r="J48" s="60">
        <v>22</v>
      </c>
      <c r="K48" s="60">
        <v>95</v>
      </c>
    </row>
    <row r="49" spans="1:11" s="56" customFormat="1" ht="76.5">
      <c r="A49" s="112" t="s">
        <v>917</v>
      </c>
      <c r="B49" s="57" t="s">
        <v>918</v>
      </c>
      <c r="C49" s="59">
        <v>564623426</v>
      </c>
      <c r="D49" s="107" t="s">
        <v>919</v>
      </c>
      <c r="E49" s="57" t="s">
        <v>920</v>
      </c>
      <c r="F49" s="58" t="s">
        <v>921</v>
      </c>
      <c r="G49" s="59" t="s">
        <v>922</v>
      </c>
      <c r="H49" s="59" t="s">
        <v>219</v>
      </c>
      <c r="I49" s="60">
        <v>123</v>
      </c>
      <c r="J49" s="60">
        <v>93</v>
      </c>
      <c r="K49" s="60">
        <v>272</v>
      </c>
    </row>
    <row r="50" spans="1:11" s="56" customFormat="1" ht="38.25">
      <c r="A50" s="112" t="s">
        <v>931</v>
      </c>
      <c r="B50" s="57" t="s">
        <v>932</v>
      </c>
      <c r="C50" s="57" t="s">
        <v>991</v>
      </c>
      <c r="D50" s="110" t="s">
        <v>992</v>
      </c>
      <c r="E50" s="57" t="s">
        <v>993</v>
      </c>
      <c r="F50" s="58" t="s">
        <v>994</v>
      </c>
      <c r="G50" s="59" t="s">
        <v>995</v>
      </c>
      <c r="H50" s="59"/>
      <c r="I50" s="60">
        <v>72</v>
      </c>
      <c r="J50" s="60">
        <v>53</v>
      </c>
      <c r="K50" s="60">
        <v>199</v>
      </c>
    </row>
    <row r="51" spans="1:11" s="56" customFormat="1" ht="51">
      <c r="A51" s="112" t="s">
        <v>930</v>
      </c>
      <c r="B51" s="57" t="s">
        <v>965</v>
      </c>
      <c r="C51" s="57" t="s">
        <v>996</v>
      </c>
      <c r="D51" s="111" t="s">
        <v>219</v>
      </c>
      <c r="E51" s="57" t="s">
        <v>993</v>
      </c>
      <c r="F51" s="58" t="s">
        <v>997</v>
      </c>
      <c r="G51" s="121">
        <v>596926</v>
      </c>
      <c r="H51" s="59">
        <v>7511</v>
      </c>
      <c r="I51" s="60">
        <v>2</v>
      </c>
      <c r="J51" s="60">
        <v>0</v>
      </c>
      <c r="K51" s="60">
        <v>0</v>
      </c>
    </row>
    <row r="52" spans="1:11" s="56" customFormat="1" ht="48">
      <c r="A52" s="112" t="s">
        <v>1288</v>
      </c>
      <c r="B52" s="57" t="s">
        <v>1281</v>
      </c>
      <c r="C52" s="57" t="s">
        <v>1289</v>
      </c>
      <c r="D52" s="107" t="s">
        <v>1290</v>
      </c>
      <c r="E52" s="57" t="s">
        <v>1291</v>
      </c>
      <c r="F52" s="58" t="s">
        <v>1292</v>
      </c>
      <c r="G52" s="59" t="s">
        <v>1293</v>
      </c>
      <c r="H52" s="59" t="s">
        <v>1041</v>
      </c>
      <c r="I52" s="60" t="s">
        <v>882</v>
      </c>
      <c r="J52" s="60" t="s">
        <v>1294</v>
      </c>
      <c r="K52" s="60">
        <v>574</v>
      </c>
    </row>
    <row r="53" spans="1:11" s="56" customFormat="1" ht="51">
      <c r="A53" s="112" t="s">
        <v>1280</v>
      </c>
      <c r="B53" s="57" t="s">
        <v>1281</v>
      </c>
      <c r="C53" s="57" t="s">
        <v>1295</v>
      </c>
      <c r="D53" s="107" t="s">
        <v>1296</v>
      </c>
      <c r="E53" s="57" t="s">
        <v>1297</v>
      </c>
      <c r="F53" s="58" t="s">
        <v>1292</v>
      </c>
      <c r="G53" s="59" t="s">
        <v>1298</v>
      </c>
      <c r="H53" s="59" t="s">
        <v>1041</v>
      </c>
      <c r="I53" s="60" t="s">
        <v>1299</v>
      </c>
      <c r="J53" s="60" t="s">
        <v>1299</v>
      </c>
      <c r="K53" s="60" t="s">
        <v>108</v>
      </c>
    </row>
    <row r="54" spans="1:11" s="56" customFormat="1" ht="38.25">
      <c r="A54" s="112" t="s">
        <v>1019</v>
      </c>
      <c r="B54" s="57" t="s">
        <v>1036</v>
      </c>
      <c r="C54" s="57">
        <v>564659059</v>
      </c>
      <c r="D54" s="107" t="s">
        <v>1037</v>
      </c>
      <c r="E54" s="57" t="s">
        <v>1038</v>
      </c>
      <c r="F54" s="58" t="s">
        <v>1039</v>
      </c>
      <c r="G54" s="59" t="s">
        <v>1040</v>
      </c>
      <c r="H54" s="59" t="s">
        <v>1041</v>
      </c>
      <c r="I54" s="60">
        <v>29</v>
      </c>
      <c r="J54" s="60">
        <v>18</v>
      </c>
      <c r="K54" s="60"/>
    </row>
    <row r="55" spans="1:11" s="56" customFormat="1" ht="25.5">
      <c r="A55" s="112" t="s">
        <v>1817</v>
      </c>
      <c r="B55" s="57" t="s">
        <v>1818</v>
      </c>
      <c r="C55" s="57" t="s">
        <v>1826</v>
      </c>
      <c r="D55" s="107"/>
      <c r="E55" s="57" t="s">
        <v>1827</v>
      </c>
      <c r="F55" s="58" t="s">
        <v>1828</v>
      </c>
      <c r="G55" s="59" t="s">
        <v>1829</v>
      </c>
      <c r="H55" s="59" t="s">
        <v>1830</v>
      </c>
      <c r="I55" s="60">
        <v>23</v>
      </c>
      <c r="J55" s="60">
        <v>17</v>
      </c>
      <c r="K55" s="60">
        <v>635</v>
      </c>
    </row>
    <row r="56" spans="1:11" s="56" customFormat="1" ht="25.5">
      <c r="A56" s="112" t="s">
        <v>1087</v>
      </c>
      <c r="B56" s="57" t="s">
        <v>1088</v>
      </c>
      <c r="C56" s="57">
        <v>564621003</v>
      </c>
      <c r="D56" s="107" t="s">
        <v>1089</v>
      </c>
      <c r="E56" s="57" t="s">
        <v>1090</v>
      </c>
      <c r="F56" s="58" t="s">
        <v>1091</v>
      </c>
      <c r="G56" s="59" t="s">
        <v>1092</v>
      </c>
      <c r="H56" s="59" t="s">
        <v>1093</v>
      </c>
      <c r="I56" s="60">
        <v>34</v>
      </c>
      <c r="J56" s="60"/>
      <c r="K56" s="60"/>
    </row>
    <row r="57" spans="1:11" s="56" customFormat="1" ht="25.5">
      <c r="A57" s="112" t="s">
        <v>1108</v>
      </c>
      <c r="B57" s="57" t="s">
        <v>1141</v>
      </c>
      <c r="C57" s="57" t="s">
        <v>1142</v>
      </c>
      <c r="D57" s="107" t="s">
        <v>1143</v>
      </c>
      <c r="E57" s="57" t="s">
        <v>1144</v>
      </c>
      <c r="F57" s="58" t="s">
        <v>1145</v>
      </c>
      <c r="G57" s="59" t="s">
        <v>1146</v>
      </c>
      <c r="H57" s="59"/>
      <c r="I57" s="60">
        <v>135</v>
      </c>
      <c r="J57" s="60"/>
      <c r="K57" s="60"/>
    </row>
    <row r="58" spans="1:11" s="56" customFormat="1" ht="25.5">
      <c r="A58" s="112" t="s">
        <v>1223</v>
      </c>
      <c r="B58" s="57" t="s">
        <v>1224</v>
      </c>
      <c r="C58" s="57" t="s">
        <v>1225</v>
      </c>
      <c r="D58" s="107" t="s">
        <v>1226</v>
      </c>
      <c r="E58" s="57" t="s">
        <v>1227</v>
      </c>
      <c r="F58" s="58" t="s">
        <v>1228</v>
      </c>
      <c r="G58" s="59" t="s">
        <v>1229</v>
      </c>
      <c r="H58" s="59" t="s">
        <v>1230</v>
      </c>
      <c r="I58" s="60" t="s">
        <v>1231</v>
      </c>
      <c r="J58" s="60"/>
      <c r="K58" s="60"/>
    </row>
    <row r="59" spans="1:11" s="56" customFormat="1" ht="38.25">
      <c r="A59" s="112" t="s">
        <v>1248</v>
      </c>
      <c r="B59" s="57" t="s">
        <v>1255</v>
      </c>
      <c r="C59" s="57">
        <v>564638280</v>
      </c>
      <c r="D59" s="107" t="s">
        <v>1256</v>
      </c>
      <c r="E59" s="57" t="s">
        <v>1257</v>
      </c>
      <c r="F59" s="58" t="s">
        <v>1258</v>
      </c>
      <c r="G59" s="59" t="s">
        <v>1259</v>
      </c>
      <c r="H59" s="59">
        <v>853120</v>
      </c>
      <c r="I59" s="60">
        <v>57</v>
      </c>
      <c r="J59" s="60">
        <v>0</v>
      </c>
      <c r="K59" s="60">
        <v>0</v>
      </c>
    </row>
    <row r="60" spans="1:11" s="56" customFormat="1" ht="25.5">
      <c r="A60" s="112" t="s">
        <v>1274</v>
      </c>
      <c r="B60" s="57" t="s">
        <v>1915</v>
      </c>
      <c r="C60" s="57"/>
      <c r="D60" s="107"/>
      <c r="E60" s="57"/>
      <c r="F60" s="58" t="s">
        <v>1838</v>
      </c>
      <c r="G60" s="59" t="s">
        <v>1916</v>
      </c>
      <c r="H60" s="59" t="s">
        <v>1917</v>
      </c>
      <c r="I60" s="60">
        <v>28</v>
      </c>
      <c r="J60" s="60"/>
      <c r="K60" s="60"/>
    </row>
    <row r="61" spans="1:11" s="56" customFormat="1" ht="51">
      <c r="A61" s="112" t="s">
        <v>1308</v>
      </c>
      <c r="B61" s="57" t="s">
        <v>1327</v>
      </c>
      <c r="C61" s="57" t="s">
        <v>1328</v>
      </c>
      <c r="D61" s="107" t="s">
        <v>1329</v>
      </c>
      <c r="E61" s="57" t="s">
        <v>1330</v>
      </c>
      <c r="F61" s="58" t="s">
        <v>1331</v>
      </c>
      <c r="G61" s="59" t="s">
        <v>1332</v>
      </c>
      <c r="H61" s="59"/>
      <c r="I61" s="60">
        <v>96</v>
      </c>
      <c r="J61" s="60"/>
      <c r="K61" s="60" t="s">
        <v>1333</v>
      </c>
    </row>
    <row r="62" spans="1:11" s="56" customFormat="1" ht="25.5">
      <c r="A62" s="113" t="s">
        <v>1337</v>
      </c>
      <c r="B62" s="57" t="s">
        <v>1918</v>
      </c>
      <c r="C62" s="57" t="s">
        <v>1919</v>
      </c>
      <c r="D62" s="107" t="s">
        <v>1920</v>
      </c>
      <c r="E62" s="57" t="s">
        <v>1921</v>
      </c>
      <c r="F62" s="58">
        <v>8762240155</v>
      </c>
      <c r="G62" s="59" t="s">
        <v>1922</v>
      </c>
      <c r="H62" s="59" t="s">
        <v>1923</v>
      </c>
      <c r="I62" s="60">
        <v>9.6</v>
      </c>
      <c r="J62" s="60"/>
      <c r="K62" s="60"/>
    </row>
    <row r="63" spans="1:11" s="56" customFormat="1" ht="38.25">
      <c r="A63" s="112" t="s">
        <v>1339</v>
      </c>
      <c r="B63" s="57" t="s">
        <v>1340</v>
      </c>
      <c r="C63" s="57" t="s">
        <v>1349</v>
      </c>
      <c r="D63" s="107" t="s">
        <v>1350</v>
      </c>
      <c r="E63" s="57" t="s">
        <v>1351</v>
      </c>
      <c r="F63" s="58" t="s">
        <v>1352</v>
      </c>
      <c r="G63" s="59" t="s">
        <v>1353</v>
      </c>
      <c r="H63" s="59"/>
      <c r="I63" s="60" t="s">
        <v>1354</v>
      </c>
      <c r="J63" s="60"/>
      <c r="K63" s="60"/>
    </row>
    <row r="64" spans="1:11" s="56" customFormat="1" ht="38.25">
      <c r="A64" s="112" t="s">
        <v>1356</v>
      </c>
      <c r="B64" s="57" t="s">
        <v>1377</v>
      </c>
      <c r="C64" s="57" t="s">
        <v>1378</v>
      </c>
      <c r="D64" s="107" t="s">
        <v>1379</v>
      </c>
      <c r="E64" s="57" t="s">
        <v>1380</v>
      </c>
      <c r="F64" s="58">
        <v>8760002204</v>
      </c>
      <c r="G64" s="59" t="s">
        <v>1381</v>
      </c>
      <c r="H64" s="59" t="s">
        <v>1382</v>
      </c>
      <c r="I64" s="60">
        <v>36.369999999999997</v>
      </c>
      <c r="J64" s="60" t="s">
        <v>164</v>
      </c>
      <c r="K64" s="60" t="s">
        <v>1383</v>
      </c>
    </row>
    <row r="65" spans="1:11" s="56" customFormat="1" ht="38.25">
      <c r="A65" s="112" t="s">
        <v>1401</v>
      </c>
      <c r="B65" s="57" t="s">
        <v>1408</v>
      </c>
      <c r="C65" s="57" t="s">
        <v>1409</v>
      </c>
      <c r="D65" s="107" t="s">
        <v>1410</v>
      </c>
      <c r="E65" s="57" t="s">
        <v>1411</v>
      </c>
      <c r="F65" s="58" t="s">
        <v>1412</v>
      </c>
      <c r="G65" s="59" t="s">
        <v>1413</v>
      </c>
      <c r="H65" s="59" t="s">
        <v>447</v>
      </c>
      <c r="I65" s="60">
        <v>24</v>
      </c>
      <c r="J65" s="60">
        <v>18</v>
      </c>
      <c r="K65" s="60">
        <v>0</v>
      </c>
    </row>
    <row r="66" spans="1:11" s="56" customFormat="1" ht="25.5">
      <c r="A66" s="112" t="s">
        <v>1422</v>
      </c>
      <c r="B66" s="57" t="s">
        <v>1416</v>
      </c>
      <c r="C66" s="57">
        <v>566433000</v>
      </c>
      <c r="D66" s="107"/>
      <c r="E66" s="57"/>
      <c r="F66" s="58" t="s">
        <v>1423</v>
      </c>
      <c r="G66" s="59" t="s">
        <v>1424</v>
      </c>
      <c r="H66" s="59" t="s">
        <v>1425</v>
      </c>
      <c r="I66" s="60">
        <v>122</v>
      </c>
      <c r="J66" s="60"/>
      <c r="K66" s="60"/>
    </row>
    <row r="67" spans="1:11" s="56" customFormat="1" ht="38.25">
      <c r="A67" s="112" t="s">
        <v>1461</v>
      </c>
      <c r="B67" s="57" t="s">
        <v>1462</v>
      </c>
      <c r="C67" s="57" t="s">
        <v>1463</v>
      </c>
      <c r="D67" s="107" t="s">
        <v>1464</v>
      </c>
      <c r="E67" s="57" t="s">
        <v>1465</v>
      </c>
      <c r="F67" s="58" t="s">
        <v>1466</v>
      </c>
      <c r="G67" s="59" t="s">
        <v>1467</v>
      </c>
      <c r="H67" s="59" t="s">
        <v>1468</v>
      </c>
      <c r="I67" s="60">
        <v>29</v>
      </c>
      <c r="J67" s="60">
        <v>0</v>
      </c>
      <c r="K67" s="60">
        <v>0</v>
      </c>
    </row>
    <row r="68" spans="1:11" s="56" customFormat="1" ht="38.25">
      <c r="A68" s="112" t="s">
        <v>1533</v>
      </c>
      <c r="B68" s="57" t="s">
        <v>1489</v>
      </c>
      <c r="C68" s="59">
        <v>564620201</v>
      </c>
      <c r="D68" s="107" t="s">
        <v>1534</v>
      </c>
      <c r="E68" s="57" t="s">
        <v>1535</v>
      </c>
      <c r="F68" s="58">
        <v>8761370341</v>
      </c>
      <c r="G68" s="59" t="s">
        <v>1536</v>
      </c>
      <c r="H68" s="59" t="s">
        <v>1537</v>
      </c>
      <c r="I68" s="60" t="s">
        <v>1538</v>
      </c>
      <c r="J68" s="60" t="s">
        <v>219</v>
      </c>
      <c r="K68" s="60" t="s">
        <v>219</v>
      </c>
    </row>
    <row r="69" spans="1:11">
      <c r="A69"/>
      <c r="B69"/>
      <c r="C69"/>
      <c r="D69"/>
      <c r="E69"/>
      <c r="F69"/>
      <c r="G69"/>
      <c r="H69"/>
      <c r="I69"/>
      <c r="J69"/>
      <c r="K69"/>
    </row>
  </sheetData>
  <mergeCells count="2">
    <mergeCell ref="A1:L1"/>
    <mergeCell ref="A2:F2"/>
  </mergeCells>
  <phoneticPr fontId="0" type="noConversion"/>
  <hyperlinks>
    <hyperlink ref="D22" r:id="rId1"/>
    <hyperlink ref="D50" r:id="rId2"/>
    <hyperlink ref="D58" r:id="rId3"/>
    <hyperlink ref="D4" r:id="rId4"/>
  </hyperlinks>
  <pageMargins left="0.75" right="0.75" top="1" bottom="1" header="0.5" footer="0.5"/>
  <pageSetup paperSize="9" scale="30" firstPageNumber="27" orientation="portrait" useFirstPageNumber="1" verticalDpi="300" r:id="rId5"/>
  <headerFooter alignWithMargins="0">
    <oddFooter>&amp;R&amp;P</oddFooter>
  </headerFooter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65"/>
  <sheetViews>
    <sheetView topLeftCell="F1" zoomScaleNormal="100" zoomScaleSheetLayoutView="75" workbookViewId="0">
      <selection activeCell="F1" sqref="F1:T1"/>
    </sheetView>
  </sheetViews>
  <sheetFormatPr defaultRowHeight="15"/>
  <cols>
    <col min="1" max="1" width="21.5703125" style="37" bestFit="1" customWidth="1"/>
    <col min="2" max="2" width="17.7109375" style="13" bestFit="1" customWidth="1"/>
    <col min="3" max="3" width="22.7109375" style="13" customWidth="1"/>
    <col min="4" max="4" width="24" style="36" bestFit="1" customWidth="1"/>
    <col min="5" max="5" width="19.5703125" style="13" bestFit="1" customWidth="1"/>
    <col min="6" max="6" width="24" style="37" bestFit="1" customWidth="1"/>
    <col min="7" max="7" width="17.42578125" style="37" bestFit="1" customWidth="1"/>
    <col min="8" max="8" width="16.42578125" style="13" bestFit="1" customWidth="1"/>
    <col min="9" max="9" width="17.28515625" style="13" bestFit="1" customWidth="1"/>
    <col min="10" max="10" width="36" style="196" bestFit="1" customWidth="1"/>
    <col min="11" max="11" width="23.5703125" style="13" hidden="1" customWidth="1"/>
    <col min="12" max="12" width="23.5703125" style="13" customWidth="1"/>
    <col min="13" max="13" width="23.7109375" style="13" bestFit="1" customWidth="1"/>
    <col min="14" max="14" width="23.7109375" style="13" customWidth="1"/>
    <col min="15" max="15" width="22.42578125" style="8" customWidth="1"/>
    <col min="16" max="16" width="9.140625" style="15"/>
    <col min="17" max="16384" width="9.140625" style="8"/>
  </cols>
  <sheetData>
    <row r="1" spans="1:20" ht="15.75">
      <c r="F1" s="207" t="s">
        <v>2009</v>
      </c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</row>
    <row r="2" spans="1:20" ht="15.75">
      <c r="F2" s="187" t="s">
        <v>2010</v>
      </c>
      <c r="G2" s="188"/>
      <c r="H2" s="189"/>
      <c r="I2" s="189"/>
      <c r="J2" s="190"/>
      <c r="K2" s="189"/>
      <c r="L2" s="189"/>
      <c r="M2" s="190"/>
      <c r="N2" s="190"/>
      <c r="O2" s="189"/>
      <c r="P2" s="191"/>
      <c r="Q2" s="192"/>
      <c r="R2" s="192"/>
      <c r="S2" s="193"/>
      <c r="T2" s="193"/>
    </row>
    <row r="3" spans="1:20" s="38" customFormat="1" ht="30">
      <c r="A3" s="65" t="s">
        <v>95</v>
      </c>
      <c r="B3" s="65" t="s">
        <v>12</v>
      </c>
      <c r="C3" s="65" t="s">
        <v>14</v>
      </c>
      <c r="D3" s="65" t="s">
        <v>10</v>
      </c>
      <c r="E3" s="65" t="s">
        <v>11</v>
      </c>
      <c r="F3" s="65" t="s">
        <v>13</v>
      </c>
      <c r="G3" s="65" t="s">
        <v>90</v>
      </c>
      <c r="H3" s="65" t="s">
        <v>91</v>
      </c>
      <c r="I3" s="65" t="s">
        <v>29</v>
      </c>
      <c r="J3" s="106" t="s">
        <v>28</v>
      </c>
      <c r="K3" s="44" t="s">
        <v>24</v>
      </c>
      <c r="L3" s="44" t="s">
        <v>1973</v>
      </c>
      <c r="M3" s="65" t="s">
        <v>92</v>
      </c>
      <c r="N3" s="65" t="s">
        <v>96</v>
      </c>
      <c r="O3" s="65" t="s">
        <v>93</v>
      </c>
      <c r="P3" s="20" t="s">
        <v>94</v>
      </c>
    </row>
    <row r="4" spans="1:20" s="38" customFormat="1">
      <c r="A4" s="29" t="s">
        <v>1712</v>
      </c>
      <c r="B4" s="65" t="s">
        <v>1713</v>
      </c>
      <c r="C4" s="65" t="s">
        <v>1714</v>
      </c>
      <c r="D4" s="65" t="s">
        <v>703</v>
      </c>
      <c r="E4" s="65" t="s">
        <v>1715</v>
      </c>
      <c r="F4" s="95">
        <v>2008</v>
      </c>
      <c r="G4" s="95">
        <v>1198</v>
      </c>
      <c r="H4" s="65"/>
      <c r="I4" s="65">
        <v>0.63800000000000001</v>
      </c>
      <c r="J4" s="106">
        <v>5</v>
      </c>
      <c r="K4" s="44">
        <v>20500</v>
      </c>
      <c r="L4" s="44">
        <v>17800</v>
      </c>
      <c r="M4" s="65" t="s">
        <v>705</v>
      </c>
      <c r="N4" s="65" t="s">
        <v>705</v>
      </c>
      <c r="O4" s="65" t="s">
        <v>705</v>
      </c>
      <c r="P4" s="20"/>
    </row>
    <row r="5" spans="1:20" s="38" customFormat="1">
      <c r="A5" s="29" t="s">
        <v>1716</v>
      </c>
      <c r="B5" s="65" t="s">
        <v>1717</v>
      </c>
      <c r="C5" s="65" t="s">
        <v>1718</v>
      </c>
      <c r="D5" s="65" t="s">
        <v>703</v>
      </c>
      <c r="E5" s="65" t="s">
        <v>1715</v>
      </c>
      <c r="F5" s="95">
        <v>2002</v>
      </c>
      <c r="G5" s="95">
        <v>1397</v>
      </c>
      <c r="H5" s="65"/>
      <c r="I5" s="65"/>
      <c r="J5" s="106">
        <v>5</v>
      </c>
      <c r="K5" s="44">
        <v>10050</v>
      </c>
      <c r="L5" s="44">
        <v>9000</v>
      </c>
      <c r="M5" s="65" t="s">
        <v>705</v>
      </c>
      <c r="N5" s="65" t="s">
        <v>705</v>
      </c>
      <c r="O5" s="65" t="s">
        <v>705</v>
      </c>
      <c r="P5" s="20"/>
    </row>
    <row r="6" spans="1:20" s="38" customFormat="1">
      <c r="A6" s="29" t="s">
        <v>1716</v>
      </c>
      <c r="B6" s="65" t="s">
        <v>1719</v>
      </c>
      <c r="C6" s="65" t="s">
        <v>1720</v>
      </c>
      <c r="D6" s="65" t="s">
        <v>703</v>
      </c>
      <c r="E6" s="65" t="s">
        <v>1721</v>
      </c>
      <c r="F6" s="95">
        <v>2002</v>
      </c>
      <c r="G6" s="95">
        <v>1870</v>
      </c>
      <c r="H6" s="65"/>
      <c r="I6" s="65"/>
      <c r="J6" s="106">
        <v>8</v>
      </c>
      <c r="K6" s="44">
        <v>21500</v>
      </c>
      <c r="L6" s="44">
        <v>17800</v>
      </c>
      <c r="M6" s="65" t="s">
        <v>705</v>
      </c>
      <c r="N6" s="65" t="s">
        <v>705</v>
      </c>
      <c r="O6" s="65" t="s">
        <v>705</v>
      </c>
      <c r="P6" s="20"/>
    </row>
    <row r="7" spans="1:20" s="38" customFormat="1">
      <c r="A7" s="29" t="s">
        <v>1716</v>
      </c>
      <c r="B7" s="65" t="s">
        <v>1722</v>
      </c>
      <c r="C7" s="65" t="s">
        <v>1723</v>
      </c>
      <c r="D7" s="65" t="s">
        <v>849</v>
      </c>
      <c r="E7" s="65" t="s">
        <v>1721</v>
      </c>
      <c r="F7" s="95">
        <v>2004</v>
      </c>
      <c r="G7" s="95">
        <v>1870</v>
      </c>
      <c r="H7" s="65"/>
      <c r="I7" s="65" t="s">
        <v>1724</v>
      </c>
      <c r="J7" s="106">
        <v>3</v>
      </c>
      <c r="K7" s="44">
        <v>26950</v>
      </c>
      <c r="L7" s="44">
        <v>22700</v>
      </c>
      <c r="M7" s="65" t="s">
        <v>705</v>
      </c>
      <c r="N7" s="65" t="s">
        <v>705</v>
      </c>
      <c r="O7" s="65" t="s">
        <v>705</v>
      </c>
      <c r="P7" s="20"/>
    </row>
    <row r="8" spans="1:20" s="38" customFormat="1">
      <c r="A8" s="29" t="s">
        <v>1725</v>
      </c>
      <c r="B8" s="65" t="s">
        <v>1726</v>
      </c>
      <c r="C8" s="65" t="s">
        <v>1727</v>
      </c>
      <c r="D8" s="65" t="s">
        <v>849</v>
      </c>
      <c r="E8" s="65" t="s">
        <v>1728</v>
      </c>
      <c r="F8" s="95">
        <v>2004</v>
      </c>
      <c r="G8" s="95">
        <v>2179</v>
      </c>
      <c r="H8" s="65"/>
      <c r="I8" s="65">
        <v>1270</v>
      </c>
      <c r="J8" s="106">
        <v>7</v>
      </c>
      <c r="K8" s="44">
        <v>21350</v>
      </c>
      <c r="L8" s="44">
        <v>17900</v>
      </c>
      <c r="M8" s="65" t="s">
        <v>705</v>
      </c>
      <c r="N8" s="65" t="s">
        <v>705</v>
      </c>
      <c r="O8" s="65" t="s">
        <v>705</v>
      </c>
      <c r="P8" s="20"/>
    </row>
    <row r="9" spans="1:20" s="38" customFormat="1" ht="30">
      <c r="A9" s="29" t="s">
        <v>1729</v>
      </c>
      <c r="B9" s="65" t="s">
        <v>1730</v>
      </c>
      <c r="C9" s="65" t="s">
        <v>1731</v>
      </c>
      <c r="D9" s="65" t="s">
        <v>703</v>
      </c>
      <c r="E9" s="65" t="s">
        <v>1732</v>
      </c>
      <c r="F9" s="95">
        <v>2005</v>
      </c>
      <c r="G9" s="95">
        <v>1896</v>
      </c>
      <c r="H9" s="65"/>
      <c r="I9" s="65"/>
      <c r="J9" s="106">
        <v>9</v>
      </c>
      <c r="K9" s="44">
        <v>41500</v>
      </c>
      <c r="L9" s="44">
        <v>35700</v>
      </c>
      <c r="M9" s="65" t="s">
        <v>705</v>
      </c>
      <c r="N9" s="65" t="s">
        <v>705</v>
      </c>
      <c r="O9" s="65" t="s">
        <v>705</v>
      </c>
      <c r="P9" s="20"/>
    </row>
    <row r="10" spans="1:20" s="38" customFormat="1" ht="30">
      <c r="A10" s="29" t="s">
        <v>1733</v>
      </c>
      <c r="B10" s="65" t="s">
        <v>1734</v>
      </c>
      <c r="C10" s="65" t="s">
        <v>1735</v>
      </c>
      <c r="D10" s="65" t="s">
        <v>1736</v>
      </c>
      <c r="E10" s="65" t="s">
        <v>1737</v>
      </c>
      <c r="F10" s="95">
        <v>2004</v>
      </c>
      <c r="G10" s="95">
        <v>1896</v>
      </c>
      <c r="H10" s="65"/>
      <c r="I10" s="65"/>
      <c r="J10" s="106">
        <v>9</v>
      </c>
      <c r="K10" s="44">
        <v>45180</v>
      </c>
      <c r="L10" s="44">
        <v>38900</v>
      </c>
      <c r="M10" s="65" t="s">
        <v>705</v>
      </c>
      <c r="N10" s="65" t="s">
        <v>705</v>
      </c>
      <c r="O10" s="65" t="s">
        <v>705</v>
      </c>
      <c r="P10" s="20"/>
    </row>
    <row r="11" spans="1:20" s="38" customFormat="1" ht="30">
      <c r="A11" s="29" t="s">
        <v>1733</v>
      </c>
      <c r="B11" s="65" t="s">
        <v>1738</v>
      </c>
      <c r="C11" s="65" t="s">
        <v>1739</v>
      </c>
      <c r="D11" s="65" t="s">
        <v>703</v>
      </c>
      <c r="E11" s="65" t="s">
        <v>1737</v>
      </c>
      <c r="F11" s="95">
        <v>2004</v>
      </c>
      <c r="G11" s="95">
        <v>1896</v>
      </c>
      <c r="H11" s="65"/>
      <c r="I11" s="65"/>
      <c r="J11" s="106">
        <v>9</v>
      </c>
      <c r="K11" s="44">
        <v>39750</v>
      </c>
      <c r="L11" s="44">
        <v>34500</v>
      </c>
      <c r="M11" s="65" t="s">
        <v>705</v>
      </c>
      <c r="N11" s="65" t="s">
        <v>705</v>
      </c>
      <c r="O11" s="65" t="s">
        <v>705</v>
      </c>
      <c r="P11" s="20"/>
    </row>
    <row r="12" spans="1:20" s="38" customFormat="1" ht="30">
      <c r="A12" s="29" t="s">
        <v>1733</v>
      </c>
      <c r="B12" s="65" t="s">
        <v>1740</v>
      </c>
      <c r="C12" s="65" t="s">
        <v>1741</v>
      </c>
      <c r="D12" s="65" t="s">
        <v>1736</v>
      </c>
      <c r="E12" s="65" t="s">
        <v>1742</v>
      </c>
      <c r="F12" s="95">
        <v>2008</v>
      </c>
      <c r="G12" s="95">
        <v>1896</v>
      </c>
      <c r="H12" s="65"/>
      <c r="I12" s="65"/>
      <c r="J12" s="106">
        <v>9</v>
      </c>
      <c r="K12" s="44">
        <v>84330</v>
      </c>
      <c r="L12" s="44">
        <v>74400</v>
      </c>
      <c r="M12" s="65" t="s">
        <v>705</v>
      </c>
      <c r="N12" s="65" t="s">
        <v>705</v>
      </c>
      <c r="O12" s="65" t="s">
        <v>705</v>
      </c>
      <c r="P12" s="20"/>
    </row>
    <row r="13" spans="1:20" s="38" customFormat="1">
      <c r="A13" s="29" t="s">
        <v>1716</v>
      </c>
      <c r="B13" s="65" t="s">
        <v>1743</v>
      </c>
      <c r="C13" s="65" t="s">
        <v>1744</v>
      </c>
      <c r="D13" s="65" t="s">
        <v>849</v>
      </c>
      <c r="E13" s="65" t="s">
        <v>1745</v>
      </c>
      <c r="F13" s="95">
        <v>2007</v>
      </c>
      <c r="G13" s="95">
        <v>1461</v>
      </c>
      <c r="H13" s="65"/>
      <c r="I13" s="65"/>
      <c r="J13" s="106">
        <v>5</v>
      </c>
      <c r="K13" s="44">
        <v>19200</v>
      </c>
      <c r="L13" s="44">
        <v>16500</v>
      </c>
      <c r="M13" s="65" t="s">
        <v>705</v>
      </c>
      <c r="N13" s="65" t="s">
        <v>705</v>
      </c>
      <c r="O13" s="65" t="s">
        <v>705</v>
      </c>
      <c r="P13" s="20"/>
    </row>
    <row r="14" spans="1:20" s="38" customFormat="1">
      <c r="A14" s="29" t="s">
        <v>1716</v>
      </c>
      <c r="B14" s="65" t="s">
        <v>1746</v>
      </c>
      <c r="C14" s="65" t="s">
        <v>1747</v>
      </c>
      <c r="D14" s="65" t="s">
        <v>1748</v>
      </c>
      <c r="E14" s="65" t="s">
        <v>1749</v>
      </c>
      <c r="F14" s="95">
        <v>2008</v>
      </c>
      <c r="G14" s="95">
        <v>49.2</v>
      </c>
      <c r="H14" s="65"/>
      <c r="I14" s="65"/>
      <c r="J14" s="106">
        <v>2</v>
      </c>
      <c r="K14" s="44">
        <v>4700</v>
      </c>
      <c r="L14" s="44">
        <v>4050</v>
      </c>
      <c r="M14" s="65" t="s">
        <v>705</v>
      </c>
      <c r="N14" s="65" t="s">
        <v>705</v>
      </c>
      <c r="O14" s="65" t="s">
        <v>705</v>
      </c>
      <c r="P14" s="20"/>
    </row>
    <row r="15" spans="1:20" s="38" customFormat="1">
      <c r="A15" s="29" t="s">
        <v>1716</v>
      </c>
      <c r="B15" s="65" t="s">
        <v>1750</v>
      </c>
      <c r="C15" s="65" t="s">
        <v>1751</v>
      </c>
      <c r="D15" s="65" t="s">
        <v>1748</v>
      </c>
      <c r="E15" s="65" t="s">
        <v>1749</v>
      </c>
      <c r="F15" s="95">
        <v>2008</v>
      </c>
      <c r="G15" s="95">
        <v>49.2</v>
      </c>
      <c r="H15" s="65"/>
      <c r="I15" s="65"/>
      <c r="J15" s="106">
        <v>2</v>
      </c>
      <c r="K15" s="44">
        <v>4700</v>
      </c>
      <c r="L15" s="44">
        <v>4050</v>
      </c>
      <c r="M15" s="65" t="s">
        <v>705</v>
      </c>
      <c r="N15" s="65" t="s">
        <v>705</v>
      </c>
      <c r="O15" s="65" t="s">
        <v>705</v>
      </c>
      <c r="P15" s="20"/>
    </row>
    <row r="16" spans="1:20" s="38" customFormat="1">
      <c r="A16" s="29" t="s">
        <v>1716</v>
      </c>
      <c r="B16" s="65" t="s">
        <v>1752</v>
      </c>
      <c r="C16" s="65" t="s">
        <v>1753</v>
      </c>
      <c r="D16" s="65" t="s">
        <v>1748</v>
      </c>
      <c r="E16" s="65" t="s">
        <v>1749</v>
      </c>
      <c r="F16" s="95">
        <v>2008</v>
      </c>
      <c r="G16" s="95">
        <v>49.2</v>
      </c>
      <c r="H16" s="65"/>
      <c r="I16" s="65"/>
      <c r="J16" s="106">
        <v>2</v>
      </c>
      <c r="K16" s="44">
        <v>4700</v>
      </c>
      <c r="L16" s="44">
        <v>4050</v>
      </c>
      <c r="M16" s="65" t="s">
        <v>705</v>
      </c>
      <c r="N16" s="65" t="s">
        <v>705</v>
      </c>
      <c r="O16" s="65" t="s">
        <v>705</v>
      </c>
      <c r="P16" s="20"/>
    </row>
    <row r="17" spans="1:16" s="38" customFormat="1">
      <c r="A17" s="29" t="s">
        <v>1716</v>
      </c>
      <c r="B17" s="65" t="s">
        <v>1754</v>
      </c>
      <c r="C17" s="65" t="s">
        <v>1755</v>
      </c>
      <c r="D17" s="65" t="s">
        <v>1748</v>
      </c>
      <c r="E17" s="65" t="s">
        <v>1749</v>
      </c>
      <c r="F17" s="95">
        <v>2008</v>
      </c>
      <c r="G17" s="95">
        <v>49.2</v>
      </c>
      <c r="H17" s="65"/>
      <c r="I17" s="65"/>
      <c r="J17" s="106">
        <v>2</v>
      </c>
      <c r="K17" s="44">
        <v>4700</v>
      </c>
      <c r="L17" s="44">
        <v>4050</v>
      </c>
      <c r="M17" s="65" t="s">
        <v>705</v>
      </c>
      <c r="N17" s="65" t="s">
        <v>705</v>
      </c>
      <c r="O17" s="65" t="s">
        <v>705</v>
      </c>
      <c r="P17" s="20"/>
    </row>
    <row r="18" spans="1:16" s="38" customFormat="1">
      <c r="A18" s="29" t="s">
        <v>1716</v>
      </c>
      <c r="B18" s="65" t="s">
        <v>1756</v>
      </c>
      <c r="C18" s="65" t="s">
        <v>1757</v>
      </c>
      <c r="D18" s="65" t="s">
        <v>849</v>
      </c>
      <c r="E18" s="65" t="s">
        <v>1745</v>
      </c>
      <c r="F18" s="95">
        <v>2006</v>
      </c>
      <c r="G18" s="95">
        <v>1461</v>
      </c>
      <c r="H18" s="65"/>
      <c r="I18" s="65">
        <v>0.63800000000000001</v>
      </c>
      <c r="J18" s="106">
        <v>2</v>
      </c>
      <c r="K18" s="44">
        <v>16500</v>
      </c>
      <c r="L18" s="44">
        <v>14600</v>
      </c>
      <c r="M18" s="65" t="s">
        <v>705</v>
      </c>
      <c r="N18" s="65" t="s">
        <v>705</v>
      </c>
      <c r="O18" s="65" t="s">
        <v>705</v>
      </c>
      <c r="P18" s="20"/>
    </row>
    <row r="19" spans="1:16" s="38" customFormat="1">
      <c r="A19" s="29" t="s">
        <v>1758</v>
      </c>
      <c r="B19" s="65" t="s">
        <v>1759</v>
      </c>
      <c r="C19" s="65" t="s">
        <v>1760</v>
      </c>
      <c r="D19" s="65" t="s">
        <v>1761</v>
      </c>
      <c r="E19" s="65" t="s">
        <v>1762</v>
      </c>
      <c r="F19" s="95">
        <v>1995</v>
      </c>
      <c r="G19" s="95"/>
      <c r="H19" s="65"/>
      <c r="I19" s="65"/>
      <c r="J19" s="106"/>
      <c r="K19" s="44"/>
      <c r="L19" s="44"/>
      <c r="M19" s="65"/>
      <c r="N19" s="65" t="s">
        <v>705</v>
      </c>
      <c r="O19" s="65" t="s">
        <v>705</v>
      </c>
      <c r="P19" s="20"/>
    </row>
    <row r="20" spans="1:16" s="38" customFormat="1" ht="30">
      <c r="A20" s="29" t="s">
        <v>1763</v>
      </c>
      <c r="B20" s="65" t="s">
        <v>1764</v>
      </c>
      <c r="C20" s="65" t="s">
        <v>1765</v>
      </c>
      <c r="D20" s="65" t="s">
        <v>703</v>
      </c>
      <c r="E20" s="65" t="s">
        <v>1766</v>
      </c>
      <c r="F20" s="95">
        <v>2007</v>
      </c>
      <c r="G20" s="95">
        <v>1871</v>
      </c>
      <c r="H20" s="65"/>
      <c r="I20" s="65" t="s">
        <v>1767</v>
      </c>
      <c r="J20" s="106">
        <v>5</v>
      </c>
      <c r="K20" s="44">
        <v>31500</v>
      </c>
      <c r="L20" s="44">
        <v>27100</v>
      </c>
      <c r="M20" s="65" t="s">
        <v>705</v>
      </c>
      <c r="N20" s="65" t="s">
        <v>705</v>
      </c>
      <c r="O20" s="65" t="s">
        <v>705</v>
      </c>
      <c r="P20" s="20"/>
    </row>
    <row r="21" spans="1:16" s="38" customFormat="1">
      <c r="A21" s="29" t="s">
        <v>1763</v>
      </c>
      <c r="B21" s="65" t="s">
        <v>1768</v>
      </c>
      <c r="C21" s="65" t="s">
        <v>1769</v>
      </c>
      <c r="D21" s="65" t="s">
        <v>703</v>
      </c>
      <c r="E21" s="65" t="s">
        <v>1770</v>
      </c>
      <c r="F21" s="95">
        <v>2010</v>
      </c>
      <c r="G21" s="95">
        <v>1956</v>
      </c>
      <c r="H21" s="65" t="s">
        <v>1771</v>
      </c>
      <c r="I21" s="65"/>
      <c r="J21" s="106">
        <v>5</v>
      </c>
      <c r="K21" s="44">
        <v>70500</v>
      </c>
      <c r="L21" s="44">
        <v>61700</v>
      </c>
      <c r="M21" s="65" t="s">
        <v>705</v>
      </c>
      <c r="N21" s="65" t="s">
        <v>705</v>
      </c>
      <c r="O21" s="65" t="s">
        <v>705</v>
      </c>
      <c r="P21" s="20"/>
    </row>
    <row r="22" spans="1:16" s="141" customFormat="1" ht="30" customHeight="1">
      <c r="A22" s="140" t="s">
        <v>1938</v>
      </c>
      <c r="B22" s="65" t="s">
        <v>1944</v>
      </c>
      <c r="C22" s="140" t="s">
        <v>1945</v>
      </c>
      <c r="D22" s="140" t="s">
        <v>1946</v>
      </c>
      <c r="E22" s="29" t="s">
        <v>1947</v>
      </c>
      <c r="F22" s="95">
        <v>2007</v>
      </c>
      <c r="G22" s="95">
        <v>2461</v>
      </c>
      <c r="H22" s="65" t="s">
        <v>1948</v>
      </c>
      <c r="I22" s="140">
        <v>1471</v>
      </c>
      <c r="J22" s="106">
        <v>5</v>
      </c>
      <c r="K22" s="44">
        <v>60700</v>
      </c>
      <c r="L22" s="44">
        <v>52500</v>
      </c>
      <c r="M22" s="65" t="s">
        <v>1949</v>
      </c>
      <c r="N22" s="65" t="s">
        <v>1949</v>
      </c>
      <c r="O22" s="65" t="s">
        <v>1949</v>
      </c>
      <c r="P22" s="20" t="s">
        <v>1950</v>
      </c>
    </row>
    <row r="23" spans="1:16" s="38" customFormat="1" ht="45">
      <c r="A23" s="29" t="s">
        <v>1792</v>
      </c>
      <c r="B23" s="65" t="s">
        <v>1811</v>
      </c>
      <c r="C23" s="65" t="s">
        <v>1812</v>
      </c>
      <c r="D23" s="65" t="s">
        <v>1045</v>
      </c>
      <c r="E23" s="65" t="s">
        <v>1813</v>
      </c>
      <c r="F23" s="95">
        <v>2004</v>
      </c>
      <c r="G23" s="95">
        <v>1150</v>
      </c>
      <c r="H23" s="65"/>
      <c r="I23" s="65"/>
      <c r="J23" s="106">
        <v>5</v>
      </c>
      <c r="K23" s="44">
        <v>12000</v>
      </c>
      <c r="L23" s="44">
        <v>10500</v>
      </c>
      <c r="M23" s="65" t="s">
        <v>705</v>
      </c>
      <c r="N23" s="65" t="s">
        <v>705</v>
      </c>
      <c r="O23" s="65" t="s">
        <v>705</v>
      </c>
      <c r="P23" s="20"/>
    </row>
    <row r="24" spans="1:16" s="38" customFormat="1" ht="45">
      <c r="A24" s="29" t="s">
        <v>1792</v>
      </c>
      <c r="B24" s="65" t="s">
        <v>1814</v>
      </c>
      <c r="C24" s="65" t="s">
        <v>1815</v>
      </c>
      <c r="D24" s="65" t="s">
        <v>1045</v>
      </c>
      <c r="E24" s="65" t="s">
        <v>1813</v>
      </c>
      <c r="F24" s="95">
        <v>2007</v>
      </c>
      <c r="G24" s="95">
        <v>1150</v>
      </c>
      <c r="H24" s="65"/>
      <c r="I24" s="65"/>
      <c r="J24" s="106">
        <v>5</v>
      </c>
      <c r="K24" s="44">
        <v>16600</v>
      </c>
      <c r="L24" s="44">
        <v>14800</v>
      </c>
      <c r="M24" s="65" t="s">
        <v>705</v>
      </c>
      <c r="N24" s="65" t="s">
        <v>705</v>
      </c>
      <c r="O24" s="65" t="s">
        <v>705</v>
      </c>
      <c r="P24" s="20"/>
    </row>
    <row r="25" spans="1:16" ht="30">
      <c r="A25" s="71" t="s">
        <v>695</v>
      </c>
      <c r="B25" s="65" t="s">
        <v>701</v>
      </c>
      <c r="C25" s="65" t="s">
        <v>702</v>
      </c>
      <c r="D25" s="65" t="s">
        <v>703</v>
      </c>
      <c r="E25" s="65" t="s">
        <v>704</v>
      </c>
      <c r="F25" s="95">
        <v>2005</v>
      </c>
      <c r="G25" s="95">
        <v>1150</v>
      </c>
      <c r="H25" s="65"/>
      <c r="I25" s="106" t="s">
        <v>219</v>
      </c>
      <c r="J25" s="106">
        <v>5</v>
      </c>
      <c r="K25" s="65">
        <v>13400</v>
      </c>
      <c r="L25" s="65">
        <v>11600</v>
      </c>
      <c r="M25" s="65" t="s">
        <v>705</v>
      </c>
      <c r="N25" s="65" t="s">
        <v>705</v>
      </c>
      <c r="O25" s="65" t="s">
        <v>705</v>
      </c>
      <c r="P25" s="20" t="s">
        <v>706</v>
      </c>
    </row>
    <row r="26" spans="1:16" ht="30">
      <c r="A26" s="136" t="s">
        <v>695</v>
      </c>
      <c r="B26" s="65" t="s">
        <v>707</v>
      </c>
      <c r="C26" s="65" t="s">
        <v>708</v>
      </c>
      <c r="D26" s="65" t="s">
        <v>703</v>
      </c>
      <c r="E26" s="65" t="s">
        <v>709</v>
      </c>
      <c r="F26" s="95">
        <v>2005</v>
      </c>
      <c r="G26" s="95">
        <v>1108</v>
      </c>
      <c r="H26" s="65"/>
      <c r="I26" s="106" t="s">
        <v>219</v>
      </c>
      <c r="J26" s="106">
        <v>5</v>
      </c>
      <c r="K26" s="65">
        <v>3170</v>
      </c>
      <c r="L26" s="65">
        <v>2800</v>
      </c>
      <c r="M26" s="65" t="s">
        <v>705</v>
      </c>
      <c r="N26" s="65" t="s">
        <v>705</v>
      </c>
      <c r="O26" s="65"/>
      <c r="P26" s="20" t="s">
        <v>706</v>
      </c>
    </row>
    <row r="27" spans="1:16" ht="60">
      <c r="A27" s="71" t="s">
        <v>695</v>
      </c>
      <c r="B27" s="65" t="s">
        <v>710</v>
      </c>
      <c r="C27" s="65" t="s">
        <v>711</v>
      </c>
      <c r="D27" s="65" t="s">
        <v>703</v>
      </c>
      <c r="E27" s="65" t="s">
        <v>712</v>
      </c>
      <c r="F27" s="95">
        <v>2007</v>
      </c>
      <c r="G27" s="95">
        <v>1896</v>
      </c>
      <c r="H27" s="65"/>
      <c r="I27" s="106" t="s">
        <v>219</v>
      </c>
      <c r="J27" s="106">
        <v>9</v>
      </c>
      <c r="K27" s="65">
        <v>59900</v>
      </c>
      <c r="L27" s="65">
        <v>51000</v>
      </c>
      <c r="M27" s="65" t="s">
        <v>1972</v>
      </c>
      <c r="N27" s="65" t="s">
        <v>1972</v>
      </c>
      <c r="O27" s="65" t="s">
        <v>1972</v>
      </c>
      <c r="P27" s="20" t="s">
        <v>713</v>
      </c>
    </row>
    <row r="28" spans="1:16" ht="30">
      <c r="A28" s="71" t="s">
        <v>695</v>
      </c>
      <c r="B28" s="65" t="s">
        <v>714</v>
      </c>
      <c r="C28" s="106">
        <v>390835</v>
      </c>
      <c r="D28" s="65" t="s">
        <v>715</v>
      </c>
      <c r="E28" s="65" t="s">
        <v>716</v>
      </c>
      <c r="F28" s="95">
        <v>1992</v>
      </c>
      <c r="G28" s="95" t="s">
        <v>219</v>
      </c>
      <c r="H28" s="65"/>
      <c r="I28" s="106">
        <v>770</v>
      </c>
      <c r="J28" s="106">
        <v>7</v>
      </c>
      <c r="K28" s="65" t="s">
        <v>717</v>
      </c>
      <c r="L28" s="65"/>
      <c r="M28" s="65" t="s">
        <v>219</v>
      </c>
      <c r="N28" s="65" t="s">
        <v>705</v>
      </c>
      <c r="O28" s="65" t="s">
        <v>705</v>
      </c>
      <c r="P28" s="20"/>
    </row>
    <row r="29" spans="1:16" ht="30">
      <c r="A29" s="71" t="s">
        <v>695</v>
      </c>
      <c r="B29" s="65" t="s">
        <v>718</v>
      </c>
      <c r="C29" s="106">
        <v>114527</v>
      </c>
      <c r="D29" s="65" t="s">
        <v>719</v>
      </c>
      <c r="E29" s="65" t="s">
        <v>720</v>
      </c>
      <c r="F29" s="95">
        <v>1997</v>
      </c>
      <c r="G29" s="95"/>
      <c r="H29" s="65" t="s">
        <v>409</v>
      </c>
      <c r="I29" s="106">
        <v>12000</v>
      </c>
      <c r="J29" s="106">
        <v>2</v>
      </c>
      <c r="K29" s="65" t="s">
        <v>717</v>
      </c>
      <c r="L29" s="65"/>
      <c r="M29" s="65" t="s">
        <v>219</v>
      </c>
      <c r="N29" s="65" t="s">
        <v>705</v>
      </c>
      <c r="O29" s="65" t="s">
        <v>705</v>
      </c>
      <c r="P29" s="20" t="s">
        <v>108</v>
      </c>
    </row>
    <row r="30" spans="1:16" ht="30">
      <c r="A30" s="71" t="s">
        <v>695</v>
      </c>
      <c r="B30" s="65" t="s">
        <v>721</v>
      </c>
      <c r="C30" s="106">
        <v>103023</v>
      </c>
      <c r="D30" s="65" t="s">
        <v>722</v>
      </c>
      <c r="E30" s="65" t="s">
        <v>723</v>
      </c>
      <c r="F30" s="95">
        <v>1982</v>
      </c>
      <c r="G30" s="95" t="s">
        <v>219</v>
      </c>
      <c r="H30" s="65"/>
      <c r="I30" s="106">
        <v>3500</v>
      </c>
      <c r="J30" s="106" t="s">
        <v>219</v>
      </c>
      <c r="K30" s="65" t="s">
        <v>717</v>
      </c>
      <c r="L30" s="65"/>
      <c r="M30" s="65" t="s">
        <v>219</v>
      </c>
      <c r="N30" s="137" t="s">
        <v>219</v>
      </c>
      <c r="O30" s="65" t="s">
        <v>705</v>
      </c>
      <c r="P30" s="20" t="s">
        <v>108</v>
      </c>
    </row>
    <row r="31" spans="1:16" ht="30">
      <c r="A31" s="71" t="s">
        <v>695</v>
      </c>
      <c r="B31" s="65" t="s">
        <v>724</v>
      </c>
      <c r="C31" s="106">
        <v>3935</v>
      </c>
      <c r="D31" s="65" t="s">
        <v>725</v>
      </c>
      <c r="E31" s="65" t="s">
        <v>726</v>
      </c>
      <c r="F31" s="95">
        <v>1983</v>
      </c>
      <c r="G31" s="95" t="s">
        <v>219</v>
      </c>
      <c r="H31" s="65"/>
      <c r="I31" s="106">
        <v>2435</v>
      </c>
      <c r="J31" s="106">
        <v>1</v>
      </c>
      <c r="K31" s="65" t="s">
        <v>717</v>
      </c>
      <c r="L31" s="65"/>
      <c r="M31" s="65" t="s">
        <v>219</v>
      </c>
      <c r="N31" s="65" t="s">
        <v>705</v>
      </c>
      <c r="O31" s="65" t="s">
        <v>705</v>
      </c>
      <c r="P31" s="20" t="s">
        <v>108</v>
      </c>
    </row>
    <row r="32" spans="1:16" ht="30">
      <c r="A32" s="71" t="s">
        <v>695</v>
      </c>
      <c r="B32" s="65" t="s">
        <v>727</v>
      </c>
      <c r="C32" s="106">
        <v>75326</v>
      </c>
      <c r="D32" s="65" t="s">
        <v>728</v>
      </c>
      <c r="E32" s="65" t="s">
        <v>729</v>
      </c>
      <c r="F32" s="95">
        <v>1988</v>
      </c>
      <c r="G32" s="95">
        <v>172</v>
      </c>
      <c r="H32" s="65"/>
      <c r="I32" s="106" t="s">
        <v>219</v>
      </c>
      <c r="J32" s="106">
        <v>2</v>
      </c>
      <c r="K32" s="65" t="s">
        <v>717</v>
      </c>
      <c r="L32" s="65"/>
      <c r="M32" s="65" t="s">
        <v>219</v>
      </c>
      <c r="N32" s="65" t="s">
        <v>705</v>
      </c>
      <c r="O32" s="65" t="s">
        <v>705</v>
      </c>
      <c r="P32" s="20" t="s">
        <v>108</v>
      </c>
    </row>
    <row r="33" spans="1:16" ht="30">
      <c r="A33" s="71" t="s">
        <v>695</v>
      </c>
      <c r="B33" s="65" t="s">
        <v>730</v>
      </c>
      <c r="C33" s="106">
        <v>3418044</v>
      </c>
      <c r="D33" s="65" t="s">
        <v>728</v>
      </c>
      <c r="E33" s="65" t="s">
        <v>731</v>
      </c>
      <c r="F33" s="95">
        <v>1984</v>
      </c>
      <c r="G33" s="95">
        <v>125</v>
      </c>
      <c r="H33" s="65"/>
      <c r="I33" s="106" t="s">
        <v>219</v>
      </c>
      <c r="J33" s="106">
        <v>2</v>
      </c>
      <c r="K33" s="65" t="s">
        <v>717</v>
      </c>
      <c r="L33" s="65"/>
      <c r="M33" s="65" t="s">
        <v>219</v>
      </c>
      <c r="N33" s="65" t="s">
        <v>705</v>
      </c>
      <c r="O33" s="65" t="s">
        <v>705</v>
      </c>
      <c r="P33" s="20" t="s">
        <v>108</v>
      </c>
    </row>
    <row r="34" spans="1:16" ht="30">
      <c r="A34" s="71" t="s">
        <v>695</v>
      </c>
      <c r="B34" s="65" t="s">
        <v>732</v>
      </c>
      <c r="C34" s="106" t="s">
        <v>733</v>
      </c>
      <c r="D34" s="65" t="s">
        <v>734</v>
      </c>
      <c r="E34" s="65" t="s">
        <v>735</v>
      </c>
      <c r="F34" s="95">
        <v>2010</v>
      </c>
      <c r="G34" s="95" t="s">
        <v>219</v>
      </c>
      <c r="H34" s="65"/>
      <c r="I34" s="106">
        <v>1170</v>
      </c>
      <c r="J34" s="106" t="s">
        <v>219</v>
      </c>
      <c r="K34" s="65" t="s">
        <v>717</v>
      </c>
      <c r="L34" s="65"/>
      <c r="M34" s="65" t="s">
        <v>219</v>
      </c>
      <c r="N34" s="137" t="s">
        <v>219</v>
      </c>
      <c r="O34" s="65" t="s">
        <v>705</v>
      </c>
      <c r="P34" s="20" t="s">
        <v>108</v>
      </c>
    </row>
    <row r="35" spans="1:16" ht="60">
      <c r="A35" s="29" t="s">
        <v>807</v>
      </c>
      <c r="B35" s="65" t="s">
        <v>847</v>
      </c>
      <c r="C35" s="106" t="s">
        <v>848</v>
      </c>
      <c r="D35" s="65" t="s">
        <v>849</v>
      </c>
      <c r="E35" s="65" t="s">
        <v>850</v>
      </c>
      <c r="F35" s="95">
        <v>1998</v>
      </c>
      <c r="G35" s="95">
        <v>1598</v>
      </c>
      <c r="H35" s="65" t="s">
        <v>851</v>
      </c>
      <c r="I35" s="106" t="s">
        <v>852</v>
      </c>
      <c r="J35" s="106">
        <v>2</v>
      </c>
      <c r="K35" s="65" t="s">
        <v>717</v>
      </c>
      <c r="L35" s="65"/>
      <c r="M35" s="65" t="s">
        <v>219</v>
      </c>
      <c r="N35" s="65" t="s">
        <v>705</v>
      </c>
      <c r="O35" s="65" t="s">
        <v>705</v>
      </c>
      <c r="P35" s="20"/>
    </row>
    <row r="36" spans="1:16" ht="60">
      <c r="A36" s="29" t="s">
        <v>807</v>
      </c>
      <c r="B36" s="65" t="s">
        <v>853</v>
      </c>
      <c r="C36" s="106" t="s">
        <v>854</v>
      </c>
      <c r="D36" s="65" t="s">
        <v>849</v>
      </c>
      <c r="E36" s="65" t="s">
        <v>855</v>
      </c>
      <c r="F36" s="95">
        <v>2006</v>
      </c>
      <c r="G36" s="95">
        <v>1461</v>
      </c>
      <c r="H36" s="65" t="s">
        <v>856</v>
      </c>
      <c r="I36" s="106" t="s">
        <v>857</v>
      </c>
      <c r="J36" s="106">
        <v>2</v>
      </c>
      <c r="K36" s="65"/>
      <c r="L36" s="65"/>
      <c r="M36" s="65" t="s">
        <v>219</v>
      </c>
      <c r="N36" s="65" t="s">
        <v>858</v>
      </c>
      <c r="O36" s="65" t="s">
        <v>858</v>
      </c>
      <c r="P36" s="20" t="s">
        <v>859</v>
      </c>
    </row>
    <row r="37" spans="1:16">
      <c r="A37" s="29" t="s">
        <v>884</v>
      </c>
      <c r="B37" s="65" t="s">
        <v>885</v>
      </c>
      <c r="C37" s="106" t="s">
        <v>886</v>
      </c>
      <c r="D37" s="65" t="s">
        <v>887</v>
      </c>
      <c r="E37" s="65" t="s">
        <v>888</v>
      </c>
      <c r="F37" s="95">
        <v>2003</v>
      </c>
      <c r="G37" s="95" t="s">
        <v>889</v>
      </c>
      <c r="H37" s="65" t="s">
        <v>890</v>
      </c>
      <c r="I37" s="106" t="s">
        <v>891</v>
      </c>
      <c r="J37" s="106">
        <v>5</v>
      </c>
      <c r="K37" s="65">
        <v>10400</v>
      </c>
      <c r="L37" s="65">
        <v>8900</v>
      </c>
      <c r="M37" s="65" t="s">
        <v>705</v>
      </c>
      <c r="N37" s="65" t="s">
        <v>705</v>
      </c>
      <c r="O37" s="65" t="s">
        <v>705</v>
      </c>
      <c r="P37" s="65" t="s">
        <v>859</v>
      </c>
    </row>
    <row r="38" spans="1:16" ht="90">
      <c r="A38" s="29" t="s">
        <v>917</v>
      </c>
      <c r="B38" s="65" t="s">
        <v>923</v>
      </c>
      <c r="C38" s="106" t="s">
        <v>924</v>
      </c>
      <c r="D38" s="65" t="s">
        <v>703</v>
      </c>
      <c r="E38" s="65" t="s">
        <v>925</v>
      </c>
      <c r="F38" s="95">
        <v>2005</v>
      </c>
      <c r="G38" s="95">
        <v>1896</v>
      </c>
      <c r="H38" s="65" t="s">
        <v>926</v>
      </c>
      <c r="I38" s="106" t="s">
        <v>927</v>
      </c>
      <c r="J38" s="106">
        <v>9</v>
      </c>
      <c r="K38" s="65">
        <v>41500</v>
      </c>
      <c r="L38" s="65">
        <v>35400</v>
      </c>
      <c r="M38" s="65" t="s">
        <v>705</v>
      </c>
      <c r="N38" s="65" t="s">
        <v>705</v>
      </c>
      <c r="O38" s="65" t="s">
        <v>705</v>
      </c>
      <c r="P38" s="20" t="s">
        <v>928</v>
      </c>
    </row>
    <row r="39" spans="1:16" ht="105">
      <c r="A39" s="71" t="s">
        <v>929</v>
      </c>
      <c r="B39" s="65" t="s">
        <v>998</v>
      </c>
      <c r="C39" s="65" t="s">
        <v>999</v>
      </c>
      <c r="D39" s="65" t="s">
        <v>1000</v>
      </c>
      <c r="E39" s="65" t="s">
        <v>1001</v>
      </c>
      <c r="F39" s="95">
        <v>2006</v>
      </c>
      <c r="G39" s="95">
        <v>1896</v>
      </c>
      <c r="H39" s="65" t="s">
        <v>1002</v>
      </c>
      <c r="I39" s="65">
        <v>905</v>
      </c>
      <c r="J39" s="106" t="s">
        <v>1003</v>
      </c>
      <c r="K39" s="65">
        <v>54180</v>
      </c>
      <c r="L39" s="65">
        <v>47100</v>
      </c>
      <c r="M39" s="65" t="s">
        <v>705</v>
      </c>
      <c r="N39" s="65" t="s">
        <v>705</v>
      </c>
      <c r="O39" s="65" t="s">
        <v>705</v>
      </c>
      <c r="P39" s="20" t="s">
        <v>1004</v>
      </c>
    </row>
    <row r="40" spans="1:16" ht="30">
      <c r="A40" s="71" t="s">
        <v>1035</v>
      </c>
      <c r="B40" s="65" t="s">
        <v>1043</v>
      </c>
      <c r="C40" s="65" t="s">
        <v>1044</v>
      </c>
      <c r="D40" s="65" t="s">
        <v>1045</v>
      </c>
      <c r="E40" s="65" t="s">
        <v>1046</v>
      </c>
      <c r="F40" s="95">
        <v>1990</v>
      </c>
      <c r="G40" s="95">
        <v>1481</v>
      </c>
      <c r="H40" s="65"/>
      <c r="I40" s="65"/>
      <c r="J40" s="106" t="s">
        <v>503</v>
      </c>
      <c r="K40" s="65"/>
      <c r="L40" s="65"/>
      <c r="M40" s="65"/>
      <c r="N40" s="65" t="s">
        <v>705</v>
      </c>
      <c r="O40" s="65" t="s">
        <v>705</v>
      </c>
      <c r="P40" s="20"/>
    </row>
    <row r="41" spans="1:16" ht="30">
      <c r="A41" s="71" t="s">
        <v>1035</v>
      </c>
      <c r="B41" s="65" t="s">
        <v>1047</v>
      </c>
      <c r="C41" s="65" t="s">
        <v>1048</v>
      </c>
      <c r="D41" s="65" t="s">
        <v>1045</v>
      </c>
      <c r="E41" s="65" t="s">
        <v>1049</v>
      </c>
      <c r="F41" s="95" t="s">
        <v>1050</v>
      </c>
      <c r="G41" s="95" t="s">
        <v>1051</v>
      </c>
      <c r="H41" s="65"/>
      <c r="I41" s="65"/>
      <c r="J41" s="106" t="s">
        <v>326</v>
      </c>
      <c r="K41" s="65"/>
      <c r="L41" s="65"/>
      <c r="M41" s="65"/>
      <c r="N41" s="65" t="s">
        <v>705</v>
      </c>
      <c r="O41" s="65" t="s">
        <v>705</v>
      </c>
      <c r="P41" s="20"/>
    </row>
    <row r="42" spans="1:16" ht="30">
      <c r="A42" s="71" t="s">
        <v>1035</v>
      </c>
      <c r="B42" s="65" t="s">
        <v>1052</v>
      </c>
      <c r="C42" s="65" t="s">
        <v>1053</v>
      </c>
      <c r="D42" s="65" t="s">
        <v>1045</v>
      </c>
      <c r="E42" s="65" t="s">
        <v>1054</v>
      </c>
      <c r="F42" s="95" t="s">
        <v>1055</v>
      </c>
      <c r="G42" s="95" t="s">
        <v>1056</v>
      </c>
      <c r="H42" s="65"/>
      <c r="I42" s="65"/>
      <c r="J42" s="106" t="s">
        <v>503</v>
      </c>
      <c r="K42" s="65"/>
      <c r="L42" s="65"/>
      <c r="M42" s="65"/>
      <c r="N42" s="65" t="s">
        <v>705</v>
      </c>
      <c r="O42" s="65" t="s">
        <v>705</v>
      </c>
      <c r="P42" s="20"/>
    </row>
    <row r="43" spans="1:16" ht="30">
      <c r="A43" s="71" t="s">
        <v>1035</v>
      </c>
      <c r="B43" s="65" t="s">
        <v>1057</v>
      </c>
      <c r="C43" s="65" t="s">
        <v>1058</v>
      </c>
      <c r="D43" s="65" t="s">
        <v>1045</v>
      </c>
      <c r="E43" s="65" t="s">
        <v>1059</v>
      </c>
      <c r="F43" s="95" t="s">
        <v>1060</v>
      </c>
      <c r="G43" s="95" t="s">
        <v>1061</v>
      </c>
      <c r="H43" s="65"/>
      <c r="I43" s="65"/>
      <c r="J43" s="106" t="s">
        <v>503</v>
      </c>
      <c r="K43" s="65"/>
      <c r="L43" s="65"/>
      <c r="M43" s="65"/>
      <c r="N43" s="65" t="s">
        <v>705</v>
      </c>
      <c r="O43" s="65" t="s">
        <v>705</v>
      </c>
      <c r="P43" s="20"/>
    </row>
    <row r="44" spans="1:16" ht="120">
      <c r="A44" s="71" t="s">
        <v>1288</v>
      </c>
      <c r="B44" s="65" t="s">
        <v>1300</v>
      </c>
      <c r="C44" s="65" t="s">
        <v>1301</v>
      </c>
      <c r="D44" s="65" t="s">
        <v>1302</v>
      </c>
      <c r="E44" s="65" t="s">
        <v>1303</v>
      </c>
      <c r="F44" s="95">
        <v>1997</v>
      </c>
      <c r="G44" s="95" t="s">
        <v>1304</v>
      </c>
      <c r="H44" s="65" t="s">
        <v>1305</v>
      </c>
      <c r="I44" s="65"/>
      <c r="J44" s="106">
        <v>5</v>
      </c>
      <c r="K44" s="65">
        <v>2340</v>
      </c>
      <c r="L44" s="65">
        <v>2000</v>
      </c>
      <c r="M44" s="65" t="s">
        <v>705</v>
      </c>
      <c r="N44" s="65" t="s">
        <v>705</v>
      </c>
      <c r="O44" s="65" t="s">
        <v>705</v>
      </c>
      <c r="P44" s="65" t="s">
        <v>1306</v>
      </c>
    </row>
    <row r="45" spans="1:16" ht="30">
      <c r="A45" s="71" t="s">
        <v>1035</v>
      </c>
      <c r="B45" s="65" t="s">
        <v>1062</v>
      </c>
      <c r="C45" s="65" t="s">
        <v>1063</v>
      </c>
      <c r="D45" s="65" t="s">
        <v>1045</v>
      </c>
      <c r="E45" s="65" t="s">
        <v>1064</v>
      </c>
      <c r="F45" s="95" t="s">
        <v>1065</v>
      </c>
      <c r="G45" s="95" t="s">
        <v>1066</v>
      </c>
      <c r="H45" s="65" t="s">
        <v>1067</v>
      </c>
      <c r="I45" s="65"/>
      <c r="J45" s="106" t="s">
        <v>109</v>
      </c>
      <c r="K45" s="65">
        <v>4410</v>
      </c>
      <c r="L45" s="65">
        <v>3800</v>
      </c>
      <c r="M45" s="65" t="s">
        <v>705</v>
      </c>
      <c r="N45" s="65" t="s">
        <v>705</v>
      </c>
      <c r="O45" s="65" t="s">
        <v>705</v>
      </c>
      <c r="P45" s="20"/>
    </row>
    <row r="46" spans="1:16" ht="30">
      <c r="A46" s="29" t="s">
        <v>1087</v>
      </c>
      <c r="B46" s="65" t="s">
        <v>1094</v>
      </c>
      <c r="C46" s="65" t="s">
        <v>1095</v>
      </c>
      <c r="D46" s="65" t="s">
        <v>703</v>
      </c>
      <c r="E46" s="65" t="s">
        <v>1096</v>
      </c>
      <c r="F46" s="95">
        <v>2007</v>
      </c>
      <c r="G46" s="95">
        <v>2148</v>
      </c>
      <c r="H46" s="65" t="s">
        <v>1097</v>
      </c>
      <c r="I46" s="65">
        <v>0</v>
      </c>
      <c r="J46" s="106">
        <v>9</v>
      </c>
      <c r="K46" s="65">
        <v>56300</v>
      </c>
      <c r="L46" s="65">
        <v>47500</v>
      </c>
      <c r="M46" s="114">
        <v>41274</v>
      </c>
      <c r="N46" s="114">
        <v>40908</v>
      </c>
      <c r="O46" s="114">
        <v>41274</v>
      </c>
      <c r="P46" s="20"/>
    </row>
    <row r="47" spans="1:16" ht="30">
      <c r="A47" s="29" t="s">
        <v>1087</v>
      </c>
      <c r="B47" s="65" t="s">
        <v>1098</v>
      </c>
      <c r="C47" s="65" t="s">
        <v>1099</v>
      </c>
      <c r="D47" s="65" t="s">
        <v>1100</v>
      </c>
      <c r="E47" s="65" t="s">
        <v>1101</v>
      </c>
      <c r="F47" s="95">
        <v>2007</v>
      </c>
      <c r="G47" s="95">
        <v>0</v>
      </c>
      <c r="H47" s="95">
        <v>0</v>
      </c>
      <c r="I47" s="65" t="s">
        <v>1102</v>
      </c>
      <c r="J47" s="106">
        <v>0</v>
      </c>
      <c r="K47" s="65">
        <v>2250</v>
      </c>
      <c r="L47" s="65">
        <v>2000</v>
      </c>
      <c r="M47" s="114">
        <v>41274</v>
      </c>
      <c r="N47" s="114"/>
      <c r="O47" s="114">
        <v>41274</v>
      </c>
      <c r="P47" s="20"/>
    </row>
    <row r="48" spans="1:16" ht="30">
      <c r="A48" s="29" t="s">
        <v>1087</v>
      </c>
      <c r="B48" s="65" t="s">
        <v>1103</v>
      </c>
      <c r="C48" s="65" t="s">
        <v>1104</v>
      </c>
      <c r="D48" s="65" t="s">
        <v>1105</v>
      </c>
      <c r="E48" s="65" t="s">
        <v>1106</v>
      </c>
      <c r="F48" s="95">
        <v>2000</v>
      </c>
      <c r="G48" s="95">
        <v>0</v>
      </c>
      <c r="H48" s="95">
        <v>0</v>
      </c>
      <c r="I48" s="65" t="s">
        <v>1107</v>
      </c>
      <c r="J48" s="106">
        <v>0</v>
      </c>
      <c r="K48" s="65">
        <v>3149.1</v>
      </c>
      <c r="L48" s="65">
        <v>2800</v>
      </c>
      <c r="M48" s="114">
        <v>41274</v>
      </c>
      <c r="N48" s="114"/>
      <c r="O48" s="114">
        <v>41274</v>
      </c>
      <c r="P48" s="20"/>
    </row>
    <row r="49" spans="1:16" ht="30">
      <c r="A49" s="29" t="s">
        <v>1108</v>
      </c>
      <c r="B49" s="65" t="s">
        <v>1147</v>
      </c>
      <c r="C49" s="95">
        <v>2651704017</v>
      </c>
      <c r="D49" s="65" t="s">
        <v>719</v>
      </c>
      <c r="E49" s="65" t="s">
        <v>1148</v>
      </c>
      <c r="F49" s="95">
        <v>1986</v>
      </c>
      <c r="G49" s="95">
        <v>3595</v>
      </c>
      <c r="H49" s="65"/>
      <c r="I49" s="65" t="s">
        <v>1149</v>
      </c>
      <c r="J49" s="106">
        <v>2</v>
      </c>
      <c r="K49" s="65" t="s">
        <v>1042</v>
      </c>
      <c r="L49" s="65"/>
      <c r="M49" s="65"/>
      <c r="N49" s="65" t="s">
        <v>705</v>
      </c>
      <c r="O49" s="65" t="s">
        <v>705</v>
      </c>
      <c r="P49" s="20"/>
    </row>
    <row r="50" spans="1:16" ht="30">
      <c r="A50" s="29" t="s">
        <v>1108</v>
      </c>
      <c r="B50" s="65" t="s">
        <v>1971</v>
      </c>
      <c r="C50" s="95">
        <v>40865</v>
      </c>
      <c r="D50" s="65" t="s">
        <v>1105</v>
      </c>
      <c r="E50" s="65" t="s">
        <v>1150</v>
      </c>
      <c r="F50" s="95">
        <v>1987</v>
      </c>
      <c r="G50" s="95"/>
      <c r="H50" s="65"/>
      <c r="I50" s="65" t="s">
        <v>1151</v>
      </c>
      <c r="J50" s="106">
        <v>0</v>
      </c>
      <c r="K50" s="65" t="s">
        <v>1042</v>
      </c>
      <c r="L50" s="65"/>
      <c r="M50" s="65"/>
      <c r="N50" s="65"/>
      <c r="O50" s="65" t="s">
        <v>705</v>
      </c>
      <c r="P50" s="20"/>
    </row>
    <row r="51" spans="1:16" ht="30">
      <c r="A51" s="29" t="s">
        <v>1108</v>
      </c>
      <c r="B51" s="65" t="s">
        <v>1152</v>
      </c>
      <c r="C51" s="65" t="s">
        <v>1153</v>
      </c>
      <c r="D51" s="65" t="s">
        <v>703</v>
      </c>
      <c r="E51" s="65" t="s">
        <v>1154</v>
      </c>
      <c r="F51" s="95">
        <v>1996</v>
      </c>
      <c r="G51" s="95">
        <v>1598</v>
      </c>
      <c r="H51" s="65"/>
      <c r="I51" s="65">
        <v>0</v>
      </c>
      <c r="J51" s="106">
        <v>5</v>
      </c>
      <c r="K51" s="65" t="s">
        <v>1042</v>
      </c>
      <c r="L51" s="65"/>
      <c r="M51" s="65"/>
      <c r="N51" s="65" t="s">
        <v>705</v>
      </c>
      <c r="O51" s="65" t="s">
        <v>705</v>
      </c>
      <c r="P51" s="20"/>
    </row>
    <row r="52" spans="1:16" ht="30">
      <c r="A52" s="29" t="s">
        <v>1108</v>
      </c>
      <c r="B52" s="65" t="s">
        <v>1155</v>
      </c>
      <c r="C52" s="65" t="s">
        <v>1156</v>
      </c>
      <c r="D52" s="65" t="s">
        <v>703</v>
      </c>
      <c r="E52" s="65" t="s">
        <v>1157</v>
      </c>
      <c r="F52" s="95">
        <v>1993</v>
      </c>
      <c r="G52" s="95">
        <v>1896</v>
      </c>
      <c r="H52" s="65"/>
      <c r="I52" s="65">
        <v>0</v>
      </c>
      <c r="J52" s="106">
        <v>9</v>
      </c>
      <c r="K52" s="65" t="s">
        <v>1042</v>
      </c>
      <c r="L52" s="65"/>
      <c r="M52" s="65"/>
      <c r="N52" s="65" t="s">
        <v>705</v>
      </c>
      <c r="O52" s="65" t="s">
        <v>705</v>
      </c>
      <c r="P52" s="20" t="s">
        <v>706</v>
      </c>
    </row>
    <row r="53" spans="1:16" ht="60">
      <c r="A53" s="29" t="s">
        <v>1108</v>
      </c>
      <c r="B53" s="65" t="s">
        <v>1158</v>
      </c>
      <c r="C53" s="65" t="s">
        <v>1159</v>
      </c>
      <c r="D53" s="65" t="s">
        <v>703</v>
      </c>
      <c r="E53" s="65" t="s">
        <v>1160</v>
      </c>
      <c r="F53" s="95">
        <v>2008</v>
      </c>
      <c r="G53" s="95">
        <v>1896</v>
      </c>
      <c r="H53" s="65"/>
      <c r="I53" s="65">
        <v>0</v>
      </c>
      <c r="J53" s="106">
        <v>9</v>
      </c>
      <c r="K53" s="65">
        <v>69800</v>
      </c>
      <c r="L53" s="65">
        <v>60000</v>
      </c>
      <c r="M53" s="65" t="s">
        <v>705</v>
      </c>
      <c r="N53" s="65" t="s">
        <v>705</v>
      </c>
      <c r="O53" s="65" t="s">
        <v>705</v>
      </c>
      <c r="P53" s="20" t="s">
        <v>1161</v>
      </c>
    </row>
    <row r="54" spans="1:16" ht="60">
      <c r="A54" s="29" t="s">
        <v>1108</v>
      </c>
      <c r="B54" s="65" t="s">
        <v>1162</v>
      </c>
      <c r="C54" s="65" t="s">
        <v>1163</v>
      </c>
      <c r="D54" s="65" t="s">
        <v>703</v>
      </c>
      <c r="E54" s="65" t="s">
        <v>1164</v>
      </c>
      <c r="F54" s="95">
        <v>2012</v>
      </c>
      <c r="G54" s="95">
        <v>2000</v>
      </c>
      <c r="H54" s="65" t="s">
        <v>1165</v>
      </c>
      <c r="I54" s="65">
        <v>0</v>
      </c>
      <c r="J54" s="106">
        <v>9</v>
      </c>
      <c r="K54" s="65">
        <v>128535</v>
      </c>
      <c r="L54" s="65">
        <v>109500</v>
      </c>
      <c r="M54" s="65" t="s">
        <v>1166</v>
      </c>
      <c r="N54" s="65" t="s">
        <v>1166</v>
      </c>
      <c r="O54" s="65" t="s">
        <v>1166</v>
      </c>
      <c r="P54" s="20" t="s">
        <v>1161</v>
      </c>
    </row>
    <row r="55" spans="1:16" ht="60">
      <c r="A55" s="115" t="s">
        <v>1232</v>
      </c>
      <c r="B55" s="65" t="s">
        <v>1233</v>
      </c>
      <c r="C55" s="65" t="s">
        <v>1234</v>
      </c>
      <c r="D55" s="65" t="s">
        <v>1235</v>
      </c>
      <c r="E55" s="65" t="s">
        <v>1236</v>
      </c>
      <c r="F55" s="95">
        <v>2012</v>
      </c>
      <c r="G55" s="95" t="s">
        <v>1237</v>
      </c>
      <c r="H55" s="65" t="s">
        <v>1238</v>
      </c>
      <c r="I55" s="65" t="s">
        <v>1239</v>
      </c>
      <c r="J55" s="106">
        <v>9</v>
      </c>
      <c r="K55" s="65">
        <v>130380</v>
      </c>
      <c r="L55" s="65">
        <v>111000</v>
      </c>
      <c r="M55" s="65" t="s">
        <v>1240</v>
      </c>
      <c r="N55" s="65" t="s">
        <v>1240</v>
      </c>
      <c r="O55" s="65" t="s">
        <v>1240</v>
      </c>
      <c r="P55" s="20"/>
    </row>
    <row r="56" spans="1:16" ht="60">
      <c r="A56" s="116" t="s">
        <v>1232</v>
      </c>
      <c r="B56" s="65" t="s">
        <v>1241</v>
      </c>
      <c r="C56" s="65" t="s">
        <v>1242</v>
      </c>
      <c r="D56" s="65" t="s">
        <v>1235</v>
      </c>
      <c r="E56" s="65" t="s">
        <v>1243</v>
      </c>
      <c r="F56" s="95">
        <v>1996</v>
      </c>
      <c r="G56" s="95" t="s">
        <v>1244</v>
      </c>
      <c r="H56" s="65" t="s">
        <v>1245</v>
      </c>
      <c r="I56" s="65" t="s">
        <v>1246</v>
      </c>
      <c r="J56" s="106">
        <v>3</v>
      </c>
      <c r="K56" s="65">
        <v>7650</v>
      </c>
      <c r="L56" s="65">
        <v>6500</v>
      </c>
      <c r="M56" s="65" t="s">
        <v>1247</v>
      </c>
      <c r="N56" s="65" t="s">
        <v>1247</v>
      </c>
      <c r="O56" s="65" t="s">
        <v>1247</v>
      </c>
      <c r="P56" s="20"/>
    </row>
    <row r="57" spans="1:16" ht="30">
      <c r="A57" s="29" t="s">
        <v>1248</v>
      </c>
      <c r="B57" s="65" t="s">
        <v>1260</v>
      </c>
      <c r="C57" s="65" t="s">
        <v>1261</v>
      </c>
      <c r="D57" s="65" t="s">
        <v>1262</v>
      </c>
      <c r="E57" s="65" t="s">
        <v>1263</v>
      </c>
      <c r="F57" s="95">
        <v>2008</v>
      </c>
      <c r="G57" s="95" t="s">
        <v>1264</v>
      </c>
      <c r="H57" s="65" t="s">
        <v>1265</v>
      </c>
      <c r="I57" s="65" t="s">
        <v>1266</v>
      </c>
      <c r="J57" s="106">
        <v>9</v>
      </c>
      <c r="K57" s="65">
        <v>79600</v>
      </c>
      <c r="L57" s="65">
        <v>68000</v>
      </c>
      <c r="M57" s="65" t="s">
        <v>705</v>
      </c>
      <c r="N57" s="65" t="s">
        <v>705</v>
      </c>
      <c r="O57" s="65" t="s">
        <v>705</v>
      </c>
      <c r="P57" s="20" t="s">
        <v>1267</v>
      </c>
    </row>
    <row r="58" spans="1:16" ht="30">
      <c r="A58" s="29" t="s">
        <v>1248</v>
      </c>
      <c r="B58" s="65" t="s">
        <v>1268</v>
      </c>
      <c r="C58" s="65" t="s">
        <v>1269</v>
      </c>
      <c r="D58" s="65" t="s">
        <v>1262</v>
      </c>
      <c r="E58" s="65" t="s">
        <v>1270</v>
      </c>
      <c r="F58" s="95">
        <v>1999</v>
      </c>
      <c r="G58" s="95" t="s">
        <v>1271</v>
      </c>
      <c r="H58" s="65" t="s">
        <v>1272</v>
      </c>
      <c r="I58" s="65" t="s">
        <v>1273</v>
      </c>
      <c r="J58" s="106">
        <v>5</v>
      </c>
      <c r="K58" s="65">
        <v>6400</v>
      </c>
      <c r="L58" s="65">
        <v>5500</v>
      </c>
      <c r="M58" s="65" t="s">
        <v>705</v>
      </c>
      <c r="N58" s="65" t="s">
        <v>705</v>
      </c>
      <c r="O58" s="65" t="s">
        <v>705</v>
      </c>
      <c r="P58" s="20" t="s">
        <v>1267</v>
      </c>
    </row>
    <row r="59" spans="1:16" ht="60">
      <c r="A59" s="29" t="s">
        <v>1308</v>
      </c>
      <c r="B59" s="65" t="s">
        <v>1334</v>
      </c>
      <c r="C59" s="65" t="s">
        <v>1335</v>
      </c>
      <c r="D59" s="65" t="s">
        <v>1336</v>
      </c>
      <c r="E59" s="65" t="s">
        <v>1263</v>
      </c>
      <c r="F59" s="95">
        <v>2006</v>
      </c>
      <c r="G59" s="95">
        <v>1896</v>
      </c>
      <c r="H59" s="65"/>
      <c r="I59" s="65"/>
      <c r="J59" s="106">
        <v>9</v>
      </c>
      <c r="K59" s="65">
        <v>59200</v>
      </c>
      <c r="L59" s="65">
        <v>50300</v>
      </c>
      <c r="M59" s="65" t="s">
        <v>705</v>
      </c>
      <c r="N59" s="65" t="s">
        <v>705</v>
      </c>
      <c r="O59" s="65" t="s">
        <v>705</v>
      </c>
      <c r="P59" s="20"/>
    </row>
    <row r="60" spans="1:16" ht="45">
      <c r="A60" s="29" t="s">
        <v>1356</v>
      </c>
      <c r="B60" s="65" t="s">
        <v>1384</v>
      </c>
      <c r="C60" s="65" t="s">
        <v>1385</v>
      </c>
      <c r="D60" s="65" t="s">
        <v>887</v>
      </c>
      <c r="E60" s="65" t="s">
        <v>1386</v>
      </c>
      <c r="F60" s="95">
        <v>2005</v>
      </c>
      <c r="G60" s="95" t="s">
        <v>1387</v>
      </c>
      <c r="H60" s="65" t="s">
        <v>1388</v>
      </c>
      <c r="I60" s="65">
        <v>1.54</v>
      </c>
      <c r="J60" s="106">
        <v>2</v>
      </c>
      <c r="K60" s="142">
        <v>14600</v>
      </c>
      <c r="L60" s="65">
        <v>12500</v>
      </c>
      <c r="M60" s="65" t="s">
        <v>705</v>
      </c>
      <c r="N60" s="65" t="s">
        <v>705</v>
      </c>
      <c r="O60" s="65" t="s">
        <v>705</v>
      </c>
      <c r="P60" s="20" t="s">
        <v>1389</v>
      </c>
    </row>
    <row r="61" spans="1:16" ht="45">
      <c r="A61" s="29" t="s">
        <v>1356</v>
      </c>
      <c r="B61" s="65" t="s">
        <v>1390</v>
      </c>
      <c r="C61" s="65" t="s">
        <v>1391</v>
      </c>
      <c r="D61" s="65" t="s">
        <v>887</v>
      </c>
      <c r="E61" s="65" t="s">
        <v>1392</v>
      </c>
      <c r="F61" s="95" t="s">
        <v>1393</v>
      </c>
      <c r="G61" s="95" t="s">
        <v>1066</v>
      </c>
      <c r="H61" s="65" t="s">
        <v>1394</v>
      </c>
      <c r="I61" s="65">
        <v>2.66</v>
      </c>
      <c r="J61" s="106">
        <v>6</v>
      </c>
      <c r="K61" s="142">
        <v>5700</v>
      </c>
      <c r="L61" s="65">
        <v>4900</v>
      </c>
      <c r="M61" s="65" t="s">
        <v>705</v>
      </c>
      <c r="N61" s="65" t="s">
        <v>705</v>
      </c>
      <c r="O61" s="65" t="s">
        <v>705</v>
      </c>
      <c r="P61" s="20" t="s">
        <v>1395</v>
      </c>
    </row>
    <row r="62" spans="1:16" ht="45">
      <c r="A62" s="29" t="s">
        <v>1356</v>
      </c>
      <c r="B62" s="65" t="s">
        <v>1396</v>
      </c>
      <c r="C62" s="65" t="s">
        <v>1397</v>
      </c>
      <c r="D62" s="65" t="s">
        <v>887</v>
      </c>
      <c r="E62" s="65" t="s">
        <v>1398</v>
      </c>
      <c r="F62" s="95">
        <v>2008</v>
      </c>
      <c r="G62" s="95" t="s">
        <v>1393</v>
      </c>
      <c r="H62" s="65" t="s">
        <v>1399</v>
      </c>
      <c r="I62" s="65">
        <v>4.96</v>
      </c>
      <c r="J62" s="106">
        <v>6</v>
      </c>
      <c r="K62" s="65"/>
      <c r="L62" s="65"/>
      <c r="M62" s="65"/>
      <c r="N62" s="65" t="s">
        <v>1400</v>
      </c>
      <c r="O62" s="65" t="s">
        <v>1400</v>
      </c>
      <c r="P62" s="20" t="s">
        <v>1389</v>
      </c>
    </row>
    <row r="63" spans="1:16" ht="45">
      <c r="A63" s="29" t="s">
        <v>1426</v>
      </c>
      <c r="B63" s="65" t="s">
        <v>1427</v>
      </c>
      <c r="C63" s="65" t="s">
        <v>1428</v>
      </c>
      <c r="D63" s="65" t="s">
        <v>1302</v>
      </c>
      <c r="E63" s="65" t="s">
        <v>1429</v>
      </c>
      <c r="F63" s="95">
        <v>2003</v>
      </c>
      <c r="G63" s="95" t="s">
        <v>1430</v>
      </c>
      <c r="H63" s="65" t="s">
        <v>1431</v>
      </c>
      <c r="I63" s="65">
        <v>0.505</v>
      </c>
      <c r="J63" s="106">
        <v>4</v>
      </c>
      <c r="K63" s="65">
        <v>19950</v>
      </c>
      <c r="L63" s="65">
        <v>17000</v>
      </c>
      <c r="M63" s="65" t="s">
        <v>705</v>
      </c>
      <c r="N63" s="65" t="s">
        <v>705</v>
      </c>
      <c r="O63" s="65" t="s">
        <v>705</v>
      </c>
      <c r="P63" s="65" t="s">
        <v>1432</v>
      </c>
    </row>
    <row r="64" spans="1:16" ht="45">
      <c r="A64" s="29" t="s">
        <v>1433</v>
      </c>
      <c r="B64" s="65" t="s">
        <v>1469</v>
      </c>
      <c r="C64" s="65" t="s">
        <v>1470</v>
      </c>
      <c r="D64" s="65" t="s">
        <v>703</v>
      </c>
      <c r="E64" s="65" t="s">
        <v>1471</v>
      </c>
      <c r="F64" s="95">
        <v>1998</v>
      </c>
      <c r="G64" s="95">
        <v>1600</v>
      </c>
      <c r="H64" s="65" t="s">
        <v>1472</v>
      </c>
      <c r="I64" s="65" t="s">
        <v>1473</v>
      </c>
      <c r="J64" s="106" t="s">
        <v>1474</v>
      </c>
      <c r="K64" s="65">
        <v>1980</v>
      </c>
      <c r="L64" s="65">
        <v>1650</v>
      </c>
      <c r="M64" s="65" t="s">
        <v>705</v>
      </c>
      <c r="N64" s="65" t="s">
        <v>705</v>
      </c>
      <c r="O64" s="65" t="s">
        <v>705</v>
      </c>
      <c r="P64" s="20" t="s">
        <v>1475</v>
      </c>
    </row>
    <row r="65" spans="1:16" ht="30">
      <c r="A65" s="29" t="s">
        <v>1539</v>
      </c>
      <c r="B65" s="65" t="s">
        <v>1540</v>
      </c>
      <c r="C65" s="65" t="s">
        <v>1541</v>
      </c>
      <c r="D65" s="65" t="s">
        <v>1542</v>
      </c>
      <c r="E65" s="65" t="s">
        <v>1543</v>
      </c>
      <c r="F65" s="95">
        <v>2000</v>
      </c>
      <c r="G65" s="95">
        <v>1868</v>
      </c>
      <c r="H65" s="65" t="s">
        <v>1544</v>
      </c>
      <c r="I65" s="65" t="s">
        <v>1545</v>
      </c>
      <c r="J65" s="106">
        <v>5</v>
      </c>
      <c r="K65" s="65">
        <v>7300</v>
      </c>
      <c r="L65" s="65">
        <v>6200</v>
      </c>
      <c r="M65" s="65" t="s">
        <v>705</v>
      </c>
      <c r="N65" s="65" t="s">
        <v>705</v>
      </c>
      <c r="O65" s="65" t="s">
        <v>705</v>
      </c>
      <c r="P65" s="65" t="s">
        <v>1389</v>
      </c>
    </row>
  </sheetData>
  <mergeCells count="1">
    <mergeCell ref="F1:T1"/>
  </mergeCells>
  <phoneticPr fontId="0" type="noConversion"/>
  <pageMargins left="0.75" right="0.75" top="1" bottom="1" header="0.5" footer="0.5"/>
  <pageSetup paperSize="9" scale="77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>
      <selection activeCell="F7" sqref="F7"/>
    </sheetView>
  </sheetViews>
  <sheetFormatPr defaultRowHeight="12.75"/>
  <cols>
    <col min="1" max="1" width="54.140625" customWidth="1"/>
    <col min="2" max="2" width="15" customWidth="1"/>
    <col min="3" max="3" width="23" customWidth="1"/>
    <col min="4" max="4" width="16.7109375" customWidth="1"/>
  </cols>
  <sheetData>
    <row r="1" spans="1:4" ht="15.75">
      <c r="A1" s="208" t="s">
        <v>1974</v>
      </c>
      <c r="B1" s="208"/>
      <c r="C1" s="208"/>
      <c r="D1" s="208"/>
    </row>
    <row r="2" spans="1:4" ht="17.25" thickBot="1">
      <c r="A2" s="146" t="s">
        <v>1993</v>
      </c>
      <c r="B2" s="147"/>
      <c r="C2" s="148"/>
      <c r="D2" s="148"/>
    </row>
    <row r="3" spans="1:4" ht="15.75" thickBot="1">
      <c r="A3" s="209">
        <v>2009</v>
      </c>
      <c r="B3" s="210"/>
      <c r="C3" s="211"/>
      <c r="D3" s="148"/>
    </row>
    <row r="4" spans="1:4" ht="45.75" thickBot="1">
      <c r="A4" s="149" t="s">
        <v>1975</v>
      </c>
      <c r="B4" s="168" t="s">
        <v>1976</v>
      </c>
      <c r="C4" s="171" t="s">
        <v>1977</v>
      </c>
      <c r="D4" s="148"/>
    </row>
    <row r="5" spans="1:4" ht="15.75">
      <c r="A5" s="150" t="s">
        <v>1978</v>
      </c>
      <c r="B5" s="151">
        <v>14</v>
      </c>
      <c r="C5" s="152">
        <v>23548.93</v>
      </c>
      <c r="D5" s="148"/>
    </row>
    <row r="6" spans="1:4" ht="15.75">
      <c r="A6" s="150" t="s">
        <v>1979</v>
      </c>
      <c r="B6" s="151">
        <v>26</v>
      </c>
      <c r="C6" s="152">
        <v>63637.31</v>
      </c>
      <c r="D6" s="148"/>
    </row>
    <row r="7" spans="1:4" ht="15.75">
      <c r="A7" s="150" t="s">
        <v>1980</v>
      </c>
      <c r="B7" s="151">
        <v>10</v>
      </c>
      <c r="C7" s="152">
        <v>3719.31</v>
      </c>
      <c r="D7" s="148"/>
    </row>
    <row r="8" spans="1:4" ht="15.75">
      <c r="A8" s="153" t="s">
        <v>1981</v>
      </c>
      <c r="B8" s="154">
        <v>7</v>
      </c>
      <c r="C8" s="155">
        <v>3400</v>
      </c>
      <c r="D8" s="148"/>
    </row>
    <row r="9" spans="1:4" ht="15.75">
      <c r="A9" s="153" t="s">
        <v>1982</v>
      </c>
      <c r="B9" s="154">
        <v>3</v>
      </c>
      <c r="C9" s="155">
        <v>1717.94</v>
      </c>
      <c r="D9" s="148"/>
    </row>
    <row r="10" spans="1:4" ht="16.5" thickBot="1">
      <c r="A10" s="156" t="s">
        <v>1983</v>
      </c>
      <c r="B10" s="157">
        <v>250</v>
      </c>
      <c r="C10" s="158">
        <v>170894.12</v>
      </c>
      <c r="D10" s="148"/>
    </row>
    <row r="11" spans="1:4" ht="16.5" thickBot="1">
      <c r="A11" s="147"/>
      <c r="B11" s="159" t="s">
        <v>1984</v>
      </c>
      <c r="C11" s="160">
        <f>SUM(C5:C10)</f>
        <v>266917.61</v>
      </c>
      <c r="D11" s="148"/>
    </row>
    <row r="12" spans="1:4" ht="15.75">
      <c r="A12" s="147"/>
      <c r="B12" s="147"/>
      <c r="C12" s="148"/>
      <c r="D12" s="148"/>
    </row>
    <row r="13" spans="1:4" ht="16.5" thickBot="1">
      <c r="A13" s="147"/>
      <c r="B13" s="147"/>
      <c r="C13" s="148"/>
      <c r="D13" s="148"/>
    </row>
    <row r="14" spans="1:4" ht="15.75" thickBot="1">
      <c r="A14" s="209">
        <v>2010</v>
      </c>
      <c r="B14" s="210"/>
      <c r="C14" s="210"/>
      <c r="D14" s="211"/>
    </row>
    <row r="15" spans="1:4" ht="45.75" thickBot="1">
      <c r="A15" s="149" t="s">
        <v>1975</v>
      </c>
      <c r="B15" s="168" t="s">
        <v>1976</v>
      </c>
      <c r="C15" s="169" t="s">
        <v>1977</v>
      </c>
      <c r="D15" s="170" t="s">
        <v>1985</v>
      </c>
    </row>
    <row r="16" spans="1:4" ht="15.75">
      <c r="A16" s="150" t="s">
        <v>1986</v>
      </c>
      <c r="B16" s="151">
        <v>1</v>
      </c>
      <c r="C16" s="161">
        <v>3815.64</v>
      </c>
      <c r="D16" s="152"/>
    </row>
    <row r="17" spans="1:4" ht="15.75">
      <c r="A17" s="153" t="s">
        <v>1978</v>
      </c>
      <c r="B17" s="154">
        <v>11</v>
      </c>
      <c r="C17" s="162">
        <v>22877.19</v>
      </c>
      <c r="D17" s="155"/>
    </row>
    <row r="18" spans="1:4" ht="15.75">
      <c r="A18" s="153" t="s">
        <v>1979</v>
      </c>
      <c r="B18" s="154">
        <v>31</v>
      </c>
      <c r="C18" s="162">
        <v>77118.86</v>
      </c>
      <c r="D18" s="155"/>
    </row>
    <row r="19" spans="1:4" ht="15.75">
      <c r="A19" s="153" t="s">
        <v>1981</v>
      </c>
      <c r="B19" s="154">
        <v>7</v>
      </c>
      <c r="C19" s="162">
        <v>4100</v>
      </c>
      <c r="D19" s="155"/>
    </row>
    <row r="20" spans="1:4" ht="15.75">
      <c r="A20" s="153" t="s">
        <v>1982</v>
      </c>
      <c r="B20" s="154">
        <v>5</v>
      </c>
      <c r="C20" s="162">
        <v>6933.61</v>
      </c>
      <c r="D20" s="155"/>
    </row>
    <row r="21" spans="1:4" ht="15.75">
      <c r="A21" s="153" t="s">
        <v>1987</v>
      </c>
      <c r="B21" s="154">
        <v>8</v>
      </c>
      <c r="C21" s="162">
        <v>8240.59</v>
      </c>
      <c r="D21" s="155"/>
    </row>
    <row r="22" spans="1:4" ht="16.5" thickBot="1">
      <c r="A22" s="163" t="s">
        <v>1983</v>
      </c>
      <c r="B22" s="157">
        <v>198</v>
      </c>
      <c r="C22" s="164">
        <v>108295.4</v>
      </c>
      <c r="D22" s="158">
        <v>3739.85</v>
      </c>
    </row>
    <row r="23" spans="1:4" ht="16.5" thickBot="1">
      <c r="A23" s="147"/>
      <c r="B23" s="165" t="s">
        <v>1988</v>
      </c>
      <c r="C23" s="166">
        <f>SUM(C16:C22)</f>
        <v>231381.28999999998</v>
      </c>
      <c r="D23" s="160">
        <f>SUM(D22)</f>
        <v>3739.85</v>
      </c>
    </row>
    <row r="24" spans="1:4" ht="15.75">
      <c r="A24" s="147"/>
      <c r="B24" s="147"/>
      <c r="C24" s="148"/>
      <c r="D24" s="148"/>
    </row>
    <row r="25" spans="1:4" ht="16.5" thickBot="1">
      <c r="A25" s="147"/>
      <c r="B25" s="147"/>
      <c r="C25" s="148"/>
      <c r="D25" s="148"/>
    </row>
    <row r="26" spans="1:4" ht="15.75" thickBot="1">
      <c r="A26" s="209" t="s">
        <v>1989</v>
      </c>
      <c r="B26" s="210"/>
      <c r="C26" s="210"/>
      <c r="D26" s="211"/>
    </row>
    <row r="27" spans="1:4" ht="45.75" thickBot="1">
      <c r="A27" s="149" t="s">
        <v>1975</v>
      </c>
      <c r="B27" s="168" t="s">
        <v>1976</v>
      </c>
      <c r="C27" s="169" t="s">
        <v>1977</v>
      </c>
      <c r="D27" s="170" t="s">
        <v>1985</v>
      </c>
    </row>
    <row r="28" spans="1:4" ht="15.75">
      <c r="A28" s="150" t="s">
        <v>1986</v>
      </c>
      <c r="B28" s="151">
        <v>11</v>
      </c>
      <c r="C28" s="161">
        <v>24971.5</v>
      </c>
      <c r="D28" s="152">
        <v>11791.65</v>
      </c>
    </row>
    <row r="29" spans="1:4" ht="15.75">
      <c r="A29" s="153" t="s">
        <v>1978</v>
      </c>
      <c r="B29" s="154">
        <v>7</v>
      </c>
      <c r="C29" s="162">
        <v>8617.5</v>
      </c>
      <c r="D29" s="155">
        <v>9046</v>
      </c>
    </row>
    <row r="30" spans="1:4" ht="15.75">
      <c r="A30" s="153" t="s">
        <v>1979</v>
      </c>
      <c r="B30" s="154">
        <v>45</v>
      </c>
      <c r="C30" s="162">
        <v>76664.36</v>
      </c>
      <c r="D30" s="155">
        <v>3159</v>
      </c>
    </row>
    <row r="31" spans="1:4" ht="15.75">
      <c r="A31" s="153" t="s">
        <v>1990</v>
      </c>
      <c r="B31" s="154">
        <v>1</v>
      </c>
      <c r="C31" s="162">
        <v>0</v>
      </c>
      <c r="D31" s="155">
        <v>1079</v>
      </c>
    </row>
    <row r="32" spans="1:4" ht="15.75">
      <c r="A32" s="153" t="s">
        <v>1991</v>
      </c>
      <c r="B32" s="154">
        <v>4</v>
      </c>
      <c r="C32" s="162">
        <v>0</v>
      </c>
      <c r="D32" s="155">
        <v>25375.05</v>
      </c>
    </row>
    <row r="33" spans="1:4" ht="15.75">
      <c r="A33" s="153" t="s">
        <v>1981</v>
      </c>
      <c r="B33" s="154">
        <v>6</v>
      </c>
      <c r="C33" s="162">
        <v>4400</v>
      </c>
      <c r="D33" s="155"/>
    </row>
    <row r="34" spans="1:4" ht="15.75">
      <c r="A34" s="153" t="s">
        <v>1982</v>
      </c>
      <c r="B34" s="154">
        <v>5</v>
      </c>
      <c r="C34" s="162">
        <v>7775.72</v>
      </c>
      <c r="D34" s="155">
        <v>3079</v>
      </c>
    </row>
    <row r="35" spans="1:4" ht="15.75">
      <c r="A35" s="153" t="s">
        <v>1987</v>
      </c>
      <c r="B35" s="154">
        <v>2</v>
      </c>
      <c r="C35" s="162">
        <v>2736.51</v>
      </c>
      <c r="D35" s="155"/>
    </row>
    <row r="36" spans="1:4" ht="16.5" thickBot="1">
      <c r="A36" s="163" t="s">
        <v>1983</v>
      </c>
      <c r="B36" s="157">
        <v>111</v>
      </c>
      <c r="C36" s="164">
        <v>24197.97</v>
      </c>
      <c r="D36" s="158">
        <v>23522.5</v>
      </c>
    </row>
    <row r="37" spans="1:4" ht="16.5" thickBot="1">
      <c r="A37" s="147"/>
      <c r="B37" s="167" t="s">
        <v>1992</v>
      </c>
      <c r="C37" s="166">
        <f>SUM(C28:C36)</f>
        <v>149363.56</v>
      </c>
      <c r="D37" s="160">
        <f>SUM(D28:D36)</f>
        <v>77052.2</v>
      </c>
    </row>
    <row r="40" spans="1:4" ht="13.5" thickBot="1"/>
    <row r="41" spans="1:4" ht="15.75" thickBot="1">
      <c r="A41" s="209" t="s">
        <v>1994</v>
      </c>
      <c r="B41" s="210"/>
      <c r="C41" s="210"/>
      <c r="D41" s="211"/>
    </row>
    <row r="42" spans="1:4" ht="45.75" thickBot="1">
      <c r="A42" s="149" t="s">
        <v>1975</v>
      </c>
      <c r="B42" s="168" t="s">
        <v>1976</v>
      </c>
      <c r="C42" s="169" t="s">
        <v>1977</v>
      </c>
      <c r="D42" s="170" t="s">
        <v>1985</v>
      </c>
    </row>
    <row r="43" spans="1:4" ht="15.75">
      <c r="A43" s="172" t="s">
        <v>1995</v>
      </c>
      <c r="B43" s="173">
        <v>22</v>
      </c>
      <c r="C43" s="174">
        <v>61870.38</v>
      </c>
      <c r="D43" s="175">
        <v>13200</v>
      </c>
    </row>
    <row r="44" spans="1:4" ht="15.75">
      <c r="A44" s="153" t="s">
        <v>1981</v>
      </c>
      <c r="B44" s="154">
        <v>3</v>
      </c>
      <c r="C44" s="162">
        <v>800</v>
      </c>
      <c r="D44" s="155"/>
    </row>
    <row r="45" spans="1:4" ht="15.75">
      <c r="A45" s="176" t="s">
        <v>1983</v>
      </c>
      <c r="B45" s="154">
        <v>18</v>
      </c>
      <c r="C45" s="162">
        <v>41163.51</v>
      </c>
      <c r="D45" s="155">
        <v>7279.97</v>
      </c>
    </row>
    <row r="46" spans="1:4" ht="16.5" thickBot="1">
      <c r="A46" s="156" t="s">
        <v>1997</v>
      </c>
      <c r="B46" s="157">
        <v>1</v>
      </c>
      <c r="C46" s="164">
        <v>599.47</v>
      </c>
      <c r="D46" s="158"/>
    </row>
    <row r="47" spans="1:4" ht="16.5" thickBot="1">
      <c r="A47" s="147"/>
      <c r="B47" s="167" t="s">
        <v>1996</v>
      </c>
      <c r="C47" s="166">
        <f>SUM(C43:C46)</f>
        <v>104433.36</v>
      </c>
      <c r="D47" s="160">
        <f>SUM(D43:D46)</f>
        <v>20479.97</v>
      </c>
    </row>
  </sheetData>
  <mergeCells count="5">
    <mergeCell ref="A1:D1"/>
    <mergeCell ref="A3:C3"/>
    <mergeCell ref="A14:D14"/>
    <mergeCell ref="A26:D26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Zakresy nazwane</vt:lpstr>
      </vt:variant>
      <vt:variant>
        <vt:i4>5</vt:i4>
      </vt:variant>
    </vt:vector>
  </HeadingPairs>
  <TitlesOfParts>
    <vt:vector size="13" baseType="lpstr">
      <vt:lpstr>1. ogień</vt:lpstr>
      <vt:lpstr>2. opis budynków</vt:lpstr>
      <vt:lpstr>3. zabezpieczenia</vt:lpstr>
      <vt:lpstr>4. protokoły</vt:lpstr>
      <vt:lpstr>5. elektronika</vt:lpstr>
      <vt:lpstr>6. oc</vt:lpstr>
      <vt:lpstr>7. pojazdy</vt:lpstr>
      <vt:lpstr>8. Szkodowość</vt:lpstr>
      <vt:lpstr>'1. ogień'!Obszar_wydruku</vt:lpstr>
      <vt:lpstr>'3. zabezpieczenia'!Obszar_wydruku</vt:lpstr>
      <vt:lpstr>'5. elektronika'!Obszar_wydruku</vt:lpstr>
      <vt:lpstr>'6. oc'!Obszar_wydruku</vt:lpstr>
      <vt:lpstr>'7. pojazdy'!Obszar_wydruku</vt:lpstr>
    </vt:vector>
  </TitlesOfParts>
  <Company>PIGIMiUR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Polska Izba Gospodarcza Import. Masz. i Urz. Roln.</dc:creator>
  <cp:lastModifiedBy>izwolinska</cp:lastModifiedBy>
  <cp:lastPrinted>2012-09-18T14:03:35Z</cp:lastPrinted>
  <dcterms:created xsi:type="dcterms:W3CDTF">2001-12-11T14:11:22Z</dcterms:created>
  <dcterms:modified xsi:type="dcterms:W3CDTF">2012-10-29T09:50:15Z</dcterms:modified>
</cp:coreProperties>
</file>