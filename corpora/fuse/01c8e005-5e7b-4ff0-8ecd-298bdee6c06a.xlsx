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15" windowWidth="18915" windowHeight="822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A7" i="1"/>
  <c r="A8" s="1"/>
  <c r="A9" s="1"/>
  <c r="A10" s="1"/>
  <c r="A11" s="1"/>
  <c r="A12" s="1"/>
  <c r="A13" s="1"/>
  <c r="A14" s="1"/>
  <c r="A15" s="1"/>
  <c r="A16" s="1"/>
  <c r="A17" s="1"/>
  <c r="A6"/>
  <c r="A5"/>
  <c r="A4"/>
  <c r="A19" l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</calcChain>
</file>

<file path=xl/sharedStrings.xml><?xml version="1.0" encoding="utf-8"?>
<sst xmlns="http://schemas.openxmlformats.org/spreadsheetml/2006/main" count="66" uniqueCount="37">
  <si>
    <t>Day</t>
  </si>
  <si>
    <t>Date</t>
  </si>
  <si>
    <t>Topic</t>
  </si>
  <si>
    <t>Wednesday</t>
  </si>
  <si>
    <t xml:space="preserve">Lecture: Overview of Course/Marketing Metrics </t>
  </si>
  <si>
    <t>Monday</t>
  </si>
  <si>
    <t xml:space="preserve">Lecture: Market Management </t>
  </si>
  <si>
    <t>Classic Knitwear - Case (HBS 4217): Submission 1</t>
  </si>
  <si>
    <t>Lecture: Market Share Performance Metrics and Share Growth</t>
  </si>
  <si>
    <t>Lecture: Pricing Metrics</t>
  </si>
  <si>
    <t>Midterm Exam Review</t>
  </si>
  <si>
    <t>Flexible class: Global</t>
  </si>
  <si>
    <t>Lecture: Advertising &amp; Promotions Management</t>
  </si>
  <si>
    <t>Course Wrap-up</t>
  </si>
  <si>
    <t>Aqualisa Quartz: (HBS 9-502-030)</t>
  </si>
  <si>
    <t>SPRING BREAK</t>
  </si>
  <si>
    <t>Marketing-Finance Interface I ((SSF Journal of Marketing 1998)/Student Group Presentations</t>
  </si>
  <si>
    <t>Student Group  Presentations</t>
  </si>
  <si>
    <t>MKT 382</t>
  </si>
  <si>
    <t>Class</t>
  </si>
  <si>
    <t>Lecture: High Technology Marketing (Product Performance)</t>
  </si>
  <si>
    <t>Professor Raji Srinivasan</t>
  </si>
  <si>
    <t>Spring 2013</t>
  </si>
  <si>
    <t>Lecture: Emerging Markets: Strategies that Fit Emerging Markets</t>
  </si>
  <si>
    <t>Lecture: Customer Relationship Management</t>
  </si>
  <si>
    <t>Lecture: BusinesstoBusinessMarketing</t>
  </si>
  <si>
    <t xml:space="preserve">Lecture: Social Media </t>
  </si>
  <si>
    <t>Overflow Class -</t>
  </si>
  <si>
    <t>Lecture :Product Management</t>
  </si>
  <si>
    <t>Harrington Collection - Case (HBS 3258): Submission 2</t>
  </si>
  <si>
    <t>Synthes (Case) (9-502-008): Submission 3</t>
  </si>
  <si>
    <t>Clean Edge: (HBS 4249): Submission 4</t>
  </si>
  <si>
    <t>Mountain Man Brewing (Case) (2069): Submission 5</t>
  </si>
  <si>
    <t>Mednet: HBS 2066: Submission 6</t>
  </si>
  <si>
    <t>Rosewood Hotels and Resorts: CRM (HBS: 2087): Submission 7</t>
  </si>
  <si>
    <t>Perelson Weiner LLP: (HBS 9-506-006): Submission 8</t>
  </si>
  <si>
    <t>Pepsi Lipton Brisk:  (HBS - 9-512-011): Submission 9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</si>
</sst>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u/>
      <sz val="12"/>
      <color indexed="8"/>
      <name val="Garamond"/>
      <family val="1"/>
    </font>
    <font>
      <sz val="12"/>
      <color indexed="8"/>
      <name val="Garamond"/>
      <family val="1"/>
    </font>
    <font>
      <b/>
      <sz val="12"/>
      <color indexed="8"/>
      <name val="Garamond"/>
      <family val="1"/>
    </font>
    <font>
      <b/>
      <sz val="14"/>
      <color theme="1"/>
      <name val="Garamond"/>
      <family val="1"/>
    </font>
    <font>
      <sz val="11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15" fontId="2" fillId="2" borderId="4" xfId="0" applyNumberFormat="1" applyFont="1" applyFill="1" applyBorder="1"/>
    <xf numFmtId="0" fontId="2" fillId="2" borderId="4" xfId="0" applyFont="1" applyFill="1" applyBorder="1"/>
    <xf numFmtId="0" fontId="0" fillId="2" borderId="0" xfId="0" applyFill="1" applyBorder="1"/>
    <xf numFmtId="0" fontId="2" fillId="2" borderId="0" xfId="0" applyFont="1" applyFill="1" applyBorder="1"/>
    <xf numFmtId="14" fontId="0" fillId="2" borderId="0" xfId="0" applyNumberFormat="1" applyFill="1" applyBorder="1"/>
    <xf numFmtId="0" fontId="3" fillId="2" borderId="4" xfId="0" applyFont="1" applyFill="1" applyBorder="1"/>
    <xf numFmtId="0" fontId="4" fillId="2" borderId="0" xfId="0" applyFont="1" applyFill="1"/>
    <xf numFmtId="0" fontId="2" fillId="2" borderId="7" xfId="0" applyFont="1" applyFill="1" applyBorder="1"/>
    <xf numFmtId="0" fontId="2" fillId="2" borderId="4" xfId="0" applyFont="1" applyFill="1" applyBorder="1" applyAlignment="1">
      <alignment wrapText="1"/>
    </xf>
    <xf numFmtId="15" fontId="5" fillId="2" borderId="0" xfId="0" applyNumberFormat="1" applyFont="1" applyFill="1"/>
    <xf numFmtId="15" fontId="5" fillId="2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tabSelected="1" topLeftCell="A7" workbookViewId="0">
      <selection activeCell="D31" sqref="D31"/>
    </sheetView>
  </sheetViews>
  <sheetFormatPr defaultRowHeight="15"/>
  <cols>
    <col min="1" max="1" width="15.42578125" customWidth="1"/>
    <col min="2" max="2" width="16" customWidth="1"/>
    <col min="3" max="3" width="17.28515625" customWidth="1"/>
    <col min="4" max="4" width="99.42578125" customWidth="1"/>
  </cols>
  <sheetData>
    <row r="1" spans="1:4" ht="18.75">
      <c r="A1" s="13" t="s">
        <v>22</v>
      </c>
      <c r="B1" s="13" t="s">
        <v>18</v>
      </c>
      <c r="C1" s="13"/>
      <c r="D1" s="13" t="s">
        <v>21</v>
      </c>
    </row>
    <row r="2" spans="1:4" ht="15.75">
      <c r="A2" s="1" t="s">
        <v>19</v>
      </c>
      <c r="B2" s="2" t="s">
        <v>0</v>
      </c>
      <c r="C2" s="3" t="s">
        <v>1</v>
      </c>
      <c r="D2" s="4" t="s">
        <v>2</v>
      </c>
    </row>
    <row r="3" spans="1:4" ht="15.75">
      <c r="A3" s="5">
        <v>1</v>
      </c>
      <c r="B3" s="6" t="s">
        <v>5</v>
      </c>
      <c r="C3" s="7">
        <v>41288</v>
      </c>
      <c r="D3" s="8" t="s">
        <v>4</v>
      </c>
    </row>
    <row r="4" spans="1:4" ht="15.75">
      <c r="A4" s="5">
        <f t="shared" ref="A4:A7" si="0">A3+1</f>
        <v>2</v>
      </c>
      <c r="B4" s="6" t="s">
        <v>3</v>
      </c>
      <c r="C4" s="7">
        <v>41290</v>
      </c>
      <c r="D4" s="8" t="s">
        <v>14</v>
      </c>
    </row>
    <row r="5" spans="1:4" ht="15.75">
      <c r="A5" s="5">
        <f t="shared" si="0"/>
        <v>3</v>
      </c>
      <c r="B5" s="6" t="s">
        <v>3</v>
      </c>
      <c r="C5" s="7">
        <v>41297</v>
      </c>
      <c r="D5" s="8" t="s">
        <v>6</v>
      </c>
    </row>
    <row r="6" spans="1:4" ht="15.75">
      <c r="A6" s="5">
        <f t="shared" si="0"/>
        <v>4</v>
      </c>
      <c r="B6" s="6" t="s">
        <v>5</v>
      </c>
      <c r="C6" s="16">
        <v>41302</v>
      </c>
      <c r="D6" s="8" t="s">
        <v>7</v>
      </c>
    </row>
    <row r="7" spans="1:4" ht="15.75">
      <c r="A7" s="5">
        <f t="shared" si="0"/>
        <v>5</v>
      </c>
      <c r="B7" s="6" t="s">
        <v>3</v>
      </c>
      <c r="C7" s="7">
        <v>41304</v>
      </c>
      <c r="D7" s="8" t="s">
        <v>8</v>
      </c>
    </row>
    <row r="8" spans="1:4" ht="15.75">
      <c r="A8" s="5">
        <f>A7+1</f>
        <v>6</v>
      </c>
      <c r="B8" s="6" t="s">
        <v>5</v>
      </c>
      <c r="C8" s="7">
        <v>41309</v>
      </c>
      <c r="D8" s="8" t="s">
        <v>29</v>
      </c>
    </row>
    <row r="9" spans="1:4" ht="15.75">
      <c r="A9" s="5">
        <f t="shared" ref="A9:A11" si="1">A8+1</f>
        <v>7</v>
      </c>
      <c r="B9" s="6" t="s">
        <v>3</v>
      </c>
      <c r="C9" s="7">
        <v>41311</v>
      </c>
      <c r="D9" s="8" t="s">
        <v>20</v>
      </c>
    </row>
    <row r="10" spans="1:4" ht="15.75">
      <c r="A10" s="5">
        <f t="shared" si="1"/>
        <v>8</v>
      </c>
      <c r="B10" s="6" t="s">
        <v>5</v>
      </c>
      <c r="C10" s="7">
        <v>41316</v>
      </c>
      <c r="D10" s="8" t="s">
        <v>30</v>
      </c>
    </row>
    <row r="11" spans="1:4" ht="15.75">
      <c r="A11" s="5">
        <f t="shared" si="1"/>
        <v>9</v>
      </c>
      <c r="B11" s="6" t="s">
        <v>3</v>
      </c>
      <c r="C11" s="7">
        <v>41318</v>
      </c>
      <c r="D11" s="8" t="s">
        <v>9</v>
      </c>
    </row>
    <row r="12" spans="1:4" ht="15.75">
      <c r="A12" s="5">
        <f t="shared" ref="A12:A32" si="2">A11+1</f>
        <v>10</v>
      </c>
      <c r="B12" s="6" t="s">
        <v>5</v>
      </c>
      <c r="C12" s="7">
        <v>41323</v>
      </c>
      <c r="D12" s="8" t="s">
        <v>31</v>
      </c>
    </row>
    <row r="13" spans="1:4" ht="15.75">
      <c r="A13" s="5">
        <f t="shared" si="2"/>
        <v>11</v>
      </c>
      <c r="B13" s="6" t="s">
        <v>3</v>
      </c>
      <c r="C13" s="7">
        <v>41325</v>
      </c>
      <c r="D13" s="8" t="s">
        <v>28</v>
      </c>
    </row>
    <row r="14" spans="1:4" ht="15" customHeight="1">
      <c r="A14" s="5">
        <f>A13+1</f>
        <v>12</v>
      </c>
      <c r="B14" s="6" t="s">
        <v>5</v>
      </c>
      <c r="C14" s="7">
        <v>41330</v>
      </c>
      <c r="D14" s="8" t="s">
        <v>32</v>
      </c>
    </row>
    <row r="15" spans="1:4" ht="15" customHeight="1">
      <c r="A15" s="5">
        <f t="shared" ref="A15:A17" si="3">A14+1</f>
        <v>13</v>
      </c>
      <c r="B15" s="6" t="s">
        <v>3</v>
      </c>
      <c r="C15" s="7">
        <v>41332</v>
      </c>
      <c r="D15" s="15" t="s">
        <v>10</v>
      </c>
    </row>
    <row r="16" spans="1:4" ht="15.75">
      <c r="A16" s="5">
        <f t="shared" si="3"/>
        <v>14</v>
      </c>
      <c r="B16" s="6" t="s">
        <v>5</v>
      </c>
      <c r="C16" s="17">
        <v>41337</v>
      </c>
      <c r="D16" s="8" t="s">
        <v>11</v>
      </c>
    </row>
    <row r="17" spans="1:4" ht="15.75">
      <c r="A17" s="5">
        <f t="shared" si="3"/>
        <v>15</v>
      </c>
      <c r="B17" s="6" t="s">
        <v>3</v>
      </c>
      <c r="C17" s="7">
        <v>41339</v>
      </c>
      <c r="D17" s="8" t="s">
        <v>11</v>
      </c>
    </row>
    <row r="18" spans="1:4" ht="15.75">
      <c r="A18" s="5"/>
      <c r="B18" s="6"/>
      <c r="C18" s="7"/>
      <c r="D18" s="12" t="s">
        <v>15</v>
      </c>
    </row>
    <row r="19" spans="1:4" ht="15.75">
      <c r="A19" s="5">
        <f>+A17+1</f>
        <v>16</v>
      </c>
      <c r="B19" s="6" t="s">
        <v>5</v>
      </c>
      <c r="C19" s="7">
        <v>41351</v>
      </c>
      <c r="D19" s="8" t="s">
        <v>23</v>
      </c>
    </row>
    <row r="20" spans="1:4" ht="15.75">
      <c r="A20" s="5">
        <f>A19+1</f>
        <v>17</v>
      </c>
      <c r="B20" s="6" t="s">
        <v>3</v>
      </c>
      <c r="C20" s="7">
        <v>41353</v>
      </c>
      <c r="D20" s="14" t="s">
        <v>27</v>
      </c>
    </row>
    <row r="21" spans="1:4" ht="15.75">
      <c r="A21" s="5">
        <f t="shared" si="2"/>
        <v>18</v>
      </c>
      <c r="B21" s="6" t="s">
        <v>5</v>
      </c>
      <c r="C21" s="7">
        <v>41358</v>
      </c>
      <c r="D21" s="8" t="s">
        <v>12</v>
      </c>
    </row>
    <row r="22" spans="1:4" ht="15.75">
      <c r="A22" s="5">
        <f t="shared" si="2"/>
        <v>19</v>
      </c>
      <c r="B22" s="6" t="s">
        <v>3</v>
      </c>
      <c r="C22" s="7">
        <v>41360</v>
      </c>
      <c r="D22" s="14" t="s">
        <v>33</v>
      </c>
    </row>
    <row r="23" spans="1:4" ht="15.75">
      <c r="A23" s="5">
        <f>A22+1</f>
        <v>20</v>
      </c>
      <c r="B23" s="6" t="s">
        <v>5</v>
      </c>
      <c r="C23" s="7">
        <v>41365</v>
      </c>
      <c r="D23" s="8" t="s">
        <v>24</v>
      </c>
    </row>
    <row r="24" spans="1:4" ht="15.75">
      <c r="A24" s="5">
        <f t="shared" si="2"/>
        <v>21</v>
      </c>
      <c r="B24" s="6" t="s">
        <v>3</v>
      </c>
      <c r="C24" s="7">
        <v>41367</v>
      </c>
      <c r="D24" s="8" t="s">
        <v>34</v>
      </c>
    </row>
    <row r="25" spans="1:4" ht="15.75">
      <c r="A25" s="5">
        <f t="shared" si="2"/>
        <v>22</v>
      </c>
      <c r="B25" s="6" t="s">
        <v>5</v>
      </c>
      <c r="C25" s="7">
        <v>41372</v>
      </c>
      <c r="D25" s="8" t="s">
        <v>25</v>
      </c>
    </row>
    <row r="26" spans="1:4" ht="15.75">
      <c r="A26" s="5">
        <f>A25+1</f>
        <v>23</v>
      </c>
      <c r="B26" s="6" t="s">
        <v>3</v>
      </c>
      <c r="C26" s="7">
        <v>41374</v>
      </c>
      <c r="D26" s="8" t="s">
        <v>35</v>
      </c>
    </row>
    <row r="27" spans="1:4" ht="15.75">
      <c r="A27" s="5">
        <f t="shared" si="2"/>
        <v>24</v>
      </c>
      <c r="B27" s="6" t="s">
        <v>5</v>
      </c>
      <c r="C27" s="7">
        <v>41379</v>
      </c>
      <c r="D27" s="8" t="s">
        <v>26</v>
      </c>
    </row>
    <row r="28" spans="1:4" ht="15.75">
      <c r="A28" s="5">
        <f t="shared" si="2"/>
        <v>25</v>
      </c>
      <c r="B28" s="6" t="s">
        <v>3</v>
      </c>
      <c r="C28" s="7">
        <v>41381</v>
      </c>
      <c r="D28" s="8" t="s">
        <v>36</v>
      </c>
    </row>
    <row r="29" spans="1:4" ht="15.75">
      <c r="A29" s="5">
        <f>A28+1</f>
        <v>26</v>
      </c>
      <c r="B29" s="6" t="s">
        <v>5</v>
      </c>
      <c r="C29" s="7">
        <v>41386</v>
      </c>
      <c r="D29" s="8" t="s">
        <v>16</v>
      </c>
    </row>
    <row r="30" spans="1:4" ht="15.75">
      <c r="A30" s="5">
        <f t="shared" si="2"/>
        <v>27</v>
      </c>
      <c r="B30" s="6" t="s">
        <v>3</v>
      </c>
      <c r="C30" s="7">
        <v>41388</v>
      </c>
      <c r="D30" s="8" t="s">
        <v>17</v>
      </c>
    </row>
    <row r="31" spans="1:4" ht="15.75">
      <c r="A31" s="5">
        <f t="shared" si="2"/>
        <v>28</v>
      </c>
      <c r="B31" s="6" t="s">
        <v>5</v>
      </c>
      <c r="C31" s="7">
        <v>41393</v>
      </c>
      <c r="D31" s="8" t="s">
        <v>17</v>
      </c>
    </row>
    <row r="32" spans="1:4" ht="15.75">
      <c r="A32" s="5">
        <f t="shared" si="2"/>
        <v>29</v>
      </c>
      <c r="B32" s="6" t="s">
        <v>3</v>
      </c>
      <c r="C32" s="7">
        <v>41395</v>
      </c>
      <c r="D32" s="8" t="s">
        <v>13</v>
      </c>
    </row>
    <row r="33" spans="1:3" ht="15.75">
      <c r="A33" s="9"/>
      <c r="B33" s="10"/>
      <c r="C33" s="11"/>
    </row>
  </sheetData>
  <pageMargins left="0.7" right="0.7" top="0.75" bottom="0.75" header="0.3" footer="0.3"/>
  <pageSetup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FF45EB59CC864BBD240126B2A3A809" ma:contentTypeVersion="0" ma:contentTypeDescription="Create a new document." ma:contentTypeScope="" ma:versionID="93b3eaaa71a7fa8dd8dc45965252b1a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444439-12BC-4D2B-8973-BE6E71B13F26}"/>
</file>

<file path=customXml/itemProps2.xml><?xml version="1.0" encoding="utf-8"?>
<ds:datastoreItem xmlns:ds="http://schemas.openxmlformats.org/officeDocument/2006/customXml" ds:itemID="{E11F26F2-05FF-41CF-81B8-96CDD22532E4}"/>
</file>

<file path=customXml/itemProps3.xml><?xml version="1.0" encoding="utf-8"?>
<ds:datastoreItem xmlns:ds="http://schemas.openxmlformats.org/officeDocument/2006/customXml" ds:itemID="{E79258DF-4FEB-40F2-B101-7870327512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University of Texas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MKT 382 Leveraging Marketing Metrics SRINIVASAN SCHEDULE 05355</dc:title>
  <dc:creator>srinivasanr</dc:creator>
  <cp:lastModifiedBy>srinivasanr</cp:lastModifiedBy>
  <cp:lastPrinted>2012-01-25T17:43:43Z</cp:lastPrinted>
  <dcterms:created xsi:type="dcterms:W3CDTF">2011-12-24T21:02:19Z</dcterms:created>
  <dcterms:modified xsi:type="dcterms:W3CDTF">2013-01-03T03:07:10Z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0x010100F7FF45EB59CC864BBD240126B2A3A809</vt:lpwstr>
  </property>
</Properties>
</file>