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1415" windowHeight="5130" activeTab="1"/>
  </bookViews>
  <sheets>
    <sheet name="Jadwal Blok" sheetId="1" r:id="rId1"/>
    <sheet name="Jadwal Non blok" sheetId="2" r:id="rId2"/>
    <sheet name="Sheet3" sheetId="3" r:id="rId3"/>
  </sheets>
  <definedNames>
    <definedName name="_xlnm.Print_Titles" localSheetId="0">'Jadwal Blok'!$1:$6</definedName>
  </definedNames>
  <calcPr calcId="114210" fullCalcOnLoad="1"/>
</workbook>
</file>

<file path=xl/calcChain.xml><?xml version="1.0" encoding="utf-8"?>
<calcChain xmlns="http://schemas.openxmlformats.org/spreadsheetml/2006/main">
  <c r="B61" i="2"/>
  <c r="I60"/>
  <c r="E60"/>
  <c r="J60"/>
  <c r="J36"/>
  <c r="J40"/>
  <c r="J44"/>
  <c r="J48"/>
  <c r="J52"/>
  <c r="J53"/>
  <c r="J54"/>
  <c r="J56"/>
  <c r="J58"/>
  <c r="T56"/>
  <c r="E56"/>
  <c r="G56"/>
  <c r="I56"/>
  <c r="C56"/>
  <c r="J55"/>
  <c r="U47"/>
  <c r="U50"/>
  <c r="I48"/>
  <c r="G48"/>
  <c r="E48"/>
  <c r="C48"/>
  <c r="J47"/>
  <c r="V43"/>
  <c r="U36"/>
  <c r="U38"/>
  <c r="U39"/>
  <c r="U40"/>
  <c r="U41"/>
  <c r="U43"/>
  <c r="T43"/>
  <c r="I40"/>
  <c r="G40"/>
  <c r="E40"/>
  <c r="C40"/>
  <c r="J39"/>
  <c r="J38"/>
  <c r="J37"/>
  <c r="V27"/>
  <c r="T27"/>
  <c r="Q27"/>
  <c r="O27"/>
  <c r="M27"/>
  <c r="K27"/>
  <c r="I27"/>
  <c r="G27"/>
  <c r="E27"/>
  <c r="C27"/>
  <c r="V18"/>
  <c r="T18"/>
  <c r="Q18"/>
  <c r="O18"/>
  <c r="M18"/>
  <c r="K18"/>
  <c r="I18"/>
  <c r="G18"/>
  <c r="E18"/>
  <c r="C18"/>
  <c r="V10"/>
  <c r="T10"/>
  <c r="O10"/>
  <c r="M10"/>
  <c r="K10"/>
  <c r="I10"/>
  <c r="G10"/>
  <c r="E10"/>
  <c r="C10"/>
  <c r="Q9"/>
  <c r="U2"/>
  <c r="N43" i="1"/>
  <c r="M43"/>
  <c r="L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K64"/>
  <c r="J64"/>
  <c r="I64"/>
  <c r="H64"/>
  <c r="G64"/>
  <c r="F64"/>
  <c r="E64"/>
  <c r="D64"/>
  <c r="M64"/>
</calcChain>
</file>

<file path=xl/sharedStrings.xml><?xml version="1.0" encoding="utf-8"?>
<sst xmlns="http://schemas.openxmlformats.org/spreadsheetml/2006/main" count="329" uniqueCount="213">
  <si>
    <t>NO</t>
  </si>
  <si>
    <t>TANGGAL</t>
  </si>
  <si>
    <t>TAHAP</t>
  </si>
  <si>
    <t>DIKLAT</t>
  </si>
  <si>
    <t>PATEMON</t>
  </si>
  <si>
    <t>BALATKOP</t>
  </si>
  <si>
    <t>BALATRANS</t>
  </si>
  <si>
    <t>DIKJUR</t>
  </si>
  <si>
    <t>BLKLN</t>
  </si>
  <si>
    <t>KUSUMA</t>
  </si>
  <si>
    <t>MURIA</t>
  </si>
  <si>
    <t>TEMPAT PELAKSANAAN</t>
  </si>
  <si>
    <t>3-12 MEI</t>
  </si>
  <si>
    <t>11-20 MEI</t>
  </si>
  <si>
    <t>12-21 MEI</t>
  </si>
  <si>
    <t>13-22 MEI</t>
  </si>
  <si>
    <t>14-23 MEI</t>
  </si>
  <si>
    <t>21-30 MEI</t>
  </si>
  <si>
    <t>22-31 MEI</t>
  </si>
  <si>
    <t>23 MEI-1 JUNI</t>
  </si>
  <si>
    <t>31 MEI-9 JUNI</t>
  </si>
  <si>
    <t>1-10 JUNI</t>
  </si>
  <si>
    <t>2-11 JUNI</t>
  </si>
  <si>
    <t>11-20 JUNI</t>
  </si>
  <si>
    <t>12-21 JUNI</t>
  </si>
  <si>
    <t>21-30 JUNI</t>
  </si>
  <si>
    <t>22 JUNI-1 JULI</t>
  </si>
  <si>
    <t>I</t>
  </si>
  <si>
    <t>II</t>
  </si>
  <si>
    <t>III</t>
  </si>
  <si>
    <t>IV</t>
  </si>
  <si>
    <t>1 -10 JULI</t>
  </si>
  <si>
    <t>V</t>
  </si>
  <si>
    <t>2-11 JULI</t>
  </si>
  <si>
    <t>7-16 JULI</t>
  </si>
  <si>
    <t>VI</t>
  </si>
  <si>
    <t>9-17 JULI</t>
  </si>
  <si>
    <t>11-20 JULI</t>
  </si>
  <si>
    <t>12-21 JULI</t>
  </si>
  <si>
    <t>18 -27 JULI</t>
  </si>
  <si>
    <t>17-26 JULI</t>
  </si>
  <si>
    <t>21-30 JULI</t>
  </si>
  <si>
    <t>22-31 JULI</t>
  </si>
  <si>
    <t>VII</t>
  </si>
  <si>
    <t>27 JULI-5 AGST</t>
  </si>
  <si>
    <t>28 JULI-6 AGST</t>
  </si>
  <si>
    <t>31 JULI-9 AGST</t>
  </si>
  <si>
    <t>1-10 AGST</t>
  </si>
  <si>
    <t>6-15 AGST</t>
  </si>
  <si>
    <t>7-16 AGSTS</t>
  </si>
  <si>
    <t>10-30 AGST</t>
  </si>
  <si>
    <t>VIII</t>
  </si>
  <si>
    <t>11-31 AGST</t>
  </si>
  <si>
    <t>RENCANA JADWAL PELAKSANAAN PLPG TIPE BLOK</t>
  </si>
  <si>
    <t>RAYON 112 UNIVERSITAS NEGERI SEMARANG</t>
  </si>
  <si>
    <t>17-26 JUNI</t>
  </si>
  <si>
    <t>27 JUNI-6 JULI</t>
  </si>
  <si>
    <t>TAHUN 2012</t>
  </si>
  <si>
    <t>SD/3</t>
  </si>
  <si>
    <t>SD/10</t>
  </si>
  <si>
    <t>SD/6</t>
  </si>
  <si>
    <t>SD/5</t>
  </si>
  <si>
    <t>SD/4</t>
  </si>
  <si>
    <t>SD/2</t>
  </si>
  <si>
    <t>SD</t>
  </si>
  <si>
    <t>TK/4</t>
  </si>
  <si>
    <t>TK/3</t>
  </si>
  <si>
    <t>TK</t>
  </si>
  <si>
    <t>PJS/2</t>
  </si>
  <si>
    <t>IPS/2, IPA/2</t>
  </si>
  <si>
    <t>PJS/4</t>
  </si>
  <si>
    <t>KIM</t>
  </si>
  <si>
    <t>PJS</t>
  </si>
  <si>
    <t>PJS/3</t>
  </si>
  <si>
    <t>16-25juli</t>
  </si>
  <si>
    <t>TIK</t>
  </si>
  <si>
    <t>PKn</t>
  </si>
  <si>
    <t>Jumlah</t>
  </si>
  <si>
    <t>Ket</t>
  </si>
  <si>
    <t>Mulok</t>
  </si>
  <si>
    <t xml:space="preserve"> S.BDY/3, PKn/1</t>
  </si>
  <si>
    <t>IPA</t>
  </si>
  <si>
    <t>IPS</t>
  </si>
  <si>
    <t>SD/4,PJS/5,Aws/1</t>
  </si>
  <si>
    <t>AWS</t>
  </si>
  <si>
    <t>BK/2</t>
  </si>
  <si>
    <t>MTK(SMA) /2, KIM/1</t>
  </si>
  <si>
    <t>TIK/3,OTO/1,PTM/1</t>
  </si>
  <si>
    <t>S.BDY/2,</t>
  </si>
  <si>
    <t xml:space="preserve"> BI(SMA)/1,JW/1</t>
  </si>
  <si>
    <t>FT</t>
  </si>
  <si>
    <t>FMIPA</t>
  </si>
  <si>
    <t>FIS</t>
  </si>
  <si>
    <t>FIP</t>
  </si>
  <si>
    <t>FBS</t>
  </si>
  <si>
    <t>FIK</t>
  </si>
  <si>
    <t>KET/2, MUL/1</t>
  </si>
  <si>
    <t>OTO</t>
  </si>
  <si>
    <t>PTM</t>
  </si>
  <si>
    <t>MAT</t>
  </si>
  <si>
    <t>SBDY</t>
  </si>
  <si>
    <t>BK</t>
  </si>
  <si>
    <t>BI</t>
  </si>
  <si>
    <t>JW</t>
  </si>
  <si>
    <t>Jml Kelas</t>
  </si>
  <si>
    <t>Fakultas</t>
  </si>
  <si>
    <t>Bidang Studi</t>
  </si>
  <si>
    <t>REKAP BIDANG STUDI PER GUGUS</t>
  </si>
  <si>
    <t>TANGGAL : 1 MEI 2012</t>
  </si>
  <si>
    <r>
      <t xml:space="preserve">JADUAL PELAKSANAAN PLPG </t>
    </r>
    <r>
      <rPr>
        <b/>
        <sz val="11"/>
        <color indexed="8"/>
        <rFont val="Calibri"/>
        <family val="2"/>
      </rPr>
      <t>NON BLOK</t>
    </r>
    <r>
      <rPr>
        <sz val="11"/>
        <color theme="1"/>
        <rFont val="Calibri"/>
        <family val="2"/>
        <scheme val="minor"/>
      </rPr>
      <t xml:space="preserve"> PER TAHAP GUGUS SERGUR RAYON 112 UNNES</t>
    </r>
  </si>
  <si>
    <t xml:space="preserve"> FIP</t>
  </si>
  <si>
    <t xml:space="preserve"> PGSD SMG</t>
  </si>
  <si>
    <t xml:space="preserve"> FBS</t>
  </si>
  <si>
    <t xml:space="preserve"> FIS</t>
  </si>
  <si>
    <t xml:space="preserve"> FMIPA</t>
  </si>
  <si>
    <t xml:space="preserve"> FT</t>
  </si>
  <si>
    <t xml:space="preserve"> FE</t>
  </si>
  <si>
    <t xml:space="preserve"> FIK A</t>
  </si>
  <si>
    <t>FIK B</t>
  </si>
  <si>
    <t>PRODI</t>
  </si>
  <si>
    <t>∑</t>
  </si>
  <si>
    <t>MATSMP/2</t>
  </si>
  <si>
    <t>PENJAS/9</t>
  </si>
  <si>
    <t>PAUD/3</t>
  </si>
  <si>
    <t>12 mei sd</t>
  </si>
  <si>
    <t>PAUD/2</t>
  </si>
  <si>
    <t xml:space="preserve">5 mei sd </t>
  </si>
  <si>
    <t>PENJAS B /4</t>
  </si>
  <si>
    <t>3 Juni 2012</t>
  </si>
  <si>
    <t xml:space="preserve">12 mei sd </t>
  </si>
  <si>
    <t>PENJAS B/5</t>
  </si>
  <si>
    <t>10 Juni 2012</t>
  </si>
  <si>
    <t>B Jawa</t>
  </si>
  <si>
    <t>MAT SMP/2</t>
  </si>
  <si>
    <t>PTM/1</t>
  </si>
  <si>
    <t>PENJAS/10</t>
  </si>
  <si>
    <t>16 Juni sd</t>
  </si>
  <si>
    <t>IND SMP/2</t>
  </si>
  <si>
    <t>IPS/3</t>
  </si>
  <si>
    <t>BIO/1</t>
  </si>
  <si>
    <t>0T0/2</t>
  </si>
  <si>
    <t>EKON/2</t>
  </si>
  <si>
    <t xml:space="preserve">9 Juni sd </t>
  </si>
  <si>
    <t>ING SMA/3</t>
  </si>
  <si>
    <t>TIK/2</t>
  </si>
  <si>
    <t>AKUNTAN/1</t>
  </si>
  <si>
    <t>8 Juli 2012</t>
  </si>
  <si>
    <t>SOSAN/1</t>
  </si>
  <si>
    <t>ELKTR/2</t>
  </si>
  <si>
    <t xml:space="preserve">16 jUNIi sd </t>
  </si>
  <si>
    <t>15 Juli  2012</t>
  </si>
  <si>
    <t>IND SMP/1</t>
  </si>
  <si>
    <t>SEJARAH/1</t>
  </si>
  <si>
    <t>FISIKA/1</t>
  </si>
  <si>
    <t>0T0/1</t>
  </si>
  <si>
    <t>21 juli sd</t>
  </si>
  <si>
    <t>ING SMA/2</t>
  </si>
  <si>
    <t>?</t>
  </si>
  <si>
    <t>GEO/1</t>
  </si>
  <si>
    <t>KIMIA/1</t>
  </si>
  <si>
    <t>K USAHA/1</t>
  </si>
  <si>
    <t xml:space="preserve">14 Juli sd </t>
  </si>
  <si>
    <t>PENJAS B /5</t>
  </si>
  <si>
    <t xml:space="preserve">12 Ags </t>
  </si>
  <si>
    <t>S Bud/2</t>
  </si>
  <si>
    <t>PKn/2</t>
  </si>
  <si>
    <t>Mat SMP/1</t>
  </si>
  <si>
    <t>PTB/1</t>
  </si>
  <si>
    <t>PMSAR/1</t>
  </si>
  <si>
    <t>22 Agustus  2012</t>
  </si>
  <si>
    <t>IND SMP SMA/1</t>
  </si>
  <si>
    <t>20/12</t>
  </si>
  <si>
    <t>IPS/2</t>
  </si>
  <si>
    <t>PTE/1</t>
  </si>
  <si>
    <t>21 Juli - 22 Agst dan</t>
  </si>
  <si>
    <t>PENJAS B/4</t>
  </si>
  <si>
    <t xml:space="preserve">dan </t>
  </si>
  <si>
    <t>T BUS/1</t>
  </si>
  <si>
    <t>25 - 26 Agust 2012</t>
  </si>
  <si>
    <t>25 sd 26</t>
  </si>
  <si>
    <t>ags</t>
  </si>
  <si>
    <t>UPS TEGAL</t>
  </si>
  <si>
    <t xml:space="preserve"> PGSD TEGAL</t>
  </si>
  <si>
    <t>FKIP UKSW</t>
  </si>
  <si>
    <t>FBS UKSW</t>
  </si>
  <si>
    <t>RINCIAN SD</t>
  </si>
  <si>
    <t>JUMLAH</t>
  </si>
  <si>
    <t>1TAHAP</t>
  </si>
  <si>
    <t>3 TAHAP</t>
  </si>
  <si>
    <t>TGL</t>
  </si>
  <si>
    <t>UKSW</t>
  </si>
  <si>
    <t>KR SMG</t>
  </si>
  <si>
    <t>fip</t>
  </si>
  <si>
    <t>MIPA</t>
  </si>
  <si>
    <t>SISA FIP</t>
  </si>
  <si>
    <t>MAT SMP/1</t>
  </si>
  <si>
    <t>Ingris SMP/2</t>
  </si>
  <si>
    <t xml:space="preserve">KOTA TGL </t>
  </si>
  <si>
    <t>PAUD</t>
  </si>
  <si>
    <t>ING SMA/1</t>
  </si>
  <si>
    <t>Kab Tegal</t>
  </si>
  <si>
    <t>sbg pemalng</t>
  </si>
  <si>
    <t>Eko</t>
  </si>
  <si>
    <t>B ind smp/2</t>
  </si>
  <si>
    <t>PKn/1</t>
  </si>
  <si>
    <t>PPKn</t>
  </si>
  <si>
    <t>TEGAL</t>
  </si>
  <si>
    <t>BREBES</t>
  </si>
  <si>
    <t>fis</t>
  </si>
  <si>
    <t>KAB TGL</t>
  </si>
  <si>
    <t>KOTA TGL</t>
  </si>
  <si>
    <t>PGSD</t>
  </si>
  <si>
    <t>∑ KLAS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</si>
</sst>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Calibri"/>
      <family val="2"/>
    </font>
    <font>
      <sz val="11"/>
      <name val="Calibri"/>
      <family val="2"/>
      <charset val="1"/>
    </font>
    <font>
      <sz val="11"/>
      <color indexed="60"/>
      <name val="Calibri"/>
      <family val="2"/>
      <charset val="1"/>
    </font>
    <font>
      <sz val="11"/>
      <color indexed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16" fontId="2" fillId="0" borderId="1" xfId="0" applyNumberFormat="1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7" fillId="2" borderId="0" xfId="0" applyFont="1" applyFill="1" applyBorder="1"/>
    <xf numFmtId="0" fontId="7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vertical="center"/>
    </xf>
    <xf numFmtId="0" fontId="7" fillId="0" borderId="1" xfId="0" applyFont="1" applyBorder="1"/>
    <xf numFmtId="0" fontId="7" fillId="5" borderId="1" xfId="0" applyFont="1" applyFill="1" applyBorder="1"/>
    <xf numFmtId="0" fontId="0" fillId="2" borderId="1" xfId="0" applyFill="1" applyBorder="1"/>
    <xf numFmtId="0" fontId="8" fillId="0" borderId="1" xfId="0" applyFont="1" applyBorder="1"/>
    <xf numFmtId="0" fontId="7" fillId="2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horizontal="center" vertical="center"/>
    </xf>
    <xf numFmtId="15" fontId="7" fillId="6" borderId="4" xfId="0" applyNumberFormat="1" applyFont="1" applyFill="1" applyBorder="1" applyAlignment="1">
      <alignment vertical="center"/>
    </xf>
    <xf numFmtId="15" fontId="7" fillId="6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/>
    <xf numFmtId="0" fontId="7" fillId="6" borderId="2" xfId="0" applyFont="1" applyFill="1" applyBorder="1" applyAlignment="1">
      <alignment horizontal="center" vertical="center"/>
    </xf>
    <xf numFmtId="0" fontId="0" fillId="6" borderId="0" xfId="0" applyFill="1"/>
    <xf numFmtId="0" fontId="7" fillId="6" borderId="3" xfId="0" applyFont="1" applyFill="1" applyBorder="1" applyAlignment="1">
      <alignment horizontal="center"/>
    </xf>
    <xf numFmtId="0" fontId="0" fillId="3" borderId="0" xfId="0" applyFill="1"/>
    <xf numFmtId="0" fontId="7" fillId="6" borderId="3" xfId="0" applyFont="1" applyFill="1" applyBorder="1" applyAlignment="1">
      <alignment vertical="center"/>
    </xf>
    <xf numFmtId="0" fontId="7" fillId="3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0" fillId="0" borderId="1" xfId="0" applyBorder="1"/>
    <xf numFmtId="0" fontId="8" fillId="5" borderId="1" xfId="0" applyFont="1" applyFill="1" applyBorder="1"/>
    <xf numFmtId="0" fontId="9" fillId="5" borderId="1" xfId="0" applyFont="1" applyFill="1" applyBorder="1"/>
    <xf numFmtId="0" fontId="7" fillId="0" borderId="0" xfId="0" applyFont="1"/>
    <xf numFmtId="0" fontId="7" fillId="5" borderId="4" xfId="0" applyFont="1" applyFill="1" applyBorder="1"/>
    <xf numFmtId="0" fontId="7" fillId="2" borderId="0" xfId="0" applyFont="1" applyFill="1"/>
    <xf numFmtId="0" fontId="7" fillId="0" borderId="5" xfId="0" applyFont="1" applyBorder="1"/>
    <xf numFmtId="0" fontId="7" fillId="3" borderId="5" xfId="0" applyFont="1" applyFill="1" applyBorder="1"/>
    <xf numFmtId="0" fontId="7" fillId="3" borderId="0" xfId="0" applyFont="1" applyFill="1"/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ill="1" applyBorder="1"/>
    <xf numFmtId="0" fontId="7" fillId="0" borderId="1" xfId="0" applyFont="1" applyBorder="1" applyAlignment="1">
      <alignment horizontal="right"/>
    </xf>
    <xf numFmtId="0" fontId="0" fillId="3" borderId="5" xfId="0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4" xfId="0" applyFill="1" applyBorder="1" applyAlignment="1">
      <alignment vertical="center"/>
    </xf>
    <xf numFmtId="0" fontId="0" fillId="0" borderId="5" xfId="0" applyBorder="1"/>
    <xf numFmtId="0" fontId="0" fillId="6" borderId="3" xfId="0" applyFill="1" applyBorder="1" applyAlignment="1">
      <alignment vertical="center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4"/>
  <sheetViews>
    <sheetView topLeftCell="A22" workbookViewId="0">
      <selection activeCell="D42" sqref="D42"/>
    </sheetView>
  </sheetViews>
  <sheetFormatPr defaultRowHeight="15"/>
  <cols>
    <col min="1" max="1" width="3.85546875" style="2" bestFit="1" customWidth="1"/>
    <col min="2" max="2" width="13.7109375" style="1" bestFit="1" customWidth="1"/>
    <col min="3" max="3" width="7" style="2" bestFit="1" customWidth="1"/>
    <col min="4" max="4" width="16.28515625" style="1" customWidth="1"/>
    <col min="5" max="5" width="10" style="1" bestFit="1" customWidth="1"/>
    <col min="6" max="6" width="10.28515625" style="1" bestFit="1" customWidth="1"/>
    <col min="7" max="7" width="14" style="1" customWidth="1"/>
    <col min="8" max="8" width="7.140625" style="1" bestFit="1" customWidth="1"/>
    <col min="9" max="9" width="6.42578125" style="1" bestFit="1" customWidth="1"/>
    <col min="10" max="10" width="9.5703125" style="1" customWidth="1"/>
    <col min="11" max="11" width="7.7109375" style="1" customWidth="1"/>
    <col min="12" max="12" width="19.140625" style="1" bestFit="1" customWidth="1"/>
    <col min="13" max="13" width="8.28515625" style="1" bestFit="1" customWidth="1"/>
    <col min="14" max="14" width="7.85546875" style="1" customWidth="1"/>
    <col min="15" max="16384" width="9.140625" style="1"/>
  </cols>
  <sheetData>
    <row r="1" spans="1:14">
      <c r="A1" s="64" t="s">
        <v>53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>
      <c r="A2" s="64" t="s">
        <v>54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>
      <c r="A3" s="64" t="s">
        <v>57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pans="1:14">
      <c r="A4" s="4" t="s">
        <v>108</v>
      </c>
      <c r="B4" s="3"/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61" t="s">
        <v>0</v>
      </c>
      <c r="B5" s="61" t="s">
        <v>1</v>
      </c>
      <c r="C5" s="61" t="s">
        <v>2</v>
      </c>
      <c r="D5" s="61" t="s">
        <v>11</v>
      </c>
      <c r="E5" s="61"/>
      <c r="F5" s="61"/>
      <c r="G5" s="61"/>
      <c r="H5" s="61"/>
      <c r="I5" s="61"/>
      <c r="J5" s="61"/>
      <c r="K5" s="61"/>
      <c r="L5" s="61"/>
      <c r="M5" s="67" t="s">
        <v>105</v>
      </c>
      <c r="N5" s="65" t="s">
        <v>104</v>
      </c>
    </row>
    <row r="6" spans="1:14" s="2" customFormat="1">
      <c r="A6" s="61"/>
      <c r="B6" s="61"/>
      <c r="C6" s="61"/>
      <c r="D6" s="11" t="s">
        <v>3</v>
      </c>
      <c r="E6" s="11" t="s">
        <v>4</v>
      </c>
      <c r="F6" s="11" t="s">
        <v>5</v>
      </c>
      <c r="G6" s="11" t="s">
        <v>6</v>
      </c>
      <c r="H6" s="11" t="s">
        <v>7</v>
      </c>
      <c r="I6" s="11" t="s">
        <v>8</v>
      </c>
      <c r="J6" s="11" t="s">
        <v>9</v>
      </c>
      <c r="K6" s="11" t="s">
        <v>10</v>
      </c>
      <c r="L6" s="11" t="s">
        <v>106</v>
      </c>
      <c r="M6" s="68"/>
      <c r="N6" s="66"/>
    </row>
    <row r="7" spans="1:14">
      <c r="A7" s="11">
        <v>1</v>
      </c>
      <c r="B7" s="6" t="s">
        <v>12</v>
      </c>
      <c r="C7" s="11" t="s">
        <v>27</v>
      </c>
      <c r="D7" s="11" t="s">
        <v>58</v>
      </c>
      <c r="E7" s="11"/>
      <c r="F7" s="11"/>
      <c r="G7" s="11"/>
      <c r="H7" s="11"/>
      <c r="I7" s="11"/>
      <c r="J7" s="11"/>
      <c r="K7" s="11"/>
      <c r="L7" s="12"/>
      <c r="M7" s="6"/>
      <c r="N7" s="6"/>
    </row>
    <row r="8" spans="1:14">
      <c r="A8" s="11">
        <v>2</v>
      </c>
      <c r="B8" s="6" t="s">
        <v>13</v>
      </c>
      <c r="C8" s="61" t="s">
        <v>28</v>
      </c>
      <c r="D8" s="11"/>
      <c r="E8" s="11" t="s">
        <v>60</v>
      </c>
      <c r="F8" s="11"/>
      <c r="G8" s="11"/>
      <c r="H8" s="11"/>
      <c r="I8" s="11"/>
      <c r="J8" s="11"/>
      <c r="K8" s="11"/>
      <c r="L8" s="11"/>
      <c r="M8" s="6"/>
      <c r="N8" s="6"/>
    </row>
    <row r="9" spans="1:14">
      <c r="A9" s="11">
        <v>3</v>
      </c>
      <c r="B9" s="6" t="s">
        <v>14</v>
      </c>
      <c r="C9" s="61"/>
      <c r="D9" s="11"/>
      <c r="E9" s="11"/>
      <c r="F9" s="11"/>
      <c r="G9" s="11"/>
      <c r="H9" s="11"/>
      <c r="I9" s="11"/>
      <c r="J9" s="11" t="s">
        <v>65</v>
      </c>
      <c r="K9" s="11"/>
      <c r="L9" s="11"/>
      <c r="M9" s="6"/>
      <c r="N9" s="6"/>
    </row>
    <row r="10" spans="1:14">
      <c r="A10" s="11">
        <v>4</v>
      </c>
      <c r="B10" s="6" t="s">
        <v>15</v>
      </c>
      <c r="C10" s="61"/>
      <c r="D10" s="7" t="s">
        <v>69</v>
      </c>
      <c r="E10" s="11"/>
      <c r="F10" s="11"/>
      <c r="G10" s="11"/>
      <c r="H10" s="11"/>
      <c r="I10" s="11"/>
      <c r="J10" s="11"/>
      <c r="K10" s="11"/>
      <c r="L10" s="12"/>
      <c r="M10" s="6"/>
      <c r="N10" s="12"/>
    </row>
    <row r="11" spans="1:14">
      <c r="A11" s="11">
        <v>5</v>
      </c>
      <c r="B11" s="6" t="s">
        <v>16</v>
      </c>
      <c r="C11" s="61"/>
      <c r="D11" s="11"/>
      <c r="E11" s="11"/>
      <c r="F11" s="11"/>
      <c r="G11" s="11"/>
      <c r="H11" s="11"/>
      <c r="I11" s="11"/>
      <c r="J11" s="7"/>
      <c r="K11" s="11" t="s">
        <v>63</v>
      </c>
      <c r="L11" s="11"/>
      <c r="M11" s="6"/>
      <c r="N11" s="6"/>
    </row>
    <row r="12" spans="1:14">
      <c r="A12" s="11">
        <v>6</v>
      </c>
      <c r="B12" s="8" t="s">
        <v>17</v>
      </c>
      <c r="C12" s="62" t="s">
        <v>29</v>
      </c>
      <c r="D12" s="10"/>
      <c r="E12" s="10" t="s">
        <v>60</v>
      </c>
      <c r="F12" s="10"/>
      <c r="G12" s="11"/>
      <c r="H12" s="11"/>
      <c r="I12" s="11"/>
      <c r="J12" s="11"/>
      <c r="K12" s="11"/>
      <c r="L12" s="11"/>
      <c r="M12" s="6"/>
      <c r="N12" s="6"/>
    </row>
    <row r="13" spans="1:14">
      <c r="A13" s="11">
        <v>7</v>
      </c>
      <c r="B13" s="8" t="s">
        <v>18</v>
      </c>
      <c r="C13" s="62"/>
      <c r="D13" s="10"/>
      <c r="E13" s="10"/>
      <c r="F13" s="10"/>
      <c r="G13" s="11"/>
      <c r="H13" s="11"/>
      <c r="I13" s="11"/>
      <c r="J13" s="11" t="s">
        <v>65</v>
      </c>
      <c r="K13" s="11"/>
      <c r="L13" s="11"/>
      <c r="M13" s="6"/>
      <c r="N13" s="6"/>
    </row>
    <row r="14" spans="1:14">
      <c r="A14" s="11">
        <v>8</v>
      </c>
      <c r="B14" s="8" t="s">
        <v>19</v>
      </c>
      <c r="C14" s="62"/>
      <c r="D14" s="10" t="s">
        <v>58</v>
      </c>
      <c r="E14" s="10"/>
      <c r="F14" s="10"/>
      <c r="G14" s="11"/>
      <c r="H14" s="11"/>
      <c r="I14" s="11"/>
      <c r="J14" s="11"/>
      <c r="K14" s="11" t="s">
        <v>63</v>
      </c>
      <c r="L14" s="12"/>
      <c r="M14" s="6"/>
      <c r="N14" s="6"/>
    </row>
    <row r="15" spans="1:14">
      <c r="A15" s="11">
        <v>9</v>
      </c>
      <c r="B15" s="8" t="s">
        <v>20</v>
      </c>
      <c r="C15" s="62"/>
      <c r="D15" s="10"/>
      <c r="E15" s="10" t="s">
        <v>60</v>
      </c>
      <c r="F15" s="10"/>
      <c r="G15" s="11"/>
      <c r="H15" s="11"/>
      <c r="I15" s="11"/>
      <c r="J15" s="11"/>
      <c r="K15" s="11"/>
      <c r="L15" s="11"/>
      <c r="M15" s="6"/>
      <c r="N15" s="6"/>
    </row>
    <row r="16" spans="1:14">
      <c r="A16" s="11">
        <v>10</v>
      </c>
      <c r="B16" s="8" t="s">
        <v>21</v>
      </c>
      <c r="C16" s="62"/>
      <c r="D16" s="10"/>
      <c r="E16" s="10"/>
      <c r="F16" s="10"/>
      <c r="G16" s="11"/>
      <c r="H16" s="11"/>
      <c r="I16" s="11"/>
      <c r="J16" s="11" t="s">
        <v>62</v>
      </c>
      <c r="K16" s="11"/>
      <c r="L16" s="11"/>
      <c r="M16" s="6"/>
      <c r="N16" s="6"/>
    </row>
    <row r="17" spans="1:14">
      <c r="A17" s="11">
        <v>11</v>
      </c>
      <c r="B17" s="8" t="s">
        <v>22</v>
      </c>
      <c r="C17" s="62"/>
      <c r="D17" s="10" t="s">
        <v>73</v>
      </c>
      <c r="E17" s="10"/>
      <c r="F17" s="10"/>
      <c r="G17" s="11" t="s">
        <v>58</v>
      </c>
      <c r="H17" s="11"/>
      <c r="I17" s="11"/>
      <c r="J17" s="11"/>
      <c r="K17" s="11"/>
      <c r="L17" s="12"/>
      <c r="M17" s="6"/>
      <c r="N17" s="6"/>
    </row>
    <row r="18" spans="1:14">
      <c r="A18" s="11">
        <v>12</v>
      </c>
      <c r="B18" s="8" t="s">
        <v>23</v>
      </c>
      <c r="C18" s="62" t="s">
        <v>30</v>
      </c>
      <c r="D18" s="10"/>
      <c r="E18" s="10"/>
      <c r="F18" s="10"/>
      <c r="G18" s="11"/>
      <c r="H18" s="11"/>
      <c r="I18" s="11"/>
      <c r="J18" s="11" t="s">
        <v>62</v>
      </c>
      <c r="K18" s="11"/>
      <c r="L18" s="11"/>
      <c r="M18" s="6"/>
      <c r="N18" s="6"/>
    </row>
    <row r="19" spans="1:14">
      <c r="A19" s="11">
        <v>13</v>
      </c>
      <c r="B19" s="8" t="s">
        <v>24</v>
      </c>
      <c r="C19" s="62"/>
      <c r="D19" s="10" t="s">
        <v>66</v>
      </c>
      <c r="E19" s="10"/>
      <c r="F19" s="10"/>
      <c r="G19" s="11" t="s">
        <v>58</v>
      </c>
      <c r="H19" s="11"/>
      <c r="I19" s="11"/>
      <c r="J19" s="11"/>
      <c r="K19" s="11"/>
      <c r="L19" s="11"/>
      <c r="M19" s="6"/>
      <c r="N19" s="6"/>
    </row>
    <row r="20" spans="1:14">
      <c r="A20" s="11">
        <v>14</v>
      </c>
      <c r="B20" s="8" t="s">
        <v>55</v>
      </c>
      <c r="C20" s="62"/>
      <c r="D20" s="10"/>
      <c r="E20" s="10" t="s">
        <v>60</v>
      </c>
      <c r="F20" s="10"/>
      <c r="G20" s="11"/>
      <c r="H20" s="11"/>
      <c r="I20" s="11"/>
      <c r="J20" s="11"/>
      <c r="K20" s="11"/>
      <c r="L20" s="11"/>
      <c r="M20" s="6"/>
      <c r="N20" s="6"/>
    </row>
    <row r="21" spans="1:14">
      <c r="A21" s="11">
        <v>15</v>
      </c>
      <c r="B21" s="8" t="s">
        <v>25</v>
      </c>
      <c r="C21" s="62"/>
      <c r="D21" s="10" t="s">
        <v>73</v>
      </c>
      <c r="E21" s="10"/>
      <c r="F21" s="10"/>
      <c r="G21" s="11"/>
      <c r="H21" s="11"/>
      <c r="I21" s="11"/>
      <c r="J21" s="11" t="s">
        <v>62</v>
      </c>
      <c r="K21" s="11" t="s">
        <v>63</v>
      </c>
      <c r="L21" s="11"/>
      <c r="M21" s="6"/>
      <c r="N21" s="12"/>
    </row>
    <row r="22" spans="1:14">
      <c r="A22" s="11">
        <v>16</v>
      </c>
      <c r="B22" s="8" t="s">
        <v>26</v>
      </c>
      <c r="C22" s="62" t="s">
        <v>32</v>
      </c>
      <c r="D22" s="10"/>
      <c r="E22" s="10"/>
      <c r="F22" s="10"/>
      <c r="G22" s="11" t="s">
        <v>58</v>
      </c>
      <c r="H22" s="11"/>
      <c r="I22" s="11"/>
      <c r="J22" s="11"/>
      <c r="K22" s="11"/>
      <c r="L22" s="12"/>
      <c r="M22" s="6"/>
      <c r="N22" s="6"/>
    </row>
    <row r="23" spans="1:14">
      <c r="A23" s="11">
        <v>17</v>
      </c>
      <c r="B23" s="8" t="s">
        <v>56</v>
      </c>
      <c r="C23" s="62"/>
      <c r="D23" s="10"/>
      <c r="E23" s="10" t="s">
        <v>60</v>
      </c>
      <c r="F23" s="10"/>
      <c r="G23" s="11"/>
      <c r="H23" s="11"/>
      <c r="I23" s="11"/>
      <c r="J23" s="11"/>
      <c r="K23" s="11"/>
      <c r="L23" s="11"/>
      <c r="M23" s="6"/>
      <c r="N23" s="6"/>
    </row>
    <row r="24" spans="1:14">
      <c r="A24" s="11">
        <v>18</v>
      </c>
      <c r="B24" s="8" t="s">
        <v>31</v>
      </c>
      <c r="C24" s="62"/>
      <c r="D24" s="10" t="s">
        <v>66</v>
      </c>
      <c r="E24" s="10"/>
      <c r="F24" s="10"/>
      <c r="G24" s="11"/>
      <c r="H24" s="11"/>
      <c r="I24" s="11"/>
      <c r="J24" s="11" t="s">
        <v>62</v>
      </c>
      <c r="K24" s="11"/>
      <c r="L24" s="11"/>
      <c r="M24" s="6"/>
      <c r="N24" s="6"/>
    </row>
    <row r="25" spans="1:14">
      <c r="A25" s="11">
        <v>19</v>
      </c>
      <c r="B25" s="8" t="s">
        <v>33</v>
      </c>
      <c r="C25" s="62"/>
      <c r="D25" s="10"/>
      <c r="E25" s="10"/>
      <c r="F25" s="10"/>
      <c r="G25" s="11" t="s">
        <v>58</v>
      </c>
      <c r="H25" s="11"/>
      <c r="I25" s="11"/>
      <c r="J25" s="11"/>
      <c r="K25" s="11"/>
      <c r="L25" s="12"/>
      <c r="M25" s="6"/>
      <c r="N25" s="6"/>
    </row>
    <row r="26" spans="1:14">
      <c r="A26" s="11">
        <v>20</v>
      </c>
      <c r="B26" s="8" t="s">
        <v>34</v>
      </c>
      <c r="C26" s="62" t="s">
        <v>35</v>
      </c>
      <c r="D26" s="10"/>
      <c r="E26" s="10" t="s">
        <v>60</v>
      </c>
      <c r="F26" s="10"/>
      <c r="G26" s="11"/>
      <c r="H26" s="11"/>
      <c r="I26" s="11"/>
      <c r="J26" s="11"/>
      <c r="K26" s="11"/>
      <c r="L26" s="11"/>
      <c r="M26" s="6"/>
      <c r="N26" s="6"/>
    </row>
    <row r="27" spans="1:14">
      <c r="A27" s="11">
        <v>21</v>
      </c>
      <c r="B27" s="9" t="s">
        <v>36</v>
      </c>
      <c r="C27" s="62"/>
      <c r="D27" s="10"/>
      <c r="E27" s="10"/>
      <c r="F27" s="10"/>
      <c r="G27" s="11"/>
      <c r="H27" s="11"/>
      <c r="I27" s="11" t="s">
        <v>63</v>
      </c>
      <c r="J27" s="11"/>
      <c r="K27" s="11"/>
      <c r="L27" s="11"/>
      <c r="M27" s="6"/>
      <c r="N27" s="6"/>
    </row>
    <row r="28" spans="1:14">
      <c r="A28" s="11">
        <v>22</v>
      </c>
      <c r="B28" s="8" t="s">
        <v>37</v>
      </c>
      <c r="C28" s="62"/>
      <c r="D28" s="10" t="s">
        <v>59</v>
      </c>
      <c r="E28" s="10"/>
      <c r="F28" s="10"/>
      <c r="G28" s="11"/>
      <c r="H28" s="11"/>
      <c r="I28" s="11"/>
      <c r="J28" s="11" t="s">
        <v>65</v>
      </c>
      <c r="K28" s="11"/>
      <c r="L28" s="11"/>
      <c r="M28" s="6"/>
      <c r="N28" s="12"/>
    </row>
    <row r="29" spans="1:14">
      <c r="A29" s="11">
        <v>23</v>
      </c>
      <c r="B29" s="8" t="s">
        <v>38</v>
      </c>
      <c r="C29" s="62"/>
      <c r="D29" s="10"/>
      <c r="E29" s="10"/>
      <c r="F29" s="10"/>
      <c r="G29" s="11" t="s">
        <v>58</v>
      </c>
      <c r="H29" s="12"/>
      <c r="I29" s="11"/>
      <c r="J29" s="11"/>
      <c r="K29" s="11"/>
      <c r="L29" s="12"/>
      <c r="M29" s="6"/>
      <c r="N29" s="12"/>
    </row>
    <row r="30" spans="1:14">
      <c r="A30" s="11">
        <v>24</v>
      </c>
      <c r="B30" s="8" t="s">
        <v>74</v>
      </c>
      <c r="C30" s="62"/>
      <c r="D30" s="10"/>
      <c r="E30" s="10"/>
      <c r="F30" s="10"/>
      <c r="G30" s="11"/>
      <c r="H30" s="11" t="s">
        <v>62</v>
      </c>
      <c r="I30" s="11"/>
      <c r="J30" s="11"/>
      <c r="K30" s="11"/>
      <c r="L30" s="11"/>
      <c r="M30" s="6"/>
      <c r="N30" s="6"/>
    </row>
    <row r="31" spans="1:14">
      <c r="A31" s="11">
        <v>25</v>
      </c>
      <c r="B31" s="8" t="s">
        <v>40</v>
      </c>
      <c r="C31" s="62"/>
      <c r="D31" s="10"/>
      <c r="E31" s="10" t="s">
        <v>60</v>
      </c>
      <c r="F31" s="10"/>
      <c r="G31" s="11"/>
      <c r="H31" s="11"/>
      <c r="I31" s="11"/>
      <c r="J31" s="11"/>
      <c r="K31" s="11"/>
      <c r="L31" s="11"/>
      <c r="M31" s="6"/>
      <c r="N31" s="6"/>
    </row>
    <row r="32" spans="1:14">
      <c r="A32" s="11">
        <v>26</v>
      </c>
      <c r="B32" s="8" t="s">
        <v>39</v>
      </c>
      <c r="C32" s="62"/>
      <c r="D32" s="10"/>
      <c r="E32" s="10"/>
      <c r="F32" s="10"/>
      <c r="G32" s="11"/>
      <c r="H32" s="11"/>
      <c r="I32" s="11" t="s">
        <v>63</v>
      </c>
      <c r="J32" s="11"/>
      <c r="K32" s="11"/>
      <c r="L32" s="11"/>
      <c r="M32" s="6"/>
      <c r="N32" s="6"/>
    </row>
    <row r="33" spans="1:14">
      <c r="A33" s="11">
        <v>27</v>
      </c>
      <c r="B33" s="8" t="s">
        <v>41</v>
      </c>
      <c r="C33" s="62"/>
      <c r="D33" s="10" t="s">
        <v>59</v>
      </c>
      <c r="E33" s="10"/>
      <c r="F33" s="10"/>
      <c r="G33" s="11"/>
      <c r="H33" s="11"/>
      <c r="I33" s="11"/>
      <c r="J33" s="11" t="s">
        <v>65</v>
      </c>
      <c r="K33" s="11"/>
      <c r="L33" s="7" t="s">
        <v>87</v>
      </c>
      <c r="M33" s="6" t="s">
        <v>90</v>
      </c>
      <c r="N33" s="12">
        <v>5</v>
      </c>
    </row>
    <row r="34" spans="1:14" ht="15.75" customHeight="1">
      <c r="A34" s="11">
        <v>28</v>
      </c>
      <c r="B34" s="8" t="s">
        <v>42</v>
      </c>
      <c r="C34" s="62"/>
      <c r="D34" s="10"/>
      <c r="E34" s="10"/>
      <c r="F34" s="10" t="s">
        <v>61</v>
      </c>
      <c r="G34" s="11" t="s">
        <v>58</v>
      </c>
      <c r="H34" s="12"/>
      <c r="I34" s="11"/>
      <c r="J34" s="11"/>
      <c r="K34" s="11"/>
      <c r="L34" s="7" t="s">
        <v>86</v>
      </c>
      <c r="M34" s="12" t="s">
        <v>91</v>
      </c>
      <c r="N34" s="12">
        <v>3</v>
      </c>
    </row>
    <row r="35" spans="1:14">
      <c r="A35" s="11">
        <v>29</v>
      </c>
      <c r="B35" s="8" t="s">
        <v>44</v>
      </c>
      <c r="C35" s="62" t="s">
        <v>43</v>
      </c>
      <c r="D35" s="10"/>
      <c r="E35" s="10" t="s">
        <v>60</v>
      </c>
      <c r="F35" s="10"/>
      <c r="G35" s="11"/>
      <c r="H35" s="11" t="s">
        <v>70</v>
      </c>
      <c r="I35" s="11"/>
      <c r="J35" s="11"/>
      <c r="K35" s="11"/>
      <c r="L35" s="11" t="s">
        <v>88</v>
      </c>
      <c r="M35" s="6" t="s">
        <v>92</v>
      </c>
      <c r="N35" s="12">
        <v>2</v>
      </c>
    </row>
    <row r="36" spans="1:14">
      <c r="A36" s="11">
        <v>30</v>
      </c>
      <c r="B36" s="8" t="s">
        <v>45</v>
      </c>
      <c r="C36" s="62"/>
      <c r="D36" s="10"/>
      <c r="E36" s="10"/>
      <c r="F36" s="10"/>
      <c r="G36" s="11"/>
      <c r="H36" s="11"/>
      <c r="I36" s="11" t="s">
        <v>63</v>
      </c>
      <c r="J36" s="11"/>
      <c r="K36" s="11"/>
      <c r="L36" s="11" t="s">
        <v>85</v>
      </c>
      <c r="M36" s="6" t="s">
        <v>93</v>
      </c>
      <c r="N36" s="12">
        <v>2</v>
      </c>
    </row>
    <row r="37" spans="1:14">
      <c r="A37" s="11">
        <v>31</v>
      </c>
      <c r="B37" s="8" t="s">
        <v>46</v>
      </c>
      <c r="C37" s="62"/>
      <c r="D37" s="10" t="s">
        <v>59</v>
      </c>
      <c r="E37" s="10"/>
      <c r="F37" s="10"/>
      <c r="G37" s="11"/>
      <c r="H37" s="11"/>
      <c r="I37" s="11"/>
      <c r="J37" s="11"/>
      <c r="K37" s="11"/>
      <c r="L37" s="11" t="s">
        <v>89</v>
      </c>
      <c r="M37" s="6" t="s">
        <v>94</v>
      </c>
      <c r="N37" s="12">
        <v>2</v>
      </c>
    </row>
    <row r="38" spans="1:14">
      <c r="A38" s="11">
        <v>32</v>
      </c>
      <c r="B38" s="8" t="s">
        <v>47</v>
      </c>
      <c r="C38" s="62"/>
      <c r="D38" s="10"/>
      <c r="E38" s="10"/>
      <c r="F38" s="10" t="s">
        <v>61</v>
      </c>
      <c r="G38" s="7" t="s">
        <v>96</v>
      </c>
      <c r="H38" s="12"/>
      <c r="I38" s="11"/>
      <c r="J38" s="11" t="s">
        <v>62</v>
      </c>
      <c r="K38" s="11"/>
      <c r="L38" s="11" t="s">
        <v>68</v>
      </c>
      <c r="M38" s="12" t="s">
        <v>95</v>
      </c>
      <c r="N38" s="12">
        <v>2</v>
      </c>
    </row>
    <row r="39" spans="1:14">
      <c r="A39" s="11">
        <v>33</v>
      </c>
      <c r="B39" s="9" t="s">
        <v>48</v>
      </c>
      <c r="C39" s="62"/>
      <c r="D39" s="10"/>
      <c r="E39" s="10" t="s">
        <v>60</v>
      </c>
      <c r="F39" s="10"/>
      <c r="G39" s="11"/>
      <c r="H39" s="11"/>
      <c r="I39" s="11"/>
      <c r="J39" s="11"/>
      <c r="K39" s="11"/>
      <c r="L39" s="11"/>
      <c r="M39" s="6"/>
      <c r="N39" s="12"/>
    </row>
    <row r="40" spans="1:14">
      <c r="A40" s="11">
        <v>34</v>
      </c>
      <c r="B40" s="8" t="s">
        <v>49</v>
      </c>
      <c r="C40" s="62"/>
      <c r="D40" s="10"/>
      <c r="E40" s="10"/>
      <c r="F40" s="10"/>
      <c r="G40" s="11"/>
      <c r="H40" s="11" t="s">
        <v>62</v>
      </c>
      <c r="I40" s="11" t="s">
        <v>63</v>
      </c>
      <c r="J40" s="11"/>
      <c r="K40" s="11"/>
      <c r="L40" s="7" t="s">
        <v>80</v>
      </c>
      <c r="M40" s="6" t="s">
        <v>92</v>
      </c>
      <c r="N40" s="12">
        <v>4</v>
      </c>
    </row>
    <row r="41" spans="1:14" ht="22.5" customHeight="1">
      <c r="A41" s="11">
        <v>35</v>
      </c>
      <c r="B41" s="6" t="s">
        <v>50</v>
      </c>
      <c r="C41" s="61" t="s">
        <v>51</v>
      </c>
      <c r="D41" s="11" t="s">
        <v>83</v>
      </c>
      <c r="E41" s="11"/>
      <c r="F41" s="11"/>
      <c r="G41" s="11"/>
      <c r="H41" s="11"/>
      <c r="I41" s="11"/>
      <c r="J41" s="11"/>
      <c r="K41" s="11"/>
      <c r="L41" s="11"/>
      <c r="M41" s="12"/>
      <c r="N41" s="12"/>
    </row>
    <row r="42" spans="1:14" ht="19.5" customHeight="1">
      <c r="A42" s="11">
        <v>36</v>
      </c>
      <c r="B42" s="6" t="s">
        <v>52</v>
      </c>
      <c r="C42" s="61"/>
      <c r="D42" s="11"/>
      <c r="E42" s="11"/>
      <c r="F42" s="11" t="s">
        <v>61</v>
      </c>
      <c r="G42" s="11" t="s">
        <v>58</v>
      </c>
      <c r="H42" s="11"/>
      <c r="I42" s="11"/>
      <c r="J42" s="11" t="s">
        <v>70</v>
      </c>
      <c r="K42" s="11"/>
      <c r="L42" s="11" t="s">
        <v>73</v>
      </c>
      <c r="M42" s="13" t="s">
        <v>95</v>
      </c>
      <c r="N42" s="12">
        <v>3</v>
      </c>
    </row>
    <row r="43" spans="1:14">
      <c r="A43" s="11"/>
      <c r="B43" s="6"/>
      <c r="C43" s="11"/>
      <c r="D43" s="11">
        <v>62</v>
      </c>
      <c r="E43" s="11">
        <v>54</v>
      </c>
      <c r="F43" s="11">
        <v>15</v>
      </c>
      <c r="G43" s="11">
        <v>24</v>
      </c>
      <c r="H43" s="11">
        <v>12</v>
      </c>
      <c r="I43" s="11">
        <v>8</v>
      </c>
      <c r="J43" s="11">
        <v>40</v>
      </c>
      <c r="K43" s="11">
        <v>6</v>
      </c>
      <c r="L43" s="11">
        <v>23</v>
      </c>
      <c r="M43" s="11">
        <f>SUM(D43:L43)</f>
        <v>244</v>
      </c>
      <c r="N43" s="12">
        <f>SUM(N33:N42)</f>
        <v>23</v>
      </c>
    </row>
    <row r="44" spans="1:14">
      <c r="A44" s="5"/>
      <c r="B44" s="3"/>
      <c r="C44" s="5"/>
      <c r="D44" s="5"/>
      <c r="E44" s="5"/>
      <c r="F44" s="5"/>
      <c r="G44" s="5"/>
      <c r="H44" s="5"/>
      <c r="I44" s="5"/>
      <c r="J44" s="5"/>
      <c r="K44" s="5"/>
      <c r="L44" s="5"/>
      <c r="M44" s="3"/>
      <c r="N44" s="3"/>
    </row>
    <row r="45" spans="1:14">
      <c r="A45" s="5"/>
      <c r="B45" s="3"/>
      <c r="C45" s="5"/>
      <c r="D45" s="5"/>
      <c r="E45" s="5"/>
      <c r="F45" s="5"/>
      <c r="G45" s="5"/>
      <c r="H45" s="5"/>
      <c r="I45" s="5"/>
      <c r="J45" s="5"/>
      <c r="K45" s="5"/>
      <c r="L45" s="5"/>
      <c r="M45" s="3"/>
      <c r="N45" s="3"/>
    </row>
    <row r="46" spans="1:14">
      <c r="A46" s="63" t="s">
        <v>107</v>
      </c>
      <c r="B46" s="63"/>
      <c r="C46" s="11" t="s">
        <v>64</v>
      </c>
      <c r="D46" s="6">
        <v>40</v>
      </c>
      <c r="E46" s="6">
        <v>54</v>
      </c>
      <c r="F46" s="6">
        <v>15</v>
      </c>
      <c r="G46" s="6">
        <v>21</v>
      </c>
      <c r="H46" s="6">
        <v>8</v>
      </c>
      <c r="I46" s="6">
        <v>8</v>
      </c>
      <c r="J46" s="6">
        <v>20</v>
      </c>
      <c r="K46" s="6">
        <v>6</v>
      </c>
      <c r="L46" s="6"/>
      <c r="M46" s="6">
        <f>SUM(D46:L46)</f>
        <v>172</v>
      </c>
      <c r="N46" s="3"/>
    </row>
    <row r="47" spans="1:14">
      <c r="A47" s="63"/>
      <c r="B47" s="63"/>
      <c r="C47" s="11" t="s">
        <v>67</v>
      </c>
      <c r="D47" s="6">
        <v>6</v>
      </c>
      <c r="E47" s="6"/>
      <c r="F47" s="6"/>
      <c r="G47" s="6"/>
      <c r="H47" s="6"/>
      <c r="I47" s="6"/>
      <c r="J47" s="6">
        <v>16</v>
      </c>
      <c r="K47" s="6"/>
      <c r="L47" s="6"/>
      <c r="M47" s="6">
        <f t="shared" ref="M47:M61" si="0">SUM(D47:L47)</f>
        <v>22</v>
      </c>
      <c r="N47" s="3"/>
    </row>
    <row r="48" spans="1:14">
      <c r="A48" s="63"/>
      <c r="B48" s="63"/>
      <c r="C48" s="14" t="s">
        <v>72</v>
      </c>
      <c r="D48" s="12">
        <v>11</v>
      </c>
      <c r="E48" s="12"/>
      <c r="F48" s="12"/>
      <c r="G48" s="12"/>
      <c r="H48" s="12">
        <v>4</v>
      </c>
      <c r="I48" s="12"/>
      <c r="J48" s="12">
        <v>4</v>
      </c>
      <c r="K48" s="12"/>
      <c r="L48" s="12">
        <v>5</v>
      </c>
      <c r="M48" s="6">
        <f t="shared" si="0"/>
        <v>24</v>
      </c>
      <c r="N48" s="3"/>
    </row>
    <row r="49" spans="1:14">
      <c r="A49" s="63"/>
      <c r="B49" s="63"/>
      <c r="C49" s="14" t="s">
        <v>81</v>
      </c>
      <c r="D49" s="12">
        <v>2</v>
      </c>
      <c r="E49" s="12"/>
      <c r="F49" s="12"/>
      <c r="G49" s="12"/>
      <c r="H49" s="12"/>
      <c r="I49" s="12"/>
      <c r="J49" s="12"/>
      <c r="K49" s="12"/>
      <c r="L49" s="12"/>
      <c r="M49" s="6">
        <f t="shared" si="0"/>
        <v>2</v>
      </c>
      <c r="N49" s="3"/>
    </row>
    <row r="50" spans="1:14">
      <c r="A50" s="63"/>
      <c r="B50" s="63"/>
      <c r="C50" s="14" t="s">
        <v>82</v>
      </c>
      <c r="D50" s="12">
        <v>2</v>
      </c>
      <c r="E50" s="12"/>
      <c r="F50" s="12"/>
      <c r="G50" s="12"/>
      <c r="H50" s="12"/>
      <c r="I50" s="12"/>
      <c r="J50" s="12"/>
      <c r="K50" s="12"/>
      <c r="L50" s="12"/>
      <c r="M50" s="6">
        <f t="shared" si="0"/>
        <v>2</v>
      </c>
      <c r="N50" s="3"/>
    </row>
    <row r="51" spans="1:14">
      <c r="A51" s="63"/>
      <c r="B51" s="63"/>
      <c r="C51" s="14" t="s">
        <v>84</v>
      </c>
      <c r="D51" s="12">
        <v>1</v>
      </c>
      <c r="E51" s="12"/>
      <c r="F51" s="12"/>
      <c r="G51" s="12"/>
      <c r="H51" s="12"/>
      <c r="I51" s="12"/>
      <c r="J51" s="12"/>
      <c r="K51" s="12"/>
      <c r="L51" s="12"/>
      <c r="M51" s="6">
        <f t="shared" si="0"/>
        <v>1</v>
      </c>
      <c r="N51" s="3"/>
    </row>
    <row r="52" spans="1:14">
      <c r="A52" s="63"/>
      <c r="B52" s="63"/>
      <c r="C52" s="14" t="s">
        <v>78</v>
      </c>
      <c r="D52" s="12"/>
      <c r="E52" s="12"/>
      <c r="F52" s="12"/>
      <c r="G52" s="12">
        <v>2</v>
      </c>
      <c r="H52" s="12"/>
      <c r="I52" s="12"/>
      <c r="J52" s="12"/>
      <c r="K52" s="12"/>
      <c r="L52" s="12"/>
      <c r="M52" s="6">
        <f t="shared" si="0"/>
        <v>2</v>
      </c>
      <c r="N52" s="3"/>
    </row>
    <row r="53" spans="1:14">
      <c r="A53" s="63"/>
      <c r="B53" s="63"/>
      <c r="C53" s="14" t="s">
        <v>79</v>
      </c>
      <c r="D53" s="12"/>
      <c r="E53" s="12"/>
      <c r="F53" s="12"/>
      <c r="G53" s="12">
        <v>1</v>
      </c>
      <c r="H53" s="12"/>
      <c r="I53" s="12"/>
      <c r="J53" s="12"/>
      <c r="K53" s="12"/>
      <c r="L53" s="12"/>
      <c r="M53" s="6">
        <f t="shared" si="0"/>
        <v>1</v>
      </c>
      <c r="N53" s="3"/>
    </row>
    <row r="54" spans="1:14">
      <c r="A54" s="63"/>
      <c r="B54" s="63"/>
      <c r="C54" s="14" t="s">
        <v>75</v>
      </c>
      <c r="D54" s="12"/>
      <c r="E54" s="12"/>
      <c r="F54" s="12"/>
      <c r="G54" s="12"/>
      <c r="H54" s="12"/>
      <c r="I54" s="12"/>
      <c r="J54" s="12"/>
      <c r="K54" s="12"/>
      <c r="L54" s="12">
        <v>3</v>
      </c>
      <c r="M54" s="6">
        <f t="shared" si="0"/>
        <v>3</v>
      </c>
    </row>
    <row r="55" spans="1:14">
      <c r="A55" s="63"/>
      <c r="B55" s="63"/>
      <c r="C55" s="14" t="s">
        <v>97</v>
      </c>
      <c r="D55" s="12"/>
      <c r="E55" s="12"/>
      <c r="F55" s="12"/>
      <c r="G55" s="12"/>
      <c r="H55" s="12"/>
      <c r="I55" s="12"/>
      <c r="J55" s="12"/>
      <c r="K55" s="12"/>
      <c r="L55" s="12">
        <v>1</v>
      </c>
      <c r="M55" s="6">
        <f t="shared" si="0"/>
        <v>1</v>
      </c>
    </row>
    <row r="56" spans="1:14">
      <c r="A56" s="63"/>
      <c r="B56" s="63"/>
      <c r="C56" s="14" t="s">
        <v>98</v>
      </c>
      <c r="D56" s="12"/>
      <c r="E56" s="12"/>
      <c r="F56" s="12"/>
      <c r="G56" s="12"/>
      <c r="H56" s="12"/>
      <c r="I56" s="12"/>
      <c r="J56" s="12"/>
      <c r="K56" s="12"/>
      <c r="L56" s="12">
        <v>1</v>
      </c>
      <c r="M56" s="6">
        <f t="shared" si="0"/>
        <v>1</v>
      </c>
    </row>
    <row r="57" spans="1:14">
      <c r="A57" s="63"/>
      <c r="B57" s="63"/>
      <c r="C57" s="14" t="s">
        <v>99</v>
      </c>
      <c r="D57" s="12"/>
      <c r="E57" s="12"/>
      <c r="F57" s="12"/>
      <c r="G57" s="12"/>
      <c r="H57" s="12"/>
      <c r="I57" s="12"/>
      <c r="J57" s="12"/>
      <c r="K57" s="12"/>
      <c r="L57" s="12">
        <v>2</v>
      </c>
      <c r="M57" s="6">
        <f t="shared" si="0"/>
        <v>2</v>
      </c>
    </row>
    <row r="58" spans="1:14">
      <c r="A58" s="63"/>
      <c r="B58" s="63"/>
      <c r="C58" s="14" t="s">
        <v>71</v>
      </c>
      <c r="D58" s="12"/>
      <c r="E58" s="12"/>
      <c r="F58" s="12"/>
      <c r="G58" s="12"/>
      <c r="H58" s="12"/>
      <c r="I58" s="12"/>
      <c r="J58" s="12"/>
      <c r="K58" s="12"/>
      <c r="L58" s="12">
        <v>1</v>
      </c>
      <c r="M58" s="6">
        <f t="shared" si="0"/>
        <v>1</v>
      </c>
    </row>
    <row r="59" spans="1:14">
      <c r="A59" s="63"/>
      <c r="B59" s="63"/>
      <c r="C59" s="14" t="s">
        <v>100</v>
      </c>
      <c r="D59" s="12"/>
      <c r="E59" s="12"/>
      <c r="F59" s="12"/>
      <c r="G59" s="12"/>
      <c r="H59" s="12"/>
      <c r="I59" s="12"/>
      <c r="J59" s="12"/>
      <c r="K59" s="12"/>
      <c r="L59" s="12">
        <v>5</v>
      </c>
      <c r="M59" s="6">
        <f t="shared" si="0"/>
        <v>5</v>
      </c>
    </row>
    <row r="60" spans="1:14">
      <c r="A60" s="63"/>
      <c r="B60" s="63"/>
      <c r="C60" s="14" t="s">
        <v>101</v>
      </c>
      <c r="D60" s="12"/>
      <c r="E60" s="12"/>
      <c r="F60" s="12"/>
      <c r="G60" s="12"/>
      <c r="H60" s="12"/>
      <c r="I60" s="12"/>
      <c r="J60" s="12"/>
      <c r="K60" s="12"/>
      <c r="L60" s="12">
        <v>2</v>
      </c>
      <c r="M60" s="6">
        <f t="shared" si="0"/>
        <v>2</v>
      </c>
    </row>
    <row r="61" spans="1:14">
      <c r="A61" s="63"/>
      <c r="B61" s="63"/>
      <c r="C61" s="14" t="s">
        <v>102</v>
      </c>
      <c r="D61" s="12"/>
      <c r="E61" s="12"/>
      <c r="F61" s="12"/>
      <c r="G61" s="12"/>
      <c r="H61" s="12"/>
      <c r="I61" s="12"/>
      <c r="J61" s="12"/>
      <c r="K61" s="12"/>
      <c r="L61" s="12">
        <v>1</v>
      </c>
      <c r="M61" s="6">
        <f t="shared" si="0"/>
        <v>1</v>
      </c>
    </row>
    <row r="62" spans="1:14">
      <c r="A62" s="63"/>
      <c r="B62" s="63"/>
      <c r="C62" s="14" t="s">
        <v>103</v>
      </c>
      <c r="D62" s="12"/>
      <c r="E62" s="12"/>
      <c r="F62" s="12"/>
      <c r="G62" s="12"/>
      <c r="H62" s="12"/>
      <c r="I62" s="12"/>
      <c r="J62" s="12"/>
      <c r="K62" s="12"/>
      <c r="L62" s="12">
        <v>1</v>
      </c>
      <c r="M62" s="12">
        <f>SUM(D62:L62)</f>
        <v>1</v>
      </c>
    </row>
    <row r="63" spans="1:14">
      <c r="A63" s="63"/>
      <c r="B63" s="63"/>
      <c r="C63" s="14" t="s">
        <v>76</v>
      </c>
      <c r="D63" s="12"/>
      <c r="E63" s="12"/>
      <c r="F63" s="12"/>
      <c r="G63" s="12"/>
      <c r="H63" s="12"/>
      <c r="I63" s="12"/>
      <c r="J63" s="12"/>
      <c r="K63" s="12"/>
      <c r="L63" s="12">
        <v>1</v>
      </c>
      <c r="M63" s="6">
        <f>SUM(D63:L63)</f>
        <v>1</v>
      </c>
    </row>
    <row r="64" spans="1:14">
      <c r="A64" s="63"/>
      <c r="B64" s="63"/>
      <c r="C64" s="14" t="s">
        <v>77</v>
      </c>
      <c r="D64" s="12">
        <f t="shared" ref="D64:L64" si="1">SUM(D46:D63)</f>
        <v>62</v>
      </c>
      <c r="E64" s="12">
        <f t="shared" si="1"/>
        <v>54</v>
      </c>
      <c r="F64" s="12">
        <f t="shared" si="1"/>
        <v>15</v>
      </c>
      <c r="G64" s="12">
        <f t="shared" si="1"/>
        <v>24</v>
      </c>
      <c r="H64" s="12">
        <f t="shared" si="1"/>
        <v>12</v>
      </c>
      <c r="I64" s="12">
        <f t="shared" si="1"/>
        <v>8</v>
      </c>
      <c r="J64" s="12">
        <f t="shared" si="1"/>
        <v>40</v>
      </c>
      <c r="K64" s="12">
        <f t="shared" si="1"/>
        <v>6</v>
      </c>
      <c r="L64" s="12">
        <f t="shared" si="1"/>
        <v>23</v>
      </c>
      <c r="M64" s="12">
        <f>SUM(D64:L64)</f>
        <v>244</v>
      </c>
    </row>
  </sheetData>
  <mergeCells count="17">
    <mergeCell ref="B5:B6"/>
    <mergeCell ref="C5:C6"/>
    <mergeCell ref="A1:N1"/>
    <mergeCell ref="A2:N2"/>
    <mergeCell ref="A3:N3"/>
    <mergeCell ref="N5:N6"/>
    <mergeCell ref="M5:M6"/>
    <mergeCell ref="C8:C11"/>
    <mergeCell ref="C12:C17"/>
    <mergeCell ref="A46:B64"/>
    <mergeCell ref="C18:C21"/>
    <mergeCell ref="C22:C25"/>
    <mergeCell ref="D5:L5"/>
    <mergeCell ref="C26:C34"/>
    <mergeCell ref="C35:C40"/>
    <mergeCell ref="C41:C42"/>
    <mergeCell ref="A5:A6"/>
  </mergeCells>
  <phoneticPr fontId="6" type="noConversion"/>
  <pageMargins left="0.39" right="0.2" top="0.46" bottom="0.27" header="0.3" footer="0.3"/>
  <pageSetup paperSize="9" orientation="landscape" horizontalDpi="4294967293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92"/>
  <sheetViews>
    <sheetView tabSelected="1" topLeftCell="A48" workbookViewId="0">
      <selection activeCell="D53" sqref="D53"/>
    </sheetView>
  </sheetViews>
  <sheetFormatPr defaultRowHeight="15"/>
  <cols>
    <col min="9" max="9" width="5.85546875" bestFit="1" customWidth="1"/>
    <col min="10" max="10" width="11.140625" bestFit="1" customWidth="1"/>
  </cols>
  <sheetData>
    <row r="1" spans="1:23">
      <c r="A1" s="15"/>
      <c r="B1" s="15"/>
      <c r="C1" s="15"/>
      <c r="D1" s="15" t="s">
        <v>109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2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S2">
        <v>33</v>
      </c>
      <c r="T2">
        <v>6</v>
      </c>
      <c r="U2">
        <f>(S2*T2)</f>
        <v>198</v>
      </c>
    </row>
    <row r="3" spans="1:23">
      <c r="A3" s="72" t="s">
        <v>2</v>
      </c>
      <c r="B3" s="69" t="s">
        <v>110</v>
      </c>
      <c r="C3" s="69"/>
      <c r="D3" s="69" t="s">
        <v>111</v>
      </c>
      <c r="E3" s="69"/>
      <c r="F3" s="69" t="s">
        <v>112</v>
      </c>
      <c r="G3" s="69"/>
      <c r="H3" s="69" t="s">
        <v>113</v>
      </c>
      <c r="I3" s="69"/>
      <c r="J3" s="69" t="s">
        <v>114</v>
      </c>
      <c r="K3" s="69"/>
      <c r="L3" s="69" t="s">
        <v>115</v>
      </c>
      <c r="M3" s="69"/>
      <c r="N3" s="69" t="s">
        <v>95</v>
      </c>
      <c r="O3" s="69"/>
      <c r="P3" s="69" t="s">
        <v>116</v>
      </c>
      <c r="Q3" s="69"/>
      <c r="R3" s="72" t="s">
        <v>2</v>
      </c>
      <c r="S3" s="73" t="s">
        <v>117</v>
      </c>
      <c r="T3" s="73"/>
      <c r="U3" s="74" t="s">
        <v>118</v>
      </c>
      <c r="V3" s="74"/>
    </row>
    <row r="4" spans="1:23">
      <c r="A4" s="72"/>
      <c r="B4" s="17" t="s">
        <v>119</v>
      </c>
      <c r="C4" s="18" t="s">
        <v>120</v>
      </c>
      <c r="D4" s="17" t="s">
        <v>119</v>
      </c>
      <c r="E4" s="18" t="s">
        <v>120</v>
      </c>
      <c r="F4" s="18" t="s">
        <v>119</v>
      </c>
      <c r="G4" s="18" t="s">
        <v>120</v>
      </c>
      <c r="H4" s="17" t="s">
        <v>119</v>
      </c>
      <c r="I4" s="18" t="s">
        <v>120</v>
      </c>
      <c r="J4" s="17" t="s">
        <v>119</v>
      </c>
      <c r="K4" s="18" t="s">
        <v>120</v>
      </c>
      <c r="L4" s="17" t="s">
        <v>119</v>
      </c>
      <c r="M4" s="18" t="s">
        <v>120</v>
      </c>
      <c r="N4" s="17" t="s">
        <v>119</v>
      </c>
      <c r="O4" s="18" t="s">
        <v>120</v>
      </c>
      <c r="P4" s="17" t="s">
        <v>119</v>
      </c>
      <c r="Q4" s="18" t="s">
        <v>120</v>
      </c>
      <c r="R4" s="72"/>
      <c r="S4" s="17" t="s">
        <v>119</v>
      </c>
      <c r="T4" s="18" t="s">
        <v>120</v>
      </c>
      <c r="U4" s="17" t="s">
        <v>119</v>
      </c>
      <c r="V4" s="18" t="s">
        <v>120</v>
      </c>
    </row>
    <row r="5" spans="1:23">
      <c r="A5" s="19" t="s">
        <v>27</v>
      </c>
      <c r="B5" s="20" t="s">
        <v>62</v>
      </c>
      <c r="C5" s="21">
        <v>132</v>
      </c>
      <c r="D5" s="20" t="s">
        <v>60</v>
      </c>
      <c r="E5" s="21">
        <v>198</v>
      </c>
      <c r="G5" s="22">
        <v>0</v>
      </c>
      <c r="H5" s="20"/>
      <c r="I5" s="21">
        <v>0</v>
      </c>
      <c r="J5" s="23" t="s">
        <v>121</v>
      </c>
      <c r="K5" s="21">
        <v>66</v>
      </c>
      <c r="L5" s="20"/>
      <c r="M5" s="24">
        <v>0</v>
      </c>
      <c r="N5" s="20" t="s">
        <v>122</v>
      </c>
      <c r="O5" s="21">
        <v>297</v>
      </c>
      <c r="P5" s="20" t="s">
        <v>123</v>
      </c>
      <c r="Q5" s="21">
        <v>99</v>
      </c>
      <c r="R5" s="25" t="s">
        <v>27</v>
      </c>
      <c r="S5" s="20"/>
      <c r="T5" s="21"/>
      <c r="U5" s="20"/>
      <c r="V5" s="21"/>
    </row>
    <row r="6" spans="1:23">
      <c r="A6" s="26" t="s">
        <v>124</v>
      </c>
      <c r="B6" s="20" t="s">
        <v>125</v>
      </c>
      <c r="C6" s="21">
        <v>66</v>
      </c>
      <c r="D6" s="20"/>
      <c r="E6" s="21">
        <v>0</v>
      </c>
      <c r="G6" s="21">
        <v>0</v>
      </c>
      <c r="H6" s="20"/>
      <c r="I6" s="21">
        <v>0</v>
      </c>
      <c r="J6" s="20"/>
      <c r="K6" s="21">
        <v>0</v>
      </c>
      <c r="L6" s="20"/>
      <c r="M6" s="24">
        <v>0</v>
      </c>
      <c r="N6" s="20"/>
      <c r="O6" s="21">
        <v>0</v>
      </c>
      <c r="P6" s="20"/>
      <c r="Q6" s="21">
        <v>0</v>
      </c>
      <c r="R6" s="27" t="s">
        <v>126</v>
      </c>
      <c r="S6" s="20" t="s">
        <v>127</v>
      </c>
      <c r="T6" s="21">
        <v>132</v>
      </c>
      <c r="U6" s="20"/>
      <c r="V6" s="21">
        <v>0</v>
      </c>
    </row>
    <row r="7" spans="1:23">
      <c r="A7" s="28">
        <v>41070</v>
      </c>
      <c r="B7" s="20"/>
      <c r="C7" s="21">
        <v>0</v>
      </c>
      <c r="D7" s="20"/>
      <c r="E7" s="21">
        <v>0</v>
      </c>
      <c r="F7" s="20"/>
      <c r="G7" s="21">
        <v>0</v>
      </c>
      <c r="H7" s="20"/>
      <c r="I7" s="21">
        <v>0</v>
      </c>
      <c r="J7" s="20"/>
      <c r="K7" s="21">
        <v>0</v>
      </c>
      <c r="L7" s="20"/>
      <c r="M7" s="24">
        <v>0</v>
      </c>
      <c r="N7" s="20"/>
      <c r="O7" s="21">
        <v>0</v>
      </c>
      <c r="P7" s="20"/>
      <c r="Q7" s="21">
        <v>0</v>
      </c>
      <c r="R7" s="29" t="s">
        <v>128</v>
      </c>
      <c r="S7" s="20"/>
      <c r="T7" s="21">
        <v>0</v>
      </c>
      <c r="U7" s="20"/>
      <c r="V7" s="21">
        <v>0</v>
      </c>
    </row>
    <row r="8" spans="1:23">
      <c r="A8" s="30"/>
      <c r="B8" s="20"/>
      <c r="C8" s="21">
        <v>0</v>
      </c>
      <c r="D8" s="20"/>
      <c r="E8" s="21">
        <v>0</v>
      </c>
      <c r="F8" s="20"/>
      <c r="G8" s="21">
        <v>0</v>
      </c>
      <c r="H8" s="20"/>
      <c r="I8" s="21">
        <v>0</v>
      </c>
      <c r="J8" s="20" t="s">
        <v>62</v>
      </c>
      <c r="K8" s="21">
        <v>132</v>
      </c>
      <c r="L8" s="20"/>
      <c r="M8" s="21">
        <v>0</v>
      </c>
      <c r="N8" s="20"/>
      <c r="O8" s="21">
        <v>0</v>
      </c>
      <c r="P8" s="20"/>
      <c r="Q8" s="21">
        <v>0</v>
      </c>
      <c r="R8" s="31" t="s">
        <v>129</v>
      </c>
      <c r="S8" s="20"/>
      <c r="T8" s="21">
        <v>0</v>
      </c>
      <c r="U8" s="20" t="s">
        <v>130</v>
      </c>
      <c r="V8" s="21">
        <v>165</v>
      </c>
    </row>
    <row r="9" spans="1:23">
      <c r="A9" s="32"/>
      <c r="B9" s="22"/>
      <c r="C9" s="22">
        <v>0</v>
      </c>
      <c r="D9" s="22"/>
      <c r="E9" s="22">
        <v>0</v>
      </c>
      <c r="F9" s="22"/>
      <c r="G9" s="22">
        <v>0</v>
      </c>
      <c r="H9" s="22"/>
      <c r="I9" s="22">
        <v>0</v>
      </c>
      <c r="J9" s="22"/>
      <c r="K9" s="22">
        <v>0</v>
      </c>
      <c r="L9" s="22"/>
      <c r="M9" s="22">
        <v>0</v>
      </c>
      <c r="N9" s="22"/>
      <c r="O9" s="22"/>
      <c r="P9" s="22"/>
      <c r="Q9" s="21">
        <f>SUM(Q5:Q8)</f>
        <v>99</v>
      </c>
      <c r="R9" s="33" t="s">
        <v>131</v>
      </c>
      <c r="S9" s="24"/>
      <c r="T9" s="21">
        <v>0</v>
      </c>
      <c r="U9" s="24"/>
      <c r="V9" s="21">
        <v>0</v>
      </c>
      <c r="W9" s="34"/>
    </row>
    <row r="10" spans="1:23">
      <c r="A10" s="35"/>
      <c r="B10" s="36"/>
      <c r="C10" s="21">
        <f>SUM(C5:C9)</f>
        <v>198</v>
      </c>
      <c r="D10" s="36"/>
      <c r="E10" s="21">
        <f>SUM(E5:E9)</f>
        <v>198</v>
      </c>
      <c r="F10" s="36"/>
      <c r="G10" s="21">
        <f>SUM(G5:G9)</f>
        <v>0</v>
      </c>
      <c r="H10" s="36"/>
      <c r="I10" s="21">
        <f>SUM(I5:I9)</f>
        <v>0</v>
      </c>
      <c r="J10" s="36"/>
      <c r="K10" s="21">
        <f>SUM(K5:K9)</f>
        <v>198</v>
      </c>
      <c r="L10" s="36"/>
      <c r="M10" s="21">
        <f>SUM(M5:M9)</f>
        <v>0</v>
      </c>
      <c r="N10" s="36"/>
      <c r="O10" s="21">
        <f>SUM(O5:O8)</f>
        <v>297</v>
      </c>
      <c r="P10" s="36"/>
      <c r="Q10" s="24"/>
      <c r="R10" s="25"/>
      <c r="S10" s="36"/>
      <c r="T10" s="36">
        <f>SUM(T6:T9)</f>
        <v>132</v>
      </c>
      <c r="U10" s="36"/>
      <c r="V10" s="36">
        <f>SUM(V6:V9)</f>
        <v>165</v>
      </c>
      <c r="W10" s="15"/>
    </row>
    <row r="11" spans="1:23">
      <c r="A11" s="3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37"/>
      <c r="S11" s="24"/>
      <c r="T11" s="24"/>
      <c r="U11" s="24"/>
      <c r="V11" s="24"/>
      <c r="W11" s="15"/>
    </row>
    <row r="12" spans="1:23">
      <c r="A12" s="38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38"/>
      <c r="S12" s="24"/>
      <c r="T12" s="24"/>
      <c r="U12" s="24"/>
      <c r="V12" s="24"/>
      <c r="W12" s="15"/>
    </row>
    <row r="13" spans="1:23">
      <c r="A13" s="19" t="s">
        <v>32</v>
      </c>
      <c r="B13" s="20" t="s">
        <v>61</v>
      </c>
      <c r="C13" s="21">
        <v>151</v>
      </c>
      <c r="D13" s="20" t="s">
        <v>60</v>
      </c>
      <c r="E13" s="21">
        <v>198</v>
      </c>
      <c r="F13" s="20" t="s">
        <v>132</v>
      </c>
      <c r="G13" s="21">
        <v>35</v>
      </c>
      <c r="H13" s="39"/>
      <c r="I13" s="15">
        <v>0</v>
      </c>
      <c r="J13" s="20" t="s">
        <v>133</v>
      </c>
      <c r="K13" s="40">
        <v>76</v>
      </c>
      <c r="L13" s="20" t="s">
        <v>134</v>
      </c>
      <c r="M13" s="21">
        <v>28</v>
      </c>
      <c r="N13" s="20" t="s">
        <v>135</v>
      </c>
      <c r="O13" s="21">
        <v>320</v>
      </c>
      <c r="P13" s="20" t="s">
        <v>123</v>
      </c>
      <c r="Q13" s="21">
        <v>99</v>
      </c>
      <c r="R13" s="25" t="s">
        <v>32</v>
      </c>
      <c r="S13" s="20"/>
      <c r="T13" s="21"/>
      <c r="U13" s="20"/>
      <c r="V13" s="21"/>
    </row>
    <row r="14" spans="1:23">
      <c r="A14" s="26" t="s">
        <v>136</v>
      </c>
      <c r="B14" s="20" t="s">
        <v>125</v>
      </c>
      <c r="C14" s="21">
        <v>66</v>
      </c>
      <c r="D14" s="20"/>
      <c r="E14" s="21">
        <v>0</v>
      </c>
      <c r="F14" s="24" t="s">
        <v>137</v>
      </c>
      <c r="G14" s="41">
        <v>67</v>
      </c>
      <c r="H14" s="20" t="s">
        <v>138</v>
      </c>
      <c r="I14" s="21">
        <v>83</v>
      </c>
      <c r="J14" s="20" t="s">
        <v>139</v>
      </c>
      <c r="K14" s="21">
        <v>17</v>
      </c>
      <c r="L14" s="20" t="s">
        <v>140</v>
      </c>
      <c r="M14" s="21">
        <v>50</v>
      </c>
      <c r="N14" s="20"/>
      <c r="O14" s="21">
        <v>0</v>
      </c>
      <c r="P14" s="20" t="s">
        <v>141</v>
      </c>
      <c r="Q14" s="21">
        <v>42</v>
      </c>
      <c r="R14" s="27" t="s">
        <v>142</v>
      </c>
      <c r="S14" s="20" t="s">
        <v>127</v>
      </c>
      <c r="T14" s="21">
        <v>160</v>
      </c>
      <c r="U14" s="20"/>
      <c r="V14" s="21">
        <v>0</v>
      </c>
    </row>
    <row r="15" spans="1:23">
      <c r="A15" s="28">
        <v>41105</v>
      </c>
      <c r="B15" s="20"/>
      <c r="C15" s="21"/>
      <c r="D15" s="20"/>
      <c r="E15" s="21">
        <v>0</v>
      </c>
      <c r="F15" s="20" t="s">
        <v>143</v>
      </c>
      <c r="G15" s="41">
        <v>93</v>
      </c>
      <c r="H15" s="20" t="s">
        <v>85</v>
      </c>
      <c r="I15" s="21">
        <v>68</v>
      </c>
      <c r="J15" s="20"/>
      <c r="K15" s="21">
        <v>0</v>
      </c>
      <c r="L15" s="42" t="s">
        <v>144</v>
      </c>
      <c r="M15" s="24">
        <v>55</v>
      </c>
      <c r="N15" s="20"/>
      <c r="O15" s="21">
        <v>0</v>
      </c>
      <c r="P15" s="20" t="s">
        <v>145</v>
      </c>
      <c r="Q15" s="21">
        <v>26</v>
      </c>
      <c r="R15" s="29" t="s">
        <v>146</v>
      </c>
      <c r="S15" s="20"/>
      <c r="T15" s="21">
        <v>0</v>
      </c>
      <c r="U15" s="20"/>
      <c r="V15" s="21">
        <v>0</v>
      </c>
    </row>
    <row r="16" spans="1:23">
      <c r="A16" s="28"/>
      <c r="B16" s="20"/>
      <c r="C16" s="21">
        <v>0</v>
      </c>
      <c r="D16" s="20"/>
      <c r="E16" s="21">
        <v>0</v>
      </c>
      <c r="G16" s="43">
        <v>0</v>
      </c>
      <c r="H16" s="20" t="s">
        <v>147</v>
      </c>
      <c r="I16" s="21">
        <v>26</v>
      </c>
      <c r="J16" s="20"/>
      <c r="K16" s="21">
        <v>0</v>
      </c>
      <c r="L16" s="20" t="s">
        <v>148</v>
      </c>
      <c r="M16" s="21">
        <v>60</v>
      </c>
      <c r="N16" s="20"/>
      <c r="O16" s="21">
        <v>0</v>
      </c>
      <c r="P16" s="20"/>
      <c r="Q16" s="21">
        <v>0</v>
      </c>
      <c r="R16" s="31" t="s">
        <v>149</v>
      </c>
      <c r="S16" s="20"/>
      <c r="T16" s="21">
        <v>0</v>
      </c>
      <c r="U16" s="20" t="s">
        <v>130</v>
      </c>
      <c r="V16" s="21">
        <v>160</v>
      </c>
    </row>
    <row r="17" spans="1:23">
      <c r="A17" s="30"/>
      <c r="B17" s="20"/>
      <c r="C17" s="21">
        <v>0</v>
      </c>
      <c r="D17" s="20"/>
      <c r="E17" s="21">
        <v>0</v>
      </c>
      <c r="F17" s="20"/>
      <c r="G17" s="21">
        <v>0</v>
      </c>
      <c r="H17" s="20"/>
      <c r="I17" s="21">
        <v>0</v>
      </c>
      <c r="J17" s="20" t="s">
        <v>62</v>
      </c>
      <c r="K17" s="21">
        <v>132</v>
      </c>
      <c r="L17" s="42"/>
      <c r="M17" s="44">
        <v>0</v>
      </c>
      <c r="N17" s="20"/>
      <c r="O17" s="21">
        <v>0</v>
      </c>
      <c r="P17" s="20"/>
      <c r="Q17" s="21">
        <v>0</v>
      </c>
      <c r="R17" s="33" t="s">
        <v>150</v>
      </c>
      <c r="S17" s="24"/>
      <c r="T17" s="21">
        <v>0</v>
      </c>
      <c r="U17" s="24"/>
      <c r="V17" s="21">
        <v>0</v>
      </c>
    </row>
    <row r="18" spans="1:23">
      <c r="A18" s="35"/>
      <c r="B18" s="36"/>
      <c r="C18" s="21">
        <f>SUM(C13:C17)</f>
        <v>217</v>
      </c>
      <c r="D18" s="36"/>
      <c r="E18" s="21">
        <f>SUM(E13:E17)</f>
        <v>198</v>
      </c>
      <c r="F18" s="36"/>
      <c r="G18" s="21">
        <f>SUM(G13:G17)</f>
        <v>195</v>
      </c>
      <c r="H18" s="36"/>
      <c r="I18" s="21">
        <f>SUM(I13:I17)</f>
        <v>177</v>
      </c>
      <c r="J18" s="36"/>
      <c r="K18" s="21">
        <f>SUM(K13:K17)</f>
        <v>225</v>
      </c>
      <c r="L18" s="36"/>
      <c r="M18" s="21">
        <f>SUM(M13:M17)</f>
        <v>193</v>
      </c>
      <c r="N18" s="36"/>
      <c r="O18" s="21">
        <f>SUM(O13:O17)</f>
        <v>320</v>
      </c>
      <c r="P18" s="36"/>
      <c r="Q18" s="21">
        <f>SUM(Q13:Q17)</f>
        <v>167</v>
      </c>
      <c r="R18" s="25"/>
      <c r="S18" s="36"/>
      <c r="T18" s="36">
        <f>SUM(T14:T17)</f>
        <v>160</v>
      </c>
      <c r="U18" s="36"/>
      <c r="V18" s="36">
        <f>SUM(V14:V17)</f>
        <v>160</v>
      </c>
    </row>
    <row r="19" spans="1:23">
      <c r="A19" s="38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38"/>
      <c r="S19" s="24"/>
      <c r="T19" s="24"/>
      <c r="U19" s="24"/>
      <c r="V19" s="24"/>
    </row>
    <row r="20" spans="1:23">
      <c r="A20" s="38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38"/>
      <c r="S20" s="24"/>
      <c r="T20" s="24"/>
      <c r="U20" s="24"/>
      <c r="V20" s="24"/>
    </row>
    <row r="21" spans="1:23">
      <c r="A21" s="38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38"/>
      <c r="S21" s="24"/>
      <c r="T21" s="24"/>
      <c r="U21" s="24"/>
      <c r="V21" s="24"/>
    </row>
    <row r="22" spans="1:23">
      <c r="A22" s="19" t="s">
        <v>51</v>
      </c>
      <c r="B22" s="20" t="s">
        <v>62</v>
      </c>
      <c r="C22" s="21">
        <v>132</v>
      </c>
      <c r="D22" s="20" t="s">
        <v>60</v>
      </c>
      <c r="E22" s="21">
        <v>198</v>
      </c>
      <c r="F22" s="20" t="s">
        <v>151</v>
      </c>
      <c r="G22" s="41">
        <v>67</v>
      </c>
      <c r="H22" s="20" t="s">
        <v>152</v>
      </c>
      <c r="I22" s="21">
        <v>19</v>
      </c>
      <c r="J22" s="20" t="s">
        <v>153</v>
      </c>
      <c r="K22" s="21">
        <v>30</v>
      </c>
      <c r="L22" s="20" t="s">
        <v>154</v>
      </c>
      <c r="M22" s="21">
        <v>21</v>
      </c>
      <c r="N22" s="20" t="s">
        <v>122</v>
      </c>
      <c r="O22" s="21">
        <v>297</v>
      </c>
      <c r="P22" s="20" t="s">
        <v>123</v>
      </c>
      <c r="Q22" s="21">
        <v>99</v>
      </c>
      <c r="R22" s="25" t="s">
        <v>43</v>
      </c>
      <c r="S22" s="20"/>
      <c r="T22" s="21"/>
      <c r="U22" s="20"/>
      <c r="V22" s="21"/>
    </row>
    <row r="23" spans="1:23">
      <c r="A23" s="26" t="s">
        <v>155</v>
      </c>
      <c r="B23" s="20" t="s">
        <v>125</v>
      </c>
      <c r="C23" s="21">
        <v>66</v>
      </c>
      <c r="D23" s="20"/>
      <c r="E23" s="21">
        <v>0</v>
      </c>
      <c r="F23" s="20" t="s">
        <v>156</v>
      </c>
      <c r="G23" s="41" t="s">
        <v>157</v>
      </c>
      <c r="H23" s="20" t="s">
        <v>158</v>
      </c>
      <c r="I23" s="21">
        <v>24</v>
      </c>
      <c r="J23" s="20" t="s">
        <v>159</v>
      </c>
      <c r="K23" s="40">
        <v>33</v>
      </c>
      <c r="L23" s="20" t="s">
        <v>144</v>
      </c>
      <c r="M23" s="21">
        <v>60</v>
      </c>
      <c r="N23" s="20"/>
      <c r="O23" s="21">
        <v>0</v>
      </c>
      <c r="P23" s="20" t="s">
        <v>160</v>
      </c>
      <c r="Q23" s="21">
        <v>29</v>
      </c>
      <c r="R23" s="27" t="s">
        <v>161</v>
      </c>
      <c r="S23" s="20" t="s">
        <v>162</v>
      </c>
      <c r="T23" s="21">
        <v>165</v>
      </c>
      <c r="U23" s="20"/>
      <c r="V23" s="21">
        <v>0</v>
      </c>
    </row>
    <row r="24" spans="1:23">
      <c r="A24" s="26" t="s">
        <v>163</v>
      </c>
      <c r="B24" s="20"/>
      <c r="C24" s="21">
        <v>0</v>
      </c>
      <c r="D24" s="20"/>
      <c r="E24" s="21">
        <v>0</v>
      </c>
      <c r="F24" s="20" t="s">
        <v>164</v>
      </c>
      <c r="G24" s="21">
        <v>65</v>
      </c>
      <c r="H24" s="20" t="s">
        <v>165</v>
      </c>
      <c r="I24" s="21">
        <v>70</v>
      </c>
      <c r="J24" s="42" t="s">
        <v>166</v>
      </c>
      <c r="K24" s="24">
        <v>33</v>
      </c>
      <c r="L24" s="20" t="s">
        <v>167</v>
      </c>
      <c r="M24" s="21">
        <v>20</v>
      </c>
      <c r="N24" s="20"/>
      <c r="O24" s="21">
        <v>0</v>
      </c>
      <c r="P24" s="20" t="s">
        <v>168</v>
      </c>
      <c r="Q24" s="21">
        <v>15</v>
      </c>
      <c r="R24" s="29" t="s">
        <v>169</v>
      </c>
      <c r="S24" s="20"/>
      <c r="T24" s="21">
        <v>0</v>
      </c>
      <c r="U24" s="20"/>
      <c r="V24" s="21">
        <v>0</v>
      </c>
    </row>
    <row r="25" spans="1:23">
      <c r="A25" s="26"/>
      <c r="B25" s="45"/>
      <c r="C25" s="21">
        <v>0</v>
      </c>
      <c r="D25" s="20"/>
      <c r="E25" s="21">
        <v>0</v>
      </c>
      <c r="F25" s="20" t="s">
        <v>170</v>
      </c>
      <c r="G25" s="21" t="s">
        <v>171</v>
      </c>
      <c r="H25" s="20" t="s">
        <v>172</v>
      </c>
      <c r="I25" s="21">
        <v>54</v>
      </c>
      <c r="J25" s="20"/>
      <c r="K25" s="21">
        <v>0</v>
      </c>
      <c r="L25" s="20" t="s">
        <v>173</v>
      </c>
      <c r="M25" s="21">
        <v>35</v>
      </c>
      <c r="N25" s="20"/>
      <c r="O25" s="21">
        <v>0</v>
      </c>
      <c r="P25" s="20"/>
      <c r="Q25" s="21">
        <v>0</v>
      </c>
      <c r="R25" s="31" t="s">
        <v>174</v>
      </c>
      <c r="S25" s="20"/>
      <c r="T25" s="21">
        <v>0</v>
      </c>
      <c r="U25" s="20" t="s">
        <v>175</v>
      </c>
      <c r="V25" s="21">
        <v>132</v>
      </c>
    </row>
    <row r="26" spans="1:23">
      <c r="A26" s="26" t="s">
        <v>176</v>
      </c>
      <c r="B26" s="45"/>
      <c r="C26" s="21">
        <v>0</v>
      </c>
      <c r="D26" s="20"/>
      <c r="E26" s="21">
        <v>0</v>
      </c>
      <c r="F26" s="20"/>
      <c r="G26" s="21">
        <v>0</v>
      </c>
      <c r="H26" s="20" t="s">
        <v>101</v>
      </c>
      <c r="I26" s="21">
        <v>33</v>
      </c>
      <c r="J26" s="20" t="s">
        <v>62</v>
      </c>
      <c r="K26" s="21">
        <v>132</v>
      </c>
      <c r="L26" s="20" t="s">
        <v>177</v>
      </c>
      <c r="M26" s="21">
        <v>25</v>
      </c>
      <c r="N26" s="20"/>
      <c r="O26" s="21">
        <v>0</v>
      </c>
      <c r="P26" s="20"/>
      <c r="Q26" s="21">
        <v>0</v>
      </c>
      <c r="R26" s="33" t="s">
        <v>178</v>
      </c>
      <c r="S26" s="24"/>
      <c r="T26" s="21">
        <v>0</v>
      </c>
      <c r="U26" s="24"/>
      <c r="V26" s="21">
        <v>0</v>
      </c>
    </row>
    <row r="27" spans="1:23">
      <c r="A27" s="26" t="s">
        <v>179</v>
      </c>
      <c r="B27" s="46"/>
      <c r="C27" s="21">
        <f>SUM(C22:C26)</f>
        <v>198</v>
      </c>
      <c r="D27" s="36"/>
      <c r="E27" s="21">
        <f>SUM(E22:E26)</f>
        <v>198</v>
      </c>
      <c r="F27" s="36"/>
      <c r="G27" s="21">
        <f>SUM(G22:G26)</f>
        <v>132</v>
      </c>
      <c r="H27" s="36"/>
      <c r="I27" s="21">
        <f>SUM(I22:I26)</f>
        <v>200</v>
      </c>
      <c r="J27" s="47"/>
      <c r="K27" s="44">
        <f>SUM(K22:K26)</f>
        <v>228</v>
      </c>
      <c r="L27" s="36"/>
      <c r="M27" s="21">
        <f>SUM(M22:M26)</f>
        <v>161</v>
      </c>
      <c r="N27" s="36"/>
      <c r="O27" s="21">
        <f>SUM(O22:O26)</f>
        <v>297</v>
      </c>
      <c r="P27" s="36"/>
      <c r="Q27" s="21">
        <f>SUM(Q22:Q26)</f>
        <v>143</v>
      </c>
      <c r="R27" s="25"/>
      <c r="S27" s="36"/>
      <c r="T27" s="36">
        <f>SUM(T23:T26)</f>
        <v>165</v>
      </c>
      <c r="U27" s="36"/>
      <c r="V27" s="36">
        <f>SUM(V23:V26)</f>
        <v>132</v>
      </c>
    </row>
    <row r="28" spans="1:23">
      <c r="A28" s="35" t="s">
        <v>180</v>
      </c>
      <c r="B28" s="45"/>
      <c r="C28" s="24"/>
      <c r="D28" s="20"/>
      <c r="E28" s="24"/>
      <c r="F28" s="20"/>
      <c r="G28" s="24"/>
      <c r="H28" s="20"/>
      <c r="I28" s="24"/>
      <c r="J28" s="20"/>
      <c r="K28" s="24"/>
      <c r="L28" s="20"/>
      <c r="M28" s="24"/>
      <c r="N28" s="20"/>
      <c r="O28" s="24"/>
      <c r="P28" s="20"/>
      <c r="Q28" s="24"/>
    </row>
    <row r="29" spans="1:23">
      <c r="A29" s="15"/>
      <c r="C29" s="15"/>
      <c r="E29" s="15"/>
      <c r="G29" s="15"/>
      <c r="I29" s="15"/>
      <c r="K29" s="15"/>
      <c r="M29" s="15"/>
      <c r="O29" s="15"/>
      <c r="Q29" s="15"/>
    </row>
    <row r="30" spans="1:23">
      <c r="A30" s="15"/>
      <c r="C30" s="15"/>
      <c r="E30" s="15"/>
      <c r="G30" s="15"/>
      <c r="I30" s="15"/>
      <c r="K30" s="15"/>
      <c r="M30" s="15"/>
      <c r="O30" s="15"/>
      <c r="Q30" s="15"/>
    </row>
    <row r="32" spans="1:23">
      <c r="A32" s="15"/>
      <c r="C32" s="15"/>
      <c r="E32" s="15"/>
      <c r="G32" s="15"/>
      <c r="I32" s="15"/>
      <c r="K32" s="15"/>
      <c r="M32" s="15"/>
      <c r="N32" s="59"/>
      <c r="O32" s="59"/>
      <c r="P32" s="59"/>
      <c r="Q32" s="59"/>
      <c r="R32" s="59"/>
      <c r="S32" s="59"/>
      <c r="T32" s="59"/>
      <c r="U32" s="59"/>
      <c r="V32" s="59"/>
      <c r="W32" s="59"/>
    </row>
    <row r="33" spans="1:23">
      <c r="A33" s="15"/>
      <c r="C33" s="15"/>
      <c r="E33" s="15"/>
      <c r="G33" s="15"/>
      <c r="I33" s="15"/>
      <c r="K33" s="15"/>
      <c r="M33" s="15"/>
      <c r="N33" s="59"/>
      <c r="O33" s="59"/>
      <c r="P33" s="59"/>
      <c r="Q33" s="59"/>
      <c r="R33" s="59"/>
      <c r="S33" s="59"/>
      <c r="T33" s="59"/>
      <c r="U33" s="59"/>
      <c r="V33" s="59"/>
      <c r="W33" s="59"/>
    </row>
    <row r="34" spans="1:23">
      <c r="A34" s="72" t="s">
        <v>2</v>
      </c>
      <c r="B34" s="69" t="s">
        <v>181</v>
      </c>
      <c r="C34" s="69"/>
      <c r="D34" s="69" t="s">
        <v>182</v>
      </c>
      <c r="E34" s="69"/>
      <c r="F34" s="69" t="s">
        <v>183</v>
      </c>
      <c r="G34" s="69"/>
      <c r="H34" s="69" t="s">
        <v>184</v>
      </c>
      <c r="I34" s="69"/>
      <c r="J34" s="20"/>
      <c r="K34" s="48"/>
      <c r="L34" s="70"/>
      <c r="M34" s="70"/>
      <c r="N34" s="71"/>
      <c r="O34" s="71"/>
      <c r="P34" s="71"/>
      <c r="Q34" s="71"/>
      <c r="R34" s="59"/>
      <c r="S34" s="59"/>
      <c r="T34" s="59" t="s">
        <v>185</v>
      </c>
      <c r="U34" s="59"/>
      <c r="V34" s="59"/>
      <c r="W34" s="59"/>
    </row>
    <row r="35" spans="1:23">
      <c r="A35" s="72"/>
      <c r="B35" s="17" t="s">
        <v>119</v>
      </c>
      <c r="C35" s="18" t="s">
        <v>120</v>
      </c>
      <c r="D35" s="17" t="s">
        <v>119</v>
      </c>
      <c r="E35" s="18" t="s">
        <v>120</v>
      </c>
      <c r="F35" s="18" t="s">
        <v>119</v>
      </c>
      <c r="G35" s="18" t="s">
        <v>120</v>
      </c>
      <c r="H35" s="17" t="s">
        <v>119</v>
      </c>
      <c r="I35" s="18" t="s">
        <v>120</v>
      </c>
      <c r="J35" s="21" t="s">
        <v>186</v>
      </c>
      <c r="K35" s="49"/>
      <c r="L35" s="48"/>
      <c r="M35" s="49"/>
      <c r="N35" s="58"/>
      <c r="O35" s="58"/>
      <c r="P35" s="58"/>
      <c r="Q35" s="58"/>
      <c r="R35" s="59"/>
      <c r="S35" s="60"/>
      <c r="T35" s="60" t="s">
        <v>187</v>
      </c>
      <c r="U35" s="60" t="s">
        <v>188</v>
      </c>
      <c r="V35" s="60" t="s">
        <v>212</v>
      </c>
      <c r="W35" s="59"/>
    </row>
    <row r="36" spans="1:23">
      <c r="A36" s="72"/>
      <c r="B36" s="20"/>
      <c r="C36" s="21">
        <v>0</v>
      </c>
      <c r="D36" s="20" t="s">
        <v>62</v>
      </c>
      <c r="E36" s="21">
        <v>132</v>
      </c>
      <c r="F36" s="21"/>
      <c r="G36" s="21">
        <v>0</v>
      </c>
      <c r="H36" s="20" t="s">
        <v>62</v>
      </c>
      <c r="I36" s="21">
        <v>132</v>
      </c>
      <c r="J36" s="21" t="e">
        <f>(C36+E36+G36+I36+K36+M36+#REF!)</f>
        <v>#REF!</v>
      </c>
      <c r="K36" s="50"/>
      <c r="L36" s="50"/>
      <c r="M36" s="50"/>
      <c r="N36" s="59"/>
      <c r="O36" s="59"/>
      <c r="P36" s="59"/>
      <c r="Q36" s="59"/>
      <c r="R36" s="59"/>
      <c r="S36" s="60" t="s">
        <v>189</v>
      </c>
      <c r="T36" s="60">
        <v>132</v>
      </c>
      <c r="U36" s="60">
        <f>(T36*3)</f>
        <v>396</v>
      </c>
      <c r="V36" s="60">
        <v>12</v>
      </c>
      <c r="W36" s="59"/>
    </row>
    <row r="37" spans="1:23">
      <c r="A37" s="31" t="s">
        <v>27</v>
      </c>
      <c r="B37" s="20"/>
      <c r="C37" s="21">
        <v>0</v>
      </c>
      <c r="D37" s="20"/>
      <c r="E37" s="21">
        <v>0</v>
      </c>
      <c r="F37" s="20"/>
      <c r="G37" s="21">
        <v>0</v>
      </c>
      <c r="H37" s="20"/>
      <c r="I37" s="21">
        <v>0</v>
      </c>
      <c r="J37" s="21" t="e">
        <f>(C37+E37+G37+I37+K37+M37+#REF!)</f>
        <v>#REF!</v>
      </c>
      <c r="K37" s="50"/>
      <c r="L37" s="50"/>
      <c r="M37" s="50"/>
      <c r="N37" s="59"/>
      <c r="O37" s="59"/>
      <c r="P37" s="59"/>
      <c r="Q37" s="59"/>
      <c r="R37" s="59"/>
      <c r="S37" s="60" t="s">
        <v>190</v>
      </c>
      <c r="T37" s="60">
        <v>132</v>
      </c>
      <c r="U37" s="60">
        <v>396</v>
      </c>
      <c r="V37" s="60">
        <v>12</v>
      </c>
      <c r="W37" s="59"/>
    </row>
    <row r="38" spans="1:23">
      <c r="A38" s="26" t="s">
        <v>124</v>
      </c>
      <c r="B38" s="20"/>
      <c r="C38" s="21">
        <v>0</v>
      </c>
      <c r="D38" s="20"/>
      <c r="E38" s="21">
        <v>0</v>
      </c>
      <c r="F38" s="20"/>
      <c r="G38" s="21">
        <v>0</v>
      </c>
      <c r="H38" s="20"/>
      <c r="I38" s="21">
        <v>0</v>
      </c>
      <c r="J38" s="21" t="e">
        <f>(C38+E38+G38+I38+K38+M38+#REF!)</f>
        <v>#REF!</v>
      </c>
      <c r="K38" s="50"/>
      <c r="L38" s="50"/>
      <c r="M38" s="50"/>
      <c r="N38" s="59"/>
      <c r="O38" s="59"/>
      <c r="P38" s="59"/>
      <c r="Q38" s="59"/>
      <c r="R38" s="59"/>
      <c r="S38" s="60" t="s">
        <v>191</v>
      </c>
      <c r="T38" s="60">
        <v>198</v>
      </c>
      <c r="U38" s="60">
        <f>(T38*3)</f>
        <v>594</v>
      </c>
      <c r="V38" s="60">
        <v>18</v>
      </c>
      <c r="W38" s="59"/>
    </row>
    <row r="39" spans="1:23">
      <c r="A39" s="28">
        <v>41070</v>
      </c>
      <c r="B39" s="20"/>
      <c r="C39" s="21">
        <v>0</v>
      </c>
      <c r="D39" s="20"/>
      <c r="E39" s="21">
        <v>0</v>
      </c>
      <c r="F39" s="20"/>
      <c r="G39" s="21">
        <v>0</v>
      </c>
      <c r="H39" s="20"/>
      <c r="I39" s="21">
        <v>0</v>
      </c>
      <c r="J39" s="21" t="e">
        <f>(C39+E39+G39+I39+K39+M39+#REF!)</f>
        <v>#REF!</v>
      </c>
      <c r="K39" s="50"/>
      <c r="L39" s="50"/>
      <c r="M39" s="50"/>
      <c r="N39" s="59"/>
      <c r="O39" s="59"/>
      <c r="P39" s="59"/>
      <c r="Q39" s="59"/>
      <c r="R39" s="59"/>
      <c r="S39" s="60" t="s">
        <v>192</v>
      </c>
      <c r="T39" s="60">
        <v>132</v>
      </c>
      <c r="U39" s="60">
        <f>(T39*3)</f>
        <v>396</v>
      </c>
      <c r="V39" s="60">
        <v>12</v>
      </c>
      <c r="W39" s="59"/>
    </row>
    <row r="40" spans="1:23">
      <c r="A40" s="30"/>
      <c r="B40" s="36"/>
      <c r="C40" s="21">
        <f>SUM(C36:C39)</f>
        <v>0</v>
      </c>
      <c r="D40" s="36"/>
      <c r="E40" s="21">
        <f>SUM(E36:E39)</f>
        <v>132</v>
      </c>
      <c r="F40" s="36"/>
      <c r="G40" s="21">
        <f>SUM(G36:G39)</f>
        <v>0</v>
      </c>
      <c r="H40" s="36"/>
      <c r="I40" s="21">
        <f>SUM(I36:I39)</f>
        <v>132</v>
      </c>
      <c r="J40" s="36" t="e">
        <f>SUM(J36:J39)</f>
        <v>#REF!</v>
      </c>
      <c r="K40" s="50"/>
      <c r="L40" s="50"/>
      <c r="M40" s="50"/>
      <c r="N40" s="59"/>
      <c r="O40" s="59"/>
      <c r="P40" s="59"/>
      <c r="Q40" s="59"/>
      <c r="R40" s="59"/>
      <c r="S40" s="60" t="s">
        <v>193</v>
      </c>
      <c r="T40" s="60">
        <v>132</v>
      </c>
      <c r="U40" s="60">
        <f>(T40*3)</f>
        <v>396</v>
      </c>
      <c r="V40" s="60">
        <v>12</v>
      </c>
      <c r="W40" s="59"/>
    </row>
    <row r="41" spans="1:23">
      <c r="A41" s="35"/>
      <c r="B41" s="24"/>
      <c r="C41" s="24"/>
      <c r="D41" s="24"/>
      <c r="E41" s="24"/>
      <c r="F41" s="24"/>
      <c r="G41" s="24"/>
      <c r="H41" s="24"/>
      <c r="I41" s="24"/>
      <c r="J41" s="24"/>
      <c r="K41" s="50"/>
      <c r="L41" s="50"/>
      <c r="M41" s="50"/>
      <c r="N41" s="59"/>
      <c r="O41" s="59"/>
      <c r="P41" s="59"/>
      <c r="Q41" s="59"/>
      <c r="R41" s="59"/>
      <c r="S41" s="60" t="s">
        <v>92</v>
      </c>
      <c r="T41" s="60">
        <v>0</v>
      </c>
      <c r="U41" s="60">
        <f>(T41*3)</f>
        <v>0</v>
      </c>
      <c r="V41" s="60">
        <v>0</v>
      </c>
      <c r="W41" s="59"/>
    </row>
    <row r="42" spans="1:23">
      <c r="A42" s="37"/>
      <c r="B42" s="24"/>
      <c r="C42" s="24"/>
      <c r="D42" s="24"/>
      <c r="E42" s="24"/>
      <c r="F42" s="24"/>
      <c r="G42" s="24"/>
      <c r="H42" s="24"/>
      <c r="I42" s="24"/>
      <c r="J42" s="24"/>
      <c r="K42" s="50"/>
      <c r="L42" s="50"/>
      <c r="M42" s="50"/>
      <c r="N42" s="59"/>
      <c r="O42" s="59"/>
      <c r="P42" s="59"/>
      <c r="Q42" s="59"/>
      <c r="R42" s="59"/>
      <c r="S42" s="60" t="s">
        <v>194</v>
      </c>
      <c r="T42" s="60">
        <v>0</v>
      </c>
      <c r="U42" s="60">
        <v>19</v>
      </c>
      <c r="V42" s="60">
        <v>1</v>
      </c>
      <c r="W42" s="59"/>
    </row>
    <row r="43" spans="1:23">
      <c r="A43" s="37"/>
      <c r="B43" s="24"/>
      <c r="C43" s="24"/>
      <c r="D43" s="24"/>
      <c r="E43" s="24"/>
      <c r="F43" s="24"/>
      <c r="G43" s="24"/>
      <c r="H43" s="24"/>
      <c r="I43" s="24"/>
      <c r="J43" s="24"/>
      <c r="K43" s="50"/>
      <c r="L43" s="50"/>
      <c r="M43" s="50"/>
      <c r="N43" s="59"/>
      <c r="O43" s="59"/>
      <c r="P43" s="59"/>
      <c r="Q43" s="59"/>
      <c r="R43" s="59"/>
      <c r="S43" s="60"/>
      <c r="T43" s="60">
        <f>SUM(T36:T42)</f>
        <v>726</v>
      </c>
      <c r="U43" s="60">
        <f>SUM(U36:U42)</f>
        <v>2197</v>
      </c>
      <c r="V43" s="60">
        <f>SUM(V36:V42)</f>
        <v>67</v>
      </c>
      <c r="W43" s="59"/>
    </row>
    <row r="44" spans="1:23">
      <c r="A44" s="38"/>
      <c r="B44" s="20" t="s">
        <v>195</v>
      </c>
      <c r="C44" s="21">
        <v>33</v>
      </c>
      <c r="D44" s="20" t="s">
        <v>62</v>
      </c>
      <c r="E44" s="21">
        <v>132</v>
      </c>
      <c r="F44" s="20"/>
      <c r="G44" s="21">
        <v>0</v>
      </c>
      <c r="H44" s="20" t="s">
        <v>62</v>
      </c>
      <c r="I44" s="21">
        <v>132</v>
      </c>
      <c r="J44" s="21" t="e">
        <f>(C53+E44+G44+I44+K44+M44+#REF!)</f>
        <v>#REF!</v>
      </c>
      <c r="K44" s="50"/>
      <c r="L44" s="50"/>
      <c r="M44" s="50"/>
      <c r="N44" s="59"/>
      <c r="O44" s="59"/>
      <c r="P44" s="59"/>
      <c r="Q44" s="59"/>
      <c r="R44" s="59"/>
      <c r="S44" s="59"/>
      <c r="T44" s="59"/>
      <c r="U44" s="59"/>
      <c r="V44" s="59"/>
      <c r="W44" s="59"/>
    </row>
    <row r="45" spans="1:23">
      <c r="A45" s="31" t="s">
        <v>32</v>
      </c>
      <c r="B45" s="20" t="s">
        <v>196</v>
      </c>
      <c r="C45" s="21">
        <v>60</v>
      </c>
      <c r="D45" s="20"/>
      <c r="E45" s="21">
        <v>0</v>
      </c>
      <c r="F45" s="20"/>
      <c r="G45" s="21">
        <v>0</v>
      </c>
      <c r="H45" s="20"/>
      <c r="I45" s="21">
        <v>0</v>
      </c>
      <c r="J45" s="21">
        <v>60</v>
      </c>
      <c r="K45" s="50"/>
      <c r="L45" s="50"/>
      <c r="M45" s="50"/>
      <c r="N45" s="59" t="s">
        <v>197</v>
      </c>
      <c r="O45" s="59">
        <v>11</v>
      </c>
      <c r="P45" s="59"/>
      <c r="Q45" s="59"/>
      <c r="R45" s="59"/>
      <c r="S45" s="59" t="s">
        <v>198</v>
      </c>
      <c r="T45" s="59"/>
      <c r="U45" s="59"/>
      <c r="V45" s="59"/>
      <c r="W45" s="59"/>
    </row>
    <row r="46" spans="1:23">
      <c r="A46" s="26" t="s">
        <v>136</v>
      </c>
      <c r="B46" t="s">
        <v>199</v>
      </c>
      <c r="C46" s="22">
        <v>30</v>
      </c>
      <c r="D46" s="20"/>
      <c r="E46" s="21">
        <v>0</v>
      </c>
      <c r="F46" s="20"/>
      <c r="G46" s="21">
        <v>0</v>
      </c>
      <c r="H46" s="20"/>
      <c r="I46" s="21">
        <v>0</v>
      </c>
      <c r="J46" s="21">
        <v>30</v>
      </c>
      <c r="K46" s="50"/>
      <c r="L46" s="50"/>
      <c r="M46" s="50"/>
      <c r="N46" s="59" t="s">
        <v>200</v>
      </c>
      <c r="O46" s="59">
        <v>13</v>
      </c>
      <c r="P46" s="59"/>
      <c r="Q46" s="59"/>
      <c r="R46" s="59"/>
      <c r="S46" s="59"/>
      <c r="T46" s="59"/>
      <c r="U46" s="59"/>
      <c r="V46" s="59"/>
      <c r="W46" s="59"/>
    </row>
    <row r="47" spans="1:23">
      <c r="A47" s="28">
        <v>41105</v>
      </c>
      <c r="C47" s="22">
        <v>0</v>
      </c>
      <c r="D47" s="20"/>
      <c r="E47" s="21">
        <v>0</v>
      </c>
      <c r="F47" s="20"/>
      <c r="G47" s="21">
        <v>0</v>
      </c>
      <c r="H47" s="20"/>
      <c r="I47" s="21">
        <v>0</v>
      </c>
      <c r="J47" s="21" t="e">
        <f>(C52+E47+G47+I47+K47+M47+#REF!)</f>
        <v>#REF!</v>
      </c>
      <c r="K47" s="50"/>
      <c r="L47" s="50"/>
      <c r="M47" s="50"/>
      <c r="N47" s="59" t="s">
        <v>201</v>
      </c>
      <c r="O47" s="59">
        <v>9</v>
      </c>
      <c r="P47" s="59"/>
      <c r="Q47" s="59"/>
      <c r="R47" s="59"/>
      <c r="S47" s="59" t="s">
        <v>93</v>
      </c>
      <c r="T47" s="59">
        <v>66</v>
      </c>
      <c r="U47" s="59">
        <f>(T47*3)</f>
        <v>198</v>
      </c>
      <c r="V47" s="59">
        <v>6</v>
      </c>
      <c r="W47" s="59"/>
    </row>
    <row r="48" spans="1:23">
      <c r="A48" s="30"/>
      <c r="B48" s="36"/>
      <c r="C48" s="21">
        <f>SUM(C44:C47)</f>
        <v>123</v>
      </c>
      <c r="D48" s="36"/>
      <c r="E48" s="21">
        <f>SUM(E44:E47)</f>
        <v>132</v>
      </c>
      <c r="F48" s="36"/>
      <c r="G48" s="21">
        <f>SUM(G44:G47)</f>
        <v>0</v>
      </c>
      <c r="H48" s="36"/>
      <c r="I48" s="51" t="e">
        <f>SUM(#REF!)</f>
        <v>#REF!</v>
      </c>
      <c r="J48" s="36" t="e">
        <f>SUM(J44:J47)</f>
        <v>#REF!</v>
      </c>
      <c r="K48" s="50"/>
      <c r="L48" s="50"/>
      <c r="M48" s="50"/>
      <c r="N48" s="59"/>
      <c r="O48" s="59"/>
      <c r="P48" s="59"/>
      <c r="Q48" s="59"/>
      <c r="R48" s="59"/>
      <c r="S48" s="59" t="s">
        <v>92</v>
      </c>
      <c r="T48" s="59"/>
      <c r="U48" s="59">
        <v>198</v>
      </c>
      <c r="V48" s="59"/>
      <c r="W48" s="59"/>
    </row>
    <row r="49" spans="1:23">
      <c r="A49" s="35"/>
      <c r="B49" s="24"/>
      <c r="C49" s="24"/>
      <c r="D49" s="24"/>
      <c r="E49" s="24"/>
      <c r="F49" s="24"/>
      <c r="G49" s="24"/>
      <c r="H49" s="24"/>
      <c r="I49" s="24"/>
      <c r="J49" s="24"/>
      <c r="K49" s="50"/>
      <c r="L49" s="50"/>
      <c r="M49" s="50"/>
      <c r="N49" s="59"/>
      <c r="O49" s="59"/>
      <c r="P49" s="59"/>
      <c r="Q49" s="59"/>
      <c r="R49" s="59"/>
      <c r="S49" s="59" t="s">
        <v>202</v>
      </c>
      <c r="T49" s="59"/>
      <c r="U49" s="59">
        <v>99</v>
      </c>
      <c r="V49" s="59"/>
      <c r="W49" s="59"/>
    </row>
    <row r="50" spans="1:23">
      <c r="A50" s="38"/>
      <c r="B50" s="24"/>
      <c r="C50" s="24"/>
      <c r="D50" s="24"/>
      <c r="E50" s="24"/>
      <c r="F50" s="24"/>
      <c r="G50" s="24"/>
      <c r="H50" s="24"/>
      <c r="I50" s="24"/>
      <c r="J50" s="24"/>
      <c r="K50" s="50"/>
      <c r="L50" s="50"/>
      <c r="M50" s="50"/>
      <c r="N50" s="59"/>
      <c r="O50" s="59"/>
      <c r="P50" s="59"/>
      <c r="Q50" s="59"/>
      <c r="R50" s="59"/>
      <c r="S50" s="59"/>
      <c r="T50" s="59"/>
      <c r="U50" s="59">
        <f>SUM(U47:U49)</f>
        <v>495</v>
      </c>
      <c r="V50" s="59"/>
      <c r="W50" s="59"/>
    </row>
    <row r="51" spans="1:23">
      <c r="A51" s="38"/>
      <c r="B51" s="24"/>
      <c r="C51" s="24"/>
      <c r="D51" s="24"/>
      <c r="E51" s="24"/>
      <c r="F51" s="24"/>
      <c r="G51" s="24"/>
      <c r="H51" s="24"/>
      <c r="I51" s="24"/>
      <c r="J51" s="24"/>
      <c r="K51" s="50"/>
      <c r="L51" s="50"/>
      <c r="M51" s="50"/>
      <c r="N51" s="59"/>
      <c r="O51" s="59"/>
      <c r="P51" s="59"/>
      <c r="Q51" s="59"/>
      <c r="R51" s="59"/>
      <c r="S51" s="59"/>
      <c r="T51" s="59"/>
      <c r="U51" s="59">
        <v>495</v>
      </c>
      <c r="V51" s="59"/>
      <c r="W51" s="59"/>
    </row>
    <row r="52" spans="1:23">
      <c r="A52" s="38"/>
      <c r="B52" s="20" t="s">
        <v>203</v>
      </c>
      <c r="C52" s="21">
        <v>63</v>
      </c>
      <c r="D52" s="20" t="s">
        <v>62</v>
      </c>
      <c r="E52" s="21">
        <v>132</v>
      </c>
      <c r="F52" s="20"/>
      <c r="G52" s="21">
        <v>0</v>
      </c>
      <c r="H52" s="20" t="s">
        <v>62</v>
      </c>
      <c r="I52" s="20">
        <v>132</v>
      </c>
      <c r="J52" s="21">
        <f>(I52+G52+E52+C52)</f>
        <v>327</v>
      </c>
      <c r="K52" s="50"/>
      <c r="L52" s="50"/>
      <c r="M52" s="50"/>
      <c r="N52" s="59"/>
      <c r="O52" s="59"/>
      <c r="P52" s="59"/>
      <c r="Q52" s="59"/>
      <c r="R52" s="59"/>
      <c r="S52" s="59"/>
      <c r="T52" s="59"/>
      <c r="U52" s="59"/>
      <c r="V52" s="59"/>
      <c r="W52" s="59"/>
    </row>
    <row r="53" spans="1:23">
      <c r="A53" s="31" t="s">
        <v>51</v>
      </c>
      <c r="B53" s="20" t="s">
        <v>204</v>
      </c>
      <c r="C53" s="21">
        <v>33</v>
      </c>
      <c r="D53" s="20"/>
      <c r="E53" s="21">
        <v>0</v>
      </c>
      <c r="F53" s="20"/>
      <c r="G53" s="21">
        <v>0</v>
      </c>
      <c r="H53" s="20"/>
      <c r="I53" s="21">
        <v>0</v>
      </c>
      <c r="J53" s="21">
        <f>(C53+E53+G53)</f>
        <v>33</v>
      </c>
      <c r="K53" s="50"/>
      <c r="L53" s="50"/>
      <c r="M53" s="50"/>
      <c r="N53" s="59"/>
      <c r="O53" s="59"/>
      <c r="P53" s="59"/>
      <c r="Q53" s="59"/>
      <c r="R53" s="59"/>
      <c r="S53" s="59"/>
      <c r="T53" s="59"/>
      <c r="U53" s="59"/>
      <c r="V53" s="59"/>
      <c r="W53" s="59"/>
    </row>
    <row r="54" spans="1:23">
      <c r="A54" s="26" t="s">
        <v>155</v>
      </c>
      <c r="B54" s="45"/>
      <c r="C54" s="21">
        <v>0</v>
      </c>
      <c r="D54" s="20"/>
      <c r="E54" s="21">
        <v>0</v>
      </c>
      <c r="F54" s="20"/>
      <c r="G54" s="21">
        <v>0</v>
      </c>
      <c r="H54" s="20"/>
      <c r="I54" s="21">
        <v>0</v>
      </c>
      <c r="J54" s="21" t="e">
        <f>(C54+E54+G54+I54+K54+M54+#REF!)</f>
        <v>#REF!</v>
      </c>
      <c r="K54" s="50"/>
      <c r="L54" s="50"/>
      <c r="M54" s="50"/>
      <c r="N54" s="59"/>
      <c r="O54" s="59"/>
      <c r="P54" s="59"/>
      <c r="Q54" s="59"/>
      <c r="R54" s="59"/>
      <c r="S54" s="59" t="s">
        <v>205</v>
      </c>
      <c r="T54" s="59"/>
      <c r="U54" s="59"/>
      <c r="V54" s="59"/>
      <c r="W54" s="59"/>
    </row>
    <row r="55" spans="1:23">
      <c r="A55" s="26" t="s">
        <v>163</v>
      </c>
      <c r="B55" s="45"/>
      <c r="C55" s="21">
        <v>0</v>
      </c>
      <c r="D55" s="20"/>
      <c r="E55" s="21">
        <v>0</v>
      </c>
      <c r="F55" s="20"/>
      <c r="G55" s="21">
        <v>0</v>
      </c>
      <c r="H55" s="20"/>
      <c r="I55" s="21">
        <v>0</v>
      </c>
      <c r="J55" s="20" t="e">
        <f>(C55+E55+G55+I55+K55+M55+#REF!)</f>
        <v>#REF!</v>
      </c>
      <c r="K55" s="50"/>
      <c r="L55" s="50"/>
      <c r="M55" s="50"/>
      <c r="N55" s="59"/>
      <c r="O55" s="59"/>
      <c r="P55" s="59"/>
      <c r="Q55" s="59"/>
      <c r="R55" s="59"/>
      <c r="S55" s="59" t="s">
        <v>206</v>
      </c>
      <c r="T55" s="59">
        <v>33</v>
      </c>
      <c r="U55" s="59">
        <v>-7</v>
      </c>
      <c r="V55" s="59"/>
      <c r="W55" s="59" t="s">
        <v>207</v>
      </c>
    </row>
    <row r="56" spans="1:23">
      <c r="A56" s="26" t="s">
        <v>176</v>
      </c>
      <c r="B56" s="52"/>
      <c r="C56" s="53">
        <f>SUM(C52:C55)</f>
        <v>96</v>
      </c>
      <c r="D56" s="54"/>
      <c r="E56" s="53">
        <f>SUM(E52:E55)</f>
        <v>132</v>
      </c>
      <c r="F56" s="54"/>
      <c r="G56" s="53">
        <f>SUM(E56:F56)</f>
        <v>132</v>
      </c>
      <c r="H56" s="54"/>
      <c r="I56" s="53">
        <f>SUM(G56)</f>
        <v>132</v>
      </c>
      <c r="J56" s="54" t="e">
        <f>SUM(J52:J55)</f>
        <v>#REF!</v>
      </c>
      <c r="K56" s="50"/>
      <c r="L56" s="50"/>
      <c r="M56" s="50"/>
      <c r="N56" s="59"/>
      <c r="O56" s="59"/>
      <c r="P56" s="59"/>
      <c r="Q56" s="59"/>
      <c r="R56" s="59"/>
      <c r="S56" s="59" t="s">
        <v>208</v>
      </c>
      <c r="T56" s="59">
        <f>(T57-T55)</f>
        <v>70</v>
      </c>
      <c r="U56" s="59"/>
      <c r="V56" s="59"/>
      <c r="W56" s="59" t="s">
        <v>209</v>
      </c>
    </row>
    <row r="57" spans="1:23">
      <c r="A57" s="55" t="s">
        <v>179</v>
      </c>
      <c r="B57" s="56"/>
      <c r="C57" s="22"/>
      <c r="D57" s="39"/>
      <c r="E57" s="22"/>
      <c r="F57" s="39"/>
      <c r="G57" s="22"/>
      <c r="H57" s="39"/>
      <c r="I57" s="22"/>
      <c r="J57" s="39"/>
      <c r="K57" s="50"/>
      <c r="L57" s="50"/>
      <c r="M57" s="50"/>
      <c r="N57" s="59"/>
      <c r="O57" s="59"/>
      <c r="P57" s="59"/>
      <c r="Q57" s="59"/>
      <c r="R57" s="59"/>
      <c r="S57" s="59"/>
      <c r="T57" s="59">
        <v>103</v>
      </c>
      <c r="U57" s="59"/>
      <c r="V57" s="59"/>
      <c r="W57" s="59" t="s">
        <v>210</v>
      </c>
    </row>
    <row r="58" spans="1:23">
      <c r="A58" s="57" t="s">
        <v>180</v>
      </c>
      <c r="B58" s="39"/>
      <c r="C58" s="22"/>
      <c r="D58" s="39"/>
      <c r="E58" s="22"/>
      <c r="F58" s="39"/>
      <c r="G58" s="22"/>
      <c r="H58" s="39"/>
      <c r="I58" s="22"/>
      <c r="J58" s="39" t="e">
        <f>(J40+J48+J56)</f>
        <v>#REF!</v>
      </c>
      <c r="K58" s="50"/>
      <c r="L58" s="50"/>
      <c r="M58" s="50"/>
      <c r="N58" s="59"/>
      <c r="O58" s="59"/>
      <c r="P58" s="59"/>
      <c r="Q58" s="59"/>
      <c r="R58" s="59"/>
      <c r="S58" s="59"/>
      <c r="T58" s="59"/>
      <c r="U58" s="59"/>
      <c r="V58" s="59"/>
      <c r="W58" s="59"/>
    </row>
    <row r="59" spans="1:23">
      <c r="A59" s="22"/>
      <c r="C59" s="15"/>
      <c r="E59" s="15"/>
      <c r="G59" s="15"/>
      <c r="I59" s="15"/>
      <c r="K59" s="15"/>
      <c r="M59" s="15"/>
      <c r="N59" s="59"/>
      <c r="O59" s="59"/>
      <c r="P59" s="59"/>
      <c r="Q59" s="59"/>
      <c r="R59" s="59"/>
      <c r="S59" s="59"/>
      <c r="T59" s="59"/>
      <c r="U59" s="59"/>
      <c r="V59" s="59"/>
      <c r="W59" s="59"/>
    </row>
    <row r="60" spans="1:23">
      <c r="A60" s="15" t="s">
        <v>211</v>
      </c>
      <c r="C60" s="15"/>
      <c r="E60" s="15">
        <f>E52+E44+E36</f>
        <v>396</v>
      </c>
      <c r="G60" s="15"/>
      <c r="I60" s="15">
        <f>I52+I44+I36</f>
        <v>396</v>
      </c>
      <c r="J60">
        <f>I60+E60</f>
        <v>792</v>
      </c>
      <c r="K60" s="15"/>
      <c r="M60" s="15"/>
      <c r="O60" s="15"/>
      <c r="Q60" s="15"/>
    </row>
    <row r="61" spans="1:23">
      <c r="A61" s="15" t="s">
        <v>211</v>
      </c>
      <c r="B61">
        <f>E36+I36+E44+I52</f>
        <v>528</v>
      </c>
      <c r="C61" s="15"/>
      <c r="E61" s="15"/>
      <c r="G61" s="15"/>
      <c r="I61" s="15"/>
      <c r="K61" s="15"/>
      <c r="M61" s="15"/>
      <c r="O61" s="15"/>
      <c r="Q61" s="15"/>
    </row>
    <row r="62" spans="1:23">
      <c r="A62" s="15"/>
      <c r="C62" s="15"/>
      <c r="E62" s="15"/>
      <c r="G62" s="15"/>
      <c r="I62" s="15"/>
      <c r="K62" s="15"/>
      <c r="M62" s="15"/>
      <c r="O62" s="15"/>
      <c r="Q62" s="15"/>
    </row>
    <row r="63" spans="1:23">
      <c r="A63" s="15"/>
      <c r="C63" s="15"/>
      <c r="E63" s="15"/>
      <c r="G63" s="15"/>
      <c r="I63" s="15"/>
      <c r="K63" s="15"/>
      <c r="M63" s="15"/>
      <c r="O63" s="15"/>
      <c r="Q63" s="15"/>
    </row>
    <row r="64" spans="1:23">
      <c r="A64" s="15"/>
      <c r="C64" s="15"/>
      <c r="E64" s="15"/>
      <c r="G64" s="15"/>
      <c r="I64" s="15"/>
      <c r="K64" s="15"/>
      <c r="M64" s="15"/>
      <c r="O64" s="15"/>
      <c r="Q64" s="15"/>
    </row>
    <row r="65" spans="1:17">
      <c r="A65" s="15"/>
      <c r="C65" s="15"/>
      <c r="E65" s="15"/>
      <c r="G65" s="15"/>
      <c r="I65" s="15"/>
      <c r="K65" s="15"/>
      <c r="M65" s="15"/>
      <c r="O65" s="15"/>
      <c r="Q65" s="15"/>
    </row>
    <row r="66" spans="1:17">
      <c r="A66" s="15"/>
      <c r="C66" s="15"/>
      <c r="E66" s="15"/>
      <c r="G66" s="15"/>
      <c r="I66" s="15"/>
      <c r="K66" s="15"/>
      <c r="M66" s="15"/>
      <c r="O66" s="15"/>
      <c r="Q66" s="15"/>
    </row>
    <row r="67" spans="1:17">
      <c r="A67" s="15"/>
      <c r="C67" s="15"/>
      <c r="E67" s="15"/>
      <c r="G67" s="15"/>
      <c r="I67" s="15"/>
      <c r="K67" s="15"/>
      <c r="M67" s="15"/>
      <c r="O67" s="15"/>
      <c r="Q67" s="15"/>
    </row>
    <row r="68" spans="1:17">
      <c r="A68" s="15"/>
      <c r="C68" s="15"/>
      <c r="E68" s="15"/>
      <c r="G68" s="15"/>
      <c r="I68" s="15"/>
      <c r="K68" s="15"/>
      <c r="M68" s="15"/>
      <c r="O68" s="15"/>
      <c r="Q68" s="15"/>
    </row>
    <row r="69" spans="1:17">
      <c r="A69" s="15"/>
      <c r="C69" s="15"/>
      <c r="E69" s="15"/>
      <c r="G69" s="15"/>
      <c r="I69" s="15"/>
      <c r="K69" s="15"/>
      <c r="M69" s="15"/>
      <c r="O69" s="15"/>
      <c r="Q69" s="15"/>
    </row>
    <row r="70" spans="1:17">
      <c r="A70" s="15"/>
      <c r="C70" s="15"/>
      <c r="E70" s="15"/>
      <c r="G70" s="15"/>
      <c r="I70" s="15"/>
      <c r="K70" s="15"/>
      <c r="M70" s="15"/>
      <c r="O70" s="15"/>
      <c r="Q70" s="15"/>
    </row>
    <row r="71" spans="1:17">
      <c r="A71" s="15"/>
      <c r="C71" s="15"/>
      <c r="E71" s="15"/>
      <c r="G71" s="15"/>
      <c r="I71" s="15"/>
      <c r="K71" s="15"/>
      <c r="M71" s="15"/>
      <c r="O71" s="15"/>
      <c r="Q71" s="15"/>
    </row>
    <row r="72" spans="1:17">
      <c r="A72" s="15"/>
      <c r="C72" s="15"/>
      <c r="E72" s="15"/>
      <c r="G72" s="15"/>
      <c r="I72" s="15"/>
      <c r="K72" s="15"/>
      <c r="M72" s="15"/>
      <c r="O72" s="15"/>
      <c r="Q72" s="15"/>
    </row>
    <row r="73" spans="1:17">
      <c r="A73" s="15"/>
      <c r="C73" s="15"/>
      <c r="E73" s="15"/>
      <c r="G73" s="15"/>
      <c r="I73" s="15"/>
      <c r="K73" s="15"/>
      <c r="M73" s="15"/>
      <c r="O73" s="15"/>
      <c r="Q73" s="15"/>
    </row>
    <row r="74" spans="1:17">
      <c r="A74" s="15"/>
      <c r="C74" s="15"/>
      <c r="E74" s="15"/>
      <c r="G74" s="15"/>
      <c r="I74" s="15"/>
      <c r="K74" s="15"/>
      <c r="M74" s="15"/>
      <c r="O74" s="15"/>
      <c r="Q74" s="15"/>
    </row>
    <row r="75" spans="1:17">
      <c r="A75" s="15"/>
      <c r="C75" s="15"/>
      <c r="E75" s="15"/>
      <c r="G75" s="15"/>
      <c r="I75" s="15"/>
      <c r="K75" s="15"/>
      <c r="M75" s="15"/>
      <c r="O75" s="15"/>
      <c r="Q75" s="15"/>
    </row>
    <row r="76" spans="1:17">
      <c r="A76" s="15"/>
      <c r="C76" s="15"/>
      <c r="E76" s="15"/>
      <c r="G76" s="15"/>
      <c r="I76" s="15"/>
      <c r="K76" s="15"/>
      <c r="M76" s="15"/>
      <c r="O76" s="15"/>
      <c r="Q76" s="15"/>
    </row>
    <row r="77" spans="1:17">
      <c r="A77" s="15"/>
      <c r="C77" s="15"/>
      <c r="E77" s="15"/>
      <c r="G77" s="15"/>
      <c r="I77" s="15"/>
      <c r="K77" s="15"/>
      <c r="M77" s="15"/>
      <c r="O77" s="15"/>
      <c r="Q77" s="15"/>
    </row>
    <row r="78" spans="1:17">
      <c r="A78" s="15"/>
      <c r="C78" s="15"/>
      <c r="E78" s="15"/>
      <c r="G78" s="15"/>
      <c r="I78" s="15"/>
      <c r="K78" s="15"/>
      <c r="M78" s="15"/>
      <c r="O78" s="15"/>
      <c r="Q78" s="15"/>
    </row>
    <row r="79" spans="1:17">
      <c r="A79" s="15"/>
      <c r="C79" s="15"/>
      <c r="E79" s="15"/>
      <c r="G79" s="15"/>
      <c r="I79" s="15"/>
      <c r="K79" s="15"/>
      <c r="M79" s="15"/>
      <c r="O79" s="15"/>
      <c r="Q79" s="15"/>
    </row>
    <row r="80" spans="1:17">
      <c r="A80" s="15"/>
      <c r="C80" s="15"/>
      <c r="E80" s="15"/>
      <c r="G80" s="15"/>
      <c r="I80" s="15"/>
      <c r="K80" s="15"/>
      <c r="M80" s="15"/>
      <c r="O80" s="15"/>
      <c r="Q80" s="15"/>
    </row>
    <row r="81" spans="1:17">
      <c r="A81" s="15"/>
      <c r="C81" s="15"/>
      <c r="E81" s="15"/>
      <c r="G81" s="15"/>
      <c r="I81" s="15"/>
      <c r="K81" s="15"/>
      <c r="M81" s="15"/>
      <c r="O81" s="15"/>
      <c r="Q81" s="15"/>
    </row>
    <row r="82" spans="1:17">
      <c r="A82" s="15"/>
      <c r="C82" s="15"/>
      <c r="E82" s="15"/>
      <c r="G82" s="15"/>
      <c r="I82" s="15"/>
      <c r="K82" s="15"/>
      <c r="M82" s="15"/>
      <c r="O82" s="15"/>
      <c r="Q82" s="15"/>
    </row>
    <row r="83" spans="1:17">
      <c r="A83" s="15"/>
      <c r="C83" s="15"/>
      <c r="E83" s="15"/>
      <c r="G83" s="15"/>
      <c r="I83" s="15"/>
      <c r="K83" s="15"/>
      <c r="M83" s="15"/>
      <c r="O83" s="15"/>
      <c r="Q83" s="15"/>
    </row>
    <row r="84" spans="1:17">
      <c r="A84" s="15"/>
      <c r="C84" s="15"/>
      <c r="E84" s="15"/>
      <c r="G84" s="15"/>
      <c r="I84" s="15"/>
      <c r="K84" s="15"/>
      <c r="M84" s="15"/>
      <c r="O84" s="15"/>
      <c r="Q84" s="15"/>
    </row>
    <row r="85" spans="1:17">
      <c r="A85" s="15"/>
      <c r="C85" s="15"/>
      <c r="E85" s="15"/>
      <c r="G85" s="15"/>
      <c r="I85" s="15"/>
      <c r="K85" s="15"/>
      <c r="M85" s="15"/>
      <c r="O85" s="15"/>
      <c r="Q85" s="15"/>
    </row>
    <row r="86" spans="1:17">
      <c r="A86" s="15"/>
      <c r="C86" s="15"/>
      <c r="E86" s="15"/>
      <c r="G86" s="15"/>
      <c r="I86" s="15"/>
      <c r="K86" s="15"/>
      <c r="M86" s="15"/>
      <c r="O86" s="15"/>
      <c r="Q86" s="15"/>
    </row>
    <row r="87" spans="1:17">
      <c r="A87" s="15"/>
      <c r="C87" s="15"/>
      <c r="E87" s="15"/>
      <c r="G87" s="15"/>
      <c r="I87" s="15"/>
      <c r="K87" s="15"/>
      <c r="M87" s="15"/>
      <c r="O87" s="15"/>
      <c r="Q87" s="15"/>
    </row>
    <row r="88" spans="1:17">
      <c r="A88" s="15"/>
      <c r="C88" s="15"/>
      <c r="E88" s="15"/>
      <c r="G88" s="15"/>
      <c r="I88" s="15"/>
      <c r="K88" s="15"/>
      <c r="M88" s="15"/>
      <c r="O88" s="15"/>
      <c r="Q88" s="15"/>
    </row>
    <row r="89" spans="1:17">
      <c r="A89" s="15"/>
      <c r="C89" s="15"/>
      <c r="E89" s="15"/>
      <c r="G89" s="15"/>
      <c r="I89" s="15"/>
      <c r="K89" s="15"/>
      <c r="M89" s="15"/>
      <c r="O89" s="15"/>
      <c r="Q89" s="15"/>
    </row>
    <row r="90" spans="1:17">
      <c r="A90" s="15"/>
      <c r="C90" s="15"/>
      <c r="E90" s="15"/>
      <c r="G90" s="15"/>
      <c r="I90" s="15"/>
      <c r="K90" s="15"/>
      <c r="M90" s="15"/>
      <c r="O90" s="15"/>
      <c r="Q90" s="15"/>
    </row>
    <row r="91" spans="1:17">
      <c r="A91" s="15"/>
      <c r="C91" s="15"/>
      <c r="E91" s="15"/>
      <c r="G91" s="15"/>
      <c r="I91" s="15"/>
      <c r="K91" s="15"/>
      <c r="M91" s="15"/>
      <c r="O91" s="15"/>
      <c r="Q91" s="15"/>
    </row>
    <row r="92" spans="1:17">
      <c r="A92" s="15"/>
      <c r="C92" s="15"/>
      <c r="E92" s="15"/>
      <c r="G92" s="15"/>
      <c r="I92" s="15"/>
      <c r="K92" s="15"/>
      <c r="M92" s="15"/>
      <c r="O92" s="15"/>
      <c r="Q92" s="15"/>
    </row>
  </sheetData>
  <mergeCells count="20">
    <mergeCell ref="A3:A4"/>
    <mergeCell ref="B3:C3"/>
    <mergeCell ref="D3:E3"/>
    <mergeCell ref="F3:G3"/>
    <mergeCell ref="P3:Q3"/>
    <mergeCell ref="R3:R4"/>
    <mergeCell ref="S3:T3"/>
    <mergeCell ref="U3:V3"/>
    <mergeCell ref="H3:I3"/>
    <mergeCell ref="J3:K3"/>
    <mergeCell ref="L3:M3"/>
    <mergeCell ref="N3:O3"/>
    <mergeCell ref="H34:I34"/>
    <mergeCell ref="L34:M34"/>
    <mergeCell ref="N34:O34"/>
    <mergeCell ref="P34:Q34"/>
    <mergeCell ref="A34:A36"/>
    <mergeCell ref="B34:C34"/>
    <mergeCell ref="D34:E34"/>
    <mergeCell ref="F34:G34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Jadwal Blok</vt:lpstr>
      <vt:lpstr>Jadwal Non blok</vt:lpstr>
      <vt:lpstr>Sheet3</vt:lpstr>
      <vt:lpstr>'Jadwal Blok'!Print_Titles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E-juliyanto</dc:creator>
  <cp:lastModifiedBy>ptik</cp:lastModifiedBy>
  <cp:lastPrinted>2012-05-01T07:48:24Z</cp:lastPrinted>
  <dcterms:created xsi:type="dcterms:W3CDTF">2012-04-15T03:47:06Z</dcterms:created>
  <dcterms:modified xsi:type="dcterms:W3CDTF">2012-05-01T08:06:28Z</dcterms:modified>
</cp:coreProperties>
</file>