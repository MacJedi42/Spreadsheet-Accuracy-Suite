
<file path=[Content_Types].xml><?xml version="1.0" encoding="utf-8"?>
<Types xmlns="http://schemas.openxmlformats.org/package/2006/content-types">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7.xml" ContentType="application/vnd.openxmlformats-officedocument.spreadsheetml.worksheet+xml"/>
  <Override PartName="/xl/worksheets/sheet9.xml" ContentType="application/vnd.openxmlformats-officedocument.spreadsheetml.worksheet+xml"/>
  <Override PartName="/xl/queryTables/queryTable3.xml" ContentType="application/vnd.openxmlformats-officedocument.spreadsheetml.queryTable+xml"/>
  <Override PartName="/xl/charts/chart2.xml" ContentType="application/vnd.openxmlformats-officedocument.drawingml.chart+xml"/>
  <Override PartName="/xl/queryTables/queryTable2.xml" ContentType="application/vnd.openxmlformats-officedocument.spreadsheetml.queryTable+xml"/>
  <Override PartName="/xl/worksheets/sheet10.xml" ContentType="application/vnd.openxmlformats-officedocument.spreadsheetml.worksheet+xml"/>
  <Override PartName="/xl/worksheets/sheet5.xml" ContentType="application/vnd.openxmlformats-officedocument.spreadsheetml.worksheet+xml"/>
  <Default Extension="vml" ContentType="application/vnd.openxmlformats-officedocument.vmlDrawing"/>
  <Override PartName="/xl/queryTables/queryTable1.xml" ContentType="application/vnd.openxmlformats-officedocument.spreadsheetml.queryTable+xml"/>
  <Override PartName="/xl/calcChain.xml" ContentType="application/vnd.openxmlformats-officedocument.spreadsheetml.calcChain+xml"/>
  <Override PartName="/xl/queryTables/queryTable5.xml" ContentType="application/vnd.openxmlformats-officedocument.spreadsheetml.queryTable+xml"/>
  <Override PartName="/xl/workbook.xml" ContentType="application/vnd.openxmlformats-officedocument.spreadsheetml.sheet.main+xml"/>
  <Override PartName="/docProps/core.xml" ContentType="application/vnd.openxmlformats-package.core-properties+xml"/>
  <Override PartName="/xl/connections.xml" ContentType="application/vnd.openxmlformats-officedocument.spreadsheetml.connections+xml"/>
  <Default Extension="xml" ContentType="application/xml"/>
  <Override PartName="/xl/queryTables/queryTable4.xml" ContentType="application/vnd.openxmlformats-officedocument.spreadsheetml.queryTable+xml"/>
  <Override PartName="/xl/worksheets/sheet3.xml" ContentType="application/vnd.openxmlformats-officedocument.spreadsheetml.worksheet+xml"/>
  <Override PartName="/xl/theme/theme1.xml" ContentType="application/vnd.openxmlformats-officedocument.theme+xml"/>
  <Override PartName="/xl/worksheets/sheet4.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Default Extension="rels" ContentType="application/vnd.openxmlformats-package.relationships+xml"/>
  <Override PartName="/xl/worksheets/sheet6.xml" ContentType="application/vnd.openxmlformats-officedocument.spreadsheetml.worksheet+xml"/>
  <Override PartName="/docProps/custom.xml" ContentType="application/vnd.openxmlformats-officedocument.custom-properties+xml"/>
  <Override PartName="/xl/drawings/drawing1.xml" ContentType="application/vnd.openxmlformats-officedocument.drawing+xml"/>
  <Override PartName="/xl/styles.xml" ContentType="application/vnd.openxmlformats-officedocument.spreadsheetml.styles+xml"/>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autoCompressPictures="0"/>
  <bookViews>
    <workbookView xWindow="480" yWindow="320" windowWidth="11120" windowHeight="5640"/>
  </bookViews>
  <sheets>
    <sheet name="Legend" sheetId="13" r:id="rId1"/>
    <sheet name="Figures 1,2,4" sheetId="9" r:id="rId2"/>
    <sheet name="Figure 3" sheetId="12" r:id="rId3"/>
    <sheet name="Figure 5" sheetId="11" r:id="rId4"/>
    <sheet name="Figure 6" sheetId="10" r:id="rId5"/>
    <sheet name="FY07 TTL Revenue Master" sheetId="4" r:id="rId6"/>
    <sheet name="District St Wrk" sheetId="5" r:id="rId7"/>
    <sheet name="Minnea St Paul Dist wrk" sheetId="6" r:id="rId8"/>
    <sheet name="Charter State Work" sheetId="7" r:id="rId9"/>
    <sheet name="Charter Minnea St. Paul Wrk" sheetId="8" r:id="rId10"/>
  </sheets>
  <definedNames>
    <definedName name="_xlnm._FilterDatabase" localSheetId="5" hidden="1">'FY07 TTL Revenue Master'!$A$1:$AB$495</definedName>
    <definedName name="_xlnm.Print_Area" localSheetId="8">'Charter State Work'!$F$6:$I$135</definedName>
    <definedName name="_xlnm.Print_Area" localSheetId="5">'FY07 TTL Revenue Master'!$F$411:$I$430</definedName>
    <definedName name="_xlnm.Print_Titles" localSheetId="5">'FY07 TTL Revenue Master'!$F:$G,'FY07 TTL Revenue Master'!$2:$5</definedName>
    <definedName name="Query_from_DanaDWStaging" localSheetId="5">'FY07 TTL Revenue Master'!#REF!</definedName>
    <definedName name="Query_from_Profiles" localSheetId="5">'FY07 TTL Revenue Master'!$A$6:$AB$494</definedName>
    <definedName name="Query_from_Profiles_1" localSheetId="9">'Charter Minnea St. Paul Wrk'!$A$6:$R$67</definedName>
    <definedName name="Query_from_Profiles_1" localSheetId="8">'Charter State Work'!$A$6:$R$136</definedName>
    <definedName name="Query_from_Profiles_1" localSheetId="6">'District St Wrk'!$A$6:$R$346</definedName>
    <definedName name="Query_from_Profiles_1" localSheetId="7">'Minnea St Paul Dist wrk'!$A$6:$R$10</definedName>
    <definedName name="Query_from_ProfilesRevenue" localSheetId="5" xml:space="preserve"> 'FY07 TTL Revenue Master'!$A$6:$AB$493</definedName>
  </definedNames>
  <calcPr calcId="125725"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K67" i="8"/>
  <c r="L67"/>
  <c r="M67"/>
  <c r="M68"/>
  <c r="J67"/>
  <c r="M69"/>
  <c r="N67"/>
  <c r="O67"/>
  <c r="P67"/>
  <c r="Q67"/>
  <c r="Q68"/>
  <c r="Q69"/>
  <c r="R67"/>
  <c r="S67"/>
  <c r="S68"/>
  <c r="S69"/>
  <c r="T67"/>
  <c r="T68"/>
  <c r="T69"/>
  <c r="U67"/>
  <c r="V67"/>
  <c r="V68"/>
  <c r="V69"/>
  <c r="W69"/>
  <c r="W68"/>
  <c r="K35"/>
  <c r="L35"/>
  <c r="M35"/>
  <c r="M36"/>
  <c r="J35"/>
  <c r="M37"/>
  <c r="N35"/>
  <c r="O35"/>
  <c r="P35"/>
  <c r="Q35"/>
  <c r="Q36"/>
  <c r="Q37"/>
  <c r="R35"/>
  <c r="S35"/>
  <c r="S36"/>
  <c r="S37"/>
  <c r="T35"/>
  <c r="T36"/>
  <c r="T37"/>
  <c r="U35"/>
  <c r="V35"/>
  <c r="V36"/>
  <c r="V37"/>
  <c r="W37"/>
  <c r="W36"/>
  <c r="K136" i="7"/>
  <c r="L136"/>
  <c r="M136"/>
  <c r="M137"/>
  <c r="J136"/>
  <c r="M138"/>
  <c r="N136"/>
  <c r="O136"/>
  <c r="P136"/>
  <c r="Q136"/>
  <c r="Q137"/>
  <c r="Q138"/>
  <c r="R136"/>
  <c r="S136"/>
  <c r="S137"/>
  <c r="S138"/>
  <c r="T136"/>
  <c r="T137"/>
  <c r="T138"/>
  <c r="U136"/>
  <c r="V136"/>
  <c r="V137"/>
  <c r="V138"/>
  <c r="W138"/>
  <c r="W137"/>
  <c r="K346" i="5"/>
  <c r="L346"/>
  <c r="M346"/>
  <c r="M347"/>
  <c r="N346"/>
  <c r="O346"/>
  <c r="P346"/>
  <c r="Q346"/>
  <c r="Q347"/>
  <c r="R346"/>
  <c r="S346"/>
  <c r="S347"/>
  <c r="T346"/>
  <c r="T347"/>
  <c r="U346"/>
  <c r="V346"/>
  <c r="V347"/>
  <c r="W347"/>
  <c r="J346"/>
  <c r="M348"/>
  <c r="Q348"/>
  <c r="S348"/>
  <c r="T348"/>
  <c r="V348"/>
  <c r="W348"/>
  <c r="I13" i="9"/>
  <c r="G13"/>
  <c r="I12"/>
  <c r="G12"/>
  <c r="I11"/>
  <c r="G11"/>
  <c r="I10"/>
  <c r="G10"/>
  <c r="I9"/>
  <c r="G9"/>
  <c r="H18"/>
  <c r="F18"/>
  <c r="H24"/>
  <c r="F24"/>
  <c r="B18"/>
  <c r="H16"/>
  <c r="F16"/>
  <c r="C13"/>
  <c r="C12"/>
  <c r="C11"/>
  <c r="C10"/>
  <c r="C9"/>
  <c r="B22"/>
  <c r="B24"/>
  <c r="B13"/>
  <c r="B12"/>
  <c r="B11"/>
  <c r="B10"/>
  <c r="B9"/>
  <c r="B16"/>
  <c r="B26"/>
  <c r="B25"/>
  <c r="H19"/>
  <c r="F19"/>
  <c r="B19"/>
  <c r="H17"/>
  <c r="F17"/>
  <c r="B17"/>
  <c r="I14"/>
  <c r="G14"/>
  <c r="G28"/>
  <c r="C14"/>
  <c r="B14"/>
  <c r="B32"/>
  <c r="B30"/>
  <c r="H5"/>
  <c r="I32"/>
  <c r="I30"/>
  <c r="I28"/>
  <c r="I31"/>
  <c r="I29"/>
  <c r="F5"/>
  <c r="G32"/>
  <c r="G30"/>
  <c r="G31"/>
  <c r="G29"/>
  <c r="B5"/>
  <c r="C32"/>
  <c r="C30"/>
  <c r="C28"/>
  <c r="C31"/>
  <c r="C29"/>
  <c r="B4"/>
  <c r="B6"/>
  <c r="B31"/>
  <c r="B29"/>
  <c r="B28"/>
  <c r="B23"/>
  <c r="B7"/>
  <c r="B35"/>
  <c r="H22"/>
  <c r="H26"/>
  <c r="H25"/>
  <c r="F22"/>
  <c r="F26"/>
  <c r="F25"/>
  <c r="H23"/>
  <c r="H12"/>
  <c r="H9"/>
  <c r="H10"/>
  <c r="H11"/>
  <c r="H13"/>
  <c r="H14"/>
  <c r="H31"/>
  <c r="H29"/>
  <c r="H32"/>
  <c r="H30"/>
  <c r="H28"/>
  <c r="F13"/>
  <c r="F9"/>
  <c r="F10"/>
  <c r="F11"/>
  <c r="F12"/>
  <c r="F14"/>
  <c r="F32"/>
  <c r="F30"/>
  <c r="F28"/>
  <c r="F31"/>
  <c r="F29"/>
  <c r="F23"/>
  <c r="H4"/>
  <c r="H6"/>
  <c r="H35"/>
  <c r="F4"/>
  <c r="F6"/>
  <c r="F35"/>
  <c r="H7"/>
  <c r="F7"/>
  <c r="AR493" i="4"/>
  <c r="AQ493"/>
  <c r="AP493"/>
  <c r="AO493"/>
  <c r="AR492"/>
  <c r="AQ492"/>
  <c r="AP492"/>
  <c r="AO492"/>
  <c r="AR491"/>
  <c r="AQ491"/>
  <c r="AP491"/>
  <c r="AO491"/>
  <c r="AR490"/>
  <c r="AQ490"/>
  <c r="AP490"/>
  <c r="AO490"/>
  <c r="AR489"/>
  <c r="AQ489"/>
  <c r="AP489"/>
  <c r="AO489"/>
  <c r="AR488"/>
  <c r="AQ488"/>
  <c r="AP488"/>
  <c r="AO488"/>
  <c r="AR487"/>
  <c r="AQ487"/>
  <c r="AP487"/>
  <c r="AO487"/>
  <c r="AR486"/>
  <c r="AQ486"/>
  <c r="AP486"/>
  <c r="AO486"/>
  <c r="AR485"/>
  <c r="AQ485"/>
  <c r="AP485"/>
  <c r="AO485"/>
  <c r="AR484"/>
  <c r="AQ484"/>
  <c r="AP484"/>
  <c r="AO484"/>
  <c r="AR483"/>
  <c r="AQ483"/>
  <c r="AP483"/>
  <c r="AO483"/>
  <c r="AR482"/>
  <c r="AQ482"/>
  <c r="AP482"/>
  <c r="AO482"/>
  <c r="AR481"/>
  <c r="AQ481"/>
  <c r="AP481"/>
  <c r="AO481"/>
  <c r="AR480"/>
  <c r="AQ480"/>
  <c r="AP480"/>
  <c r="AO480"/>
  <c r="AR479"/>
  <c r="AQ479"/>
  <c r="AP479"/>
  <c r="AO479"/>
  <c r="AR478"/>
  <c r="AQ478"/>
  <c r="AP478"/>
  <c r="AO478"/>
  <c r="AR477"/>
  <c r="AQ477"/>
  <c r="AP477"/>
  <c r="AO477"/>
  <c r="AR476"/>
  <c r="AQ476"/>
  <c r="AP476"/>
  <c r="AO476"/>
  <c r="AR475"/>
  <c r="AQ475"/>
  <c r="AP475"/>
  <c r="AO475"/>
  <c r="AR474"/>
  <c r="AQ474"/>
  <c r="AP474"/>
  <c r="AO474"/>
  <c r="AR473"/>
  <c r="AQ473"/>
  <c r="AP473"/>
  <c r="AO473"/>
  <c r="AR472"/>
  <c r="AQ472"/>
  <c r="AP472"/>
  <c r="AO472"/>
  <c r="AR471"/>
  <c r="AQ471"/>
  <c r="AP471"/>
  <c r="AO471"/>
  <c r="AR470"/>
  <c r="AQ470"/>
  <c r="AP470"/>
  <c r="AO470"/>
  <c r="AR469"/>
  <c r="AQ469"/>
  <c r="AP469"/>
  <c r="AO469"/>
  <c r="AR468"/>
  <c r="AQ468"/>
  <c r="AP468"/>
  <c r="AO468"/>
  <c r="AR467"/>
  <c r="AQ467"/>
  <c r="AP467"/>
  <c r="AO467"/>
  <c r="AR466"/>
  <c r="AQ466"/>
  <c r="AP466"/>
  <c r="AO466"/>
  <c r="AR465"/>
  <c r="AQ465"/>
  <c r="AP465"/>
  <c r="AO465"/>
  <c r="AR464"/>
  <c r="AQ464"/>
  <c r="AP464"/>
  <c r="AO464"/>
  <c r="AR463"/>
  <c r="AQ463"/>
  <c r="AP463"/>
  <c r="AO463"/>
  <c r="AR462"/>
  <c r="AQ462"/>
  <c r="AP462"/>
  <c r="AO462"/>
  <c r="AR461"/>
  <c r="AQ461"/>
  <c r="AP461"/>
  <c r="AO461"/>
  <c r="AR460"/>
  <c r="AQ460"/>
  <c r="AP460"/>
  <c r="AO460"/>
  <c r="AR459"/>
  <c r="AQ459"/>
  <c r="AP459"/>
  <c r="AO459"/>
  <c r="AR458"/>
  <c r="AQ458"/>
  <c r="AP458"/>
  <c r="AO458"/>
  <c r="AR457"/>
  <c r="AQ457"/>
  <c r="AP457"/>
  <c r="AO457"/>
  <c r="AR456"/>
  <c r="AQ456"/>
  <c r="AP456"/>
  <c r="AO456"/>
  <c r="AR455"/>
  <c r="AQ455"/>
  <c r="AP455"/>
  <c r="AO455"/>
  <c r="AR454"/>
  <c r="AQ454"/>
  <c r="AP454"/>
  <c r="AO454"/>
  <c r="AR453"/>
  <c r="AQ453"/>
  <c r="AP453"/>
  <c r="AO453"/>
  <c r="AR452"/>
  <c r="AQ452"/>
  <c r="AP452"/>
  <c r="AO452"/>
  <c r="AR451"/>
  <c r="AQ451"/>
  <c r="AP451"/>
  <c r="AO451"/>
  <c r="AR450"/>
  <c r="AQ450"/>
  <c r="AP450"/>
  <c r="AO450"/>
  <c r="AR449"/>
  <c r="AQ449"/>
  <c r="AP449"/>
  <c r="AO449"/>
  <c r="AR448"/>
  <c r="AQ448"/>
  <c r="AP448"/>
  <c r="AO448"/>
  <c r="AR447"/>
  <c r="AQ447"/>
  <c r="AP447"/>
  <c r="AO447"/>
  <c r="AR446"/>
  <c r="AQ446"/>
  <c r="AP446"/>
  <c r="AO446"/>
  <c r="AR445"/>
  <c r="AQ445"/>
  <c r="AP445"/>
  <c r="AO445"/>
  <c r="AR444"/>
  <c r="AQ444"/>
  <c r="AP444"/>
  <c r="AO444"/>
  <c r="AR443"/>
  <c r="AQ443"/>
  <c r="AP443"/>
  <c r="AO443"/>
  <c r="AR442"/>
  <c r="AQ442"/>
  <c r="AP442"/>
  <c r="AO442"/>
  <c r="AR441"/>
  <c r="AQ441"/>
  <c r="AP441"/>
  <c r="AO441"/>
  <c r="AR440"/>
  <c r="AQ440"/>
  <c r="AP440"/>
  <c r="AO440"/>
  <c r="AR439"/>
  <c r="AQ439"/>
  <c r="AP439"/>
  <c r="AO439"/>
  <c r="AR438"/>
  <c r="AQ438"/>
  <c r="AP438"/>
  <c r="AO438"/>
  <c r="AR437"/>
  <c r="AQ437"/>
  <c r="AP437"/>
  <c r="AO437"/>
  <c r="AR436"/>
  <c r="AQ436"/>
  <c r="AP436"/>
  <c r="AO436"/>
  <c r="AR435"/>
  <c r="AQ435"/>
  <c r="AP435"/>
  <c r="AO435"/>
  <c r="AR434"/>
  <c r="AQ434"/>
  <c r="AP434"/>
  <c r="AO434"/>
  <c r="AR433"/>
  <c r="AQ433"/>
  <c r="AP433"/>
  <c r="AO433"/>
  <c r="AR432"/>
  <c r="AQ432"/>
  <c r="AP432"/>
  <c r="AO432"/>
  <c r="AR431"/>
  <c r="AQ431"/>
  <c r="AP431"/>
  <c r="AO431"/>
  <c r="AR430"/>
  <c r="AQ430"/>
  <c r="AP430"/>
  <c r="AO430"/>
  <c r="AR429"/>
  <c r="AQ429"/>
  <c r="AP429"/>
  <c r="AO429"/>
  <c r="AR428"/>
  <c r="AQ428"/>
  <c r="AP428"/>
  <c r="AO428"/>
  <c r="AR427"/>
  <c r="AQ427"/>
  <c r="AP427"/>
  <c r="AO427"/>
  <c r="AR426"/>
  <c r="AQ426"/>
  <c r="AP426"/>
  <c r="AO426"/>
  <c r="AR425"/>
  <c r="AQ425"/>
  <c r="AP425"/>
  <c r="AO425"/>
  <c r="AR424"/>
  <c r="AQ424"/>
  <c r="AP424"/>
  <c r="AO424"/>
  <c r="AR423"/>
  <c r="AQ423"/>
  <c r="AP423"/>
  <c r="AO423"/>
  <c r="AR422"/>
  <c r="AQ422"/>
  <c r="AP422"/>
  <c r="AO422"/>
  <c r="AR421"/>
  <c r="AQ421"/>
  <c r="AP421"/>
  <c r="AO421"/>
  <c r="AR420"/>
  <c r="AQ420"/>
  <c r="AP420"/>
  <c r="AO420"/>
  <c r="AR419"/>
  <c r="AQ419"/>
  <c r="AP419"/>
  <c r="AO419"/>
  <c r="AR418"/>
  <c r="AQ418"/>
  <c r="AP418"/>
  <c r="AO418"/>
  <c r="AR417"/>
  <c r="AQ417"/>
  <c r="AP417"/>
  <c r="AO417"/>
  <c r="AR416"/>
  <c r="AQ416"/>
  <c r="AP416"/>
  <c r="AO416"/>
  <c r="AR415"/>
  <c r="AQ415"/>
  <c r="AP415"/>
  <c r="AO415"/>
  <c r="AR414"/>
  <c r="AQ414"/>
  <c r="AP414"/>
  <c r="AO414"/>
  <c r="AR413"/>
  <c r="AQ413"/>
  <c r="AP413"/>
  <c r="AO413"/>
  <c r="AR412"/>
  <c r="AQ412"/>
  <c r="AP412"/>
  <c r="AO412"/>
  <c r="AR411"/>
  <c r="AQ411"/>
  <c r="AP411"/>
  <c r="AO411"/>
  <c r="AR410"/>
  <c r="AQ410"/>
  <c r="AP410"/>
  <c r="AO410"/>
  <c r="AR409"/>
  <c r="AQ409"/>
  <c r="AP409"/>
  <c r="AO409"/>
  <c r="AR408"/>
  <c r="AQ408"/>
  <c r="AP408"/>
  <c r="AO408"/>
  <c r="AR407"/>
  <c r="AQ407"/>
  <c r="AP407"/>
  <c r="AO407"/>
  <c r="AR406"/>
  <c r="AQ406"/>
  <c r="AP406"/>
  <c r="AO406"/>
  <c r="AR405"/>
  <c r="AQ405"/>
  <c r="AP405"/>
  <c r="AO405"/>
  <c r="AR404"/>
  <c r="AQ404"/>
  <c r="AP404"/>
  <c r="AO404"/>
  <c r="AR403"/>
  <c r="AQ403"/>
  <c r="AP403"/>
  <c r="AO403"/>
  <c r="AR402"/>
  <c r="AQ402"/>
  <c r="AP402"/>
  <c r="AO402"/>
  <c r="AR401"/>
  <c r="AQ401"/>
  <c r="AP401"/>
  <c r="AO401"/>
  <c r="AR400"/>
  <c r="AQ400"/>
  <c r="AP400"/>
  <c r="AO400"/>
  <c r="AR399"/>
  <c r="AQ399"/>
  <c r="AP399"/>
  <c r="AO399"/>
  <c r="AR398"/>
  <c r="AQ398"/>
  <c r="AP398"/>
  <c r="AO398"/>
  <c r="AR397"/>
  <c r="AQ397"/>
  <c r="AP397"/>
  <c r="AO397"/>
  <c r="AR396"/>
  <c r="AQ396"/>
  <c r="AP396"/>
  <c r="AO396"/>
  <c r="AR395"/>
  <c r="AQ395"/>
  <c r="AP395"/>
  <c r="AO395"/>
  <c r="AR394"/>
  <c r="AQ394"/>
  <c r="AP394"/>
  <c r="AO394"/>
  <c r="AR393"/>
  <c r="AQ393"/>
  <c r="AP393"/>
  <c r="AO393"/>
  <c r="AR392"/>
  <c r="AQ392"/>
  <c r="AP392"/>
  <c r="AO392"/>
  <c r="AR391"/>
  <c r="AQ391"/>
  <c r="AP391"/>
  <c r="AO391"/>
  <c r="AR390"/>
  <c r="AQ390"/>
  <c r="AP390"/>
  <c r="AO390"/>
  <c r="AR389"/>
  <c r="AQ389"/>
  <c r="AP389"/>
  <c r="AO389"/>
  <c r="AR388"/>
  <c r="AQ388"/>
  <c r="AP388"/>
  <c r="AO388"/>
  <c r="AR387"/>
  <c r="AQ387"/>
  <c r="AP387"/>
  <c r="AO387"/>
  <c r="AR386"/>
  <c r="AQ386"/>
  <c r="AP386"/>
  <c r="AO386"/>
  <c r="AR385"/>
  <c r="AQ385"/>
  <c r="AP385"/>
  <c r="AO385"/>
  <c r="AR384"/>
  <c r="AQ384"/>
  <c r="AP384"/>
  <c r="AO384"/>
  <c r="AR383"/>
  <c r="AQ383"/>
  <c r="AP383"/>
  <c r="AO383"/>
  <c r="AR382"/>
  <c r="AQ382"/>
  <c r="AP382"/>
  <c r="AO382"/>
  <c r="AR381"/>
  <c r="AQ381"/>
  <c r="AP381"/>
  <c r="AO381"/>
  <c r="AR380"/>
  <c r="AQ380"/>
  <c r="AP380"/>
  <c r="AO380"/>
  <c r="AR379"/>
  <c r="AQ379"/>
  <c r="AP379"/>
  <c r="AO379"/>
  <c r="AR378"/>
  <c r="AQ378"/>
  <c r="AP378"/>
  <c r="AO378"/>
  <c r="AR377"/>
  <c r="AQ377"/>
  <c r="AP377"/>
  <c r="AO377"/>
  <c r="AR376"/>
  <c r="AQ376"/>
  <c r="AP376"/>
  <c r="AO376"/>
  <c r="AR375"/>
  <c r="AQ375"/>
  <c r="AP375"/>
  <c r="AO375"/>
  <c r="AR374"/>
  <c r="AQ374"/>
  <c r="AP374"/>
  <c r="AO374"/>
  <c r="AR373"/>
  <c r="AQ373"/>
  <c r="AP373"/>
  <c r="AO373"/>
  <c r="AR372"/>
  <c r="AQ372"/>
  <c r="AP372"/>
  <c r="AO372"/>
  <c r="AR371"/>
  <c r="AQ371"/>
  <c r="AP371"/>
  <c r="AO371"/>
  <c r="AR370"/>
  <c r="AQ370"/>
  <c r="AP370"/>
  <c r="AO370"/>
  <c r="AR369"/>
  <c r="AQ369"/>
  <c r="AP369"/>
  <c r="AO369"/>
  <c r="AR368"/>
  <c r="AQ368"/>
  <c r="AP368"/>
  <c r="AO368"/>
  <c r="AR367"/>
  <c r="AQ367"/>
  <c r="AP367"/>
  <c r="AO367"/>
  <c r="AR366"/>
  <c r="AQ366"/>
  <c r="AP366"/>
  <c r="AO366"/>
  <c r="AR365"/>
  <c r="AQ365"/>
  <c r="AP365"/>
  <c r="AO365"/>
  <c r="AR364"/>
  <c r="AQ364"/>
  <c r="AP364"/>
  <c r="AO364"/>
  <c r="AR363"/>
  <c r="AQ363"/>
  <c r="AP363"/>
  <c r="AO363"/>
  <c r="AR362"/>
  <c r="AQ362"/>
  <c r="AP362"/>
  <c r="AO362"/>
  <c r="AR361"/>
  <c r="AQ361"/>
  <c r="AP361"/>
  <c r="AO361"/>
  <c r="AR360"/>
  <c r="AQ360"/>
  <c r="AP360"/>
  <c r="AO360"/>
  <c r="AR359"/>
  <c r="AQ359"/>
  <c r="AP359"/>
  <c r="AO359"/>
  <c r="AR358"/>
  <c r="AQ358"/>
  <c r="AP358"/>
  <c r="AO358"/>
  <c r="AR357"/>
  <c r="AQ357"/>
  <c r="AP357"/>
  <c r="AO357"/>
  <c r="AR356"/>
  <c r="AQ356"/>
  <c r="AP356"/>
  <c r="AO356"/>
  <c r="AR355"/>
  <c r="AQ355"/>
  <c r="AP355"/>
  <c r="AO355"/>
  <c r="AR354"/>
  <c r="AQ354"/>
  <c r="AP354"/>
  <c r="AO354"/>
  <c r="AR353"/>
  <c r="AQ353"/>
  <c r="AP353"/>
  <c r="AO353"/>
  <c r="AR352"/>
  <c r="AQ352"/>
  <c r="AP352"/>
  <c r="AO352"/>
  <c r="AR351"/>
  <c r="AQ351"/>
  <c r="AP351"/>
  <c r="AO351"/>
  <c r="AR350"/>
  <c r="AQ350"/>
  <c r="AP350"/>
  <c r="AO350"/>
  <c r="AR349"/>
  <c r="AQ349"/>
  <c r="AP349"/>
  <c r="AO349"/>
  <c r="AR348"/>
  <c r="AQ348"/>
  <c r="AP348"/>
  <c r="AO348"/>
  <c r="AR347"/>
  <c r="AQ347"/>
  <c r="AP347"/>
  <c r="AO347"/>
  <c r="AR346"/>
  <c r="AQ346"/>
  <c r="AP346"/>
  <c r="AO346"/>
  <c r="AR345"/>
  <c r="AQ345"/>
  <c r="AP345"/>
  <c r="AO345"/>
  <c r="AR344"/>
  <c r="AQ344"/>
  <c r="AP344"/>
  <c r="AO344"/>
  <c r="AR343"/>
  <c r="AQ343"/>
  <c r="AP343"/>
  <c r="AO343"/>
  <c r="AR342"/>
  <c r="AQ342"/>
  <c r="AP342"/>
  <c r="AO342"/>
  <c r="AR341"/>
  <c r="AQ341"/>
  <c r="AP341"/>
  <c r="AO341"/>
  <c r="AR340"/>
  <c r="AQ340"/>
  <c r="AP340"/>
  <c r="AO340"/>
  <c r="AR339"/>
  <c r="AQ339"/>
  <c r="AP339"/>
  <c r="AO339"/>
  <c r="AR338"/>
  <c r="AQ338"/>
  <c r="AP338"/>
  <c r="AO338"/>
  <c r="AR337"/>
  <c r="AQ337"/>
  <c r="AP337"/>
  <c r="AO337"/>
  <c r="AR336"/>
  <c r="AQ336"/>
  <c r="AP336"/>
  <c r="AO336"/>
  <c r="AR335"/>
  <c r="AQ335"/>
  <c r="AP335"/>
  <c r="AO335"/>
  <c r="AR334"/>
  <c r="AQ334"/>
  <c r="AP334"/>
  <c r="AO334"/>
  <c r="AR333"/>
  <c r="AQ333"/>
  <c r="AP333"/>
  <c r="AO333"/>
  <c r="AR332"/>
  <c r="AQ332"/>
  <c r="AP332"/>
  <c r="AO332"/>
  <c r="AR331"/>
  <c r="AQ331"/>
  <c r="AP331"/>
  <c r="AO331"/>
  <c r="AR330"/>
  <c r="AQ330"/>
  <c r="AP330"/>
  <c r="AO330"/>
  <c r="AR329"/>
  <c r="AQ329"/>
  <c r="AP329"/>
  <c r="AO329"/>
  <c r="AR328"/>
  <c r="AQ328"/>
  <c r="AP328"/>
  <c r="AO328"/>
  <c r="AR327"/>
  <c r="AQ327"/>
  <c r="AP327"/>
  <c r="AO327"/>
  <c r="AR326"/>
  <c r="AQ326"/>
  <c r="AP326"/>
  <c r="AO326"/>
  <c r="AR325"/>
  <c r="AQ325"/>
  <c r="AP325"/>
  <c r="AO325"/>
  <c r="AR324"/>
  <c r="AQ324"/>
  <c r="AP324"/>
  <c r="AO324"/>
  <c r="AR323"/>
  <c r="AQ323"/>
  <c r="AP323"/>
  <c r="AO323"/>
  <c r="AR322"/>
  <c r="AQ322"/>
  <c r="AP322"/>
  <c r="AO322"/>
  <c r="AR321"/>
  <c r="AQ321"/>
  <c r="AP321"/>
  <c r="AO321"/>
  <c r="AR320"/>
  <c r="AQ320"/>
  <c r="AP320"/>
  <c r="AO320"/>
  <c r="AR319"/>
  <c r="AQ319"/>
  <c r="AP319"/>
  <c r="AO319"/>
  <c r="AR318"/>
  <c r="AQ318"/>
  <c r="AP318"/>
  <c r="AO318"/>
  <c r="AR317"/>
  <c r="AQ317"/>
  <c r="AP317"/>
  <c r="AO317"/>
  <c r="AR316"/>
  <c r="AQ316"/>
  <c r="AP316"/>
  <c r="AO316"/>
  <c r="AR315"/>
  <c r="AQ315"/>
  <c r="AP315"/>
  <c r="AO315"/>
  <c r="AR314"/>
  <c r="AQ314"/>
  <c r="AP314"/>
  <c r="AO314"/>
  <c r="AR313"/>
  <c r="AQ313"/>
  <c r="AP313"/>
  <c r="AO313"/>
  <c r="AR312"/>
  <c r="AQ312"/>
  <c r="AP312"/>
  <c r="AO312"/>
  <c r="AR311"/>
  <c r="AQ311"/>
  <c r="AP311"/>
  <c r="AO311"/>
  <c r="AR310"/>
  <c r="AQ310"/>
  <c r="AP310"/>
  <c r="AO310"/>
  <c r="AR309"/>
  <c r="AQ309"/>
  <c r="AP309"/>
  <c r="AO309"/>
  <c r="AR308"/>
  <c r="AQ308"/>
  <c r="AP308"/>
  <c r="AO308"/>
  <c r="AR307"/>
  <c r="AQ307"/>
  <c r="AP307"/>
  <c r="AO307"/>
  <c r="AR306"/>
  <c r="AQ306"/>
  <c r="AP306"/>
  <c r="AO306"/>
  <c r="AR305"/>
  <c r="AQ305"/>
  <c r="AP305"/>
  <c r="AO305"/>
  <c r="AR304"/>
  <c r="AQ304"/>
  <c r="AP304"/>
  <c r="AO304"/>
  <c r="AR303"/>
  <c r="AQ303"/>
  <c r="AP303"/>
  <c r="AO303"/>
  <c r="AR302"/>
  <c r="AQ302"/>
  <c r="AP302"/>
  <c r="AO302"/>
  <c r="AR301"/>
  <c r="AQ301"/>
  <c r="AP301"/>
  <c r="AO301"/>
  <c r="AR300"/>
  <c r="AQ300"/>
  <c r="AP300"/>
  <c r="AO300"/>
  <c r="AR299"/>
  <c r="AQ299"/>
  <c r="AP299"/>
  <c r="AO299"/>
  <c r="AR298"/>
  <c r="AQ298"/>
  <c r="AP298"/>
  <c r="AO298"/>
  <c r="AR297"/>
  <c r="AQ297"/>
  <c r="AP297"/>
  <c r="AO297"/>
  <c r="AR296"/>
  <c r="AQ296"/>
  <c r="AP296"/>
  <c r="AO296"/>
  <c r="AR295"/>
  <c r="AQ295"/>
  <c r="AP295"/>
  <c r="AO295"/>
  <c r="AR294"/>
  <c r="AQ294"/>
  <c r="AP294"/>
  <c r="AO294"/>
  <c r="AR293"/>
  <c r="AQ293"/>
  <c r="AP293"/>
  <c r="AO293"/>
  <c r="AR292"/>
  <c r="AQ292"/>
  <c r="AP292"/>
  <c r="AO292"/>
  <c r="AR291"/>
  <c r="AQ291"/>
  <c r="AP291"/>
  <c r="AO291"/>
  <c r="AR290"/>
  <c r="AQ290"/>
  <c r="AP290"/>
  <c r="AO290"/>
  <c r="AR289"/>
  <c r="AQ289"/>
  <c r="AP289"/>
  <c r="AO289"/>
  <c r="AR288"/>
  <c r="AQ288"/>
  <c r="AP288"/>
  <c r="AO288"/>
  <c r="AR287"/>
  <c r="AQ287"/>
  <c r="AP287"/>
  <c r="AO287"/>
  <c r="AR286"/>
  <c r="AQ286"/>
  <c r="AP286"/>
  <c r="AO286"/>
  <c r="AR285"/>
  <c r="AQ285"/>
  <c r="AP285"/>
  <c r="AO285"/>
  <c r="AR284"/>
  <c r="AQ284"/>
  <c r="AP284"/>
  <c r="AO284"/>
  <c r="AR283"/>
  <c r="AQ283"/>
  <c r="AP283"/>
  <c r="AO283"/>
  <c r="AR282"/>
  <c r="AQ282"/>
  <c r="AP282"/>
  <c r="AO282"/>
  <c r="AR281"/>
  <c r="AQ281"/>
  <c r="AP281"/>
  <c r="AO281"/>
  <c r="AR280"/>
  <c r="AQ280"/>
  <c r="AP280"/>
  <c r="AO280"/>
  <c r="AR279"/>
  <c r="AQ279"/>
  <c r="AP279"/>
  <c r="AO279"/>
  <c r="AR278"/>
  <c r="AQ278"/>
  <c r="AP278"/>
  <c r="AO278"/>
  <c r="AR277"/>
  <c r="AQ277"/>
  <c r="AP277"/>
  <c r="AO277"/>
  <c r="AR276"/>
  <c r="AQ276"/>
  <c r="AP276"/>
  <c r="AO276"/>
  <c r="AR275"/>
  <c r="AQ275"/>
  <c r="AP275"/>
  <c r="AO275"/>
  <c r="AR274"/>
  <c r="AQ274"/>
  <c r="AP274"/>
  <c r="AO274"/>
  <c r="AR273"/>
  <c r="AQ273"/>
  <c r="AP273"/>
  <c r="AO273"/>
  <c r="AR272"/>
  <c r="AQ272"/>
  <c r="AP272"/>
  <c r="AO272"/>
  <c r="AR271"/>
  <c r="AQ271"/>
  <c r="AP271"/>
  <c r="AO271"/>
  <c r="AR270"/>
  <c r="AQ270"/>
  <c r="AP270"/>
  <c r="AO270"/>
  <c r="AR269"/>
  <c r="AQ269"/>
  <c r="AP269"/>
  <c r="AO269"/>
  <c r="AR268"/>
  <c r="AQ268"/>
  <c r="AP268"/>
  <c r="AO268"/>
  <c r="AR267"/>
  <c r="AQ267"/>
  <c r="AP267"/>
  <c r="AO267"/>
  <c r="AR266"/>
  <c r="AQ266"/>
  <c r="AP266"/>
  <c r="AO266"/>
  <c r="AR265"/>
  <c r="AQ265"/>
  <c r="AP265"/>
  <c r="AO265"/>
  <c r="AR264"/>
  <c r="AQ264"/>
  <c r="AP264"/>
  <c r="AO264"/>
  <c r="AR263"/>
  <c r="AQ263"/>
  <c r="AP263"/>
  <c r="AO263"/>
  <c r="AR262"/>
  <c r="AQ262"/>
  <c r="AP262"/>
  <c r="AO262"/>
  <c r="AR261"/>
  <c r="AQ261"/>
  <c r="AP261"/>
  <c r="AO261"/>
  <c r="AR260"/>
  <c r="AQ260"/>
  <c r="AP260"/>
  <c r="AO260"/>
  <c r="AR259"/>
  <c r="AQ259"/>
  <c r="AP259"/>
  <c r="AO259"/>
  <c r="AR258"/>
  <c r="AQ258"/>
  <c r="AP258"/>
  <c r="AO258"/>
  <c r="AR257"/>
  <c r="AQ257"/>
  <c r="AP257"/>
  <c r="AO257"/>
  <c r="AR256"/>
  <c r="AQ256"/>
  <c r="AP256"/>
  <c r="AO256"/>
  <c r="AR255"/>
  <c r="AQ255"/>
  <c r="AP255"/>
  <c r="AO255"/>
  <c r="AR254"/>
  <c r="AQ254"/>
  <c r="AP254"/>
  <c r="AO254"/>
  <c r="AR253"/>
  <c r="AQ253"/>
  <c r="AP253"/>
  <c r="AO253"/>
  <c r="AR252"/>
  <c r="AQ252"/>
  <c r="AP252"/>
  <c r="AO252"/>
  <c r="AR251"/>
  <c r="AQ251"/>
  <c r="AP251"/>
  <c r="AO251"/>
  <c r="AR250"/>
  <c r="AQ250"/>
  <c r="AP250"/>
  <c r="AO250"/>
  <c r="AR249"/>
  <c r="AQ249"/>
  <c r="AP249"/>
  <c r="AO249"/>
  <c r="AR248"/>
  <c r="AQ248"/>
  <c r="AP248"/>
  <c r="AO248"/>
  <c r="AR247"/>
  <c r="AQ247"/>
  <c r="AP247"/>
  <c r="AO247"/>
  <c r="AR246"/>
  <c r="AQ246"/>
  <c r="AP246"/>
  <c r="AO246"/>
  <c r="AR245"/>
  <c r="AQ245"/>
  <c r="AP245"/>
  <c r="AO245"/>
  <c r="AR244"/>
  <c r="AQ244"/>
  <c r="AP244"/>
  <c r="AO244"/>
  <c r="AR243"/>
  <c r="AQ243"/>
  <c r="AP243"/>
  <c r="AO243"/>
  <c r="AR242"/>
  <c r="AQ242"/>
  <c r="AP242"/>
  <c r="AO242"/>
  <c r="AR241"/>
  <c r="AQ241"/>
  <c r="AP241"/>
  <c r="AO241"/>
  <c r="AR240"/>
  <c r="AQ240"/>
  <c r="AP240"/>
  <c r="AO240"/>
  <c r="AR239"/>
  <c r="AQ239"/>
  <c r="AP239"/>
  <c r="AO239"/>
  <c r="AR238"/>
  <c r="AQ238"/>
  <c r="AP238"/>
  <c r="AO238"/>
  <c r="AR237"/>
  <c r="AQ237"/>
  <c r="AP237"/>
  <c r="AO237"/>
  <c r="AR236"/>
  <c r="AQ236"/>
  <c r="AP236"/>
  <c r="AO236"/>
  <c r="AR235"/>
  <c r="AQ235"/>
  <c r="AP235"/>
  <c r="AO235"/>
  <c r="AR234"/>
  <c r="AQ234"/>
  <c r="AP234"/>
  <c r="AO234"/>
  <c r="AR233"/>
  <c r="AQ233"/>
  <c r="AP233"/>
  <c r="AO233"/>
  <c r="AR232"/>
  <c r="AQ232"/>
  <c r="AP232"/>
  <c r="AO232"/>
  <c r="AR231"/>
  <c r="AQ231"/>
  <c r="AP231"/>
  <c r="AO231"/>
  <c r="AR230"/>
  <c r="AQ230"/>
  <c r="AP230"/>
  <c r="AO230"/>
  <c r="AR229"/>
  <c r="AQ229"/>
  <c r="AP229"/>
  <c r="AO229"/>
  <c r="AR228"/>
  <c r="AQ228"/>
  <c r="AP228"/>
  <c r="AO228"/>
  <c r="AR227"/>
  <c r="AQ227"/>
  <c r="AP227"/>
  <c r="AO227"/>
  <c r="AR226"/>
  <c r="AQ226"/>
  <c r="AP226"/>
  <c r="AO226"/>
  <c r="AR225"/>
  <c r="AQ225"/>
  <c r="AP225"/>
  <c r="AO225"/>
  <c r="AR224"/>
  <c r="AQ224"/>
  <c r="AP224"/>
  <c r="AO224"/>
  <c r="AR223"/>
  <c r="AQ223"/>
  <c r="AP223"/>
  <c r="AO223"/>
  <c r="AR222"/>
  <c r="AQ222"/>
  <c r="AP222"/>
  <c r="AO222"/>
  <c r="AR221"/>
  <c r="AQ221"/>
  <c r="AP221"/>
  <c r="AO221"/>
  <c r="AR220"/>
  <c r="AQ220"/>
  <c r="AP220"/>
  <c r="AO220"/>
  <c r="AR219"/>
  <c r="AQ219"/>
  <c r="AP219"/>
  <c r="AO219"/>
  <c r="AR218"/>
  <c r="AQ218"/>
  <c r="AP218"/>
  <c r="AO218"/>
  <c r="AR217"/>
  <c r="AQ217"/>
  <c r="AP217"/>
  <c r="AO217"/>
  <c r="AR216"/>
  <c r="AQ216"/>
  <c r="AP216"/>
  <c r="AO216"/>
  <c r="AR215"/>
  <c r="AQ215"/>
  <c r="AP215"/>
  <c r="AO215"/>
  <c r="AR214"/>
  <c r="AQ214"/>
  <c r="AP214"/>
  <c r="AO214"/>
  <c r="AR213"/>
  <c r="AQ213"/>
  <c r="AP213"/>
  <c r="AO213"/>
  <c r="AR212"/>
  <c r="AQ212"/>
  <c r="AP212"/>
  <c r="AO212"/>
  <c r="AR211"/>
  <c r="AQ211"/>
  <c r="AP211"/>
  <c r="AO211"/>
  <c r="AR210"/>
  <c r="AQ210"/>
  <c r="AP210"/>
  <c r="AO210"/>
  <c r="AR209"/>
  <c r="AQ209"/>
  <c r="AP209"/>
  <c r="AO209"/>
  <c r="AR208"/>
  <c r="AQ208"/>
  <c r="AP208"/>
  <c r="AO208"/>
  <c r="AR207"/>
  <c r="AQ207"/>
  <c r="AP207"/>
  <c r="AO207"/>
  <c r="AR206"/>
  <c r="AQ206"/>
  <c r="AP206"/>
  <c r="AO206"/>
  <c r="AR205"/>
  <c r="AQ205"/>
  <c r="AP205"/>
  <c r="AO205"/>
  <c r="AR204"/>
  <c r="AQ204"/>
  <c r="AP204"/>
  <c r="AO204"/>
  <c r="AR203"/>
  <c r="AQ203"/>
  <c r="AP203"/>
  <c r="AO203"/>
  <c r="AR202"/>
  <c r="AQ202"/>
  <c r="AP202"/>
  <c r="AO202"/>
  <c r="AR201"/>
  <c r="AQ201"/>
  <c r="AP201"/>
  <c r="AO201"/>
  <c r="AR200"/>
  <c r="AQ200"/>
  <c r="AP200"/>
  <c r="AO200"/>
  <c r="AR199"/>
  <c r="AQ199"/>
  <c r="AP199"/>
  <c r="AO199"/>
  <c r="AR198"/>
  <c r="AQ198"/>
  <c r="AP198"/>
  <c r="AO198"/>
  <c r="AR197"/>
  <c r="AQ197"/>
  <c r="AP197"/>
  <c r="AO197"/>
  <c r="AR196"/>
  <c r="AQ196"/>
  <c r="AP196"/>
  <c r="AO196"/>
  <c r="AR195"/>
  <c r="AQ195"/>
  <c r="AP195"/>
  <c r="AO195"/>
  <c r="AR194"/>
  <c r="AQ194"/>
  <c r="AP194"/>
  <c r="AO194"/>
  <c r="AR193"/>
  <c r="AQ193"/>
  <c r="AP193"/>
  <c r="AO193"/>
  <c r="AR192"/>
  <c r="AQ192"/>
  <c r="AP192"/>
  <c r="AO192"/>
  <c r="AR191"/>
  <c r="AQ191"/>
  <c r="AP191"/>
  <c r="AO191"/>
  <c r="AR190"/>
  <c r="AQ190"/>
  <c r="AP190"/>
  <c r="AO190"/>
  <c r="AR189"/>
  <c r="AQ189"/>
  <c r="AP189"/>
  <c r="AO189"/>
  <c r="AR188"/>
  <c r="AQ188"/>
  <c r="AP188"/>
  <c r="AO188"/>
  <c r="AR187"/>
  <c r="AQ187"/>
  <c r="AP187"/>
  <c r="AO187"/>
  <c r="AR186"/>
  <c r="AQ186"/>
  <c r="AP186"/>
  <c r="AO186"/>
  <c r="AR185"/>
  <c r="AQ185"/>
  <c r="AP185"/>
  <c r="AO185"/>
  <c r="AR184"/>
  <c r="AQ184"/>
  <c r="AP184"/>
  <c r="AO184"/>
  <c r="AR183"/>
  <c r="AQ183"/>
  <c r="AP183"/>
  <c r="AO183"/>
  <c r="AR182"/>
  <c r="AQ182"/>
  <c r="AP182"/>
  <c r="AO182"/>
  <c r="AR181"/>
  <c r="AQ181"/>
  <c r="AP181"/>
  <c r="AO181"/>
  <c r="AR180"/>
  <c r="AQ180"/>
  <c r="AP180"/>
  <c r="AO180"/>
  <c r="AR179"/>
  <c r="AQ179"/>
  <c r="AP179"/>
  <c r="AO179"/>
  <c r="AR178"/>
  <c r="AQ178"/>
  <c r="AP178"/>
  <c r="AO178"/>
  <c r="AR177"/>
  <c r="AQ177"/>
  <c r="AP177"/>
  <c r="AO177"/>
  <c r="AR176"/>
  <c r="AQ176"/>
  <c r="AP176"/>
  <c r="AO176"/>
  <c r="AR175"/>
  <c r="AQ175"/>
  <c r="AP175"/>
  <c r="AO175"/>
  <c r="AR174"/>
  <c r="AQ174"/>
  <c r="AP174"/>
  <c r="AO174"/>
  <c r="AR173"/>
  <c r="AQ173"/>
  <c r="AP173"/>
  <c r="AO173"/>
  <c r="AR172"/>
  <c r="AQ172"/>
  <c r="AP172"/>
  <c r="AO172"/>
  <c r="AR171"/>
  <c r="AQ171"/>
  <c r="AP171"/>
  <c r="AO171"/>
  <c r="AR170"/>
  <c r="AQ170"/>
  <c r="AP170"/>
  <c r="AO170"/>
  <c r="AR169"/>
  <c r="AQ169"/>
  <c r="AP169"/>
  <c r="AO169"/>
  <c r="AR168"/>
  <c r="AQ168"/>
  <c r="AP168"/>
  <c r="AO168"/>
  <c r="AR167"/>
  <c r="AQ167"/>
  <c r="AP167"/>
  <c r="AO167"/>
  <c r="AR166"/>
  <c r="AQ166"/>
  <c r="AP166"/>
  <c r="AO166"/>
  <c r="AR165"/>
  <c r="AQ165"/>
  <c r="AP165"/>
  <c r="AO165"/>
  <c r="AR164"/>
  <c r="AQ164"/>
  <c r="AP164"/>
  <c r="AO164"/>
  <c r="AR163"/>
  <c r="AQ163"/>
  <c r="AP163"/>
  <c r="AO163"/>
  <c r="AR162"/>
  <c r="AQ162"/>
  <c r="AP162"/>
  <c r="AO162"/>
  <c r="AR161"/>
  <c r="AQ161"/>
  <c r="AP161"/>
  <c r="AO161"/>
  <c r="AR160"/>
  <c r="AQ160"/>
  <c r="AP160"/>
  <c r="AO160"/>
  <c r="AR159"/>
  <c r="AQ159"/>
  <c r="AP159"/>
  <c r="AO159"/>
  <c r="AR158"/>
  <c r="AQ158"/>
  <c r="AP158"/>
  <c r="AO158"/>
  <c r="AR157"/>
  <c r="AQ157"/>
  <c r="AP157"/>
  <c r="AO157"/>
  <c r="AR156"/>
  <c r="AQ156"/>
  <c r="AP156"/>
  <c r="AO156"/>
  <c r="AR155"/>
  <c r="AQ155"/>
  <c r="AP155"/>
  <c r="AO155"/>
  <c r="AR154"/>
  <c r="AQ154"/>
  <c r="AP154"/>
  <c r="AO154"/>
  <c r="AR153"/>
  <c r="AQ153"/>
  <c r="AP153"/>
  <c r="AO153"/>
  <c r="AR152"/>
  <c r="AQ152"/>
  <c r="AP152"/>
  <c r="AO152"/>
  <c r="AR151"/>
  <c r="AQ151"/>
  <c r="AP151"/>
  <c r="AO151"/>
  <c r="AR150"/>
  <c r="AQ150"/>
  <c r="AP150"/>
  <c r="AO150"/>
  <c r="AR149"/>
  <c r="AQ149"/>
  <c r="AP149"/>
  <c r="AO149"/>
  <c r="AR148"/>
  <c r="AQ148"/>
  <c r="AP148"/>
  <c r="AO148"/>
  <c r="AR147"/>
  <c r="AQ147"/>
  <c r="AP147"/>
  <c r="AO147"/>
  <c r="AR146"/>
  <c r="AQ146"/>
  <c r="AP146"/>
  <c r="AO146"/>
  <c r="AR145"/>
  <c r="AQ145"/>
  <c r="AP145"/>
  <c r="AO145"/>
  <c r="AR144"/>
  <c r="AQ144"/>
  <c r="AP144"/>
  <c r="AO144"/>
  <c r="AR143"/>
  <c r="AQ143"/>
  <c r="AP143"/>
  <c r="AO143"/>
  <c r="AR142"/>
  <c r="AQ142"/>
  <c r="AP142"/>
  <c r="AO142"/>
  <c r="AR141"/>
  <c r="AQ141"/>
  <c r="AP141"/>
  <c r="AO141"/>
  <c r="AR140"/>
  <c r="AQ140"/>
  <c r="AP140"/>
  <c r="AO140"/>
  <c r="AR139"/>
  <c r="AQ139"/>
  <c r="AP139"/>
  <c r="AO139"/>
  <c r="AR138"/>
  <c r="AQ138"/>
  <c r="AP138"/>
  <c r="AO138"/>
  <c r="AR137"/>
  <c r="AQ137"/>
  <c r="AP137"/>
  <c r="AO137"/>
  <c r="AR136"/>
  <c r="AQ136"/>
  <c r="AP136"/>
  <c r="AO136"/>
  <c r="AR135"/>
  <c r="AQ135"/>
  <c r="AP135"/>
  <c r="AO135"/>
  <c r="AR134"/>
  <c r="AQ134"/>
  <c r="AP134"/>
  <c r="AO134"/>
  <c r="AR133"/>
  <c r="AQ133"/>
  <c r="AP133"/>
  <c r="AO133"/>
  <c r="AR132"/>
  <c r="AQ132"/>
  <c r="AP132"/>
  <c r="AO132"/>
  <c r="AR131"/>
  <c r="AQ131"/>
  <c r="AP131"/>
  <c r="AO131"/>
  <c r="AR130"/>
  <c r="AQ130"/>
  <c r="AP130"/>
  <c r="AO130"/>
  <c r="AR129"/>
  <c r="AQ129"/>
  <c r="AP129"/>
  <c r="AO129"/>
  <c r="AR128"/>
  <c r="AQ128"/>
  <c r="AP128"/>
  <c r="AO128"/>
  <c r="AR127"/>
  <c r="AQ127"/>
  <c r="AP127"/>
  <c r="AO127"/>
  <c r="AR126"/>
  <c r="AQ126"/>
  <c r="AP126"/>
  <c r="AO126"/>
  <c r="AR125"/>
  <c r="AQ125"/>
  <c r="AP125"/>
  <c r="AO125"/>
  <c r="AR124"/>
  <c r="AQ124"/>
  <c r="AP124"/>
  <c r="AO124"/>
  <c r="AR123"/>
  <c r="AQ123"/>
  <c r="AP123"/>
  <c r="AO123"/>
  <c r="AR122"/>
  <c r="AQ122"/>
  <c r="AP122"/>
  <c r="AO122"/>
  <c r="AR121"/>
  <c r="AQ121"/>
  <c r="AP121"/>
  <c r="AO121"/>
  <c r="AR120"/>
  <c r="AQ120"/>
  <c r="AP120"/>
  <c r="AO120"/>
  <c r="AR119"/>
  <c r="AQ119"/>
  <c r="AP119"/>
  <c r="AO119"/>
  <c r="AR118"/>
  <c r="AQ118"/>
  <c r="AP118"/>
  <c r="AO118"/>
  <c r="AR117"/>
  <c r="AQ117"/>
  <c r="AP117"/>
  <c r="AO117"/>
  <c r="AR116"/>
  <c r="AQ116"/>
  <c r="AP116"/>
  <c r="AO116"/>
  <c r="AR115"/>
  <c r="AQ115"/>
  <c r="AP115"/>
  <c r="AO115"/>
  <c r="AR114"/>
  <c r="AQ114"/>
  <c r="AP114"/>
  <c r="AO114"/>
  <c r="AR113"/>
  <c r="AQ113"/>
  <c r="AP113"/>
  <c r="AO113"/>
  <c r="AR112"/>
  <c r="AQ112"/>
  <c r="AP112"/>
  <c r="AO112"/>
  <c r="AR111"/>
  <c r="AQ111"/>
  <c r="AP111"/>
  <c r="AO111"/>
  <c r="AR110"/>
  <c r="AQ110"/>
  <c r="AP110"/>
  <c r="AO110"/>
  <c r="AR109"/>
  <c r="AQ109"/>
  <c r="AP109"/>
  <c r="AO109"/>
  <c r="AR108"/>
  <c r="AQ108"/>
  <c r="AP108"/>
  <c r="AO108"/>
  <c r="AR107"/>
  <c r="AQ107"/>
  <c r="AP107"/>
  <c r="AO107"/>
  <c r="AR106"/>
  <c r="AQ106"/>
  <c r="AP106"/>
  <c r="AO106"/>
  <c r="AR105"/>
  <c r="AQ105"/>
  <c r="AP105"/>
  <c r="AO105"/>
  <c r="AR104"/>
  <c r="AQ104"/>
  <c r="AP104"/>
  <c r="AO104"/>
  <c r="AR103"/>
  <c r="AQ103"/>
  <c r="AP103"/>
  <c r="AO103"/>
  <c r="AR102"/>
  <c r="AQ102"/>
  <c r="AP102"/>
  <c r="AO102"/>
  <c r="AR101"/>
  <c r="AQ101"/>
  <c r="AP101"/>
  <c r="AO101"/>
  <c r="AR100"/>
  <c r="AQ100"/>
  <c r="AP100"/>
  <c r="AO100"/>
  <c r="AR99"/>
  <c r="AQ99"/>
  <c r="AP99"/>
  <c r="AO99"/>
  <c r="AR98"/>
  <c r="AQ98"/>
  <c r="AP98"/>
  <c r="AO98"/>
  <c r="AR97"/>
  <c r="AQ97"/>
  <c r="AP97"/>
  <c r="AO97"/>
  <c r="AR96"/>
  <c r="AQ96"/>
  <c r="AP96"/>
  <c r="AO96"/>
  <c r="AR95"/>
  <c r="AQ95"/>
  <c r="AP95"/>
  <c r="AO95"/>
  <c r="AR94"/>
  <c r="AQ94"/>
  <c r="AP94"/>
  <c r="AO94"/>
  <c r="AR93"/>
  <c r="AQ93"/>
  <c r="AP93"/>
  <c r="AO93"/>
  <c r="AR92"/>
  <c r="AQ92"/>
  <c r="AP92"/>
  <c r="AO92"/>
  <c r="AR91"/>
  <c r="AQ91"/>
  <c r="AP91"/>
  <c r="AO91"/>
  <c r="AR90"/>
  <c r="AQ90"/>
  <c r="AP90"/>
  <c r="AO90"/>
  <c r="AR89"/>
  <c r="AQ89"/>
  <c r="AP89"/>
  <c r="AO89"/>
  <c r="AR88"/>
  <c r="AQ88"/>
  <c r="AP88"/>
  <c r="AO88"/>
  <c r="AR87"/>
  <c r="AQ87"/>
  <c r="AP87"/>
  <c r="AO87"/>
  <c r="AR86"/>
  <c r="AQ86"/>
  <c r="AP86"/>
  <c r="AO86"/>
  <c r="AR85"/>
  <c r="AQ85"/>
  <c r="AP85"/>
  <c r="AO85"/>
  <c r="AR84"/>
  <c r="AQ84"/>
  <c r="AP84"/>
  <c r="AO84"/>
  <c r="AR83"/>
  <c r="AQ83"/>
  <c r="AP83"/>
  <c r="AO83"/>
  <c r="AR82"/>
  <c r="AQ82"/>
  <c r="AP82"/>
  <c r="AO82"/>
  <c r="AR81"/>
  <c r="AQ81"/>
  <c r="AP81"/>
  <c r="AO81"/>
  <c r="AR80"/>
  <c r="AQ80"/>
  <c r="AP80"/>
  <c r="AO80"/>
  <c r="AR79"/>
  <c r="AQ79"/>
  <c r="AP79"/>
  <c r="AO79"/>
  <c r="AR78"/>
  <c r="AQ78"/>
  <c r="AP78"/>
  <c r="AO78"/>
  <c r="AR77"/>
  <c r="AQ77"/>
  <c r="AP77"/>
  <c r="AO77"/>
  <c r="AR76"/>
  <c r="AQ76"/>
  <c r="AP76"/>
  <c r="AO76"/>
  <c r="AR75"/>
  <c r="AQ75"/>
  <c r="AP75"/>
  <c r="AO75"/>
  <c r="AR74"/>
  <c r="AQ74"/>
  <c r="AP74"/>
  <c r="AO74"/>
  <c r="AR73"/>
  <c r="AQ73"/>
  <c r="AP73"/>
  <c r="AO73"/>
  <c r="AR72"/>
  <c r="AQ72"/>
  <c r="AP72"/>
  <c r="AO72"/>
  <c r="AR71"/>
  <c r="AQ71"/>
  <c r="AP71"/>
  <c r="AO71"/>
  <c r="AR70"/>
  <c r="AQ70"/>
  <c r="AP70"/>
  <c r="AO70"/>
  <c r="AR69"/>
  <c r="AQ69"/>
  <c r="AP69"/>
  <c r="AO69"/>
  <c r="AR68"/>
  <c r="AQ68"/>
  <c r="AP68"/>
  <c r="AO68"/>
  <c r="AR67"/>
  <c r="AQ67"/>
  <c r="AP67"/>
  <c r="AO67"/>
  <c r="AR66"/>
  <c r="AQ66"/>
  <c r="AP66"/>
  <c r="AO66"/>
  <c r="AR65"/>
  <c r="AQ65"/>
  <c r="AP65"/>
  <c r="AO65"/>
  <c r="AR64"/>
  <c r="AQ64"/>
  <c r="AP64"/>
  <c r="AO64"/>
  <c r="AR63"/>
  <c r="AQ63"/>
  <c r="AP63"/>
  <c r="AO63"/>
  <c r="AR62"/>
  <c r="AQ62"/>
  <c r="AP62"/>
  <c r="AO62"/>
  <c r="AR61"/>
  <c r="AQ61"/>
  <c r="AP61"/>
  <c r="AO61"/>
  <c r="AR60"/>
  <c r="AQ60"/>
  <c r="AP60"/>
  <c r="AO60"/>
  <c r="AR59"/>
  <c r="AQ59"/>
  <c r="AP59"/>
  <c r="AO59"/>
  <c r="AR58"/>
  <c r="AQ58"/>
  <c r="AP58"/>
  <c r="AO58"/>
  <c r="AR57"/>
  <c r="AQ57"/>
  <c r="AP57"/>
  <c r="AO57"/>
  <c r="AR56"/>
  <c r="AQ56"/>
  <c r="AP56"/>
  <c r="AO56"/>
  <c r="AR55"/>
  <c r="AQ55"/>
  <c r="AP55"/>
  <c r="AO55"/>
  <c r="AR54"/>
  <c r="AQ54"/>
  <c r="AP54"/>
  <c r="AO54"/>
  <c r="AR53"/>
  <c r="AQ53"/>
  <c r="AP53"/>
  <c r="AO53"/>
  <c r="AR52"/>
  <c r="AQ52"/>
  <c r="AP52"/>
  <c r="AO52"/>
  <c r="AR51"/>
  <c r="AQ51"/>
  <c r="AP51"/>
  <c r="AO51"/>
  <c r="AR50"/>
  <c r="AQ50"/>
  <c r="AP50"/>
  <c r="AO50"/>
  <c r="AR49"/>
  <c r="AQ49"/>
  <c r="AP49"/>
  <c r="AO49"/>
  <c r="AR48"/>
  <c r="AQ48"/>
  <c r="AP48"/>
  <c r="AO48"/>
  <c r="AR47"/>
  <c r="AQ47"/>
  <c r="AP47"/>
  <c r="AO47"/>
  <c r="AR46"/>
  <c r="AQ46"/>
  <c r="AP46"/>
  <c r="AO46"/>
  <c r="AR45"/>
  <c r="AQ45"/>
  <c r="AP45"/>
  <c r="AO45"/>
  <c r="AR44"/>
  <c r="AQ44"/>
  <c r="AP44"/>
  <c r="AO44"/>
  <c r="AR43"/>
  <c r="AQ43"/>
  <c r="AP43"/>
  <c r="AO43"/>
  <c r="AR42"/>
  <c r="AQ42"/>
  <c r="AP42"/>
  <c r="AO42"/>
  <c r="AR41"/>
  <c r="AQ41"/>
  <c r="AP41"/>
  <c r="AO41"/>
  <c r="AR40"/>
  <c r="AQ40"/>
  <c r="AP40"/>
  <c r="AO40"/>
  <c r="AR39"/>
  <c r="AQ39"/>
  <c r="AP39"/>
  <c r="AO39"/>
  <c r="AR38"/>
  <c r="AQ38"/>
  <c r="AP38"/>
  <c r="AO38"/>
  <c r="AR37"/>
  <c r="AQ37"/>
  <c r="AP37"/>
  <c r="AO37"/>
  <c r="AR36"/>
  <c r="AQ36"/>
  <c r="AP36"/>
  <c r="AO36"/>
  <c r="AR35"/>
  <c r="AQ35"/>
  <c r="AP35"/>
  <c r="AO35"/>
  <c r="AR34"/>
  <c r="AQ34"/>
  <c r="AP34"/>
  <c r="AO34"/>
  <c r="AR33"/>
  <c r="AQ33"/>
  <c r="AP33"/>
  <c r="AO33"/>
  <c r="AR32"/>
  <c r="AQ32"/>
  <c r="AP32"/>
  <c r="AO32"/>
  <c r="AR31"/>
  <c r="AQ31"/>
  <c r="AP31"/>
  <c r="AO31"/>
  <c r="AR30"/>
  <c r="AQ30"/>
  <c r="AP30"/>
  <c r="AO30"/>
  <c r="AR29"/>
  <c r="AQ29"/>
  <c r="AP29"/>
  <c r="AO29"/>
  <c r="AR28"/>
  <c r="AQ28"/>
  <c r="AP28"/>
  <c r="AO28"/>
  <c r="AR27"/>
  <c r="AQ27"/>
  <c r="AP27"/>
  <c r="AO27"/>
  <c r="AR26"/>
  <c r="AQ26"/>
  <c r="AP26"/>
  <c r="AO26"/>
  <c r="AR25"/>
  <c r="AQ25"/>
  <c r="AP25"/>
  <c r="AO25"/>
  <c r="AR24"/>
  <c r="AQ24"/>
  <c r="AP24"/>
  <c r="AO24"/>
  <c r="AR23"/>
  <c r="AQ23"/>
  <c r="AP23"/>
  <c r="AO23"/>
  <c r="AR22"/>
  <c r="AQ22"/>
  <c r="AP22"/>
  <c r="AO22"/>
  <c r="AR21"/>
  <c r="AQ21"/>
  <c r="AP21"/>
  <c r="AO21"/>
  <c r="AR20"/>
  <c r="AQ20"/>
  <c r="AP20"/>
  <c r="AO20"/>
  <c r="AR19"/>
  <c r="AQ19"/>
  <c r="AP19"/>
  <c r="AO19"/>
  <c r="AR18"/>
  <c r="AQ18"/>
  <c r="AP18"/>
  <c r="AO18"/>
  <c r="AR17"/>
  <c r="AQ17"/>
  <c r="AP17"/>
  <c r="AO17"/>
  <c r="AR16"/>
  <c r="AQ16"/>
  <c r="AP16"/>
  <c r="AO16"/>
  <c r="AR15"/>
  <c r="AQ15"/>
  <c r="AP15"/>
  <c r="AO15"/>
  <c r="AR14"/>
  <c r="AQ14"/>
  <c r="AP14"/>
  <c r="AO14"/>
  <c r="AR13"/>
  <c r="AQ13"/>
  <c r="AP13"/>
  <c r="AO13"/>
  <c r="AR12"/>
  <c r="AQ12"/>
  <c r="AP12"/>
  <c r="AO12"/>
  <c r="AR11"/>
  <c r="AQ11"/>
  <c r="AP11"/>
  <c r="AO11"/>
  <c r="AR10"/>
  <c r="AQ10"/>
  <c r="AP10"/>
  <c r="AO10"/>
  <c r="AR9"/>
  <c r="AQ9"/>
  <c r="AP9"/>
  <c r="AO9"/>
  <c r="AR8"/>
  <c r="AQ8"/>
  <c r="AP8"/>
  <c r="AO8"/>
  <c r="AR7"/>
  <c r="AQ7"/>
  <c r="AP7"/>
  <c r="AO7"/>
  <c r="AR6"/>
  <c r="AQ6"/>
  <c r="AP6"/>
  <c r="AO6"/>
  <c r="AL493"/>
  <c r="AK493"/>
  <c r="AL492"/>
  <c r="AK492"/>
  <c r="AL491"/>
  <c r="AK491"/>
  <c r="AL490"/>
  <c r="AK490"/>
  <c r="AL489"/>
  <c r="AK489"/>
  <c r="AL488"/>
  <c r="AK488"/>
  <c r="AL487"/>
  <c r="AK487"/>
  <c r="AL486"/>
  <c r="AK486"/>
  <c r="AL485"/>
  <c r="AK485"/>
  <c r="AL484"/>
  <c r="AK484"/>
  <c r="AL483"/>
  <c r="AK483"/>
  <c r="AL482"/>
  <c r="AK482"/>
  <c r="AL481"/>
  <c r="AK481"/>
  <c r="AL480"/>
  <c r="AK480"/>
  <c r="AL479"/>
  <c r="AK479"/>
  <c r="AL478"/>
  <c r="AK478"/>
  <c r="AL477"/>
  <c r="AK477"/>
  <c r="AL476"/>
  <c r="AK476"/>
  <c r="AL475"/>
  <c r="AK475"/>
  <c r="AL474"/>
  <c r="AK474"/>
  <c r="AL473"/>
  <c r="AK473"/>
  <c r="AL472"/>
  <c r="AK472"/>
  <c r="AL471"/>
  <c r="AK471"/>
  <c r="AL470"/>
  <c r="AK470"/>
  <c r="AL469"/>
  <c r="AK469"/>
  <c r="AL468"/>
  <c r="AK468"/>
  <c r="AL467"/>
  <c r="AK467"/>
  <c r="AL466"/>
  <c r="AK466"/>
  <c r="AL465"/>
  <c r="AK465"/>
  <c r="AL464"/>
  <c r="AK464"/>
  <c r="AL463"/>
  <c r="AK463"/>
  <c r="AL462"/>
  <c r="AK462"/>
  <c r="AL461"/>
  <c r="AK461"/>
  <c r="AL460"/>
  <c r="AK460"/>
  <c r="AL459"/>
  <c r="AK459"/>
  <c r="AL458"/>
  <c r="AK458"/>
  <c r="AL457"/>
  <c r="AK457"/>
  <c r="AL456"/>
  <c r="AK456"/>
  <c r="AL455"/>
  <c r="AK455"/>
  <c r="AL454"/>
  <c r="AK454"/>
  <c r="AL453"/>
  <c r="AK453"/>
  <c r="AL452"/>
  <c r="AK452"/>
  <c r="AL451"/>
  <c r="AK451"/>
  <c r="AL450"/>
  <c r="AK450"/>
  <c r="AL449"/>
  <c r="AK449"/>
  <c r="AL448"/>
  <c r="AK448"/>
  <c r="AL447"/>
  <c r="AK447"/>
  <c r="AL446"/>
  <c r="AK446"/>
  <c r="AL445"/>
  <c r="AK445"/>
  <c r="AL444"/>
  <c r="AK444"/>
  <c r="AL443"/>
  <c r="AK443"/>
  <c r="AL442"/>
  <c r="AK442"/>
  <c r="AL441"/>
  <c r="AK441"/>
  <c r="AL440"/>
  <c r="AK440"/>
  <c r="AL439"/>
  <c r="AK439"/>
  <c r="AL438"/>
  <c r="AK438"/>
  <c r="AL437"/>
  <c r="AK437"/>
  <c r="AL436"/>
  <c r="AK436"/>
  <c r="AL435"/>
  <c r="AK435"/>
  <c r="AL434"/>
  <c r="AK434"/>
  <c r="AL433"/>
  <c r="AK433"/>
  <c r="AL432"/>
  <c r="AK432"/>
  <c r="AL431"/>
  <c r="AK431"/>
  <c r="AL430"/>
  <c r="AK430"/>
  <c r="AL429"/>
  <c r="AK429"/>
  <c r="AL428"/>
  <c r="AK428"/>
  <c r="AL427"/>
  <c r="AK427"/>
  <c r="AL426"/>
  <c r="AK426"/>
  <c r="AL425"/>
  <c r="AK425"/>
  <c r="AL424"/>
  <c r="AK424"/>
  <c r="AL423"/>
  <c r="AK423"/>
  <c r="AL422"/>
  <c r="AK422"/>
  <c r="AL421"/>
  <c r="AK421"/>
  <c r="AL420"/>
  <c r="AK420"/>
  <c r="AL419"/>
  <c r="AK419"/>
  <c r="AL418"/>
  <c r="AK418"/>
  <c r="AL417"/>
  <c r="AK417"/>
  <c r="AL416"/>
  <c r="AK416"/>
  <c r="AL415"/>
  <c r="AK415"/>
  <c r="AL414"/>
  <c r="AK414"/>
  <c r="AL413"/>
  <c r="AK413"/>
  <c r="AL412"/>
  <c r="AK412"/>
  <c r="AL411"/>
  <c r="AK411"/>
  <c r="AL410"/>
  <c r="AK410"/>
  <c r="AL409"/>
  <c r="AK409"/>
  <c r="AL408"/>
  <c r="AK408"/>
  <c r="AL407"/>
  <c r="AK407"/>
  <c r="AL406"/>
  <c r="AK406"/>
  <c r="AL405"/>
  <c r="AK405"/>
  <c r="AL404"/>
  <c r="AK404"/>
  <c r="AL403"/>
  <c r="AK403"/>
  <c r="AL402"/>
  <c r="AK402"/>
  <c r="AL401"/>
  <c r="AK401"/>
  <c r="AL400"/>
  <c r="AK400"/>
  <c r="AL399"/>
  <c r="AK399"/>
  <c r="AL398"/>
  <c r="AK398"/>
  <c r="AL397"/>
  <c r="AK397"/>
  <c r="AL396"/>
  <c r="AK396"/>
  <c r="AL395"/>
  <c r="AK395"/>
  <c r="AL394"/>
  <c r="AK394"/>
  <c r="AL393"/>
  <c r="AK393"/>
  <c r="AL392"/>
  <c r="AK392"/>
  <c r="AL391"/>
  <c r="AK391"/>
  <c r="AL390"/>
  <c r="AK390"/>
  <c r="AL389"/>
  <c r="AK389"/>
  <c r="AL388"/>
  <c r="AK388"/>
  <c r="AL387"/>
  <c r="AK387"/>
  <c r="AL386"/>
  <c r="AK386"/>
  <c r="AL385"/>
  <c r="AK385"/>
  <c r="AL384"/>
  <c r="AK384"/>
  <c r="AL383"/>
  <c r="AK383"/>
  <c r="AL382"/>
  <c r="AK382"/>
  <c r="AL381"/>
  <c r="AK381"/>
  <c r="AL380"/>
  <c r="AK380"/>
  <c r="AL379"/>
  <c r="AK379"/>
  <c r="AL378"/>
  <c r="AK378"/>
  <c r="AL377"/>
  <c r="AK377"/>
  <c r="AL376"/>
  <c r="AK376"/>
  <c r="AL375"/>
  <c r="AK375"/>
  <c r="AL374"/>
  <c r="AK374"/>
  <c r="AL373"/>
  <c r="AK373"/>
  <c r="AL372"/>
  <c r="AK372"/>
  <c r="AL371"/>
  <c r="AK371"/>
  <c r="AL370"/>
  <c r="AK370"/>
  <c r="AL369"/>
  <c r="AK369"/>
  <c r="AL368"/>
  <c r="AK368"/>
  <c r="AL367"/>
  <c r="AK367"/>
  <c r="AL366"/>
  <c r="AK366"/>
  <c r="AL365"/>
  <c r="AK365"/>
  <c r="AL364"/>
  <c r="AK364"/>
  <c r="AL363"/>
  <c r="AK363"/>
  <c r="AL362"/>
  <c r="AK362"/>
  <c r="AL361"/>
  <c r="AK361"/>
  <c r="AL360"/>
  <c r="AK360"/>
  <c r="AL359"/>
  <c r="AK359"/>
  <c r="AL358"/>
  <c r="AK358"/>
  <c r="AL357"/>
  <c r="AK357"/>
  <c r="AL356"/>
  <c r="AK356"/>
  <c r="AL355"/>
  <c r="AK355"/>
  <c r="AL354"/>
  <c r="AK354"/>
  <c r="AL353"/>
  <c r="AK353"/>
  <c r="AL352"/>
  <c r="AK352"/>
  <c r="AL351"/>
  <c r="AK351"/>
  <c r="AL350"/>
  <c r="AK350"/>
  <c r="AL349"/>
  <c r="AK349"/>
  <c r="AL348"/>
  <c r="AK348"/>
  <c r="AL347"/>
  <c r="AK347"/>
  <c r="AL346"/>
  <c r="AK346"/>
  <c r="AL345"/>
  <c r="AK345"/>
  <c r="AL344"/>
  <c r="AK344"/>
  <c r="AL343"/>
  <c r="AK343"/>
  <c r="AL342"/>
  <c r="AK342"/>
  <c r="AL341"/>
  <c r="AK341"/>
  <c r="AL340"/>
  <c r="AK340"/>
  <c r="AL339"/>
  <c r="AK339"/>
  <c r="AL338"/>
  <c r="AK338"/>
  <c r="AL337"/>
  <c r="AK337"/>
  <c r="AL336"/>
  <c r="AK336"/>
  <c r="AL335"/>
  <c r="AK335"/>
  <c r="AL334"/>
  <c r="AK334"/>
  <c r="AL333"/>
  <c r="AK333"/>
  <c r="AL332"/>
  <c r="AK332"/>
  <c r="AL331"/>
  <c r="AK331"/>
  <c r="AL330"/>
  <c r="AK330"/>
  <c r="AL329"/>
  <c r="AK329"/>
  <c r="AL328"/>
  <c r="AK328"/>
  <c r="AL327"/>
  <c r="AK327"/>
  <c r="AL326"/>
  <c r="AK326"/>
  <c r="AL325"/>
  <c r="AK325"/>
  <c r="AL324"/>
  <c r="AK324"/>
  <c r="AL323"/>
  <c r="AK323"/>
  <c r="AL322"/>
  <c r="AK322"/>
  <c r="AL321"/>
  <c r="AK321"/>
  <c r="AL320"/>
  <c r="AK320"/>
  <c r="AL319"/>
  <c r="AK319"/>
  <c r="AL318"/>
  <c r="AK318"/>
  <c r="AL317"/>
  <c r="AK317"/>
  <c r="AL316"/>
  <c r="AK316"/>
  <c r="AL315"/>
  <c r="AK315"/>
  <c r="AL314"/>
  <c r="AK314"/>
  <c r="AL313"/>
  <c r="AK313"/>
  <c r="AL312"/>
  <c r="AK312"/>
  <c r="AL311"/>
  <c r="AK311"/>
  <c r="AL310"/>
  <c r="AK310"/>
  <c r="AL309"/>
  <c r="AK309"/>
  <c r="AL308"/>
  <c r="AK308"/>
  <c r="AL307"/>
  <c r="AK307"/>
  <c r="AL306"/>
  <c r="AK306"/>
  <c r="AL305"/>
  <c r="AK305"/>
  <c r="AL304"/>
  <c r="AK304"/>
  <c r="AL303"/>
  <c r="AK303"/>
  <c r="AL302"/>
  <c r="AK302"/>
  <c r="AL301"/>
  <c r="AK301"/>
  <c r="AL300"/>
  <c r="AK300"/>
  <c r="AL299"/>
  <c r="AK299"/>
  <c r="AL298"/>
  <c r="AK298"/>
  <c r="AL297"/>
  <c r="AK297"/>
  <c r="AL296"/>
  <c r="AK296"/>
  <c r="AL295"/>
  <c r="AK295"/>
  <c r="AL294"/>
  <c r="AK294"/>
  <c r="AL293"/>
  <c r="AK293"/>
  <c r="AL292"/>
  <c r="AK292"/>
  <c r="AL291"/>
  <c r="AK291"/>
  <c r="AL290"/>
  <c r="AK290"/>
  <c r="AL289"/>
  <c r="AK289"/>
  <c r="AL288"/>
  <c r="AK288"/>
  <c r="AL287"/>
  <c r="AK287"/>
  <c r="AL286"/>
  <c r="AK286"/>
  <c r="AL285"/>
  <c r="AK285"/>
  <c r="AL284"/>
  <c r="AK284"/>
  <c r="AL283"/>
  <c r="AK283"/>
  <c r="AL282"/>
  <c r="AK282"/>
  <c r="AL281"/>
  <c r="AK281"/>
  <c r="AL280"/>
  <c r="AK280"/>
  <c r="AL279"/>
  <c r="AK279"/>
  <c r="AL278"/>
  <c r="AK278"/>
  <c r="AL277"/>
  <c r="AK277"/>
  <c r="AL276"/>
  <c r="AK276"/>
  <c r="AL275"/>
  <c r="AK275"/>
  <c r="AL274"/>
  <c r="AK274"/>
  <c r="AL273"/>
  <c r="AK273"/>
  <c r="AL272"/>
  <c r="AK272"/>
  <c r="AL271"/>
  <c r="AK271"/>
  <c r="AL270"/>
  <c r="AK270"/>
  <c r="AL269"/>
  <c r="AK269"/>
  <c r="AL268"/>
  <c r="AK268"/>
  <c r="AL267"/>
  <c r="AK267"/>
  <c r="AL266"/>
  <c r="AK266"/>
  <c r="AL265"/>
  <c r="AK265"/>
  <c r="AL264"/>
  <c r="AK264"/>
  <c r="AL263"/>
  <c r="AK263"/>
  <c r="AL262"/>
  <c r="AK262"/>
  <c r="AL261"/>
  <c r="AK261"/>
  <c r="AL260"/>
  <c r="AK260"/>
  <c r="AL259"/>
  <c r="AK259"/>
  <c r="AL258"/>
  <c r="AK258"/>
  <c r="AL257"/>
  <c r="AK257"/>
  <c r="AL256"/>
  <c r="AK256"/>
  <c r="AL255"/>
  <c r="AK255"/>
  <c r="AL254"/>
  <c r="AK254"/>
  <c r="AL253"/>
  <c r="AK253"/>
  <c r="AL252"/>
  <c r="AK252"/>
  <c r="AL251"/>
  <c r="AK251"/>
  <c r="AL250"/>
  <c r="AK250"/>
  <c r="AL249"/>
  <c r="AK249"/>
  <c r="AL248"/>
  <c r="AK248"/>
  <c r="AL247"/>
  <c r="AK247"/>
  <c r="AL246"/>
  <c r="AK246"/>
  <c r="AL245"/>
  <c r="AK245"/>
  <c r="AL244"/>
  <c r="AK244"/>
  <c r="AL243"/>
  <c r="AK243"/>
  <c r="AL242"/>
  <c r="AK242"/>
  <c r="AL241"/>
  <c r="AK241"/>
  <c r="AL240"/>
  <c r="AK240"/>
  <c r="AL239"/>
  <c r="AK239"/>
  <c r="AL238"/>
  <c r="AK238"/>
  <c r="AL237"/>
  <c r="AK237"/>
  <c r="AL236"/>
  <c r="AK236"/>
  <c r="AL235"/>
  <c r="AK235"/>
  <c r="AL234"/>
  <c r="AK234"/>
  <c r="AL233"/>
  <c r="AK233"/>
  <c r="AL232"/>
  <c r="AK232"/>
  <c r="AL231"/>
  <c r="AK231"/>
  <c r="AL230"/>
  <c r="AK230"/>
  <c r="AL229"/>
  <c r="AK229"/>
  <c r="AL228"/>
  <c r="AK228"/>
  <c r="AL227"/>
  <c r="AK227"/>
  <c r="AL226"/>
  <c r="AK226"/>
  <c r="AL225"/>
  <c r="AK225"/>
  <c r="AL224"/>
  <c r="AK224"/>
  <c r="AL223"/>
  <c r="AK223"/>
  <c r="AL222"/>
  <c r="AK222"/>
  <c r="AL221"/>
  <c r="AK221"/>
  <c r="AL220"/>
  <c r="AK220"/>
  <c r="AL219"/>
  <c r="AK219"/>
  <c r="AL218"/>
  <c r="AK218"/>
  <c r="AL217"/>
  <c r="AK217"/>
  <c r="AL216"/>
  <c r="AK216"/>
  <c r="AL215"/>
  <c r="AK215"/>
  <c r="AL214"/>
  <c r="AK214"/>
  <c r="AL213"/>
  <c r="AK213"/>
  <c r="AL212"/>
  <c r="AK212"/>
  <c r="AL211"/>
  <c r="AK211"/>
  <c r="AL210"/>
  <c r="AK210"/>
  <c r="AL209"/>
  <c r="AK209"/>
  <c r="AL208"/>
  <c r="AK208"/>
  <c r="AL207"/>
  <c r="AK207"/>
  <c r="AL206"/>
  <c r="AK206"/>
  <c r="AL205"/>
  <c r="AK205"/>
  <c r="AL204"/>
  <c r="AK204"/>
  <c r="AL203"/>
  <c r="AK203"/>
  <c r="AL202"/>
  <c r="AK202"/>
  <c r="AL201"/>
  <c r="AK201"/>
  <c r="AL200"/>
  <c r="AK200"/>
  <c r="AL199"/>
  <c r="AK199"/>
  <c r="AL198"/>
  <c r="AK198"/>
  <c r="AL197"/>
  <c r="AK197"/>
  <c r="AL196"/>
  <c r="AK196"/>
  <c r="AL195"/>
  <c r="AK195"/>
  <c r="AL194"/>
  <c r="AK194"/>
  <c r="AL193"/>
  <c r="AK193"/>
  <c r="AL192"/>
  <c r="AK192"/>
  <c r="AL191"/>
  <c r="AK191"/>
  <c r="AL190"/>
  <c r="AK190"/>
  <c r="AL189"/>
  <c r="AK189"/>
  <c r="AL188"/>
  <c r="AK188"/>
  <c r="AL187"/>
  <c r="AK187"/>
  <c r="AL186"/>
  <c r="AK186"/>
  <c r="AL185"/>
  <c r="AK185"/>
  <c r="AL184"/>
  <c r="AK184"/>
  <c r="AL183"/>
  <c r="AK183"/>
  <c r="AL182"/>
  <c r="AK182"/>
  <c r="AL181"/>
  <c r="AK181"/>
  <c r="AL180"/>
  <c r="AK180"/>
  <c r="AL179"/>
  <c r="AK179"/>
  <c r="AL178"/>
  <c r="AK178"/>
  <c r="AL177"/>
  <c r="AK177"/>
  <c r="AL176"/>
  <c r="AK176"/>
  <c r="AL175"/>
  <c r="AK175"/>
  <c r="AL174"/>
  <c r="AK174"/>
  <c r="AL173"/>
  <c r="AK173"/>
  <c r="AL172"/>
  <c r="AK172"/>
  <c r="AL171"/>
  <c r="AK171"/>
  <c r="AL170"/>
  <c r="AK170"/>
  <c r="AL169"/>
  <c r="AK169"/>
  <c r="AL168"/>
  <c r="AK168"/>
  <c r="AL167"/>
  <c r="AK167"/>
  <c r="AL166"/>
  <c r="AK166"/>
  <c r="AL165"/>
  <c r="AK165"/>
  <c r="AL164"/>
  <c r="AK164"/>
  <c r="AL163"/>
  <c r="AK163"/>
  <c r="AL162"/>
  <c r="AK162"/>
  <c r="AL161"/>
  <c r="AK161"/>
  <c r="AL160"/>
  <c r="AK160"/>
  <c r="AL159"/>
  <c r="AK159"/>
  <c r="AL158"/>
  <c r="AK158"/>
  <c r="AL157"/>
  <c r="AK157"/>
  <c r="AL156"/>
  <c r="AK156"/>
  <c r="AL155"/>
  <c r="AK155"/>
  <c r="AL154"/>
  <c r="AK154"/>
  <c r="AL153"/>
  <c r="AK153"/>
  <c r="AL152"/>
  <c r="AK152"/>
  <c r="AL151"/>
  <c r="AK151"/>
  <c r="AL150"/>
  <c r="AK150"/>
  <c r="AL149"/>
  <c r="AK149"/>
  <c r="AL148"/>
  <c r="AK148"/>
  <c r="AL147"/>
  <c r="AK147"/>
  <c r="AL146"/>
  <c r="AK146"/>
  <c r="AL145"/>
  <c r="AK145"/>
  <c r="AL144"/>
  <c r="AK144"/>
  <c r="AL143"/>
  <c r="AK143"/>
  <c r="AL142"/>
  <c r="AK142"/>
  <c r="AL141"/>
  <c r="AK141"/>
  <c r="AL140"/>
  <c r="AK140"/>
  <c r="AL139"/>
  <c r="AK139"/>
  <c r="AL138"/>
  <c r="AK138"/>
  <c r="AL137"/>
  <c r="AK137"/>
  <c r="AL136"/>
  <c r="AK136"/>
  <c r="AL135"/>
  <c r="AK135"/>
  <c r="AL134"/>
  <c r="AK134"/>
  <c r="AL133"/>
  <c r="AK133"/>
  <c r="AL132"/>
  <c r="AK132"/>
  <c r="AL131"/>
  <c r="AK131"/>
  <c r="AL130"/>
  <c r="AK130"/>
  <c r="AL129"/>
  <c r="AK129"/>
  <c r="AL128"/>
  <c r="AK128"/>
  <c r="AL127"/>
  <c r="AK127"/>
  <c r="AL126"/>
  <c r="AK126"/>
  <c r="AL125"/>
  <c r="AK125"/>
  <c r="AL124"/>
  <c r="AK124"/>
  <c r="AL123"/>
  <c r="AK123"/>
  <c r="AL122"/>
  <c r="AK122"/>
  <c r="AL121"/>
  <c r="AK121"/>
  <c r="AL120"/>
  <c r="AK120"/>
  <c r="AL119"/>
  <c r="AK119"/>
  <c r="AL118"/>
  <c r="AK118"/>
  <c r="AL117"/>
  <c r="AK117"/>
  <c r="AL116"/>
  <c r="AK116"/>
  <c r="AL115"/>
  <c r="AK115"/>
  <c r="AL114"/>
  <c r="AK114"/>
  <c r="AL113"/>
  <c r="AK113"/>
  <c r="AL112"/>
  <c r="AK112"/>
  <c r="AL111"/>
  <c r="AK111"/>
  <c r="AL110"/>
  <c r="AK110"/>
  <c r="AL109"/>
  <c r="AK109"/>
  <c r="AL108"/>
  <c r="AK108"/>
  <c r="AL107"/>
  <c r="AK107"/>
  <c r="AL106"/>
  <c r="AK106"/>
  <c r="AL105"/>
  <c r="AK105"/>
  <c r="AL104"/>
  <c r="AK104"/>
  <c r="AL103"/>
  <c r="AK103"/>
  <c r="AL102"/>
  <c r="AK102"/>
  <c r="AL101"/>
  <c r="AK101"/>
  <c r="AL100"/>
  <c r="AK100"/>
  <c r="AL99"/>
  <c r="AK99"/>
  <c r="AL98"/>
  <c r="AK98"/>
  <c r="AL97"/>
  <c r="AK97"/>
  <c r="AL96"/>
  <c r="AK96"/>
  <c r="AL95"/>
  <c r="AK95"/>
  <c r="AL94"/>
  <c r="AK94"/>
  <c r="AL93"/>
  <c r="AK93"/>
  <c r="AL92"/>
  <c r="AK92"/>
  <c r="AL91"/>
  <c r="AK91"/>
  <c r="AL90"/>
  <c r="AK90"/>
  <c r="AL89"/>
  <c r="AK89"/>
  <c r="AL88"/>
  <c r="AK88"/>
  <c r="AL87"/>
  <c r="AK87"/>
  <c r="AL86"/>
  <c r="AK86"/>
  <c r="AL85"/>
  <c r="AK85"/>
  <c r="AL84"/>
  <c r="AK84"/>
  <c r="AL83"/>
  <c r="AK83"/>
  <c r="AL82"/>
  <c r="AK82"/>
  <c r="AL81"/>
  <c r="AK81"/>
  <c r="AL80"/>
  <c r="AK80"/>
  <c r="AL79"/>
  <c r="AK79"/>
  <c r="AL78"/>
  <c r="AK78"/>
  <c r="AL77"/>
  <c r="AK77"/>
  <c r="AL76"/>
  <c r="AK76"/>
  <c r="AL75"/>
  <c r="AK75"/>
  <c r="AL74"/>
  <c r="AK74"/>
  <c r="AL73"/>
  <c r="AK73"/>
  <c r="AL72"/>
  <c r="AK72"/>
  <c r="AL71"/>
  <c r="AK71"/>
  <c r="AL70"/>
  <c r="AK70"/>
  <c r="AL69"/>
  <c r="AK69"/>
  <c r="AL68"/>
  <c r="AK68"/>
  <c r="AL67"/>
  <c r="AK67"/>
  <c r="AL66"/>
  <c r="AK66"/>
  <c r="AL65"/>
  <c r="AK65"/>
  <c r="AL64"/>
  <c r="AK64"/>
  <c r="AL63"/>
  <c r="AK63"/>
  <c r="AL62"/>
  <c r="AK62"/>
  <c r="AL61"/>
  <c r="AK61"/>
  <c r="AL60"/>
  <c r="AK60"/>
  <c r="AL59"/>
  <c r="AK59"/>
  <c r="AL58"/>
  <c r="AK58"/>
  <c r="AL57"/>
  <c r="AK57"/>
  <c r="AL56"/>
  <c r="AK56"/>
  <c r="AL55"/>
  <c r="AK55"/>
  <c r="AL54"/>
  <c r="AK54"/>
  <c r="AL53"/>
  <c r="AK53"/>
  <c r="AL52"/>
  <c r="AK52"/>
  <c r="AL51"/>
  <c r="AK51"/>
  <c r="AL50"/>
  <c r="AK50"/>
  <c r="AL49"/>
  <c r="AK49"/>
  <c r="AL48"/>
  <c r="AK48"/>
  <c r="AL47"/>
  <c r="AK47"/>
  <c r="AL46"/>
  <c r="AK46"/>
  <c r="AL45"/>
  <c r="AK45"/>
  <c r="AL44"/>
  <c r="AK44"/>
  <c r="AL43"/>
  <c r="AK43"/>
  <c r="AL42"/>
  <c r="AK42"/>
  <c r="AL41"/>
  <c r="AK41"/>
  <c r="AL40"/>
  <c r="AK40"/>
  <c r="AL39"/>
  <c r="AK39"/>
  <c r="AL38"/>
  <c r="AK38"/>
  <c r="AL37"/>
  <c r="AK37"/>
  <c r="AL36"/>
  <c r="AK36"/>
  <c r="AL35"/>
  <c r="AK35"/>
  <c r="AL34"/>
  <c r="AK34"/>
  <c r="AL33"/>
  <c r="AK33"/>
  <c r="AL32"/>
  <c r="AK32"/>
  <c r="AL31"/>
  <c r="AK31"/>
  <c r="AL30"/>
  <c r="AK30"/>
  <c r="AL29"/>
  <c r="AK29"/>
  <c r="AL28"/>
  <c r="AK28"/>
  <c r="AL27"/>
  <c r="AK27"/>
  <c r="AL26"/>
  <c r="AK26"/>
  <c r="AL25"/>
  <c r="AK25"/>
  <c r="AL24"/>
  <c r="AK24"/>
  <c r="AL23"/>
  <c r="AK23"/>
  <c r="AL22"/>
  <c r="AK22"/>
  <c r="AL21"/>
  <c r="AK21"/>
  <c r="AL20"/>
  <c r="AK20"/>
  <c r="AL19"/>
  <c r="AK19"/>
  <c r="AL18"/>
  <c r="AK18"/>
  <c r="AL17"/>
  <c r="AK17"/>
  <c r="AL16"/>
  <c r="AK16"/>
  <c r="AL15"/>
  <c r="AK15"/>
  <c r="AL14"/>
  <c r="AK14"/>
  <c r="AL13"/>
  <c r="AK13"/>
  <c r="AL12"/>
  <c r="AK12"/>
  <c r="AL11"/>
  <c r="AK11"/>
  <c r="AL10"/>
  <c r="AK10"/>
  <c r="AL9"/>
  <c r="AK9"/>
  <c r="AL8"/>
  <c r="AK8"/>
  <c r="AL7"/>
  <c r="AK7"/>
  <c r="AL6"/>
  <c r="AK6"/>
  <c r="AJ495"/>
  <c r="M11" i="6"/>
  <c r="M12"/>
  <c r="Q11"/>
  <c r="Q12"/>
  <c r="S11"/>
  <c r="S12"/>
  <c r="T11"/>
  <c r="T12"/>
  <c r="V11"/>
  <c r="V12"/>
  <c r="W12"/>
  <c r="W11"/>
  <c r="M7"/>
  <c r="M8"/>
  <c r="Q7"/>
  <c r="Q8"/>
  <c r="S7"/>
  <c r="S8"/>
  <c r="T7"/>
  <c r="T8"/>
  <c r="V7"/>
  <c r="V8"/>
  <c r="W8"/>
  <c r="W7"/>
</calcChain>
</file>

<file path=xl/connections.xml><?xml version="1.0" encoding="utf-8"?>
<connections xmlns="http://schemas.openxmlformats.org/spreadsheetml/2006/main">
  <connection id="1" name="Connection" type="1" refreshedVersion="2" background="1" saveData="1">
    <dbPr connection="DSN=Profiles;UID=DMatson;APP=Microsoft Office 2003;WSID=5BHV5D1;DATABASE=DanaDWStaging;Trusted_Connection=Yes" command="SELECT vwProfilesRevenues.Economiccode, vwProfilesRevenues.EconomicRegion, vwProfilesRevenues.districtType, vwProfilesRevenues.countyCode, vwProfilesRevenues.CountyName, vwProfilesRevenues.OrganizationName, vwProfilesRevenues.districtNumber, vwProfilesRevenues.totalADMServerPlusTuitionedOut, vwProfilesRevenues.CurYearPropertyTaxAmt, vwProfilesRevenues.CurYearOtherTaxAmt, vwProfilesRevenues.TotalLocalSources, vwProfilesRevenues.CurBasicAmt, vwProfilesRevenues.CurSpedAmt, vwProfilesRevenues.CurYearOtherStAmt, vwProfilesRevenues.TotalStateSources, vwProfilesRevenues.CurYearFedSpedAmt, vwProfilesRevenues.TotalRevenueFund1, vwProfilesRevenues.CurFNSSourcesAmt, vwProfilesRevenues.CurCommEdSourcesAmt, vwProfilesRevenues.CurCapitalSourcesAmt, vwProfilesRevenues.CurDebtFinSourcesAmt, vwProfilesRevenues.TotalRevenueAllFunds, vwProfilesRevenues.LocalSourcePropertyTaxes, vwProfilesRevenues.LocalSorcesOther, vwProfilesRevenues.StateSources, vwProfilesRevenues.FederalSources_x000d__x000a_FROM DanaDWStaging.dbo.vwProfilesRevenues vwProfilesRevenues_x000d__x000a_ORDER BY vwProfilesRevenues.districtNumber, vwProfilesRevenues.districtType"/>
  </connection>
  <connection id="2" name="Connection2" type="1" refreshedVersion="2" background="1" saveData="1">
    <dbPr connection="DSN=Profiles;UID=DMatson;APP=Microsoft Office 2003;WSID=5BHV5D1;DATABASE=DanaDWStaging;Trusted_Connection=Yes" command="SELECT vwProfilesRevenues.Economiccode, vwProfilesRevenues.EconomicRegion, vwProfilesRevenues.districtType, vwProfilesRevenues.countyCode, vwProfilesRevenues.CountyName, vwProfilesRevenues.OrganizationName, vwProfilesRevenues.districtNumber, vwProfilesRevenues.totalADMServerPlusTuitionedOut, vwProfilesRevenues.CurYearPropertyTaxAmt, vwProfilesRevenues.CurYearOtherTaxAmt, vwProfilesRevenues.TotalLocalSources, vwProfilesRevenues.CurBasicAmt, vwProfilesRevenues.CurSpedAmt, vwProfilesRevenues.CurYearOtherStAmt, vwProfilesRevenues.TotalStateSources, vwProfilesRevenues.CurYearFedSpedAmt, vwProfilesRevenues.TotalRevenueFund1, vwProfilesRevenues.CurFNSSourcesAmt, vwProfilesRevenues.CurCommEdSourcesAmt, vwProfilesRevenues.CurCapitalSourcesAmt, vwProfilesRevenues.CurDebtFinSourcesAmt, vwProfilesRevenues.TotalRevenueAllFunds, vwProfilesRevenues.LocalSourcePropertyTaxes, vwProfilesRevenues.LocalSorcesOther, vwProfilesRevenues.StateSources, vwProfilesRevenues.FederalSources_x000d__x000a_FROM DanaDWStaging.dbo.vwProfilesRevenues vwProfilesRevenues_x000d__x000a_ORDER BY vwProfilesRevenues.districtNumber, vwProfilesRevenues.districtType"/>
  </connection>
  <connection id="3" name="Connection21" type="1" refreshedVersion="2" background="1" saveData="1">
    <dbPr connection="DSN=Profiles;UID=DMatson;APP=Microsoft Office 2003;WSID=5BHV5D1;DATABASE=DanaDWStaging;Trusted_Connection=Yes" command="SELECT vwProfilesRevenues.Economiccode, vwProfilesRevenues.EconomicRegion, vwProfilesRevenues.districtType, vwProfilesRevenues.countyCode, vwProfilesRevenues.CountyName, vwProfilesRevenues.OrganizationName, vwProfilesRevenues.districtNumber, vwProfilesRevenues.totalADMServerPlusTuitionedOut, vwProfilesRevenues.CurYearPropertyTaxAmt, vwProfilesRevenues.CurYearOtherTaxAmt, vwProfilesRevenues.TotalLocalSources, vwProfilesRevenues.CurBasicAmt, vwProfilesRevenues.CurSpedAmt, vwProfilesRevenues.CurYearOtherStAmt, vwProfilesRevenues.TotalStateSources, vwProfilesRevenues.CurYearFedSpedAmt, vwProfilesRevenues.TotalRevenueFund1, vwProfilesRevenues.CurFNSSourcesAmt, vwProfilesRevenues.CurCommEdSourcesAmt, vwProfilesRevenues.CurCapitalSourcesAmt, vwProfilesRevenues.CurDebtFinSourcesAmt, vwProfilesRevenues.TotalRevenueAllFunds, vwProfilesRevenues.LocalSourcePropertyTaxes, vwProfilesRevenues.LocalSorcesOther, vwProfilesRevenues.StateSources, vwProfilesRevenues.FederalSources_x000d__x000a_FROM DanaDWStaging.dbo.vwProfilesRevenues vwProfilesRevenues_x000d__x000a_ORDER BY vwProfilesRevenues.districtNumber, vwProfilesRevenues.districtType"/>
  </connection>
  <connection id="4" name="Connection211" type="1" refreshedVersion="2" background="1" saveData="1">
    <dbPr connection="DSN=Profiles;UID=DMatson;APP=Microsoft Office 2003;WSID=5BHV5D1;DATABASE=DanaDWStaging;Trusted_Connection=Yes" command="SELECT vwProfilesRevenues.Economiccode, vwProfilesRevenues.EconomicRegion, vwProfilesRevenues.districtType, vwProfilesRevenues.countyCode, vwProfilesRevenues.CountyName, vwProfilesRevenues.OrganizationName, vwProfilesRevenues.districtNumber, vwProfilesRevenues.totalADMServerPlusTuitionedOut, vwProfilesRevenues.CurYearPropertyTaxAmt, vwProfilesRevenues.CurYearOtherTaxAmt, vwProfilesRevenues.TotalLocalSources, vwProfilesRevenues.CurBasicAmt, vwProfilesRevenues.CurSpedAmt, vwProfilesRevenues.CurYearOtherStAmt, vwProfilesRevenues.TotalStateSources, vwProfilesRevenues.CurYearFedSpedAmt, vwProfilesRevenues.TotalRevenueFund1, vwProfilesRevenues.CurFNSSourcesAmt, vwProfilesRevenues.CurCommEdSourcesAmt, vwProfilesRevenues.CurCapitalSourcesAmt, vwProfilesRevenues.CurDebtFinSourcesAmt, vwProfilesRevenues.TotalRevenueAllFunds, vwProfilesRevenues.LocalSourcePropertyTaxes, vwProfilesRevenues.LocalSorcesOther, vwProfilesRevenues.StateSources, vwProfilesRevenues.FederalSources_x000d__x000a_FROM DanaDWStaging.dbo.vwProfilesRevenues vwProfilesRevenues_x000d__x000a_ORDER BY vwProfilesRevenues.districtNumber, vwProfilesRevenues.districtType"/>
  </connection>
  <connection id="5" name="Connection22" type="1" refreshedVersion="2" background="1" saveData="1">
    <dbPr connection="DSN=Profiles;UID=DMatson;APP=Microsoft Office 2003;WSID=5BHV5D1;DATABASE=DanaDWStaging;Trusted_Connection=Yes" command="SELECT vwProfilesRevenues.Economiccode, vwProfilesRevenues.EconomicRegion, vwProfilesRevenues.districtType, vwProfilesRevenues.countyCode, vwProfilesRevenues.CountyName, vwProfilesRevenues.OrganizationName, vwProfilesRevenues.districtNumber, vwProfilesRevenues.totalADMServerPlusTuitionedOut, vwProfilesRevenues.CurYearPropertyTaxAmt, vwProfilesRevenues.CurYearOtherTaxAmt, vwProfilesRevenues.TotalLocalSources, vwProfilesRevenues.CurBasicAmt, vwProfilesRevenues.CurSpedAmt, vwProfilesRevenues.CurYearOtherStAmt, vwProfilesRevenues.TotalStateSources, vwProfilesRevenues.CurYearFedSpedAmt, vwProfilesRevenues.TotalRevenueFund1, vwProfilesRevenues.CurFNSSourcesAmt, vwProfilesRevenues.CurCommEdSourcesAmt, vwProfilesRevenues.CurCapitalSourcesAmt, vwProfilesRevenues.CurDebtFinSourcesAmt, vwProfilesRevenues.TotalRevenueAllFunds, vwProfilesRevenues.LocalSourcePropertyTaxes, vwProfilesRevenues.LocalSorcesOther, vwProfilesRevenues.StateSources, vwProfilesRevenues.FederalSources_x000d__x000a_FROM DanaDWStaging.dbo.vwProfilesRevenues vwProfilesRevenues_x000d__x000a_ORDER BY vwProfilesRevenues.districtNumber, vwProfilesRevenues.districtType"/>
  </connection>
</connections>
</file>

<file path=xl/sharedStrings.xml><?xml version="1.0" encoding="utf-8"?>
<sst xmlns="http://schemas.openxmlformats.org/spreadsheetml/2006/main" count="8638" uniqueCount="1267">
  <si>
    <t>2. Minnesota allows the State Department of Education, public and private universities and community colleges, non-profit organizations with assets of at least $2 million, and local public school districts to sponsor an unleimited number of schools with an initial charter term of up to three years.</t>
  </si>
  <si>
    <t>3. Minnesota charter schools are available to all students in the state.  While admissions prerequisiets are not permitted, charter schools can provide preference for enrollmetn to the siblings of current students and residents.</t>
  </si>
  <si>
    <t>&gt;</t>
  </si>
  <si>
    <t>&lt;</t>
  </si>
  <si>
    <t>Figure 6: State Scorecard</t>
  </si>
  <si>
    <t>Minnesota</t>
  </si>
  <si>
    <t>Statewide Weighted for Charter Enrollment</t>
  </si>
  <si>
    <t>n/a</t>
  </si>
  <si>
    <t>Statewide Weighted</t>
  </si>
  <si>
    <t>Percentage of federal revenue equals percentage of total enrollment for charter schools (&lt;, &gt;, or =)</t>
  </si>
  <si>
    <t>Percentage of state revenue equals percentage of total enrollment for charter schools (&lt;, &gt;, or =)</t>
  </si>
  <si>
    <t>Percentage of local revenue equals percentage of total enrollment for charter schools (&lt;, &gt;, or =)</t>
  </si>
  <si>
    <t>Percentage of facilities revenue equals percentage of total enrollment for charter schools (&lt;, &gt;, or =)</t>
  </si>
  <si>
    <t>NA</t>
  </si>
  <si>
    <t>Legend</t>
  </si>
  <si>
    <t>Source</t>
  </si>
  <si>
    <t>The conclusions reached in this document are those of the author(s) and do not necessarily represent those</t>
  </si>
  <si>
    <t xml:space="preserve">of Ball State University.  </t>
  </si>
  <si>
    <t>Minnesota Department of Education</t>
  </si>
  <si>
    <t>All files are "read only" and based on data collections from the Minnesota Department of Education.</t>
  </si>
  <si>
    <t>State funding formula is fair and equitable (Yes = black, No = white</t>
  </si>
  <si>
    <t>* For this finding, No could indicate that the statue is silent or that it denies access.</t>
  </si>
  <si>
    <t>Percentage of stuents eligible for free or reduced price lunch</t>
  </si>
  <si>
    <t>Percentage of schools eligible for Title 1</t>
  </si>
  <si>
    <t>Percent of students by school type</t>
  </si>
  <si>
    <t>Primary (K-5)</t>
  </si>
  <si>
    <t>Middle (6-8)</t>
  </si>
  <si>
    <t>High (9-12)</t>
  </si>
  <si>
    <t>Other (K-12,K-8, etc.)</t>
  </si>
  <si>
    <t>State Charter School Policies</t>
  </si>
  <si>
    <t>Figure 3</t>
  </si>
  <si>
    <t>State Policies</t>
  </si>
  <si>
    <t>Yes</t>
  </si>
  <si>
    <t xml:space="preserve">No </t>
  </si>
  <si>
    <t>Partial</t>
  </si>
  <si>
    <t>Charter schools received their funding directly from the state</t>
  </si>
  <si>
    <t>Charter schools are eligible for local funding</t>
  </si>
  <si>
    <t>Cap on funding a charter school can receive</t>
  </si>
  <si>
    <t>District public school receive differential funding (e.g. more funding for 9-12 vs. K-8 schools)</t>
  </si>
  <si>
    <t>Charter schools receive differential funding</t>
  </si>
  <si>
    <t>State allows districts to withhold funding from charter schools for providing adminstrative services</t>
  </si>
  <si>
    <t>State "holds harmless" ditrict funding for charter enrollment</t>
  </si>
  <si>
    <t>School is considered LEA if authorized by non-district organization</t>
  </si>
  <si>
    <t>School is considered LEA if authorized by district</t>
  </si>
  <si>
    <t>Cap on number of charter schools</t>
  </si>
  <si>
    <t>Cap on number of charters schools authorized per year</t>
  </si>
  <si>
    <t>Cap on number of studens attending charter schools</t>
  </si>
  <si>
    <t>Charter schools have an open enrollment policy</t>
  </si>
  <si>
    <t>X</t>
  </si>
  <si>
    <t>X1</t>
  </si>
  <si>
    <t>1. Charter schools receive funding equal to the statewide average property tax amount and a minimal amount of additional equalization funding to offset the fiscal impact of district excess levy referenda.  However, these additional revenues do not address the disparity in local funding between charter schools and district schools in areas like the Twin Cities.</t>
  </si>
  <si>
    <t>X2</t>
  </si>
  <si>
    <t>District</t>
  </si>
  <si>
    <t>Difference</t>
  </si>
  <si>
    <t>Per-Pupil Revenue</t>
  </si>
  <si>
    <t>Per-Pupil Revenue by Source</t>
  </si>
  <si>
    <t xml:space="preserve">District </t>
  </si>
  <si>
    <t>Local</t>
  </si>
  <si>
    <t>Indeterminate</t>
  </si>
  <si>
    <t>Total</t>
  </si>
  <si>
    <t>Enrollment</t>
  </si>
  <si>
    <t>Number of Charters</t>
  </si>
  <si>
    <t>Total Revenue</t>
  </si>
  <si>
    <t>Figure 4</t>
  </si>
  <si>
    <t>Percentage of Revenue by Source</t>
  </si>
  <si>
    <t xml:space="preserve">Federal </t>
  </si>
  <si>
    <t xml:space="preserve">Other </t>
  </si>
  <si>
    <t>Statewide District</t>
  </si>
  <si>
    <t>Statewide Charter</t>
  </si>
  <si>
    <t>Change in district school funding if subjected to charter funding structure</t>
  </si>
  <si>
    <t>Minnesota  (2006-07)</t>
  </si>
  <si>
    <t>Minneapolis District</t>
  </si>
  <si>
    <t>Minneapolis Charter</t>
  </si>
  <si>
    <t>St. Paul  District</t>
  </si>
  <si>
    <t>St. Paul Charter</t>
  </si>
  <si>
    <t>Other funds revenues distributed by Local Other State and Federal</t>
  </si>
  <si>
    <t>2.  You may need to treat this as local to align with Dave's FY03 data</t>
  </si>
  <si>
    <t>Number of schools based only on those schools open during the FY07 school year and received funds</t>
  </si>
  <si>
    <t>for operations.</t>
  </si>
  <si>
    <t>(137.7 million)</t>
  </si>
  <si>
    <t>($125.8 million)</t>
  </si>
  <si>
    <t>(76.6 million)</t>
  </si>
  <si>
    <t>Findings</t>
  </si>
  <si>
    <t>Use the following options only</t>
  </si>
  <si>
    <t>Federal Funding</t>
  </si>
  <si>
    <t>Charters have access to federal funds according to state statutes (Yes = black, No = white)*</t>
  </si>
  <si>
    <t>Y</t>
  </si>
  <si>
    <t>P</t>
  </si>
  <si>
    <t>N</t>
  </si>
  <si>
    <t>State Funding</t>
  </si>
  <si>
    <t>Charters have access to state funds according to state statutes (Yes = black, No = white)</t>
  </si>
  <si>
    <t>Local Funding</t>
  </si>
  <si>
    <t>Charters have access to local funds according to state statutes (Yes = black, No = white)</t>
  </si>
  <si>
    <t>Facilities Funding</t>
  </si>
  <si>
    <t>Charters have access to facilities funds according to state statutes (Yes = black, No = white)</t>
  </si>
  <si>
    <t>Data Availability</t>
  </si>
  <si>
    <t>State provides detailed, public data on federal, state, local and other revenues for district schools (Yes = black, Partial = grey, No = white)</t>
  </si>
  <si>
    <t>State provides detailed, public data on federal, state, local and other revenues for charter schools (Yes = black, Partial = grey, No = white)</t>
  </si>
  <si>
    <t>Funding Formula</t>
  </si>
  <si>
    <t>Charters are treated as LEAs for funding purposes (Yes = black, Partial = grey, No = white)</t>
  </si>
  <si>
    <t>State funds student (black) or the LEA (grey)</t>
  </si>
  <si>
    <t>S</t>
  </si>
  <si>
    <t>L</t>
  </si>
  <si>
    <t>Use these options for the query to the left only (B18)</t>
  </si>
  <si>
    <t>GREEN ISLE COMMUNITY SCHOOL</t>
  </si>
  <si>
    <t>4144</t>
  </si>
  <si>
    <t>BIRCH GROVE COMMUNITY SCHOOL</t>
  </si>
  <si>
    <t>4145</t>
  </si>
  <si>
    <t>NORTHERN LIGHTS COMMUNITY SCHOOL</t>
  </si>
  <si>
    <t>4146</t>
  </si>
  <si>
    <t>ACADEMY OF BIOSCIENCES</t>
  </si>
  <si>
    <t>4148</t>
  </si>
  <si>
    <t>CYGNUS ACADEMY</t>
  </si>
  <si>
    <t>4149</t>
  </si>
  <si>
    <t>MINNESOTA ONLINE HIGH SCHOOL</t>
  </si>
  <si>
    <t>4150</t>
  </si>
  <si>
    <t>EDVISIONS OFF CAMPUS SCHOOL</t>
  </si>
  <si>
    <t>4151</t>
  </si>
  <si>
    <t>TWIN CITIES GERMAN IMMERSION CHRTR</t>
  </si>
  <si>
    <t>4152</t>
  </si>
  <si>
    <t>DUGSI ACADEMY</t>
  </si>
  <si>
    <t>4153</t>
  </si>
  <si>
    <t>RECOVERY SCHOOL OF SOUTHERN MN</t>
  </si>
  <si>
    <t>4154</t>
  </si>
  <si>
    <t>NAYTAHWAUSH COMMUNITY SCHOOL</t>
  </si>
  <si>
    <t>4155</t>
  </si>
  <si>
    <t>NEW SALEM ACADEMY</t>
  </si>
  <si>
    <t>4157</t>
  </si>
  <si>
    <t>DAKOTA ACADEMY</t>
  </si>
  <si>
    <t>4158</t>
  </si>
  <si>
    <t>SEVEN HILLS CLASSICAL ACADEMY</t>
  </si>
  <si>
    <t>4159</t>
  </si>
  <si>
    <t>SPECTRUM HIGH SCHOOL</t>
  </si>
  <si>
    <t>4160</t>
  </si>
  <si>
    <t>NEW DISCOVERIES MONTESSORI ACADEMY</t>
  </si>
  <si>
    <t>4161</t>
  </si>
  <si>
    <t>SOUTHSIDE FAMILY CHARTER SCHOOL</t>
  </si>
  <si>
    <t>4162</t>
  </si>
  <si>
    <t>LEARNING FOR LEADERSHIP CHARTER</t>
  </si>
  <si>
    <t>4163</t>
  </si>
  <si>
    <t>LAURA JEFFREY ACADEMY CHARTER</t>
  </si>
  <si>
    <t>4164</t>
  </si>
  <si>
    <t>ELOM INTERNATIONAL SCHOOL</t>
  </si>
  <si>
    <t>4165</t>
  </si>
  <si>
    <t>EAST RANGE ACADEMY OF TECH &amp;SCIENCE</t>
  </si>
  <si>
    <t>4166</t>
  </si>
  <si>
    <t>INTERNATIONAL SPANISH LANGUAGE ACAD</t>
  </si>
  <si>
    <t>4167</t>
  </si>
  <si>
    <t>GLACIAL HILLS ELEMENTARY</t>
  </si>
  <si>
    <t>4168</t>
  </si>
  <si>
    <t>STONEBRIDGE COMMUNITY SCHOOL</t>
  </si>
  <si>
    <t>4169</t>
  </si>
  <si>
    <t>HIAWATHA LEADERSHIP ACADEMY</t>
  </si>
  <si>
    <t>4170</t>
  </si>
  <si>
    <t>NOBLE ACADEMY</t>
  </si>
  <si>
    <t>4171</t>
  </si>
  <si>
    <t>CLARKFIELD CHARTER SCHOOL</t>
  </si>
  <si>
    <t>4172</t>
  </si>
  <si>
    <t>DUNWOODY ACADEMY</t>
  </si>
  <si>
    <t>4173</t>
  </si>
  <si>
    <t>PINE GROVE LEADERSHIP ACADEMY</t>
  </si>
  <si>
    <t>4174</t>
  </si>
  <si>
    <t>LONG TIENG ACADEMY</t>
  </si>
  <si>
    <t>4175</t>
  </si>
  <si>
    <t>WAYNEWOOD SCHOOL OF HOPE</t>
  </si>
  <si>
    <t>4176</t>
  </si>
  <si>
    <t>MINISINAAKWAANG LEADERSHIP ACADEMY</t>
  </si>
  <si>
    <t>4177</t>
  </si>
  <si>
    <t>LINCOLN INTERNATIONAL SCHOOL</t>
  </si>
  <si>
    <t>4178</t>
  </si>
  <si>
    <t>EMILY O. GOODRIDGE-GREY ACCELERATED</t>
  </si>
  <si>
    <t>4180</t>
  </si>
  <si>
    <t>COMMUNITY SCHOOL OF EXCELLENCE</t>
  </si>
  <si>
    <t>4181</t>
  </si>
  <si>
    <t>State</t>
  </si>
  <si>
    <t>9999</t>
  </si>
  <si>
    <t>Total Revenues FY07</t>
  </si>
  <si>
    <t>Click here for Definitions</t>
  </si>
  <si>
    <t>Charter</t>
  </si>
  <si>
    <t>dat_yer</t>
  </si>
  <si>
    <t>NUMBER</t>
  </si>
  <si>
    <t>TYPE</t>
  </si>
  <si>
    <t>NAME</t>
  </si>
  <si>
    <t>Community Service Fund Revenue, Early Childhood Programs</t>
  </si>
  <si>
    <t>06-07</t>
  </si>
  <si>
    <t>GRANADA HUNTLEY-EAST CHAIN</t>
  </si>
  <si>
    <t>STATE TOTAL</t>
  </si>
  <si>
    <t>ABE_AdltDisbld</t>
  </si>
  <si>
    <t>deduct from community service fund</t>
  </si>
  <si>
    <t>Charter Location</t>
  </si>
  <si>
    <t>St. Paul</t>
  </si>
  <si>
    <t>Statewide</t>
  </si>
  <si>
    <t>Minneapolis</t>
  </si>
  <si>
    <t>Early Childhood Reduction</t>
  </si>
  <si>
    <t>ABE Reduction</t>
  </si>
  <si>
    <t>Figure 1</t>
  </si>
  <si>
    <t>Figure 2</t>
  </si>
  <si>
    <t>4090</t>
  </si>
  <si>
    <t>ARTECH</t>
  </si>
  <si>
    <t>4091</t>
  </si>
  <si>
    <t>WATERSHED HIGH SCHOOL</t>
  </si>
  <si>
    <t>4092</t>
  </si>
  <si>
    <t>NEW CENTURY CHARTER SCHOOL</t>
  </si>
  <si>
    <t>4093</t>
  </si>
  <si>
    <t>TRIO WOLF CREEK DISTANCE LEARNING</t>
  </si>
  <si>
    <t>4095</t>
  </si>
  <si>
    <t>PARTNERSHIP ACADEMY, INC.</t>
  </si>
  <si>
    <t>4097</t>
  </si>
  <si>
    <t>NOVA CLASSICAL ACADEMY</t>
  </si>
  <si>
    <t>4098</t>
  </si>
  <si>
    <t>TAREK IBN ZIYAD ACADEMY</t>
  </si>
  <si>
    <t>4099</t>
  </si>
  <si>
    <t>GREAT EXPECTATIONS</t>
  </si>
  <si>
    <t>4100</t>
  </si>
  <si>
    <t>MINNESOTA NORTH STAR ACADEMY</t>
  </si>
  <si>
    <t>4101</t>
  </si>
  <si>
    <t>MINNESOTA INTERNSHIP CENTER</t>
  </si>
  <si>
    <t>4102</t>
  </si>
  <si>
    <t>HMONG ACADEMY</t>
  </si>
  <si>
    <t>4103</t>
  </si>
  <si>
    <t>LIBERTY HIGH SCHOOL</t>
  </si>
  <si>
    <t>4104</t>
  </si>
  <si>
    <t>GREAT RIVER SCHOOL</t>
  </si>
  <si>
    <t>4105</t>
  </si>
  <si>
    <t>TREKNORTH HIGH SCHOOL</t>
  </si>
  <si>
    <t>4106</t>
  </si>
  <si>
    <t>VOYAGEURS EXPEDITIONARY</t>
  </si>
  <si>
    <t>4107</t>
  </si>
  <si>
    <t>GENERAL JOHN VESSEY JR LEADERSHIP</t>
  </si>
  <si>
    <t>4108</t>
  </si>
  <si>
    <t>SOBRIETY HIGH</t>
  </si>
  <si>
    <t>4109</t>
  </si>
  <si>
    <t>MAIN STREET SCHOOL PERFORMING ARTS</t>
  </si>
  <si>
    <t>4110</t>
  </si>
  <si>
    <t>AUGSBURG ACADEMY FOR HEALTH CAREERS</t>
  </si>
  <si>
    <t>4111</t>
  </si>
  <si>
    <t>ST PAUL CONSERVATORY PERFORMING ART</t>
  </si>
  <si>
    <t>4112</t>
  </si>
  <si>
    <t>FRASER ACADEMY</t>
  </si>
  <si>
    <t>4113</t>
  </si>
  <si>
    <t>ASCENSION ACADEMY CHARTER SCHOOL</t>
  </si>
  <si>
    <t>4114</t>
  </si>
  <si>
    <t>MINNEAPOLIS ACADEMY CHARTER SCHOOL</t>
  </si>
  <si>
    <t>4115</t>
  </si>
  <si>
    <t>LAKES INTERNATIONAL LANGUAGE ADMY</t>
  </si>
  <si>
    <t>4116</t>
  </si>
  <si>
    <t>KALEIDOSCOPE CHARTER SCHOOL</t>
  </si>
  <si>
    <t>4118</t>
  </si>
  <si>
    <t>RIVER HEIGHTS CHARTER SCHOOL</t>
  </si>
  <si>
    <t>4119</t>
  </si>
  <si>
    <t>ST. CROIX PREPARATORY ACADEMY</t>
  </si>
  <si>
    <t>4120</t>
  </si>
  <si>
    <t>UBAH MEDICAL ACADEMY CHARTER SCHOOL</t>
  </si>
  <si>
    <t>4121</t>
  </si>
  <si>
    <t>EAGLE RIDGE ACADEMY CHARTER SCHOOL</t>
  </si>
  <si>
    <t>4122</t>
  </si>
  <si>
    <t>DAKOTA AREA COMMUNITY CHARTER SCH</t>
  </si>
  <si>
    <t>4123</t>
  </si>
  <si>
    <t>BEACON ACADEMY</t>
  </si>
  <si>
    <t>4124</t>
  </si>
  <si>
    <t>WORTHINGTON AREA LANGUAGE ACADEMY</t>
  </si>
  <si>
    <t>4125</t>
  </si>
  <si>
    <t>PRAIRIE SEEDS ACADEMY</t>
  </si>
  <si>
    <t>4126</t>
  </si>
  <si>
    <t>TEAM ACADEMY</t>
  </si>
  <si>
    <t>4127</t>
  </si>
  <si>
    <t>LIGHTHOUSE ACADEMY OF NATIONS</t>
  </si>
  <si>
    <t>4131</t>
  </si>
  <si>
    <t>TWIN CITIES ACADEMY HIGH SCHOOL</t>
  </si>
  <si>
    <t>4132</t>
  </si>
  <si>
    <t>BEACON PREPARATORY SCHOOL</t>
  </si>
  <si>
    <t>4133</t>
  </si>
  <si>
    <t>ADAM ABDULLE ACADEMY</t>
  </si>
  <si>
    <t>4135</t>
  </si>
  <si>
    <t>SOUL ACADEMY CHARTER SCHOOL</t>
  </si>
  <si>
    <t>4136</t>
  </si>
  <si>
    <t>SWAN RIVER MONTESSORI CHARTER SCH</t>
  </si>
  <si>
    <t>4137</t>
  </si>
  <si>
    <t>MILROY AREA CHARTER SCHOOL</t>
  </si>
  <si>
    <t>4138</t>
  </si>
  <si>
    <t>LOVEWORKS ACADEMY FOR ARTS</t>
  </si>
  <si>
    <t>4139</t>
  </si>
  <si>
    <t>YINGHUA ACADEMY</t>
  </si>
  <si>
    <t>4140</t>
  </si>
  <si>
    <t>PAIDEIA ACADEMY CHARTER SCHOOL</t>
  </si>
  <si>
    <t>4141</t>
  </si>
  <si>
    <t>STRIDE ACADEMY CHARTER SCHOOL</t>
  </si>
  <si>
    <t>4142</t>
  </si>
  <si>
    <t>NEW MILLENNIUM ACADEMY CHARTER SCH</t>
  </si>
  <si>
    <t>4143</t>
  </si>
  <si>
    <t>HARVEST PREP SCHOOL/SEED ACADEMY</t>
  </si>
  <si>
    <t>4032</t>
  </si>
  <si>
    <t>CONCORDIA CREATIVE LEARNING ACADEMY</t>
  </si>
  <si>
    <t>4035</t>
  </si>
  <si>
    <t>FACE TO FACE ACADEMY</t>
  </si>
  <si>
    <t>4036</t>
  </si>
  <si>
    <t>SOJOURNER TRUTH ACADEMY</t>
  </si>
  <si>
    <t>4038</t>
  </si>
  <si>
    <t>HIGH SCHOOL FOR RECORDING ARTS</t>
  </si>
  <si>
    <t>4039</t>
  </si>
  <si>
    <t>TWIN CITIES ACADEMY</t>
  </si>
  <si>
    <t>4042</t>
  </si>
  <si>
    <t>MATH &amp; SCIENCE ACADEMY</t>
  </si>
  <si>
    <t>4043</t>
  </si>
  <si>
    <t>HEART OF THE EARTH CHARTER</t>
  </si>
  <si>
    <t>4044</t>
  </si>
  <si>
    <t>LAKES AREA CHARTER SCHOOL</t>
  </si>
  <si>
    <t>4045</t>
  </si>
  <si>
    <t>LAKE SUPERIOR HIGH SCHOOL</t>
  </si>
  <si>
    <t>4046</t>
  </si>
  <si>
    <t>GREAT RIVER EDUCATION CENTER</t>
  </si>
  <si>
    <t>4048</t>
  </si>
  <si>
    <t>NORTHWEST PASSAGE HIGH SCHOOL</t>
  </si>
  <si>
    <t>4049</t>
  </si>
  <si>
    <t>LAFAYETTE PUBLIC CHARTER SCHOOL</t>
  </si>
  <si>
    <t>4050</t>
  </si>
  <si>
    <t>FOUR DIRECTIONS CHARTER SCHOOLS</t>
  </si>
  <si>
    <t>4052</t>
  </si>
  <si>
    <t>NORTH LAKES ACADEMY</t>
  </si>
  <si>
    <t>4053</t>
  </si>
  <si>
    <t>LACRESCENT MONTESSORI ACADEMY</t>
  </si>
  <si>
    <t>4054</t>
  </si>
  <si>
    <t>NERSTRAND CHARTER SCHOOL</t>
  </si>
  <si>
    <t>4055</t>
  </si>
  <si>
    <t>ROCHESTER OFF-CAMPUS CHARTER HIGH</t>
  </si>
  <si>
    <t>4056</t>
  </si>
  <si>
    <t>EL COLEGIO CHARTER SCHOOL</t>
  </si>
  <si>
    <t>4057</t>
  </si>
  <si>
    <t>SCHOOLCRAFT LEARNING COMMUNITY CHTR</t>
  </si>
  <si>
    <t>4058</t>
  </si>
  <si>
    <t>CROSSLAKE COMMUNITY CHARTER SCHOOL</t>
  </si>
  <si>
    <t>4059</t>
  </si>
  <si>
    <t>STUDIO ACADEMY CHARTER SCHOOL</t>
  </si>
  <si>
    <t>4061</t>
  </si>
  <si>
    <t>RIVERWAY LEARNING COMMUNITY CHTR</t>
  </si>
  <si>
    <t>4064</t>
  </si>
  <si>
    <t>RIVERBEND ACADEMY</t>
  </si>
  <si>
    <t>4066</t>
  </si>
  <si>
    <t>AURORA CHARTER SCHOOL</t>
  </si>
  <si>
    <t>4067</t>
  </si>
  <si>
    <t>EXCELL ACADEMY CHARTER</t>
  </si>
  <si>
    <t>4068</t>
  </si>
  <si>
    <t>HOPE COMMUNITY ACADEMY</t>
  </si>
  <si>
    <t>4070</t>
  </si>
  <si>
    <t>YANKTON COUNTRY CHARTER SCHOOL</t>
  </si>
  <si>
    <t>4072</t>
  </si>
  <si>
    <t>ACADEMIA CESAR CHAVEZ CHARTER SCH.</t>
  </si>
  <si>
    <t>4073</t>
  </si>
  <si>
    <t>AGRICULTURAL FOOD SCIENCE ACADEMY</t>
  </si>
  <si>
    <t>4074</t>
  </si>
  <si>
    <t>AVALON SCHOOL</t>
  </si>
  <si>
    <t>4075</t>
  </si>
  <si>
    <t>TWIN CITIES INTERNATIONAL ELEM SCH.</t>
  </si>
  <si>
    <t>4077</t>
  </si>
  <si>
    <t>MN INTERNATIONAL MIDDLE CHARTER</t>
  </si>
  <si>
    <t>4078</t>
  </si>
  <si>
    <t>FRIENDSHIP ACDMY OF FINE ARTS CHTR.</t>
  </si>
  <si>
    <t>4079</t>
  </si>
  <si>
    <t>PILLAGER AREA CHARTER SCHOOL</t>
  </si>
  <si>
    <t>4080</t>
  </si>
  <si>
    <t>DISCOVERY PUBLIC SCHOOL FARIBAULT</t>
  </si>
  <si>
    <t>4081</t>
  </si>
  <si>
    <t>BLUESKY CHARTER SCHOOL</t>
  </si>
  <si>
    <t>4082</t>
  </si>
  <si>
    <t>RIDGEWAY COMMUNITY SCHOOL</t>
  </si>
  <si>
    <t>4083</t>
  </si>
  <si>
    <t>NORTH SHORE COMMUNITY SCHOOL</t>
  </si>
  <si>
    <t>4084</t>
  </si>
  <si>
    <t>HARBOR CITY INTERNATIONAL CHARTER</t>
  </si>
  <si>
    <t>4085</t>
  </si>
  <si>
    <t>WOODSON INSTITUTE FOR EXCELLENCE CH</t>
  </si>
  <si>
    <t>4086</t>
  </si>
  <si>
    <t>SAGE ACADEMY CHARTER SCHOOL</t>
  </si>
  <si>
    <t>4087</t>
  </si>
  <si>
    <t>URBAN ACADEMY CHARTER SCHOOL</t>
  </si>
  <si>
    <t>4088</t>
  </si>
  <si>
    <t>NEW CITY SCHOOL</t>
  </si>
  <si>
    <t>4089</t>
  </si>
  <si>
    <t>PRAIRIE CREEK COMMUNITY SCHOOL</t>
  </si>
  <si>
    <t>2711</t>
  </si>
  <si>
    <t>FAIRMONT AREA SCHOOL DISTRICT</t>
  </si>
  <si>
    <t>2752</t>
  </si>
  <si>
    <t>LONG PRAIRIE-GREY EAGLE SCHOOL DIST</t>
  </si>
  <si>
    <t>2753</t>
  </si>
  <si>
    <t>CEDAR MOUNTAIN SCHOOL DISTRICT</t>
  </si>
  <si>
    <t>2754</t>
  </si>
  <si>
    <t>EAGLE VALLEY PUBLIC SCHOOL DISTRICT</t>
  </si>
  <si>
    <t>2759</t>
  </si>
  <si>
    <t>ZUMBROTA-MAZEPPA SCHOOL DISTRICT</t>
  </si>
  <si>
    <t>2805</t>
  </si>
  <si>
    <t>JANESVILLE-WALDORF-PEMBERTON</t>
  </si>
  <si>
    <t>2835</t>
  </si>
  <si>
    <t>LAC QUI PARLE VALLEY SCHOOL DIST.</t>
  </si>
  <si>
    <t>2853</t>
  </si>
  <si>
    <t>ADA-BORUP PUBLIC SCHOOL DISTRICT</t>
  </si>
  <si>
    <t>2854</t>
  </si>
  <si>
    <t>STEPHEN-ARGYLE CENTRAL SCHOOLS</t>
  </si>
  <si>
    <t>2856</t>
  </si>
  <si>
    <t>GLENCOE-SILVER LAKE SCHOOL DISTRICT</t>
  </si>
  <si>
    <t>2859</t>
  </si>
  <si>
    <t>BLUE EARTH AREA PUBLIC SCHOOL</t>
  </si>
  <si>
    <t>2860</t>
  </si>
  <si>
    <t>RED ROCK CENTRAL SCHOOL DISTRICT</t>
  </si>
  <si>
    <t>2884</t>
  </si>
  <si>
    <t>GLENVILLE-EMMONS SCHOOL DISTRICT</t>
  </si>
  <si>
    <t>2886</t>
  </si>
  <si>
    <t>MCLEOD WEST PUBLIC SCHOOL DISTRICT</t>
  </si>
  <si>
    <t>2887</t>
  </si>
  <si>
    <t>CLINTON-GRACEVILLE-BEARDSLEY</t>
  </si>
  <si>
    <t>2888</t>
  </si>
  <si>
    <t>LAKE PARK AUDUBON SCHOOL DISTRICT</t>
  </si>
  <si>
    <t>2889</t>
  </si>
  <si>
    <t>RENVILLE COUNTY WEST SCHOOL DIST.</t>
  </si>
  <si>
    <t>2890</t>
  </si>
  <si>
    <t>JACKSON COUNTY CENTRAL SCHOOL DIST.</t>
  </si>
  <si>
    <t>2895</t>
  </si>
  <si>
    <t>REDWOOD AREA SCHOOL DISTRICT</t>
  </si>
  <si>
    <t>2897</t>
  </si>
  <si>
    <t>WESTBROOK-WALNUT GROVE SCHOOLS</t>
  </si>
  <si>
    <t>2898</t>
  </si>
  <si>
    <t>PLAINVIEW-ELGIN-MILLVILLE</t>
  </si>
  <si>
    <t>2899</t>
  </si>
  <si>
    <t>RTR PUBLIC SCHOOLS</t>
  </si>
  <si>
    <t>2902</t>
  </si>
  <si>
    <t>07</t>
  </si>
  <si>
    <t>CITY ACADEMY</t>
  </si>
  <si>
    <t>4000</t>
  </si>
  <si>
    <t>BLUFFVIEW MONTESSORI</t>
  </si>
  <si>
    <t>4001</t>
  </si>
  <si>
    <t>NEW HEIGHTS SCHOOL, INC.</t>
  </si>
  <si>
    <t>4003</t>
  </si>
  <si>
    <t>CEDAR RIVERSIDE COMMUNITY SCHOOL</t>
  </si>
  <si>
    <t>4004</t>
  </si>
  <si>
    <t>METRO DEAF SCHOOL</t>
  </si>
  <si>
    <t>4005</t>
  </si>
  <si>
    <t>SKILLS FOR TOMORROW CHARTER SCHOOL</t>
  </si>
  <si>
    <t>4006</t>
  </si>
  <si>
    <t>MINNESOTA NEW COUNTRY SCHOOL</t>
  </si>
  <si>
    <t>4007</t>
  </si>
  <si>
    <t>PACT CHARTER SCHOOL</t>
  </si>
  <si>
    <t>4008</t>
  </si>
  <si>
    <t>NEW VISIONS CHARTER SCHOOL</t>
  </si>
  <si>
    <t>4011</t>
  </si>
  <si>
    <t>EMILY CHARTER SCHOOL</t>
  </si>
  <si>
    <t>4012</t>
  </si>
  <si>
    <t>COMMUNITY OF PEACE ACADEMY</t>
  </si>
  <si>
    <t>4015</t>
  </si>
  <si>
    <t>WORLD LEARNER CHARTER SCHOOL</t>
  </si>
  <si>
    <t>4016</t>
  </si>
  <si>
    <t>MINNESOTA TRANSITIONS CHARTER SCH</t>
  </si>
  <si>
    <t>4017</t>
  </si>
  <si>
    <t>ACHIEVE LANGUAGE ACADEMY</t>
  </si>
  <si>
    <t>4018</t>
  </si>
  <si>
    <t>DULUTH PUBLIC SCHOOLS ACADEMY</t>
  </si>
  <si>
    <t>4020</t>
  </si>
  <si>
    <t>CYBER VILLAGE ACADEMY</t>
  </si>
  <si>
    <t>4025</t>
  </si>
  <si>
    <t>E.C.H.O. CHARTER SCHOOL</t>
  </si>
  <si>
    <t>4026</t>
  </si>
  <si>
    <t>HIGHER GROUND ACADEMY</t>
  </si>
  <si>
    <t>4027</t>
  </si>
  <si>
    <t>ECI' NOMPA WOONSPE</t>
  </si>
  <si>
    <t>4028</t>
  </si>
  <si>
    <t>NEW SPIRIT SCHOOLS</t>
  </si>
  <si>
    <t>4029</t>
  </si>
  <si>
    <t>ODYSSEY CHARTER SCHOOL</t>
  </si>
  <si>
    <t>4030</t>
  </si>
  <si>
    <t>JENNINGS EXPERIENTIAL HIGH SCHOOL</t>
  </si>
  <si>
    <t>4031</t>
  </si>
  <si>
    <t>UNITED SOUTH CENTRAL SCHOOL DIST.</t>
  </si>
  <si>
    <t>2134</t>
  </si>
  <si>
    <t>MAPLE RIVER SCHOOL DISTRICT</t>
  </si>
  <si>
    <t>2135</t>
  </si>
  <si>
    <t>KINGSLAND PUBLIC SCHOOL DISTRICT</t>
  </si>
  <si>
    <t>2137</t>
  </si>
  <si>
    <t>ST. LOUIS COUNTY SCHOOL DISTRICT</t>
  </si>
  <si>
    <t>2142</t>
  </si>
  <si>
    <t>WATERVILLE-ELYSIAN-MORRISTOWN</t>
  </si>
  <si>
    <t>2143</t>
  </si>
  <si>
    <t>CHISAGO LAKES SCHOOL DISTRICT</t>
  </si>
  <si>
    <t>2144</t>
  </si>
  <si>
    <t>MINNEWASKA SCHOOL DISTRICT</t>
  </si>
  <si>
    <t>2149</t>
  </si>
  <si>
    <t>EVELETH-GILBERT SCHOOL DISTRICT</t>
  </si>
  <si>
    <t>2154</t>
  </si>
  <si>
    <t>WADENA-DEER CREEK SCHOOL DISTRICT</t>
  </si>
  <si>
    <t>2155</t>
  </si>
  <si>
    <t>Renville</t>
  </si>
  <si>
    <t>BUFFALO LAKE-HECTOR SCHOOL DISTRICT</t>
  </si>
  <si>
    <t>2159</t>
  </si>
  <si>
    <t>DILWORTH-GLYNDON-FELTON</t>
  </si>
  <si>
    <t>2164</t>
  </si>
  <si>
    <t>HINCKLEY-FINLAYSON SCHOOL DISTRICT</t>
  </si>
  <si>
    <t>2165</t>
  </si>
  <si>
    <t>LAKEVIEW SCHOOL DISTRICT</t>
  </si>
  <si>
    <t>2167</t>
  </si>
  <si>
    <t>N.R.H.E.G. SCHOOL DISTRICT</t>
  </si>
  <si>
    <t>2168</t>
  </si>
  <si>
    <t>MURRAY COUNTY CENTRAL SCHOOL DIST.</t>
  </si>
  <si>
    <t>2169</t>
  </si>
  <si>
    <t>STAPLES-MOTLEY SCHOOL DISTRICT</t>
  </si>
  <si>
    <t>2170</t>
  </si>
  <si>
    <t>KITTSON CENTRAL SCHOOL DISTRICT</t>
  </si>
  <si>
    <t>2171</t>
  </si>
  <si>
    <t>KENYON-WANAMINGO SCHOOL DISTRICT</t>
  </si>
  <si>
    <t>2172</t>
  </si>
  <si>
    <t>PINE RIVER-BACKUS SCHOOL DISTRICT</t>
  </si>
  <si>
    <t>2174</t>
  </si>
  <si>
    <t>WARREN-ALVARADO-OSLO SCHOOL DIST.</t>
  </si>
  <si>
    <t>2176</t>
  </si>
  <si>
    <t>M.A.C.C.R.A.Y. SCHOOL DISTRICT</t>
  </si>
  <si>
    <t>2180</t>
  </si>
  <si>
    <t>LUVERNE PUBLIC SCHOOL DISTRICT</t>
  </si>
  <si>
    <t>2184</t>
  </si>
  <si>
    <t>YELLOW MEDICINE EAST</t>
  </si>
  <si>
    <t>2190</t>
  </si>
  <si>
    <t>FILLMORE CENTRAL</t>
  </si>
  <si>
    <t>2198</t>
  </si>
  <si>
    <t>Norman</t>
  </si>
  <si>
    <t>NORMAN COUNTY EAST SCHOOL DISTRICT</t>
  </si>
  <si>
    <t>2215</t>
  </si>
  <si>
    <t>Sibley</t>
  </si>
  <si>
    <t>SIBLEY EAST SCHOOL DISTRICT</t>
  </si>
  <si>
    <t>2310</t>
  </si>
  <si>
    <t>CLEARBROOK-GONVICK SCHOOL DISTRICT</t>
  </si>
  <si>
    <t>2311</t>
  </si>
  <si>
    <t>WEST CENTRAL AREA</t>
  </si>
  <si>
    <t>2342</t>
  </si>
  <si>
    <t>TRI-COUNTY SCHOOL DISTRICT</t>
  </si>
  <si>
    <t>2358</t>
  </si>
  <si>
    <t>BELGRADE-BROOTEN-ELROSA SCHOOL DIST</t>
  </si>
  <si>
    <t>2364</t>
  </si>
  <si>
    <t>G.F.W.</t>
  </si>
  <si>
    <t>2365</t>
  </si>
  <si>
    <t>A.C.G.C.</t>
  </si>
  <si>
    <t>2396</t>
  </si>
  <si>
    <t>LESUEUR-HENDERSON SCHOOL DISTRICT</t>
  </si>
  <si>
    <t>2397</t>
  </si>
  <si>
    <t>MARTIN COUNTY WEST SCHOOL DISTRICT</t>
  </si>
  <si>
    <t>2448</t>
  </si>
  <si>
    <t>NORMAN COUNTY WEST SCHOOL DISTRICT</t>
  </si>
  <si>
    <t>2527</t>
  </si>
  <si>
    <t>BIRD ISLAND-OLIVIA-LAKE LILLIAN</t>
  </si>
  <si>
    <t>2534</t>
  </si>
  <si>
    <t>GRANADA HUNTLEY-EAST CHAIN #2536</t>
  </si>
  <si>
    <t>2536</t>
  </si>
  <si>
    <t>EAST CENTRAL SCHOOL DISTRICT</t>
  </si>
  <si>
    <t>2580</t>
  </si>
  <si>
    <t>WIN-E-MAC SCHOOL DISTRICT</t>
  </si>
  <si>
    <t>2609</t>
  </si>
  <si>
    <t>GREENBUSH-MIDDLE RIVER SCHOOL DIST.</t>
  </si>
  <si>
    <t>2683</t>
  </si>
  <si>
    <t>HOWARD LAKE-WAVERLY-WINSTED</t>
  </si>
  <si>
    <t>2687</t>
  </si>
  <si>
    <t>PIPESTONE AREA SCHOOL DISTRICT</t>
  </si>
  <si>
    <t>2689</t>
  </si>
  <si>
    <t>MESABI EAST SCHOOL DISTRICT</t>
  </si>
  <si>
    <t>BERTHA-HEWITT PUBLIC SCHOOL DIST.</t>
  </si>
  <si>
    <t>0786</t>
  </si>
  <si>
    <t>BROWERVILLE PUBLIC SCHOOL DISTRICT</t>
  </si>
  <si>
    <t>0787</t>
  </si>
  <si>
    <t>Traverse</t>
  </si>
  <si>
    <t>BROWNS VALLEY PUBLIC SCHOOL DIST.</t>
  </si>
  <si>
    <t>0801</t>
  </si>
  <si>
    <t>WHEATON AREA PUBLIC SCHOOL DISTRICT</t>
  </si>
  <si>
    <t>0803</t>
  </si>
  <si>
    <t>Wabasha</t>
  </si>
  <si>
    <t>WABASHA-KELLOGG PUBLIC SCHOOL DIST.</t>
  </si>
  <si>
    <t>0811</t>
  </si>
  <si>
    <t>LAKE CITY PUBLIC SCHOOL DISTRICT</t>
  </si>
  <si>
    <t>0813</t>
  </si>
  <si>
    <t>PRINSBURG PUBLIC SCHOOL DISTRICT</t>
  </si>
  <si>
    <t>0815</t>
  </si>
  <si>
    <t>Wadena</t>
  </si>
  <si>
    <t>VERNDALE PUBLIC SCHOOL DISTRICT</t>
  </si>
  <si>
    <t>0818</t>
  </si>
  <si>
    <t>SEBEKA PUBLIC SCHOOL DISTRICT</t>
  </si>
  <si>
    <t>0820</t>
  </si>
  <si>
    <t>MENAHGA PUBLIC SCHOOL DISTRICT</t>
  </si>
  <si>
    <t>0821</t>
  </si>
  <si>
    <t>Waseca</t>
  </si>
  <si>
    <t>WASECA PUBLIC SCHOOL DISTRICT</t>
  </si>
  <si>
    <t>0829</t>
  </si>
  <si>
    <t>Washington</t>
  </si>
  <si>
    <t>FOREST LAKE PUBLIC SCHOOL DISTRICT</t>
  </si>
  <si>
    <t>0831</t>
  </si>
  <si>
    <t>MAHTOMEDI PUBLIC SCHOOL DISTRICT</t>
  </si>
  <si>
    <t>0832</t>
  </si>
  <si>
    <t>SOUTH WASHINGTON COUNTY SCHOOL DIST</t>
  </si>
  <si>
    <t>0833</t>
  </si>
  <si>
    <t>STILLWATER AREA PUBLIC SCHOOL DIST.</t>
  </si>
  <si>
    <t>0834</t>
  </si>
  <si>
    <t>Watonwan</t>
  </si>
  <si>
    <t>BUTTERFIELD PUBLIC SCHOOL DISTRICT</t>
  </si>
  <si>
    <t>0836</t>
  </si>
  <si>
    <t>MADELIA PUBLIC SCHOOL DISTRICT</t>
  </si>
  <si>
    <t>0837</t>
  </si>
  <si>
    <t>ST. JAMES PUBLIC SCHOOL DISTRICT</t>
  </si>
  <si>
    <t>0840</t>
  </si>
  <si>
    <t>Wilkin</t>
  </si>
  <si>
    <t>BRECKENRIDGE PUBLIC SCHOOL DISTRICT</t>
  </si>
  <si>
    <t>0846</t>
  </si>
  <si>
    <t>ROTHSAY PUBLIC SCHOOL DISTRICT</t>
  </si>
  <si>
    <t>0850</t>
  </si>
  <si>
    <t>CAMPBELL-TINTAH PUBLIC SCHOOL DIST.</t>
  </si>
  <si>
    <t>0852</t>
  </si>
  <si>
    <t>Winona</t>
  </si>
  <si>
    <t>LEWISTON-ALTURA PUBLIC SCHOOL DIST.</t>
  </si>
  <si>
    <t>0857</t>
  </si>
  <si>
    <t>ST. CHARLES PUBLIC SCHOOL DISTRICT</t>
  </si>
  <si>
    <t>0858</t>
  </si>
  <si>
    <t>WINONA AREA PUBLIC SCHOOL DISTRICT</t>
  </si>
  <si>
    <t>0861</t>
  </si>
  <si>
    <t>Wright</t>
  </si>
  <si>
    <t>ANNANDALE PUBLIC SCHOOL DISTRICT</t>
  </si>
  <si>
    <t>0876</t>
  </si>
  <si>
    <t>BUFFALO PUBLIC SCHOOL DISTRICT</t>
  </si>
  <si>
    <t>0877</t>
  </si>
  <si>
    <t>DELANO PUBLIC SCHOOL DISTRICT</t>
  </si>
  <si>
    <t>0879</t>
  </si>
  <si>
    <t>MAPLE LAKE PUBLIC SCHOOL DISTRICT</t>
  </si>
  <si>
    <t>0881</t>
  </si>
  <si>
    <t>MONTICELLO PUBLIC SCHOOL DISTRICT</t>
  </si>
  <si>
    <t>0882</t>
  </si>
  <si>
    <t>ROCKFORD PUBLIC SCHOOL DISTRICT</t>
  </si>
  <si>
    <t>0883</t>
  </si>
  <si>
    <t>ST. MICHAEL-ALBERTVILLE SCHOOL DIST</t>
  </si>
  <si>
    <t>0885</t>
  </si>
  <si>
    <t>Yellow Medicine</t>
  </si>
  <si>
    <t>CANBY PUBLIC SCHOOL DISTRICT</t>
  </si>
  <si>
    <t>0891</t>
  </si>
  <si>
    <t>CAMBRIDGE-ISANTI PUBLIC SCHOOL DIST</t>
  </si>
  <si>
    <t>0911</t>
  </si>
  <si>
    <t>MILACA PUBLIC SCHOOL DISTRICT</t>
  </si>
  <si>
    <t>0912</t>
  </si>
  <si>
    <t>ULEN-HITTERDAL PUBLIC SCHOOL DIST</t>
  </si>
  <si>
    <t>0914</t>
  </si>
  <si>
    <t>LAKE CRYSTAL-WELLCOME MEMORIAL</t>
  </si>
  <si>
    <t>2071</t>
  </si>
  <si>
    <t>TRITON SCHOOL DISTRICT</t>
  </si>
  <si>
    <t>2125</t>
  </si>
  <si>
    <t>Faribault</t>
  </si>
  <si>
    <t>HILLS-BEAVER CREEK SCHOOL DISTRICT</t>
  </si>
  <si>
    <t>0671</t>
  </si>
  <si>
    <t>Roseau</t>
  </si>
  <si>
    <t>BADGER PUBLIC SCHOOL DISTRICT</t>
  </si>
  <si>
    <t>0676</t>
  </si>
  <si>
    <t>ROSEAU PUBLIC SCHOOL DISTRICT</t>
  </si>
  <si>
    <t>0682</t>
  </si>
  <si>
    <t>WARROAD PUBLIC SCHOOL DISTRICT</t>
  </si>
  <si>
    <t>0690</t>
  </si>
  <si>
    <t>Saint Louis</t>
  </si>
  <si>
    <t>CHISHOLM PUBLIC SCHOOL DISTRICT</t>
  </si>
  <si>
    <t>0695</t>
  </si>
  <si>
    <t>ELY PUBLIC SCHOOL DISTRICT</t>
  </si>
  <si>
    <t>0696</t>
  </si>
  <si>
    <t>FLOODWOOD PUBLIC SCHOOL DISTRICT</t>
  </si>
  <si>
    <t>0698</t>
  </si>
  <si>
    <t>HERMANTOWN PUBLIC SCHOOL DISTRICT</t>
  </si>
  <si>
    <t>0700</t>
  </si>
  <si>
    <t>HIBBING PUBLIC SCHOOL DISTRICT</t>
  </si>
  <si>
    <t>0701</t>
  </si>
  <si>
    <t>PROCTOR PUBLIC SCHOOL DISTRICT</t>
  </si>
  <si>
    <t>0704</t>
  </si>
  <si>
    <t>VIRGINIA PUBLIC SCHOOL DISTRICT</t>
  </si>
  <si>
    <t>0706</t>
  </si>
  <si>
    <t>NETT LAKE PUBLIC SCHOOL DISTRICT</t>
  </si>
  <si>
    <t>0707</t>
  </si>
  <si>
    <t>DULUTH PUBLIC SCHOOL DISTRICT</t>
  </si>
  <si>
    <t>0709</t>
  </si>
  <si>
    <t>MOUNTAIN IRON-BUHL SCHOOL DISTRICT</t>
  </si>
  <si>
    <t>0712</t>
  </si>
  <si>
    <t>Scott</t>
  </si>
  <si>
    <t>BELLE PLAINE PUBLIC SCHOOL DISTRICT</t>
  </si>
  <si>
    <t>0716</t>
  </si>
  <si>
    <t>JORDAN PUBLIC SCHOOL DISTRICT</t>
  </si>
  <si>
    <t>0717</t>
  </si>
  <si>
    <t>PRIOR LAKE-SAVAGE AREA SCHOOLS</t>
  </si>
  <si>
    <t>0719</t>
  </si>
  <si>
    <t>SHAKOPEE PUBLIC SCHOOL DISTRICT</t>
  </si>
  <si>
    <t>0720</t>
  </si>
  <si>
    <t>NEW PRAGUE AREA SCHOOLS</t>
  </si>
  <si>
    <t>0721</t>
  </si>
  <si>
    <t>Sherburne</t>
  </si>
  <si>
    <t>BECKER PUBLIC SCHOOL DISTRICT</t>
  </si>
  <si>
    <t>0726</t>
  </si>
  <si>
    <t>BIG LAKE PUBLIC SCHOOL DISTRICT</t>
  </si>
  <si>
    <t>0727</t>
  </si>
  <si>
    <t>ELK RIVER PUBLIC SCHOOL DISTRICT</t>
  </si>
  <si>
    <t>0728</t>
  </si>
  <si>
    <t>Stearns</t>
  </si>
  <si>
    <t>HOLDINGFORD PUBLIC SCHOOL DISTRICT</t>
  </si>
  <si>
    <t>0738</t>
  </si>
  <si>
    <t>KIMBALL PUBLIC SCHOOL DISTRICT</t>
  </si>
  <si>
    <t>0739</t>
  </si>
  <si>
    <t>MELROSE PUBLIC SCHOOL DISTRICT</t>
  </si>
  <si>
    <t>0740</t>
  </si>
  <si>
    <t>PAYNESVILLE PUBLIC SCHOOL DISTRICT</t>
  </si>
  <si>
    <t>0741</t>
  </si>
  <si>
    <t>ST. CLOUD PUBLIC SCHOOL DISTRICT</t>
  </si>
  <si>
    <t>0742</t>
  </si>
  <si>
    <t>SAUK CENTRE PUBLIC SCHOOL DISTRICT</t>
  </si>
  <si>
    <t>0743</t>
  </si>
  <si>
    <t>ALBANY PUBLIC SCHOOL DISTRICT</t>
  </si>
  <si>
    <t>0745</t>
  </si>
  <si>
    <t>SARTELL-ST. STEPHEN SCHOOL DISTRICT</t>
  </si>
  <si>
    <t>0748</t>
  </si>
  <si>
    <t>ROCORI PUBLIC SCHOOL DISTRICT</t>
  </si>
  <si>
    <t>0750</t>
  </si>
  <si>
    <t>Steele</t>
  </si>
  <si>
    <t>BLOOMING PRAIRIE PUBLIC SCHOOL DIST</t>
  </si>
  <si>
    <t>0756</t>
  </si>
  <si>
    <t>OWATONNA PUBLIC SCHOOL DISTRICT</t>
  </si>
  <si>
    <t>0761</t>
  </si>
  <si>
    <t>MEDFORD PUBLIC SCHOOL DISTRICT</t>
  </si>
  <si>
    <t>0763</t>
  </si>
  <si>
    <t>Stevens</t>
  </si>
  <si>
    <t>HANCOCK PUBLIC SCHOOL DISTRICT</t>
  </si>
  <si>
    <t>0768</t>
  </si>
  <si>
    <t>MORRIS PUBLIC SCHOOL DISTRICT</t>
  </si>
  <si>
    <t>0769</t>
  </si>
  <si>
    <t>CHOKIO-ALBERTA PUBLIC SCHOOL DIST.</t>
  </si>
  <si>
    <t>0771</t>
  </si>
  <si>
    <t>Swift</t>
  </si>
  <si>
    <t>KERKHOVEN-MURDOCK-SUNBURG</t>
  </si>
  <si>
    <t>0775</t>
  </si>
  <si>
    <t>BENSON PUBLIC SCHOOL DISTRICT</t>
  </si>
  <si>
    <t>0777</t>
  </si>
  <si>
    <t>Todd</t>
  </si>
  <si>
    <t>WORTHINGTON PUBLIC SCHOOL DISTRICT</t>
  </si>
  <si>
    <t>0518</t>
  </si>
  <si>
    <t>BYRON PUBLIC SCHOOL DISTRICT</t>
  </si>
  <si>
    <t>0531</t>
  </si>
  <si>
    <t>DOVER-EYOTA PUBLIC SCHOOL DISTRICT</t>
  </si>
  <si>
    <t>0533</t>
  </si>
  <si>
    <t>STEWARTVILLE PUBLIC SCHOOL DISTRICT</t>
  </si>
  <si>
    <t>0534</t>
  </si>
  <si>
    <t>ROCHESTER PUBLIC SCHOOL DISTRICT</t>
  </si>
  <si>
    <t>0535</t>
  </si>
  <si>
    <t>Otter Tail</t>
  </si>
  <si>
    <t>BATTLE LAKE PUBLIC SCHOOL DISTRICT</t>
  </si>
  <si>
    <t>0542</t>
  </si>
  <si>
    <t>FERGUS FALLS PUBLIC SCHOOL DISTRICT</t>
  </si>
  <si>
    <t>0544</t>
  </si>
  <si>
    <t>HENNING PUBLIC SCHOOL DISTRICT</t>
  </si>
  <si>
    <t>0545</t>
  </si>
  <si>
    <t>PARKERS PRAIRIE PUBLIC SCHOOL DIST.</t>
  </si>
  <si>
    <t>0547</t>
  </si>
  <si>
    <t>PELICAN RAPIDS PUBLIC SCHOOL DIST.</t>
  </si>
  <si>
    <t>0548</t>
  </si>
  <si>
    <t>PERHAM PUBLIC SCHOOL DISTRICT</t>
  </si>
  <si>
    <t>0549</t>
  </si>
  <si>
    <t>UNDERWOOD PUBLIC SCHOOL DISTRICT</t>
  </si>
  <si>
    <t>0550</t>
  </si>
  <si>
    <t>NEW YORK MILLS PUBLIC SCHOOL DIST.</t>
  </si>
  <si>
    <t>0553</t>
  </si>
  <si>
    <t>Pennington</t>
  </si>
  <si>
    <t>GOODRIDGE PUBLIC SCHOOL DISTRICT</t>
  </si>
  <si>
    <t>0561</t>
  </si>
  <si>
    <t>THIEF RIVER FALLS SCHOOL DISTRICT</t>
  </si>
  <si>
    <t>0564</t>
  </si>
  <si>
    <t>Pine</t>
  </si>
  <si>
    <t>WILLOW RIVER PUBLIC SCHOOL DISTRICT</t>
  </si>
  <si>
    <t>0577</t>
  </si>
  <si>
    <t>PINE CITY PUBLIC SCHOOL DISTRICT</t>
  </si>
  <si>
    <t>0578</t>
  </si>
  <si>
    <t>Pipestone</t>
  </si>
  <si>
    <t>EDGERTON PUBLIC SCHOOL DISTRICT</t>
  </si>
  <si>
    <t>0581</t>
  </si>
  <si>
    <t>Polk</t>
  </si>
  <si>
    <t>CLIMAX PUBLIC SCHOOL DISTRICT</t>
  </si>
  <si>
    <t>0592</t>
  </si>
  <si>
    <t>CROOKSTON PUBLIC SCHOOL DISTRICT</t>
  </si>
  <si>
    <t>0593</t>
  </si>
  <si>
    <t>EAST GRAND FORKS PUBLIC SCHOOL DIST</t>
  </si>
  <si>
    <t>0595</t>
  </si>
  <si>
    <t>FERTILE-BELTRAMI SCHOOL DISTRICT</t>
  </si>
  <si>
    <t>0599</t>
  </si>
  <si>
    <t>FISHER PUBLIC SCHOOL DISTRICT</t>
  </si>
  <si>
    <t>0600</t>
  </si>
  <si>
    <t>FOSSTON PUBLIC SCHOOL DISTRICT</t>
  </si>
  <si>
    <t>0601</t>
  </si>
  <si>
    <t>Pope</t>
  </si>
  <si>
    <t>CYRUS PUBLIC SCHOOL DISTRICT</t>
  </si>
  <si>
    <t>0611</t>
  </si>
  <si>
    <t>Ramsey</t>
  </si>
  <si>
    <t>MOUNDS VIEW PUBLIC SCHOOL DISTRICT</t>
  </si>
  <si>
    <t>0621</t>
  </si>
  <si>
    <t>NORTH ST PAUL-MAPLEWOOD SCHOOL DIST</t>
  </si>
  <si>
    <t>0622</t>
  </si>
  <si>
    <t>ROSEVILLE PUBLIC SCHOOL DISTRICT</t>
  </si>
  <si>
    <t>0623</t>
  </si>
  <si>
    <t>WHITE BEAR LAKE SCHOOL DISTRICT</t>
  </si>
  <si>
    <t>0624</t>
  </si>
  <si>
    <t>ST. PAUL PUBLIC SCHOOL DISTRICT</t>
  </si>
  <si>
    <t>0625</t>
  </si>
  <si>
    <t>Red Lake</t>
  </si>
  <si>
    <t>OKLEE PUBLIC SCHOOL DISTRICT</t>
  </si>
  <si>
    <t>0627</t>
  </si>
  <si>
    <t>PLUMMER PUBLIC SCHOOL DISTRICT</t>
  </si>
  <si>
    <t>0628</t>
  </si>
  <si>
    <t>RED LAKE FALLS PUBLIC SCHOOL DIST.</t>
  </si>
  <si>
    <t>0630</t>
  </si>
  <si>
    <t>Redwood</t>
  </si>
  <si>
    <t>MILROY PUBLIC SCHOOL DISTRICT</t>
  </si>
  <si>
    <t>0635</t>
  </si>
  <si>
    <t>WABASSO PUBLIC SCHOOL DISTRICT</t>
  </si>
  <si>
    <t>0640</t>
  </si>
  <si>
    <t>Rice</t>
  </si>
  <si>
    <t>FARIBAULT PUBLIC SCHOOL DISTRICT</t>
  </si>
  <si>
    <t>0656</t>
  </si>
  <si>
    <t>NORTHFIELD PUBLIC SCHOOL DISTRICT</t>
  </si>
  <si>
    <t>0659</t>
  </si>
  <si>
    <t>Rock</t>
  </si>
  <si>
    <t>Lincoln</t>
  </si>
  <si>
    <t>HENDRICKS PUBLIC SCHOOL DISTRICT</t>
  </si>
  <si>
    <t>0402</t>
  </si>
  <si>
    <t>IVANHOE PUBLIC SCHOOL DISTRICT</t>
  </si>
  <si>
    <t>0403</t>
  </si>
  <si>
    <t>LAKE BENTON PUBLIC SCHOOL DISTRICT</t>
  </si>
  <si>
    <t>0404</t>
  </si>
  <si>
    <t>Lyon</t>
  </si>
  <si>
    <t>BALATON PUBLIC SCHOOL DISTRICT</t>
  </si>
  <si>
    <t>0411</t>
  </si>
  <si>
    <t>MARSHALL PUBLIC SCHOOL DISTRICT</t>
  </si>
  <si>
    <t>0413</t>
  </si>
  <si>
    <t>MINNEOTA PUBLIC SCHOOL DISTRICT</t>
  </si>
  <si>
    <t>0414</t>
  </si>
  <si>
    <t>LYND PUBLIC SCHOOL DISTRICT</t>
  </si>
  <si>
    <t>0415</t>
  </si>
  <si>
    <t>TRACY PUBLIC SCHOOL DISTRICT</t>
  </si>
  <si>
    <t>0417</t>
  </si>
  <si>
    <t>McLeod</t>
  </si>
  <si>
    <t>HUTCHINSON PUBLIC SCHOOL DISTRICT</t>
  </si>
  <si>
    <t>0423</t>
  </si>
  <si>
    <t>LESTER PRAIRIE PUBLIC SCHOOL DIST.</t>
  </si>
  <si>
    <t>0424</t>
  </si>
  <si>
    <t>Mahnomen</t>
  </si>
  <si>
    <t>MAHNOMEN PUBLIC SCHOOL DISTRICT</t>
  </si>
  <si>
    <t>0432</t>
  </si>
  <si>
    <t>WAUBUN PUBLIC SCHOOL DISTRICT</t>
  </si>
  <si>
    <t>0435</t>
  </si>
  <si>
    <t>Marshall</t>
  </si>
  <si>
    <t>MARSHALL COUNTY CENTRAL SCHOOLS</t>
  </si>
  <si>
    <t>0441</t>
  </si>
  <si>
    <t>GRYGLA PUBLIC SCHOOL DISTRICT</t>
  </si>
  <si>
    <t>0447</t>
  </si>
  <si>
    <t>Martin</t>
  </si>
  <si>
    <t>TRUMAN PUBLIC SCHOOL DISTRICT</t>
  </si>
  <si>
    <t>0458</t>
  </si>
  <si>
    <t>Meeker</t>
  </si>
  <si>
    <t>EDEN VALLEY-WATKINS SCHOOL DISTRICT</t>
  </si>
  <si>
    <t>0463</t>
  </si>
  <si>
    <t>LITCHFIELD PUBLIC SCHOOL DISTRICT</t>
  </si>
  <si>
    <t>0465</t>
  </si>
  <si>
    <t>DASSEL-COKATO PUBLIC SCHOOL DIST.</t>
  </si>
  <si>
    <t>0466</t>
  </si>
  <si>
    <t>Mille Lacs</t>
  </si>
  <si>
    <t>ISLE PUBLIC SCHOOL DISTRICT</t>
  </si>
  <si>
    <t>0473</t>
  </si>
  <si>
    <t>PRINCETON PUBLIC SCHOOL DISTRICT</t>
  </si>
  <si>
    <t>0477</t>
  </si>
  <si>
    <t>ONAMIA PUBLIC SCHOOL DISTRICT</t>
  </si>
  <si>
    <t>0480</t>
  </si>
  <si>
    <t>Morrison</t>
  </si>
  <si>
    <t>LITTLE FALLS PUBLIC SCHOOL DISTRICT</t>
  </si>
  <si>
    <t>0482</t>
  </si>
  <si>
    <t>PIERZ PUBLIC SCHOOL DISTRICT</t>
  </si>
  <si>
    <t>0484</t>
  </si>
  <si>
    <t>ROYALTON PUBLIC SCHOOL DISTRICT</t>
  </si>
  <si>
    <t>0485</t>
  </si>
  <si>
    <t>SWANVILLE PUBLIC SCHOOL DISTRICT</t>
  </si>
  <si>
    <t>0486</t>
  </si>
  <si>
    <t>UPSALA PUBLIC SCHOOL DISTRICT</t>
  </si>
  <si>
    <t>0487</t>
  </si>
  <si>
    <t>Mower</t>
  </si>
  <si>
    <t>AUSTIN PUBLIC SCHOOL DISTRICT</t>
  </si>
  <si>
    <t>0492</t>
  </si>
  <si>
    <t>GRAND MEADOW PUBLIC SCHOOL DISTRICT</t>
  </si>
  <si>
    <t>0495</t>
  </si>
  <si>
    <t>LYLE PUBLIC SCHOOL DISTRICT</t>
  </si>
  <si>
    <t>0497</t>
  </si>
  <si>
    <t>LEROY PUBLIC SCHOOL DISTRICT</t>
  </si>
  <si>
    <t>0499</t>
  </si>
  <si>
    <t>SOUTHLAND PUBLIC SCHOOL DISTRICT</t>
  </si>
  <si>
    <t>0500</t>
  </si>
  <si>
    <t>Murray</t>
  </si>
  <si>
    <t>FULDA PUBLIC SCHOOL DISTRICT</t>
  </si>
  <si>
    <t>0505</t>
  </si>
  <si>
    <t>Nicollet</t>
  </si>
  <si>
    <t>NICOLLET PUBLIC SCHOOL DISTRICT</t>
  </si>
  <si>
    <t>0507</t>
  </si>
  <si>
    <t>ST. PETER PUBLIC SCHOOL DISTRICT</t>
  </si>
  <si>
    <t>0508</t>
  </si>
  <si>
    <t>Nobles</t>
  </si>
  <si>
    <t>ADRIAN PUBLIC SCHOOL DISTRICT</t>
  </si>
  <si>
    <t>0511</t>
  </si>
  <si>
    <t>BREWSTER PUBLIC SCHOOL DISTRICT</t>
  </si>
  <si>
    <t>0513</t>
  </si>
  <si>
    <t>ELLSWORTH PUBLIC SCHOOL DISTRICT</t>
  </si>
  <si>
    <t>0514</t>
  </si>
  <si>
    <t>ROUND LAKE PUBLIC SCHOOL DISTRICT</t>
  </si>
  <si>
    <t>0516</t>
  </si>
  <si>
    <t>RICHFIELD PUBLIC SCHOOL DISTRICT</t>
  </si>
  <si>
    <t>0280</t>
  </si>
  <si>
    <t>ROBBINSDALE PUBLIC SCHOOL DISTRICT</t>
  </si>
  <si>
    <t>0281</t>
  </si>
  <si>
    <t>ST. ANTHONY-NEW BRIGHTON SCHOOLS</t>
  </si>
  <si>
    <t>0282</t>
  </si>
  <si>
    <t>ST. LOUIS PARK PUBLIC SCHOOL DIST.</t>
  </si>
  <si>
    <t>0283</t>
  </si>
  <si>
    <t>WAYZATA PUBLIC SCHOOL DISTRICT</t>
  </si>
  <si>
    <t>0284</t>
  </si>
  <si>
    <t>BROOKLYN CENTER SCHOOL DISTRICT</t>
  </si>
  <si>
    <t>0286</t>
  </si>
  <si>
    <t>Houston</t>
  </si>
  <si>
    <t>HOUSTON PUBLIC SCHOOL DISTRICT</t>
  </si>
  <si>
    <t>0294</t>
  </si>
  <si>
    <t>SPRING GROVE SCHOOL DISTRICT</t>
  </si>
  <si>
    <t>0297</t>
  </si>
  <si>
    <t>CALEDONIA PUBLIC SCHOOL DISTRICT</t>
  </si>
  <si>
    <t>0299</t>
  </si>
  <si>
    <t>LACRESCENT-HOKAH SCHOOL DISTRICT</t>
  </si>
  <si>
    <t>0300</t>
  </si>
  <si>
    <t>Hubbard</t>
  </si>
  <si>
    <t>LAPORTE PUBLIC SCHOOL DISTRICT</t>
  </si>
  <si>
    <t>0306</t>
  </si>
  <si>
    <t>NEVIS PUBLIC SCHOOL DISTRICT</t>
  </si>
  <si>
    <t>0308</t>
  </si>
  <si>
    <t>PARK RAPIDS PUBLIC SCHOOL DISTRICT</t>
  </si>
  <si>
    <t>0309</t>
  </si>
  <si>
    <t>Isanti</t>
  </si>
  <si>
    <t>BRAHAM PUBLIC SCHOOL DISTRICT</t>
  </si>
  <si>
    <t>0314</t>
  </si>
  <si>
    <t>Itasca</t>
  </si>
  <si>
    <t>GREENWAY PUBLIC SCHOOL DISTRICT</t>
  </si>
  <si>
    <t>0316</t>
  </si>
  <si>
    <t>DEER RIVER PUBLIC SCHOOL DISTRICT</t>
  </si>
  <si>
    <t>0317</t>
  </si>
  <si>
    <t>GRAND RAPIDS PUBLIC SCHOOL DISTRICT</t>
  </si>
  <si>
    <t>0318</t>
  </si>
  <si>
    <t>NASHWAUK-KEEWATIN SCHOOL DISTRICT</t>
  </si>
  <si>
    <t>0319</t>
  </si>
  <si>
    <t>02</t>
  </si>
  <si>
    <t>FRANCONIA PUBLIC SCHOOL DISTRICT</t>
  </si>
  <si>
    <t>0323</t>
  </si>
  <si>
    <t>Jackson</t>
  </si>
  <si>
    <t>HERON LAKE-OKABENA SCHOOL DISTRICT</t>
  </si>
  <si>
    <t>0330</t>
  </si>
  <si>
    <t>Kanabec</t>
  </si>
  <si>
    <t>MORA PUBLIC SCHOOL DISTRICT</t>
  </si>
  <si>
    <t>0332</t>
  </si>
  <si>
    <t>OGILVIE PUBLIC SCHOOL DISTRICT</t>
  </si>
  <si>
    <t>0333</t>
  </si>
  <si>
    <t>6E</t>
  </si>
  <si>
    <t>Southwest Central Minnesota</t>
  </si>
  <si>
    <t>Kandiyohi</t>
  </si>
  <si>
    <t>NEW LONDON-SPICER SCHOOL DISTRICT</t>
  </si>
  <si>
    <t>0345</t>
  </si>
  <si>
    <t>WILLMAR PUBLIC SCHOOL DISTRICT</t>
  </si>
  <si>
    <t>0347</t>
  </si>
  <si>
    <t>1</t>
  </si>
  <si>
    <t>Northwest Minnesota</t>
  </si>
  <si>
    <t>Kittson</t>
  </si>
  <si>
    <t>LANCASTER PUBLIC SCHOOL DISTRICT</t>
  </si>
  <si>
    <t>0356</t>
  </si>
  <si>
    <t>Koochiching</t>
  </si>
  <si>
    <t>INTERNATIONAL FALLS SCHOOL DISTRICT</t>
  </si>
  <si>
    <t>0361</t>
  </si>
  <si>
    <t>LITTLEFORK-BIG FALLS SCHOOL DIST.</t>
  </si>
  <si>
    <t>0362</t>
  </si>
  <si>
    <t>SOUTH KOOCHICHING SCHOOL DISTRICT</t>
  </si>
  <si>
    <t>0363</t>
  </si>
  <si>
    <t>Lac Qui Parle</t>
  </si>
  <si>
    <t>BELLINGHAM PUBLIC SCHOOL DISTRICT</t>
  </si>
  <si>
    <t>0371</t>
  </si>
  <si>
    <t>DAWSON-BOYD PUBLIC SCHOOL DISTRICT</t>
  </si>
  <si>
    <t>0378</t>
  </si>
  <si>
    <t>Lake</t>
  </si>
  <si>
    <t>LAKE SUPERIOR PUBLIC SCHOOL DIST.</t>
  </si>
  <si>
    <t>0381</t>
  </si>
  <si>
    <t>Lake of the Woods</t>
  </si>
  <si>
    <t>LAKE OF THE WOODS SCHOOL DISTRICT</t>
  </si>
  <si>
    <t>0390</t>
  </si>
  <si>
    <t>Lesueur</t>
  </si>
  <si>
    <t>CLEVELAND PUBLIC SCHOOL DISTRICT</t>
  </si>
  <si>
    <t>0391</t>
  </si>
  <si>
    <t>LECENTER PUBLIC SCHOOL DISTRICT</t>
  </si>
  <si>
    <t>0392</t>
  </si>
  <si>
    <t>MONTGOMERY-LONSDALE SCHOOL DISTRICT</t>
  </si>
  <si>
    <t>0394</t>
  </si>
  <si>
    <t>0173</t>
  </si>
  <si>
    <t>WINDOM PUBLIC SCHOOL DISTRICT</t>
  </si>
  <si>
    <t>0177</t>
  </si>
  <si>
    <t>Crow Wing</t>
  </si>
  <si>
    <t>BRAINERD PUBLIC SCHOOL DISTRICT</t>
  </si>
  <si>
    <t>0181</t>
  </si>
  <si>
    <t>CROSBY-IRONTON PUBLIC SCHOOL DIST.</t>
  </si>
  <si>
    <t>0182</t>
  </si>
  <si>
    <t>PEQUOT LAKES PUBLIC SCHOOLS</t>
  </si>
  <si>
    <t>0186</t>
  </si>
  <si>
    <t>BURNSVILLE PUBLIC SCHOOL DISTRICT</t>
  </si>
  <si>
    <t>0191</t>
  </si>
  <si>
    <t>FARMINGTON PUBLIC SCHOOL DISTRICT</t>
  </si>
  <si>
    <t>0192</t>
  </si>
  <si>
    <t>LAKEVILLE PUBLIC SCHOOL DISTRICT</t>
  </si>
  <si>
    <t>0194</t>
  </si>
  <si>
    <t>RANDOLPH PUBLIC SCHOOL DISTRICT</t>
  </si>
  <si>
    <t>0195</t>
  </si>
  <si>
    <t>ROSEMOUNT-APPLE VALLEY-EAGAN</t>
  </si>
  <si>
    <t>0196</t>
  </si>
  <si>
    <t>WEST ST. PAUL-MENDOTA HTS.-EAGAN</t>
  </si>
  <si>
    <t>0197</t>
  </si>
  <si>
    <t>INVER GROVE HEIGHTS SCHOOLS</t>
  </si>
  <si>
    <t>0199</t>
  </si>
  <si>
    <t>HASTINGS PUBLIC SCHOOL DISTRICT</t>
  </si>
  <si>
    <t>0200</t>
  </si>
  <si>
    <t>10</t>
  </si>
  <si>
    <t>Southeast Minnesota</t>
  </si>
  <si>
    <t>Dodge</t>
  </si>
  <si>
    <t>HAYFIELD PUBLIC SCHOOL DISTRICT</t>
  </si>
  <si>
    <t>0203</t>
  </si>
  <si>
    <t>KASSON-MANTORVILLE SCHOOL DIST.</t>
  </si>
  <si>
    <t>0204</t>
  </si>
  <si>
    <t>Douglas</t>
  </si>
  <si>
    <t>ALEXANDRIA PUBLIC SCHOOL DISTRICT</t>
  </si>
  <si>
    <t>0206</t>
  </si>
  <si>
    <t>BRANDON PUBLIC SCHOOL DISTRICT</t>
  </si>
  <si>
    <t>0207</t>
  </si>
  <si>
    <t>EVANSVILLE PUBLIC SCHOOL DISTRICT</t>
  </si>
  <si>
    <t>0208</t>
  </si>
  <si>
    <t>OSAKIS PUBLIC SCHOOL DISTRICT</t>
  </si>
  <si>
    <t>0213</t>
  </si>
  <si>
    <t>Olmsted</t>
  </si>
  <si>
    <t>CHATFIELD PUBLIC SCHOOLS</t>
  </si>
  <si>
    <t>0227</t>
  </si>
  <si>
    <t>Fillmore</t>
  </si>
  <si>
    <t>LANESBORO PUBLIC SCHOOL DISTRICT</t>
  </si>
  <si>
    <t>0229</t>
  </si>
  <si>
    <t>MABEL-CANTON PUBLIC SCHOOL DIST.</t>
  </si>
  <si>
    <t>0238</t>
  </si>
  <si>
    <t>RUSHFORD-PETERSON PUBLIC SCHLS.</t>
  </si>
  <si>
    <t>0239</t>
  </si>
  <si>
    <t>Freeborn</t>
  </si>
  <si>
    <t>ALBERT LEA PUBLIC SCHOOL DISTRICT</t>
  </si>
  <si>
    <t>0241</t>
  </si>
  <si>
    <t>ALDEN-CONGER PUBLIC SCHOOL DISTRICT</t>
  </si>
  <si>
    <t>0242</t>
  </si>
  <si>
    <t>Goodhue</t>
  </si>
  <si>
    <t>CANNON FALLS PUBLIC SCHOOL DISTRICT</t>
  </si>
  <si>
    <t>0252</t>
  </si>
  <si>
    <t>GOODHUE PUBLIC SCHOOL DISTRICT</t>
  </si>
  <si>
    <t>0253</t>
  </si>
  <si>
    <t>PINE ISLAND PUBLIC SCHOOL DIST.</t>
  </si>
  <si>
    <t>0255</t>
  </si>
  <si>
    <t>RED WING PUBLIC SCHOOL DISTRICT</t>
  </si>
  <si>
    <t>0256</t>
  </si>
  <si>
    <t>Grant</t>
  </si>
  <si>
    <t>ASHBY PUBLIC SCHOOL DISTRICT</t>
  </si>
  <si>
    <t>0261</t>
  </si>
  <si>
    <t>HERMAN-NORCROSS SCHOOL DISTRICT</t>
  </si>
  <si>
    <t>0264</t>
  </si>
  <si>
    <t>HOPKINS PUBLIC SCHOOL DISTRICT</t>
  </si>
  <si>
    <t>0270</t>
  </si>
  <si>
    <t>BLOOMINGTON PUBLIC SCHOOL DISTRICT</t>
  </si>
  <si>
    <t>0271</t>
  </si>
  <si>
    <t>EDEN PRAIRIE PUBLIC SCHOOL DISTRICT</t>
  </si>
  <si>
    <t>0272</t>
  </si>
  <si>
    <t>EDINA PUBLIC SCHOOL DISTRICT</t>
  </si>
  <si>
    <t>0273</t>
  </si>
  <si>
    <t>MINNETONKA PUBLIC SCHOOL DISTRICT</t>
  </si>
  <si>
    <t>0276</t>
  </si>
  <si>
    <t>WESTONKA PUBLIC SCHOOL DISTRICT</t>
  </si>
  <si>
    <t>0277</t>
  </si>
  <si>
    <t>ORONO PUBLIC SCHOOL DISTRICT</t>
  </si>
  <si>
    <t>0278</t>
  </si>
  <si>
    <t>OSSEO PUBLIC SCHOOL DISTRICT</t>
  </si>
  <si>
    <t>0279</t>
  </si>
  <si>
    <t>RED LAKE PUBLIC SCHOOL DISTRICT</t>
  </si>
  <si>
    <t>0038</t>
  </si>
  <si>
    <t>7W</t>
  </si>
  <si>
    <t>Central Minnesota</t>
  </si>
  <si>
    <t>Benton</t>
  </si>
  <si>
    <t>SAUK RAPIDS PUBLIC SCHOOL DISTRICT</t>
  </si>
  <si>
    <t>0047</t>
  </si>
  <si>
    <t>FOLEY PUBLIC SCHOOL DISTRICT</t>
  </si>
  <si>
    <t>0051</t>
  </si>
  <si>
    <t>6W</t>
  </si>
  <si>
    <t>Upper Southwest Minnesota</t>
  </si>
  <si>
    <t>Big Stone</t>
  </si>
  <si>
    <t>ORTONVILLE PUBLIC SCHOOL DISTRICT</t>
  </si>
  <si>
    <t>0062</t>
  </si>
  <si>
    <t>9</t>
  </si>
  <si>
    <t>South Central Minnesota</t>
  </si>
  <si>
    <t>Blue Earth</t>
  </si>
  <si>
    <t>ST. CLAIR PUBLIC SCHOOL DISTRICT</t>
  </si>
  <si>
    <t>0075</t>
  </si>
  <si>
    <t>MANKATO PUBLIC SCHOOL DISTRICT</t>
  </si>
  <si>
    <t>0077</t>
  </si>
  <si>
    <t>Brown</t>
  </si>
  <si>
    <t>COMFREY PUBLIC SCHOOL DISTRICT</t>
  </si>
  <si>
    <t>0081</t>
  </si>
  <si>
    <t>SLEEPY EYE PUBLIC SCHOOL DISTRICT</t>
  </si>
  <si>
    <t>0084</t>
  </si>
  <si>
    <t>SPRINGFIELD PUBLIC SCHOOL DISTRICT</t>
  </si>
  <si>
    <t>0085</t>
  </si>
  <si>
    <t>NEW ULM PUBLIC SCHOOL DISTRICT</t>
  </si>
  <si>
    <t>0088</t>
  </si>
  <si>
    <t>Carlton</t>
  </si>
  <si>
    <t>BARNUM PUBLIC SCHOOL DISTRICT</t>
  </si>
  <si>
    <t>0091</t>
  </si>
  <si>
    <t>CARLTON PUBLIC SCHOOL DISTRICT</t>
  </si>
  <si>
    <t>0093</t>
  </si>
  <si>
    <t>CLOQUET PUBLIC SCHOOL DISTRICT</t>
  </si>
  <si>
    <t>0094</t>
  </si>
  <si>
    <t>CROMWELL-WRIGHT PUBLIC SCHOOLS</t>
  </si>
  <si>
    <t>0095</t>
  </si>
  <si>
    <t>MOOSE LAKE PUBLIC SCHOOL DISTRICT</t>
  </si>
  <si>
    <t>0097</t>
  </si>
  <si>
    <t>ESKO PUBLIC SCHOOL DISTRICT</t>
  </si>
  <si>
    <t>0099</t>
  </si>
  <si>
    <t>WRENSHALL PUBLIC SCHOOL DISTRICT</t>
  </si>
  <si>
    <t>0100</t>
  </si>
  <si>
    <t>Carver</t>
  </si>
  <si>
    <t>NORWOOD PUBLIC SCHOOL DISTRICT</t>
  </si>
  <si>
    <t>0108</t>
  </si>
  <si>
    <t>WACONIA PUBLIC SCHOOL DISTRICT</t>
  </si>
  <si>
    <t>0110</t>
  </si>
  <si>
    <t>WATERTOWN-MAYER PUBLIC SCHOOL DIST.</t>
  </si>
  <si>
    <t>0111</t>
  </si>
  <si>
    <t>DISTRICT 112</t>
  </si>
  <si>
    <t>0112</t>
  </si>
  <si>
    <t>5</t>
  </si>
  <si>
    <t>North Central Minnesota</t>
  </si>
  <si>
    <t>Cass</t>
  </si>
  <si>
    <t>WALKER-HACKENSACK-AKELEY SCHL. DIST</t>
  </si>
  <si>
    <t>0113</t>
  </si>
  <si>
    <t>CASS LAKE-BENA PUBLIC SCHOOLS</t>
  </si>
  <si>
    <t>0115</t>
  </si>
  <si>
    <t>PILLAGER PUBLIC SCHOOL DISTRICT</t>
  </si>
  <si>
    <t>0116</t>
  </si>
  <si>
    <t>NORTHLAND COMMUNITY SCHOOLS</t>
  </si>
  <si>
    <t>0118</t>
  </si>
  <si>
    <t>Chippewa</t>
  </si>
  <si>
    <t>MONTEVIDEO PUBLIC SCHOOL DISTRICT</t>
  </si>
  <si>
    <t>0129</t>
  </si>
  <si>
    <t>7E</t>
  </si>
  <si>
    <t>East Central Minnesota</t>
  </si>
  <si>
    <t>Chisago</t>
  </si>
  <si>
    <t>NORTH BRANCH PUBLIC SCHOOLS</t>
  </si>
  <si>
    <t>0138</t>
  </si>
  <si>
    <t>RUSH CITY PUBLIC SCHOOL DISTRICT</t>
  </si>
  <si>
    <t>0139</t>
  </si>
  <si>
    <t>Clay</t>
  </si>
  <si>
    <t>BARNESVILLE PUBLIC SCHOOL DIST.</t>
  </si>
  <si>
    <t>0146</t>
  </si>
  <si>
    <t>HAWLEY PUBLIC SCHOOL DISTRICT</t>
  </si>
  <si>
    <t>0150</t>
  </si>
  <si>
    <t>MOORHEAD PUBLIC SCHOOL DISTRICT</t>
  </si>
  <si>
    <t>0152</t>
  </si>
  <si>
    <t>Clearwater</t>
  </si>
  <si>
    <t>BAGLEY PUBLIC SCHOOL DISTRICT</t>
  </si>
  <si>
    <t>0162</t>
  </si>
  <si>
    <t>Cook</t>
  </si>
  <si>
    <t>COOK COUNTY PUBLIC SCHOOLS</t>
  </si>
  <si>
    <t>0166</t>
  </si>
  <si>
    <t>8</t>
  </si>
  <si>
    <t>Southwest Minnesota</t>
  </si>
  <si>
    <t>Cottonwood</t>
  </si>
  <si>
    <t>MOUNTAIN LAKE PUBLIC SCHOOLS</t>
  </si>
  <si>
    <t>District Number</t>
  </si>
  <si>
    <t>Counties and Districts</t>
  </si>
  <si>
    <t>County Number</t>
  </si>
  <si>
    <t>Economic Development Region</t>
  </si>
  <si>
    <t>1.</t>
  </si>
  <si>
    <t>2.</t>
  </si>
  <si>
    <t>3.</t>
  </si>
  <si>
    <t>4.</t>
  </si>
  <si>
    <t>5.</t>
  </si>
  <si>
    <t>6.</t>
  </si>
  <si>
    <t>7.</t>
  </si>
  <si>
    <t>8.</t>
  </si>
  <si>
    <t>9.</t>
  </si>
  <si>
    <t>10.</t>
  </si>
  <si>
    <t>11.</t>
  </si>
  <si>
    <t>12.</t>
  </si>
  <si>
    <t>13.</t>
  </si>
  <si>
    <t>14.</t>
  </si>
  <si>
    <t>15.</t>
  </si>
  <si>
    <t>16.</t>
  </si>
  <si>
    <t>17.</t>
  </si>
  <si>
    <t>Property Taxes</t>
  </si>
  <si>
    <t xml:space="preserve">Local Sources </t>
  </si>
  <si>
    <t>Other</t>
  </si>
  <si>
    <t>State Sources</t>
  </si>
  <si>
    <t>General Education Aid</t>
  </si>
  <si>
    <t>Federal Sources</t>
  </si>
  <si>
    <t>Local Sources</t>
  </si>
  <si>
    <t>Total Local Sources</t>
  </si>
  <si>
    <t>All Other State Aid</t>
  </si>
  <si>
    <t>Total State Sources</t>
  </si>
  <si>
    <t xml:space="preserve"> General Fund Revenues</t>
  </si>
  <si>
    <t>Food Service</t>
  </si>
  <si>
    <t>Community Service</t>
  </si>
  <si>
    <t>Building Construction</t>
  </si>
  <si>
    <t>Debt Service</t>
  </si>
  <si>
    <t>Fund 01 Total Revenue</t>
  </si>
  <si>
    <t>Other Funds Revenues</t>
  </si>
  <si>
    <t>Local, State and Federal Sources</t>
  </si>
  <si>
    <t>Funds 01-07 Total Revenues</t>
  </si>
  <si>
    <t>Grand Total Revenue for All Funds</t>
  </si>
  <si>
    <t>Federal</t>
  </si>
  <si>
    <t>Special Education Aid</t>
  </si>
  <si>
    <t>District ADM Served Plus Tuitioned Out</t>
  </si>
  <si>
    <t>County Name</t>
  </si>
  <si>
    <t>Economic Development Region Number</t>
  </si>
  <si>
    <t>District Type</t>
  </si>
  <si>
    <t>18.</t>
  </si>
  <si>
    <t>3</t>
  </si>
  <si>
    <t>Northeast Minnesota</t>
  </si>
  <si>
    <t>01</t>
  </si>
  <si>
    <t>Aitkin</t>
  </si>
  <si>
    <t>AITKIN PUBLIC SCHOOL DISTRICT</t>
  </si>
  <si>
    <t>0001</t>
  </si>
  <si>
    <t>11</t>
  </si>
  <si>
    <t>Twin Cities Metropolitan Area</t>
  </si>
  <si>
    <t>03</t>
  </si>
  <si>
    <t>Hennepin</t>
  </si>
  <si>
    <t>MINNEAPOLIS PUBLIC SCHOOL DIST.</t>
  </si>
  <si>
    <t>HILL CITY PUBLIC SCHOOL DISTRICT</t>
  </si>
  <si>
    <t>0002</t>
  </si>
  <si>
    <t>MCGREGOR PUBLIC SCHOOL DISTRICT</t>
  </si>
  <si>
    <t>0004</t>
  </si>
  <si>
    <t>Dakota</t>
  </si>
  <si>
    <t>SOUTH ST. PAUL PUBLIC SCHOOL DIST.</t>
  </si>
  <si>
    <t>0006</t>
  </si>
  <si>
    <t>Anoka</t>
  </si>
  <si>
    <t>ANOKA-HENNEPIN PUBLIC SCHOOL DIST.</t>
  </si>
  <si>
    <t>0011</t>
  </si>
  <si>
    <t>CENTENNIAL PUBLIC SCHOOL DISTRICT</t>
  </si>
  <si>
    <t>0012</t>
  </si>
  <si>
    <t>COLUMBIA HEIGHTS PUBLIC SCHOOL DIST</t>
  </si>
  <si>
    <t>0013</t>
  </si>
  <si>
    <t>FRIDLEY PUBLIC SCHOOL DISTRICT</t>
  </si>
  <si>
    <t>0014</t>
  </si>
  <si>
    <t>ST. FRANCIS PUBLIC SCHOOL DISTRICT</t>
  </si>
  <si>
    <t>0015</t>
  </si>
  <si>
    <t>SPRING LAKE PARK PUBLIC SCHOOLS</t>
  </si>
  <si>
    <t>0016</t>
  </si>
  <si>
    <t>4</t>
  </si>
  <si>
    <t>West Central Minnesota</t>
  </si>
  <si>
    <t>Becker</t>
  </si>
  <si>
    <t>DETROIT LAKES PUBLIC SCHOOL DIST.</t>
  </si>
  <si>
    <t>0022</t>
  </si>
  <si>
    <t>FRAZEE-VERGAS PUBLIC SCHOOL DIST.</t>
  </si>
  <si>
    <t>0023</t>
  </si>
  <si>
    <t>PINE POINT PUBLIC SCHOOL DISTRICT</t>
  </si>
  <si>
    <t>0025</t>
  </si>
  <si>
    <t>2</t>
  </si>
  <si>
    <t>Headwaters</t>
  </si>
  <si>
    <t>Beltrami</t>
  </si>
  <si>
    <t>BEMIDJI PUBLIC SCHOOL DISTRICT</t>
  </si>
  <si>
    <t>0031</t>
  </si>
  <si>
    <t>BLACKDUCK PUBLIC SCHOOL DISTRICT</t>
  </si>
  <si>
    <t>0032</t>
  </si>
  <si>
    <t>KELLIHER PUBLIC SCHOOL DISTRICT</t>
  </si>
  <si>
    <t>0036</t>
  </si>
</sst>
</file>

<file path=xl/styles.xml><?xml version="1.0" encoding="utf-8"?>
<styleSheet xmlns="http://schemas.openxmlformats.org/spreadsheetml/2006/main">
  <numFmts count="9">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_(&quot;$&quot;* #,##0.00_);_(&quot;$&quot;* \(#,##0.00\);_(&quot;$&quot;* &quot;-&quot;??_);_(@_)"/>
    <numFmt numFmtId="167" formatCode="0.0%"/>
  </numFmts>
  <fonts count="19">
    <font>
      <sz val="10"/>
      <name val="Arial"/>
    </font>
    <font>
      <sz val="8"/>
      <name val="Arial"/>
      <family val="2"/>
    </font>
    <font>
      <b/>
      <sz val="10"/>
      <name val="Arial"/>
      <family val="2"/>
    </font>
    <font>
      <b/>
      <sz val="14"/>
      <name val="Arial"/>
      <family val="2"/>
    </font>
    <font>
      <sz val="10"/>
      <name val="Arial"/>
    </font>
    <font>
      <u/>
      <sz val="10"/>
      <color indexed="12"/>
      <name val="Arial"/>
      <family val="2"/>
    </font>
    <font>
      <sz val="10"/>
      <color indexed="10"/>
      <name val="Arial"/>
      <family val="2"/>
    </font>
    <font>
      <b/>
      <sz val="14"/>
      <color indexed="10"/>
      <name val="Arial"/>
      <family val="2"/>
    </font>
    <font>
      <b/>
      <sz val="12"/>
      <color indexed="10"/>
      <name val="Arial"/>
      <family val="2"/>
    </font>
    <font>
      <b/>
      <sz val="10"/>
      <color indexed="10"/>
      <name val="Arial"/>
      <family val="2"/>
    </font>
    <font>
      <b/>
      <sz val="8"/>
      <name val="Arial"/>
      <family val="2"/>
    </font>
    <font>
      <sz val="8"/>
      <color indexed="10"/>
      <name val="Arial"/>
      <family val="2"/>
    </font>
    <font>
      <sz val="10"/>
      <color indexed="10"/>
      <name val="Arial"/>
      <family val="2"/>
    </font>
    <font>
      <sz val="10"/>
      <color indexed="9"/>
      <name val="Arial"/>
      <family val="2"/>
    </font>
    <font>
      <sz val="10"/>
      <color indexed="9"/>
      <name val="Arial"/>
      <family val="2"/>
    </font>
    <font>
      <b/>
      <sz val="10"/>
      <color indexed="9"/>
      <name val="Arial"/>
      <family val="2"/>
    </font>
    <font>
      <sz val="8"/>
      <color indexed="8"/>
      <name val="Arial"/>
      <family val="2"/>
    </font>
    <font>
      <sz val="10"/>
      <color indexed="8"/>
      <name val="Arial"/>
      <family val="2"/>
    </font>
    <font>
      <sz val="8"/>
      <name val="Verdana"/>
    </font>
  </fonts>
  <fills count="16">
    <fill>
      <patternFill patternType="none"/>
    </fill>
    <fill>
      <patternFill patternType="gray125"/>
    </fill>
    <fill>
      <patternFill patternType="solid">
        <fgColor theme="4" tint="0.59999389629810485"/>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5"/>
        <bgColor indexed="64"/>
      </patternFill>
    </fill>
    <fill>
      <patternFill patternType="solid">
        <fgColor theme="6"/>
        <bgColor indexed="64"/>
      </patternFill>
    </fill>
    <fill>
      <patternFill patternType="solid">
        <fgColor indexed="22"/>
        <bgColor indexed="64"/>
      </patternFill>
    </fill>
    <fill>
      <patternFill patternType="solid">
        <fgColor rgb="FFFF0000"/>
        <bgColor indexed="64"/>
      </patternFill>
    </fill>
    <fill>
      <patternFill patternType="solid">
        <fgColor rgb="FFFFFF00"/>
        <bgColor indexed="64"/>
      </patternFill>
    </fill>
    <fill>
      <patternFill patternType="solid">
        <fgColor theme="5" tint="0.59999389629810485"/>
        <bgColor indexed="64"/>
      </patternFill>
    </fill>
    <fill>
      <patternFill patternType="solid">
        <fgColor indexed="8"/>
        <bgColor indexed="64"/>
      </patternFill>
    </fill>
    <fill>
      <patternFill patternType="solid">
        <fgColor theme="0"/>
        <bgColor indexed="64"/>
      </patternFill>
    </fill>
    <fill>
      <patternFill patternType="solid">
        <fgColor theme="0" tint="-0.249977111117893"/>
        <bgColor indexed="64"/>
      </patternFill>
    </fill>
    <fill>
      <patternFill patternType="solid">
        <fgColor theme="7" tint="0.59999389629810485"/>
        <bgColor indexed="64"/>
      </patternFill>
    </fill>
  </fills>
  <borders count="35">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thin">
        <color indexed="64"/>
      </left>
      <right/>
      <top style="medium">
        <color indexed="64"/>
      </top>
      <bottom/>
      <diagonal/>
    </border>
    <border>
      <left style="thin">
        <color indexed="64"/>
      </left>
      <right/>
      <top/>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diagonal/>
    </border>
  </borders>
  <cellStyleXfs count="5">
    <xf numFmtId="0" fontId="0" fillId="0" borderId="0"/>
    <xf numFmtId="0" fontId="5" fillId="0" borderId="0" applyNumberFormat="0" applyFill="0" applyBorder="0" applyAlignment="0" applyProtection="0">
      <alignment vertical="top"/>
      <protection locked="0"/>
    </xf>
    <xf numFmtId="0" fontId="16" fillId="0" borderId="0"/>
    <xf numFmtId="0" fontId="4" fillId="0" borderId="0"/>
    <xf numFmtId="0" fontId="16" fillId="0" borderId="0"/>
  </cellStyleXfs>
  <cellXfs count="254">
    <xf numFmtId="0" fontId="0" fillId="0" borderId="0" xfId="0"/>
    <xf numFmtId="0" fontId="0" fillId="0" borderId="1" xfId="0" applyBorder="1" applyAlignment="1">
      <alignment horizontal="center"/>
    </xf>
    <xf numFmtId="0" fontId="4" fillId="0" borderId="2" xfId="0" applyFont="1" applyBorder="1" applyAlignment="1">
      <alignment horizontal="center" wrapText="1"/>
    </xf>
    <xf numFmtId="49" fontId="0" fillId="0" borderId="0" xfId="0" applyNumberFormat="1"/>
    <xf numFmtId="49" fontId="2" fillId="0" borderId="3" xfId="0" applyNumberFormat="1" applyFont="1" applyBorder="1"/>
    <xf numFmtId="0" fontId="0" fillId="0" borderId="4" xfId="0" applyFill="1" applyBorder="1" applyAlignment="1">
      <alignment horizontal="center" wrapText="1"/>
    </xf>
    <xf numFmtId="49" fontId="2" fillId="0" borderId="5" xfId="0" applyNumberFormat="1" applyFont="1" applyBorder="1" applyAlignment="1">
      <alignment horizontal="center"/>
    </xf>
    <xf numFmtId="49" fontId="2" fillId="0" borderId="5" xfId="0" applyNumberFormat="1" applyFont="1" applyBorder="1" applyAlignment="1">
      <alignment horizontal="center" vertical="center" wrapText="1"/>
    </xf>
    <xf numFmtId="0" fontId="0" fillId="0" borderId="0" xfId="0" applyAlignment="1">
      <alignment horizontal="center"/>
    </xf>
    <xf numFmtId="0" fontId="0" fillId="0" borderId="1" xfId="0" applyBorder="1" applyAlignment="1">
      <alignment horizontal="center" wrapText="1"/>
    </xf>
    <xf numFmtId="0" fontId="0" fillId="0" borderId="1" xfId="0" applyFill="1" applyBorder="1" applyAlignment="1">
      <alignment horizontal="center" wrapText="1"/>
    </xf>
    <xf numFmtId="0" fontId="0" fillId="0" borderId="9" xfId="0" applyBorder="1" applyAlignment="1">
      <alignment horizontal="center"/>
    </xf>
    <xf numFmtId="0" fontId="0" fillId="0" borderId="9" xfId="0" applyBorder="1"/>
    <xf numFmtId="3" fontId="0" fillId="0" borderId="9" xfId="0" applyNumberFormat="1" applyBorder="1"/>
    <xf numFmtId="0" fontId="0" fillId="0" borderId="10" xfId="0" applyBorder="1" applyAlignment="1">
      <alignment horizontal="center"/>
    </xf>
    <xf numFmtId="0" fontId="0" fillId="0" borderId="10" xfId="0" applyBorder="1"/>
    <xf numFmtId="3" fontId="0" fillId="0" borderId="10" xfId="0" applyNumberFormat="1" applyBorder="1"/>
    <xf numFmtId="0" fontId="5" fillId="0" borderId="0" xfId="1" applyAlignment="1" applyProtection="1"/>
    <xf numFmtId="0" fontId="0" fillId="0" borderId="19" xfId="0" applyBorder="1" applyAlignment="1">
      <alignment horizontal="center"/>
    </xf>
    <xf numFmtId="0" fontId="3" fillId="0" borderId="15" xfId="0" applyFont="1" applyBorder="1" applyAlignment="1">
      <alignment horizontal="center"/>
    </xf>
    <xf numFmtId="0" fontId="3" fillId="0" borderId="16" xfId="0" applyFont="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6" fillId="0" borderId="0" xfId="0" applyFont="1"/>
    <xf numFmtId="0" fontId="8" fillId="0" borderId="8" xfId="0" applyFont="1" applyBorder="1" applyAlignment="1">
      <alignment horizontal="center" vertical="center" wrapText="1"/>
    </xf>
    <xf numFmtId="0" fontId="8" fillId="0" borderId="7" xfId="0" applyFont="1" applyBorder="1" applyAlignment="1">
      <alignment horizontal="center" vertical="center" wrapText="1"/>
    </xf>
    <xf numFmtId="49" fontId="9" fillId="0" borderId="5" xfId="0" applyNumberFormat="1" applyFont="1" applyBorder="1" applyAlignment="1">
      <alignment horizontal="center"/>
    </xf>
    <xf numFmtId="3" fontId="6" fillId="0" borderId="9" xfId="0" applyNumberFormat="1" applyFont="1" applyBorder="1"/>
    <xf numFmtId="3" fontId="6" fillId="0" borderId="10" xfId="0" applyNumberFormat="1" applyFont="1" applyBorder="1"/>
    <xf numFmtId="49" fontId="9" fillId="0" borderId="6" xfId="0" applyNumberFormat="1" applyFont="1" applyBorder="1" applyAlignment="1">
      <alignment horizontal="center" vertical="center" wrapText="1"/>
    </xf>
    <xf numFmtId="0" fontId="6" fillId="0" borderId="1" xfId="0" applyFont="1" applyBorder="1" applyAlignment="1">
      <alignment horizontal="center" wrapText="1"/>
    </xf>
    <xf numFmtId="49" fontId="9" fillId="0" borderId="5" xfId="0" applyNumberFormat="1" applyFont="1" applyBorder="1" applyAlignment="1">
      <alignment horizontal="center" vertical="center" wrapText="1"/>
    </xf>
    <xf numFmtId="0" fontId="0" fillId="0" borderId="22" xfId="0" applyBorder="1" applyAlignment="1">
      <alignment horizontal="center" vertical="center" textRotation="90" wrapText="1"/>
    </xf>
    <xf numFmtId="0" fontId="0" fillId="0" borderId="0" xfId="0" applyBorder="1" applyAlignment="1">
      <alignment horizontal="center" vertical="center" textRotation="90" wrapText="1"/>
    </xf>
    <xf numFmtId="0" fontId="4" fillId="0" borderId="0" xfId="0" applyFont="1" applyBorder="1" applyAlignment="1">
      <alignment horizontal="center" vertical="center" textRotation="90" wrapText="1"/>
    </xf>
    <xf numFmtId="0" fontId="10" fillId="0" borderId="0" xfId="0" applyNumberFormat="1" applyFont="1" applyAlignment="1" applyProtection="1">
      <alignment horizontal="left" wrapText="1"/>
      <protection locked="0"/>
    </xf>
    <xf numFmtId="0" fontId="10" fillId="0" borderId="0" xfId="0" applyNumberFormat="1" applyFont="1" applyAlignment="1" applyProtection="1">
      <alignment wrapText="1"/>
      <protection locked="0"/>
    </xf>
    <xf numFmtId="0" fontId="10" fillId="0" borderId="0" xfId="0" applyNumberFormat="1" applyFont="1" applyAlignment="1" applyProtection="1">
      <alignment horizontal="right" wrapText="1"/>
      <protection locked="0"/>
    </xf>
    <xf numFmtId="0" fontId="10" fillId="0" borderId="0" xfId="0" applyNumberFormat="1" applyFont="1" applyAlignment="1" applyProtection="1">
      <alignment horizontal="center" wrapText="1"/>
      <protection locked="0"/>
    </xf>
    <xf numFmtId="4" fontId="10" fillId="0" borderId="0" xfId="0" applyNumberFormat="1" applyFont="1" applyAlignment="1" applyProtection="1">
      <alignment horizontal="center" wrapText="1"/>
      <protection locked="0"/>
    </xf>
    <xf numFmtId="0" fontId="1" fillId="0" borderId="0" xfId="0" applyNumberFormat="1" applyFont="1" applyAlignment="1" applyProtection="1">
      <alignment horizontal="left"/>
      <protection locked="0"/>
    </xf>
    <xf numFmtId="1" fontId="1" fillId="0" borderId="0" xfId="0" applyNumberFormat="1" applyFont="1" applyAlignment="1" applyProtection="1">
      <protection locked="0"/>
    </xf>
    <xf numFmtId="1" fontId="1" fillId="0" borderId="0" xfId="0" applyNumberFormat="1" applyFont="1" applyAlignment="1" applyProtection="1">
      <alignment horizontal="right"/>
      <protection locked="0"/>
    </xf>
    <xf numFmtId="4" fontId="1" fillId="0" borderId="0" xfId="0" applyNumberFormat="1" applyFont="1" applyAlignment="1" applyProtection="1">
      <alignment horizontal="right"/>
      <protection locked="0"/>
    </xf>
    <xf numFmtId="0" fontId="1" fillId="0" borderId="0" xfId="0" applyFont="1"/>
    <xf numFmtId="0" fontId="1" fillId="0" borderId="0" xfId="0" applyFont="1" applyAlignment="1"/>
    <xf numFmtId="4" fontId="1" fillId="0" borderId="0" xfId="0" applyNumberFormat="1" applyFont="1"/>
    <xf numFmtId="0" fontId="1" fillId="0" borderId="0" xfId="0" applyNumberFormat="1" applyFont="1" applyAlignment="1" applyProtection="1">
      <alignment horizontal="right"/>
      <protection locked="0"/>
    </xf>
    <xf numFmtId="0" fontId="4" fillId="0" borderId="0" xfId="0" applyFont="1"/>
    <xf numFmtId="0" fontId="4" fillId="0" borderId="19" xfId="0" applyFont="1" applyBorder="1" applyAlignment="1">
      <alignment horizontal="center"/>
    </xf>
    <xf numFmtId="0" fontId="0" fillId="2" borderId="10" xfId="0" applyFill="1" applyBorder="1" applyAlignment="1">
      <alignment horizontal="center"/>
    </xf>
    <xf numFmtId="0" fontId="0" fillId="2" borderId="10" xfId="0" applyFill="1" applyBorder="1"/>
    <xf numFmtId="0" fontId="4" fillId="2" borderId="10" xfId="0" applyFont="1" applyFill="1" applyBorder="1" applyAlignment="1">
      <alignment horizontal="center"/>
    </xf>
    <xf numFmtId="3" fontId="0" fillId="2" borderId="10" xfId="0" applyNumberFormat="1" applyFill="1" applyBorder="1"/>
    <xf numFmtId="3" fontId="6" fillId="2" borderId="10" xfId="0" applyNumberFormat="1" applyFont="1" applyFill="1" applyBorder="1"/>
    <xf numFmtId="0" fontId="1" fillId="2" borderId="0" xfId="0" applyNumberFormat="1" applyFont="1" applyFill="1" applyAlignment="1" applyProtection="1">
      <alignment horizontal="left"/>
      <protection locked="0"/>
    </xf>
    <xf numFmtId="1" fontId="1" fillId="2" borderId="0" xfId="0" applyNumberFormat="1" applyFont="1" applyFill="1" applyAlignment="1" applyProtection="1">
      <protection locked="0"/>
    </xf>
    <xf numFmtId="1" fontId="1" fillId="2" borderId="0" xfId="0" applyNumberFormat="1" applyFont="1" applyFill="1" applyAlignment="1" applyProtection="1">
      <alignment horizontal="right"/>
      <protection locked="0"/>
    </xf>
    <xf numFmtId="0" fontId="0" fillId="0" borderId="10" xfId="0" applyFill="1" applyBorder="1" applyAlignment="1">
      <alignment horizontal="center"/>
    </xf>
    <xf numFmtId="0" fontId="0" fillId="0" borderId="10" xfId="0" applyFill="1" applyBorder="1"/>
    <xf numFmtId="0" fontId="4" fillId="0" borderId="10" xfId="0" applyFont="1" applyFill="1" applyBorder="1" applyAlignment="1">
      <alignment horizontal="center"/>
    </xf>
    <xf numFmtId="3" fontId="0" fillId="3" borderId="9" xfId="0" applyNumberFormat="1" applyFill="1" applyBorder="1"/>
    <xf numFmtId="3" fontId="0" fillId="3" borderId="10" xfId="0" applyNumberFormat="1" applyFill="1" applyBorder="1"/>
    <xf numFmtId="3" fontId="0" fillId="4" borderId="9" xfId="0" applyNumberFormat="1" applyFill="1" applyBorder="1"/>
    <xf numFmtId="3" fontId="0" fillId="4" borderId="10" xfId="0" applyNumberFormat="1" applyFill="1" applyBorder="1"/>
    <xf numFmtId="3" fontId="0" fillId="5" borderId="9" xfId="0" applyNumberFormat="1" applyFill="1" applyBorder="1"/>
    <xf numFmtId="3" fontId="0" fillId="5" borderId="10" xfId="0" applyNumberFormat="1" applyFill="1" applyBorder="1"/>
    <xf numFmtId="49" fontId="4" fillId="0" borderId="0" xfId="0" applyNumberFormat="1" applyFont="1"/>
    <xf numFmtId="4" fontId="11" fillId="0" borderId="0" xfId="0" applyNumberFormat="1" applyFont="1" applyAlignment="1" applyProtection="1">
      <alignment horizontal="right"/>
      <protection locked="0"/>
    </xf>
    <xf numFmtId="4" fontId="11" fillId="2" borderId="0" xfId="0" applyNumberFormat="1" applyFont="1" applyFill="1" applyAlignment="1" applyProtection="1">
      <alignment horizontal="right"/>
      <protection locked="0"/>
    </xf>
    <xf numFmtId="4" fontId="11" fillId="0" borderId="0" xfId="0" applyNumberFormat="1" applyFont="1"/>
    <xf numFmtId="4" fontId="11" fillId="2" borderId="0" xfId="0" applyNumberFormat="1" applyFont="1" applyFill="1"/>
    <xf numFmtId="0" fontId="0" fillId="6" borderId="0" xfId="0" applyFill="1"/>
    <xf numFmtId="0" fontId="0" fillId="0" borderId="10" xfId="0" applyBorder="1" applyAlignment="1">
      <alignment horizontal="center" vertical="center"/>
    </xf>
    <xf numFmtId="0" fontId="0" fillId="8" borderId="27" xfId="0" applyFill="1" applyBorder="1"/>
    <xf numFmtId="0" fontId="0" fillId="8" borderId="28" xfId="0" applyFill="1" applyBorder="1"/>
    <xf numFmtId="0" fontId="0" fillId="8" borderId="27" xfId="0" applyFill="1" applyBorder="1" applyAlignment="1">
      <alignment wrapText="1"/>
    </xf>
    <xf numFmtId="0" fontId="0" fillId="8" borderId="10" xfId="0" applyFill="1" applyBorder="1" applyAlignment="1">
      <alignment wrapText="1"/>
    </xf>
    <xf numFmtId="0" fontId="0" fillId="0" borderId="32" xfId="0" applyBorder="1"/>
    <xf numFmtId="0" fontId="4" fillId="0" borderId="26" xfId="0" applyFont="1" applyBorder="1" applyAlignment="1">
      <alignment wrapText="1"/>
    </xf>
    <xf numFmtId="3" fontId="0" fillId="0" borderId="10" xfId="0" applyNumberFormat="1" applyFill="1" applyBorder="1"/>
    <xf numFmtId="3" fontId="6" fillId="0" borderId="10" xfId="0" applyNumberFormat="1" applyFont="1" applyFill="1" applyBorder="1"/>
    <xf numFmtId="0" fontId="0" fillId="0" borderId="0" xfId="0" applyFill="1"/>
    <xf numFmtId="0" fontId="0" fillId="9" borderId="10" xfId="0" applyFill="1" applyBorder="1" applyAlignment="1">
      <alignment horizontal="center"/>
    </xf>
    <xf numFmtId="0" fontId="0" fillId="9" borderId="10" xfId="0" applyFill="1" applyBorder="1"/>
    <xf numFmtId="0" fontId="4" fillId="9" borderId="10" xfId="0" applyFont="1" applyFill="1" applyBorder="1" applyAlignment="1">
      <alignment horizontal="center"/>
    </xf>
    <xf numFmtId="3" fontId="0" fillId="9" borderId="10" xfId="0" applyNumberFormat="1" applyFill="1" applyBorder="1"/>
    <xf numFmtId="3" fontId="6" fillId="9" borderId="10" xfId="0" applyNumberFormat="1" applyFont="1" applyFill="1" applyBorder="1"/>
    <xf numFmtId="0" fontId="1" fillId="9" borderId="0" xfId="0" applyNumberFormat="1" applyFont="1" applyFill="1" applyAlignment="1" applyProtection="1">
      <alignment horizontal="left"/>
      <protection locked="0"/>
    </xf>
    <xf numFmtId="0" fontId="1" fillId="9" borderId="0" xfId="0" applyNumberFormat="1" applyFont="1" applyFill="1"/>
    <xf numFmtId="0" fontId="1" fillId="9" borderId="0" xfId="0" applyFont="1" applyFill="1"/>
    <xf numFmtId="4" fontId="11" fillId="9" borderId="0" xfId="0" applyNumberFormat="1" applyFont="1" applyFill="1" applyAlignment="1" applyProtection="1">
      <alignment horizontal="right"/>
      <protection locked="0"/>
    </xf>
    <xf numFmtId="4" fontId="11" fillId="9" borderId="0" xfId="0" applyNumberFormat="1" applyFont="1" applyFill="1"/>
    <xf numFmtId="0" fontId="0" fillId="9" borderId="0" xfId="0" applyFill="1"/>
    <xf numFmtId="0" fontId="4" fillId="9" borderId="10" xfId="0" applyFont="1" applyFill="1" applyBorder="1"/>
    <xf numFmtId="0" fontId="4" fillId="10" borderId="10" xfId="0" applyFont="1" applyFill="1" applyBorder="1" applyAlignment="1">
      <alignment horizontal="center"/>
    </xf>
    <xf numFmtId="0" fontId="0" fillId="11" borderId="10" xfId="0" applyFill="1" applyBorder="1"/>
    <xf numFmtId="0" fontId="0" fillId="11" borderId="10" xfId="0" applyFill="1" applyBorder="1" applyAlignment="1">
      <alignment horizontal="center"/>
    </xf>
    <xf numFmtId="3" fontId="0" fillId="11" borderId="10" xfId="0" applyNumberFormat="1" applyFill="1" applyBorder="1"/>
    <xf numFmtId="0" fontId="4" fillId="11" borderId="10" xfId="0" applyFont="1" applyFill="1" applyBorder="1" applyAlignment="1">
      <alignment horizontal="center"/>
    </xf>
    <xf numFmtId="3" fontId="0" fillId="0" borderId="0" xfId="0" applyNumberFormat="1"/>
    <xf numFmtId="3" fontId="0" fillId="4" borderId="0" xfId="0" applyNumberFormat="1" applyFill="1"/>
    <xf numFmtId="3" fontId="0" fillId="5" borderId="0" xfId="0" applyNumberFormat="1" applyFill="1"/>
    <xf numFmtId="3" fontId="0" fillId="7" borderId="0" xfId="0" applyNumberFormat="1" applyFill="1"/>
    <xf numFmtId="3" fontId="0" fillId="3" borderId="0" xfId="0" applyNumberFormat="1" applyFill="1"/>
    <xf numFmtId="49" fontId="9" fillId="0" borderId="5" xfId="0" applyNumberFormat="1" applyFont="1" applyFill="1" applyBorder="1" applyAlignment="1">
      <alignment horizontal="center"/>
    </xf>
    <xf numFmtId="0" fontId="6" fillId="0" borderId="0" xfId="0" applyFont="1" applyFill="1"/>
    <xf numFmtId="0" fontId="6" fillId="0" borderId="1" xfId="0" applyFont="1" applyFill="1" applyBorder="1" applyAlignment="1">
      <alignment horizontal="center" wrapText="1"/>
    </xf>
    <xf numFmtId="0" fontId="6" fillId="0" borderId="11" xfId="0" applyFont="1" applyFill="1" applyBorder="1" applyAlignment="1">
      <alignment horizontal="center" wrapText="1"/>
    </xf>
    <xf numFmtId="3" fontId="6" fillId="0" borderId="9" xfId="0" applyNumberFormat="1" applyFont="1" applyFill="1" applyBorder="1"/>
    <xf numFmtId="165" fontId="0" fillId="0" borderId="0" xfId="0" applyNumberFormat="1"/>
    <xf numFmtId="3" fontId="0" fillId="0" borderId="0" xfId="0" applyNumberFormat="1" applyFill="1"/>
    <xf numFmtId="165" fontId="0" fillId="0" borderId="0" xfId="0" applyNumberFormat="1" applyAlignment="1">
      <alignment horizontal="center"/>
    </xf>
    <xf numFmtId="3" fontId="0" fillId="0" borderId="0" xfId="0" applyNumberFormat="1" applyFill="1" applyBorder="1"/>
    <xf numFmtId="1" fontId="1" fillId="9" borderId="0" xfId="0" applyNumberFormat="1" applyFont="1" applyFill="1" applyAlignment="1" applyProtection="1">
      <protection locked="0"/>
    </xf>
    <xf numFmtId="1" fontId="1" fillId="9" borderId="0" xfId="0" applyNumberFormat="1" applyFont="1" applyFill="1" applyAlignment="1" applyProtection="1">
      <alignment horizontal="right"/>
      <protection locked="0"/>
    </xf>
    <xf numFmtId="3" fontId="0" fillId="9" borderId="0" xfId="0" applyNumberFormat="1" applyFill="1"/>
    <xf numFmtId="0" fontId="0" fillId="0" borderId="30" xfId="0" applyFill="1" applyBorder="1" applyAlignment="1">
      <alignment horizontal="center"/>
    </xf>
    <xf numFmtId="0" fontId="0" fillId="0" borderId="30" xfId="0" applyFill="1" applyBorder="1"/>
    <xf numFmtId="0" fontId="0" fillId="2" borderId="31" xfId="0" applyFill="1" applyBorder="1" applyAlignment="1">
      <alignment horizontal="center"/>
    </xf>
    <xf numFmtId="0" fontId="0" fillId="2" borderId="31" xfId="0" applyFill="1" applyBorder="1"/>
    <xf numFmtId="0" fontId="4" fillId="2" borderId="31" xfId="0" applyFont="1" applyFill="1" applyBorder="1" applyAlignment="1">
      <alignment horizontal="center"/>
    </xf>
    <xf numFmtId="3" fontId="0" fillId="2" borderId="31" xfId="0" applyNumberFormat="1" applyFill="1" applyBorder="1"/>
    <xf numFmtId="3" fontId="0" fillId="5" borderId="31" xfId="0" applyNumberFormat="1" applyFill="1" applyBorder="1"/>
    <xf numFmtId="3" fontId="0" fillId="4" borderId="31" xfId="0" applyNumberFormat="1" applyFill="1" applyBorder="1"/>
    <xf numFmtId="3" fontId="0" fillId="3" borderId="31" xfId="0" applyNumberFormat="1" applyFill="1" applyBorder="1"/>
    <xf numFmtId="0" fontId="0" fillId="0" borderId="33" xfId="0" applyFill="1" applyBorder="1" applyAlignment="1">
      <alignment horizontal="center"/>
    </xf>
    <xf numFmtId="0" fontId="0" fillId="0" borderId="33" xfId="0" applyFill="1" applyBorder="1"/>
    <xf numFmtId="0" fontId="4" fillId="0" borderId="33" xfId="0" applyFont="1" applyFill="1" applyBorder="1" applyAlignment="1">
      <alignment horizontal="center"/>
    </xf>
    <xf numFmtId="3" fontId="0" fillId="0" borderId="33" xfId="0" applyNumberFormat="1" applyFill="1" applyBorder="1"/>
    <xf numFmtId="0" fontId="4" fillId="0" borderId="10" xfId="0" applyFont="1" applyBorder="1"/>
    <xf numFmtId="0" fontId="4" fillId="0" borderId="0" xfId="0" applyFont="1" applyFill="1" applyBorder="1"/>
    <xf numFmtId="0" fontId="4" fillId="8" borderId="10" xfId="0" applyFont="1" applyFill="1" applyBorder="1" applyAlignment="1">
      <alignment horizontal="center" vertical="center"/>
    </xf>
    <xf numFmtId="164" fontId="4" fillId="0" borderId="10" xfId="0" applyNumberFormat="1" applyFont="1" applyBorder="1"/>
    <xf numFmtId="0" fontId="4" fillId="8" borderId="28" xfId="0" applyFont="1" applyFill="1" applyBorder="1"/>
    <xf numFmtId="167" fontId="4" fillId="0" borderId="10" xfId="0" applyNumberFormat="1" applyFont="1" applyBorder="1"/>
    <xf numFmtId="166" fontId="13" fillId="0" borderId="0" xfId="0" applyNumberFormat="1" applyFont="1"/>
    <xf numFmtId="0" fontId="13" fillId="0" borderId="0" xfId="0" applyFont="1"/>
    <xf numFmtId="0" fontId="0" fillId="8" borderId="29" xfId="0" applyFill="1" applyBorder="1"/>
    <xf numFmtId="0" fontId="0" fillId="0" borderId="10" xfId="0" applyBorder="1" applyAlignment="1">
      <alignment wrapText="1"/>
    </xf>
    <xf numFmtId="0" fontId="14" fillId="12" borderId="10" xfId="0" applyFont="1" applyFill="1" applyBorder="1" applyAlignment="1">
      <alignment horizontal="center" vertical="center"/>
    </xf>
    <xf numFmtId="0" fontId="0" fillId="8" borderId="10" xfId="0" applyFill="1" applyBorder="1" applyAlignment="1">
      <alignment horizontal="center" vertical="center"/>
    </xf>
    <xf numFmtId="0" fontId="0" fillId="0" borderId="27" xfId="0" applyBorder="1"/>
    <xf numFmtId="0" fontId="0" fillId="0" borderId="29" xfId="0" applyBorder="1"/>
    <xf numFmtId="0" fontId="0" fillId="0" borderId="0" xfId="0" applyFont="1" applyFill="1" applyBorder="1" applyAlignment="1">
      <alignment wrapText="1"/>
    </xf>
    <xf numFmtId="0" fontId="4" fillId="0" borderId="0" xfId="0" applyFont="1" applyFill="1" applyBorder="1" applyAlignment="1">
      <alignment wrapText="1"/>
    </xf>
    <xf numFmtId="167" fontId="0" fillId="0" borderId="10" xfId="0" applyNumberFormat="1" applyBorder="1" applyAlignment="1">
      <alignment wrapText="1"/>
    </xf>
    <xf numFmtId="167" fontId="0" fillId="0" borderId="10" xfId="0" applyNumberFormat="1" applyBorder="1"/>
    <xf numFmtId="0" fontId="2" fillId="0" borderId="10" xfId="0" applyFont="1" applyBorder="1" applyAlignment="1">
      <alignment horizontal="center" vertical="center"/>
    </xf>
    <xf numFmtId="0" fontId="15" fillId="12" borderId="10" xfId="0" applyFont="1" applyFill="1" applyBorder="1" applyAlignment="1">
      <alignment horizontal="center" vertical="center"/>
    </xf>
    <xf numFmtId="0" fontId="0" fillId="0" borderId="10" xfId="0" applyBorder="1" applyAlignment="1">
      <alignment horizontal="center" vertical="center"/>
    </xf>
    <xf numFmtId="0" fontId="0" fillId="13" borderId="0" xfId="0" applyFill="1"/>
    <xf numFmtId="0" fontId="4" fillId="13" borderId="0" xfId="0" applyFont="1" applyFill="1"/>
    <xf numFmtId="0" fontId="4" fillId="8" borderId="10" xfId="0" applyFont="1" applyFill="1" applyBorder="1"/>
    <xf numFmtId="0" fontId="4" fillId="0" borderId="10" xfId="0" applyFont="1" applyBorder="1" applyAlignment="1">
      <alignment horizontal="center" vertical="center"/>
    </xf>
    <xf numFmtId="0" fontId="0" fillId="0" borderId="10" xfId="0" applyBorder="1" applyAlignment="1">
      <alignment wrapText="1"/>
    </xf>
    <xf numFmtId="0" fontId="17" fillId="14" borderId="28" xfId="2" applyFont="1" applyFill="1" applyBorder="1"/>
    <xf numFmtId="0" fontId="4" fillId="14" borderId="10" xfId="2" applyFont="1" applyFill="1" applyBorder="1" applyAlignment="1">
      <alignment horizontal="center" vertical="center"/>
    </xf>
    <xf numFmtId="164" fontId="4" fillId="14" borderId="10" xfId="2" applyNumberFormat="1" applyFont="1" applyFill="1" applyBorder="1"/>
    <xf numFmtId="0" fontId="4" fillId="14" borderId="28" xfId="2" applyFont="1" applyFill="1" applyBorder="1"/>
    <xf numFmtId="167" fontId="4" fillId="14" borderId="10" xfId="2" applyNumberFormat="1" applyFont="1" applyFill="1" applyBorder="1"/>
    <xf numFmtId="0" fontId="16" fillId="0" borderId="0" xfId="4"/>
    <xf numFmtId="164" fontId="16" fillId="0" borderId="0" xfId="4" applyNumberFormat="1"/>
    <xf numFmtId="0" fontId="4" fillId="0" borderId="0" xfId="4" applyFont="1"/>
    <xf numFmtId="0" fontId="16" fillId="0" borderId="0" xfId="4" applyFill="1" applyBorder="1" applyAlignment="1">
      <alignment horizontal="center" vertical="center"/>
    </xf>
    <xf numFmtId="0" fontId="12" fillId="0" borderId="0" xfId="4" applyFont="1"/>
    <xf numFmtId="0" fontId="4" fillId="0" borderId="10" xfId="0" applyFont="1" applyBorder="1" applyAlignment="1">
      <alignment wrapText="1"/>
    </xf>
    <xf numFmtId="0" fontId="4" fillId="8" borderId="10" xfId="0" applyFont="1" applyFill="1" applyBorder="1" applyAlignment="1">
      <alignment wrapText="1"/>
    </xf>
    <xf numFmtId="0" fontId="2" fillId="0" borderId="10" xfId="0" applyFont="1" applyFill="1" applyBorder="1" applyAlignment="1">
      <alignment horizontal="center" vertical="center"/>
    </xf>
    <xf numFmtId="0" fontId="0" fillId="5" borderId="27" xfId="0" applyFill="1" applyBorder="1"/>
    <xf numFmtId="0" fontId="0" fillId="5" borderId="28" xfId="0" applyFill="1" applyBorder="1"/>
    <xf numFmtId="0" fontId="0" fillId="13" borderId="28" xfId="0" applyFill="1" applyBorder="1"/>
    <xf numFmtId="0" fontId="0" fillId="13" borderId="29" xfId="0" applyFill="1" applyBorder="1"/>
    <xf numFmtId="0" fontId="0" fillId="13" borderId="27" xfId="0" applyFill="1" applyBorder="1"/>
    <xf numFmtId="0" fontId="0" fillId="4" borderId="27" xfId="0" applyFill="1" applyBorder="1"/>
    <xf numFmtId="0" fontId="0" fillId="4" borderId="28" xfId="0" applyFill="1" applyBorder="1"/>
    <xf numFmtId="0" fontId="0" fillId="3" borderId="27" xfId="0" applyFill="1" applyBorder="1"/>
    <xf numFmtId="0" fontId="0" fillId="3" borderId="28" xfId="0" applyFill="1" applyBorder="1"/>
    <xf numFmtId="0" fontId="0" fillId="7" borderId="27" xfId="0" applyFill="1" applyBorder="1"/>
    <xf numFmtId="0" fontId="0" fillId="7" borderId="28" xfId="0" applyFill="1" applyBorder="1"/>
    <xf numFmtId="0" fontId="0" fillId="6" borderId="27" xfId="0" applyFill="1" applyBorder="1"/>
    <xf numFmtId="0" fontId="0" fillId="6" borderId="28" xfId="0" applyFill="1" applyBorder="1"/>
    <xf numFmtId="0" fontId="0" fillId="15" borderId="10" xfId="0" applyFill="1" applyBorder="1"/>
    <xf numFmtId="0" fontId="0" fillId="15" borderId="10" xfId="0" applyFill="1" applyBorder="1" applyAlignment="1">
      <alignment horizontal="center"/>
    </xf>
    <xf numFmtId="0" fontId="4" fillId="15" borderId="10" xfId="0" applyFont="1" applyFill="1" applyBorder="1" applyAlignment="1">
      <alignment horizontal="center"/>
    </xf>
    <xf numFmtId="3" fontId="0" fillId="15" borderId="10" xfId="0" applyNumberFormat="1" applyFill="1" applyBorder="1"/>
    <xf numFmtId="0" fontId="4" fillId="13" borderId="29" xfId="0" applyFont="1" applyFill="1" applyBorder="1"/>
    <xf numFmtId="0" fontId="0" fillId="15" borderId="27" xfId="0" applyFill="1" applyBorder="1"/>
    <xf numFmtId="0" fontId="0" fillId="15" borderId="28" xfId="0" applyFill="1" applyBorder="1"/>
    <xf numFmtId="0" fontId="0" fillId="0" borderId="28" xfId="0" applyBorder="1"/>
    <xf numFmtId="0" fontId="4" fillId="11" borderId="27" xfId="0" applyFont="1" applyFill="1" applyBorder="1"/>
    <xf numFmtId="0" fontId="4" fillId="11" borderId="28" xfId="0" applyFont="1" applyFill="1" applyBorder="1"/>
    <xf numFmtId="0" fontId="0" fillId="0" borderId="10" xfId="0" applyBorder="1" applyAlignment="1">
      <alignment horizontal="center" vertical="center"/>
    </xf>
    <xf numFmtId="0" fontId="4" fillId="0" borderId="10" xfId="0" applyFont="1" applyBorder="1" applyAlignment="1">
      <alignment horizontal="center" vertical="center"/>
    </xf>
    <xf numFmtId="164" fontId="4" fillId="0" borderId="27" xfId="0" applyNumberFormat="1" applyFont="1" applyBorder="1" applyAlignment="1"/>
    <xf numFmtId="164" fontId="4" fillId="0" borderId="29" xfId="0" applyNumberFormat="1" applyFont="1" applyBorder="1" applyAlignment="1"/>
    <xf numFmtId="0" fontId="4" fillId="14" borderId="27" xfId="3" applyFont="1" applyFill="1" applyBorder="1" applyAlignment="1">
      <alignment horizontal="center" vertical="center" wrapText="1"/>
    </xf>
    <xf numFmtId="0" fontId="4" fillId="14" borderId="29" xfId="3" applyFont="1" applyFill="1" applyBorder="1" applyAlignment="1">
      <alignment horizontal="center" vertical="center"/>
    </xf>
    <xf numFmtId="164" fontId="4" fillId="14" borderId="27" xfId="2" applyNumberFormat="1" applyFont="1" applyFill="1" applyBorder="1" applyAlignment="1">
      <alignment horizontal="center"/>
    </xf>
    <xf numFmtId="164" fontId="4" fillId="14" borderId="29" xfId="2" applyNumberFormat="1" applyFont="1" applyFill="1" applyBorder="1" applyAlignment="1">
      <alignment horizontal="center"/>
    </xf>
    <xf numFmtId="0" fontId="0" fillId="0" borderId="30" xfId="0" applyBorder="1" applyAlignment="1">
      <alignment vertical="center"/>
    </xf>
    <xf numFmtId="0" fontId="0" fillId="0" borderId="31" xfId="0" applyBorder="1" applyAlignment="1">
      <alignment vertical="center"/>
    </xf>
    <xf numFmtId="167" fontId="4" fillId="0" borderId="27" xfId="0" applyNumberFormat="1" applyFont="1" applyBorder="1" applyAlignment="1"/>
    <xf numFmtId="167" fontId="4" fillId="0" borderId="29" xfId="0" applyNumberFormat="1" applyFont="1" applyBorder="1" applyAlignment="1"/>
    <xf numFmtId="167" fontId="4" fillId="14" borderId="27" xfId="2" applyNumberFormat="1" applyFont="1" applyFill="1" applyBorder="1" applyAlignment="1">
      <alignment horizontal="right"/>
    </xf>
    <xf numFmtId="167" fontId="4" fillId="14" borderId="29" xfId="2" applyNumberFormat="1" applyFont="1" applyFill="1" applyBorder="1" applyAlignment="1">
      <alignment horizontal="right"/>
    </xf>
    <xf numFmtId="3" fontId="4" fillId="0" borderId="27" xfId="0" applyNumberFormat="1" applyFont="1" applyBorder="1" applyAlignment="1"/>
    <xf numFmtId="0" fontId="4" fillId="0" borderId="29" xfId="0" applyFont="1" applyBorder="1" applyAlignment="1"/>
    <xf numFmtId="0" fontId="4" fillId="14" borderId="27" xfId="2" applyFont="1" applyFill="1" applyBorder="1" applyAlignment="1">
      <alignment horizontal="center"/>
    </xf>
    <xf numFmtId="0" fontId="4" fillId="14" borderId="29" xfId="2" applyFont="1" applyFill="1" applyBorder="1" applyAlignment="1">
      <alignment horizontal="center"/>
    </xf>
    <xf numFmtId="0" fontId="4" fillId="0" borderId="27" xfId="0" applyFont="1" applyBorder="1" applyAlignment="1"/>
    <xf numFmtId="0" fontId="0" fillId="0" borderId="29" xfId="0" applyBorder="1" applyAlignment="1"/>
    <xf numFmtId="0" fontId="17" fillId="14" borderId="27" xfId="2" applyFont="1" applyFill="1" applyBorder="1" applyAlignment="1">
      <alignment horizontal="center"/>
    </xf>
    <xf numFmtId="0" fontId="17" fillId="14" borderId="29" xfId="2" applyFont="1" applyFill="1" applyBorder="1" applyAlignment="1">
      <alignment horizontal="center"/>
    </xf>
    <xf numFmtId="0" fontId="0" fillId="0" borderId="10" xfId="0" applyBorder="1" applyAlignment="1">
      <alignment wrapText="1"/>
    </xf>
    <xf numFmtId="0" fontId="0" fillId="8" borderId="30" xfId="0" applyFill="1" applyBorder="1" applyAlignment="1">
      <alignment horizontal="center" vertical="center" textRotation="90" wrapText="1"/>
    </xf>
    <xf numFmtId="0" fontId="0" fillId="8" borderId="34" xfId="0" applyFill="1" applyBorder="1" applyAlignment="1">
      <alignment horizontal="center" vertical="center" textRotation="90" wrapText="1"/>
    </xf>
    <xf numFmtId="0" fontId="0" fillId="8" borderId="31" xfId="0" applyFill="1" applyBorder="1" applyAlignment="1">
      <alignment horizontal="center" vertical="center" textRotation="90" wrapText="1"/>
    </xf>
    <xf numFmtId="0" fontId="0" fillId="0" borderId="30" xfId="0" applyBorder="1" applyAlignment="1">
      <alignment horizontal="center" vertical="center" textRotation="90" wrapText="1"/>
    </xf>
    <xf numFmtId="0" fontId="0" fillId="0" borderId="31" xfId="0" applyBorder="1" applyAlignment="1">
      <alignment horizontal="center" vertical="center" textRotation="90" wrapText="1"/>
    </xf>
    <xf numFmtId="0" fontId="0" fillId="0" borderId="22" xfId="0" applyBorder="1" applyAlignment="1">
      <alignment horizontal="center" textRotation="90" wrapText="1"/>
    </xf>
    <xf numFmtId="0" fontId="0" fillId="0" borderId="0" xfId="0" applyBorder="1" applyAlignment="1">
      <alignment horizontal="center" textRotation="90" wrapText="1"/>
    </xf>
    <xf numFmtId="0" fontId="0" fillId="0" borderId="19" xfId="0" applyBorder="1" applyAlignment="1">
      <alignment horizontal="center"/>
    </xf>
    <xf numFmtId="0" fontId="0" fillId="0" borderId="19" xfId="0" applyBorder="1" applyAlignment="1"/>
    <xf numFmtId="0" fontId="3" fillId="0" borderId="21" xfId="0" applyFont="1" applyBorder="1" applyAlignment="1">
      <alignment vertical="center" wrapText="1"/>
    </xf>
    <xf numFmtId="0" fontId="0" fillId="0" borderId="8" xfId="0" applyBorder="1" applyAlignment="1">
      <alignment vertical="center"/>
    </xf>
    <xf numFmtId="0" fontId="0" fillId="0" borderId="20" xfId="0" applyBorder="1" applyAlignment="1">
      <alignment vertical="center"/>
    </xf>
    <xf numFmtId="0" fontId="6" fillId="0" borderId="15" xfId="0" applyFont="1" applyFill="1" applyBorder="1" applyAlignment="1">
      <alignment horizontal="center"/>
    </xf>
    <xf numFmtId="0" fontId="6" fillId="0" borderId="16" xfId="0" applyFont="1" applyFill="1" applyBorder="1" applyAlignment="1">
      <alignment horizontal="center"/>
    </xf>
    <xf numFmtId="0" fontId="8" fillId="0" borderId="1" xfId="0" applyFont="1" applyBorder="1" applyAlignment="1">
      <alignment horizontal="center" vertical="center" wrapText="1"/>
    </xf>
    <xf numFmtId="0" fontId="8" fillId="0" borderId="4" xfId="0" applyFont="1" applyBorder="1" applyAlignment="1">
      <alignment horizontal="center" vertical="center" wrapText="1"/>
    </xf>
    <xf numFmtId="0" fontId="0" fillId="0" borderId="21" xfId="0" applyBorder="1" applyAlignment="1">
      <alignment horizontal="center" textRotation="90" wrapText="1"/>
    </xf>
    <xf numFmtId="0" fontId="0" fillId="0" borderId="8" xfId="0" applyBorder="1" applyAlignment="1">
      <alignment horizontal="center" textRotation="90" wrapText="1"/>
    </xf>
    <xf numFmtId="0" fontId="0" fillId="0" borderId="20" xfId="0" applyBorder="1" applyAlignment="1"/>
    <xf numFmtId="0" fontId="8" fillId="0" borderId="15" xfId="0" applyFont="1" applyBorder="1" applyAlignment="1">
      <alignment horizontal="center" vertical="center" wrapText="1"/>
    </xf>
    <xf numFmtId="0" fontId="6" fillId="0" borderId="17" xfId="0" applyFont="1" applyBorder="1" applyAlignment="1">
      <alignment horizontal="center" vertical="center" wrapText="1"/>
    </xf>
    <xf numFmtId="0" fontId="3" fillId="0" borderId="15" xfId="0" applyFont="1" applyBorder="1" applyAlignment="1">
      <alignment horizontal="center"/>
    </xf>
    <xf numFmtId="0" fontId="3" fillId="0" borderId="16" xfId="0" applyFont="1" applyBorder="1" applyAlignment="1">
      <alignment horizontal="center"/>
    </xf>
    <xf numFmtId="0" fontId="0" fillId="0" borderId="17" xfId="0" applyBorder="1" applyAlignment="1">
      <alignment horizontal="center"/>
    </xf>
    <xf numFmtId="0" fontId="7" fillId="0" borderId="15" xfId="0" applyFont="1" applyFill="1" applyBorder="1" applyAlignment="1">
      <alignment horizontal="center"/>
    </xf>
    <xf numFmtId="0" fontId="7" fillId="0" borderId="16" xfId="0" applyFont="1" applyFill="1" applyBorder="1" applyAlignment="1">
      <alignment horizontal="center"/>
    </xf>
    <xf numFmtId="0" fontId="0" fillId="0" borderId="23" xfId="0" applyBorder="1" applyAlignment="1">
      <alignment horizontal="center" vertical="center" textRotation="90" wrapText="1"/>
    </xf>
    <xf numFmtId="0" fontId="0" fillId="0" borderId="24" xfId="0" applyBorder="1" applyAlignment="1">
      <alignment horizontal="center" vertical="center" textRotation="90" wrapText="1"/>
    </xf>
    <xf numFmtId="0" fontId="0" fillId="0" borderId="25" xfId="0" applyBorder="1" applyAlignment="1">
      <alignment horizontal="center"/>
    </xf>
    <xf numFmtId="0" fontId="0" fillId="0" borderId="12" xfId="0" applyBorder="1" applyAlignment="1">
      <alignment horizontal="center" vertical="center" textRotation="90" wrapText="1"/>
    </xf>
    <xf numFmtId="0" fontId="0" fillId="0" borderId="13" xfId="0" applyBorder="1" applyAlignment="1">
      <alignment horizontal="center" vertical="center" textRotation="90" wrapText="1"/>
    </xf>
    <xf numFmtId="0" fontId="0" fillId="0" borderId="14" xfId="0" applyBorder="1" applyAlignment="1">
      <alignment horizontal="center"/>
    </xf>
    <xf numFmtId="0" fontId="8" fillId="0" borderId="7" xfId="0" applyFont="1" applyBorder="1" applyAlignment="1">
      <alignment horizontal="center" vertical="center" wrapText="1"/>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0" fillId="0" borderId="18" xfId="0" applyBorder="1" applyAlignment="1">
      <alignment horizontal="center"/>
    </xf>
    <xf numFmtId="0" fontId="0" fillId="0" borderId="20" xfId="0" applyBorder="1" applyAlignment="1">
      <alignment horizontal="center"/>
    </xf>
    <xf numFmtId="0" fontId="8" fillId="0" borderId="1" xfId="0" applyFont="1" applyFill="1" applyBorder="1" applyAlignment="1">
      <alignment horizontal="center" vertical="center" wrapText="1"/>
    </xf>
  </cellXfs>
  <cellStyles count="5">
    <cellStyle name="Hyperlink" xfId="1" builtinId="8"/>
    <cellStyle name="Normal" xfId="0" builtinId="0"/>
    <cellStyle name="Normal 2" xfId="2"/>
    <cellStyle name="Normal 3" xfId="3"/>
    <cellStyle name="Normal 4" xfId="4"/>
  </cellStyles>
  <dxfs count="0"/>
  <tableStyles count="0" defaultTableStyle="TableStyleMedium9"/>
</styleSheet>
</file>

<file path=xl/_rels/workbook.xml.rels><?xml version="1.0" encoding="UTF-8" standalone="yes"?>
<Relationships xmlns="http://schemas.openxmlformats.org/package/2006/relationships"><Relationship Id="rId14" Type="http://schemas.openxmlformats.org/officeDocument/2006/relationships/sharedStrings" Target="sharedStrings.xml"/><Relationship Id="rId4" Type="http://schemas.openxmlformats.org/officeDocument/2006/relationships/worksheet" Target="worksheets/sheet4.xml"/><Relationship Id="rId7" Type="http://schemas.openxmlformats.org/officeDocument/2006/relationships/worksheet" Target="worksheets/sheet7.xml"/><Relationship Id="rId1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8" Type="http://schemas.openxmlformats.org/officeDocument/2006/relationships/worksheet" Target="worksheets/sheet8.xml"/><Relationship Id="rId13" Type="http://schemas.openxmlformats.org/officeDocument/2006/relationships/styles" Target="styles.xml"/><Relationship Id="rId10" Type="http://schemas.openxmlformats.org/officeDocument/2006/relationships/worksheet" Target="worksheets/sheet10.xml"/><Relationship Id="rId5" Type="http://schemas.openxmlformats.org/officeDocument/2006/relationships/worksheet" Target="worksheets/sheet5.xml"/><Relationship Id="rId15" Type="http://schemas.openxmlformats.org/officeDocument/2006/relationships/calcChain" Target="calcChain.xml"/><Relationship Id="rId12" Type="http://schemas.openxmlformats.org/officeDocument/2006/relationships/connections" Target="connections.xml"/><Relationship Id="rId2" Type="http://schemas.openxmlformats.org/officeDocument/2006/relationships/worksheet" Target="worksheets/sheet2.xml"/><Relationship Id="rId9" Type="http://schemas.openxmlformats.org/officeDocument/2006/relationships/worksheet" Target="worksheets/sheet9.xml"/><Relationship Id="rId3" Type="http://schemas.openxmlformats.org/officeDocument/2006/relationships/worksheet" Target="worksheets/sheet3.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2"/>
  <c:chart>
    <c:plotArea>
      <c:layout>
        <c:manualLayout>
          <c:layoutTarget val="inner"/>
          <c:xMode val="edge"/>
          <c:yMode val="edge"/>
          <c:x val="0.0997963340122203"/>
          <c:y val="0.197802905373259"/>
          <c:w val="0.87169042769858"/>
          <c:h val="0.575093632288923"/>
        </c:manualLayout>
      </c:layout>
      <c:barChart>
        <c:barDir val="col"/>
        <c:grouping val="clustered"/>
        <c:ser>
          <c:idx val="0"/>
          <c:order val="0"/>
          <c:tx>
            <c:strRef>
              <c:f>'Figures 1,2,4'!$L$2</c:f>
              <c:strCache>
                <c:ptCount val="1"/>
                <c:pt idx="0">
                  <c:v>District</c:v>
                </c:pt>
              </c:strCache>
            </c:strRef>
          </c:tx>
          <c:spPr>
            <a:solidFill>
              <a:srgbClr val="000000"/>
            </a:solidFill>
            <a:ln w="12700">
              <a:solidFill>
                <a:srgbClr val="000000"/>
              </a:solidFill>
              <a:prstDash val="solid"/>
            </a:ln>
          </c:spPr>
          <c:cat>
            <c:strRef>
              <c:f>'Figures 1,2,4'!$K$3:$K$5</c:f>
              <c:strCache>
                <c:ptCount val="3"/>
                <c:pt idx="0">
                  <c:v>State</c:v>
                </c:pt>
                <c:pt idx="1">
                  <c:v>Statewide Weighted</c:v>
                </c:pt>
                <c:pt idx="2">
                  <c:v>Minneapolis</c:v>
                </c:pt>
              </c:strCache>
            </c:strRef>
          </c:cat>
          <c:val>
            <c:numRef>
              <c:f>'Figures 1,2,4'!$L$3:$L$5</c:f>
              <c:numCache>
                <c:formatCode>_(\$* #,##0_);_(\$* \(#,##0\);_(\$* "-"_);_(@_)</c:formatCode>
                <c:ptCount val="3"/>
                <c:pt idx="0">
                  <c:v>11250.46178076549</c:v>
                </c:pt>
                <c:pt idx="1">
                  <c:v>12720.0</c:v>
                </c:pt>
                <c:pt idx="2">
                  <c:v>15117.72270893286</c:v>
                </c:pt>
              </c:numCache>
            </c:numRef>
          </c:val>
        </c:ser>
        <c:ser>
          <c:idx val="1"/>
          <c:order val="1"/>
          <c:tx>
            <c:strRef>
              <c:f>'Figures 1,2,4'!$M$2</c:f>
              <c:strCache>
                <c:ptCount val="1"/>
                <c:pt idx="0">
                  <c:v>Charter</c:v>
                </c:pt>
              </c:strCache>
            </c:strRef>
          </c:tx>
          <c:spPr>
            <a:solidFill>
              <a:srgbClr val="C0C0C0"/>
            </a:solidFill>
            <a:ln w="12700">
              <a:solidFill>
                <a:srgbClr val="000000"/>
              </a:solidFill>
              <a:prstDash val="solid"/>
            </a:ln>
          </c:spPr>
          <c:cat>
            <c:strRef>
              <c:f>'Figures 1,2,4'!$K$3:$K$5</c:f>
              <c:strCache>
                <c:ptCount val="3"/>
                <c:pt idx="0">
                  <c:v>State</c:v>
                </c:pt>
                <c:pt idx="1">
                  <c:v>Statewide Weighted</c:v>
                </c:pt>
                <c:pt idx="2">
                  <c:v>Minneapolis</c:v>
                </c:pt>
              </c:strCache>
            </c:strRef>
          </c:cat>
          <c:val>
            <c:numRef>
              <c:f>'Figures 1,2,4'!$M$3:$M$5</c:f>
              <c:numCache>
                <c:formatCode>_(\$* #,##0_);_(\$* \(#,##0\);_(\$* "-"_);_(@_)</c:formatCode>
                <c:ptCount val="3"/>
                <c:pt idx="0">
                  <c:v>11081.36414194048</c:v>
                </c:pt>
                <c:pt idx="1">
                  <c:v>11081.0</c:v>
                </c:pt>
                <c:pt idx="2">
                  <c:v>11929.98354625995</c:v>
                </c:pt>
              </c:numCache>
            </c:numRef>
          </c:val>
        </c:ser>
        <c:ser>
          <c:idx val="2"/>
          <c:order val="2"/>
          <c:tx>
            <c:strRef>
              <c:f>'Figures 1,2,4'!$N$2</c:f>
              <c:strCache>
                <c:ptCount val="1"/>
                <c:pt idx="0">
                  <c:v>Difference</c:v>
                </c:pt>
              </c:strCache>
            </c:strRef>
          </c:tx>
          <c:spPr>
            <a:solidFill>
              <a:srgbClr val="808080"/>
            </a:solidFill>
            <a:ln w="12700">
              <a:solidFill>
                <a:srgbClr val="000000"/>
              </a:solidFill>
              <a:prstDash val="solid"/>
            </a:ln>
          </c:spPr>
          <c:cat>
            <c:strRef>
              <c:f>'Figures 1,2,4'!$K$3:$K$5</c:f>
              <c:strCache>
                <c:ptCount val="3"/>
                <c:pt idx="0">
                  <c:v>State</c:v>
                </c:pt>
                <c:pt idx="1">
                  <c:v>Statewide Weighted</c:v>
                </c:pt>
                <c:pt idx="2">
                  <c:v>Minneapolis</c:v>
                </c:pt>
              </c:strCache>
            </c:strRef>
          </c:cat>
          <c:val>
            <c:numRef>
              <c:f>'Figures 1,2,4'!$N$3:$N$5</c:f>
              <c:numCache>
                <c:formatCode>_(\$* #,##0_);_(\$* \(#,##0\);_(\$* "-"_);_(@_)</c:formatCode>
                <c:ptCount val="3"/>
                <c:pt idx="0">
                  <c:v>169.0976388250128</c:v>
                </c:pt>
                <c:pt idx="1">
                  <c:v>1639.0</c:v>
                </c:pt>
                <c:pt idx="2">
                  <c:v>3187.739162672908</c:v>
                </c:pt>
              </c:numCache>
            </c:numRef>
          </c:val>
        </c:ser>
        <c:axId val="467516008"/>
        <c:axId val="467519656"/>
      </c:barChart>
      <c:catAx>
        <c:axId val="467516008"/>
        <c:scaling>
          <c:orientation val="minMax"/>
        </c:scaling>
        <c:axPos val="b"/>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67519656"/>
        <c:crosses val="autoZero"/>
        <c:auto val="1"/>
        <c:lblAlgn val="ctr"/>
        <c:lblOffset val="100"/>
        <c:tickLblSkip val="1"/>
        <c:tickMarkSkip val="1"/>
      </c:catAx>
      <c:valAx>
        <c:axId val="467519656"/>
        <c:scaling>
          <c:orientation val="minMax"/>
        </c:scaling>
        <c:axPos val="l"/>
        <c:numFmt formatCode="_(\$* #,##0_);_(\$* \(#,##0\);_(\$* &quot;-&quot;_);_(@_)" sourceLinked="1"/>
        <c:tickLblPos val="nextTo"/>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467516008"/>
        <c:crosses val="autoZero"/>
        <c:crossBetween val="between"/>
      </c:valAx>
      <c:spPr>
        <a:solidFill>
          <a:srgbClr val="FFFFFF"/>
        </a:solidFill>
        <a:ln w="12700">
          <a:solidFill>
            <a:srgbClr val="808080"/>
          </a:solidFill>
          <a:prstDash val="solid"/>
        </a:ln>
      </c:spPr>
    </c:plotArea>
    <c:legend>
      <c:legendPos val="t"/>
      <c:layout>
        <c:manualLayout>
          <c:xMode val="edge"/>
          <c:yMode val="edge"/>
          <c:x val="0.336048879837069"/>
          <c:y val="0.0293040293040293"/>
          <c:w val="0.399185336048881"/>
          <c:h val="0.0879124724794016"/>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0" l="0.750000000000002" r="0.750000000000002"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2"/>
  <c:chart>
    <c:plotArea>
      <c:layout>
        <c:manualLayout>
          <c:layoutTarget val="inner"/>
          <c:xMode val="edge"/>
          <c:yMode val="edge"/>
          <c:x val="0.264765784114053"/>
          <c:y val="0.157509720945373"/>
          <c:w val="0.680244399185336"/>
          <c:h val="0.677658101741722"/>
        </c:manualLayout>
      </c:layout>
      <c:barChart>
        <c:barDir val="bar"/>
        <c:grouping val="stacked"/>
        <c:ser>
          <c:idx val="0"/>
          <c:order val="0"/>
          <c:tx>
            <c:strRef>
              <c:f>'Figures 1,2,4'!$L$28</c:f>
              <c:strCache>
                <c:ptCount val="1"/>
                <c:pt idx="0">
                  <c:v>Federal </c:v>
                </c:pt>
              </c:strCache>
            </c:strRef>
          </c:tx>
          <c:spPr>
            <a:solidFill>
              <a:srgbClr val="000000"/>
            </a:solidFill>
            <a:ln w="12700">
              <a:solidFill>
                <a:srgbClr val="000000"/>
              </a:solidFill>
              <a:prstDash val="solid"/>
            </a:ln>
          </c:spPr>
          <c:cat>
            <c:strRef>
              <c:f>'Figures 1,2,4'!$K$29:$K$35</c:f>
              <c:strCache>
                <c:ptCount val="7"/>
                <c:pt idx="0">
                  <c:v>Statewide District</c:v>
                </c:pt>
                <c:pt idx="1">
                  <c:v>Statewide Charter</c:v>
                </c:pt>
                <c:pt idx="2">
                  <c:v>Statewide Weighted</c:v>
                </c:pt>
                <c:pt idx="3">
                  <c:v>Minneapolis District</c:v>
                </c:pt>
                <c:pt idx="4">
                  <c:v>Minneapolis Charter</c:v>
                </c:pt>
                <c:pt idx="5">
                  <c:v>St. Paul  District</c:v>
                </c:pt>
                <c:pt idx="6">
                  <c:v>St. Paul Charter</c:v>
                </c:pt>
              </c:strCache>
            </c:strRef>
          </c:cat>
          <c:val>
            <c:numRef>
              <c:f>'Figures 1,2,4'!$L$29:$L$35</c:f>
              <c:numCache>
                <c:formatCode>_(\$* #,##0_);_(\$* \(#,##0\);_(\$* "-"_);_(@_)</c:formatCode>
                <c:ptCount val="7"/>
                <c:pt idx="0">
                  <c:v>617.295047819457</c:v>
                </c:pt>
                <c:pt idx="1">
                  <c:v>1039.27733162917</c:v>
                </c:pt>
                <c:pt idx="2">
                  <c:v>1080.0</c:v>
                </c:pt>
                <c:pt idx="3">
                  <c:v>1729.222876488976</c:v>
                </c:pt>
                <c:pt idx="4">
                  <c:v>1211.455713171126</c:v>
                </c:pt>
                <c:pt idx="5">
                  <c:v>1453.030131064645</c:v>
                </c:pt>
                <c:pt idx="6">
                  <c:v>975.5229573025383</c:v>
                </c:pt>
              </c:numCache>
            </c:numRef>
          </c:val>
        </c:ser>
        <c:ser>
          <c:idx val="1"/>
          <c:order val="1"/>
          <c:tx>
            <c:strRef>
              <c:f>'Figures 1,2,4'!$M$28</c:f>
              <c:strCache>
                <c:ptCount val="1"/>
                <c:pt idx="0">
                  <c:v>State</c:v>
                </c:pt>
              </c:strCache>
            </c:strRef>
          </c:tx>
          <c:spPr>
            <a:solidFill>
              <a:srgbClr val="C0C0C0"/>
            </a:solidFill>
            <a:ln w="12700">
              <a:solidFill>
                <a:srgbClr val="000000"/>
              </a:solidFill>
              <a:prstDash val="solid"/>
            </a:ln>
          </c:spPr>
          <c:cat>
            <c:strRef>
              <c:f>'Figures 1,2,4'!$K$29:$K$35</c:f>
              <c:strCache>
                <c:ptCount val="7"/>
                <c:pt idx="0">
                  <c:v>Statewide District</c:v>
                </c:pt>
                <c:pt idx="1">
                  <c:v>Statewide Charter</c:v>
                </c:pt>
                <c:pt idx="2">
                  <c:v>Statewide Weighted</c:v>
                </c:pt>
                <c:pt idx="3">
                  <c:v>Minneapolis District</c:v>
                </c:pt>
                <c:pt idx="4">
                  <c:v>Minneapolis Charter</c:v>
                </c:pt>
                <c:pt idx="5">
                  <c:v>St. Paul  District</c:v>
                </c:pt>
                <c:pt idx="6">
                  <c:v>St. Paul Charter</c:v>
                </c:pt>
              </c:strCache>
            </c:strRef>
          </c:cat>
          <c:val>
            <c:numRef>
              <c:f>'Figures 1,2,4'!$M$29:$M$35</c:f>
              <c:numCache>
                <c:formatCode>_(\$* #,##0_);_(\$* \(#,##0\);_(\$* "-"_);_(@_)</c:formatCode>
                <c:ptCount val="7"/>
                <c:pt idx="0">
                  <c:v>7656.898950309162</c:v>
                </c:pt>
                <c:pt idx="1">
                  <c:v>9429.978653167724</c:v>
                </c:pt>
                <c:pt idx="2">
                  <c:v>8646.0</c:v>
                </c:pt>
                <c:pt idx="3">
                  <c:v>9750.138262294858</c:v>
                </c:pt>
                <c:pt idx="4">
                  <c:v>9910.711951102688</c:v>
                </c:pt>
                <c:pt idx="5">
                  <c:v>9772.057970946098</c:v>
                </c:pt>
                <c:pt idx="6">
                  <c:v>10216.01832194071</c:v>
                </c:pt>
              </c:numCache>
            </c:numRef>
          </c:val>
        </c:ser>
        <c:ser>
          <c:idx val="2"/>
          <c:order val="2"/>
          <c:tx>
            <c:strRef>
              <c:f>'Figures 1,2,4'!$N$28</c:f>
              <c:strCache>
                <c:ptCount val="1"/>
                <c:pt idx="0">
                  <c:v>Local</c:v>
                </c:pt>
              </c:strCache>
            </c:strRef>
          </c:tx>
          <c:spPr>
            <a:solidFill>
              <a:srgbClr val="969696"/>
            </a:solidFill>
            <a:ln w="12700">
              <a:solidFill>
                <a:srgbClr val="000000"/>
              </a:solidFill>
              <a:prstDash val="solid"/>
            </a:ln>
          </c:spPr>
          <c:cat>
            <c:strRef>
              <c:f>'Figures 1,2,4'!$K$29:$K$35</c:f>
              <c:strCache>
                <c:ptCount val="7"/>
                <c:pt idx="0">
                  <c:v>Statewide District</c:v>
                </c:pt>
                <c:pt idx="1">
                  <c:v>Statewide Charter</c:v>
                </c:pt>
                <c:pt idx="2">
                  <c:v>Statewide Weighted</c:v>
                </c:pt>
                <c:pt idx="3">
                  <c:v>Minneapolis District</c:v>
                </c:pt>
                <c:pt idx="4">
                  <c:v>Minneapolis Charter</c:v>
                </c:pt>
                <c:pt idx="5">
                  <c:v>St. Paul  District</c:v>
                </c:pt>
                <c:pt idx="6">
                  <c:v>St. Paul Charter</c:v>
                </c:pt>
              </c:strCache>
            </c:strRef>
          </c:cat>
          <c:val>
            <c:numRef>
              <c:f>'Figures 1,2,4'!$N$29:$N$35</c:f>
              <c:numCache>
                <c:formatCode>_(\$* #,##0_);_(\$* \(#,##0\);_(\$* "-"_);_(@_)</c:formatCode>
                <c:ptCount val="7"/>
                <c:pt idx="0">
                  <c:v>2467.358296744057</c:v>
                </c:pt>
                <c:pt idx="1">
                  <c:v>488.5969118473241</c:v>
                </c:pt>
                <c:pt idx="2">
                  <c:v>2689.0</c:v>
                </c:pt>
                <c:pt idx="3">
                  <c:v>3461.807741827301</c:v>
                </c:pt>
                <c:pt idx="4">
                  <c:v>780.9473100755812</c:v>
                </c:pt>
                <c:pt idx="5">
                  <c:v>2328.003143003102</c:v>
                </c:pt>
                <c:pt idx="6">
                  <c:v>453.0526850114726</c:v>
                </c:pt>
              </c:numCache>
            </c:numRef>
          </c:val>
        </c:ser>
        <c:ser>
          <c:idx val="3"/>
          <c:order val="3"/>
          <c:tx>
            <c:strRef>
              <c:f>'Figures 1,2,4'!$O$28</c:f>
              <c:strCache>
                <c:ptCount val="1"/>
                <c:pt idx="0">
                  <c:v>Other </c:v>
                </c:pt>
              </c:strCache>
            </c:strRef>
          </c:tx>
          <c:spPr>
            <a:solidFill>
              <a:srgbClr val="333333"/>
            </a:solidFill>
            <a:ln w="12700">
              <a:solidFill>
                <a:srgbClr val="000000"/>
              </a:solidFill>
              <a:prstDash val="solid"/>
            </a:ln>
          </c:spPr>
          <c:cat>
            <c:strRef>
              <c:f>'Figures 1,2,4'!$K$29:$K$35</c:f>
              <c:strCache>
                <c:ptCount val="7"/>
                <c:pt idx="0">
                  <c:v>Statewide District</c:v>
                </c:pt>
                <c:pt idx="1">
                  <c:v>Statewide Charter</c:v>
                </c:pt>
                <c:pt idx="2">
                  <c:v>Statewide Weighted</c:v>
                </c:pt>
                <c:pt idx="3">
                  <c:v>Minneapolis District</c:v>
                </c:pt>
                <c:pt idx="4">
                  <c:v>Minneapolis Charter</c:v>
                </c:pt>
                <c:pt idx="5">
                  <c:v>St. Paul  District</c:v>
                </c:pt>
                <c:pt idx="6">
                  <c:v>St. Paul Charter</c:v>
                </c:pt>
              </c:strCache>
            </c:strRef>
          </c:cat>
          <c:val>
            <c:numRef>
              <c:f>'Figures 1,2,4'!$O$29:$O$35</c:f>
              <c:numCache>
                <c:formatCode>_(\$* #,##0_);_(\$* \(#,##0\);_(\$* "-"_);_(@_)</c:formatCode>
                <c:ptCount val="7"/>
                <c:pt idx="0">
                  <c:v>658.309586296236</c:v>
                </c:pt>
                <c:pt idx="1">
                  <c:v>128.7344150069407</c:v>
                </c:pt>
                <c:pt idx="2">
                  <c:v>535.0</c:v>
                </c:pt>
                <c:pt idx="3">
                  <c:v>475.109418072403</c:v>
                </c:pt>
                <c:pt idx="4">
                  <c:v>34.24754715162323</c:v>
                </c:pt>
                <c:pt idx="5">
                  <c:v>305.8047397525003</c:v>
                </c:pt>
                <c:pt idx="6">
                  <c:v>55.53156607662838</c:v>
                </c:pt>
              </c:numCache>
            </c:numRef>
          </c:val>
        </c:ser>
        <c:ser>
          <c:idx val="4"/>
          <c:order val="4"/>
          <c:tx>
            <c:strRef>
              <c:f>'Figures 1,2,4'!$P$28</c:f>
              <c:strCache>
                <c:ptCount val="1"/>
                <c:pt idx="0">
                  <c:v>Indeterminate</c:v>
                </c:pt>
              </c:strCache>
            </c:strRef>
          </c:tx>
          <c:spPr>
            <a:solidFill>
              <a:srgbClr val="808080"/>
            </a:solidFill>
            <a:ln w="12700">
              <a:solidFill>
                <a:srgbClr val="000000"/>
              </a:solidFill>
              <a:prstDash val="solid"/>
            </a:ln>
          </c:spPr>
          <c:cat>
            <c:strRef>
              <c:f>'Figures 1,2,4'!$K$29:$K$35</c:f>
              <c:strCache>
                <c:ptCount val="7"/>
                <c:pt idx="0">
                  <c:v>Statewide District</c:v>
                </c:pt>
                <c:pt idx="1">
                  <c:v>Statewide Charter</c:v>
                </c:pt>
                <c:pt idx="2">
                  <c:v>Statewide Weighted</c:v>
                </c:pt>
                <c:pt idx="3">
                  <c:v>Minneapolis District</c:v>
                </c:pt>
                <c:pt idx="4">
                  <c:v>Minneapolis Charter</c:v>
                </c:pt>
                <c:pt idx="5">
                  <c:v>St. Paul  District</c:v>
                </c:pt>
                <c:pt idx="6">
                  <c:v>St. Paul Charter</c:v>
                </c:pt>
              </c:strCache>
            </c:strRef>
          </c:cat>
          <c:val>
            <c:numRef>
              <c:f>'Figures 1,2,4'!$P$29:$P$35</c:f>
              <c:numCache>
                <c:formatCode>_(\$* #,##0_);_(\$* \(#,##0\);_(\$* "-"_);_(@_)</c:formatCode>
                <c:ptCount val="7"/>
                <c:pt idx="0">
                  <c:v>-149.400100403418</c:v>
                </c:pt>
                <c:pt idx="1">
                  <c:v>-5.223169710675684</c:v>
                </c:pt>
                <c:pt idx="2">
                  <c:v>-230.0</c:v>
                </c:pt>
                <c:pt idx="3">
                  <c:v>-298.5555897506821</c:v>
                </c:pt>
                <c:pt idx="4">
                  <c:v>-7.378975241067474</c:v>
                </c:pt>
                <c:pt idx="5">
                  <c:v>-349.0490973894432</c:v>
                </c:pt>
                <c:pt idx="6">
                  <c:v>0.0</c:v>
                </c:pt>
              </c:numCache>
            </c:numRef>
          </c:val>
        </c:ser>
        <c:overlap val="100"/>
        <c:axId val="478281576"/>
        <c:axId val="478285288"/>
      </c:barChart>
      <c:catAx>
        <c:axId val="478281576"/>
        <c:scaling>
          <c:orientation val="minMax"/>
        </c:scaling>
        <c:axPos val="l"/>
        <c:numFmt formatCode="General"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285288"/>
        <c:crosses val="autoZero"/>
        <c:auto val="1"/>
        <c:lblAlgn val="ctr"/>
        <c:lblOffset val="100"/>
        <c:tickLblSkip val="1"/>
        <c:tickMarkSkip val="1"/>
      </c:catAx>
      <c:valAx>
        <c:axId val="478285288"/>
        <c:scaling>
          <c:orientation val="minMax"/>
        </c:scaling>
        <c:axPos val="b"/>
        <c:numFmt formatCode="_(\$* #,##0_);_(\$* \(#,##0\);_(\$* &quot;-&quot;_);_(@_)" sourceLinked="1"/>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281576"/>
        <c:crosses val="autoZero"/>
        <c:crossBetween val="between"/>
      </c:valAx>
      <c:spPr>
        <a:solidFill>
          <a:srgbClr val="FFFFFF"/>
        </a:solidFill>
        <a:ln w="12700">
          <a:solidFill>
            <a:srgbClr val="808080"/>
          </a:solidFill>
          <a:prstDash val="solid"/>
        </a:ln>
      </c:spPr>
    </c:plotArea>
    <c:legend>
      <c:legendPos val="t"/>
      <c:layout>
        <c:manualLayout>
          <c:xMode val="edge"/>
          <c:yMode val="edge"/>
          <c:x val="0.285132382892058"/>
          <c:y val="0.0293040293040293"/>
          <c:w val="0.637474541751527"/>
          <c:h val="0.0879124724794017"/>
        </c:manualLayout>
      </c:layout>
      <c:spPr>
        <a:solidFill>
          <a:srgbClr val="FFFFFF"/>
        </a:solidFill>
        <a:ln w="3175">
          <a:solidFill>
            <a:srgbClr val="000000"/>
          </a:solidFill>
          <a:prstDash val="solid"/>
        </a:ln>
      </c:spPr>
      <c:txPr>
        <a:bodyPr/>
        <a:lstStyle/>
        <a:p>
          <a:pPr>
            <a:defRPr sz="920" b="0" i="0" u="none" strike="noStrike" baseline="0">
              <a:solidFill>
                <a:srgbClr val="000000"/>
              </a:solidFill>
              <a:latin typeface="Arial"/>
              <a:ea typeface="Arial"/>
              <a:cs typeface="Arial"/>
            </a:defRPr>
          </a:pPr>
          <a:endParaRPr lang="en-US"/>
        </a:p>
      </c:txPr>
    </c:legend>
    <c:plotVisOnly val="1"/>
    <c:dispBlanksAs val="gap"/>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printSettings>
    <c:headerFooter alignWithMargins="0"/>
    <c:pageMargins b="1.0" l="0.750000000000002" r="0.750000000000002" t="1.0" header="0.5" footer="0.5"/>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600075</xdr:colOff>
      <xdr:row>7</xdr:row>
      <xdr:rowOff>9525</xdr:rowOff>
    </xdr:from>
    <xdr:to>
      <xdr:col>17</xdr:col>
      <xdr:colOff>400050</xdr:colOff>
      <xdr:row>22</xdr:row>
      <xdr:rowOff>19050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36</xdr:row>
      <xdr:rowOff>0</xdr:rowOff>
    </xdr:from>
    <xdr:to>
      <xdr:col>17</xdr:col>
      <xdr:colOff>409575</xdr:colOff>
      <xdr:row>52</xdr:row>
      <xdr:rowOff>9525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name="Query from Profiles"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Query from Profiles_1" connectionId="2"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Query from Profiles_1" connectionId="5"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Query from Profiles_1" connectionId="3"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Query from Profiles_1" connectionId="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3" Type="http://schemas.openxmlformats.org/officeDocument/2006/relationships/queryTable" Target="../queryTables/queryTable1.xml"/><Relationship Id="rId1" Type="http://schemas.openxmlformats.org/officeDocument/2006/relationships/hyperlink" Target="http://education.state.mn.us/mdeprod/idcplg?IdcService=GET_FILE&amp;dDocName=013972&amp;RevisionSelectionMethod=latest&amp;Rendition=primary" TargetMode="External"/></Relationships>
</file>

<file path=xl/worksheets/_rels/sheet7.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hyperlink" Target="http://education.state.mn.us/mdeprod/idcplg?IdcService=GET_FILE&amp;dDocName=013972&amp;RevisionSelectionMethod=latest&amp;Rendition=primary" TargetMode="External"/></Relationships>
</file>

<file path=xl/worksheets/_rels/sheet8.xml.rels><?xml version="1.0" encoding="UTF-8" standalone="yes"?>
<Relationships xmlns="http://schemas.openxmlformats.org/package/2006/relationships"><Relationship Id="rId2" Type="http://schemas.openxmlformats.org/officeDocument/2006/relationships/queryTable" Target="../queryTables/queryTable3.xml"/><Relationship Id="rId1" Type="http://schemas.openxmlformats.org/officeDocument/2006/relationships/hyperlink" Target="http://education.state.mn.us/mdeprod/idcplg?IdcService=GET_FILE&amp;dDocName=013972&amp;RevisionSelectionMethod=latest&amp;Rendition=primary" TargetMode="External"/></Relationships>
</file>

<file path=xl/worksheets/_rels/sheet9.xml.rels><?xml version="1.0" encoding="UTF-8" standalone="yes"?>
<Relationships xmlns="http://schemas.openxmlformats.org/package/2006/relationships"><Relationship Id="rId2" Type="http://schemas.openxmlformats.org/officeDocument/2006/relationships/queryTable" Target="../queryTables/queryTable4.xml"/><Relationship Id="rId1" Type="http://schemas.openxmlformats.org/officeDocument/2006/relationships/hyperlink" Target="http://education.state.mn.us/mdeprod/idcplg?IdcService=GET_FILE&amp;dDocName=013972&amp;RevisionSelectionMethod=latest&amp;Rendition=primary" TargetMode="External"/></Relationships>
</file>

<file path=xl/worksheets/_rels/sheet10.xml.rels><?xml version="1.0" encoding="UTF-8" standalone="yes"?>
<Relationships xmlns="http://schemas.openxmlformats.org/package/2006/relationships"><Relationship Id="rId2" Type="http://schemas.openxmlformats.org/officeDocument/2006/relationships/queryTable" Target="../queryTables/queryTable5.xml"/><Relationship Id="rId1" Type="http://schemas.openxmlformats.org/officeDocument/2006/relationships/hyperlink" Target="http://education.state.mn.us/mdeprod/idcplg?IdcService=GET_FILE&amp;dDocName=013972&amp;RevisionSelectionMethod=latest&amp;Rendition=prim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D22"/>
  <sheetViews>
    <sheetView tabSelected="1" workbookViewId="0"/>
  </sheetViews>
  <sheetFormatPr baseColWidth="10" defaultColWidth="8.83203125" defaultRowHeight="12"/>
  <cols>
    <col min="3" max="3" width="1.6640625" customWidth="1"/>
    <col min="4" max="4" width="12.1640625" bestFit="1" customWidth="1"/>
  </cols>
  <sheetData>
    <row r="2" spans="1:4">
      <c r="A2" t="s">
        <v>14</v>
      </c>
    </row>
    <row r="3" spans="1:4">
      <c r="A3" s="169"/>
      <c r="B3" s="170"/>
      <c r="C3" s="171"/>
      <c r="D3" s="172" t="s">
        <v>57</v>
      </c>
    </row>
    <row r="4" spans="1:4">
      <c r="A4" s="173"/>
      <c r="B4" s="171"/>
      <c r="C4" s="171"/>
      <c r="D4" s="172"/>
    </row>
    <row r="5" spans="1:4">
      <c r="A5" s="174"/>
      <c r="B5" s="175"/>
      <c r="C5" s="171"/>
      <c r="D5" s="172" t="s">
        <v>174</v>
      </c>
    </row>
    <row r="6" spans="1:4">
      <c r="A6" s="173"/>
      <c r="B6" s="171"/>
      <c r="C6" s="171"/>
      <c r="D6" s="172"/>
    </row>
    <row r="7" spans="1:4">
      <c r="A7" s="176"/>
      <c r="B7" s="177"/>
      <c r="C7" s="171"/>
      <c r="D7" s="172" t="s">
        <v>1211</v>
      </c>
    </row>
    <row r="8" spans="1:4">
      <c r="A8" s="173"/>
      <c r="B8" s="171"/>
      <c r="C8" s="171"/>
      <c r="D8" s="172"/>
    </row>
    <row r="9" spans="1:4">
      <c r="A9" s="178"/>
      <c r="B9" s="179"/>
      <c r="C9" s="171"/>
      <c r="D9" s="172" t="s">
        <v>1193</v>
      </c>
    </row>
    <row r="10" spans="1:4">
      <c r="A10" s="173"/>
      <c r="B10" s="171"/>
      <c r="C10" s="171"/>
      <c r="D10" s="172"/>
    </row>
    <row r="11" spans="1:4">
      <c r="A11" s="180"/>
      <c r="B11" s="181"/>
      <c r="C11" s="171"/>
      <c r="D11" s="172" t="s">
        <v>58</v>
      </c>
    </row>
    <row r="12" spans="1:4">
      <c r="A12" s="173"/>
      <c r="B12" s="171"/>
      <c r="C12" s="171"/>
      <c r="D12" s="172"/>
    </row>
    <row r="13" spans="1:4">
      <c r="A13" s="187"/>
      <c r="B13" s="188"/>
      <c r="C13" s="171"/>
      <c r="D13" s="186" t="s">
        <v>192</v>
      </c>
    </row>
    <row r="14" spans="1:4">
      <c r="A14" s="173"/>
      <c r="B14" s="171"/>
      <c r="C14" s="171"/>
      <c r="D14" s="172"/>
    </row>
    <row r="15" spans="1:4">
      <c r="A15" s="190"/>
      <c r="B15" s="191"/>
      <c r="C15" s="189"/>
      <c r="D15" s="186" t="s">
        <v>190</v>
      </c>
    </row>
    <row r="18" spans="1:2">
      <c r="A18" t="s">
        <v>15</v>
      </c>
      <c r="B18" t="s">
        <v>18</v>
      </c>
    </row>
    <row r="20" spans="1:2">
      <c r="A20" t="s">
        <v>19</v>
      </c>
    </row>
    <row r="21" spans="1:2">
      <c r="A21" t="s">
        <v>16</v>
      </c>
    </row>
    <row r="22" spans="1:2">
      <c r="A22" t="s">
        <v>17</v>
      </c>
    </row>
  </sheetData>
  <sheetCalcPr fullCalcOnLoad="1"/>
  <phoneticPr fontId="18" type="noConversion"/>
  <pageMargins left="0.7" right="0.7" top="0.75" bottom="0.75" header="0.3" footer="0.3"/>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P37"/>
  <sheetViews>
    <sheetView topLeftCell="A19" workbookViewId="0">
      <selection activeCell="H43" sqref="H43"/>
    </sheetView>
  </sheetViews>
  <sheetFormatPr baseColWidth="10" defaultColWidth="8.83203125" defaultRowHeight="12"/>
  <cols>
    <col min="1" max="1" width="19" customWidth="1"/>
    <col min="2" max="9" width="11.1640625" customWidth="1"/>
  </cols>
  <sheetData>
    <row r="1" spans="1:14">
      <c r="A1" t="s">
        <v>195</v>
      </c>
      <c r="K1" s="161" t="s">
        <v>196</v>
      </c>
      <c r="L1" s="161"/>
      <c r="M1" s="161"/>
      <c r="N1" s="161"/>
    </row>
    <row r="2" spans="1:14">
      <c r="A2" s="79" t="s">
        <v>70</v>
      </c>
      <c r="B2" s="192" t="s">
        <v>191</v>
      </c>
      <c r="C2" s="192"/>
      <c r="D2" s="196" t="s">
        <v>6</v>
      </c>
      <c r="E2" s="197"/>
      <c r="F2" s="193" t="s">
        <v>192</v>
      </c>
      <c r="G2" s="192"/>
      <c r="H2" s="193" t="s">
        <v>190</v>
      </c>
      <c r="I2" s="192"/>
      <c r="K2" s="161"/>
      <c r="L2" s="161" t="s">
        <v>52</v>
      </c>
      <c r="M2" s="161" t="s">
        <v>178</v>
      </c>
      <c r="N2" s="161" t="s">
        <v>53</v>
      </c>
    </row>
    <row r="3" spans="1:14">
      <c r="A3" s="74" t="s">
        <v>54</v>
      </c>
      <c r="B3" s="75"/>
      <c r="C3" s="75"/>
      <c r="D3" s="156"/>
      <c r="E3" s="156"/>
      <c r="F3" s="75"/>
      <c r="G3" s="75"/>
      <c r="H3" s="75"/>
      <c r="I3" s="75"/>
      <c r="K3" s="163" t="s">
        <v>174</v>
      </c>
      <c r="L3" s="162">
        <v>11250.461780765494</v>
      </c>
      <c r="M3" s="162">
        <v>11081.364141940481</v>
      </c>
      <c r="N3" s="162">
        <v>169.09763882501284</v>
      </c>
    </row>
    <row r="4" spans="1:14">
      <c r="A4" s="15" t="s">
        <v>52</v>
      </c>
      <c r="B4" s="194">
        <f>B14</f>
        <v>11250.461780765494</v>
      </c>
      <c r="C4" s="195"/>
      <c r="D4" s="198">
        <v>12720</v>
      </c>
      <c r="E4" s="199"/>
      <c r="F4" s="194">
        <f>F14</f>
        <v>15117.722708932859</v>
      </c>
      <c r="G4" s="195"/>
      <c r="H4" s="194">
        <f>H14</f>
        <v>13509.846887376902</v>
      </c>
      <c r="I4" s="195"/>
      <c r="K4" s="163" t="s">
        <v>8</v>
      </c>
      <c r="L4" s="162">
        <v>12720</v>
      </c>
      <c r="M4" s="162">
        <v>11081</v>
      </c>
      <c r="N4" s="162">
        <v>1639</v>
      </c>
    </row>
    <row r="5" spans="1:14">
      <c r="A5" s="15" t="s">
        <v>178</v>
      </c>
      <c r="B5" s="194">
        <f>C14</f>
        <v>11081.364141940481</v>
      </c>
      <c r="C5" s="195"/>
      <c r="D5" s="198">
        <v>11081</v>
      </c>
      <c r="E5" s="199"/>
      <c r="F5" s="194">
        <f>G14</f>
        <v>11929.983546259951</v>
      </c>
      <c r="G5" s="195"/>
      <c r="H5" s="194">
        <f>I14</f>
        <v>11700.125530331352</v>
      </c>
      <c r="I5" s="195"/>
      <c r="K5" s="163" t="s">
        <v>192</v>
      </c>
      <c r="L5" s="162">
        <v>15117.722708932859</v>
      </c>
      <c r="M5" s="162">
        <v>11929.983546259951</v>
      </c>
      <c r="N5" s="162">
        <v>3187.7391626729077</v>
      </c>
    </row>
    <row r="6" spans="1:14">
      <c r="A6" s="200" t="s">
        <v>53</v>
      </c>
      <c r="B6" s="194">
        <f>B4-B5</f>
        <v>169.09763882501284</v>
      </c>
      <c r="C6" s="195"/>
      <c r="D6" s="198">
        <v>1639</v>
      </c>
      <c r="E6" s="199"/>
      <c r="F6" s="194">
        <f>F4-F5</f>
        <v>3187.7391626729077</v>
      </c>
      <c r="G6" s="195"/>
      <c r="H6" s="194">
        <f>H4-H5</f>
        <v>1809.7213570455497</v>
      </c>
      <c r="I6" s="195"/>
      <c r="K6" s="163" t="s">
        <v>190</v>
      </c>
      <c r="L6" s="162">
        <v>13509.846887376902</v>
      </c>
      <c r="M6" s="162">
        <v>11700.125530331352</v>
      </c>
      <c r="N6" s="162">
        <v>1809.7213570455497</v>
      </c>
    </row>
    <row r="7" spans="1:14">
      <c r="A7" s="201"/>
      <c r="B7" s="202">
        <f>B6/B4</f>
        <v>1.5030284278118516E-2</v>
      </c>
      <c r="C7" s="203"/>
      <c r="D7" s="204">
        <v>0.129</v>
      </c>
      <c r="E7" s="205"/>
      <c r="F7" s="202">
        <f>F6/F4</f>
        <v>0.21086106843256991</v>
      </c>
      <c r="G7" s="203"/>
      <c r="H7" s="202">
        <f>H6/H4</f>
        <v>0.13395572667344482</v>
      </c>
      <c r="I7" s="203"/>
      <c r="K7" s="165"/>
      <c r="L7" s="162"/>
      <c r="M7" s="162"/>
      <c r="N7" s="162"/>
    </row>
    <row r="8" spans="1:14" ht="24">
      <c r="A8" s="76" t="s">
        <v>55</v>
      </c>
      <c r="B8" s="132" t="s">
        <v>56</v>
      </c>
      <c r="C8" s="132" t="s">
        <v>178</v>
      </c>
      <c r="D8" s="157" t="s">
        <v>56</v>
      </c>
      <c r="E8" s="157" t="s">
        <v>178</v>
      </c>
      <c r="F8" s="132" t="s">
        <v>56</v>
      </c>
      <c r="G8" s="132" t="s">
        <v>178</v>
      </c>
      <c r="H8" s="132" t="s">
        <v>56</v>
      </c>
      <c r="I8" s="132" t="s">
        <v>178</v>
      </c>
      <c r="K8" s="161"/>
      <c r="L8" s="161"/>
      <c r="M8" s="161"/>
      <c r="N8" s="161"/>
    </row>
    <row r="9" spans="1:14">
      <c r="A9" s="15" t="s">
        <v>1211</v>
      </c>
      <c r="B9" s="133">
        <f>'District St Wrk'!S348</f>
        <v>617.29504781945707</v>
      </c>
      <c r="C9" s="133">
        <f>'Charter State Work'!S138</f>
        <v>1039.27733162917</v>
      </c>
      <c r="D9" s="158">
        <v>1080</v>
      </c>
      <c r="E9" s="158">
        <v>1039.27733162917</v>
      </c>
      <c r="F9" s="133">
        <f>'Minnea St Paul Dist wrk'!S8</f>
        <v>1729.2228764889762</v>
      </c>
      <c r="G9" s="133">
        <f>'Charter Minnea St. Paul Wrk'!S37</f>
        <v>1211.4557131711256</v>
      </c>
      <c r="H9" s="133">
        <f>'Minnea St Paul Dist wrk'!S12</f>
        <v>1453.030131064645</v>
      </c>
      <c r="I9" s="133">
        <f>'Charter Minnea St. Paul Wrk'!S69</f>
        <v>975.52295730253832</v>
      </c>
      <c r="K9" s="161"/>
      <c r="L9" s="161"/>
      <c r="M9" s="161"/>
      <c r="N9" s="161"/>
    </row>
    <row r="10" spans="1:14">
      <c r="A10" s="15" t="s">
        <v>174</v>
      </c>
      <c r="B10" s="133">
        <f>'District St Wrk'!Q348</f>
        <v>7656.8989503091616</v>
      </c>
      <c r="C10" s="133">
        <f>'Charter State Work'!Q138</f>
        <v>9429.9786531677237</v>
      </c>
      <c r="D10" s="158">
        <v>8646</v>
      </c>
      <c r="E10" s="158">
        <v>9429.9786531677237</v>
      </c>
      <c r="F10" s="133">
        <f>'Minnea St Paul Dist wrk'!Q8</f>
        <v>9750.1382622948586</v>
      </c>
      <c r="G10" s="133">
        <f>'Charter Minnea St. Paul Wrk'!Q37</f>
        <v>9910.7119511026885</v>
      </c>
      <c r="H10" s="133">
        <f>'Minnea St Paul Dist wrk'!Q12</f>
        <v>9772.0579709460981</v>
      </c>
      <c r="I10" s="133">
        <f>'Charter Minnea St. Paul Wrk'!Q69</f>
        <v>10216.018321940712</v>
      </c>
      <c r="K10" s="161"/>
      <c r="L10" s="161"/>
      <c r="M10" s="161"/>
      <c r="N10" s="161"/>
    </row>
    <row r="11" spans="1:14">
      <c r="A11" s="15" t="s">
        <v>57</v>
      </c>
      <c r="B11" s="133">
        <f>'District St Wrk'!M348</f>
        <v>2467.358296744057</v>
      </c>
      <c r="C11" s="133">
        <f>'Charter State Work'!M138</f>
        <v>488.59691184732412</v>
      </c>
      <c r="D11" s="158">
        <v>2689</v>
      </c>
      <c r="E11" s="158">
        <v>488.59691184732412</v>
      </c>
      <c r="F11" s="133">
        <f>'Minnea St Paul Dist wrk'!M8</f>
        <v>3461.8077418273015</v>
      </c>
      <c r="G11" s="133">
        <f>'Charter Minnea St. Paul Wrk'!M37</f>
        <v>780.94731007558119</v>
      </c>
      <c r="H11" s="133">
        <f>'Minnea St Paul Dist wrk'!M12</f>
        <v>2328.0031430031017</v>
      </c>
      <c r="I11" s="133">
        <f>'Charter Minnea St. Paul Wrk'!M69</f>
        <v>453.05268501147265</v>
      </c>
      <c r="K11" s="161"/>
      <c r="L11" s="161"/>
      <c r="M11" s="161"/>
      <c r="N11" s="161"/>
    </row>
    <row r="12" spans="1:14">
      <c r="A12" s="15" t="s">
        <v>1193</v>
      </c>
      <c r="B12" s="133">
        <f>'District St Wrk'!T348</f>
        <v>658.30958629623603</v>
      </c>
      <c r="C12" s="133">
        <f>'Charter State Work'!T138</f>
        <v>128.73441500694071</v>
      </c>
      <c r="D12" s="158">
        <v>535</v>
      </c>
      <c r="E12" s="158">
        <v>128.73441500694071</v>
      </c>
      <c r="F12" s="133">
        <f>'Minnea St Paul Dist wrk'!T8</f>
        <v>475.109418072403</v>
      </c>
      <c r="G12" s="133">
        <f>'Charter Minnea St. Paul Wrk'!T37</f>
        <v>34.24754715162323</v>
      </c>
      <c r="H12" s="133">
        <f>'Minnea St Paul Dist wrk'!T12</f>
        <v>305.80473975250032</v>
      </c>
      <c r="I12" s="133">
        <f>'Charter Minnea St. Paul Wrk'!T69</f>
        <v>55.53156607662838</v>
      </c>
      <c r="K12" s="161"/>
      <c r="L12" s="161"/>
      <c r="M12" s="161"/>
      <c r="N12" s="161"/>
    </row>
    <row r="13" spans="1:14">
      <c r="A13" s="15" t="s">
        <v>58</v>
      </c>
      <c r="B13" s="133">
        <f>'District St Wrk'!V348</f>
        <v>-149.40010040341801</v>
      </c>
      <c r="C13" s="133">
        <f>'Charter State Work'!V138</f>
        <v>-5.2231697106756849</v>
      </c>
      <c r="D13" s="158">
        <v>-230</v>
      </c>
      <c r="E13" s="158">
        <v>-5.2231697106756849</v>
      </c>
      <c r="F13" s="133">
        <f>'Minnea St Paul Dist wrk'!V8</f>
        <v>-298.55558975068215</v>
      </c>
      <c r="G13" s="133">
        <f>'Charter Minnea St. Paul Wrk'!V37</f>
        <v>-7.378975241067474</v>
      </c>
      <c r="H13" s="133">
        <f>'Minnea St Paul Dist wrk'!V12</f>
        <v>-349.04909738944326</v>
      </c>
      <c r="I13" s="133">
        <f>'Charter Minnea St. Paul Wrk'!V69</f>
        <v>0</v>
      </c>
      <c r="K13" s="161"/>
      <c r="L13" s="161"/>
      <c r="M13" s="161"/>
      <c r="N13" s="161"/>
    </row>
    <row r="14" spans="1:14">
      <c r="A14" s="15" t="s">
        <v>59</v>
      </c>
      <c r="B14" s="133">
        <f t="shared" ref="B14:I14" si="0">SUM(B9:B13)</f>
        <v>11250.461780765494</v>
      </c>
      <c r="C14" s="133">
        <f t="shared" si="0"/>
        <v>11081.364141940481</v>
      </c>
      <c r="D14" s="158">
        <v>12720</v>
      </c>
      <c r="E14" s="158">
        <v>11081.364141940481</v>
      </c>
      <c r="F14" s="133">
        <f t="shared" si="0"/>
        <v>15117.722708932859</v>
      </c>
      <c r="G14" s="133">
        <f t="shared" si="0"/>
        <v>11929.983546259951</v>
      </c>
      <c r="H14" s="133">
        <f t="shared" si="0"/>
        <v>13509.846887376902</v>
      </c>
      <c r="I14" s="133">
        <f t="shared" si="0"/>
        <v>11700.125530331352</v>
      </c>
      <c r="K14" s="161"/>
      <c r="L14" s="161"/>
      <c r="M14" s="161"/>
      <c r="N14" s="161"/>
    </row>
    <row r="15" spans="1:14">
      <c r="A15" s="74" t="s">
        <v>60</v>
      </c>
      <c r="B15" s="134"/>
      <c r="C15" s="134"/>
      <c r="D15" s="159"/>
      <c r="E15" s="159"/>
      <c r="F15" s="134"/>
      <c r="G15" s="134"/>
      <c r="H15" s="134"/>
      <c r="I15" s="134"/>
      <c r="K15" s="161"/>
      <c r="L15" s="161"/>
      <c r="M15" s="161"/>
      <c r="N15" s="161"/>
    </row>
    <row r="16" spans="1:14">
      <c r="A16" s="200" t="s">
        <v>52</v>
      </c>
      <c r="B16" s="206">
        <f>'District St Wrk'!J346</f>
        <v>814733.21999999962</v>
      </c>
      <c r="C16" s="207"/>
      <c r="D16" s="208" t="s">
        <v>7</v>
      </c>
      <c r="E16" s="209"/>
      <c r="F16" s="206">
        <f>'Minnea St Paul Dist wrk'!J6</f>
        <v>39479.31</v>
      </c>
      <c r="G16" s="207"/>
      <c r="H16" s="206">
        <f>'Minnea St Paul Dist wrk'!J10</f>
        <v>42379.85</v>
      </c>
      <c r="I16" s="207"/>
      <c r="K16" s="161"/>
      <c r="L16" s="161"/>
      <c r="M16" s="161"/>
      <c r="N16" s="161"/>
    </row>
    <row r="17" spans="1:16">
      <c r="A17" s="201"/>
      <c r="B17" s="202">
        <f>B16/(B16+B18)</f>
        <v>0.97159835783079673</v>
      </c>
      <c r="C17" s="203"/>
      <c r="D17" s="208" t="s">
        <v>7</v>
      </c>
      <c r="E17" s="209"/>
      <c r="F17" s="202">
        <f>F16/(F16+F18)</f>
        <v>0.85604007760004486</v>
      </c>
      <c r="G17" s="203"/>
      <c r="H17" s="202">
        <f>H16/(H16+H18)</f>
        <v>0.87904738140233651</v>
      </c>
      <c r="I17" s="203"/>
      <c r="K17" s="161"/>
      <c r="L17" s="161"/>
      <c r="M17" s="161"/>
      <c r="N17" s="161"/>
      <c r="O17" s="161"/>
      <c r="P17" s="161"/>
    </row>
    <row r="18" spans="1:16">
      <c r="A18" s="200" t="s">
        <v>178</v>
      </c>
      <c r="B18" s="206">
        <f>'Charter State Work'!J136</f>
        <v>23816.179999999993</v>
      </c>
      <c r="C18" s="207"/>
      <c r="D18" s="208" t="s">
        <v>7</v>
      </c>
      <c r="E18" s="209"/>
      <c r="F18" s="206">
        <f>'Charter Minnea St. Paul Wrk'!J35</f>
        <v>6639.22</v>
      </c>
      <c r="G18" s="207"/>
      <c r="H18" s="206">
        <f>'Charter Minnea St. Paul Wrk'!J67</f>
        <v>5831.26</v>
      </c>
      <c r="I18" s="207"/>
      <c r="K18" s="161"/>
      <c r="L18" s="161"/>
      <c r="M18" s="161"/>
      <c r="N18" s="161"/>
      <c r="O18" s="161"/>
      <c r="P18" s="161"/>
    </row>
    <row r="19" spans="1:16">
      <c r="A19" s="201"/>
      <c r="B19" s="202">
        <f>B18/(B16+B18)</f>
        <v>2.8401642169203153E-2</v>
      </c>
      <c r="C19" s="203"/>
      <c r="D19" s="208" t="s">
        <v>7</v>
      </c>
      <c r="E19" s="209"/>
      <c r="F19" s="202">
        <f>F18/(F16+F18)</f>
        <v>0.14395992239995509</v>
      </c>
      <c r="G19" s="203"/>
      <c r="H19" s="202">
        <f>H18/(H16+H18)</f>
        <v>0.12095261859766349</v>
      </c>
      <c r="I19" s="203"/>
      <c r="K19" s="161"/>
      <c r="L19" s="161"/>
      <c r="M19" s="161"/>
      <c r="N19" s="161"/>
      <c r="O19" s="161"/>
      <c r="P19" s="161"/>
    </row>
    <row r="20" spans="1:16">
      <c r="A20" s="15" t="s">
        <v>61</v>
      </c>
      <c r="B20" s="210">
        <v>129</v>
      </c>
      <c r="C20" s="207"/>
      <c r="D20" s="208" t="s">
        <v>7</v>
      </c>
      <c r="E20" s="209"/>
      <c r="F20" s="210">
        <v>29</v>
      </c>
      <c r="G20" s="207"/>
      <c r="H20" s="210">
        <v>27</v>
      </c>
      <c r="I20" s="207"/>
      <c r="K20" s="161"/>
      <c r="L20" s="161"/>
      <c r="M20" s="161"/>
      <c r="N20" s="161"/>
      <c r="O20" s="161"/>
      <c r="P20" s="161"/>
    </row>
    <row r="21" spans="1:16">
      <c r="A21" s="74" t="s">
        <v>62</v>
      </c>
      <c r="B21" s="134"/>
      <c r="C21" s="134"/>
      <c r="D21" s="159"/>
      <c r="E21" s="159"/>
      <c r="F21" s="134"/>
      <c r="G21" s="134"/>
      <c r="H21" s="134"/>
      <c r="I21" s="134"/>
      <c r="K21" s="161"/>
      <c r="L21" s="161"/>
      <c r="M21" s="161"/>
      <c r="N21" s="161"/>
      <c r="O21" s="161"/>
      <c r="P21" s="161"/>
    </row>
    <row r="22" spans="1:16">
      <c r="A22" s="200" t="s">
        <v>52</v>
      </c>
      <c r="B22" s="194">
        <f>'District St Wrk'!W347</f>
        <v>9166124953.1299992</v>
      </c>
      <c r="C22" s="195"/>
      <c r="D22" s="198" t="s">
        <v>7</v>
      </c>
      <c r="E22" s="199"/>
      <c r="F22" s="206">
        <f>'Minnea St Paul Dist wrk'!W7</f>
        <v>596837261.32000005</v>
      </c>
      <c r="G22" s="207"/>
      <c r="H22" s="206">
        <f>'Minnea St Paul Dist wrk'!W11</f>
        <v>572545284.61000001</v>
      </c>
      <c r="I22" s="207"/>
      <c r="K22" s="161"/>
      <c r="L22" s="161"/>
      <c r="M22" s="161"/>
      <c r="N22" s="161"/>
      <c r="O22" s="161"/>
      <c r="P22" s="161"/>
    </row>
    <row r="23" spans="1:16">
      <c r="A23" s="201"/>
      <c r="B23" s="202">
        <f>B22/B26</f>
        <v>0.97201329548904547</v>
      </c>
      <c r="C23" s="203"/>
      <c r="D23" s="198" t="s">
        <v>7</v>
      </c>
      <c r="E23" s="199"/>
      <c r="F23" s="202">
        <f>F22/F26</f>
        <v>0.88283913909184619</v>
      </c>
      <c r="G23" s="203"/>
      <c r="H23" s="202">
        <f>H22/H26</f>
        <v>0.89352453025083234</v>
      </c>
      <c r="I23" s="203"/>
      <c r="K23" s="161"/>
      <c r="L23" s="161"/>
      <c r="M23" s="161"/>
      <c r="N23" s="161"/>
      <c r="O23" s="161"/>
      <c r="P23" s="161"/>
    </row>
    <row r="24" spans="1:16">
      <c r="A24" s="200" t="s">
        <v>178</v>
      </c>
      <c r="B24" s="194">
        <f>'Charter State Work'!W137</f>
        <v>263915763.05000001</v>
      </c>
      <c r="C24" s="195"/>
      <c r="D24" s="198" t="s">
        <v>7</v>
      </c>
      <c r="E24" s="199"/>
      <c r="F24" s="194">
        <f>'Charter Minnea St. Paul Wrk'!W36</f>
        <v>79205785.359999999</v>
      </c>
      <c r="G24" s="195"/>
      <c r="H24" s="194">
        <f>'Charter Minnea St. Paul Wrk'!W68</f>
        <v>68226474</v>
      </c>
      <c r="I24" s="195"/>
      <c r="K24" s="161"/>
      <c r="L24" s="161"/>
      <c r="M24" s="161"/>
      <c r="N24" s="161"/>
      <c r="O24" s="161"/>
      <c r="P24" s="161"/>
    </row>
    <row r="25" spans="1:16">
      <c r="A25" s="201"/>
      <c r="B25" s="202">
        <f>B24/B26</f>
        <v>2.7986704510954568E-2</v>
      </c>
      <c r="C25" s="203"/>
      <c r="D25" s="198" t="s">
        <v>7</v>
      </c>
      <c r="E25" s="199"/>
      <c r="F25" s="202">
        <f>F24/F26</f>
        <v>0.11716086090815378</v>
      </c>
      <c r="G25" s="203"/>
      <c r="H25" s="202">
        <f>H24/H26</f>
        <v>0.10647546974916763</v>
      </c>
      <c r="I25" s="203"/>
      <c r="K25" s="161"/>
      <c r="L25" s="161"/>
      <c r="M25" s="161"/>
      <c r="N25" s="161"/>
      <c r="O25" s="161"/>
      <c r="P25" s="161"/>
    </row>
    <row r="26" spans="1:16">
      <c r="A26" s="15" t="s">
        <v>59</v>
      </c>
      <c r="B26" s="194">
        <f>B22+B24</f>
        <v>9430040716.1799984</v>
      </c>
      <c r="C26" s="195"/>
      <c r="D26" s="198" t="s">
        <v>7</v>
      </c>
      <c r="E26" s="199"/>
      <c r="F26" s="194">
        <f>F22+F24</f>
        <v>676043046.68000007</v>
      </c>
      <c r="G26" s="195"/>
      <c r="H26" s="194">
        <f>H22+H24</f>
        <v>640771758.61000001</v>
      </c>
      <c r="I26" s="195"/>
      <c r="K26" s="161"/>
      <c r="L26" s="161"/>
      <c r="M26" s="161"/>
      <c r="N26" s="161"/>
      <c r="O26" s="161"/>
      <c r="P26" s="161"/>
    </row>
    <row r="27" spans="1:16" ht="24">
      <c r="A27" s="77" t="s">
        <v>64</v>
      </c>
      <c r="B27" s="132" t="s">
        <v>56</v>
      </c>
      <c r="C27" s="132" t="s">
        <v>178</v>
      </c>
      <c r="D27" s="157" t="s">
        <v>56</v>
      </c>
      <c r="E27" s="157" t="s">
        <v>178</v>
      </c>
      <c r="F27" s="132" t="s">
        <v>56</v>
      </c>
      <c r="G27" s="132" t="s">
        <v>178</v>
      </c>
      <c r="H27" s="132" t="s">
        <v>56</v>
      </c>
      <c r="I27" s="132" t="s">
        <v>178</v>
      </c>
      <c r="K27" s="161" t="s">
        <v>63</v>
      </c>
      <c r="L27" s="161"/>
      <c r="M27" s="161"/>
      <c r="N27" s="161"/>
      <c r="O27" s="161"/>
      <c r="P27" s="161"/>
    </row>
    <row r="28" spans="1:16">
      <c r="A28" s="15" t="s">
        <v>1211</v>
      </c>
      <c r="B28" s="135">
        <f t="shared" ref="B28:I28" si="1">B9/B14</f>
        <v>5.4868418723471778E-2</v>
      </c>
      <c r="C28" s="135">
        <f t="shared" si="1"/>
        <v>9.3786046403415091E-2</v>
      </c>
      <c r="D28" s="160">
        <v>8.4905660377358486E-2</v>
      </c>
      <c r="E28" s="160">
        <v>9.3786046403415091E-2</v>
      </c>
      <c r="F28" s="135">
        <f t="shared" si="1"/>
        <v>0.11438382022096501</v>
      </c>
      <c r="G28" s="135">
        <f t="shared" si="1"/>
        <v>0.10154714031863998</v>
      </c>
      <c r="H28" s="135">
        <f t="shared" si="1"/>
        <v>0.10755341220205111</v>
      </c>
      <c r="I28" s="135">
        <f t="shared" si="1"/>
        <v>8.3377135978036906E-2</v>
      </c>
      <c r="K28" s="161"/>
      <c r="L28" s="164" t="s">
        <v>65</v>
      </c>
      <c r="M28" s="164" t="s">
        <v>174</v>
      </c>
      <c r="N28" s="164" t="s">
        <v>57</v>
      </c>
      <c r="O28" s="164" t="s">
        <v>66</v>
      </c>
      <c r="P28" s="164" t="s">
        <v>58</v>
      </c>
    </row>
    <row r="29" spans="1:16">
      <c r="A29" s="15" t="s">
        <v>174</v>
      </c>
      <c r="B29" s="135">
        <f t="shared" ref="B29:I29" si="2">B10/B14</f>
        <v>0.6805853039205807</v>
      </c>
      <c r="C29" s="135">
        <f t="shared" si="2"/>
        <v>0.85097633579943166</v>
      </c>
      <c r="D29" s="160">
        <v>0.67971698113207546</v>
      </c>
      <c r="E29" s="160">
        <v>0.85097633579943166</v>
      </c>
      <c r="F29" s="135">
        <f t="shared" si="2"/>
        <v>0.64494755261873093</v>
      </c>
      <c r="G29" s="135">
        <f t="shared" si="2"/>
        <v>0.83073978372834356</v>
      </c>
      <c r="H29" s="135">
        <f t="shared" si="2"/>
        <v>0.72332855082737801</v>
      </c>
      <c r="I29" s="135">
        <f t="shared" si="2"/>
        <v>0.87315459098765669</v>
      </c>
      <c r="K29" s="161" t="s">
        <v>67</v>
      </c>
      <c r="L29" s="162">
        <v>617.29504781945707</v>
      </c>
      <c r="M29" s="162">
        <v>7656.8989503091616</v>
      </c>
      <c r="N29" s="162">
        <v>2467.358296744057</v>
      </c>
      <c r="O29" s="162">
        <v>658.30958629623603</v>
      </c>
      <c r="P29" s="162">
        <v>-149.40010040341801</v>
      </c>
    </row>
    <row r="30" spans="1:16">
      <c r="A30" s="15" t="s">
        <v>57</v>
      </c>
      <c r="B30" s="135">
        <f t="shared" ref="B30:I30" si="3">B11/B14</f>
        <v>0.21931173536026849</v>
      </c>
      <c r="C30" s="135">
        <f t="shared" si="3"/>
        <v>4.4091765741917484E-2</v>
      </c>
      <c r="D30" s="160">
        <v>0.21139937106918238</v>
      </c>
      <c r="E30" s="160">
        <v>4.4091765741917484E-2</v>
      </c>
      <c r="F30" s="135">
        <f t="shared" si="3"/>
        <v>0.22899002769655022</v>
      </c>
      <c r="G30" s="135">
        <f t="shared" si="3"/>
        <v>6.5460887439397028E-2</v>
      </c>
      <c r="H30" s="135">
        <f t="shared" si="3"/>
        <v>0.17231898795080358</v>
      </c>
      <c r="I30" s="135">
        <f t="shared" si="3"/>
        <v>3.8722036258241922E-2</v>
      </c>
      <c r="K30" s="161" t="s">
        <v>68</v>
      </c>
      <c r="L30" s="162">
        <v>1039.27733162917</v>
      </c>
      <c r="M30" s="162">
        <v>9429.9786531677237</v>
      </c>
      <c r="N30" s="162">
        <v>488.59691184732412</v>
      </c>
      <c r="O30" s="162">
        <v>128.73441500694071</v>
      </c>
      <c r="P30" s="162">
        <v>-5.2231697106756849</v>
      </c>
    </row>
    <row r="31" spans="1:16">
      <c r="A31" s="15" t="s">
        <v>1193</v>
      </c>
      <c r="B31" s="135">
        <f t="shared" ref="B31:I31" si="4">B12/B14</f>
        <v>5.8514005835895909E-2</v>
      </c>
      <c r="C31" s="135">
        <f t="shared" si="4"/>
        <v>1.1617199232692822E-2</v>
      </c>
      <c r="D31" s="160">
        <v>4.2059748427672954E-2</v>
      </c>
      <c r="E31" s="160">
        <v>1.1617199232692822E-2</v>
      </c>
      <c r="F31" s="135">
        <f t="shared" si="4"/>
        <v>3.1427313969164629E-2</v>
      </c>
      <c r="G31" s="135">
        <f t="shared" si="4"/>
        <v>2.8707120189080089E-3</v>
      </c>
      <c r="H31" s="135">
        <f t="shared" si="4"/>
        <v>2.2635692491691589E-2</v>
      </c>
      <c r="I31" s="135">
        <f t="shared" si="4"/>
        <v>4.7462367760643769E-3</v>
      </c>
      <c r="K31" s="161" t="s">
        <v>8</v>
      </c>
      <c r="L31" s="162">
        <v>1080</v>
      </c>
      <c r="M31" s="162">
        <v>8646</v>
      </c>
      <c r="N31" s="162">
        <v>2689</v>
      </c>
      <c r="O31" s="162">
        <v>535</v>
      </c>
      <c r="P31" s="162">
        <v>-230</v>
      </c>
    </row>
    <row r="32" spans="1:16">
      <c r="A32" s="130" t="s">
        <v>58</v>
      </c>
      <c r="B32" s="135">
        <f t="shared" ref="B32:I32" si="5">B13/B14</f>
        <v>-1.3279463840216936E-2</v>
      </c>
      <c r="C32" s="135">
        <f t="shared" si="5"/>
        <v>-4.7134717745689428E-4</v>
      </c>
      <c r="D32" s="160">
        <v>-1.8081761006289308E-2</v>
      </c>
      <c r="E32" s="160">
        <v>-4.7134717745689428E-4</v>
      </c>
      <c r="F32" s="135">
        <f t="shared" si="5"/>
        <v>-1.9748714505410901E-2</v>
      </c>
      <c r="G32" s="135">
        <f t="shared" si="5"/>
        <v>-6.1852350528855357E-4</v>
      </c>
      <c r="H32" s="135">
        <f t="shared" si="5"/>
        <v>-2.5836643471924301E-2</v>
      </c>
      <c r="I32" s="135">
        <f t="shared" si="5"/>
        <v>0</v>
      </c>
      <c r="K32" s="163" t="s">
        <v>71</v>
      </c>
      <c r="L32" s="162">
        <v>1729.2228764889762</v>
      </c>
      <c r="M32" s="162">
        <v>9750.1382622948586</v>
      </c>
      <c r="N32" s="162">
        <v>3461.8077418273015</v>
      </c>
      <c r="O32" s="162">
        <v>475.109418072403</v>
      </c>
      <c r="P32" s="162">
        <v>-298.55558975068215</v>
      </c>
    </row>
    <row r="33" spans="1:16">
      <c r="A33" s="74" t="s">
        <v>69</v>
      </c>
      <c r="B33" s="75"/>
      <c r="C33" s="75"/>
      <c r="D33" s="156"/>
      <c r="E33" s="156"/>
      <c r="F33" s="75"/>
      <c r="G33" s="75"/>
      <c r="H33" s="75"/>
      <c r="I33" s="75"/>
      <c r="K33" s="163" t="s">
        <v>72</v>
      </c>
      <c r="L33" s="162">
        <v>1211.4557131711256</v>
      </c>
      <c r="M33" s="162">
        <v>9910.7119511026885</v>
      </c>
      <c r="N33" s="162">
        <v>780.94731007558119</v>
      </c>
      <c r="O33" s="162">
        <v>34.24754715162323</v>
      </c>
      <c r="P33" s="162">
        <v>-7.378975241067474</v>
      </c>
    </row>
    <row r="34" spans="1:16">
      <c r="A34" s="78"/>
      <c r="B34" s="210" t="s">
        <v>79</v>
      </c>
      <c r="C34" s="211"/>
      <c r="D34" s="212"/>
      <c r="E34" s="213"/>
      <c r="F34" s="210" t="s">
        <v>80</v>
      </c>
      <c r="G34" s="211"/>
      <c r="H34" s="210" t="s">
        <v>81</v>
      </c>
      <c r="I34" s="211"/>
      <c r="K34" s="163" t="s">
        <v>73</v>
      </c>
      <c r="L34" s="162">
        <v>1453.030131064645</v>
      </c>
      <c r="M34" s="162">
        <v>9772.0579709460981</v>
      </c>
      <c r="N34" s="162">
        <v>2328.0031430031017</v>
      </c>
      <c r="O34" s="162">
        <v>305.80473975250032</v>
      </c>
      <c r="P34" s="162">
        <v>-349.04909738944326</v>
      </c>
    </row>
    <row r="35" spans="1:16">
      <c r="B35" s="136">
        <f>B6*B16</f>
        <v>137769463.77429965</v>
      </c>
      <c r="C35" s="137"/>
      <c r="D35" s="137"/>
      <c r="E35" s="137"/>
      <c r="F35" s="136">
        <f>F6*F16</f>
        <v>125849742.60230415</v>
      </c>
      <c r="G35" s="137"/>
      <c r="H35" s="136">
        <f>H6*H16</f>
        <v>76695719.653386831</v>
      </c>
      <c r="K35" s="163" t="s">
        <v>74</v>
      </c>
      <c r="L35" s="162">
        <v>975.52295730253832</v>
      </c>
      <c r="M35" s="162">
        <v>10216.018321940712</v>
      </c>
      <c r="N35" s="162">
        <v>453.05268501147265</v>
      </c>
      <c r="O35" s="162">
        <v>55.53156607662838</v>
      </c>
      <c r="P35" s="162">
        <v>0</v>
      </c>
    </row>
    <row r="36" spans="1:16">
      <c r="A36" s="48" t="s">
        <v>77</v>
      </c>
      <c r="K36" s="161"/>
      <c r="L36" s="162"/>
      <c r="M36" s="162"/>
      <c r="N36" s="162"/>
      <c r="O36" s="162"/>
      <c r="P36" s="162"/>
    </row>
    <row r="37" spans="1:16">
      <c r="A37" s="131" t="s">
        <v>78</v>
      </c>
      <c r="K37" s="161"/>
      <c r="L37" s="162"/>
      <c r="M37" s="162"/>
      <c r="N37" s="162"/>
      <c r="O37" s="162"/>
      <c r="P37" s="162"/>
    </row>
  </sheetData>
  <sheetCalcPr fullCalcOnLoad="1"/>
  <mergeCells count="69">
    <mergeCell ref="B34:C34"/>
    <mergeCell ref="F34:G34"/>
    <mergeCell ref="H34:I34"/>
    <mergeCell ref="F25:G25"/>
    <mergeCell ref="H25:I25"/>
    <mergeCell ref="B26:C26"/>
    <mergeCell ref="F26:G26"/>
    <mergeCell ref="H26:I26"/>
    <mergeCell ref="D34:E34"/>
    <mergeCell ref="D26:E26"/>
    <mergeCell ref="D25:E25"/>
    <mergeCell ref="A24:A25"/>
    <mergeCell ref="B24:C24"/>
    <mergeCell ref="F24:G24"/>
    <mergeCell ref="H24:I24"/>
    <mergeCell ref="B25:C25"/>
    <mergeCell ref="D24:E24"/>
    <mergeCell ref="B20:C20"/>
    <mergeCell ref="F20:G20"/>
    <mergeCell ref="H20:I20"/>
    <mergeCell ref="A22:A23"/>
    <mergeCell ref="B22:C22"/>
    <mergeCell ref="F22:G22"/>
    <mergeCell ref="H22:I22"/>
    <mergeCell ref="B23:C23"/>
    <mergeCell ref="F23:G23"/>
    <mergeCell ref="H23:I23"/>
    <mergeCell ref="D20:E20"/>
    <mergeCell ref="D22:E22"/>
    <mergeCell ref="D23:E23"/>
    <mergeCell ref="A18:A19"/>
    <mergeCell ref="B18:C18"/>
    <mergeCell ref="F18:G18"/>
    <mergeCell ref="H18:I18"/>
    <mergeCell ref="B19:C19"/>
    <mergeCell ref="F19:G19"/>
    <mergeCell ref="H19:I19"/>
    <mergeCell ref="D18:E18"/>
    <mergeCell ref="D19:E19"/>
    <mergeCell ref="A16:A17"/>
    <mergeCell ref="B16:C16"/>
    <mergeCell ref="F16:G16"/>
    <mergeCell ref="H16:I16"/>
    <mergeCell ref="B17:C17"/>
    <mergeCell ref="F17:G17"/>
    <mergeCell ref="H17:I17"/>
    <mergeCell ref="D16:E16"/>
    <mergeCell ref="D17:E17"/>
    <mergeCell ref="B5:C5"/>
    <mergeCell ref="F5:G5"/>
    <mergeCell ref="H5:I5"/>
    <mergeCell ref="A6:A7"/>
    <mergeCell ref="B6:C6"/>
    <mergeCell ref="F6:G6"/>
    <mergeCell ref="H6:I6"/>
    <mergeCell ref="B7:C7"/>
    <mergeCell ref="F7:G7"/>
    <mergeCell ref="H7:I7"/>
    <mergeCell ref="D5:E5"/>
    <mergeCell ref="D6:E6"/>
    <mergeCell ref="D7:E7"/>
    <mergeCell ref="B2:C2"/>
    <mergeCell ref="F2:G2"/>
    <mergeCell ref="H2:I2"/>
    <mergeCell ref="B4:C4"/>
    <mergeCell ref="F4:G4"/>
    <mergeCell ref="H4:I4"/>
    <mergeCell ref="D2:E2"/>
    <mergeCell ref="D4:E4"/>
  </mergeCells>
  <phoneticPr fontId="18" type="noConversion"/>
  <pageMargins left="0.7" right="0.7" top="0.75" bottom="0.75" header="0.3" footer="0.3"/>
  <drawing r:id="rId1"/>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D20"/>
  <sheetViews>
    <sheetView workbookViewId="0"/>
  </sheetViews>
  <sheetFormatPr baseColWidth="10" defaultColWidth="8.83203125" defaultRowHeight="12"/>
  <cols>
    <col min="1" max="1" width="39.6640625" customWidth="1"/>
  </cols>
  <sheetData>
    <row r="1" spans="1:4">
      <c r="A1" t="s">
        <v>29</v>
      </c>
    </row>
    <row r="2" spans="1:4">
      <c r="A2" t="s">
        <v>30</v>
      </c>
    </row>
    <row r="3" spans="1:4">
      <c r="A3" s="15" t="s">
        <v>31</v>
      </c>
      <c r="B3" s="15" t="s">
        <v>32</v>
      </c>
      <c r="C3" s="15" t="s">
        <v>33</v>
      </c>
      <c r="D3" s="15" t="s">
        <v>34</v>
      </c>
    </row>
    <row r="4" spans="1:4" ht="25.5" customHeight="1">
      <c r="A4" s="139" t="s">
        <v>35</v>
      </c>
      <c r="B4" s="130" t="s">
        <v>48</v>
      </c>
      <c r="C4" s="15"/>
      <c r="D4" s="15"/>
    </row>
    <row r="5" spans="1:4" ht="25.5" customHeight="1">
      <c r="A5" s="139" t="s">
        <v>36</v>
      </c>
      <c r="B5" s="15"/>
      <c r="C5" s="15"/>
      <c r="D5" s="130" t="s">
        <v>49</v>
      </c>
    </row>
    <row r="6" spans="1:4" ht="25.5" customHeight="1">
      <c r="A6" s="139" t="s">
        <v>37</v>
      </c>
      <c r="B6" s="15"/>
      <c r="C6" s="130" t="s">
        <v>48</v>
      </c>
      <c r="D6" s="15"/>
    </row>
    <row r="7" spans="1:4" ht="25.5" customHeight="1">
      <c r="A7" s="139" t="s">
        <v>38</v>
      </c>
      <c r="B7" s="130" t="s">
        <v>48</v>
      </c>
      <c r="C7" s="15"/>
      <c r="D7" s="15"/>
    </row>
    <row r="8" spans="1:4" ht="25.5" customHeight="1">
      <c r="A8" s="139" t="s">
        <v>39</v>
      </c>
      <c r="B8" s="130" t="s">
        <v>48</v>
      </c>
      <c r="C8" s="15"/>
      <c r="D8" s="15"/>
    </row>
    <row r="9" spans="1:4" ht="25.5" customHeight="1">
      <c r="A9" s="139" t="s">
        <v>40</v>
      </c>
      <c r="B9" s="15"/>
      <c r="C9" s="130" t="s">
        <v>48</v>
      </c>
      <c r="D9" s="15"/>
    </row>
    <row r="10" spans="1:4" ht="25.5" customHeight="1">
      <c r="A10" s="139" t="s">
        <v>41</v>
      </c>
      <c r="B10" s="15"/>
      <c r="C10" s="130" t="s">
        <v>48</v>
      </c>
      <c r="D10" s="15"/>
    </row>
    <row r="11" spans="1:4" ht="25.5" customHeight="1">
      <c r="A11" s="139" t="s">
        <v>42</v>
      </c>
      <c r="B11" s="130" t="s">
        <v>48</v>
      </c>
      <c r="C11" s="15"/>
      <c r="D11" s="15"/>
    </row>
    <row r="12" spans="1:4" ht="25.5" customHeight="1">
      <c r="A12" s="139" t="s">
        <v>43</v>
      </c>
      <c r="B12" s="130" t="s">
        <v>48</v>
      </c>
      <c r="C12" s="15"/>
      <c r="D12" s="15"/>
    </row>
    <row r="13" spans="1:4" ht="25.5" customHeight="1">
      <c r="A13" s="139" t="s">
        <v>44</v>
      </c>
      <c r="B13" s="15"/>
      <c r="C13" s="130" t="s">
        <v>51</v>
      </c>
      <c r="D13" s="15"/>
    </row>
    <row r="14" spans="1:4" ht="25.5" customHeight="1">
      <c r="A14" s="139" t="s">
        <v>45</v>
      </c>
      <c r="B14" s="15"/>
      <c r="C14" s="130" t="s">
        <v>48</v>
      </c>
      <c r="D14" s="15"/>
    </row>
    <row r="15" spans="1:4" ht="25.5" customHeight="1">
      <c r="A15" s="139" t="s">
        <v>46</v>
      </c>
      <c r="B15" s="15"/>
      <c r="C15" s="130" t="s">
        <v>48</v>
      </c>
      <c r="D15" s="15"/>
    </row>
    <row r="16" spans="1:4" ht="25.5" customHeight="1">
      <c r="A16" s="139" t="s">
        <v>47</v>
      </c>
      <c r="B16" s="130" t="s">
        <v>48</v>
      </c>
      <c r="C16" s="15"/>
      <c r="D16" s="15"/>
    </row>
    <row r="18" spans="1:1" ht="96">
      <c r="A18" s="144" t="s">
        <v>50</v>
      </c>
    </row>
    <row r="19" spans="1:1" ht="84">
      <c r="A19" s="145" t="s">
        <v>0</v>
      </c>
    </row>
    <row r="20" spans="1:1" ht="60">
      <c r="A20" s="145" t="s">
        <v>1</v>
      </c>
    </row>
  </sheetData>
  <sheetCalcPr fullCalcOnLoad="1"/>
  <phoneticPr fontId="18" type="noConversion"/>
  <pageMargins left="0.7" right="0.7" top="0.75" bottom="0.75" header="0.3" footer="0.3"/>
  <extLst>
    <ext xmlns:mx="http://schemas.microsoft.com/office/mac/excel/2008/main" uri="http://schemas.microsoft.com/office/mac/excel/2008/main">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2:D9"/>
  <sheetViews>
    <sheetView workbookViewId="0">
      <selection activeCell="D10" sqref="D10"/>
    </sheetView>
  </sheetViews>
  <sheetFormatPr baseColWidth="10" defaultColWidth="8.83203125" defaultRowHeight="12"/>
  <cols>
    <col min="2" max="2" width="18.6640625" customWidth="1"/>
  </cols>
  <sheetData>
    <row r="2" spans="1:4" ht="24">
      <c r="A2" s="142"/>
      <c r="B2" s="143"/>
      <c r="C2" s="139" t="s">
        <v>67</v>
      </c>
      <c r="D2" s="139" t="s">
        <v>68</v>
      </c>
    </row>
    <row r="3" spans="1:4">
      <c r="A3" s="214" t="s">
        <v>22</v>
      </c>
      <c r="B3" s="214"/>
      <c r="C3" s="146">
        <v>0.30199999999999999</v>
      </c>
      <c r="D3" s="146">
        <v>0.53300000000000003</v>
      </c>
    </row>
    <row r="4" spans="1:4">
      <c r="A4" s="214" t="s">
        <v>23</v>
      </c>
      <c r="B4" s="214"/>
      <c r="C4" s="147">
        <v>0.33200000000000002</v>
      </c>
      <c r="D4" s="147">
        <v>0.497</v>
      </c>
    </row>
    <row r="5" spans="1:4">
      <c r="A5" s="214" t="s">
        <v>24</v>
      </c>
      <c r="B5" s="214"/>
      <c r="C5" s="147"/>
      <c r="D5" s="147"/>
    </row>
    <row r="6" spans="1:4">
      <c r="A6" s="15"/>
      <c r="B6" s="15" t="s">
        <v>25</v>
      </c>
      <c r="C6" s="147">
        <v>0.45200000000000001</v>
      </c>
      <c r="D6" s="147">
        <v>0.504</v>
      </c>
    </row>
    <row r="7" spans="1:4">
      <c r="A7" s="15"/>
      <c r="B7" s="15" t="s">
        <v>26</v>
      </c>
      <c r="C7" s="147">
        <v>0.184</v>
      </c>
      <c r="D7" s="147">
        <v>7.0999999999999994E-2</v>
      </c>
    </row>
    <row r="8" spans="1:4">
      <c r="A8" s="15"/>
      <c r="B8" s="15" t="s">
        <v>27</v>
      </c>
      <c r="C8" s="147">
        <v>0.33400000000000002</v>
      </c>
      <c r="D8" s="147">
        <v>0.27</v>
      </c>
    </row>
    <row r="9" spans="1:4">
      <c r="A9" s="15"/>
      <c r="B9" s="15" t="s">
        <v>28</v>
      </c>
      <c r="C9" s="147">
        <v>2.9000000000000001E-2</v>
      </c>
      <c r="D9" s="147">
        <v>0.156</v>
      </c>
    </row>
  </sheetData>
  <sheetCalcPr fullCalcOnLoad="1"/>
  <mergeCells count="3">
    <mergeCell ref="A3:B3"/>
    <mergeCell ref="A4:B4"/>
    <mergeCell ref="A5:B5"/>
  </mergeCells>
  <phoneticPr fontId="18" type="noConversion"/>
  <pageMargins left="0.7" right="0.7" top="0.75" bottom="0.75" header="0.3" footer="0.3"/>
  <extLst>
    <ext xmlns:mx="http://schemas.microsoft.com/office/mac/excel/2008/main" uri="http://schemas.microsoft.com/office/mac/excel/2008/main">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H17"/>
  <sheetViews>
    <sheetView workbookViewId="0">
      <selection sqref="A1:C15"/>
    </sheetView>
  </sheetViews>
  <sheetFormatPr baseColWidth="10" defaultColWidth="22" defaultRowHeight="12"/>
  <cols>
    <col min="1" max="1" width="5.5" customWidth="1"/>
    <col min="2" max="2" width="46.1640625" customWidth="1"/>
    <col min="3" max="3" width="11" customWidth="1"/>
  </cols>
  <sheetData>
    <row r="1" spans="1:8">
      <c r="A1" s="152" t="s">
        <v>4</v>
      </c>
      <c r="B1" s="151"/>
      <c r="C1" s="151"/>
    </row>
    <row r="2" spans="1:8">
      <c r="A2" s="74"/>
      <c r="B2" s="138" t="s">
        <v>82</v>
      </c>
      <c r="C2" s="153" t="s">
        <v>5</v>
      </c>
      <c r="E2" t="s">
        <v>83</v>
      </c>
    </row>
    <row r="3" spans="1:8" ht="25.5" customHeight="1">
      <c r="A3" s="218" t="s">
        <v>84</v>
      </c>
      <c r="B3" s="155" t="s">
        <v>85</v>
      </c>
      <c r="C3" s="140" t="s">
        <v>86</v>
      </c>
      <c r="E3" s="140" t="s">
        <v>86</v>
      </c>
    </row>
    <row r="4" spans="1:8" ht="27" customHeight="1">
      <c r="A4" s="219"/>
      <c r="B4" s="166" t="s">
        <v>9</v>
      </c>
      <c r="C4" s="149" t="s">
        <v>2</v>
      </c>
      <c r="E4" s="141" t="s">
        <v>87</v>
      </c>
    </row>
    <row r="5" spans="1:8" ht="25.5" customHeight="1">
      <c r="A5" s="215" t="s">
        <v>89</v>
      </c>
      <c r="B5" s="77" t="s">
        <v>90</v>
      </c>
      <c r="C5" s="140" t="s">
        <v>86</v>
      </c>
      <c r="E5" s="150" t="s">
        <v>88</v>
      </c>
    </row>
    <row r="6" spans="1:8" ht="28.5" customHeight="1">
      <c r="A6" s="217"/>
      <c r="B6" s="167" t="s">
        <v>10</v>
      </c>
      <c r="C6" s="168" t="s">
        <v>2</v>
      </c>
    </row>
    <row r="7" spans="1:8" ht="25.5" customHeight="1">
      <c r="A7" s="218" t="s">
        <v>91</v>
      </c>
      <c r="B7" s="155" t="s">
        <v>92</v>
      </c>
      <c r="C7" s="140" t="s">
        <v>86</v>
      </c>
    </row>
    <row r="8" spans="1:8" ht="28.5" customHeight="1">
      <c r="A8" s="219"/>
      <c r="B8" s="166" t="s">
        <v>11</v>
      </c>
      <c r="C8" s="148" t="s">
        <v>3</v>
      </c>
    </row>
    <row r="9" spans="1:8" ht="25.5" customHeight="1">
      <c r="A9" s="215" t="s">
        <v>93</v>
      </c>
      <c r="B9" s="77" t="s">
        <v>94</v>
      </c>
      <c r="C9" s="140" t="s">
        <v>86</v>
      </c>
    </row>
    <row r="10" spans="1:8" ht="28.5" customHeight="1">
      <c r="A10" s="217"/>
      <c r="B10" s="167" t="s">
        <v>12</v>
      </c>
      <c r="C10" s="154" t="s">
        <v>13</v>
      </c>
    </row>
    <row r="11" spans="1:8" ht="39" customHeight="1">
      <c r="A11" s="218" t="s">
        <v>95</v>
      </c>
      <c r="B11" s="155" t="s">
        <v>96</v>
      </c>
      <c r="C11" s="140" t="s">
        <v>86</v>
      </c>
    </row>
    <row r="12" spans="1:8" ht="39.75" customHeight="1">
      <c r="A12" s="219"/>
      <c r="B12" s="155" t="s">
        <v>97</v>
      </c>
      <c r="C12" s="140" t="s">
        <v>86</v>
      </c>
    </row>
    <row r="13" spans="1:8" ht="25.5" customHeight="1">
      <c r="A13" s="215" t="s">
        <v>98</v>
      </c>
      <c r="B13" s="77" t="s">
        <v>99</v>
      </c>
      <c r="C13" s="140" t="s">
        <v>86</v>
      </c>
    </row>
    <row r="14" spans="1:8" ht="25.5" customHeight="1">
      <c r="A14" s="216"/>
      <c r="B14" s="77" t="s">
        <v>100</v>
      </c>
      <c r="C14" s="140" t="s">
        <v>101</v>
      </c>
      <c r="E14" s="140" t="s">
        <v>101</v>
      </c>
      <c r="F14" s="141" t="s">
        <v>102</v>
      </c>
      <c r="H14" t="s">
        <v>103</v>
      </c>
    </row>
    <row r="15" spans="1:8" ht="25.5" customHeight="1">
      <c r="A15" s="217"/>
      <c r="B15" s="77" t="s">
        <v>20</v>
      </c>
      <c r="C15" s="73" t="s">
        <v>88</v>
      </c>
    </row>
    <row r="17" spans="1:1">
      <c r="A17" t="s">
        <v>21</v>
      </c>
    </row>
  </sheetData>
  <sheetCalcPr fullCalcOnLoad="1"/>
  <mergeCells count="6">
    <mergeCell ref="A13:A15"/>
    <mergeCell ref="A3:A4"/>
    <mergeCell ref="A5:A6"/>
    <mergeCell ref="A7:A8"/>
    <mergeCell ref="A9:A10"/>
    <mergeCell ref="A11:A12"/>
  </mergeCells>
  <phoneticPr fontId="18" type="noConversion"/>
  <pageMargins left="0.7" right="0.7" top="0.75" bottom="0.75" header="0.3" footer="0.3"/>
  <extLst>
    <ext xmlns:mx="http://schemas.microsoft.com/office/mac/excel/2008/main" uri="http://schemas.microsoft.com/office/mac/excel/2008/main">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AR495"/>
  <sheetViews>
    <sheetView showGridLines="0" topLeftCell="F1" workbookViewId="0">
      <pane ySplit="5" topLeftCell="A462" activePane="bottomLeft" state="frozen"/>
      <selection pane="bottomLeft" activeCell="F467" sqref="F467"/>
    </sheetView>
  </sheetViews>
  <sheetFormatPr baseColWidth="10" defaultColWidth="8.83203125" defaultRowHeight="12"/>
  <cols>
    <col min="1" max="1" width="8.5" style="8" hidden="1" customWidth="1"/>
    <col min="2" max="2" width="25.6640625" hidden="1" customWidth="1"/>
    <col min="3" max="3" width="4.33203125" style="8" hidden="1" customWidth="1"/>
    <col min="4" max="4" width="4.5" style="8" hidden="1" customWidth="1"/>
    <col min="5" max="5" width="15.5" hidden="1" customWidth="1"/>
    <col min="6" max="6" width="44.5" customWidth="1"/>
    <col min="7" max="9" width="9.33203125" style="8" customWidth="1"/>
    <col min="10" max="10" width="9.33203125" customWidth="1"/>
    <col min="11" max="12" width="10.33203125" customWidth="1"/>
    <col min="13" max="13" width="9.33203125" style="23" customWidth="1"/>
    <col min="14" max="18" width="9.33203125" customWidth="1"/>
    <col min="19" max="19" width="9.33203125" style="23" customWidth="1"/>
    <col min="20" max="23" width="9.33203125" style="106" customWidth="1"/>
    <col min="24" max="24" width="10.1640625" style="23" customWidth="1"/>
    <col min="25" max="28" width="9.33203125" style="23" customWidth="1"/>
    <col min="29" max="32" width="9.33203125" customWidth="1"/>
    <col min="33" max="33" width="13.5" customWidth="1"/>
    <col min="34" max="35" width="9.33203125" style="44" customWidth="1"/>
    <col min="36" max="36" width="12" style="46" customWidth="1"/>
    <col min="41" max="42" width="11" customWidth="1"/>
    <col min="43" max="44" width="10" customWidth="1"/>
  </cols>
  <sheetData>
    <row r="1" spans="1:44" ht="13" thickBot="1">
      <c r="F1" s="17" t="s">
        <v>177</v>
      </c>
    </row>
    <row r="2" spans="1:44" ht="18" thickBot="1">
      <c r="A2" s="220" t="s">
        <v>1215</v>
      </c>
      <c r="B2" s="220" t="s">
        <v>1173</v>
      </c>
      <c r="C2" s="220" t="s">
        <v>1216</v>
      </c>
      <c r="D2" s="220" t="s">
        <v>1172</v>
      </c>
      <c r="E2" s="231" t="s">
        <v>1214</v>
      </c>
      <c r="F2" s="224" t="s">
        <v>176</v>
      </c>
      <c r="G2" s="241" t="s">
        <v>1170</v>
      </c>
      <c r="H2" s="32"/>
      <c r="I2" s="32"/>
      <c r="J2" s="244" t="s">
        <v>1213</v>
      </c>
      <c r="K2" s="236" t="s">
        <v>1201</v>
      </c>
      <c r="L2" s="237"/>
      <c r="M2" s="237"/>
      <c r="N2" s="237"/>
      <c r="O2" s="237"/>
      <c r="P2" s="237"/>
      <c r="Q2" s="237"/>
      <c r="R2" s="237"/>
      <c r="S2" s="238"/>
      <c r="T2" s="239" t="s">
        <v>1207</v>
      </c>
      <c r="U2" s="240"/>
      <c r="V2" s="240"/>
      <c r="W2" s="240"/>
      <c r="X2" s="229" t="s">
        <v>1210</v>
      </c>
      <c r="Y2" s="248" t="s">
        <v>1209</v>
      </c>
      <c r="Z2" s="249"/>
      <c r="AA2" s="249"/>
      <c r="AB2" s="250"/>
    </row>
    <row r="3" spans="1:44" ht="29.25" customHeight="1" thickBot="1">
      <c r="A3" s="221"/>
      <c r="B3" s="221"/>
      <c r="C3" s="221"/>
      <c r="D3" s="221"/>
      <c r="E3" s="232"/>
      <c r="F3" s="225"/>
      <c r="G3" s="242"/>
      <c r="H3" s="33"/>
      <c r="I3" s="33"/>
      <c r="J3" s="245"/>
      <c r="K3" s="251" t="s">
        <v>1192</v>
      </c>
      <c r="L3" s="222"/>
      <c r="M3" s="252"/>
      <c r="N3" s="251" t="s">
        <v>1194</v>
      </c>
      <c r="O3" s="222"/>
      <c r="P3" s="222"/>
      <c r="Q3" s="252"/>
      <c r="R3" s="2" t="s">
        <v>1196</v>
      </c>
      <c r="S3" s="253" t="s">
        <v>1206</v>
      </c>
      <c r="T3" s="227" t="s">
        <v>1208</v>
      </c>
      <c r="U3" s="228"/>
      <c r="V3" s="228"/>
      <c r="W3" s="228"/>
      <c r="X3" s="230"/>
      <c r="Y3" s="234" t="s">
        <v>1197</v>
      </c>
      <c r="Z3" s="235"/>
      <c r="AA3" s="229" t="s">
        <v>1194</v>
      </c>
      <c r="AB3" s="229" t="s">
        <v>1196</v>
      </c>
    </row>
    <row r="4" spans="1:44" ht="51.75" customHeight="1" thickBot="1">
      <c r="A4" s="221"/>
      <c r="B4" s="221"/>
      <c r="C4" s="221"/>
      <c r="D4" s="221"/>
      <c r="E4" s="232"/>
      <c r="F4" s="226"/>
      <c r="G4" s="242"/>
      <c r="H4" s="34" t="s">
        <v>178</v>
      </c>
      <c r="I4" s="34" t="s">
        <v>189</v>
      </c>
      <c r="J4" s="245"/>
      <c r="K4" s="9" t="s">
        <v>1191</v>
      </c>
      <c r="L4" s="1" t="s">
        <v>1193</v>
      </c>
      <c r="M4" s="30" t="s">
        <v>1198</v>
      </c>
      <c r="N4" s="9" t="s">
        <v>1195</v>
      </c>
      <c r="O4" s="9" t="s">
        <v>1212</v>
      </c>
      <c r="P4" s="9" t="s">
        <v>1199</v>
      </c>
      <c r="Q4" s="10" t="s">
        <v>1200</v>
      </c>
      <c r="R4" s="5" t="s">
        <v>1211</v>
      </c>
      <c r="S4" s="247"/>
      <c r="T4" s="107" t="s">
        <v>1202</v>
      </c>
      <c r="U4" s="107" t="s">
        <v>1203</v>
      </c>
      <c r="V4" s="107" t="s">
        <v>1204</v>
      </c>
      <c r="W4" s="108" t="s">
        <v>1205</v>
      </c>
      <c r="X4" s="247"/>
      <c r="Y4" s="24" t="s">
        <v>1191</v>
      </c>
      <c r="Z4" s="25" t="s">
        <v>1193</v>
      </c>
      <c r="AA4" s="230"/>
      <c r="AB4" s="230"/>
      <c r="AG4" s="48" t="s">
        <v>188</v>
      </c>
      <c r="AJ4" s="46" t="s">
        <v>188</v>
      </c>
      <c r="AO4" s="67" t="s">
        <v>75</v>
      </c>
    </row>
    <row r="5" spans="1:44" s="3" customFormat="1" ht="85" thickBot="1">
      <c r="A5" s="222"/>
      <c r="B5" s="223"/>
      <c r="C5" s="222"/>
      <c r="D5" s="222"/>
      <c r="E5" s="233"/>
      <c r="F5" s="4" t="s">
        <v>1171</v>
      </c>
      <c r="G5" s="243"/>
      <c r="H5" s="18"/>
      <c r="I5" s="49"/>
      <c r="J5" s="246"/>
      <c r="K5" s="6" t="s">
        <v>1174</v>
      </c>
      <c r="L5" s="7" t="s">
        <v>76</v>
      </c>
      <c r="M5" s="31" t="s">
        <v>1176</v>
      </c>
      <c r="N5" s="7" t="s">
        <v>1177</v>
      </c>
      <c r="O5" s="7" t="s">
        <v>1178</v>
      </c>
      <c r="P5" s="7" t="s">
        <v>1179</v>
      </c>
      <c r="Q5" s="7" t="s">
        <v>1180</v>
      </c>
      <c r="R5" s="7" t="s">
        <v>1181</v>
      </c>
      <c r="S5" s="29" t="s">
        <v>1182</v>
      </c>
      <c r="T5" s="105" t="s">
        <v>1183</v>
      </c>
      <c r="U5" s="105" t="s">
        <v>1184</v>
      </c>
      <c r="V5" s="105" t="s">
        <v>1185</v>
      </c>
      <c r="W5" s="105" t="s">
        <v>1186</v>
      </c>
      <c r="X5" s="26" t="s">
        <v>1187</v>
      </c>
      <c r="Y5" s="26" t="s">
        <v>1188</v>
      </c>
      <c r="Z5" s="26" t="s">
        <v>1189</v>
      </c>
      <c r="AA5" s="26" t="s">
        <v>1190</v>
      </c>
      <c r="AB5" s="26" t="s">
        <v>1217</v>
      </c>
      <c r="AC5" s="35" t="s">
        <v>179</v>
      </c>
      <c r="AD5" s="36" t="s">
        <v>180</v>
      </c>
      <c r="AE5" s="37" t="s">
        <v>181</v>
      </c>
      <c r="AF5" s="38" t="s">
        <v>182</v>
      </c>
      <c r="AG5" s="39" t="s">
        <v>183</v>
      </c>
      <c r="AH5" s="47" t="s">
        <v>181</v>
      </c>
      <c r="AI5" s="40" t="s">
        <v>182</v>
      </c>
      <c r="AJ5" s="43" t="s">
        <v>187</v>
      </c>
      <c r="AK5" s="67" t="s">
        <v>193</v>
      </c>
      <c r="AL5" s="67" t="s">
        <v>194</v>
      </c>
      <c r="AO5" s="67" t="s">
        <v>57</v>
      </c>
      <c r="AP5" s="67" t="s">
        <v>1193</v>
      </c>
      <c r="AQ5" s="67" t="s">
        <v>174</v>
      </c>
      <c r="AR5" s="67" t="s">
        <v>1211</v>
      </c>
    </row>
    <row r="6" spans="1:44">
      <c r="A6" s="11" t="s">
        <v>1218</v>
      </c>
      <c r="B6" s="12" t="s">
        <v>1219</v>
      </c>
      <c r="C6" s="11" t="s">
        <v>1220</v>
      </c>
      <c r="D6" s="11">
        <v>1</v>
      </c>
      <c r="E6" s="12" t="s">
        <v>1221</v>
      </c>
      <c r="F6" s="12" t="s">
        <v>1222</v>
      </c>
      <c r="G6" s="11" t="s">
        <v>1223</v>
      </c>
      <c r="H6" s="11"/>
      <c r="I6" s="11"/>
      <c r="J6" s="13">
        <v>1322.2</v>
      </c>
      <c r="K6" s="65">
        <v>613626</v>
      </c>
      <c r="L6" s="65">
        <v>1325974</v>
      </c>
      <c r="M6" s="27">
        <v>1939600</v>
      </c>
      <c r="N6" s="63">
        <v>8539952</v>
      </c>
      <c r="O6" s="63">
        <v>679449</v>
      </c>
      <c r="P6" s="63">
        <v>52813</v>
      </c>
      <c r="Q6" s="27">
        <v>9272214</v>
      </c>
      <c r="R6" s="61">
        <v>255760</v>
      </c>
      <c r="S6" s="27">
        <v>11467574</v>
      </c>
      <c r="T6" s="109">
        <v>589084</v>
      </c>
      <c r="U6" s="109">
        <v>266585</v>
      </c>
      <c r="V6" s="109">
        <v>0</v>
      </c>
      <c r="W6" s="109">
        <v>235402</v>
      </c>
      <c r="X6" s="27">
        <v>12558645</v>
      </c>
      <c r="Y6" s="27">
        <v>796996</v>
      </c>
      <c r="Z6" s="27">
        <v>1895424</v>
      </c>
      <c r="AA6" s="27">
        <v>9350914</v>
      </c>
      <c r="AB6" s="27">
        <v>515311</v>
      </c>
      <c r="AC6" s="40" t="s">
        <v>184</v>
      </c>
      <c r="AD6" s="41">
        <v>1</v>
      </c>
      <c r="AE6" s="42">
        <v>1</v>
      </c>
      <c r="AF6" s="40" t="s">
        <v>1222</v>
      </c>
      <c r="AG6" s="68">
        <v>98691.4</v>
      </c>
      <c r="AH6" s="42">
        <v>1</v>
      </c>
      <c r="AI6" s="40" t="s">
        <v>1222</v>
      </c>
      <c r="AJ6" s="70">
        <v>109867.98</v>
      </c>
      <c r="AK6" s="72">
        <f>AG6*AM6</f>
        <v>-98691.4</v>
      </c>
      <c r="AL6" s="72">
        <f>AJ6*AM6</f>
        <v>-109867.98</v>
      </c>
      <c r="AM6">
        <v>-1</v>
      </c>
      <c r="AO6" s="102">
        <f>Y6-K6</f>
        <v>183370</v>
      </c>
      <c r="AP6" s="103">
        <f>Z6-L6</f>
        <v>569450</v>
      </c>
      <c r="AQ6" s="101">
        <f>AA6-Q6</f>
        <v>78700</v>
      </c>
      <c r="AR6" s="104">
        <f>AB6-R6</f>
        <v>259551</v>
      </c>
    </row>
    <row r="7" spans="1:44">
      <c r="A7" s="14" t="s">
        <v>1224</v>
      </c>
      <c r="B7" s="15" t="s">
        <v>1225</v>
      </c>
      <c r="C7" s="14" t="s">
        <v>1226</v>
      </c>
      <c r="D7" s="14">
        <v>27</v>
      </c>
      <c r="E7" s="15" t="s">
        <v>1227</v>
      </c>
      <c r="F7" s="96" t="s">
        <v>1228</v>
      </c>
      <c r="G7" s="97" t="s">
        <v>1223</v>
      </c>
      <c r="H7" s="99" t="s">
        <v>52</v>
      </c>
      <c r="I7" s="99" t="s">
        <v>192</v>
      </c>
      <c r="J7" s="98">
        <v>39479.31</v>
      </c>
      <c r="K7" s="66">
        <v>58005565</v>
      </c>
      <c r="L7" s="66">
        <v>20520348</v>
      </c>
      <c r="M7" s="28">
        <v>78525913</v>
      </c>
      <c r="N7" s="64">
        <v>293589390</v>
      </c>
      <c r="O7" s="64">
        <v>49228337</v>
      </c>
      <c r="P7" s="64">
        <v>18490543</v>
      </c>
      <c r="Q7" s="28">
        <v>361308270</v>
      </c>
      <c r="R7" s="62">
        <v>52989194</v>
      </c>
      <c r="S7" s="28">
        <v>492823377</v>
      </c>
      <c r="T7" s="81">
        <v>14321379</v>
      </c>
      <c r="U7" s="81">
        <v>24987946</v>
      </c>
      <c r="V7" s="81">
        <v>5969817</v>
      </c>
      <c r="W7" s="81">
        <v>70521510</v>
      </c>
      <c r="X7" s="28">
        <v>608624030</v>
      </c>
      <c r="Y7" s="28">
        <v>116149433</v>
      </c>
      <c r="Z7" s="28">
        <v>39277340</v>
      </c>
      <c r="AA7" s="28">
        <v>384928731</v>
      </c>
      <c r="AB7" s="28">
        <v>68268526</v>
      </c>
      <c r="AC7" s="40" t="s">
        <v>184</v>
      </c>
      <c r="AD7" s="41">
        <v>1</v>
      </c>
      <c r="AE7" s="42">
        <v>3</v>
      </c>
      <c r="AF7" s="40" t="s">
        <v>1228</v>
      </c>
      <c r="AG7" s="68">
        <v>4444620.9400000004</v>
      </c>
      <c r="AH7" s="42">
        <v>3</v>
      </c>
      <c r="AI7" s="40" t="s">
        <v>1228</v>
      </c>
      <c r="AJ7" s="70">
        <v>7342147.7400000012</v>
      </c>
      <c r="AK7" s="72">
        <f t="shared" ref="AK7:AK70" si="0">AG7*AM7</f>
        <v>-4444620.9400000004</v>
      </c>
      <c r="AL7" s="72">
        <f t="shared" ref="AL7:AL70" si="1">AJ7*AM7</f>
        <v>-7342147.7400000012</v>
      </c>
      <c r="AM7">
        <v>-1</v>
      </c>
      <c r="AO7" s="102">
        <f t="shared" ref="AO7:AO70" si="2">Y7-K7</f>
        <v>58143868</v>
      </c>
      <c r="AP7" s="103">
        <f t="shared" ref="AP7:AP70" si="3">Z7-L7</f>
        <v>18756992</v>
      </c>
      <c r="AQ7" s="101">
        <f t="shared" ref="AQ7:AQ70" si="4">AA7-Q7</f>
        <v>23620461</v>
      </c>
      <c r="AR7" s="104">
        <f t="shared" ref="AR7:AR70" si="5">AB7-R7</f>
        <v>15279332</v>
      </c>
    </row>
    <row r="8" spans="1:44">
      <c r="A8" s="14" t="s">
        <v>1218</v>
      </c>
      <c r="B8" s="15" t="s">
        <v>1219</v>
      </c>
      <c r="C8" s="14" t="s">
        <v>1220</v>
      </c>
      <c r="D8" s="14">
        <v>1</v>
      </c>
      <c r="E8" s="15" t="s">
        <v>1221</v>
      </c>
      <c r="F8" s="15" t="s">
        <v>1229</v>
      </c>
      <c r="G8" s="14" t="s">
        <v>1230</v>
      </c>
      <c r="H8" s="14"/>
      <c r="I8" s="14"/>
      <c r="J8" s="16">
        <v>314.26</v>
      </c>
      <c r="K8" s="66">
        <v>59861</v>
      </c>
      <c r="L8" s="66">
        <v>422365</v>
      </c>
      <c r="M8" s="28">
        <v>482226</v>
      </c>
      <c r="N8" s="64">
        <v>2659597</v>
      </c>
      <c r="O8" s="64">
        <v>182721</v>
      </c>
      <c r="P8" s="64">
        <v>6745</v>
      </c>
      <c r="Q8" s="28">
        <v>2849063</v>
      </c>
      <c r="R8" s="62">
        <v>145220</v>
      </c>
      <c r="S8" s="28">
        <v>3476509</v>
      </c>
      <c r="T8" s="81">
        <v>146067</v>
      </c>
      <c r="U8" s="81">
        <v>60528</v>
      </c>
      <c r="V8" s="81">
        <v>540</v>
      </c>
      <c r="W8" s="81">
        <v>362730</v>
      </c>
      <c r="X8" s="28">
        <v>4046376</v>
      </c>
      <c r="Y8" s="28">
        <v>341788</v>
      </c>
      <c r="Z8" s="28">
        <v>507664</v>
      </c>
      <c r="AA8" s="28">
        <v>2965150</v>
      </c>
      <c r="AB8" s="28">
        <v>231774</v>
      </c>
      <c r="AC8" s="40" t="s">
        <v>184</v>
      </c>
      <c r="AD8" s="41">
        <v>2</v>
      </c>
      <c r="AE8" s="42">
        <v>1</v>
      </c>
      <c r="AF8" s="40" t="s">
        <v>1229</v>
      </c>
      <c r="AG8" s="68">
        <v>24582.720000000001</v>
      </c>
      <c r="AH8" s="42">
        <v>1</v>
      </c>
      <c r="AI8" s="40" t="s">
        <v>1229</v>
      </c>
      <c r="AJ8" s="70">
        <v>0</v>
      </c>
      <c r="AK8" s="72">
        <f t="shared" si="0"/>
        <v>-24582.720000000001</v>
      </c>
      <c r="AL8" s="72">
        <f t="shared" si="1"/>
        <v>0</v>
      </c>
      <c r="AM8">
        <v>-1</v>
      </c>
      <c r="AO8" s="102">
        <f t="shared" si="2"/>
        <v>281927</v>
      </c>
      <c r="AP8" s="103">
        <f t="shared" si="3"/>
        <v>85299</v>
      </c>
      <c r="AQ8" s="101">
        <f t="shared" si="4"/>
        <v>116087</v>
      </c>
      <c r="AR8" s="104">
        <f t="shared" si="5"/>
        <v>86554</v>
      </c>
    </row>
    <row r="9" spans="1:44">
      <c r="A9" s="14" t="s">
        <v>1218</v>
      </c>
      <c r="B9" s="15" t="s">
        <v>1219</v>
      </c>
      <c r="C9" s="14" t="s">
        <v>1220</v>
      </c>
      <c r="D9" s="14">
        <v>1</v>
      </c>
      <c r="E9" s="15" t="s">
        <v>1221</v>
      </c>
      <c r="F9" s="15" t="s">
        <v>1231</v>
      </c>
      <c r="G9" s="14" t="s">
        <v>1232</v>
      </c>
      <c r="H9" s="14"/>
      <c r="I9" s="14"/>
      <c r="J9" s="16">
        <v>421.83</v>
      </c>
      <c r="K9" s="66">
        <v>362632</v>
      </c>
      <c r="L9" s="66">
        <v>571834</v>
      </c>
      <c r="M9" s="28">
        <v>934466</v>
      </c>
      <c r="N9" s="64">
        <v>3626076</v>
      </c>
      <c r="O9" s="64">
        <v>220535</v>
      </c>
      <c r="P9" s="64">
        <v>90345</v>
      </c>
      <c r="Q9" s="28">
        <v>3936956</v>
      </c>
      <c r="R9" s="62">
        <v>400799</v>
      </c>
      <c r="S9" s="28">
        <v>5272221</v>
      </c>
      <c r="T9" s="81">
        <v>237907</v>
      </c>
      <c r="U9" s="81">
        <v>146635</v>
      </c>
      <c r="V9" s="81">
        <v>0</v>
      </c>
      <c r="W9" s="81">
        <v>750977</v>
      </c>
      <c r="X9" s="28">
        <v>6407741</v>
      </c>
      <c r="Y9" s="28">
        <v>1093875</v>
      </c>
      <c r="Z9" s="28">
        <v>741527</v>
      </c>
      <c r="AA9" s="28">
        <v>4047284</v>
      </c>
      <c r="AB9" s="28">
        <v>525055</v>
      </c>
      <c r="AC9" s="40" t="s">
        <v>184</v>
      </c>
      <c r="AD9" s="41">
        <v>4</v>
      </c>
      <c r="AE9" s="42">
        <v>1</v>
      </c>
      <c r="AF9" s="40" t="s">
        <v>1231</v>
      </c>
      <c r="AG9" s="68">
        <v>33513.61</v>
      </c>
      <c r="AH9" s="42">
        <v>1</v>
      </c>
      <c r="AI9" s="40" t="s">
        <v>1231</v>
      </c>
      <c r="AJ9" s="70">
        <v>0</v>
      </c>
      <c r="AK9" s="72">
        <f t="shared" si="0"/>
        <v>-33513.61</v>
      </c>
      <c r="AL9" s="72">
        <f t="shared" si="1"/>
        <v>0</v>
      </c>
      <c r="AM9">
        <v>-1</v>
      </c>
      <c r="AO9" s="102">
        <f t="shared" si="2"/>
        <v>731243</v>
      </c>
      <c r="AP9" s="103">
        <f t="shared" si="3"/>
        <v>169693</v>
      </c>
      <c r="AQ9" s="101">
        <f t="shared" si="4"/>
        <v>110328</v>
      </c>
      <c r="AR9" s="104">
        <f t="shared" si="5"/>
        <v>124256</v>
      </c>
    </row>
    <row r="10" spans="1:44">
      <c r="A10" s="14" t="s">
        <v>1224</v>
      </c>
      <c r="B10" s="15" t="s">
        <v>1225</v>
      </c>
      <c r="C10" s="14" t="s">
        <v>1226</v>
      </c>
      <c r="D10" s="14">
        <v>19</v>
      </c>
      <c r="E10" s="15" t="s">
        <v>1233</v>
      </c>
      <c r="F10" s="15" t="s">
        <v>1234</v>
      </c>
      <c r="G10" s="14" t="s">
        <v>1235</v>
      </c>
      <c r="H10" s="14"/>
      <c r="I10" s="14"/>
      <c r="J10" s="16">
        <v>3331.77</v>
      </c>
      <c r="K10" s="66">
        <v>4375528</v>
      </c>
      <c r="L10" s="66">
        <v>1428160</v>
      </c>
      <c r="M10" s="28">
        <v>5803688</v>
      </c>
      <c r="N10" s="64">
        <v>21969776</v>
      </c>
      <c r="O10" s="64">
        <v>2395108</v>
      </c>
      <c r="P10" s="64">
        <v>590260</v>
      </c>
      <c r="Q10" s="28">
        <v>24955144</v>
      </c>
      <c r="R10" s="62">
        <v>1212734</v>
      </c>
      <c r="S10" s="28">
        <v>31971566</v>
      </c>
      <c r="T10" s="81">
        <v>1513869</v>
      </c>
      <c r="U10" s="81">
        <v>2039417</v>
      </c>
      <c r="V10" s="81">
        <v>0</v>
      </c>
      <c r="W10" s="81">
        <v>2582813</v>
      </c>
      <c r="X10" s="28">
        <v>38107665</v>
      </c>
      <c r="Y10" s="28">
        <v>6668375</v>
      </c>
      <c r="Z10" s="28">
        <v>3819649</v>
      </c>
      <c r="AA10" s="28">
        <v>25722047</v>
      </c>
      <c r="AB10" s="28">
        <v>1897594</v>
      </c>
      <c r="AC10" s="40" t="s">
        <v>184</v>
      </c>
      <c r="AD10" s="41">
        <v>6</v>
      </c>
      <c r="AE10" s="42">
        <v>3</v>
      </c>
      <c r="AF10" s="40" t="s">
        <v>1234</v>
      </c>
      <c r="AG10" s="68">
        <v>529225.97</v>
      </c>
      <c r="AH10" s="42">
        <v>3</v>
      </c>
      <c r="AI10" s="40" t="s">
        <v>1234</v>
      </c>
      <c r="AJ10" s="70">
        <v>429155.35</v>
      </c>
      <c r="AK10" s="72">
        <f t="shared" si="0"/>
        <v>-529225.97</v>
      </c>
      <c r="AL10" s="72">
        <f t="shared" si="1"/>
        <v>-429155.35</v>
      </c>
      <c r="AM10">
        <v>-1</v>
      </c>
      <c r="AO10" s="102">
        <f t="shared" si="2"/>
        <v>2292847</v>
      </c>
      <c r="AP10" s="103">
        <f t="shared" si="3"/>
        <v>2391489</v>
      </c>
      <c r="AQ10" s="101">
        <f t="shared" si="4"/>
        <v>766903</v>
      </c>
      <c r="AR10" s="104">
        <f t="shared" si="5"/>
        <v>684860</v>
      </c>
    </row>
    <row r="11" spans="1:44">
      <c r="A11" s="14" t="s">
        <v>1224</v>
      </c>
      <c r="B11" s="15" t="s">
        <v>1225</v>
      </c>
      <c r="C11" s="14" t="s">
        <v>1220</v>
      </c>
      <c r="D11" s="14">
        <v>2</v>
      </c>
      <c r="E11" s="15" t="s">
        <v>1236</v>
      </c>
      <c r="F11" s="15" t="s">
        <v>1237</v>
      </c>
      <c r="G11" s="14" t="s">
        <v>1238</v>
      </c>
      <c r="H11" s="14"/>
      <c r="I11" s="14"/>
      <c r="J11" s="16">
        <v>41062.22</v>
      </c>
      <c r="K11" s="66">
        <v>43956546</v>
      </c>
      <c r="L11" s="66">
        <v>16656073</v>
      </c>
      <c r="M11" s="28">
        <v>60612619</v>
      </c>
      <c r="N11" s="64">
        <v>261189813</v>
      </c>
      <c r="O11" s="64">
        <v>32332020</v>
      </c>
      <c r="P11" s="64">
        <v>8770426</v>
      </c>
      <c r="Q11" s="28">
        <v>302292259</v>
      </c>
      <c r="R11" s="62">
        <v>12194021</v>
      </c>
      <c r="S11" s="28">
        <v>375098899</v>
      </c>
      <c r="T11" s="81">
        <v>17386532</v>
      </c>
      <c r="U11" s="81">
        <v>18176536</v>
      </c>
      <c r="V11" s="81">
        <v>378597</v>
      </c>
      <c r="W11" s="81">
        <v>23642958</v>
      </c>
      <c r="X11" s="28">
        <v>434683523</v>
      </c>
      <c r="Y11" s="28">
        <v>67622629</v>
      </c>
      <c r="Z11" s="28">
        <v>40522729</v>
      </c>
      <c r="AA11" s="28">
        <v>308838462</v>
      </c>
      <c r="AB11" s="28">
        <v>17699703</v>
      </c>
      <c r="AC11" s="40" t="s">
        <v>184</v>
      </c>
      <c r="AD11" s="41">
        <v>11</v>
      </c>
      <c r="AE11" s="42">
        <v>1</v>
      </c>
      <c r="AF11" s="40" t="s">
        <v>1237</v>
      </c>
      <c r="AG11" s="68">
        <v>3155425.08</v>
      </c>
      <c r="AH11" s="42">
        <v>1</v>
      </c>
      <c r="AI11" s="40" t="s">
        <v>1237</v>
      </c>
      <c r="AJ11" s="70">
        <v>2883706.4</v>
      </c>
      <c r="AK11" s="72">
        <f t="shared" si="0"/>
        <v>-3155425.08</v>
      </c>
      <c r="AL11" s="72">
        <f t="shared" si="1"/>
        <v>-2883706.4</v>
      </c>
      <c r="AM11">
        <v>-1</v>
      </c>
      <c r="AO11" s="102">
        <f t="shared" si="2"/>
        <v>23666083</v>
      </c>
      <c r="AP11" s="103">
        <f t="shared" si="3"/>
        <v>23866656</v>
      </c>
      <c r="AQ11" s="101">
        <f t="shared" si="4"/>
        <v>6546203</v>
      </c>
      <c r="AR11" s="104">
        <f t="shared" si="5"/>
        <v>5505682</v>
      </c>
    </row>
    <row r="12" spans="1:44">
      <c r="A12" s="14" t="s">
        <v>1224</v>
      </c>
      <c r="B12" s="15" t="s">
        <v>1225</v>
      </c>
      <c r="C12" s="14" t="s">
        <v>1220</v>
      </c>
      <c r="D12" s="14">
        <v>2</v>
      </c>
      <c r="E12" s="15" t="s">
        <v>1236</v>
      </c>
      <c r="F12" s="15" t="s">
        <v>1239</v>
      </c>
      <c r="G12" s="14" t="s">
        <v>1240</v>
      </c>
      <c r="H12" s="14"/>
      <c r="I12" s="14"/>
      <c r="J12" s="16">
        <v>6985.42</v>
      </c>
      <c r="K12" s="66">
        <v>5921669</v>
      </c>
      <c r="L12" s="66">
        <v>2129295</v>
      </c>
      <c r="M12" s="28">
        <v>8050964</v>
      </c>
      <c r="N12" s="64">
        <v>45247529</v>
      </c>
      <c r="O12" s="64">
        <v>6124782</v>
      </c>
      <c r="P12" s="64">
        <v>162398</v>
      </c>
      <c r="Q12" s="28">
        <v>51534709</v>
      </c>
      <c r="R12" s="62">
        <v>1658177</v>
      </c>
      <c r="S12" s="28">
        <v>61243850</v>
      </c>
      <c r="T12" s="81">
        <v>2739209</v>
      </c>
      <c r="U12" s="81">
        <v>2762687</v>
      </c>
      <c r="V12" s="81">
        <v>0</v>
      </c>
      <c r="W12" s="81">
        <v>11144656</v>
      </c>
      <c r="X12" s="28">
        <v>77890403</v>
      </c>
      <c r="Y12" s="28">
        <v>14114841</v>
      </c>
      <c r="Z12" s="28">
        <v>7670914</v>
      </c>
      <c r="AA12" s="28">
        <v>53873080</v>
      </c>
      <c r="AB12" s="28">
        <v>2231568</v>
      </c>
      <c r="AC12" s="40" t="s">
        <v>184</v>
      </c>
      <c r="AD12" s="41">
        <v>12</v>
      </c>
      <c r="AE12" s="42">
        <v>1</v>
      </c>
      <c r="AF12" s="40" t="s">
        <v>1239</v>
      </c>
      <c r="AG12" s="68">
        <v>399860.9</v>
      </c>
      <c r="AH12" s="42">
        <v>1</v>
      </c>
      <c r="AI12" s="40" t="s">
        <v>1239</v>
      </c>
      <c r="AJ12" s="70">
        <v>46184.74</v>
      </c>
      <c r="AK12" s="72">
        <f t="shared" si="0"/>
        <v>-399860.9</v>
      </c>
      <c r="AL12" s="72">
        <f t="shared" si="1"/>
        <v>-46184.74</v>
      </c>
      <c r="AM12">
        <v>-1</v>
      </c>
      <c r="AO12" s="102">
        <f t="shared" si="2"/>
        <v>8193172</v>
      </c>
      <c r="AP12" s="103">
        <f t="shared" si="3"/>
        <v>5541619</v>
      </c>
      <c r="AQ12" s="101">
        <f t="shared" si="4"/>
        <v>2338371</v>
      </c>
      <c r="AR12" s="104">
        <f t="shared" si="5"/>
        <v>573391</v>
      </c>
    </row>
    <row r="13" spans="1:44">
      <c r="A13" s="14" t="s">
        <v>1224</v>
      </c>
      <c r="B13" s="15" t="s">
        <v>1225</v>
      </c>
      <c r="C13" s="14" t="s">
        <v>1220</v>
      </c>
      <c r="D13" s="14">
        <v>2</v>
      </c>
      <c r="E13" s="15" t="s">
        <v>1236</v>
      </c>
      <c r="F13" s="15" t="s">
        <v>1241</v>
      </c>
      <c r="G13" s="14" t="s">
        <v>1242</v>
      </c>
      <c r="H13" s="14"/>
      <c r="I13" s="14"/>
      <c r="J13" s="16">
        <v>3007.27</v>
      </c>
      <c r="K13" s="66">
        <v>4364222</v>
      </c>
      <c r="L13" s="66">
        <v>1241359</v>
      </c>
      <c r="M13" s="28">
        <v>5605581</v>
      </c>
      <c r="N13" s="64">
        <v>21076189</v>
      </c>
      <c r="O13" s="64">
        <v>2419271</v>
      </c>
      <c r="P13" s="64">
        <v>1225006</v>
      </c>
      <c r="Q13" s="28">
        <v>24720466</v>
      </c>
      <c r="R13" s="62">
        <v>1588601</v>
      </c>
      <c r="S13" s="28">
        <v>31914648</v>
      </c>
      <c r="T13" s="81">
        <v>1401247</v>
      </c>
      <c r="U13" s="81">
        <v>845664</v>
      </c>
      <c r="V13" s="81">
        <v>278137</v>
      </c>
      <c r="W13" s="81">
        <v>3383227</v>
      </c>
      <c r="X13" s="28">
        <v>37822921</v>
      </c>
      <c r="Y13" s="28">
        <v>6946875</v>
      </c>
      <c r="Z13" s="28">
        <v>3271324</v>
      </c>
      <c r="AA13" s="28">
        <v>25136697</v>
      </c>
      <c r="AB13" s="28">
        <v>2468025</v>
      </c>
      <c r="AC13" s="40" t="s">
        <v>184</v>
      </c>
      <c r="AD13" s="41">
        <v>13</v>
      </c>
      <c r="AE13" s="42">
        <v>1</v>
      </c>
      <c r="AF13" s="40" t="s">
        <v>1241</v>
      </c>
      <c r="AG13" s="68">
        <v>295832.13</v>
      </c>
      <c r="AH13" s="42">
        <v>1</v>
      </c>
      <c r="AI13" s="40" t="s">
        <v>1241</v>
      </c>
      <c r="AJ13" s="70">
        <v>6533.52</v>
      </c>
      <c r="AK13" s="72">
        <f t="shared" si="0"/>
        <v>-295832.13</v>
      </c>
      <c r="AL13" s="72">
        <f t="shared" si="1"/>
        <v>-6533.52</v>
      </c>
      <c r="AM13">
        <v>-1</v>
      </c>
      <c r="AO13" s="102">
        <f t="shared" si="2"/>
        <v>2582653</v>
      </c>
      <c r="AP13" s="103">
        <f t="shared" si="3"/>
        <v>2029965</v>
      </c>
      <c r="AQ13" s="101">
        <f t="shared" si="4"/>
        <v>416231</v>
      </c>
      <c r="AR13" s="104">
        <f t="shared" si="5"/>
        <v>879424</v>
      </c>
    </row>
    <row r="14" spans="1:44">
      <c r="A14" s="14" t="s">
        <v>1224</v>
      </c>
      <c r="B14" s="15" t="s">
        <v>1225</v>
      </c>
      <c r="C14" s="14" t="s">
        <v>1220</v>
      </c>
      <c r="D14" s="14">
        <v>2</v>
      </c>
      <c r="E14" s="15" t="s">
        <v>1236</v>
      </c>
      <c r="F14" s="15" t="s">
        <v>1243</v>
      </c>
      <c r="G14" s="14" t="s">
        <v>1244</v>
      </c>
      <c r="H14" s="14"/>
      <c r="I14" s="14"/>
      <c r="J14" s="16">
        <v>2617.16</v>
      </c>
      <c r="K14" s="66">
        <v>4032545</v>
      </c>
      <c r="L14" s="66">
        <v>901577</v>
      </c>
      <c r="M14" s="28">
        <v>4934122</v>
      </c>
      <c r="N14" s="64">
        <v>17240811</v>
      </c>
      <c r="O14" s="64">
        <v>2748286</v>
      </c>
      <c r="P14" s="64">
        <v>512181</v>
      </c>
      <c r="Q14" s="28">
        <v>20501278</v>
      </c>
      <c r="R14" s="62">
        <v>1622095</v>
      </c>
      <c r="S14" s="28">
        <v>27057495</v>
      </c>
      <c r="T14" s="81">
        <v>1262958</v>
      </c>
      <c r="U14" s="81">
        <v>1629777</v>
      </c>
      <c r="V14" s="81">
        <v>49172</v>
      </c>
      <c r="W14" s="81">
        <v>1006512</v>
      </c>
      <c r="X14" s="28">
        <v>31005914</v>
      </c>
      <c r="Y14" s="28">
        <v>5259264</v>
      </c>
      <c r="Z14" s="28">
        <v>2460173</v>
      </c>
      <c r="AA14" s="28">
        <v>21077801</v>
      </c>
      <c r="AB14" s="28">
        <v>2208676</v>
      </c>
      <c r="AC14" s="40" t="s">
        <v>184</v>
      </c>
      <c r="AD14" s="41">
        <v>14</v>
      </c>
      <c r="AE14" s="42">
        <v>1</v>
      </c>
      <c r="AF14" s="40" t="s">
        <v>1243</v>
      </c>
      <c r="AG14" s="68">
        <v>197003.37</v>
      </c>
      <c r="AH14" s="42">
        <v>1</v>
      </c>
      <c r="AI14" s="40" t="s">
        <v>1243</v>
      </c>
      <c r="AJ14" s="70">
        <v>45764</v>
      </c>
      <c r="AK14" s="72">
        <f t="shared" si="0"/>
        <v>-197003.37</v>
      </c>
      <c r="AL14" s="72">
        <f t="shared" si="1"/>
        <v>-45764</v>
      </c>
      <c r="AM14">
        <v>-1</v>
      </c>
      <c r="AO14" s="102">
        <f t="shared" si="2"/>
        <v>1226719</v>
      </c>
      <c r="AP14" s="103">
        <f t="shared" si="3"/>
        <v>1558596</v>
      </c>
      <c r="AQ14" s="101">
        <f t="shared" si="4"/>
        <v>576523</v>
      </c>
      <c r="AR14" s="104">
        <f t="shared" si="5"/>
        <v>586581</v>
      </c>
    </row>
    <row r="15" spans="1:44">
      <c r="A15" s="14" t="s">
        <v>1224</v>
      </c>
      <c r="B15" s="15" t="s">
        <v>1225</v>
      </c>
      <c r="C15" s="14" t="s">
        <v>1220</v>
      </c>
      <c r="D15" s="14">
        <v>2</v>
      </c>
      <c r="E15" s="15" t="s">
        <v>1236</v>
      </c>
      <c r="F15" s="15" t="s">
        <v>1245</v>
      </c>
      <c r="G15" s="14" t="s">
        <v>1246</v>
      </c>
      <c r="H15" s="14"/>
      <c r="I15" s="14"/>
      <c r="J15" s="16">
        <v>5879.67</v>
      </c>
      <c r="K15" s="66">
        <v>4143303</v>
      </c>
      <c r="L15" s="66">
        <v>3622109</v>
      </c>
      <c r="M15" s="28">
        <v>7765412</v>
      </c>
      <c r="N15" s="64">
        <v>37742931</v>
      </c>
      <c r="O15" s="64">
        <v>2948520</v>
      </c>
      <c r="P15" s="64">
        <v>212446</v>
      </c>
      <c r="Q15" s="28">
        <v>40903897</v>
      </c>
      <c r="R15" s="62">
        <v>1663583</v>
      </c>
      <c r="S15" s="28">
        <v>50332892</v>
      </c>
      <c r="T15" s="81">
        <v>2522340</v>
      </c>
      <c r="U15" s="81">
        <v>2144025</v>
      </c>
      <c r="V15" s="81">
        <v>216362</v>
      </c>
      <c r="W15" s="81">
        <v>4514165</v>
      </c>
      <c r="X15" s="28">
        <v>59729783</v>
      </c>
      <c r="Y15" s="28">
        <v>8341332</v>
      </c>
      <c r="Z15" s="28">
        <v>7367531</v>
      </c>
      <c r="AA15" s="28">
        <v>41619575</v>
      </c>
      <c r="AB15" s="28">
        <v>2401345</v>
      </c>
      <c r="AC15" s="40" t="s">
        <v>184</v>
      </c>
      <c r="AD15" s="41">
        <v>15</v>
      </c>
      <c r="AE15" s="42">
        <v>1</v>
      </c>
      <c r="AF15" s="40" t="s">
        <v>1245</v>
      </c>
      <c r="AG15" s="68">
        <v>357035.83</v>
      </c>
      <c r="AH15" s="42">
        <v>1</v>
      </c>
      <c r="AI15" s="40" t="s">
        <v>1245</v>
      </c>
      <c r="AJ15" s="70">
        <v>77119.78</v>
      </c>
      <c r="AK15" s="72">
        <f t="shared" si="0"/>
        <v>-357035.83</v>
      </c>
      <c r="AL15" s="72">
        <f t="shared" si="1"/>
        <v>-77119.78</v>
      </c>
      <c r="AM15">
        <v>-1</v>
      </c>
      <c r="AO15" s="102">
        <f t="shared" si="2"/>
        <v>4198029</v>
      </c>
      <c r="AP15" s="103">
        <f t="shared" si="3"/>
        <v>3745422</v>
      </c>
      <c r="AQ15" s="101">
        <f t="shared" si="4"/>
        <v>715678</v>
      </c>
      <c r="AR15" s="104">
        <f t="shared" si="5"/>
        <v>737762</v>
      </c>
    </row>
    <row r="16" spans="1:44">
      <c r="A16" s="14" t="s">
        <v>1224</v>
      </c>
      <c r="B16" s="15" t="s">
        <v>1225</v>
      </c>
      <c r="C16" s="14" t="s">
        <v>1220</v>
      </c>
      <c r="D16" s="14">
        <v>2</v>
      </c>
      <c r="E16" s="15" t="s">
        <v>1236</v>
      </c>
      <c r="F16" s="15" t="s">
        <v>1247</v>
      </c>
      <c r="G16" s="14" t="s">
        <v>1248</v>
      </c>
      <c r="H16" s="14"/>
      <c r="I16" s="14"/>
      <c r="J16" s="16">
        <v>4712.17</v>
      </c>
      <c r="K16" s="66">
        <v>5727758</v>
      </c>
      <c r="L16" s="66">
        <v>1753294</v>
      </c>
      <c r="M16" s="28">
        <v>7481052</v>
      </c>
      <c r="N16" s="64">
        <v>28313376</v>
      </c>
      <c r="O16" s="64">
        <v>2695964</v>
      </c>
      <c r="P16" s="64">
        <v>215791</v>
      </c>
      <c r="Q16" s="28">
        <v>31225131</v>
      </c>
      <c r="R16" s="62">
        <v>1646160</v>
      </c>
      <c r="S16" s="28">
        <v>40352343</v>
      </c>
      <c r="T16" s="81">
        <v>1656756</v>
      </c>
      <c r="U16" s="81">
        <v>2087106</v>
      </c>
      <c r="V16" s="81">
        <v>4322772</v>
      </c>
      <c r="W16" s="81">
        <v>2966882</v>
      </c>
      <c r="X16" s="28">
        <v>51385859</v>
      </c>
      <c r="Y16" s="28">
        <v>10377295</v>
      </c>
      <c r="Z16" s="28">
        <v>6919759</v>
      </c>
      <c r="AA16" s="28">
        <v>31601453</v>
      </c>
      <c r="AB16" s="28">
        <v>2487352</v>
      </c>
      <c r="AC16" s="40" t="s">
        <v>184</v>
      </c>
      <c r="AD16" s="41">
        <v>16</v>
      </c>
      <c r="AE16" s="42">
        <v>1</v>
      </c>
      <c r="AF16" s="40" t="s">
        <v>1247</v>
      </c>
      <c r="AG16" s="68">
        <v>251104.86</v>
      </c>
      <c r="AH16" s="42">
        <v>1</v>
      </c>
      <c r="AI16" s="40" t="s">
        <v>1247</v>
      </c>
      <c r="AJ16" s="70">
        <v>0</v>
      </c>
      <c r="AK16" s="72">
        <f t="shared" si="0"/>
        <v>-251104.86</v>
      </c>
      <c r="AL16" s="72">
        <f t="shared" si="1"/>
        <v>0</v>
      </c>
      <c r="AM16">
        <v>-1</v>
      </c>
      <c r="AO16" s="102">
        <f t="shared" si="2"/>
        <v>4649537</v>
      </c>
      <c r="AP16" s="103">
        <f t="shared" si="3"/>
        <v>5166465</v>
      </c>
      <c r="AQ16" s="101">
        <f t="shared" si="4"/>
        <v>376322</v>
      </c>
      <c r="AR16" s="104">
        <f t="shared" si="5"/>
        <v>841192</v>
      </c>
    </row>
    <row r="17" spans="1:44">
      <c r="A17" s="14" t="s">
        <v>1249</v>
      </c>
      <c r="B17" s="15" t="s">
        <v>1250</v>
      </c>
      <c r="C17" s="14" t="s">
        <v>1220</v>
      </c>
      <c r="D17" s="14">
        <v>3</v>
      </c>
      <c r="E17" s="15" t="s">
        <v>1251</v>
      </c>
      <c r="F17" s="15" t="s">
        <v>1252</v>
      </c>
      <c r="G17" s="14" t="s">
        <v>1253</v>
      </c>
      <c r="H17" s="14"/>
      <c r="I17" s="14"/>
      <c r="J17" s="16">
        <v>2740.58</v>
      </c>
      <c r="K17" s="66">
        <v>1347341</v>
      </c>
      <c r="L17" s="66">
        <v>1331261</v>
      </c>
      <c r="M17" s="28">
        <v>2678602</v>
      </c>
      <c r="N17" s="64">
        <v>17848049</v>
      </c>
      <c r="O17" s="64">
        <v>1881048</v>
      </c>
      <c r="P17" s="64">
        <v>282182</v>
      </c>
      <c r="Q17" s="28">
        <v>20011279</v>
      </c>
      <c r="R17" s="62">
        <v>1499213</v>
      </c>
      <c r="S17" s="28">
        <v>24189094</v>
      </c>
      <c r="T17" s="81">
        <v>985590</v>
      </c>
      <c r="U17" s="81">
        <v>649159</v>
      </c>
      <c r="V17" s="81">
        <v>0</v>
      </c>
      <c r="W17" s="81">
        <v>1392084</v>
      </c>
      <c r="X17" s="28">
        <v>27215927</v>
      </c>
      <c r="Y17" s="28">
        <v>2662112</v>
      </c>
      <c r="Z17" s="28">
        <v>2222348</v>
      </c>
      <c r="AA17" s="28">
        <v>20417666</v>
      </c>
      <c r="AB17" s="28">
        <v>1913801</v>
      </c>
      <c r="AC17" s="40" t="s">
        <v>184</v>
      </c>
      <c r="AD17" s="41">
        <v>22</v>
      </c>
      <c r="AE17" s="42">
        <v>1</v>
      </c>
      <c r="AF17" s="40" t="s">
        <v>1252</v>
      </c>
      <c r="AG17" s="68">
        <v>184375.54</v>
      </c>
      <c r="AH17" s="42">
        <v>1</v>
      </c>
      <c r="AI17" s="40" t="s">
        <v>1252</v>
      </c>
      <c r="AJ17" s="70">
        <v>124309.58</v>
      </c>
      <c r="AK17" s="72">
        <f t="shared" si="0"/>
        <v>-184375.54</v>
      </c>
      <c r="AL17" s="72">
        <f t="shared" si="1"/>
        <v>-124309.58</v>
      </c>
      <c r="AM17">
        <v>-1</v>
      </c>
      <c r="AO17" s="102">
        <f t="shared" si="2"/>
        <v>1314771</v>
      </c>
      <c r="AP17" s="103">
        <f t="shared" si="3"/>
        <v>891087</v>
      </c>
      <c r="AQ17" s="101">
        <f t="shared" si="4"/>
        <v>406387</v>
      </c>
      <c r="AR17" s="104">
        <f t="shared" si="5"/>
        <v>414588</v>
      </c>
    </row>
    <row r="18" spans="1:44">
      <c r="A18" s="14" t="s">
        <v>1249</v>
      </c>
      <c r="B18" s="15" t="s">
        <v>1250</v>
      </c>
      <c r="C18" s="14" t="s">
        <v>1220</v>
      </c>
      <c r="D18" s="14">
        <v>3</v>
      </c>
      <c r="E18" s="15" t="s">
        <v>1251</v>
      </c>
      <c r="F18" s="15" t="s">
        <v>1254</v>
      </c>
      <c r="G18" s="14" t="s">
        <v>1255</v>
      </c>
      <c r="H18" s="14"/>
      <c r="I18" s="14"/>
      <c r="J18" s="16">
        <v>1019.77</v>
      </c>
      <c r="K18" s="66">
        <v>324335</v>
      </c>
      <c r="L18" s="66">
        <v>529269</v>
      </c>
      <c r="M18" s="28">
        <v>853604</v>
      </c>
      <c r="N18" s="64">
        <v>6959062</v>
      </c>
      <c r="O18" s="64">
        <v>573577</v>
      </c>
      <c r="P18" s="64">
        <v>28893</v>
      </c>
      <c r="Q18" s="28">
        <v>7561532</v>
      </c>
      <c r="R18" s="62">
        <v>579931</v>
      </c>
      <c r="S18" s="28">
        <v>8995067</v>
      </c>
      <c r="T18" s="81">
        <v>428245</v>
      </c>
      <c r="U18" s="81">
        <v>200231</v>
      </c>
      <c r="V18" s="81">
        <v>0</v>
      </c>
      <c r="W18" s="81">
        <v>1010079</v>
      </c>
      <c r="X18" s="28">
        <v>10633621</v>
      </c>
      <c r="Y18" s="28">
        <v>1244281</v>
      </c>
      <c r="Z18" s="28">
        <v>793982</v>
      </c>
      <c r="AA18" s="28">
        <v>7783584</v>
      </c>
      <c r="AB18" s="28">
        <v>811774</v>
      </c>
      <c r="AC18" s="40" t="s">
        <v>184</v>
      </c>
      <c r="AD18" s="41">
        <v>23</v>
      </c>
      <c r="AE18" s="42">
        <v>1</v>
      </c>
      <c r="AF18" s="40" t="s">
        <v>1254</v>
      </c>
      <c r="AG18" s="68">
        <v>92910.66</v>
      </c>
      <c r="AH18" s="42">
        <v>1</v>
      </c>
      <c r="AI18" s="40" t="s">
        <v>1254</v>
      </c>
      <c r="AJ18" s="70">
        <v>0</v>
      </c>
      <c r="AK18" s="72">
        <f t="shared" si="0"/>
        <v>-92910.66</v>
      </c>
      <c r="AL18" s="72">
        <f t="shared" si="1"/>
        <v>0</v>
      </c>
      <c r="AM18">
        <v>-1</v>
      </c>
      <c r="AO18" s="102">
        <f t="shared" si="2"/>
        <v>919946</v>
      </c>
      <c r="AP18" s="103">
        <f t="shared" si="3"/>
        <v>264713</v>
      </c>
      <c r="AQ18" s="101">
        <f t="shared" si="4"/>
        <v>222052</v>
      </c>
      <c r="AR18" s="104">
        <f t="shared" si="5"/>
        <v>231843</v>
      </c>
    </row>
    <row r="19" spans="1:44">
      <c r="A19" s="14" t="s">
        <v>1249</v>
      </c>
      <c r="B19" s="15" t="s">
        <v>1250</v>
      </c>
      <c r="C19" s="14" t="s">
        <v>1220</v>
      </c>
      <c r="D19" s="14">
        <v>3</v>
      </c>
      <c r="E19" s="15" t="s">
        <v>1251</v>
      </c>
      <c r="F19" s="15" t="s">
        <v>1256</v>
      </c>
      <c r="G19" s="14" t="s">
        <v>1257</v>
      </c>
      <c r="H19" s="14"/>
      <c r="I19" s="14"/>
      <c r="J19" s="16">
        <v>63.82</v>
      </c>
      <c r="K19" s="66">
        <v>0</v>
      </c>
      <c r="L19" s="66">
        <v>201650</v>
      </c>
      <c r="M19" s="28">
        <v>201650</v>
      </c>
      <c r="N19" s="64">
        <v>534471</v>
      </c>
      <c r="O19" s="64">
        <v>77184</v>
      </c>
      <c r="P19" s="64">
        <v>112998</v>
      </c>
      <c r="Q19" s="28">
        <v>724653</v>
      </c>
      <c r="R19" s="62">
        <v>447403</v>
      </c>
      <c r="S19" s="28">
        <v>1373706</v>
      </c>
      <c r="T19" s="81">
        <v>61029</v>
      </c>
      <c r="U19" s="81">
        <v>687185</v>
      </c>
      <c r="V19" s="81">
        <v>0</v>
      </c>
      <c r="W19" s="81">
        <v>0</v>
      </c>
      <c r="X19" s="28">
        <v>2121921</v>
      </c>
      <c r="Y19" s="28">
        <v>0</v>
      </c>
      <c r="Z19" s="28">
        <v>257949</v>
      </c>
      <c r="AA19" s="28">
        <v>756175</v>
      </c>
      <c r="AB19" s="28">
        <v>1107797</v>
      </c>
      <c r="AC19" s="40" t="s">
        <v>184</v>
      </c>
      <c r="AD19" s="41">
        <v>25</v>
      </c>
      <c r="AE19" s="42">
        <v>1</v>
      </c>
      <c r="AF19" s="40" t="s">
        <v>1256</v>
      </c>
      <c r="AG19" s="68">
        <v>41869.19</v>
      </c>
      <c r="AH19" s="42">
        <v>1</v>
      </c>
      <c r="AI19" s="40" t="s">
        <v>1256</v>
      </c>
      <c r="AJ19" s="70">
        <v>0</v>
      </c>
      <c r="AK19" s="72">
        <f t="shared" si="0"/>
        <v>-41869.19</v>
      </c>
      <c r="AL19" s="72">
        <f t="shared" si="1"/>
        <v>0</v>
      </c>
      <c r="AM19">
        <v>-1</v>
      </c>
      <c r="AO19" s="102">
        <f t="shared" si="2"/>
        <v>0</v>
      </c>
      <c r="AP19" s="103">
        <f t="shared" si="3"/>
        <v>56299</v>
      </c>
      <c r="AQ19" s="101">
        <f t="shared" si="4"/>
        <v>31522</v>
      </c>
      <c r="AR19" s="104">
        <f t="shared" si="5"/>
        <v>660394</v>
      </c>
    </row>
    <row r="20" spans="1:44">
      <c r="A20" s="14" t="s">
        <v>1258</v>
      </c>
      <c r="B20" s="15" t="s">
        <v>1259</v>
      </c>
      <c r="C20" s="14" t="s">
        <v>1220</v>
      </c>
      <c r="D20" s="14">
        <v>4</v>
      </c>
      <c r="E20" s="15" t="s">
        <v>1260</v>
      </c>
      <c r="F20" s="15" t="s">
        <v>1261</v>
      </c>
      <c r="G20" s="14" t="s">
        <v>1262</v>
      </c>
      <c r="H20" s="14"/>
      <c r="I20" s="14"/>
      <c r="J20" s="16">
        <v>4793.82</v>
      </c>
      <c r="K20" s="66">
        <v>2717815</v>
      </c>
      <c r="L20" s="66">
        <v>2744722</v>
      </c>
      <c r="M20" s="28">
        <v>5462537</v>
      </c>
      <c r="N20" s="64">
        <v>32726662</v>
      </c>
      <c r="O20" s="64">
        <v>4858457</v>
      </c>
      <c r="P20" s="64">
        <v>508379</v>
      </c>
      <c r="Q20" s="28">
        <v>38093498</v>
      </c>
      <c r="R20" s="62">
        <v>3126461</v>
      </c>
      <c r="S20" s="28">
        <v>46682496</v>
      </c>
      <c r="T20" s="81">
        <v>2234216</v>
      </c>
      <c r="U20" s="81">
        <v>1478603</v>
      </c>
      <c r="V20" s="81">
        <v>13483</v>
      </c>
      <c r="W20" s="81">
        <v>5914977</v>
      </c>
      <c r="X20" s="28">
        <v>56323776</v>
      </c>
      <c r="Y20" s="28">
        <v>7162212</v>
      </c>
      <c r="Z20" s="28">
        <v>5803739</v>
      </c>
      <c r="AA20" s="28">
        <v>39107689</v>
      </c>
      <c r="AB20" s="28">
        <v>4250136</v>
      </c>
      <c r="AC20" s="40" t="s">
        <v>184</v>
      </c>
      <c r="AD20" s="41">
        <v>31</v>
      </c>
      <c r="AE20" s="42">
        <v>1</v>
      </c>
      <c r="AF20" s="40" t="s">
        <v>1261</v>
      </c>
      <c r="AG20" s="68">
        <v>388068.43</v>
      </c>
      <c r="AH20" s="42">
        <v>1</v>
      </c>
      <c r="AI20" s="40" t="s">
        <v>1261</v>
      </c>
      <c r="AJ20" s="70">
        <v>171901.9</v>
      </c>
      <c r="AK20" s="72">
        <f t="shared" si="0"/>
        <v>-388068.43</v>
      </c>
      <c r="AL20" s="72">
        <f t="shared" si="1"/>
        <v>-171901.9</v>
      </c>
      <c r="AM20">
        <v>-1</v>
      </c>
      <c r="AO20" s="102">
        <f t="shared" si="2"/>
        <v>4444397</v>
      </c>
      <c r="AP20" s="103">
        <f t="shared" si="3"/>
        <v>3059017</v>
      </c>
      <c r="AQ20" s="101">
        <f t="shared" si="4"/>
        <v>1014191</v>
      </c>
      <c r="AR20" s="104">
        <f t="shared" si="5"/>
        <v>1123675</v>
      </c>
    </row>
    <row r="21" spans="1:44">
      <c r="A21" s="14" t="s">
        <v>1258</v>
      </c>
      <c r="B21" s="15" t="s">
        <v>1259</v>
      </c>
      <c r="C21" s="14" t="s">
        <v>1220</v>
      </c>
      <c r="D21" s="14">
        <v>4</v>
      </c>
      <c r="E21" s="15" t="s">
        <v>1260</v>
      </c>
      <c r="F21" s="15" t="s">
        <v>1263</v>
      </c>
      <c r="G21" s="14" t="s">
        <v>1264</v>
      </c>
      <c r="H21" s="14"/>
      <c r="I21" s="14"/>
      <c r="J21" s="16">
        <v>709.19</v>
      </c>
      <c r="K21" s="66">
        <v>188848</v>
      </c>
      <c r="L21" s="66">
        <v>315703</v>
      </c>
      <c r="M21" s="28">
        <v>504551</v>
      </c>
      <c r="N21" s="64">
        <v>5087238</v>
      </c>
      <c r="O21" s="64">
        <v>785232</v>
      </c>
      <c r="P21" s="64">
        <v>17453</v>
      </c>
      <c r="Q21" s="28">
        <v>5889923</v>
      </c>
      <c r="R21" s="62">
        <v>231803</v>
      </c>
      <c r="S21" s="28">
        <v>6626277</v>
      </c>
      <c r="T21" s="81">
        <v>348714</v>
      </c>
      <c r="U21" s="81">
        <v>127576</v>
      </c>
      <c r="V21" s="81">
        <v>0</v>
      </c>
      <c r="W21" s="81">
        <v>514624</v>
      </c>
      <c r="X21" s="28">
        <v>7617191</v>
      </c>
      <c r="Y21" s="28">
        <v>647320</v>
      </c>
      <c r="Z21" s="28">
        <v>552804</v>
      </c>
      <c r="AA21" s="28">
        <v>6021587</v>
      </c>
      <c r="AB21" s="28">
        <v>395480</v>
      </c>
      <c r="AC21" s="40" t="s">
        <v>184</v>
      </c>
      <c r="AD21" s="41">
        <v>32</v>
      </c>
      <c r="AE21" s="42">
        <v>1</v>
      </c>
      <c r="AF21" s="40" t="s">
        <v>1263</v>
      </c>
      <c r="AG21" s="68">
        <v>36780.58</v>
      </c>
      <c r="AH21" s="42">
        <v>1</v>
      </c>
      <c r="AI21" s="40" t="s">
        <v>1263</v>
      </c>
      <c r="AJ21" s="70">
        <v>37059.480000000003</v>
      </c>
      <c r="AK21" s="72">
        <f t="shared" si="0"/>
        <v>-36780.58</v>
      </c>
      <c r="AL21" s="72">
        <f t="shared" si="1"/>
        <v>-37059.480000000003</v>
      </c>
      <c r="AM21">
        <v>-1</v>
      </c>
      <c r="AO21" s="102">
        <f t="shared" si="2"/>
        <v>458472</v>
      </c>
      <c r="AP21" s="103">
        <f t="shared" si="3"/>
        <v>237101</v>
      </c>
      <c r="AQ21" s="101">
        <f t="shared" si="4"/>
        <v>131664</v>
      </c>
      <c r="AR21" s="104">
        <f t="shared" si="5"/>
        <v>163677</v>
      </c>
    </row>
    <row r="22" spans="1:44">
      <c r="A22" s="14" t="s">
        <v>1258</v>
      </c>
      <c r="B22" s="15" t="s">
        <v>1259</v>
      </c>
      <c r="C22" s="14" t="s">
        <v>1220</v>
      </c>
      <c r="D22" s="14">
        <v>4</v>
      </c>
      <c r="E22" s="15" t="s">
        <v>1260</v>
      </c>
      <c r="F22" s="15" t="s">
        <v>1265</v>
      </c>
      <c r="G22" s="14" t="s">
        <v>1266</v>
      </c>
      <c r="H22" s="14"/>
      <c r="I22" s="14"/>
      <c r="J22" s="16">
        <v>263.67</v>
      </c>
      <c r="K22" s="66">
        <v>28372</v>
      </c>
      <c r="L22" s="66">
        <v>431910</v>
      </c>
      <c r="M22" s="28">
        <v>460282</v>
      </c>
      <c r="N22" s="64">
        <v>2727556</v>
      </c>
      <c r="O22" s="64">
        <v>176962</v>
      </c>
      <c r="P22" s="64">
        <v>29631</v>
      </c>
      <c r="Q22" s="28">
        <v>2934149</v>
      </c>
      <c r="R22" s="62">
        <v>411985</v>
      </c>
      <c r="S22" s="28">
        <v>3806416</v>
      </c>
      <c r="T22" s="81">
        <v>158262</v>
      </c>
      <c r="U22" s="81">
        <v>28826</v>
      </c>
      <c r="V22" s="81">
        <v>0</v>
      </c>
      <c r="W22" s="81">
        <v>278284</v>
      </c>
      <c r="X22" s="28">
        <v>4271788</v>
      </c>
      <c r="Y22" s="28">
        <v>244533</v>
      </c>
      <c r="Z22" s="28">
        <v>475170</v>
      </c>
      <c r="AA22" s="28">
        <v>3021820</v>
      </c>
      <c r="AB22" s="28">
        <v>530265</v>
      </c>
      <c r="AC22" s="40" t="s">
        <v>184</v>
      </c>
      <c r="AD22" s="41">
        <v>36</v>
      </c>
      <c r="AE22" s="42">
        <v>1</v>
      </c>
      <c r="AF22" s="40" t="s">
        <v>1265</v>
      </c>
      <c r="AG22" s="68">
        <v>20697.46</v>
      </c>
      <c r="AH22" s="42">
        <v>1</v>
      </c>
      <c r="AI22" s="40" t="s">
        <v>1265</v>
      </c>
      <c r="AJ22" s="70">
        <v>0</v>
      </c>
      <c r="AK22" s="72">
        <f t="shared" si="0"/>
        <v>-20697.46</v>
      </c>
      <c r="AL22" s="72">
        <f t="shared" si="1"/>
        <v>0</v>
      </c>
      <c r="AM22">
        <v>-1</v>
      </c>
      <c r="AO22" s="102">
        <f t="shared" si="2"/>
        <v>216161</v>
      </c>
      <c r="AP22" s="103">
        <f t="shared" si="3"/>
        <v>43260</v>
      </c>
      <c r="AQ22" s="101">
        <f t="shared" si="4"/>
        <v>87671</v>
      </c>
      <c r="AR22" s="104">
        <f t="shared" si="5"/>
        <v>118280</v>
      </c>
    </row>
    <row r="23" spans="1:44">
      <c r="A23" s="14" t="s">
        <v>1258</v>
      </c>
      <c r="B23" s="15" t="s">
        <v>1259</v>
      </c>
      <c r="C23" s="14" t="s">
        <v>1220</v>
      </c>
      <c r="D23" s="14">
        <v>4</v>
      </c>
      <c r="E23" s="15" t="s">
        <v>1260</v>
      </c>
      <c r="F23" s="15" t="s">
        <v>1078</v>
      </c>
      <c r="G23" s="14" t="s">
        <v>1079</v>
      </c>
      <c r="H23" s="14"/>
      <c r="I23" s="14"/>
      <c r="J23" s="16">
        <v>1272.78</v>
      </c>
      <c r="K23" s="66">
        <v>3083</v>
      </c>
      <c r="L23" s="66">
        <v>1356249</v>
      </c>
      <c r="M23" s="28">
        <v>1359332</v>
      </c>
      <c r="N23" s="64">
        <v>14172415</v>
      </c>
      <c r="O23" s="64">
        <v>265936</v>
      </c>
      <c r="P23" s="64">
        <v>448172</v>
      </c>
      <c r="Q23" s="28">
        <v>14886523</v>
      </c>
      <c r="R23" s="62">
        <v>9619565</v>
      </c>
      <c r="S23" s="28">
        <v>25865420</v>
      </c>
      <c r="T23" s="81">
        <v>464156</v>
      </c>
      <c r="U23" s="81">
        <v>168084</v>
      </c>
      <c r="V23" s="81">
        <v>2909</v>
      </c>
      <c r="W23" s="81">
        <v>5683</v>
      </c>
      <c r="X23" s="28">
        <v>26506253</v>
      </c>
      <c r="Y23" s="28">
        <v>6773</v>
      </c>
      <c r="Z23" s="28">
        <v>1367704</v>
      </c>
      <c r="AA23" s="28">
        <v>15079272</v>
      </c>
      <c r="AB23" s="28">
        <v>10052504</v>
      </c>
      <c r="AC23" s="40" t="s">
        <v>184</v>
      </c>
      <c r="AD23" s="41">
        <v>38</v>
      </c>
      <c r="AE23" s="42">
        <v>1</v>
      </c>
      <c r="AF23" s="40" t="s">
        <v>1078</v>
      </c>
      <c r="AG23" s="68">
        <v>122963.86</v>
      </c>
      <c r="AH23" s="42">
        <v>1</v>
      </c>
      <c r="AI23" s="40" t="s">
        <v>1078</v>
      </c>
      <c r="AJ23" s="70">
        <v>0</v>
      </c>
      <c r="AK23" s="72">
        <f t="shared" si="0"/>
        <v>-122963.86</v>
      </c>
      <c r="AL23" s="72">
        <f t="shared" si="1"/>
        <v>0</v>
      </c>
      <c r="AM23">
        <v>-1</v>
      </c>
      <c r="AO23" s="102">
        <f t="shared" si="2"/>
        <v>3690</v>
      </c>
      <c r="AP23" s="103">
        <f t="shared" si="3"/>
        <v>11455</v>
      </c>
      <c r="AQ23" s="101">
        <f t="shared" si="4"/>
        <v>192749</v>
      </c>
      <c r="AR23" s="104">
        <f t="shared" si="5"/>
        <v>432939</v>
      </c>
    </row>
    <row r="24" spans="1:44">
      <c r="A24" s="14" t="s">
        <v>1080</v>
      </c>
      <c r="B24" s="15" t="s">
        <v>1081</v>
      </c>
      <c r="C24" s="14" t="s">
        <v>1220</v>
      </c>
      <c r="D24" s="14">
        <v>5</v>
      </c>
      <c r="E24" s="15" t="s">
        <v>1082</v>
      </c>
      <c r="F24" s="15" t="s">
        <v>1083</v>
      </c>
      <c r="G24" s="14" t="s">
        <v>1084</v>
      </c>
      <c r="H24" s="14"/>
      <c r="I24" s="14"/>
      <c r="J24" s="16">
        <v>3755.01</v>
      </c>
      <c r="K24" s="66">
        <v>718058</v>
      </c>
      <c r="L24" s="66">
        <v>2896408</v>
      </c>
      <c r="M24" s="28">
        <v>3614466</v>
      </c>
      <c r="N24" s="64">
        <v>22931407</v>
      </c>
      <c r="O24" s="64">
        <v>2818972</v>
      </c>
      <c r="P24" s="64">
        <v>182698</v>
      </c>
      <c r="Q24" s="28">
        <v>25933077</v>
      </c>
      <c r="R24" s="62">
        <v>422206</v>
      </c>
      <c r="S24" s="28">
        <v>29969749</v>
      </c>
      <c r="T24" s="81">
        <v>1658607</v>
      </c>
      <c r="U24" s="81">
        <v>1229685</v>
      </c>
      <c r="V24" s="81">
        <v>4559</v>
      </c>
      <c r="W24" s="81">
        <v>8811632</v>
      </c>
      <c r="X24" s="28">
        <v>41674233</v>
      </c>
      <c r="Y24" s="28">
        <v>5193964</v>
      </c>
      <c r="Z24" s="28">
        <v>7954415</v>
      </c>
      <c r="AA24" s="28">
        <v>27450598</v>
      </c>
      <c r="AB24" s="28">
        <v>1075256</v>
      </c>
      <c r="AC24" s="40" t="s">
        <v>184</v>
      </c>
      <c r="AD24" s="41">
        <v>47</v>
      </c>
      <c r="AE24" s="42">
        <v>1</v>
      </c>
      <c r="AF24" s="40" t="s">
        <v>1083</v>
      </c>
      <c r="AG24" s="68">
        <v>402217.42</v>
      </c>
      <c r="AH24" s="42">
        <v>1</v>
      </c>
      <c r="AI24" s="40" t="s">
        <v>1083</v>
      </c>
      <c r="AJ24" s="70">
        <v>74396.070000000007</v>
      </c>
      <c r="AK24" s="72">
        <f t="shared" si="0"/>
        <v>-402217.42</v>
      </c>
      <c r="AL24" s="72">
        <f t="shared" si="1"/>
        <v>-74396.070000000007</v>
      </c>
      <c r="AM24">
        <v>-1</v>
      </c>
      <c r="AO24" s="102">
        <f t="shared" si="2"/>
        <v>4475906</v>
      </c>
      <c r="AP24" s="103">
        <f t="shared" si="3"/>
        <v>5058007</v>
      </c>
      <c r="AQ24" s="101">
        <f t="shared" si="4"/>
        <v>1517521</v>
      </c>
      <c r="AR24" s="104">
        <f t="shared" si="5"/>
        <v>653050</v>
      </c>
    </row>
    <row r="25" spans="1:44">
      <c r="A25" s="14" t="s">
        <v>1080</v>
      </c>
      <c r="B25" s="15" t="s">
        <v>1081</v>
      </c>
      <c r="C25" s="14" t="s">
        <v>1220</v>
      </c>
      <c r="D25" s="14">
        <v>5</v>
      </c>
      <c r="E25" s="15" t="s">
        <v>1082</v>
      </c>
      <c r="F25" s="15" t="s">
        <v>1085</v>
      </c>
      <c r="G25" s="14" t="s">
        <v>1086</v>
      </c>
      <c r="H25" s="14"/>
      <c r="I25" s="14"/>
      <c r="J25" s="16">
        <v>1699.9</v>
      </c>
      <c r="K25" s="66">
        <v>477380</v>
      </c>
      <c r="L25" s="66">
        <v>867815</v>
      </c>
      <c r="M25" s="28">
        <v>1345195</v>
      </c>
      <c r="N25" s="64">
        <v>10736887</v>
      </c>
      <c r="O25" s="64">
        <v>802153</v>
      </c>
      <c r="P25" s="64">
        <v>63672</v>
      </c>
      <c r="Q25" s="28">
        <v>11602712</v>
      </c>
      <c r="R25" s="62">
        <v>489139</v>
      </c>
      <c r="S25" s="28">
        <v>13437046</v>
      </c>
      <c r="T25" s="81">
        <v>791852</v>
      </c>
      <c r="U25" s="81">
        <v>462721</v>
      </c>
      <c r="V25" s="81">
        <v>4293</v>
      </c>
      <c r="W25" s="81">
        <v>2333910</v>
      </c>
      <c r="X25" s="28">
        <v>17029822</v>
      </c>
      <c r="Y25" s="28">
        <v>2235818</v>
      </c>
      <c r="Z25" s="28">
        <v>1954769</v>
      </c>
      <c r="AA25" s="28">
        <v>12109420</v>
      </c>
      <c r="AB25" s="28">
        <v>729815</v>
      </c>
      <c r="AC25" s="40" t="s">
        <v>184</v>
      </c>
      <c r="AD25" s="41">
        <v>51</v>
      </c>
      <c r="AE25" s="42">
        <v>1</v>
      </c>
      <c r="AF25" s="40" t="s">
        <v>1085</v>
      </c>
      <c r="AG25" s="68">
        <v>118254.74</v>
      </c>
      <c r="AH25" s="42">
        <v>1</v>
      </c>
      <c r="AI25" s="40" t="s">
        <v>1085</v>
      </c>
      <c r="AJ25" s="70">
        <v>6490.56</v>
      </c>
      <c r="AK25" s="72">
        <f t="shared" si="0"/>
        <v>-118254.74</v>
      </c>
      <c r="AL25" s="72">
        <f t="shared" si="1"/>
        <v>-6490.56</v>
      </c>
      <c r="AM25">
        <v>-1</v>
      </c>
      <c r="AO25" s="102">
        <f t="shared" si="2"/>
        <v>1758438</v>
      </c>
      <c r="AP25" s="103">
        <f t="shared" si="3"/>
        <v>1086954</v>
      </c>
      <c r="AQ25" s="101">
        <f t="shared" si="4"/>
        <v>506708</v>
      </c>
      <c r="AR25" s="104">
        <f t="shared" si="5"/>
        <v>240676</v>
      </c>
    </row>
    <row r="26" spans="1:44">
      <c r="A26" s="14" t="s">
        <v>1087</v>
      </c>
      <c r="B26" s="15" t="s">
        <v>1088</v>
      </c>
      <c r="C26" s="14" t="s">
        <v>1220</v>
      </c>
      <c r="D26" s="14">
        <v>6</v>
      </c>
      <c r="E26" s="15" t="s">
        <v>1089</v>
      </c>
      <c r="F26" s="15" t="s">
        <v>1090</v>
      </c>
      <c r="G26" s="14" t="s">
        <v>1091</v>
      </c>
      <c r="H26" s="14"/>
      <c r="I26" s="14"/>
      <c r="J26" s="16">
        <v>544.71</v>
      </c>
      <c r="K26" s="66">
        <v>246591</v>
      </c>
      <c r="L26" s="66">
        <v>803119</v>
      </c>
      <c r="M26" s="28">
        <v>1049710</v>
      </c>
      <c r="N26" s="64">
        <v>3400302</v>
      </c>
      <c r="O26" s="64">
        <v>426712</v>
      </c>
      <c r="P26" s="64">
        <v>143211</v>
      </c>
      <c r="Q26" s="28">
        <v>3970225</v>
      </c>
      <c r="R26" s="62">
        <v>209220</v>
      </c>
      <c r="S26" s="28">
        <v>5229155</v>
      </c>
      <c r="T26" s="81">
        <v>316090</v>
      </c>
      <c r="U26" s="81">
        <v>86286</v>
      </c>
      <c r="V26" s="81">
        <v>0</v>
      </c>
      <c r="W26" s="81">
        <v>800433</v>
      </c>
      <c r="X26" s="28">
        <v>6431964</v>
      </c>
      <c r="Y26" s="28">
        <v>808611</v>
      </c>
      <c r="Z26" s="28">
        <v>1018777</v>
      </c>
      <c r="AA26" s="28">
        <v>4271298</v>
      </c>
      <c r="AB26" s="28">
        <v>333278</v>
      </c>
      <c r="AC26" s="40" t="s">
        <v>184</v>
      </c>
      <c r="AD26" s="41">
        <v>62</v>
      </c>
      <c r="AE26" s="42">
        <v>1</v>
      </c>
      <c r="AF26" s="40" t="s">
        <v>1090</v>
      </c>
      <c r="AG26" s="68">
        <v>19883.59</v>
      </c>
      <c r="AH26" s="42">
        <v>1</v>
      </c>
      <c r="AI26" s="40" t="s">
        <v>1090</v>
      </c>
      <c r="AJ26" s="70">
        <v>0</v>
      </c>
      <c r="AK26" s="72">
        <f t="shared" si="0"/>
        <v>-19883.59</v>
      </c>
      <c r="AL26" s="72">
        <f t="shared" si="1"/>
        <v>0</v>
      </c>
      <c r="AM26">
        <v>-1</v>
      </c>
      <c r="AO26" s="102">
        <f t="shared" si="2"/>
        <v>562020</v>
      </c>
      <c r="AP26" s="103">
        <f t="shared" si="3"/>
        <v>215658</v>
      </c>
      <c r="AQ26" s="101">
        <f t="shared" si="4"/>
        <v>301073</v>
      </c>
      <c r="AR26" s="104">
        <f t="shared" si="5"/>
        <v>124058</v>
      </c>
    </row>
    <row r="27" spans="1:44">
      <c r="A27" s="14" t="s">
        <v>1092</v>
      </c>
      <c r="B27" s="15" t="s">
        <v>1093</v>
      </c>
      <c r="C27" s="14" t="s">
        <v>1220</v>
      </c>
      <c r="D27" s="14">
        <v>7</v>
      </c>
      <c r="E27" s="15" t="s">
        <v>1094</v>
      </c>
      <c r="F27" s="15" t="s">
        <v>1095</v>
      </c>
      <c r="G27" s="14" t="s">
        <v>1096</v>
      </c>
      <c r="H27" s="14"/>
      <c r="I27" s="14"/>
      <c r="J27" s="16">
        <v>632.77</v>
      </c>
      <c r="K27" s="66">
        <v>153007</v>
      </c>
      <c r="L27" s="66">
        <v>361847</v>
      </c>
      <c r="M27" s="28">
        <v>514854</v>
      </c>
      <c r="N27" s="64">
        <v>3840028</v>
      </c>
      <c r="O27" s="64">
        <v>227357</v>
      </c>
      <c r="P27" s="64">
        <v>15633</v>
      </c>
      <c r="Q27" s="28">
        <v>4083018</v>
      </c>
      <c r="R27" s="62">
        <v>39795</v>
      </c>
      <c r="S27" s="28">
        <v>4637667</v>
      </c>
      <c r="T27" s="81">
        <v>290497</v>
      </c>
      <c r="U27" s="81">
        <v>147525</v>
      </c>
      <c r="V27" s="81">
        <v>0</v>
      </c>
      <c r="W27" s="81">
        <v>1437523</v>
      </c>
      <c r="X27" s="28">
        <v>6513212</v>
      </c>
      <c r="Y27" s="28">
        <v>923838</v>
      </c>
      <c r="Z27" s="28">
        <v>1080412</v>
      </c>
      <c r="AA27" s="28">
        <v>4395876</v>
      </c>
      <c r="AB27" s="28">
        <v>113087</v>
      </c>
      <c r="AC27" s="40" t="s">
        <v>184</v>
      </c>
      <c r="AD27" s="41">
        <v>75</v>
      </c>
      <c r="AE27" s="42">
        <v>1</v>
      </c>
      <c r="AF27" s="40" t="s">
        <v>1095</v>
      </c>
      <c r="AG27" s="68">
        <v>24151.72</v>
      </c>
      <c r="AH27" s="42">
        <v>1</v>
      </c>
      <c r="AI27" s="40" t="s">
        <v>1095</v>
      </c>
      <c r="AJ27" s="70">
        <v>0</v>
      </c>
      <c r="AK27" s="72">
        <f t="shared" si="0"/>
        <v>-24151.72</v>
      </c>
      <c r="AL27" s="72">
        <f t="shared" si="1"/>
        <v>0</v>
      </c>
      <c r="AM27">
        <v>-1</v>
      </c>
      <c r="AO27" s="102">
        <f t="shared" si="2"/>
        <v>770831</v>
      </c>
      <c r="AP27" s="103">
        <f t="shared" si="3"/>
        <v>718565</v>
      </c>
      <c r="AQ27" s="101">
        <f t="shared" si="4"/>
        <v>312858</v>
      </c>
      <c r="AR27" s="104">
        <f t="shared" si="5"/>
        <v>73292</v>
      </c>
    </row>
    <row r="28" spans="1:44">
      <c r="A28" s="14" t="s">
        <v>1092</v>
      </c>
      <c r="B28" s="15" t="s">
        <v>1093</v>
      </c>
      <c r="C28" s="14" t="s">
        <v>1220</v>
      </c>
      <c r="D28" s="14">
        <v>7</v>
      </c>
      <c r="E28" s="15" t="s">
        <v>1094</v>
      </c>
      <c r="F28" s="15" t="s">
        <v>1097</v>
      </c>
      <c r="G28" s="14" t="s">
        <v>1098</v>
      </c>
      <c r="H28" s="14"/>
      <c r="I28" s="14"/>
      <c r="J28" s="16">
        <v>7180.59</v>
      </c>
      <c r="K28" s="66">
        <v>7618970</v>
      </c>
      <c r="L28" s="66">
        <v>2347729</v>
      </c>
      <c r="M28" s="28">
        <v>9966699</v>
      </c>
      <c r="N28" s="64">
        <v>43800436</v>
      </c>
      <c r="O28" s="64">
        <v>5355023</v>
      </c>
      <c r="P28" s="64">
        <v>762363</v>
      </c>
      <c r="Q28" s="28">
        <v>49917822</v>
      </c>
      <c r="R28" s="62">
        <v>2749176</v>
      </c>
      <c r="S28" s="28">
        <v>62633697</v>
      </c>
      <c r="T28" s="81">
        <v>2586816</v>
      </c>
      <c r="U28" s="81">
        <v>3039188</v>
      </c>
      <c r="V28" s="81">
        <v>172960</v>
      </c>
      <c r="W28" s="81">
        <v>2884990</v>
      </c>
      <c r="X28" s="28">
        <v>71317652</v>
      </c>
      <c r="Y28" s="28">
        <v>10744406</v>
      </c>
      <c r="Z28" s="28">
        <v>4983982</v>
      </c>
      <c r="AA28" s="28">
        <v>51398247</v>
      </c>
      <c r="AB28" s="28">
        <v>4191017</v>
      </c>
      <c r="AC28" s="40" t="s">
        <v>184</v>
      </c>
      <c r="AD28" s="41">
        <v>77</v>
      </c>
      <c r="AE28" s="42">
        <v>1</v>
      </c>
      <c r="AF28" s="40" t="s">
        <v>1097</v>
      </c>
      <c r="AG28" s="68">
        <v>542029.18999999994</v>
      </c>
      <c r="AH28" s="42">
        <v>1</v>
      </c>
      <c r="AI28" s="40" t="s">
        <v>1097</v>
      </c>
      <c r="AJ28" s="70">
        <v>855236.23</v>
      </c>
      <c r="AK28" s="72">
        <f t="shared" si="0"/>
        <v>-542029.18999999994</v>
      </c>
      <c r="AL28" s="72">
        <f t="shared" si="1"/>
        <v>-855236.23</v>
      </c>
      <c r="AM28">
        <v>-1</v>
      </c>
      <c r="AO28" s="102">
        <f t="shared" si="2"/>
        <v>3125436</v>
      </c>
      <c r="AP28" s="103">
        <f t="shared" si="3"/>
        <v>2636253</v>
      </c>
      <c r="AQ28" s="101">
        <f t="shared" si="4"/>
        <v>1480425</v>
      </c>
      <c r="AR28" s="104">
        <f t="shared" si="5"/>
        <v>1441841</v>
      </c>
    </row>
    <row r="29" spans="1:44">
      <c r="A29" s="14" t="s">
        <v>1092</v>
      </c>
      <c r="B29" s="15" t="s">
        <v>1093</v>
      </c>
      <c r="C29" s="14" t="s">
        <v>1220</v>
      </c>
      <c r="D29" s="14">
        <v>8</v>
      </c>
      <c r="E29" s="15" t="s">
        <v>1099</v>
      </c>
      <c r="F29" s="15" t="s">
        <v>1100</v>
      </c>
      <c r="G29" s="14" t="s">
        <v>1101</v>
      </c>
      <c r="H29" s="14"/>
      <c r="I29" s="14"/>
      <c r="J29" s="16">
        <v>155.46</v>
      </c>
      <c r="K29" s="66">
        <v>159895</v>
      </c>
      <c r="L29" s="66">
        <v>138882</v>
      </c>
      <c r="M29" s="28">
        <v>298777</v>
      </c>
      <c r="N29" s="64">
        <v>1086531</v>
      </c>
      <c r="O29" s="64">
        <v>66100</v>
      </c>
      <c r="P29" s="64">
        <v>26754</v>
      </c>
      <c r="Q29" s="28">
        <v>1179385</v>
      </c>
      <c r="R29" s="62">
        <v>70503</v>
      </c>
      <c r="S29" s="28">
        <v>1548665</v>
      </c>
      <c r="T29" s="81">
        <v>68556</v>
      </c>
      <c r="U29" s="81">
        <v>155984</v>
      </c>
      <c r="V29" s="81">
        <v>0</v>
      </c>
      <c r="W29" s="81">
        <v>0</v>
      </c>
      <c r="X29" s="28">
        <v>1773206</v>
      </c>
      <c r="Y29" s="28">
        <v>173602</v>
      </c>
      <c r="Z29" s="28">
        <v>301913</v>
      </c>
      <c r="AA29" s="28">
        <v>1198067</v>
      </c>
      <c r="AB29" s="28">
        <v>99623</v>
      </c>
      <c r="AC29" s="40" t="s">
        <v>184</v>
      </c>
      <c r="AD29" s="41">
        <v>81</v>
      </c>
      <c r="AE29" s="42">
        <v>1</v>
      </c>
      <c r="AF29" s="40" t="s">
        <v>1100</v>
      </c>
      <c r="AG29" s="68">
        <v>21675.56</v>
      </c>
      <c r="AH29" s="42">
        <v>1</v>
      </c>
      <c r="AI29" s="40" t="s">
        <v>1100</v>
      </c>
      <c r="AJ29" s="70">
        <v>0</v>
      </c>
      <c r="AK29" s="72">
        <f t="shared" si="0"/>
        <v>-21675.56</v>
      </c>
      <c r="AL29" s="72">
        <f t="shared" si="1"/>
        <v>0</v>
      </c>
      <c r="AM29">
        <v>-1</v>
      </c>
      <c r="AO29" s="102">
        <f t="shared" si="2"/>
        <v>13707</v>
      </c>
      <c r="AP29" s="103">
        <f t="shared" si="3"/>
        <v>163031</v>
      </c>
      <c r="AQ29" s="101">
        <f t="shared" si="4"/>
        <v>18682</v>
      </c>
      <c r="AR29" s="104">
        <f t="shared" si="5"/>
        <v>29120</v>
      </c>
    </row>
    <row r="30" spans="1:44">
      <c r="A30" s="14" t="s">
        <v>1092</v>
      </c>
      <c r="B30" s="15" t="s">
        <v>1093</v>
      </c>
      <c r="C30" s="14" t="s">
        <v>1220</v>
      </c>
      <c r="D30" s="14">
        <v>8</v>
      </c>
      <c r="E30" s="15" t="s">
        <v>1099</v>
      </c>
      <c r="F30" s="15" t="s">
        <v>1102</v>
      </c>
      <c r="G30" s="14" t="s">
        <v>1103</v>
      </c>
      <c r="H30" s="14"/>
      <c r="I30" s="14"/>
      <c r="J30" s="16">
        <v>656.3</v>
      </c>
      <c r="K30" s="66">
        <v>341775</v>
      </c>
      <c r="L30" s="66">
        <v>590091</v>
      </c>
      <c r="M30" s="28">
        <v>931866</v>
      </c>
      <c r="N30" s="64">
        <v>4638256</v>
      </c>
      <c r="O30" s="64">
        <v>384587</v>
      </c>
      <c r="P30" s="64">
        <v>278305</v>
      </c>
      <c r="Q30" s="28">
        <v>5301148</v>
      </c>
      <c r="R30" s="62">
        <v>323002</v>
      </c>
      <c r="S30" s="28">
        <v>6556016</v>
      </c>
      <c r="T30" s="81">
        <v>286822</v>
      </c>
      <c r="U30" s="81">
        <v>256857</v>
      </c>
      <c r="V30" s="81">
        <v>0</v>
      </c>
      <c r="W30" s="81">
        <v>283367</v>
      </c>
      <c r="X30" s="28">
        <v>7383062</v>
      </c>
      <c r="Y30" s="28">
        <v>624901</v>
      </c>
      <c r="Z30" s="28">
        <v>787571</v>
      </c>
      <c r="AA30" s="28">
        <v>5505955</v>
      </c>
      <c r="AB30" s="28">
        <v>464635</v>
      </c>
      <c r="AC30" s="40" t="s">
        <v>184</v>
      </c>
      <c r="AD30" s="41">
        <v>84</v>
      </c>
      <c r="AE30" s="42">
        <v>1</v>
      </c>
      <c r="AF30" s="40" t="s">
        <v>1102</v>
      </c>
      <c r="AG30" s="68">
        <v>65694.960000000006</v>
      </c>
      <c r="AH30" s="42">
        <v>1</v>
      </c>
      <c r="AI30" s="40" t="s">
        <v>1102</v>
      </c>
      <c r="AJ30" s="70">
        <v>0</v>
      </c>
      <c r="AK30" s="72">
        <f t="shared" si="0"/>
        <v>-65694.960000000006</v>
      </c>
      <c r="AL30" s="72">
        <f t="shared" si="1"/>
        <v>0</v>
      </c>
      <c r="AM30">
        <v>-1</v>
      </c>
      <c r="AO30" s="102">
        <f t="shared" si="2"/>
        <v>283126</v>
      </c>
      <c r="AP30" s="103">
        <f t="shared" si="3"/>
        <v>197480</v>
      </c>
      <c r="AQ30" s="101">
        <f t="shared" si="4"/>
        <v>204807</v>
      </c>
      <c r="AR30" s="104">
        <f t="shared" si="5"/>
        <v>141633</v>
      </c>
    </row>
    <row r="31" spans="1:44">
      <c r="A31" s="14" t="s">
        <v>1092</v>
      </c>
      <c r="B31" s="15" t="s">
        <v>1093</v>
      </c>
      <c r="C31" s="14" t="s">
        <v>1220</v>
      </c>
      <c r="D31" s="14">
        <v>8</v>
      </c>
      <c r="E31" s="15" t="s">
        <v>1099</v>
      </c>
      <c r="F31" s="15" t="s">
        <v>1104</v>
      </c>
      <c r="G31" s="14" t="s">
        <v>1105</v>
      </c>
      <c r="H31" s="14"/>
      <c r="I31" s="14"/>
      <c r="J31" s="16">
        <v>607.30999999999995</v>
      </c>
      <c r="K31" s="66">
        <v>248791</v>
      </c>
      <c r="L31" s="66">
        <v>588645</v>
      </c>
      <c r="M31" s="28">
        <v>837436</v>
      </c>
      <c r="N31" s="64">
        <v>4256313</v>
      </c>
      <c r="O31" s="64">
        <v>212305</v>
      </c>
      <c r="P31" s="64">
        <v>79981</v>
      </c>
      <c r="Q31" s="28">
        <v>4548599</v>
      </c>
      <c r="R31" s="62">
        <v>55996</v>
      </c>
      <c r="S31" s="28">
        <v>5442031</v>
      </c>
      <c r="T31" s="81">
        <v>279881</v>
      </c>
      <c r="U31" s="81">
        <v>68608</v>
      </c>
      <c r="V31" s="81">
        <v>0</v>
      </c>
      <c r="W31" s="81">
        <v>492993</v>
      </c>
      <c r="X31" s="28">
        <v>6283512</v>
      </c>
      <c r="Y31" s="28">
        <v>702008</v>
      </c>
      <c r="Z31" s="28">
        <v>774144</v>
      </c>
      <c r="AA31" s="28">
        <v>4639743</v>
      </c>
      <c r="AB31" s="28">
        <v>167617</v>
      </c>
      <c r="AC31" s="40" t="s">
        <v>184</v>
      </c>
      <c r="AD31" s="41">
        <v>85</v>
      </c>
      <c r="AE31" s="42">
        <v>1</v>
      </c>
      <c r="AF31" s="40" t="s">
        <v>1104</v>
      </c>
      <c r="AG31" s="68">
        <v>25027</v>
      </c>
      <c r="AH31" s="42">
        <v>1</v>
      </c>
      <c r="AI31" s="40" t="s">
        <v>1104</v>
      </c>
      <c r="AJ31" s="70">
        <v>4461.5</v>
      </c>
      <c r="AK31" s="72">
        <f t="shared" si="0"/>
        <v>-25027</v>
      </c>
      <c r="AL31" s="72">
        <f t="shared" si="1"/>
        <v>-4461.5</v>
      </c>
      <c r="AM31">
        <v>-1</v>
      </c>
      <c r="AO31" s="102">
        <f t="shared" si="2"/>
        <v>453217</v>
      </c>
      <c r="AP31" s="103">
        <f t="shared" si="3"/>
        <v>185499</v>
      </c>
      <c r="AQ31" s="101">
        <f t="shared" si="4"/>
        <v>91144</v>
      </c>
      <c r="AR31" s="104">
        <f t="shared" si="5"/>
        <v>111621</v>
      </c>
    </row>
    <row r="32" spans="1:44">
      <c r="A32" s="14" t="s">
        <v>1092</v>
      </c>
      <c r="B32" s="15" t="s">
        <v>1093</v>
      </c>
      <c r="C32" s="14" t="s">
        <v>1220</v>
      </c>
      <c r="D32" s="14">
        <v>8</v>
      </c>
      <c r="E32" s="15" t="s">
        <v>1099</v>
      </c>
      <c r="F32" s="15" t="s">
        <v>1106</v>
      </c>
      <c r="G32" s="14" t="s">
        <v>1107</v>
      </c>
      <c r="H32" s="14"/>
      <c r="I32" s="14"/>
      <c r="J32" s="16">
        <v>2159.34</v>
      </c>
      <c r="K32" s="66">
        <v>2074925</v>
      </c>
      <c r="L32" s="66">
        <v>1114331</v>
      </c>
      <c r="M32" s="28">
        <v>3189256</v>
      </c>
      <c r="N32" s="64">
        <v>13714849</v>
      </c>
      <c r="O32" s="64">
        <v>1352258</v>
      </c>
      <c r="P32" s="64">
        <v>518964</v>
      </c>
      <c r="Q32" s="28">
        <v>15586071</v>
      </c>
      <c r="R32" s="62">
        <v>354948</v>
      </c>
      <c r="S32" s="28">
        <v>19130275</v>
      </c>
      <c r="T32" s="81">
        <v>658318</v>
      </c>
      <c r="U32" s="81">
        <v>755068</v>
      </c>
      <c r="V32" s="81">
        <v>89726</v>
      </c>
      <c r="W32" s="81">
        <v>1617716</v>
      </c>
      <c r="X32" s="28">
        <v>22251102</v>
      </c>
      <c r="Y32" s="28">
        <v>3556199</v>
      </c>
      <c r="Z32" s="28">
        <v>2003413</v>
      </c>
      <c r="AA32" s="28">
        <v>16118152</v>
      </c>
      <c r="AB32" s="28">
        <v>573338</v>
      </c>
      <c r="AC32" s="40" t="s">
        <v>184</v>
      </c>
      <c r="AD32" s="41">
        <v>88</v>
      </c>
      <c r="AE32" s="42">
        <v>1</v>
      </c>
      <c r="AF32" s="40" t="s">
        <v>1106</v>
      </c>
      <c r="AG32" s="68">
        <v>218269.59</v>
      </c>
      <c r="AH32" s="42">
        <v>1</v>
      </c>
      <c r="AI32" s="40" t="s">
        <v>1106</v>
      </c>
      <c r="AJ32" s="70">
        <v>0</v>
      </c>
      <c r="AK32" s="72">
        <f t="shared" si="0"/>
        <v>-218269.59</v>
      </c>
      <c r="AL32" s="72">
        <f t="shared" si="1"/>
        <v>0</v>
      </c>
      <c r="AM32">
        <v>-1</v>
      </c>
      <c r="AO32" s="102">
        <f t="shared" si="2"/>
        <v>1481274</v>
      </c>
      <c r="AP32" s="103">
        <f t="shared" si="3"/>
        <v>889082</v>
      </c>
      <c r="AQ32" s="101">
        <f t="shared" si="4"/>
        <v>532081</v>
      </c>
      <c r="AR32" s="104">
        <f t="shared" si="5"/>
        <v>218390</v>
      </c>
    </row>
    <row r="33" spans="1:44">
      <c r="A33" s="14" t="s">
        <v>1218</v>
      </c>
      <c r="B33" s="15" t="s">
        <v>1219</v>
      </c>
      <c r="C33" s="14" t="s">
        <v>1220</v>
      </c>
      <c r="D33" s="14">
        <v>9</v>
      </c>
      <c r="E33" s="15" t="s">
        <v>1108</v>
      </c>
      <c r="F33" s="15" t="s">
        <v>1109</v>
      </c>
      <c r="G33" s="14" t="s">
        <v>1110</v>
      </c>
      <c r="H33" s="14"/>
      <c r="I33" s="14"/>
      <c r="J33" s="16">
        <v>706.29</v>
      </c>
      <c r="K33" s="66">
        <v>200029</v>
      </c>
      <c r="L33" s="66">
        <v>400735</v>
      </c>
      <c r="M33" s="28">
        <v>600764</v>
      </c>
      <c r="N33" s="64">
        <v>4454643</v>
      </c>
      <c r="O33" s="64">
        <v>433922</v>
      </c>
      <c r="P33" s="64">
        <v>98539</v>
      </c>
      <c r="Q33" s="28">
        <v>4987104</v>
      </c>
      <c r="R33" s="62">
        <v>249472</v>
      </c>
      <c r="S33" s="28">
        <v>5837340</v>
      </c>
      <c r="T33" s="81">
        <v>298563</v>
      </c>
      <c r="U33" s="81">
        <v>236969</v>
      </c>
      <c r="V33" s="81">
        <v>2153</v>
      </c>
      <c r="W33" s="81">
        <v>815058</v>
      </c>
      <c r="X33" s="28">
        <v>7190082</v>
      </c>
      <c r="Y33" s="28">
        <v>911241</v>
      </c>
      <c r="Z33" s="28">
        <v>670663</v>
      </c>
      <c r="AA33" s="28">
        <v>5168159</v>
      </c>
      <c r="AB33" s="28">
        <v>440019</v>
      </c>
      <c r="AC33" s="40" t="s">
        <v>184</v>
      </c>
      <c r="AD33" s="41">
        <v>91</v>
      </c>
      <c r="AE33" s="42">
        <v>1</v>
      </c>
      <c r="AF33" s="40" t="s">
        <v>1109</v>
      </c>
      <c r="AG33" s="68">
        <v>58532.32</v>
      </c>
      <c r="AH33" s="42">
        <v>1</v>
      </c>
      <c r="AI33" s="40" t="s">
        <v>1109</v>
      </c>
      <c r="AJ33" s="70">
        <v>0</v>
      </c>
      <c r="AK33" s="72">
        <f t="shared" si="0"/>
        <v>-58532.32</v>
      </c>
      <c r="AL33" s="72">
        <f t="shared" si="1"/>
        <v>0</v>
      </c>
      <c r="AM33">
        <v>-1</v>
      </c>
      <c r="AO33" s="102">
        <f t="shared" si="2"/>
        <v>711212</v>
      </c>
      <c r="AP33" s="103">
        <f t="shared" si="3"/>
        <v>269928</v>
      </c>
      <c r="AQ33" s="101">
        <f t="shared" si="4"/>
        <v>181055</v>
      </c>
      <c r="AR33" s="104">
        <f t="shared" si="5"/>
        <v>190547</v>
      </c>
    </row>
    <row r="34" spans="1:44">
      <c r="A34" s="14" t="s">
        <v>1218</v>
      </c>
      <c r="B34" s="15" t="s">
        <v>1219</v>
      </c>
      <c r="C34" s="14" t="s">
        <v>1220</v>
      </c>
      <c r="D34" s="14">
        <v>9</v>
      </c>
      <c r="E34" s="15" t="s">
        <v>1108</v>
      </c>
      <c r="F34" s="15" t="s">
        <v>1111</v>
      </c>
      <c r="G34" s="14" t="s">
        <v>1112</v>
      </c>
      <c r="H34" s="14"/>
      <c r="I34" s="14"/>
      <c r="J34" s="16">
        <v>603.08000000000004</v>
      </c>
      <c r="K34" s="66">
        <v>506315</v>
      </c>
      <c r="L34" s="66">
        <v>406708</v>
      </c>
      <c r="M34" s="28">
        <v>913023</v>
      </c>
      <c r="N34" s="64">
        <v>3982805</v>
      </c>
      <c r="O34" s="64">
        <v>175702</v>
      </c>
      <c r="P34" s="64">
        <v>126126</v>
      </c>
      <c r="Q34" s="28">
        <v>4284633</v>
      </c>
      <c r="R34" s="62">
        <v>488823</v>
      </c>
      <c r="S34" s="28">
        <v>5686479</v>
      </c>
      <c r="T34" s="81">
        <v>204026</v>
      </c>
      <c r="U34" s="81">
        <v>142671</v>
      </c>
      <c r="V34" s="81">
        <v>0</v>
      </c>
      <c r="W34" s="81">
        <v>11</v>
      </c>
      <c r="X34" s="28">
        <v>6033188</v>
      </c>
      <c r="Y34" s="28">
        <v>543273</v>
      </c>
      <c r="Z34" s="28">
        <v>596633</v>
      </c>
      <c r="AA34" s="28">
        <v>4319118</v>
      </c>
      <c r="AB34" s="28">
        <v>574164</v>
      </c>
      <c r="AC34" s="40" t="s">
        <v>184</v>
      </c>
      <c r="AD34" s="41">
        <v>93</v>
      </c>
      <c r="AE34" s="42">
        <v>1</v>
      </c>
      <c r="AF34" s="40" t="s">
        <v>1111</v>
      </c>
      <c r="AG34" s="68">
        <v>66502.28</v>
      </c>
      <c r="AH34" s="42">
        <v>1</v>
      </c>
      <c r="AI34" s="40" t="s">
        <v>1111</v>
      </c>
      <c r="AJ34" s="70">
        <v>0</v>
      </c>
      <c r="AK34" s="72">
        <f t="shared" si="0"/>
        <v>-66502.28</v>
      </c>
      <c r="AL34" s="72">
        <f t="shared" si="1"/>
        <v>0</v>
      </c>
      <c r="AM34">
        <v>-1</v>
      </c>
      <c r="AO34" s="102">
        <f t="shared" si="2"/>
        <v>36958</v>
      </c>
      <c r="AP34" s="103">
        <f t="shared" si="3"/>
        <v>189925</v>
      </c>
      <c r="AQ34" s="101">
        <f t="shared" si="4"/>
        <v>34485</v>
      </c>
      <c r="AR34" s="104">
        <f t="shared" si="5"/>
        <v>85341</v>
      </c>
    </row>
    <row r="35" spans="1:44">
      <c r="A35" s="14" t="s">
        <v>1218</v>
      </c>
      <c r="B35" s="15" t="s">
        <v>1219</v>
      </c>
      <c r="C35" s="14" t="s">
        <v>1220</v>
      </c>
      <c r="D35" s="14">
        <v>9</v>
      </c>
      <c r="E35" s="15" t="s">
        <v>1108</v>
      </c>
      <c r="F35" s="15" t="s">
        <v>1113</v>
      </c>
      <c r="G35" s="14" t="s">
        <v>1114</v>
      </c>
      <c r="H35" s="14"/>
      <c r="I35" s="14"/>
      <c r="J35" s="16">
        <v>2603.34</v>
      </c>
      <c r="K35" s="66">
        <v>1027233</v>
      </c>
      <c r="L35" s="66">
        <v>1363252</v>
      </c>
      <c r="M35" s="28">
        <v>2390485</v>
      </c>
      <c r="N35" s="64">
        <v>16885126</v>
      </c>
      <c r="O35" s="64">
        <v>1832331</v>
      </c>
      <c r="P35" s="64">
        <v>203547</v>
      </c>
      <c r="Q35" s="28">
        <v>18921004</v>
      </c>
      <c r="R35" s="62">
        <v>3643269</v>
      </c>
      <c r="S35" s="28">
        <v>24954758</v>
      </c>
      <c r="T35" s="81">
        <v>779110</v>
      </c>
      <c r="U35" s="81">
        <v>1144172</v>
      </c>
      <c r="V35" s="81">
        <v>0</v>
      </c>
      <c r="W35" s="81">
        <v>1584084</v>
      </c>
      <c r="X35" s="28">
        <v>28462124</v>
      </c>
      <c r="Y35" s="28">
        <v>2470964</v>
      </c>
      <c r="Z35" s="28">
        <v>2627956</v>
      </c>
      <c r="AA35" s="28">
        <v>19391579</v>
      </c>
      <c r="AB35" s="28">
        <v>3971625</v>
      </c>
      <c r="AC35" s="40" t="s">
        <v>184</v>
      </c>
      <c r="AD35" s="41">
        <v>94</v>
      </c>
      <c r="AE35" s="42">
        <v>1</v>
      </c>
      <c r="AF35" s="40" t="s">
        <v>1113</v>
      </c>
      <c r="AG35" s="68">
        <v>267287.13</v>
      </c>
      <c r="AH35" s="42">
        <v>1</v>
      </c>
      <c r="AI35" s="40" t="s">
        <v>1113</v>
      </c>
      <c r="AJ35" s="70">
        <v>57531</v>
      </c>
      <c r="AK35" s="72">
        <f t="shared" si="0"/>
        <v>-267287.13</v>
      </c>
      <c r="AL35" s="72">
        <f t="shared" si="1"/>
        <v>-57531</v>
      </c>
      <c r="AM35">
        <v>-1</v>
      </c>
      <c r="AO35" s="102">
        <f t="shared" si="2"/>
        <v>1443731</v>
      </c>
      <c r="AP35" s="103">
        <f t="shared" si="3"/>
        <v>1264704</v>
      </c>
      <c r="AQ35" s="101">
        <f t="shared" si="4"/>
        <v>470575</v>
      </c>
      <c r="AR35" s="104">
        <f t="shared" si="5"/>
        <v>328356</v>
      </c>
    </row>
    <row r="36" spans="1:44">
      <c r="A36" s="14" t="s">
        <v>1218</v>
      </c>
      <c r="B36" s="15" t="s">
        <v>1219</v>
      </c>
      <c r="C36" s="14" t="s">
        <v>1220</v>
      </c>
      <c r="D36" s="14">
        <v>9</v>
      </c>
      <c r="E36" s="15" t="s">
        <v>1108</v>
      </c>
      <c r="F36" s="15" t="s">
        <v>1115</v>
      </c>
      <c r="G36" s="14" t="s">
        <v>1116</v>
      </c>
      <c r="H36" s="14"/>
      <c r="I36" s="14"/>
      <c r="J36" s="16">
        <v>310.06</v>
      </c>
      <c r="K36" s="66">
        <v>80469</v>
      </c>
      <c r="L36" s="66">
        <v>185170</v>
      </c>
      <c r="M36" s="28">
        <v>265639</v>
      </c>
      <c r="N36" s="64">
        <v>2382716</v>
      </c>
      <c r="O36" s="64">
        <v>99592</v>
      </c>
      <c r="P36" s="64">
        <v>6548</v>
      </c>
      <c r="Q36" s="28">
        <v>2488856</v>
      </c>
      <c r="R36" s="62">
        <v>201198</v>
      </c>
      <c r="S36" s="28">
        <v>2955693</v>
      </c>
      <c r="T36" s="81">
        <v>142739</v>
      </c>
      <c r="U36" s="81">
        <v>66686</v>
      </c>
      <c r="V36" s="81">
        <v>7838</v>
      </c>
      <c r="W36" s="81">
        <v>500896</v>
      </c>
      <c r="X36" s="28">
        <v>3673853</v>
      </c>
      <c r="Y36" s="28">
        <v>523203</v>
      </c>
      <c r="Z36" s="28">
        <v>289278</v>
      </c>
      <c r="AA36" s="28">
        <v>2586807</v>
      </c>
      <c r="AB36" s="28">
        <v>274564</v>
      </c>
      <c r="AC36" s="40" t="s">
        <v>184</v>
      </c>
      <c r="AD36" s="41">
        <v>95</v>
      </c>
      <c r="AE36" s="42">
        <v>1</v>
      </c>
      <c r="AF36" s="40" t="s">
        <v>1115</v>
      </c>
      <c r="AG36" s="68">
        <v>23687.97</v>
      </c>
      <c r="AH36" s="42">
        <v>1</v>
      </c>
      <c r="AI36" s="40" t="s">
        <v>1115</v>
      </c>
      <c r="AJ36" s="70">
        <v>0</v>
      </c>
      <c r="AK36" s="72">
        <f t="shared" si="0"/>
        <v>-23687.97</v>
      </c>
      <c r="AL36" s="72">
        <f t="shared" si="1"/>
        <v>0</v>
      </c>
      <c r="AM36">
        <v>-1</v>
      </c>
      <c r="AO36" s="102">
        <f t="shared" si="2"/>
        <v>442734</v>
      </c>
      <c r="AP36" s="103">
        <f t="shared" si="3"/>
        <v>104108</v>
      </c>
      <c r="AQ36" s="101">
        <f t="shared" si="4"/>
        <v>97951</v>
      </c>
      <c r="AR36" s="104">
        <f t="shared" si="5"/>
        <v>73366</v>
      </c>
    </row>
    <row r="37" spans="1:44">
      <c r="A37" s="14" t="s">
        <v>1218</v>
      </c>
      <c r="B37" s="15" t="s">
        <v>1219</v>
      </c>
      <c r="C37" s="14" t="s">
        <v>1220</v>
      </c>
      <c r="D37" s="14">
        <v>9</v>
      </c>
      <c r="E37" s="15" t="s">
        <v>1108</v>
      </c>
      <c r="F37" s="15" t="s">
        <v>1117</v>
      </c>
      <c r="G37" s="14" t="s">
        <v>1118</v>
      </c>
      <c r="H37" s="14"/>
      <c r="I37" s="14"/>
      <c r="J37" s="16">
        <v>750.91</v>
      </c>
      <c r="K37" s="66">
        <v>385487</v>
      </c>
      <c r="L37" s="66">
        <v>654424</v>
      </c>
      <c r="M37" s="28">
        <v>1039911</v>
      </c>
      <c r="N37" s="64">
        <v>4768566</v>
      </c>
      <c r="O37" s="64">
        <v>391096</v>
      </c>
      <c r="P37" s="64">
        <v>48958</v>
      </c>
      <c r="Q37" s="28">
        <v>5208620</v>
      </c>
      <c r="R37" s="62">
        <v>143522</v>
      </c>
      <c r="S37" s="28">
        <v>6392053</v>
      </c>
      <c r="T37" s="81">
        <v>271656</v>
      </c>
      <c r="U37" s="81">
        <v>151331</v>
      </c>
      <c r="V37" s="81">
        <v>0</v>
      </c>
      <c r="W37" s="81">
        <v>14525</v>
      </c>
      <c r="X37" s="28">
        <v>6829565</v>
      </c>
      <c r="Y37" s="28">
        <v>442992</v>
      </c>
      <c r="Z37" s="28">
        <v>861510</v>
      </c>
      <c r="AA37" s="28">
        <v>5262956</v>
      </c>
      <c r="AB37" s="28">
        <v>262107</v>
      </c>
      <c r="AC37" s="40" t="s">
        <v>184</v>
      </c>
      <c r="AD37" s="41">
        <v>97</v>
      </c>
      <c r="AE37" s="42">
        <v>1</v>
      </c>
      <c r="AF37" s="40" t="s">
        <v>1117</v>
      </c>
      <c r="AG37" s="68">
        <v>64023.26</v>
      </c>
      <c r="AH37" s="42">
        <v>1</v>
      </c>
      <c r="AI37" s="40" t="s">
        <v>1117</v>
      </c>
      <c r="AJ37" s="70">
        <v>0</v>
      </c>
      <c r="AK37" s="72">
        <f t="shared" si="0"/>
        <v>-64023.26</v>
      </c>
      <c r="AL37" s="72">
        <f t="shared" si="1"/>
        <v>0</v>
      </c>
      <c r="AM37">
        <v>-1</v>
      </c>
      <c r="AO37" s="102">
        <f t="shared" si="2"/>
        <v>57505</v>
      </c>
      <c r="AP37" s="103">
        <f t="shared" si="3"/>
        <v>207086</v>
      </c>
      <c r="AQ37" s="101">
        <f t="shared" si="4"/>
        <v>54336</v>
      </c>
      <c r="AR37" s="104">
        <f t="shared" si="5"/>
        <v>118585</v>
      </c>
    </row>
    <row r="38" spans="1:44">
      <c r="A38" s="14" t="s">
        <v>1218</v>
      </c>
      <c r="B38" s="15" t="s">
        <v>1219</v>
      </c>
      <c r="C38" s="14" t="s">
        <v>1220</v>
      </c>
      <c r="D38" s="14">
        <v>9</v>
      </c>
      <c r="E38" s="15" t="s">
        <v>1108</v>
      </c>
      <c r="F38" s="15" t="s">
        <v>1119</v>
      </c>
      <c r="G38" s="14" t="s">
        <v>1120</v>
      </c>
      <c r="H38" s="14"/>
      <c r="I38" s="14"/>
      <c r="J38" s="16">
        <v>1113.18</v>
      </c>
      <c r="K38" s="66">
        <v>382611</v>
      </c>
      <c r="L38" s="66">
        <v>600304</v>
      </c>
      <c r="M38" s="28">
        <v>982915</v>
      </c>
      <c r="N38" s="64">
        <v>7031332</v>
      </c>
      <c r="O38" s="64">
        <v>530836</v>
      </c>
      <c r="P38" s="64">
        <v>48294</v>
      </c>
      <c r="Q38" s="28">
        <v>7610462</v>
      </c>
      <c r="R38" s="62">
        <v>393406</v>
      </c>
      <c r="S38" s="28">
        <v>8986783</v>
      </c>
      <c r="T38" s="81">
        <v>327419</v>
      </c>
      <c r="U38" s="81">
        <v>331640</v>
      </c>
      <c r="V38" s="81">
        <v>0</v>
      </c>
      <c r="W38" s="81">
        <v>1181121</v>
      </c>
      <c r="X38" s="28">
        <v>10826965</v>
      </c>
      <c r="Y38" s="28">
        <v>1226942</v>
      </c>
      <c r="Z38" s="28">
        <v>1203348</v>
      </c>
      <c r="AA38" s="28">
        <v>7945860</v>
      </c>
      <c r="AB38" s="28">
        <v>450815</v>
      </c>
      <c r="AC38" s="40" t="s">
        <v>184</v>
      </c>
      <c r="AD38" s="41">
        <v>99</v>
      </c>
      <c r="AE38" s="42">
        <v>1</v>
      </c>
      <c r="AF38" s="40" t="s">
        <v>1119</v>
      </c>
      <c r="AG38" s="68">
        <v>92081.2</v>
      </c>
      <c r="AH38" s="42">
        <v>1</v>
      </c>
      <c r="AI38" s="40" t="s">
        <v>1119</v>
      </c>
      <c r="AJ38" s="70">
        <v>0</v>
      </c>
      <c r="AK38" s="72">
        <f t="shared" si="0"/>
        <v>-92081.2</v>
      </c>
      <c r="AL38" s="72">
        <f t="shared" si="1"/>
        <v>0</v>
      </c>
      <c r="AM38">
        <v>-1</v>
      </c>
      <c r="AO38" s="102">
        <f t="shared" si="2"/>
        <v>844331</v>
      </c>
      <c r="AP38" s="103">
        <f t="shared" si="3"/>
        <v>603044</v>
      </c>
      <c r="AQ38" s="101">
        <f t="shared" si="4"/>
        <v>335398</v>
      </c>
      <c r="AR38" s="104">
        <f t="shared" si="5"/>
        <v>57409</v>
      </c>
    </row>
    <row r="39" spans="1:44">
      <c r="A39" s="14" t="s">
        <v>1218</v>
      </c>
      <c r="B39" s="15" t="s">
        <v>1219</v>
      </c>
      <c r="C39" s="14" t="s">
        <v>1220</v>
      </c>
      <c r="D39" s="14">
        <v>9</v>
      </c>
      <c r="E39" s="15" t="s">
        <v>1108</v>
      </c>
      <c r="F39" s="15" t="s">
        <v>1121</v>
      </c>
      <c r="G39" s="14" t="s">
        <v>1122</v>
      </c>
      <c r="H39" s="14"/>
      <c r="I39" s="14"/>
      <c r="J39" s="16">
        <v>354.61</v>
      </c>
      <c r="K39" s="66">
        <v>138596</v>
      </c>
      <c r="L39" s="66">
        <v>221661</v>
      </c>
      <c r="M39" s="28">
        <v>360257</v>
      </c>
      <c r="N39" s="64">
        <v>2288051</v>
      </c>
      <c r="O39" s="64">
        <v>99125</v>
      </c>
      <c r="P39" s="64">
        <v>9707</v>
      </c>
      <c r="Q39" s="28">
        <v>2396883</v>
      </c>
      <c r="R39" s="62">
        <v>116936</v>
      </c>
      <c r="S39" s="28">
        <v>2874076</v>
      </c>
      <c r="T39" s="81">
        <v>119713</v>
      </c>
      <c r="U39" s="81">
        <v>81245</v>
      </c>
      <c r="V39" s="81">
        <v>0</v>
      </c>
      <c r="W39" s="81">
        <v>372765</v>
      </c>
      <c r="X39" s="28">
        <v>3447800</v>
      </c>
      <c r="Y39" s="28">
        <v>491841</v>
      </c>
      <c r="Z39" s="28">
        <v>331708</v>
      </c>
      <c r="AA39" s="28">
        <v>2448982</v>
      </c>
      <c r="AB39" s="28">
        <v>175268</v>
      </c>
      <c r="AC39" s="40" t="s">
        <v>184</v>
      </c>
      <c r="AD39" s="41">
        <v>100</v>
      </c>
      <c r="AE39" s="42">
        <v>1</v>
      </c>
      <c r="AF39" s="40" t="s">
        <v>1121</v>
      </c>
      <c r="AG39" s="68">
        <v>39977.129999999997</v>
      </c>
      <c r="AH39" s="42">
        <v>1</v>
      </c>
      <c r="AI39" s="40" t="s">
        <v>1121</v>
      </c>
      <c r="AJ39" s="70">
        <v>0</v>
      </c>
      <c r="AK39" s="72">
        <f t="shared" si="0"/>
        <v>-39977.129999999997</v>
      </c>
      <c r="AL39" s="72">
        <f t="shared" si="1"/>
        <v>0</v>
      </c>
      <c r="AM39">
        <v>-1</v>
      </c>
      <c r="AO39" s="102">
        <f t="shared" si="2"/>
        <v>353245</v>
      </c>
      <c r="AP39" s="103">
        <f t="shared" si="3"/>
        <v>110047</v>
      </c>
      <c r="AQ39" s="101">
        <f t="shared" si="4"/>
        <v>52099</v>
      </c>
      <c r="AR39" s="104">
        <f t="shared" si="5"/>
        <v>58332</v>
      </c>
    </row>
    <row r="40" spans="1:44">
      <c r="A40" s="14" t="s">
        <v>1224</v>
      </c>
      <c r="B40" s="15" t="s">
        <v>1225</v>
      </c>
      <c r="C40" s="14" t="s">
        <v>1220</v>
      </c>
      <c r="D40" s="14">
        <v>10</v>
      </c>
      <c r="E40" s="15" t="s">
        <v>1123</v>
      </c>
      <c r="F40" s="15" t="s">
        <v>1124</v>
      </c>
      <c r="G40" s="14" t="s">
        <v>1125</v>
      </c>
      <c r="H40" s="14"/>
      <c r="I40" s="14"/>
      <c r="J40" s="16">
        <v>1050.71</v>
      </c>
      <c r="K40" s="66">
        <v>890399</v>
      </c>
      <c r="L40" s="66">
        <v>694773</v>
      </c>
      <c r="M40" s="28">
        <v>1585172</v>
      </c>
      <c r="N40" s="64">
        <v>6551382</v>
      </c>
      <c r="O40" s="64">
        <v>1061510</v>
      </c>
      <c r="P40" s="64">
        <v>198596</v>
      </c>
      <c r="Q40" s="28">
        <v>7811488</v>
      </c>
      <c r="R40" s="62">
        <v>116428</v>
      </c>
      <c r="S40" s="28">
        <v>9513088</v>
      </c>
      <c r="T40" s="81">
        <v>463223</v>
      </c>
      <c r="U40" s="81">
        <v>625012</v>
      </c>
      <c r="V40" s="81">
        <v>0</v>
      </c>
      <c r="W40" s="81">
        <v>339890</v>
      </c>
      <c r="X40" s="28">
        <v>10941213</v>
      </c>
      <c r="Y40" s="28">
        <v>1311478</v>
      </c>
      <c r="Z40" s="28">
        <v>1460286</v>
      </c>
      <c r="AA40" s="28">
        <v>7941915</v>
      </c>
      <c r="AB40" s="28">
        <v>227534</v>
      </c>
      <c r="AC40" s="40" t="s">
        <v>184</v>
      </c>
      <c r="AD40" s="41">
        <v>108</v>
      </c>
      <c r="AE40" s="42">
        <v>1</v>
      </c>
      <c r="AF40" s="40" t="s">
        <v>1124</v>
      </c>
      <c r="AG40" s="68">
        <v>66853.69</v>
      </c>
      <c r="AH40" s="42">
        <v>1</v>
      </c>
      <c r="AI40" s="40" t="s">
        <v>1124</v>
      </c>
      <c r="AJ40" s="70">
        <v>0</v>
      </c>
      <c r="AK40" s="72">
        <f t="shared" si="0"/>
        <v>-66853.69</v>
      </c>
      <c r="AL40" s="72">
        <f t="shared" si="1"/>
        <v>0</v>
      </c>
      <c r="AM40">
        <v>-1</v>
      </c>
      <c r="AO40" s="102">
        <f t="shared" si="2"/>
        <v>421079</v>
      </c>
      <c r="AP40" s="103">
        <f t="shared" si="3"/>
        <v>765513</v>
      </c>
      <c r="AQ40" s="101">
        <f t="shared" si="4"/>
        <v>130427</v>
      </c>
      <c r="AR40" s="104">
        <f t="shared" si="5"/>
        <v>111106</v>
      </c>
    </row>
    <row r="41" spans="1:44">
      <c r="A41" s="14" t="s">
        <v>1224</v>
      </c>
      <c r="B41" s="15" t="s">
        <v>1225</v>
      </c>
      <c r="C41" s="14" t="s">
        <v>1220</v>
      </c>
      <c r="D41" s="14">
        <v>10</v>
      </c>
      <c r="E41" s="15" t="s">
        <v>1123</v>
      </c>
      <c r="F41" s="15" t="s">
        <v>1126</v>
      </c>
      <c r="G41" s="14" t="s">
        <v>1127</v>
      </c>
      <c r="H41" s="14"/>
      <c r="I41" s="14"/>
      <c r="J41" s="16">
        <v>2855.82</v>
      </c>
      <c r="K41" s="66">
        <v>2792853</v>
      </c>
      <c r="L41" s="66">
        <v>607114</v>
      </c>
      <c r="M41" s="28">
        <v>3399967</v>
      </c>
      <c r="N41" s="64">
        <v>17168177</v>
      </c>
      <c r="O41" s="64">
        <v>1675205</v>
      </c>
      <c r="P41" s="64">
        <v>1221589</v>
      </c>
      <c r="Q41" s="28">
        <v>20064971</v>
      </c>
      <c r="R41" s="62">
        <v>686627</v>
      </c>
      <c r="S41" s="28">
        <v>24151565</v>
      </c>
      <c r="T41" s="81">
        <v>1131278</v>
      </c>
      <c r="U41" s="81">
        <v>1643934</v>
      </c>
      <c r="V41" s="81">
        <v>702690</v>
      </c>
      <c r="W41" s="81">
        <v>4004669</v>
      </c>
      <c r="X41" s="28">
        <v>31634137</v>
      </c>
      <c r="Y41" s="28">
        <v>6742874</v>
      </c>
      <c r="Z41" s="28">
        <v>3487242</v>
      </c>
      <c r="AA41" s="28">
        <v>20528392</v>
      </c>
      <c r="AB41" s="28">
        <v>875629</v>
      </c>
      <c r="AC41" s="40" t="s">
        <v>184</v>
      </c>
      <c r="AD41" s="41">
        <v>110</v>
      </c>
      <c r="AE41" s="42">
        <v>1</v>
      </c>
      <c r="AF41" s="40" t="s">
        <v>1126</v>
      </c>
      <c r="AG41" s="68">
        <v>266295.62</v>
      </c>
      <c r="AH41" s="42">
        <v>1</v>
      </c>
      <c r="AI41" s="40" t="s">
        <v>1126</v>
      </c>
      <c r="AJ41" s="70">
        <v>0</v>
      </c>
      <c r="AK41" s="72">
        <f t="shared" si="0"/>
        <v>-266295.62</v>
      </c>
      <c r="AL41" s="72">
        <f t="shared" si="1"/>
        <v>0</v>
      </c>
      <c r="AM41">
        <v>-1</v>
      </c>
      <c r="AO41" s="102">
        <f t="shared" si="2"/>
        <v>3950021</v>
      </c>
      <c r="AP41" s="103">
        <f t="shared" si="3"/>
        <v>2880128</v>
      </c>
      <c r="AQ41" s="101">
        <f t="shared" si="4"/>
        <v>463421</v>
      </c>
      <c r="AR41" s="104">
        <f t="shared" si="5"/>
        <v>189002</v>
      </c>
    </row>
    <row r="42" spans="1:44">
      <c r="A42" s="14" t="s">
        <v>1224</v>
      </c>
      <c r="B42" s="15" t="s">
        <v>1225</v>
      </c>
      <c r="C42" s="14" t="s">
        <v>1220</v>
      </c>
      <c r="D42" s="14">
        <v>10</v>
      </c>
      <c r="E42" s="15" t="s">
        <v>1123</v>
      </c>
      <c r="F42" s="15" t="s">
        <v>1128</v>
      </c>
      <c r="G42" s="14" t="s">
        <v>1129</v>
      </c>
      <c r="H42" s="14"/>
      <c r="I42" s="14"/>
      <c r="J42" s="16">
        <v>1560.64</v>
      </c>
      <c r="K42" s="66">
        <v>693966</v>
      </c>
      <c r="L42" s="66">
        <v>638542</v>
      </c>
      <c r="M42" s="28">
        <v>1332508</v>
      </c>
      <c r="N42" s="64">
        <v>9594934</v>
      </c>
      <c r="O42" s="64">
        <v>1318326</v>
      </c>
      <c r="P42" s="64">
        <v>278490</v>
      </c>
      <c r="Q42" s="28">
        <v>11191750</v>
      </c>
      <c r="R42" s="62">
        <v>156358</v>
      </c>
      <c r="S42" s="28">
        <v>12680616</v>
      </c>
      <c r="T42" s="81">
        <v>567801</v>
      </c>
      <c r="U42" s="81">
        <v>759477</v>
      </c>
      <c r="V42" s="81">
        <v>1443069</v>
      </c>
      <c r="W42" s="81">
        <v>2456633</v>
      </c>
      <c r="X42" s="28">
        <v>17907595</v>
      </c>
      <c r="Y42" s="28">
        <v>3040141</v>
      </c>
      <c r="Z42" s="28">
        <v>3029567</v>
      </c>
      <c r="AA42" s="28">
        <v>11533170</v>
      </c>
      <c r="AB42" s="28">
        <v>304717</v>
      </c>
      <c r="AC42" s="40" t="s">
        <v>184</v>
      </c>
      <c r="AD42" s="41">
        <v>111</v>
      </c>
      <c r="AE42" s="42">
        <v>1</v>
      </c>
      <c r="AF42" s="40" t="s">
        <v>1128</v>
      </c>
      <c r="AG42" s="68">
        <v>124934.26</v>
      </c>
      <c r="AH42" s="42">
        <v>1</v>
      </c>
      <c r="AI42" s="40" t="s">
        <v>1128</v>
      </c>
      <c r="AJ42" s="70">
        <v>0</v>
      </c>
      <c r="AK42" s="72">
        <f t="shared" si="0"/>
        <v>-124934.26</v>
      </c>
      <c r="AL42" s="72">
        <f t="shared" si="1"/>
        <v>0</v>
      </c>
      <c r="AM42">
        <v>-1</v>
      </c>
      <c r="AO42" s="102">
        <f t="shared" si="2"/>
        <v>2346175</v>
      </c>
      <c r="AP42" s="103">
        <f t="shared" si="3"/>
        <v>2391025</v>
      </c>
      <c r="AQ42" s="101">
        <f t="shared" si="4"/>
        <v>341420</v>
      </c>
      <c r="AR42" s="104">
        <f t="shared" si="5"/>
        <v>148359</v>
      </c>
    </row>
    <row r="43" spans="1:44">
      <c r="A43" s="14" t="s">
        <v>1224</v>
      </c>
      <c r="B43" s="15" t="s">
        <v>1225</v>
      </c>
      <c r="C43" s="14" t="s">
        <v>1220</v>
      </c>
      <c r="D43" s="14">
        <v>10</v>
      </c>
      <c r="E43" s="15" t="s">
        <v>1123</v>
      </c>
      <c r="F43" s="15" t="s">
        <v>1130</v>
      </c>
      <c r="G43" s="14" t="s">
        <v>1131</v>
      </c>
      <c r="H43" s="14"/>
      <c r="I43" s="14"/>
      <c r="J43" s="16">
        <v>8936.36</v>
      </c>
      <c r="K43" s="66">
        <v>10921332</v>
      </c>
      <c r="L43" s="66">
        <v>3778944</v>
      </c>
      <c r="M43" s="28">
        <v>14700276</v>
      </c>
      <c r="N43" s="64">
        <v>53386268</v>
      </c>
      <c r="O43" s="64">
        <v>6786400</v>
      </c>
      <c r="P43" s="64">
        <v>995351</v>
      </c>
      <c r="Q43" s="28">
        <v>61168019</v>
      </c>
      <c r="R43" s="62">
        <v>2341814</v>
      </c>
      <c r="S43" s="28">
        <v>78210109</v>
      </c>
      <c r="T43" s="81">
        <v>4091397</v>
      </c>
      <c r="U43" s="81">
        <v>4794459</v>
      </c>
      <c r="V43" s="81">
        <v>1767768</v>
      </c>
      <c r="W43" s="81">
        <v>13524061</v>
      </c>
      <c r="X43" s="28">
        <v>102387793</v>
      </c>
      <c r="Y43" s="28">
        <v>23867459</v>
      </c>
      <c r="Z43" s="28">
        <v>12780521</v>
      </c>
      <c r="AA43" s="28">
        <v>62649915</v>
      </c>
      <c r="AB43" s="28">
        <v>3089898</v>
      </c>
      <c r="AC43" s="40" t="s">
        <v>184</v>
      </c>
      <c r="AD43" s="41">
        <v>112</v>
      </c>
      <c r="AE43" s="42">
        <v>1</v>
      </c>
      <c r="AF43" s="40" t="s">
        <v>1130</v>
      </c>
      <c r="AG43" s="68">
        <v>1056655.8</v>
      </c>
      <c r="AH43" s="42">
        <v>1</v>
      </c>
      <c r="AI43" s="40" t="s">
        <v>1130</v>
      </c>
      <c r="AJ43" s="70">
        <v>103628.25</v>
      </c>
      <c r="AK43" s="72">
        <f t="shared" si="0"/>
        <v>-1056655.8</v>
      </c>
      <c r="AL43" s="72">
        <f t="shared" si="1"/>
        <v>-103628.25</v>
      </c>
      <c r="AM43">
        <v>-1</v>
      </c>
      <c r="AO43" s="102">
        <f t="shared" si="2"/>
        <v>12946127</v>
      </c>
      <c r="AP43" s="103">
        <f t="shared" si="3"/>
        <v>9001577</v>
      </c>
      <c r="AQ43" s="101">
        <f t="shared" si="4"/>
        <v>1481896</v>
      </c>
      <c r="AR43" s="104">
        <f t="shared" si="5"/>
        <v>748084</v>
      </c>
    </row>
    <row r="44" spans="1:44">
      <c r="A44" s="14" t="s">
        <v>1132</v>
      </c>
      <c r="B44" s="15" t="s">
        <v>1133</v>
      </c>
      <c r="C44" s="14" t="s">
        <v>1220</v>
      </c>
      <c r="D44" s="14">
        <v>11</v>
      </c>
      <c r="E44" s="15" t="s">
        <v>1134</v>
      </c>
      <c r="F44" s="15" t="s">
        <v>1135</v>
      </c>
      <c r="G44" s="14" t="s">
        <v>1136</v>
      </c>
      <c r="H44" s="14"/>
      <c r="I44" s="14"/>
      <c r="J44" s="16">
        <v>917.28</v>
      </c>
      <c r="K44" s="66">
        <v>516558</v>
      </c>
      <c r="L44" s="66">
        <v>752036</v>
      </c>
      <c r="M44" s="28">
        <v>1268594</v>
      </c>
      <c r="N44" s="64">
        <v>5971554</v>
      </c>
      <c r="O44" s="64">
        <v>1284004</v>
      </c>
      <c r="P44" s="64">
        <v>115352</v>
      </c>
      <c r="Q44" s="28">
        <v>7370910</v>
      </c>
      <c r="R44" s="62">
        <v>610632</v>
      </c>
      <c r="S44" s="28">
        <v>9250136</v>
      </c>
      <c r="T44" s="81">
        <v>395650</v>
      </c>
      <c r="U44" s="81">
        <v>391484</v>
      </c>
      <c r="V44" s="81">
        <v>0</v>
      </c>
      <c r="W44" s="81">
        <v>1554573</v>
      </c>
      <c r="X44" s="28">
        <v>11591842</v>
      </c>
      <c r="Y44" s="28">
        <v>1556719</v>
      </c>
      <c r="Z44" s="28">
        <v>1632475</v>
      </c>
      <c r="AA44" s="28">
        <v>7615445</v>
      </c>
      <c r="AB44" s="28">
        <v>787204</v>
      </c>
      <c r="AC44" s="40" t="s">
        <v>184</v>
      </c>
      <c r="AD44" s="41">
        <v>113</v>
      </c>
      <c r="AE44" s="42">
        <v>1</v>
      </c>
      <c r="AF44" s="40" t="s">
        <v>1135</v>
      </c>
      <c r="AG44" s="68">
        <v>77178.600000000006</v>
      </c>
      <c r="AH44" s="42">
        <v>1</v>
      </c>
      <c r="AI44" s="40" t="s">
        <v>1135</v>
      </c>
      <c r="AJ44" s="70">
        <v>143234.97</v>
      </c>
      <c r="AK44" s="72">
        <f t="shared" si="0"/>
        <v>-77178.600000000006</v>
      </c>
      <c r="AL44" s="72">
        <f t="shared" si="1"/>
        <v>-143234.97</v>
      </c>
      <c r="AM44">
        <v>-1</v>
      </c>
      <c r="AO44" s="102">
        <f t="shared" si="2"/>
        <v>1040161</v>
      </c>
      <c r="AP44" s="103">
        <f t="shared" si="3"/>
        <v>880439</v>
      </c>
      <c r="AQ44" s="101">
        <f t="shared" si="4"/>
        <v>244535</v>
      </c>
      <c r="AR44" s="104">
        <f t="shared" si="5"/>
        <v>176572</v>
      </c>
    </row>
    <row r="45" spans="1:44">
      <c r="A45" s="14" t="s">
        <v>1132</v>
      </c>
      <c r="B45" s="15" t="s">
        <v>1133</v>
      </c>
      <c r="C45" s="14" t="s">
        <v>1220</v>
      </c>
      <c r="D45" s="14">
        <v>11</v>
      </c>
      <c r="E45" s="15" t="s">
        <v>1134</v>
      </c>
      <c r="F45" s="15" t="s">
        <v>1137</v>
      </c>
      <c r="G45" s="14" t="s">
        <v>1138</v>
      </c>
      <c r="H45" s="14"/>
      <c r="I45" s="14"/>
      <c r="J45" s="16">
        <v>1161.06</v>
      </c>
      <c r="K45" s="66">
        <v>176445</v>
      </c>
      <c r="L45" s="66">
        <v>689591</v>
      </c>
      <c r="M45" s="28">
        <v>866036</v>
      </c>
      <c r="N45" s="64">
        <v>8899095</v>
      </c>
      <c r="O45" s="64">
        <v>1540538</v>
      </c>
      <c r="P45" s="64">
        <v>304491</v>
      </c>
      <c r="Q45" s="28">
        <v>10744124</v>
      </c>
      <c r="R45" s="62">
        <v>4270293</v>
      </c>
      <c r="S45" s="28">
        <v>15880453</v>
      </c>
      <c r="T45" s="81">
        <v>429476</v>
      </c>
      <c r="U45" s="81">
        <v>116077</v>
      </c>
      <c r="V45" s="81">
        <v>0</v>
      </c>
      <c r="W45" s="81">
        <v>1771980</v>
      </c>
      <c r="X45" s="28">
        <v>18197984</v>
      </c>
      <c r="Y45" s="28">
        <v>1445494</v>
      </c>
      <c r="Z45" s="28">
        <v>773998</v>
      </c>
      <c r="AA45" s="28">
        <v>11350568</v>
      </c>
      <c r="AB45" s="28">
        <v>4627925</v>
      </c>
      <c r="AC45" s="40" t="s">
        <v>184</v>
      </c>
      <c r="AD45" s="41">
        <v>115</v>
      </c>
      <c r="AE45" s="42">
        <v>1</v>
      </c>
      <c r="AF45" s="40" t="s">
        <v>1137</v>
      </c>
      <c r="AG45" s="68">
        <v>69258.880000000005</v>
      </c>
      <c r="AH45" s="42">
        <v>1</v>
      </c>
      <c r="AI45" s="40" t="s">
        <v>1137</v>
      </c>
      <c r="AJ45" s="70">
        <v>63162.879999999997</v>
      </c>
      <c r="AK45" s="72">
        <f t="shared" si="0"/>
        <v>-69258.880000000005</v>
      </c>
      <c r="AL45" s="72">
        <f t="shared" si="1"/>
        <v>-63162.879999999997</v>
      </c>
      <c r="AM45">
        <v>-1</v>
      </c>
      <c r="AO45" s="102">
        <f t="shared" si="2"/>
        <v>1269049</v>
      </c>
      <c r="AP45" s="103">
        <f t="shared" si="3"/>
        <v>84407</v>
      </c>
      <c r="AQ45" s="101">
        <f t="shared" si="4"/>
        <v>606444</v>
      </c>
      <c r="AR45" s="104">
        <f t="shared" si="5"/>
        <v>357632</v>
      </c>
    </row>
    <row r="46" spans="1:44">
      <c r="A46" s="14" t="s">
        <v>1132</v>
      </c>
      <c r="B46" s="15" t="s">
        <v>1133</v>
      </c>
      <c r="C46" s="14" t="s">
        <v>1220</v>
      </c>
      <c r="D46" s="14">
        <v>11</v>
      </c>
      <c r="E46" s="15" t="s">
        <v>1134</v>
      </c>
      <c r="F46" s="15" t="s">
        <v>1139</v>
      </c>
      <c r="G46" s="14" t="s">
        <v>1140</v>
      </c>
      <c r="H46" s="14"/>
      <c r="I46" s="14"/>
      <c r="J46" s="16">
        <v>786.56</v>
      </c>
      <c r="K46" s="66">
        <v>655361</v>
      </c>
      <c r="L46" s="66">
        <v>462969</v>
      </c>
      <c r="M46" s="28">
        <v>1118330</v>
      </c>
      <c r="N46" s="64">
        <v>5016878</v>
      </c>
      <c r="O46" s="64">
        <v>989851</v>
      </c>
      <c r="P46" s="64">
        <v>57965</v>
      </c>
      <c r="Q46" s="28">
        <v>6064694</v>
      </c>
      <c r="R46" s="62">
        <v>122065</v>
      </c>
      <c r="S46" s="28">
        <v>7305089</v>
      </c>
      <c r="T46" s="81">
        <v>391719</v>
      </c>
      <c r="U46" s="81">
        <v>176802</v>
      </c>
      <c r="V46" s="81">
        <v>4999</v>
      </c>
      <c r="W46" s="81">
        <v>596410</v>
      </c>
      <c r="X46" s="28">
        <v>8475019</v>
      </c>
      <c r="Y46" s="28">
        <v>1197445</v>
      </c>
      <c r="Z46" s="28">
        <v>759607</v>
      </c>
      <c r="AA46" s="28">
        <v>6152948</v>
      </c>
      <c r="AB46" s="28">
        <v>365018</v>
      </c>
      <c r="AC46" s="40" t="s">
        <v>184</v>
      </c>
      <c r="AD46" s="41">
        <v>116</v>
      </c>
      <c r="AE46" s="42">
        <v>1</v>
      </c>
      <c r="AF46" s="40" t="s">
        <v>1139</v>
      </c>
      <c r="AG46" s="68">
        <v>65039.1</v>
      </c>
      <c r="AH46" s="42">
        <v>1</v>
      </c>
      <c r="AI46" s="40" t="s">
        <v>1139</v>
      </c>
      <c r="AJ46" s="70">
        <v>0</v>
      </c>
      <c r="AK46" s="72">
        <f t="shared" si="0"/>
        <v>-65039.1</v>
      </c>
      <c r="AL46" s="72">
        <f t="shared" si="1"/>
        <v>0</v>
      </c>
      <c r="AM46">
        <v>-1</v>
      </c>
      <c r="AO46" s="102">
        <f t="shared" si="2"/>
        <v>542084</v>
      </c>
      <c r="AP46" s="103">
        <f t="shared" si="3"/>
        <v>296638</v>
      </c>
      <c r="AQ46" s="101">
        <f t="shared" si="4"/>
        <v>88254</v>
      </c>
      <c r="AR46" s="104">
        <f t="shared" si="5"/>
        <v>242953</v>
      </c>
    </row>
    <row r="47" spans="1:44">
      <c r="A47" s="14" t="s">
        <v>1132</v>
      </c>
      <c r="B47" s="15" t="s">
        <v>1133</v>
      </c>
      <c r="C47" s="14" t="s">
        <v>1220</v>
      </c>
      <c r="D47" s="14">
        <v>11</v>
      </c>
      <c r="E47" s="15" t="s">
        <v>1134</v>
      </c>
      <c r="F47" s="15" t="s">
        <v>1141</v>
      </c>
      <c r="G47" s="14" t="s">
        <v>1142</v>
      </c>
      <c r="H47" s="14"/>
      <c r="I47" s="14"/>
      <c r="J47" s="16">
        <v>489.48</v>
      </c>
      <c r="K47" s="66">
        <v>496719</v>
      </c>
      <c r="L47" s="66">
        <v>939613</v>
      </c>
      <c r="M47" s="28">
        <v>1436332</v>
      </c>
      <c r="N47" s="64">
        <v>3992314</v>
      </c>
      <c r="O47" s="64">
        <v>826180</v>
      </c>
      <c r="P47" s="64">
        <v>189109</v>
      </c>
      <c r="Q47" s="28">
        <v>5007603</v>
      </c>
      <c r="R47" s="62">
        <v>526373</v>
      </c>
      <c r="S47" s="28">
        <v>6970308</v>
      </c>
      <c r="T47" s="81">
        <v>254721</v>
      </c>
      <c r="U47" s="81">
        <v>84170</v>
      </c>
      <c r="V47" s="81">
        <v>0</v>
      </c>
      <c r="W47" s="81">
        <v>0</v>
      </c>
      <c r="X47" s="28">
        <v>7309198</v>
      </c>
      <c r="Y47" s="28">
        <v>544840</v>
      </c>
      <c r="Z47" s="28">
        <v>1037269</v>
      </c>
      <c r="AA47" s="28">
        <v>5037241</v>
      </c>
      <c r="AB47" s="28">
        <v>689848</v>
      </c>
      <c r="AC47" s="40" t="s">
        <v>184</v>
      </c>
      <c r="AD47" s="41">
        <v>118</v>
      </c>
      <c r="AE47" s="42">
        <v>1</v>
      </c>
      <c r="AF47" s="40" t="s">
        <v>1141</v>
      </c>
      <c r="AG47" s="68">
        <v>42372.56</v>
      </c>
      <c r="AH47" s="42">
        <v>1</v>
      </c>
      <c r="AI47" s="40" t="s">
        <v>1141</v>
      </c>
      <c r="AJ47" s="70">
        <v>0</v>
      </c>
      <c r="AK47" s="72">
        <f t="shared" si="0"/>
        <v>-42372.56</v>
      </c>
      <c r="AL47" s="72">
        <f t="shared" si="1"/>
        <v>0</v>
      </c>
      <c r="AM47">
        <v>-1</v>
      </c>
      <c r="AO47" s="102">
        <f t="shared" si="2"/>
        <v>48121</v>
      </c>
      <c r="AP47" s="103">
        <f t="shared" si="3"/>
        <v>97656</v>
      </c>
      <c r="AQ47" s="101">
        <f t="shared" si="4"/>
        <v>29638</v>
      </c>
      <c r="AR47" s="104">
        <f t="shared" si="5"/>
        <v>163475</v>
      </c>
    </row>
    <row r="48" spans="1:44">
      <c r="A48" s="14" t="s">
        <v>1087</v>
      </c>
      <c r="B48" s="15" t="s">
        <v>1088</v>
      </c>
      <c r="C48" s="14" t="s">
        <v>1220</v>
      </c>
      <c r="D48" s="14">
        <v>12</v>
      </c>
      <c r="E48" s="15" t="s">
        <v>1143</v>
      </c>
      <c r="F48" s="15" t="s">
        <v>1144</v>
      </c>
      <c r="G48" s="14" t="s">
        <v>1145</v>
      </c>
      <c r="H48" s="14"/>
      <c r="I48" s="14"/>
      <c r="J48" s="16">
        <v>1570.53</v>
      </c>
      <c r="K48" s="66">
        <v>647525</v>
      </c>
      <c r="L48" s="66">
        <v>974858</v>
      </c>
      <c r="M48" s="28">
        <v>1622383</v>
      </c>
      <c r="N48" s="64">
        <v>10785946</v>
      </c>
      <c r="O48" s="64">
        <v>1148724</v>
      </c>
      <c r="P48" s="64">
        <v>70497</v>
      </c>
      <c r="Q48" s="28">
        <v>12005167</v>
      </c>
      <c r="R48" s="62">
        <v>493768</v>
      </c>
      <c r="S48" s="28">
        <v>14121318</v>
      </c>
      <c r="T48" s="81">
        <v>655758</v>
      </c>
      <c r="U48" s="81">
        <v>550222</v>
      </c>
      <c r="V48" s="81">
        <v>34541</v>
      </c>
      <c r="W48" s="81">
        <v>935465</v>
      </c>
      <c r="X48" s="28">
        <v>16297303</v>
      </c>
      <c r="Y48" s="28">
        <v>1415379</v>
      </c>
      <c r="Z48" s="28">
        <v>1773254</v>
      </c>
      <c r="AA48" s="28">
        <v>12333831</v>
      </c>
      <c r="AB48" s="28">
        <v>774839</v>
      </c>
      <c r="AC48" s="40" t="s">
        <v>184</v>
      </c>
      <c r="AD48" s="41">
        <v>129</v>
      </c>
      <c r="AE48" s="42">
        <v>1</v>
      </c>
      <c r="AF48" s="40" t="s">
        <v>1144</v>
      </c>
      <c r="AG48" s="68">
        <v>69709.929999999993</v>
      </c>
      <c r="AH48" s="42">
        <v>1</v>
      </c>
      <c r="AI48" s="40" t="s">
        <v>1144</v>
      </c>
      <c r="AJ48" s="70">
        <v>6482.74</v>
      </c>
      <c r="AK48" s="72">
        <f t="shared" si="0"/>
        <v>-69709.929999999993</v>
      </c>
      <c r="AL48" s="72">
        <f t="shared" si="1"/>
        <v>-6482.74</v>
      </c>
      <c r="AM48">
        <v>-1</v>
      </c>
      <c r="AO48" s="102">
        <f t="shared" si="2"/>
        <v>767854</v>
      </c>
      <c r="AP48" s="103">
        <f t="shared" si="3"/>
        <v>798396</v>
      </c>
      <c r="AQ48" s="101">
        <f t="shared" si="4"/>
        <v>328664</v>
      </c>
      <c r="AR48" s="104">
        <f t="shared" si="5"/>
        <v>281071</v>
      </c>
    </row>
    <row r="49" spans="1:44">
      <c r="A49" s="14" t="s">
        <v>1146</v>
      </c>
      <c r="B49" s="15" t="s">
        <v>1147</v>
      </c>
      <c r="C49" s="14" t="s">
        <v>1220</v>
      </c>
      <c r="D49" s="14">
        <v>13</v>
      </c>
      <c r="E49" s="15" t="s">
        <v>1148</v>
      </c>
      <c r="F49" s="15" t="s">
        <v>1149</v>
      </c>
      <c r="G49" s="14" t="s">
        <v>1150</v>
      </c>
      <c r="H49" s="14"/>
      <c r="I49" s="14"/>
      <c r="J49" s="16">
        <v>3880.25</v>
      </c>
      <c r="K49" s="66">
        <v>813552</v>
      </c>
      <c r="L49" s="66">
        <v>1738438</v>
      </c>
      <c r="M49" s="28">
        <v>2551990</v>
      </c>
      <c r="N49" s="64">
        <v>23692317</v>
      </c>
      <c r="O49" s="64">
        <v>2110862</v>
      </c>
      <c r="P49" s="64">
        <v>82515</v>
      </c>
      <c r="Q49" s="28">
        <v>25885694</v>
      </c>
      <c r="R49" s="62">
        <v>1033898</v>
      </c>
      <c r="S49" s="28">
        <v>29471582</v>
      </c>
      <c r="T49" s="81">
        <v>1686130</v>
      </c>
      <c r="U49" s="81">
        <v>1021699</v>
      </c>
      <c r="V49" s="81">
        <v>90570</v>
      </c>
      <c r="W49" s="81">
        <v>4729697</v>
      </c>
      <c r="X49" s="28">
        <v>36999679</v>
      </c>
      <c r="Y49" s="28">
        <v>5363950</v>
      </c>
      <c r="Z49" s="28">
        <v>3651272</v>
      </c>
      <c r="AA49" s="28">
        <v>26442638</v>
      </c>
      <c r="AB49" s="28">
        <v>1541819</v>
      </c>
      <c r="AC49" s="40" t="s">
        <v>184</v>
      </c>
      <c r="AD49" s="41">
        <v>138</v>
      </c>
      <c r="AE49" s="42">
        <v>1</v>
      </c>
      <c r="AF49" s="40" t="s">
        <v>1149</v>
      </c>
      <c r="AG49" s="68">
        <v>297436.78999999998</v>
      </c>
      <c r="AH49" s="42">
        <v>1</v>
      </c>
      <c r="AI49" s="40" t="s">
        <v>1149</v>
      </c>
      <c r="AJ49" s="70">
        <v>11022.13</v>
      </c>
      <c r="AK49" s="72">
        <f t="shared" si="0"/>
        <v>-297436.78999999998</v>
      </c>
      <c r="AL49" s="72">
        <f t="shared" si="1"/>
        <v>-11022.13</v>
      </c>
      <c r="AM49">
        <v>-1</v>
      </c>
      <c r="AO49" s="102">
        <f t="shared" si="2"/>
        <v>4550398</v>
      </c>
      <c r="AP49" s="103">
        <f t="shared" si="3"/>
        <v>1912834</v>
      </c>
      <c r="AQ49" s="101">
        <f t="shared" si="4"/>
        <v>556944</v>
      </c>
      <c r="AR49" s="104">
        <f t="shared" si="5"/>
        <v>507921</v>
      </c>
    </row>
    <row r="50" spans="1:44">
      <c r="A50" s="14" t="s">
        <v>1146</v>
      </c>
      <c r="B50" s="15" t="s">
        <v>1147</v>
      </c>
      <c r="C50" s="14" t="s">
        <v>1220</v>
      </c>
      <c r="D50" s="14">
        <v>13</v>
      </c>
      <c r="E50" s="15" t="s">
        <v>1148</v>
      </c>
      <c r="F50" s="15" t="s">
        <v>1151</v>
      </c>
      <c r="G50" s="14" t="s">
        <v>1152</v>
      </c>
      <c r="H50" s="14"/>
      <c r="I50" s="14"/>
      <c r="J50" s="16">
        <v>951.88</v>
      </c>
      <c r="K50" s="66">
        <v>331892</v>
      </c>
      <c r="L50" s="66">
        <v>609895</v>
      </c>
      <c r="M50" s="28">
        <v>941787</v>
      </c>
      <c r="N50" s="64">
        <v>5858100</v>
      </c>
      <c r="O50" s="64">
        <v>367831</v>
      </c>
      <c r="P50" s="64">
        <v>38057</v>
      </c>
      <c r="Q50" s="28">
        <v>6263988</v>
      </c>
      <c r="R50" s="62">
        <v>154900</v>
      </c>
      <c r="S50" s="28">
        <v>7360675</v>
      </c>
      <c r="T50" s="81">
        <v>378569</v>
      </c>
      <c r="U50" s="81">
        <v>559314</v>
      </c>
      <c r="V50" s="81">
        <v>2609</v>
      </c>
      <c r="W50" s="81">
        <v>1905629</v>
      </c>
      <c r="X50" s="28">
        <v>10206794</v>
      </c>
      <c r="Y50" s="28">
        <v>1643113</v>
      </c>
      <c r="Z50" s="28">
        <v>1551555</v>
      </c>
      <c r="AA50" s="28">
        <v>6701822</v>
      </c>
      <c r="AB50" s="28">
        <v>310304</v>
      </c>
      <c r="AC50" s="40" t="s">
        <v>184</v>
      </c>
      <c r="AD50" s="41">
        <v>139</v>
      </c>
      <c r="AE50" s="42">
        <v>1</v>
      </c>
      <c r="AF50" s="40" t="s">
        <v>1151</v>
      </c>
      <c r="AG50" s="68">
        <v>55413.66</v>
      </c>
      <c r="AH50" s="42">
        <v>1</v>
      </c>
      <c r="AI50" s="40" t="s">
        <v>1151</v>
      </c>
      <c r="AJ50" s="70">
        <v>162714.26</v>
      </c>
      <c r="AK50" s="72">
        <f t="shared" si="0"/>
        <v>-55413.66</v>
      </c>
      <c r="AL50" s="72">
        <f t="shared" si="1"/>
        <v>-162714.26</v>
      </c>
      <c r="AM50">
        <v>-1</v>
      </c>
      <c r="AO50" s="102">
        <f t="shared" si="2"/>
        <v>1311221</v>
      </c>
      <c r="AP50" s="103">
        <f t="shared" si="3"/>
        <v>941660</v>
      </c>
      <c r="AQ50" s="101">
        <f t="shared" si="4"/>
        <v>437834</v>
      </c>
      <c r="AR50" s="104">
        <f t="shared" si="5"/>
        <v>155404</v>
      </c>
    </row>
    <row r="51" spans="1:44">
      <c r="A51" s="14" t="s">
        <v>1249</v>
      </c>
      <c r="B51" s="15" t="s">
        <v>1250</v>
      </c>
      <c r="C51" s="14" t="s">
        <v>1220</v>
      </c>
      <c r="D51" s="14">
        <v>14</v>
      </c>
      <c r="E51" s="15" t="s">
        <v>1153</v>
      </c>
      <c r="F51" s="15" t="s">
        <v>1154</v>
      </c>
      <c r="G51" s="14" t="s">
        <v>1155</v>
      </c>
      <c r="H51" s="14"/>
      <c r="I51" s="14"/>
      <c r="J51" s="16">
        <v>809.59</v>
      </c>
      <c r="K51" s="66">
        <v>622105</v>
      </c>
      <c r="L51" s="66">
        <v>505578</v>
      </c>
      <c r="M51" s="28">
        <v>1127683</v>
      </c>
      <c r="N51" s="64">
        <v>5583151</v>
      </c>
      <c r="O51" s="64">
        <v>323198</v>
      </c>
      <c r="P51" s="64">
        <v>42893</v>
      </c>
      <c r="Q51" s="28">
        <v>5949242</v>
      </c>
      <c r="R51" s="62">
        <v>169069</v>
      </c>
      <c r="S51" s="28">
        <v>7245994</v>
      </c>
      <c r="T51" s="81">
        <v>352862</v>
      </c>
      <c r="U51" s="81">
        <v>246752</v>
      </c>
      <c r="V51" s="81">
        <v>0</v>
      </c>
      <c r="W51" s="81">
        <v>385630</v>
      </c>
      <c r="X51" s="28">
        <v>8231237</v>
      </c>
      <c r="Y51" s="28">
        <v>984277</v>
      </c>
      <c r="Z51" s="28">
        <v>916967</v>
      </c>
      <c r="AA51" s="28">
        <v>6051879</v>
      </c>
      <c r="AB51" s="28">
        <v>278114</v>
      </c>
      <c r="AC51" s="40" t="s">
        <v>184</v>
      </c>
      <c r="AD51" s="41">
        <v>146</v>
      </c>
      <c r="AE51" s="42">
        <v>1</v>
      </c>
      <c r="AF51" s="40" t="s">
        <v>1154</v>
      </c>
      <c r="AG51" s="68">
        <v>61535.05</v>
      </c>
      <c r="AH51" s="42">
        <v>1</v>
      </c>
      <c r="AI51" s="40" t="s">
        <v>1154</v>
      </c>
      <c r="AJ51" s="70">
        <v>0</v>
      </c>
      <c r="AK51" s="72">
        <f t="shared" si="0"/>
        <v>-61535.05</v>
      </c>
      <c r="AL51" s="72">
        <f t="shared" si="1"/>
        <v>0</v>
      </c>
      <c r="AM51">
        <v>-1</v>
      </c>
      <c r="AO51" s="102">
        <f t="shared" si="2"/>
        <v>362172</v>
      </c>
      <c r="AP51" s="103">
        <f t="shared" si="3"/>
        <v>411389</v>
      </c>
      <c r="AQ51" s="101">
        <f t="shared" si="4"/>
        <v>102637</v>
      </c>
      <c r="AR51" s="104">
        <f t="shared" si="5"/>
        <v>109045</v>
      </c>
    </row>
    <row r="52" spans="1:44">
      <c r="A52" s="14" t="s">
        <v>1249</v>
      </c>
      <c r="B52" s="15" t="s">
        <v>1250</v>
      </c>
      <c r="C52" s="14" t="s">
        <v>1220</v>
      </c>
      <c r="D52" s="14">
        <v>14</v>
      </c>
      <c r="E52" s="15" t="s">
        <v>1153</v>
      </c>
      <c r="F52" s="15" t="s">
        <v>1156</v>
      </c>
      <c r="G52" s="14" t="s">
        <v>1157</v>
      </c>
      <c r="H52" s="14"/>
      <c r="I52" s="14"/>
      <c r="J52" s="16">
        <v>906.37</v>
      </c>
      <c r="K52" s="66">
        <v>325001</v>
      </c>
      <c r="L52" s="66">
        <v>318999</v>
      </c>
      <c r="M52" s="28">
        <v>644000</v>
      </c>
      <c r="N52" s="64">
        <v>5975224</v>
      </c>
      <c r="O52" s="64">
        <v>300668</v>
      </c>
      <c r="P52" s="64">
        <v>58563</v>
      </c>
      <c r="Q52" s="28">
        <v>6334455</v>
      </c>
      <c r="R52" s="62">
        <v>220273</v>
      </c>
      <c r="S52" s="28">
        <v>7198728</v>
      </c>
      <c r="T52" s="81">
        <v>327829</v>
      </c>
      <c r="U52" s="81">
        <v>241775</v>
      </c>
      <c r="V52" s="81">
        <v>0</v>
      </c>
      <c r="W52" s="81">
        <v>869160</v>
      </c>
      <c r="X52" s="28">
        <v>8637493</v>
      </c>
      <c r="Y52" s="28">
        <v>856611</v>
      </c>
      <c r="Z52" s="28">
        <v>705141</v>
      </c>
      <c r="AA52" s="28">
        <v>6747051</v>
      </c>
      <c r="AB52" s="28">
        <v>328690</v>
      </c>
      <c r="AC52" s="40" t="s">
        <v>184</v>
      </c>
      <c r="AD52" s="41">
        <v>150</v>
      </c>
      <c r="AE52" s="42">
        <v>1</v>
      </c>
      <c r="AF52" s="40" t="s">
        <v>1156</v>
      </c>
      <c r="AG52" s="68">
        <v>25654.1</v>
      </c>
      <c r="AH52" s="42">
        <v>1</v>
      </c>
      <c r="AI52" s="40" t="s">
        <v>1156</v>
      </c>
      <c r="AJ52" s="70">
        <v>0</v>
      </c>
      <c r="AK52" s="72">
        <f t="shared" si="0"/>
        <v>-25654.1</v>
      </c>
      <c r="AL52" s="72">
        <f t="shared" si="1"/>
        <v>0</v>
      </c>
      <c r="AM52">
        <v>-1</v>
      </c>
      <c r="AO52" s="102">
        <f t="shared" si="2"/>
        <v>531610</v>
      </c>
      <c r="AP52" s="103">
        <f t="shared" si="3"/>
        <v>386142</v>
      </c>
      <c r="AQ52" s="101">
        <f t="shared" si="4"/>
        <v>412596</v>
      </c>
      <c r="AR52" s="104">
        <f t="shared" si="5"/>
        <v>108417</v>
      </c>
    </row>
    <row r="53" spans="1:44">
      <c r="A53" s="14" t="s">
        <v>1249</v>
      </c>
      <c r="B53" s="15" t="s">
        <v>1250</v>
      </c>
      <c r="C53" s="14" t="s">
        <v>1220</v>
      </c>
      <c r="D53" s="14">
        <v>14</v>
      </c>
      <c r="E53" s="15" t="s">
        <v>1153</v>
      </c>
      <c r="F53" s="15" t="s">
        <v>1158</v>
      </c>
      <c r="G53" s="14" t="s">
        <v>1159</v>
      </c>
      <c r="H53" s="14"/>
      <c r="I53" s="14"/>
      <c r="J53" s="16">
        <v>5472.25</v>
      </c>
      <c r="K53" s="66">
        <v>1943324</v>
      </c>
      <c r="L53" s="66">
        <v>2325219</v>
      </c>
      <c r="M53" s="28">
        <v>4268543</v>
      </c>
      <c r="N53" s="64">
        <v>34111978</v>
      </c>
      <c r="O53" s="64">
        <v>6577277</v>
      </c>
      <c r="P53" s="64">
        <v>519677</v>
      </c>
      <c r="Q53" s="28">
        <v>41208932</v>
      </c>
      <c r="R53" s="62">
        <v>2749437</v>
      </c>
      <c r="S53" s="28">
        <v>48226912</v>
      </c>
      <c r="T53" s="81">
        <v>1814663</v>
      </c>
      <c r="U53" s="81">
        <v>1367540</v>
      </c>
      <c r="V53" s="81">
        <v>0</v>
      </c>
      <c r="W53" s="81">
        <v>7963202</v>
      </c>
      <c r="X53" s="28">
        <v>59372318</v>
      </c>
      <c r="Y53" s="28">
        <v>6300623</v>
      </c>
      <c r="Z53" s="28">
        <v>5176034</v>
      </c>
      <c r="AA53" s="28">
        <v>44356108</v>
      </c>
      <c r="AB53" s="28">
        <v>3539553</v>
      </c>
      <c r="AC53" s="40" t="s">
        <v>184</v>
      </c>
      <c r="AD53" s="41">
        <v>152</v>
      </c>
      <c r="AE53" s="42">
        <v>1</v>
      </c>
      <c r="AF53" s="40" t="s">
        <v>1158</v>
      </c>
      <c r="AG53" s="68">
        <v>432595.17</v>
      </c>
      <c r="AH53" s="42">
        <v>1</v>
      </c>
      <c r="AI53" s="40" t="s">
        <v>1158</v>
      </c>
      <c r="AJ53" s="70">
        <v>391222.44</v>
      </c>
      <c r="AK53" s="72">
        <f t="shared" si="0"/>
        <v>-432595.17</v>
      </c>
      <c r="AL53" s="72">
        <f t="shared" si="1"/>
        <v>-391222.44</v>
      </c>
      <c r="AM53">
        <v>-1</v>
      </c>
      <c r="AO53" s="102">
        <f t="shared" si="2"/>
        <v>4357299</v>
      </c>
      <c r="AP53" s="103">
        <f t="shared" si="3"/>
        <v>2850815</v>
      </c>
      <c r="AQ53" s="101">
        <f t="shared" si="4"/>
        <v>3147176</v>
      </c>
      <c r="AR53" s="104">
        <f t="shared" si="5"/>
        <v>790116</v>
      </c>
    </row>
    <row r="54" spans="1:44">
      <c r="A54" s="14" t="s">
        <v>1258</v>
      </c>
      <c r="B54" s="15" t="s">
        <v>1259</v>
      </c>
      <c r="C54" s="14" t="s">
        <v>1220</v>
      </c>
      <c r="D54" s="14">
        <v>15</v>
      </c>
      <c r="E54" s="15" t="s">
        <v>1160</v>
      </c>
      <c r="F54" s="15" t="s">
        <v>1161</v>
      </c>
      <c r="G54" s="14" t="s">
        <v>1162</v>
      </c>
      <c r="H54" s="14"/>
      <c r="I54" s="14"/>
      <c r="J54" s="16">
        <v>1025.6400000000001</v>
      </c>
      <c r="K54" s="66">
        <v>190723</v>
      </c>
      <c r="L54" s="66">
        <v>599252</v>
      </c>
      <c r="M54" s="28">
        <v>789975</v>
      </c>
      <c r="N54" s="64">
        <v>7377218</v>
      </c>
      <c r="O54" s="64">
        <v>753479</v>
      </c>
      <c r="P54" s="64">
        <v>138867</v>
      </c>
      <c r="Q54" s="28">
        <v>8269564</v>
      </c>
      <c r="R54" s="62">
        <v>629745</v>
      </c>
      <c r="S54" s="28">
        <v>9689284</v>
      </c>
      <c r="T54" s="81">
        <v>448125</v>
      </c>
      <c r="U54" s="81">
        <v>212474</v>
      </c>
      <c r="V54" s="81">
        <v>6774</v>
      </c>
      <c r="W54" s="81">
        <v>990187</v>
      </c>
      <c r="X54" s="28">
        <v>11346846</v>
      </c>
      <c r="Y54" s="28">
        <v>1027382</v>
      </c>
      <c r="Z54" s="28">
        <v>911916</v>
      </c>
      <c r="AA54" s="28">
        <v>8540807</v>
      </c>
      <c r="AB54" s="28">
        <v>866741</v>
      </c>
      <c r="AC54" s="40" t="s">
        <v>184</v>
      </c>
      <c r="AD54" s="41">
        <v>162</v>
      </c>
      <c r="AE54" s="42">
        <v>1</v>
      </c>
      <c r="AF54" s="40" t="s">
        <v>1161</v>
      </c>
      <c r="AG54" s="68">
        <v>90929.22</v>
      </c>
      <c r="AH54" s="42">
        <v>1</v>
      </c>
      <c r="AI54" s="40" t="s">
        <v>1161</v>
      </c>
      <c r="AJ54" s="70">
        <v>3781.1</v>
      </c>
      <c r="AK54" s="72">
        <f t="shared" si="0"/>
        <v>-90929.22</v>
      </c>
      <c r="AL54" s="72">
        <f t="shared" si="1"/>
        <v>-3781.1</v>
      </c>
      <c r="AM54">
        <v>-1</v>
      </c>
      <c r="AO54" s="102">
        <f t="shared" si="2"/>
        <v>836659</v>
      </c>
      <c r="AP54" s="103">
        <f t="shared" si="3"/>
        <v>312664</v>
      </c>
      <c r="AQ54" s="101">
        <f t="shared" si="4"/>
        <v>271243</v>
      </c>
      <c r="AR54" s="104">
        <f t="shared" si="5"/>
        <v>236996</v>
      </c>
    </row>
    <row r="55" spans="1:44">
      <c r="A55" s="14" t="s">
        <v>1218</v>
      </c>
      <c r="B55" s="15" t="s">
        <v>1219</v>
      </c>
      <c r="C55" s="14" t="s">
        <v>1220</v>
      </c>
      <c r="D55" s="14">
        <v>16</v>
      </c>
      <c r="E55" s="15" t="s">
        <v>1163</v>
      </c>
      <c r="F55" s="15" t="s">
        <v>1164</v>
      </c>
      <c r="G55" s="14" t="s">
        <v>1165</v>
      </c>
      <c r="H55" s="14"/>
      <c r="I55" s="14"/>
      <c r="J55" s="16">
        <v>589.41999999999996</v>
      </c>
      <c r="K55" s="66">
        <v>434269</v>
      </c>
      <c r="L55" s="66">
        <v>697444</v>
      </c>
      <c r="M55" s="28">
        <v>1131713</v>
      </c>
      <c r="N55" s="64">
        <v>4275928</v>
      </c>
      <c r="O55" s="64">
        <v>249537</v>
      </c>
      <c r="P55" s="64">
        <v>81692</v>
      </c>
      <c r="Q55" s="28">
        <v>4607157</v>
      </c>
      <c r="R55" s="62">
        <v>392421</v>
      </c>
      <c r="S55" s="28">
        <v>6131291</v>
      </c>
      <c r="T55" s="81">
        <v>199194</v>
      </c>
      <c r="U55" s="81">
        <v>278459</v>
      </c>
      <c r="V55" s="81">
        <v>0</v>
      </c>
      <c r="W55" s="81">
        <v>858321</v>
      </c>
      <c r="X55" s="28">
        <v>7467266</v>
      </c>
      <c r="Y55" s="28">
        <v>725037</v>
      </c>
      <c r="Z55" s="28">
        <v>1630872</v>
      </c>
      <c r="AA55" s="28">
        <v>4642642</v>
      </c>
      <c r="AB55" s="28">
        <v>468715</v>
      </c>
      <c r="AC55" s="40" t="s">
        <v>184</v>
      </c>
      <c r="AD55" s="41">
        <v>166</v>
      </c>
      <c r="AE55" s="42">
        <v>1</v>
      </c>
      <c r="AF55" s="40" t="s">
        <v>1164</v>
      </c>
      <c r="AG55" s="68">
        <v>45793.94</v>
      </c>
      <c r="AH55" s="42">
        <v>1</v>
      </c>
      <c r="AI55" s="40" t="s">
        <v>1164</v>
      </c>
      <c r="AJ55" s="70">
        <v>2927.3</v>
      </c>
      <c r="AK55" s="72">
        <f t="shared" si="0"/>
        <v>-45793.94</v>
      </c>
      <c r="AL55" s="72">
        <f t="shared" si="1"/>
        <v>-2927.3</v>
      </c>
      <c r="AM55">
        <v>-1</v>
      </c>
      <c r="AO55" s="102">
        <f t="shared" si="2"/>
        <v>290768</v>
      </c>
      <c r="AP55" s="103">
        <f t="shared" si="3"/>
        <v>933428</v>
      </c>
      <c r="AQ55" s="101">
        <f t="shared" si="4"/>
        <v>35485</v>
      </c>
      <c r="AR55" s="104">
        <f t="shared" si="5"/>
        <v>76294</v>
      </c>
    </row>
    <row r="56" spans="1:44">
      <c r="A56" s="14" t="s">
        <v>1166</v>
      </c>
      <c r="B56" s="15" t="s">
        <v>1167</v>
      </c>
      <c r="C56" s="14" t="s">
        <v>1220</v>
      </c>
      <c r="D56" s="14">
        <v>17</v>
      </c>
      <c r="E56" s="15" t="s">
        <v>1168</v>
      </c>
      <c r="F56" s="15" t="s">
        <v>1169</v>
      </c>
      <c r="G56" s="14" t="s">
        <v>991</v>
      </c>
      <c r="H56" s="14"/>
      <c r="I56" s="14"/>
      <c r="J56" s="16">
        <v>477.29</v>
      </c>
      <c r="K56" s="66">
        <v>279243</v>
      </c>
      <c r="L56" s="66">
        <v>551793</v>
      </c>
      <c r="M56" s="28">
        <v>831036</v>
      </c>
      <c r="N56" s="64">
        <v>3583116</v>
      </c>
      <c r="O56" s="64">
        <v>294189</v>
      </c>
      <c r="P56" s="64">
        <v>71835</v>
      </c>
      <c r="Q56" s="28">
        <v>3949140</v>
      </c>
      <c r="R56" s="62">
        <v>216761</v>
      </c>
      <c r="S56" s="28">
        <v>4996937</v>
      </c>
      <c r="T56" s="81">
        <v>209483</v>
      </c>
      <c r="U56" s="81">
        <v>287184</v>
      </c>
      <c r="V56" s="81">
        <v>0</v>
      </c>
      <c r="W56" s="81">
        <v>0</v>
      </c>
      <c r="X56" s="28">
        <v>5493605</v>
      </c>
      <c r="Y56" s="28">
        <v>313386</v>
      </c>
      <c r="Z56" s="28">
        <v>842116</v>
      </c>
      <c r="AA56" s="28">
        <v>4012583</v>
      </c>
      <c r="AB56" s="28">
        <v>325521</v>
      </c>
      <c r="AC56" s="40" t="s">
        <v>184</v>
      </c>
      <c r="AD56" s="41">
        <v>173</v>
      </c>
      <c r="AE56" s="42">
        <v>1</v>
      </c>
      <c r="AF56" s="40" t="s">
        <v>1169</v>
      </c>
      <c r="AG56" s="68">
        <v>35751.089999999997</v>
      </c>
      <c r="AH56" s="42">
        <v>1</v>
      </c>
      <c r="AI56" s="40" t="s">
        <v>1169</v>
      </c>
      <c r="AJ56" s="70">
        <v>4190.59</v>
      </c>
      <c r="AK56" s="72">
        <f t="shared" si="0"/>
        <v>-35751.089999999997</v>
      </c>
      <c r="AL56" s="72">
        <f t="shared" si="1"/>
        <v>-4190.59</v>
      </c>
      <c r="AM56">
        <v>-1</v>
      </c>
      <c r="AO56" s="102">
        <f t="shared" si="2"/>
        <v>34143</v>
      </c>
      <c r="AP56" s="103">
        <f t="shared" si="3"/>
        <v>290323</v>
      </c>
      <c r="AQ56" s="101">
        <f t="shared" si="4"/>
        <v>63443</v>
      </c>
      <c r="AR56" s="104">
        <f t="shared" si="5"/>
        <v>108760</v>
      </c>
    </row>
    <row r="57" spans="1:44">
      <c r="A57" s="14" t="s">
        <v>1166</v>
      </c>
      <c r="B57" s="15" t="s">
        <v>1167</v>
      </c>
      <c r="C57" s="14" t="s">
        <v>1220</v>
      </c>
      <c r="D57" s="14">
        <v>17</v>
      </c>
      <c r="E57" s="15" t="s">
        <v>1168</v>
      </c>
      <c r="F57" s="15" t="s">
        <v>992</v>
      </c>
      <c r="G57" s="14" t="s">
        <v>993</v>
      </c>
      <c r="H57" s="14"/>
      <c r="I57" s="14"/>
      <c r="J57" s="16">
        <v>979.85</v>
      </c>
      <c r="K57" s="66">
        <v>517762</v>
      </c>
      <c r="L57" s="66">
        <v>851258</v>
      </c>
      <c r="M57" s="28">
        <v>1369020</v>
      </c>
      <c r="N57" s="64">
        <v>6418179</v>
      </c>
      <c r="O57" s="64">
        <v>595245</v>
      </c>
      <c r="P57" s="64">
        <v>102986</v>
      </c>
      <c r="Q57" s="28">
        <v>7116410</v>
      </c>
      <c r="R57" s="62">
        <v>223446</v>
      </c>
      <c r="S57" s="28">
        <v>8708876</v>
      </c>
      <c r="T57" s="81">
        <v>459758</v>
      </c>
      <c r="U57" s="81">
        <v>219693</v>
      </c>
      <c r="V57" s="81">
        <v>0</v>
      </c>
      <c r="W57" s="81">
        <v>1519129</v>
      </c>
      <c r="X57" s="28">
        <v>10907456</v>
      </c>
      <c r="Y57" s="28">
        <v>1608108</v>
      </c>
      <c r="Z57" s="28">
        <v>1450091</v>
      </c>
      <c r="AA57" s="28">
        <v>7436522</v>
      </c>
      <c r="AB57" s="28">
        <v>412736</v>
      </c>
      <c r="AC57" s="40" t="s">
        <v>184</v>
      </c>
      <c r="AD57" s="41">
        <v>177</v>
      </c>
      <c r="AE57" s="42">
        <v>1</v>
      </c>
      <c r="AF57" s="40" t="s">
        <v>992</v>
      </c>
      <c r="AG57" s="68">
        <v>65013.53</v>
      </c>
      <c r="AH57" s="42">
        <v>1</v>
      </c>
      <c r="AI57" s="40" t="s">
        <v>992</v>
      </c>
      <c r="AJ57" s="70">
        <v>9961.7999999999993</v>
      </c>
      <c r="AK57" s="72">
        <f t="shared" si="0"/>
        <v>-65013.53</v>
      </c>
      <c r="AL57" s="72">
        <f t="shared" si="1"/>
        <v>-9961.7999999999993</v>
      </c>
      <c r="AM57">
        <v>-1</v>
      </c>
      <c r="AO57" s="102">
        <f t="shared" si="2"/>
        <v>1090346</v>
      </c>
      <c r="AP57" s="103">
        <f t="shared" si="3"/>
        <v>598833</v>
      </c>
      <c r="AQ57" s="101">
        <f t="shared" si="4"/>
        <v>320112</v>
      </c>
      <c r="AR57" s="104">
        <f t="shared" si="5"/>
        <v>189290</v>
      </c>
    </row>
    <row r="58" spans="1:44">
      <c r="A58" s="14" t="s">
        <v>1132</v>
      </c>
      <c r="B58" s="15" t="s">
        <v>1133</v>
      </c>
      <c r="C58" s="14" t="s">
        <v>1220</v>
      </c>
      <c r="D58" s="14">
        <v>18</v>
      </c>
      <c r="E58" s="15" t="s">
        <v>994</v>
      </c>
      <c r="F58" s="15" t="s">
        <v>995</v>
      </c>
      <c r="G58" s="14" t="s">
        <v>996</v>
      </c>
      <c r="H58" s="14"/>
      <c r="I58" s="14"/>
      <c r="J58" s="16">
        <v>7124.1</v>
      </c>
      <c r="K58" s="66">
        <v>4772718</v>
      </c>
      <c r="L58" s="66">
        <v>5829441</v>
      </c>
      <c r="M58" s="28">
        <v>10602159</v>
      </c>
      <c r="N58" s="64">
        <v>46054491</v>
      </c>
      <c r="O58" s="64">
        <v>4110397</v>
      </c>
      <c r="P58" s="64">
        <v>555862</v>
      </c>
      <c r="Q58" s="28">
        <v>50720750</v>
      </c>
      <c r="R58" s="62">
        <v>4427388</v>
      </c>
      <c r="S58" s="28">
        <v>65750297</v>
      </c>
      <c r="T58" s="81">
        <v>3338264</v>
      </c>
      <c r="U58" s="81">
        <v>2014234</v>
      </c>
      <c r="V58" s="81">
        <v>27460</v>
      </c>
      <c r="W58" s="81">
        <v>7227415</v>
      </c>
      <c r="X58" s="28">
        <v>78357670</v>
      </c>
      <c r="Y58" s="28">
        <v>11842060</v>
      </c>
      <c r="Z58" s="28">
        <v>9133530</v>
      </c>
      <c r="AA58" s="28">
        <v>51694210</v>
      </c>
      <c r="AB58" s="28">
        <v>5687870</v>
      </c>
      <c r="AC58" s="40" t="s">
        <v>184</v>
      </c>
      <c r="AD58" s="41">
        <v>181</v>
      </c>
      <c r="AE58" s="42">
        <v>1</v>
      </c>
      <c r="AF58" s="40" t="s">
        <v>995</v>
      </c>
      <c r="AG58" s="68">
        <v>701201.47</v>
      </c>
      <c r="AH58" s="42">
        <v>1</v>
      </c>
      <c r="AI58" s="40" t="s">
        <v>995</v>
      </c>
      <c r="AJ58" s="70">
        <v>85604.45</v>
      </c>
      <c r="AK58" s="72">
        <f t="shared" si="0"/>
        <v>-701201.47</v>
      </c>
      <c r="AL58" s="72">
        <f t="shared" si="1"/>
        <v>-85604.45</v>
      </c>
      <c r="AM58">
        <v>-1</v>
      </c>
      <c r="AO58" s="102">
        <f t="shared" si="2"/>
        <v>7069342</v>
      </c>
      <c r="AP58" s="103">
        <f t="shared" si="3"/>
        <v>3304089</v>
      </c>
      <c r="AQ58" s="101">
        <f t="shared" si="4"/>
        <v>973460</v>
      </c>
      <c r="AR58" s="104">
        <f t="shared" si="5"/>
        <v>1260482</v>
      </c>
    </row>
    <row r="59" spans="1:44">
      <c r="A59" s="14" t="s">
        <v>1132</v>
      </c>
      <c r="B59" s="15" t="s">
        <v>1133</v>
      </c>
      <c r="C59" s="14" t="s">
        <v>1220</v>
      </c>
      <c r="D59" s="14">
        <v>18</v>
      </c>
      <c r="E59" s="15" t="s">
        <v>994</v>
      </c>
      <c r="F59" s="15" t="s">
        <v>997</v>
      </c>
      <c r="G59" s="14" t="s">
        <v>998</v>
      </c>
      <c r="H59" s="14"/>
      <c r="I59" s="14"/>
      <c r="J59" s="16">
        <v>1251.48</v>
      </c>
      <c r="K59" s="66">
        <v>1038999</v>
      </c>
      <c r="L59" s="66">
        <v>1126987</v>
      </c>
      <c r="M59" s="28">
        <v>2165986</v>
      </c>
      <c r="N59" s="64">
        <v>8224971</v>
      </c>
      <c r="O59" s="64">
        <v>1289026</v>
      </c>
      <c r="P59" s="64">
        <v>39510</v>
      </c>
      <c r="Q59" s="28">
        <v>9553507</v>
      </c>
      <c r="R59" s="62">
        <v>355826</v>
      </c>
      <c r="S59" s="28">
        <v>12075319</v>
      </c>
      <c r="T59" s="81">
        <v>591242</v>
      </c>
      <c r="U59" s="81">
        <v>251294</v>
      </c>
      <c r="V59" s="81">
        <v>5957</v>
      </c>
      <c r="W59" s="81">
        <v>1555844</v>
      </c>
      <c r="X59" s="28">
        <v>14479656</v>
      </c>
      <c r="Y59" s="28">
        <v>2330288</v>
      </c>
      <c r="Z59" s="28">
        <v>1822104</v>
      </c>
      <c r="AA59" s="28">
        <v>9705980</v>
      </c>
      <c r="AB59" s="28">
        <v>621284</v>
      </c>
      <c r="AC59" s="40" t="s">
        <v>184</v>
      </c>
      <c r="AD59" s="41">
        <v>182</v>
      </c>
      <c r="AE59" s="42">
        <v>1</v>
      </c>
      <c r="AF59" s="40" t="s">
        <v>997</v>
      </c>
      <c r="AG59" s="68">
        <v>81088.160000000003</v>
      </c>
      <c r="AH59" s="42">
        <v>1</v>
      </c>
      <c r="AI59" s="40" t="s">
        <v>997</v>
      </c>
      <c r="AJ59" s="70">
        <v>4588.25</v>
      </c>
      <c r="AK59" s="72">
        <f t="shared" si="0"/>
        <v>-81088.160000000003</v>
      </c>
      <c r="AL59" s="72">
        <f t="shared" si="1"/>
        <v>-4588.25</v>
      </c>
      <c r="AM59">
        <v>-1</v>
      </c>
      <c r="AO59" s="102">
        <f t="shared" si="2"/>
        <v>1291289</v>
      </c>
      <c r="AP59" s="103">
        <f t="shared" si="3"/>
        <v>695117</v>
      </c>
      <c r="AQ59" s="101">
        <f t="shared" si="4"/>
        <v>152473</v>
      </c>
      <c r="AR59" s="104">
        <f t="shared" si="5"/>
        <v>265458</v>
      </c>
    </row>
    <row r="60" spans="1:44">
      <c r="A60" s="14" t="s">
        <v>1132</v>
      </c>
      <c r="B60" s="15" t="s">
        <v>1133</v>
      </c>
      <c r="C60" s="14" t="s">
        <v>1220</v>
      </c>
      <c r="D60" s="14">
        <v>18</v>
      </c>
      <c r="E60" s="15" t="s">
        <v>994</v>
      </c>
      <c r="F60" s="15" t="s">
        <v>999</v>
      </c>
      <c r="G60" s="14" t="s">
        <v>1000</v>
      </c>
      <c r="H60" s="14"/>
      <c r="I60" s="14"/>
      <c r="J60" s="16">
        <v>1526.12</v>
      </c>
      <c r="K60" s="66">
        <v>1137218</v>
      </c>
      <c r="L60" s="66">
        <v>769248</v>
      </c>
      <c r="M60" s="28">
        <v>1906466</v>
      </c>
      <c r="N60" s="64">
        <v>9203846</v>
      </c>
      <c r="O60" s="64">
        <v>695999</v>
      </c>
      <c r="P60" s="64">
        <v>37638</v>
      </c>
      <c r="Q60" s="28">
        <v>9937483</v>
      </c>
      <c r="R60" s="62">
        <v>199834</v>
      </c>
      <c r="S60" s="28">
        <v>12043783</v>
      </c>
      <c r="T60" s="81">
        <v>610556</v>
      </c>
      <c r="U60" s="81">
        <v>432257</v>
      </c>
      <c r="V60" s="81">
        <v>45</v>
      </c>
      <c r="W60" s="81">
        <v>2079983</v>
      </c>
      <c r="X60" s="28">
        <v>15166625</v>
      </c>
      <c r="Y60" s="28">
        <v>3180654</v>
      </c>
      <c r="Z60" s="28">
        <v>1505683</v>
      </c>
      <c r="AA60" s="28">
        <v>10058620</v>
      </c>
      <c r="AB60" s="28">
        <v>421668</v>
      </c>
      <c r="AC60" s="40" t="s">
        <v>184</v>
      </c>
      <c r="AD60" s="41">
        <v>186</v>
      </c>
      <c r="AE60" s="42">
        <v>1</v>
      </c>
      <c r="AF60" s="40" t="s">
        <v>999</v>
      </c>
      <c r="AG60" s="68">
        <v>121015.06</v>
      </c>
      <c r="AH60" s="42">
        <v>1</v>
      </c>
      <c r="AI60" s="40" t="s">
        <v>999</v>
      </c>
      <c r="AJ60" s="70">
        <v>3428</v>
      </c>
      <c r="AK60" s="72">
        <f t="shared" si="0"/>
        <v>-121015.06</v>
      </c>
      <c r="AL60" s="72">
        <f t="shared" si="1"/>
        <v>-3428</v>
      </c>
      <c r="AM60">
        <v>-1</v>
      </c>
      <c r="AO60" s="102">
        <f t="shared" si="2"/>
        <v>2043436</v>
      </c>
      <c r="AP60" s="103">
        <f t="shared" si="3"/>
        <v>736435</v>
      </c>
      <c r="AQ60" s="101">
        <f t="shared" si="4"/>
        <v>121137</v>
      </c>
      <c r="AR60" s="104">
        <f t="shared" si="5"/>
        <v>221834</v>
      </c>
    </row>
    <row r="61" spans="1:44">
      <c r="A61" s="14" t="s">
        <v>1224</v>
      </c>
      <c r="B61" s="15" t="s">
        <v>1225</v>
      </c>
      <c r="C61" s="14" t="s">
        <v>1220</v>
      </c>
      <c r="D61" s="14">
        <v>19</v>
      </c>
      <c r="E61" s="15" t="s">
        <v>1233</v>
      </c>
      <c r="F61" s="15" t="s">
        <v>1001</v>
      </c>
      <c r="G61" s="14" t="s">
        <v>1002</v>
      </c>
      <c r="H61" s="14"/>
      <c r="I61" s="14"/>
      <c r="J61" s="16">
        <v>10526.55</v>
      </c>
      <c r="K61" s="66">
        <v>14950754</v>
      </c>
      <c r="L61" s="66">
        <v>4143318</v>
      </c>
      <c r="M61" s="28">
        <v>19094072</v>
      </c>
      <c r="N61" s="64">
        <v>64157046</v>
      </c>
      <c r="O61" s="64">
        <v>10637533</v>
      </c>
      <c r="P61" s="64">
        <v>3066234</v>
      </c>
      <c r="Q61" s="28">
        <v>77860813</v>
      </c>
      <c r="R61" s="62">
        <v>4531160</v>
      </c>
      <c r="S61" s="28">
        <v>101486045</v>
      </c>
      <c r="T61" s="81">
        <v>4321674</v>
      </c>
      <c r="U61" s="81">
        <v>6824201</v>
      </c>
      <c r="V61" s="81">
        <v>3761996</v>
      </c>
      <c r="W61" s="81">
        <v>4261708</v>
      </c>
      <c r="X61" s="28">
        <v>120655623</v>
      </c>
      <c r="Y61" s="28">
        <v>23318581</v>
      </c>
      <c r="Z61" s="28">
        <v>12335854</v>
      </c>
      <c r="AA61" s="28">
        <v>79054439</v>
      </c>
      <c r="AB61" s="28">
        <v>5946749</v>
      </c>
      <c r="AC61" s="40" t="s">
        <v>184</v>
      </c>
      <c r="AD61" s="41">
        <v>191</v>
      </c>
      <c r="AE61" s="42">
        <v>1</v>
      </c>
      <c r="AF61" s="40" t="s">
        <v>1001</v>
      </c>
      <c r="AG61" s="68">
        <v>649377.74</v>
      </c>
      <c r="AH61" s="42">
        <v>1</v>
      </c>
      <c r="AI61" s="40" t="s">
        <v>1001</v>
      </c>
      <c r="AJ61" s="70">
        <v>435340.52</v>
      </c>
      <c r="AK61" s="72">
        <f t="shared" si="0"/>
        <v>-649377.74</v>
      </c>
      <c r="AL61" s="72">
        <f t="shared" si="1"/>
        <v>-435340.52</v>
      </c>
      <c r="AM61">
        <v>-1</v>
      </c>
      <c r="AO61" s="102">
        <f t="shared" si="2"/>
        <v>8367827</v>
      </c>
      <c r="AP61" s="103">
        <f t="shared" si="3"/>
        <v>8192536</v>
      </c>
      <c r="AQ61" s="101">
        <f t="shared" si="4"/>
        <v>1193626</v>
      </c>
      <c r="AR61" s="104">
        <f t="shared" si="5"/>
        <v>1415589</v>
      </c>
    </row>
    <row r="62" spans="1:44">
      <c r="A62" s="14" t="s">
        <v>1224</v>
      </c>
      <c r="B62" s="15" t="s">
        <v>1225</v>
      </c>
      <c r="C62" s="14" t="s">
        <v>1220</v>
      </c>
      <c r="D62" s="14">
        <v>19</v>
      </c>
      <c r="E62" s="15" t="s">
        <v>1233</v>
      </c>
      <c r="F62" s="15" t="s">
        <v>1003</v>
      </c>
      <c r="G62" s="14" t="s">
        <v>1004</v>
      </c>
      <c r="H62" s="14"/>
      <c r="I62" s="14"/>
      <c r="J62" s="16">
        <v>6098.39</v>
      </c>
      <c r="K62" s="66">
        <v>2965847</v>
      </c>
      <c r="L62" s="66">
        <v>1169095</v>
      </c>
      <c r="M62" s="28">
        <v>4134942</v>
      </c>
      <c r="N62" s="64">
        <v>37884926</v>
      </c>
      <c r="O62" s="64">
        <v>4168171</v>
      </c>
      <c r="P62" s="64">
        <v>165890</v>
      </c>
      <c r="Q62" s="28">
        <v>42218987</v>
      </c>
      <c r="R62" s="62">
        <v>1470066</v>
      </c>
      <c r="S62" s="28">
        <v>47823995</v>
      </c>
      <c r="T62" s="81">
        <v>2259468</v>
      </c>
      <c r="U62" s="81">
        <v>2627871</v>
      </c>
      <c r="V62" s="81">
        <v>5425509</v>
      </c>
      <c r="W62" s="81">
        <v>14402046</v>
      </c>
      <c r="X62" s="28">
        <v>72538889</v>
      </c>
      <c r="Y62" s="28">
        <v>11849094</v>
      </c>
      <c r="Z62" s="28">
        <v>12769526</v>
      </c>
      <c r="AA62" s="28">
        <v>45918660</v>
      </c>
      <c r="AB62" s="28">
        <v>2001609</v>
      </c>
      <c r="AC62" s="40" t="s">
        <v>184</v>
      </c>
      <c r="AD62" s="41">
        <v>192</v>
      </c>
      <c r="AE62" s="42">
        <v>1</v>
      </c>
      <c r="AF62" s="40" t="s">
        <v>1003</v>
      </c>
      <c r="AG62" s="68">
        <v>407852.76</v>
      </c>
      <c r="AH62" s="42">
        <v>1</v>
      </c>
      <c r="AI62" s="40" t="s">
        <v>1003</v>
      </c>
      <c r="AJ62" s="70">
        <v>206941.43</v>
      </c>
      <c r="AK62" s="72">
        <f t="shared" si="0"/>
        <v>-407852.76</v>
      </c>
      <c r="AL62" s="72">
        <f t="shared" si="1"/>
        <v>-206941.43</v>
      </c>
      <c r="AM62">
        <v>-1</v>
      </c>
      <c r="AO62" s="102">
        <f t="shared" si="2"/>
        <v>8883247</v>
      </c>
      <c r="AP62" s="103">
        <f t="shared" si="3"/>
        <v>11600431</v>
      </c>
      <c r="AQ62" s="101">
        <f t="shared" si="4"/>
        <v>3699673</v>
      </c>
      <c r="AR62" s="104">
        <f t="shared" si="5"/>
        <v>531543</v>
      </c>
    </row>
    <row r="63" spans="1:44">
      <c r="A63" s="14" t="s">
        <v>1224</v>
      </c>
      <c r="B63" s="15" t="s">
        <v>1225</v>
      </c>
      <c r="C63" s="14" t="s">
        <v>1220</v>
      </c>
      <c r="D63" s="14">
        <v>19</v>
      </c>
      <c r="E63" s="15" t="s">
        <v>1233</v>
      </c>
      <c r="F63" s="15" t="s">
        <v>1005</v>
      </c>
      <c r="G63" s="14" t="s">
        <v>1006</v>
      </c>
      <c r="H63" s="14"/>
      <c r="I63" s="14"/>
      <c r="J63" s="16">
        <v>11172.94</v>
      </c>
      <c r="K63" s="66">
        <v>12192025</v>
      </c>
      <c r="L63" s="66">
        <v>2100516</v>
      </c>
      <c r="M63" s="28">
        <v>14292541</v>
      </c>
      <c r="N63" s="64">
        <v>68563525</v>
      </c>
      <c r="O63" s="64">
        <v>8245820</v>
      </c>
      <c r="P63" s="64">
        <v>419286</v>
      </c>
      <c r="Q63" s="28">
        <v>77228631</v>
      </c>
      <c r="R63" s="62">
        <v>2285981</v>
      </c>
      <c r="S63" s="28">
        <v>93807153</v>
      </c>
      <c r="T63" s="81">
        <v>4691707</v>
      </c>
      <c r="U63" s="81">
        <v>5133768</v>
      </c>
      <c r="V63" s="81">
        <v>235101</v>
      </c>
      <c r="W63" s="81">
        <v>15811391</v>
      </c>
      <c r="X63" s="28">
        <v>119679119</v>
      </c>
      <c r="Y63" s="28">
        <v>24356425</v>
      </c>
      <c r="Z63" s="28">
        <v>14004704</v>
      </c>
      <c r="AA63" s="28">
        <v>78281529</v>
      </c>
      <c r="AB63" s="28">
        <v>3036461</v>
      </c>
      <c r="AC63" s="40" t="s">
        <v>184</v>
      </c>
      <c r="AD63" s="41">
        <v>194</v>
      </c>
      <c r="AE63" s="42">
        <v>1</v>
      </c>
      <c r="AF63" s="40" t="s">
        <v>1005</v>
      </c>
      <c r="AG63" s="68">
        <v>753224.3</v>
      </c>
      <c r="AH63" s="42">
        <v>1</v>
      </c>
      <c r="AI63" s="40" t="s">
        <v>1005</v>
      </c>
      <c r="AJ63" s="70">
        <v>361314.6</v>
      </c>
      <c r="AK63" s="72">
        <f t="shared" si="0"/>
        <v>-753224.3</v>
      </c>
      <c r="AL63" s="72">
        <f t="shared" si="1"/>
        <v>-361314.6</v>
      </c>
      <c r="AM63">
        <v>-1</v>
      </c>
      <c r="AO63" s="102">
        <f t="shared" si="2"/>
        <v>12164400</v>
      </c>
      <c r="AP63" s="103">
        <f t="shared" si="3"/>
        <v>11904188</v>
      </c>
      <c r="AQ63" s="101">
        <f t="shared" si="4"/>
        <v>1052898</v>
      </c>
      <c r="AR63" s="104">
        <f t="shared" si="5"/>
        <v>750480</v>
      </c>
    </row>
    <row r="64" spans="1:44">
      <c r="A64" s="14" t="s">
        <v>1224</v>
      </c>
      <c r="B64" s="15" t="s">
        <v>1225</v>
      </c>
      <c r="C64" s="14" t="s">
        <v>1220</v>
      </c>
      <c r="D64" s="14">
        <v>19</v>
      </c>
      <c r="E64" s="15" t="s">
        <v>1233</v>
      </c>
      <c r="F64" s="15" t="s">
        <v>1007</v>
      </c>
      <c r="G64" s="14" t="s">
        <v>1008</v>
      </c>
      <c r="H64" s="14"/>
      <c r="I64" s="14"/>
      <c r="J64" s="16">
        <v>515.21</v>
      </c>
      <c r="K64" s="66">
        <v>270892</v>
      </c>
      <c r="L64" s="66">
        <v>403750</v>
      </c>
      <c r="M64" s="28">
        <v>674642</v>
      </c>
      <c r="N64" s="64">
        <v>3226624</v>
      </c>
      <c r="O64" s="64">
        <v>136773</v>
      </c>
      <c r="P64" s="64">
        <v>8513</v>
      </c>
      <c r="Q64" s="28">
        <v>3371910</v>
      </c>
      <c r="R64" s="62">
        <v>183097</v>
      </c>
      <c r="S64" s="28">
        <v>4229649</v>
      </c>
      <c r="T64" s="81">
        <v>217716</v>
      </c>
      <c r="U64" s="81">
        <v>174600</v>
      </c>
      <c r="V64" s="81">
        <v>414</v>
      </c>
      <c r="W64" s="81">
        <v>578963</v>
      </c>
      <c r="X64" s="28">
        <v>5201343</v>
      </c>
      <c r="Y64" s="28">
        <v>827631</v>
      </c>
      <c r="Z64" s="28">
        <v>705848</v>
      </c>
      <c r="AA64" s="28">
        <v>3435262</v>
      </c>
      <c r="AB64" s="28">
        <v>232603</v>
      </c>
      <c r="AC64" s="40" t="s">
        <v>184</v>
      </c>
      <c r="AD64" s="41">
        <v>195</v>
      </c>
      <c r="AE64" s="42">
        <v>1</v>
      </c>
      <c r="AF64" s="40" t="s">
        <v>1007</v>
      </c>
      <c r="AG64" s="68">
        <v>6081.78</v>
      </c>
      <c r="AH64" s="42">
        <v>1</v>
      </c>
      <c r="AI64" s="40" t="s">
        <v>1007</v>
      </c>
      <c r="AJ64" s="70">
        <v>0</v>
      </c>
      <c r="AK64" s="72">
        <f t="shared" si="0"/>
        <v>-6081.78</v>
      </c>
      <c r="AL64" s="72">
        <f t="shared" si="1"/>
        <v>0</v>
      </c>
      <c r="AM64">
        <v>-1</v>
      </c>
      <c r="AO64" s="102">
        <f t="shared" si="2"/>
        <v>556739</v>
      </c>
      <c r="AP64" s="103">
        <f t="shared" si="3"/>
        <v>302098</v>
      </c>
      <c r="AQ64" s="101">
        <f t="shared" si="4"/>
        <v>63352</v>
      </c>
      <c r="AR64" s="104">
        <f t="shared" si="5"/>
        <v>49506</v>
      </c>
    </row>
    <row r="65" spans="1:44">
      <c r="A65" s="14" t="s">
        <v>1224</v>
      </c>
      <c r="B65" s="15" t="s">
        <v>1225</v>
      </c>
      <c r="C65" s="14" t="s">
        <v>1220</v>
      </c>
      <c r="D65" s="14">
        <v>19</v>
      </c>
      <c r="E65" s="15" t="s">
        <v>1233</v>
      </c>
      <c r="F65" s="15" t="s">
        <v>1009</v>
      </c>
      <c r="G65" s="14" t="s">
        <v>1010</v>
      </c>
      <c r="H65" s="14"/>
      <c r="I65" s="14"/>
      <c r="J65" s="16">
        <v>28012.97</v>
      </c>
      <c r="K65" s="66">
        <v>41716260</v>
      </c>
      <c r="L65" s="66">
        <v>11884444</v>
      </c>
      <c r="M65" s="28">
        <v>53600704</v>
      </c>
      <c r="N65" s="64">
        <v>170354349</v>
      </c>
      <c r="O65" s="64">
        <v>24036008</v>
      </c>
      <c r="P65" s="64">
        <v>4820871</v>
      </c>
      <c r="Q65" s="28">
        <v>199211228</v>
      </c>
      <c r="R65" s="62">
        <v>7700666</v>
      </c>
      <c r="S65" s="28">
        <v>260512598</v>
      </c>
      <c r="T65" s="81">
        <v>10340585</v>
      </c>
      <c r="U65" s="81">
        <v>7663825</v>
      </c>
      <c r="V65" s="81">
        <v>9497117</v>
      </c>
      <c r="W65" s="81">
        <v>23770647</v>
      </c>
      <c r="X65" s="28">
        <v>311784773</v>
      </c>
      <c r="Y65" s="28">
        <v>73738983</v>
      </c>
      <c r="Z65" s="28">
        <v>25365488</v>
      </c>
      <c r="AA65" s="28">
        <v>202416935</v>
      </c>
      <c r="AB65" s="28">
        <v>10263367</v>
      </c>
      <c r="AC65" s="40" t="s">
        <v>184</v>
      </c>
      <c r="AD65" s="41">
        <v>196</v>
      </c>
      <c r="AE65" s="42">
        <v>1</v>
      </c>
      <c r="AF65" s="40" t="s">
        <v>1009</v>
      </c>
      <c r="AG65" s="68">
        <v>1760309.99</v>
      </c>
      <c r="AH65" s="42">
        <v>1</v>
      </c>
      <c r="AI65" s="40" t="s">
        <v>1009</v>
      </c>
      <c r="AJ65" s="70">
        <v>962090.99</v>
      </c>
      <c r="AK65" s="72">
        <f t="shared" si="0"/>
        <v>-1760309.99</v>
      </c>
      <c r="AL65" s="72">
        <f t="shared" si="1"/>
        <v>-962090.99</v>
      </c>
      <c r="AM65">
        <v>-1</v>
      </c>
      <c r="AO65" s="102">
        <f t="shared" si="2"/>
        <v>32022723</v>
      </c>
      <c r="AP65" s="103">
        <f t="shared" si="3"/>
        <v>13481044</v>
      </c>
      <c r="AQ65" s="101">
        <f t="shared" si="4"/>
        <v>3205707</v>
      </c>
      <c r="AR65" s="104">
        <f t="shared" si="5"/>
        <v>2562701</v>
      </c>
    </row>
    <row r="66" spans="1:44">
      <c r="A66" s="14" t="s">
        <v>1224</v>
      </c>
      <c r="B66" s="15" t="s">
        <v>1225</v>
      </c>
      <c r="C66" s="14" t="s">
        <v>1220</v>
      </c>
      <c r="D66" s="14">
        <v>19</v>
      </c>
      <c r="E66" s="15" t="s">
        <v>1233</v>
      </c>
      <c r="F66" s="15" t="s">
        <v>1011</v>
      </c>
      <c r="G66" s="14" t="s">
        <v>1012</v>
      </c>
      <c r="H66" s="14"/>
      <c r="I66" s="14"/>
      <c r="J66" s="16">
        <v>4588.46</v>
      </c>
      <c r="K66" s="66">
        <v>9209104</v>
      </c>
      <c r="L66" s="66">
        <v>1829182</v>
      </c>
      <c r="M66" s="28">
        <v>11038286</v>
      </c>
      <c r="N66" s="64">
        <v>27486297</v>
      </c>
      <c r="O66" s="64">
        <v>3920776</v>
      </c>
      <c r="P66" s="64">
        <v>1201714</v>
      </c>
      <c r="Q66" s="28">
        <v>32608787</v>
      </c>
      <c r="R66" s="62">
        <v>1947654</v>
      </c>
      <c r="S66" s="28">
        <v>45594727</v>
      </c>
      <c r="T66" s="81">
        <v>2257197</v>
      </c>
      <c r="U66" s="81">
        <v>2911059</v>
      </c>
      <c r="V66" s="81">
        <v>674385</v>
      </c>
      <c r="W66" s="81">
        <v>7957906</v>
      </c>
      <c r="X66" s="28">
        <v>59395274</v>
      </c>
      <c r="Y66" s="28">
        <v>17430889</v>
      </c>
      <c r="Z66" s="28">
        <v>5484907</v>
      </c>
      <c r="AA66" s="28">
        <v>33779258</v>
      </c>
      <c r="AB66" s="28">
        <v>2700220</v>
      </c>
      <c r="AC66" s="40" t="s">
        <v>184</v>
      </c>
      <c r="AD66" s="41">
        <v>197</v>
      </c>
      <c r="AE66" s="42">
        <v>1</v>
      </c>
      <c r="AF66" s="40" t="s">
        <v>1011</v>
      </c>
      <c r="AG66" s="68">
        <v>611642</v>
      </c>
      <c r="AH66" s="42">
        <v>1</v>
      </c>
      <c r="AI66" s="40" t="s">
        <v>1011</v>
      </c>
      <c r="AJ66" s="70">
        <v>60000</v>
      </c>
      <c r="AK66" s="72">
        <f t="shared" si="0"/>
        <v>-611642</v>
      </c>
      <c r="AL66" s="72">
        <f t="shared" si="1"/>
        <v>-60000</v>
      </c>
      <c r="AM66">
        <v>-1</v>
      </c>
      <c r="AO66" s="102">
        <f t="shared" si="2"/>
        <v>8221785</v>
      </c>
      <c r="AP66" s="103">
        <f t="shared" si="3"/>
        <v>3655725</v>
      </c>
      <c r="AQ66" s="101">
        <f t="shared" si="4"/>
        <v>1170471</v>
      </c>
      <c r="AR66" s="104">
        <f t="shared" si="5"/>
        <v>752566</v>
      </c>
    </row>
    <row r="67" spans="1:44">
      <c r="A67" s="14" t="s">
        <v>1224</v>
      </c>
      <c r="B67" s="15" t="s">
        <v>1225</v>
      </c>
      <c r="C67" s="14" t="s">
        <v>1220</v>
      </c>
      <c r="D67" s="14">
        <v>19</v>
      </c>
      <c r="E67" s="15" t="s">
        <v>1233</v>
      </c>
      <c r="F67" s="15" t="s">
        <v>1013</v>
      </c>
      <c r="G67" s="14" t="s">
        <v>1014</v>
      </c>
      <c r="H67" s="14"/>
      <c r="I67" s="14"/>
      <c r="J67" s="16">
        <v>3832.08</v>
      </c>
      <c r="K67" s="66">
        <v>5966832</v>
      </c>
      <c r="L67" s="66">
        <v>1759201</v>
      </c>
      <c r="M67" s="28">
        <v>7726033</v>
      </c>
      <c r="N67" s="64">
        <v>23072691</v>
      </c>
      <c r="O67" s="64">
        <v>3300444</v>
      </c>
      <c r="P67" s="64">
        <v>578935</v>
      </c>
      <c r="Q67" s="28">
        <v>26952070</v>
      </c>
      <c r="R67" s="62">
        <v>1359033</v>
      </c>
      <c r="S67" s="28">
        <v>36037136</v>
      </c>
      <c r="T67" s="81">
        <v>1707604</v>
      </c>
      <c r="U67" s="81">
        <v>1907024</v>
      </c>
      <c r="V67" s="81">
        <v>1191034</v>
      </c>
      <c r="W67" s="81">
        <v>2510507</v>
      </c>
      <c r="X67" s="28">
        <v>43353305</v>
      </c>
      <c r="Y67" s="28">
        <v>8614665</v>
      </c>
      <c r="Z67" s="28">
        <v>5544135</v>
      </c>
      <c r="AA67" s="28">
        <v>27297877</v>
      </c>
      <c r="AB67" s="28">
        <v>1896628</v>
      </c>
      <c r="AC67" s="40" t="s">
        <v>184</v>
      </c>
      <c r="AD67" s="41">
        <v>199</v>
      </c>
      <c r="AE67" s="42">
        <v>1</v>
      </c>
      <c r="AF67" s="40" t="s">
        <v>1013</v>
      </c>
      <c r="AG67" s="68">
        <v>223711.66</v>
      </c>
      <c r="AH67" s="42">
        <v>1</v>
      </c>
      <c r="AI67" s="40" t="s">
        <v>1013</v>
      </c>
      <c r="AJ67" s="70">
        <v>0</v>
      </c>
      <c r="AK67" s="72">
        <f t="shared" si="0"/>
        <v>-223711.66</v>
      </c>
      <c r="AL67" s="72">
        <f t="shared" si="1"/>
        <v>0</v>
      </c>
      <c r="AM67">
        <v>-1</v>
      </c>
      <c r="AO67" s="102">
        <f t="shared" si="2"/>
        <v>2647833</v>
      </c>
      <c r="AP67" s="103">
        <f t="shared" si="3"/>
        <v>3784934</v>
      </c>
      <c r="AQ67" s="101">
        <f t="shared" si="4"/>
        <v>345807</v>
      </c>
      <c r="AR67" s="104">
        <f t="shared" si="5"/>
        <v>537595</v>
      </c>
    </row>
    <row r="68" spans="1:44">
      <c r="A68" s="14" t="s">
        <v>1224</v>
      </c>
      <c r="B68" s="15" t="s">
        <v>1225</v>
      </c>
      <c r="C68" s="14" t="s">
        <v>1220</v>
      </c>
      <c r="D68" s="14">
        <v>19</v>
      </c>
      <c r="E68" s="15" t="s">
        <v>1233</v>
      </c>
      <c r="F68" s="15" t="s">
        <v>1015</v>
      </c>
      <c r="G68" s="14" t="s">
        <v>1016</v>
      </c>
      <c r="H68" s="14"/>
      <c r="I68" s="14"/>
      <c r="J68" s="16">
        <v>5150.79</v>
      </c>
      <c r="K68" s="66">
        <v>8249743</v>
      </c>
      <c r="L68" s="66">
        <v>2423370</v>
      </c>
      <c r="M68" s="28">
        <v>10673113</v>
      </c>
      <c r="N68" s="64">
        <v>31768166</v>
      </c>
      <c r="O68" s="64">
        <v>4072692</v>
      </c>
      <c r="P68" s="64">
        <v>393309</v>
      </c>
      <c r="Q68" s="28">
        <v>36234167</v>
      </c>
      <c r="R68" s="62">
        <v>1471743</v>
      </c>
      <c r="S68" s="28">
        <v>48379023</v>
      </c>
      <c r="T68" s="81">
        <v>2232216</v>
      </c>
      <c r="U68" s="81">
        <v>2138763</v>
      </c>
      <c r="V68" s="81">
        <v>175328</v>
      </c>
      <c r="W68" s="81">
        <v>5323740</v>
      </c>
      <c r="X68" s="28">
        <v>58249068</v>
      </c>
      <c r="Y68" s="28">
        <v>12503220</v>
      </c>
      <c r="Z68" s="28">
        <v>6805402</v>
      </c>
      <c r="AA68" s="28">
        <v>36891103</v>
      </c>
      <c r="AB68" s="28">
        <v>2049343</v>
      </c>
      <c r="AC68" s="40" t="s">
        <v>184</v>
      </c>
      <c r="AD68" s="41">
        <v>200</v>
      </c>
      <c r="AE68" s="42">
        <v>1</v>
      </c>
      <c r="AF68" s="40" t="s">
        <v>1015</v>
      </c>
      <c r="AG68" s="68">
        <v>321049.07</v>
      </c>
      <c r="AH68" s="42">
        <v>1</v>
      </c>
      <c r="AI68" s="40" t="s">
        <v>1015</v>
      </c>
      <c r="AJ68" s="70">
        <v>205663.31</v>
      </c>
      <c r="AK68" s="72">
        <f t="shared" si="0"/>
        <v>-321049.07</v>
      </c>
      <c r="AL68" s="72">
        <f t="shared" si="1"/>
        <v>-205663.31</v>
      </c>
      <c r="AM68">
        <v>-1</v>
      </c>
      <c r="AO68" s="102">
        <f t="shared" si="2"/>
        <v>4253477</v>
      </c>
      <c r="AP68" s="103">
        <f t="shared" si="3"/>
        <v>4382032</v>
      </c>
      <c r="AQ68" s="101">
        <f t="shared" si="4"/>
        <v>656936</v>
      </c>
      <c r="AR68" s="104">
        <f t="shared" si="5"/>
        <v>577600</v>
      </c>
    </row>
    <row r="69" spans="1:44">
      <c r="A69" s="14" t="s">
        <v>1017</v>
      </c>
      <c r="B69" s="15" t="s">
        <v>1018</v>
      </c>
      <c r="C69" s="14" t="s">
        <v>1220</v>
      </c>
      <c r="D69" s="14">
        <v>20</v>
      </c>
      <c r="E69" s="15" t="s">
        <v>1019</v>
      </c>
      <c r="F69" s="15" t="s">
        <v>1020</v>
      </c>
      <c r="G69" s="14" t="s">
        <v>1021</v>
      </c>
      <c r="H69" s="14"/>
      <c r="I69" s="14"/>
      <c r="J69" s="16">
        <v>894.63</v>
      </c>
      <c r="K69" s="66">
        <v>427593</v>
      </c>
      <c r="L69" s="66">
        <v>260697</v>
      </c>
      <c r="M69" s="28">
        <v>688290</v>
      </c>
      <c r="N69" s="64">
        <v>5856191</v>
      </c>
      <c r="O69" s="64">
        <v>449395</v>
      </c>
      <c r="P69" s="64">
        <v>36955</v>
      </c>
      <c r="Q69" s="28">
        <v>6342541</v>
      </c>
      <c r="R69" s="62">
        <v>95110</v>
      </c>
      <c r="S69" s="28">
        <v>7125941</v>
      </c>
      <c r="T69" s="81">
        <v>385024</v>
      </c>
      <c r="U69" s="81">
        <v>158601</v>
      </c>
      <c r="V69" s="81">
        <v>0</v>
      </c>
      <c r="W69" s="81">
        <v>605990</v>
      </c>
      <c r="X69" s="28">
        <v>8275553</v>
      </c>
      <c r="Y69" s="28">
        <v>1001217</v>
      </c>
      <c r="Z69" s="28">
        <v>600157</v>
      </c>
      <c r="AA69" s="28">
        <v>6473012</v>
      </c>
      <c r="AB69" s="28">
        <v>201168</v>
      </c>
      <c r="AC69" s="40" t="s">
        <v>184</v>
      </c>
      <c r="AD69" s="41">
        <v>203</v>
      </c>
      <c r="AE69" s="42">
        <v>1</v>
      </c>
      <c r="AF69" s="40" t="s">
        <v>1020</v>
      </c>
      <c r="AG69" s="68">
        <v>42389.23</v>
      </c>
      <c r="AH69" s="42">
        <v>1</v>
      </c>
      <c r="AI69" s="40" t="s">
        <v>1020</v>
      </c>
      <c r="AJ69" s="70">
        <v>0</v>
      </c>
      <c r="AK69" s="72">
        <f t="shared" si="0"/>
        <v>-42389.23</v>
      </c>
      <c r="AL69" s="72">
        <f t="shared" si="1"/>
        <v>0</v>
      </c>
      <c r="AM69">
        <v>-1</v>
      </c>
      <c r="AO69" s="102">
        <f t="shared" si="2"/>
        <v>573624</v>
      </c>
      <c r="AP69" s="103">
        <f t="shared" si="3"/>
        <v>339460</v>
      </c>
      <c r="AQ69" s="101">
        <f t="shared" si="4"/>
        <v>130471</v>
      </c>
      <c r="AR69" s="104">
        <f t="shared" si="5"/>
        <v>106058</v>
      </c>
    </row>
    <row r="70" spans="1:44">
      <c r="A70" s="14" t="s">
        <v>1017</v>
      </c>
      <c r="B70" s="15" t="s">
        <v>1018</v>
      </c>
      <c r="C70" s="14" t="s">
        <v>1220</v>
      </c>
      <c r="D70" s="14">
        <v>20</v>
      </c>
      <c r="E70" s="15" t="s">
        <v>1019</v>
      </c>
      <c r="F70" s="15" t="s">
        <v>1022</v>
      </c>
      <c r="G70" s="14" t="s">
        <v>1023</v>
      </c>
      <c r="H70" s="14"/>
      <c r="I70" s="14"/>
      <c r="J70" s="16">
        <v>2009.91</v>
      </c>
      <c r="K70" s="66">
        <v>808867</v>
      </c>
      <c r="L70" s="66">
        <v>720140</v>
      </c>
      <c r="M70" s="28">
        <v>1529007</v>
      </c>
      <c r="N70" s="64">
        <v>12493249</v>
      </c>
      <c r="O70" s="64">
        <v>649194</v>
      </c>
      <c r="P70" s="64">
        <v>64999</v>
      </c>
      <c r="Q70" s="28">
        <v>13207442</v>
      </c>
      <c r="R70" s="62">
        <v>110250</v>
      </c>
      <c r="S70" s="28">
        <v>14846699</v>
      </c>
      <c r="T70" s="81">
        <v>736593</v>
      </c>
      <c r="U70" s="81">
        <v>644662</v>
      </c>
      <c r="V70" s="81">
        <v>382</v>
      </c>
      <c r="W70" s="81">
        <v>998617</v>
      </c>
      <c r="X70" s="28">
        <v>17226953</v>
      </c>
      <c r="Y70" s="28">
        <v>1715400</v>
      </c>
      <c r="Z70" s="28">
        <v>1771118</v>
      </c>
      <c r="AA70" s="28">
        <v>13488073</v>
      </c>
      <c r="AB70" s="28">
        <v>252362</v>
      </c>
      <c r="AC70" s="40" t="s">
        <v>184</v>
      </c>
      <c r="AD70" s="41">
        <v>204</v>
      </c>
      <c r="AE70" s="42">
        <v>1</v>
      </c>
      <c r="AF70" s="40" t="s">
        <v>1022</v>
      </c>
      <c r="AG70" s="68">
        <v>150217.73000000001</v>
      </c>
      <c r="AH70" s="42">
        <v>1</v>
      </c>
      <c r="AI70" s="40" t="s">
        <v>1022</v>
      </c>
      <c r="AJ70" s="70">
        <v>0</v>
      </c>
      <c r="AK70" s="72">
        <f t="shared" si="0"/>
        <v>-150217.73000000001</v>
      </c>
      <c r="AL70" s="72">
        <f t="shared" si="1"/>
        <v>0</v>
      </c>
      <c r="AM70">
        <v>-1</v>
      </c>
      <c r="AO70" s="102">
        <f t="shared" si="2"/>
        <v>906533</v>
      </c>
      <c r="AP70" s="103">
        <f t="shared" si="3"/>
        <v>1050978</v>
      </c>
      <c r="AQ70" s="101">
        <f t="shared" si="4"/>
        <v>280631</v>
      </c>
      <c r="AR70" s="104">
        <f t="shared" si="5"/>
        <v>142112</v>
      </c>
    </row>
    <row r="71" spans="1:44">
      <c r="A71" s="14" t="s">
        <v>1249</v>
      </c>
      <c r="B71" s="15" t="s">
        <v>1250</v>
      </c>
      <c r="C71" s="14" t="s">
        <v>1220</v>
      </c>
      <c r="D71" s="14">
        <v>21</v>
      </c>
      <c r="E71" s="15" t="s">
        <v>1024</v>
      </c>
      <c r="F71" s="15" t="s">
        <v>1025</v>
      </c>
      <c r="G71" s="14" t="s">
        <v>1026</v>
      </c>
      <c r="H71" s="14"/>
      <c r="I71" s="14"/>
      <c r="J71" s="16">
        <v>4106.72</v>
      </c>
      <c r="K71" s="66">
        <v>3588054</v>
      </c>
      <c r="L71" s="66">
        <v>1629829</v>
      </c>
      <c r="M71" s="28">
        <v>5217883</v>
      </c>
      <c r="N71" s="64">
        <v>26073764</v>
      </c>
      <c r="O71" s="64">
        <v>2418635</v>
      </c>
      <c r="P71" s="64">
        <v>587388</v>
      </c>
      <c r="Q71" s="28">
        <v>29079787</v>
      </c>
      <c r="R71" s="62">
        <v>1484165</v>
      </c>
      <c r="S71" s="28">
        <v>35781835</v>
      </c>
      <c r="T71" s="81">
        <v>1707778</v>
      </c>
      <c r="U71" s="81">
        <v>1342129</v>
      </c>
      <c r="V71" s="81">
        <v>0</v>
      </c>
      <c r="W71" s="81">
        <v>1742896</v>
      </c>
      <c r="X71" s="28">
        <v>40574637</v>
      </c>
      <c r="Y71" s="28">
        <v>5501126</v>
      </c>
      <c r="Z71" s="28">
        <v>3292354</v>
      </c>
      <c r="AA71" s="28">
        <v>29732606</v>
      </c>
      <c r="AB71" s="28">
        <v>2048551</v>
      </c>
      <c r="AC71" s="40" t="s">
        <v>184</v>
      </c>
      <c r="AD71" s="41">
        <v>206</v>
      </c>
      <c r="AE71" s="42">
        <v>1</v>
      </c>
      <c r="AF71" s="40" t="s">
        <v>1025</v>
      </c>
      <c r="AG71" s="68">
        <v>346830.36</v>
      </c>
      <c r="AH71" s="42">
        <v>1</v>
      </c>
      <c r="AI71" s="40" t="s">
        <v>1025</v>
      </c>
      <c r="AJ71" s="70">
        <v>312775.46999999997</v>
      </c>
      <c r="AK71" s="72">
        <f t="shared" ref="AK71:AK134" si="6">AG71*AM71</f>
        <v>-346830.36</v>
      </c>
      <c r="AL71" s="72">
        <f t="shared" ref="AL71:AL134" si="7">AJ71*AM71</f>
        <v>-312775.46999999997</v>
      </c>
      <c r="AM71">
        <v>-1</v>
      </c>
      <c r="AO71" s="102">
        <f t="shared" ref="AO71:AO134" si="8">Y71-K71</f>
        <v>1913072</v>
      </c>
      <c r="AP71" s="103">
        <f t="shared" ref="AP71:AP134" si="9">Z71-L71</f>
        <v>1662525</v>
      </c>
      <c r="AQ71" s="101">
        <f t="shared" ref="AQ71:AQ134" si="10">AA71-Q71</f>
        <v>652819</v>
      </c>
      <c r="AR71" s="104">
        <f t="shared" ref="AR71:AR134" si="11">AB71-R71</f>
        <v>564386</v>
      </c>
    </row>
    <row r="72" spans="1:44">
      <c r="A72" s="14" t="s">
        <v>1249</v>
      </c>
      <c r="B72" s="15" t="s">
        <v>1250</v>
      </c>
      <c r="C72" s="14" t="s">
        <v>1220</v>
      </c>
      <c r="D72" s="14">
        <v>21</v>
      </c>
      <c r="E72" s="15" t="s">
        <v>1024</v>
      </c>
      <c r="F72" s="15" t="s">
        <v>1027</v>
      </c>
      <c r="G72" s="14" t="s">
        <v>1028</v>
      </c>
      <c r="H72" s="14"/>
      <c r="I72" s="14"/>
      <c r="J72" s="16">
        <v>305.89999999999998</v>
      </c>
      <c r="K72" s="66">
        <v>230658</v>
      </c>
      <c r="L72" s="66">
        <v>196293</v>
      </c>
      <c r="M72" s="28">
        <v>426951</v>
      </c>
      <c r="N72" s="64">
        <v>2092230</v>
      </c>
      <c r="O72" s="64">
        <v>57055</v>
      </c>
      <c r="P72" s="64">
        <v>19454</v>
      </c>
      <c r="Q72" s="28">
        <v>2168739</v>
      </c>
      <c r="R72" s="62">
        <v>74864</v>
      </c>
      <c r="S72" s="28">
        <v>2670554</v>
      </c>
      <c r="T72" s="81">
        <v>119719</v>
      </c>
      <c r="U72" s="81">
        <v>120951</v>
      </c>
      <c r="V72" s="81">
        <v>0</v>
      </c>
      <c r="W72" s="81">
        <v>0</v>
      </c>
      <c r="X72" s="28">
        <v>2911224</v>
      </c>
      <c r="Y72" s="28">
        <v>245551</v>
      </c>
      <c r="Z72" s="28">
        <v>357515</v>
      </c>
      <c r="AA72" s="28">
        <v>2189614</v>
      </c>
      <c r="AB72" s="28">
        <v>118544</v>
      </c>
      <c r="AC72" s="40" t="s">
        <v>184</v>
      </c>
      <c r="AD72" s="41">
        <v>207</v>
      </c>
      <c r="AE72" s="42">
        <v>1</v>
      </c>
      <c r="AF72" s="40" t="s">
        <v>1027</v>
      </c>
      <c r="AG72" s="68">
        <v>61861.72</v>
      </c>
      <c r="AH72" s="42">
        <v>1</v>
      </c>
      <c r="AI72" s="40" t="s">
        <v>1027</v>
      </c>
      <c r="AJ72" s="70">
        <v>0</v>
      </c>
      <c r="AK72" s="72">
        <f t="shared" si="6"/>
        <v>-61861.72</v>
      </c>
      <c r="AL72" s="72">
        <f t="shared" si="7"/>
        <v>0</v>
      </c>
      <c r="AM72">
        <v>-1</v>
      </c>
      <c r="AO72" s="102">
        <f t="shared" si="8"/>
        <v>14893</v>
      </c>
      <c r="AP72" s="103">
        <f t="shared" si="9"/>
        <v>161222</v>
      </c>
      <c r="AQ72" s="101">
        <f t="shared" si="10"/>
        <v>20875</v>
      </c>
      <c r="AR72" s="104">
        <f t="shared" si="11"/>
        <v>43680</v>
      </c>
    </row>
    <row r="73" spans="1:44">
      <c r="A73" s="14" t="s">
        <v>1249</v>
      </c>
      <c r="B73" s="15" t="s">
        <v>1250</v>
      </c>
      <c r="C73" s="14" t="s">
        <v>1220</v>
      </c>
      <c r="D73" s="14">
        <v>21</v>
      </c>
      <c r="E73" s="15" t="s">
        <v>1024</v>
      </c>
      <c r="F73" s="15" t="s">
        <v>1029</v>
      </c>
      <c r="G73" s="14" t="s">
        <v>1030</v>
      </c>
      <c r="H73" s="14"/>
      <c r="I73" s="14"/>
      <c r="J73" s="16">
        <v>183.86</v>
      </c>
      <c r="K73" s="66">
        <v>329229</v>
      </c>
      <c r="L73" s="66">
        <v>93577</v>
      </c>
      <c r="M73" s="28">
        <v>422806</v>
      </c>
      <c r="N73" s="64">
        <v>1300540</v>
      </c>
      <c r="O73" s="64">
        <v>24035</v>
      </c>
      <c r="P73" s="64">
        <v>10523</v>
      </c>
      <c r="Q73" s="28">
        <v>1335098</v>
      </c>
      <c r="R73" s="62">
        <v>56832</v>
      </c>
      <c r="S73" s="28">
        <v>1814736</v>
      </c>
      <c r="T73" s="81">
        <v>73757</v>
      </c>
      <c r="U73" s="81">
        <v>43872</v>
      </c>
      <c r="V73" s="81">
        <v>0</v>
      </c>
      <c r="W73" s="81">
        <v>0</v>
      </c>
      <c r="X73" s="28">
        <v>1932364</v>
      </c>
      <c r="Y73" s="28">
        <v>345705</v>
      </c>
      <c r="Z73" s="28">
        <v>133028</v>
      </c>
      <c r="AA73" s="28">
        <v>1356624</v>
      </c>
      <c r="AB73" s="28">
        <v>97007</v>
      </c>
      <c r="AC73" s="40" t="s">
        <v>184</v>
      </c>
      <c r="AD73" s="41">
        <v>208</v>
      </c>
      <c r="AE73" s="42">
        <v>1</v>
      </c>
      <c r="AF73" s="40" t="s">
        <v>1029</v>
      </c>
      <c r="AG73" s="68">
        <v>25513.87</v>
      </c>
      <c r="AH73" s="42">
        <v>1</v>
      </c>
      <c r="AI73" s="40" t="s">
        <v>1029</v>
      </c>
      <c r="AJ73" s="70">
        <v>0</v>
      </c>
      <c r="AK73" s="72">
        <f t="shared" si="6"/>
        <v>-25513.87</v>
      </c>
      <c r="AL73" s="72">
        <f t="shared" si="7"/>
        <v>0</v>
      </c>
      <c r="AM73">
        <v>-1</v>
      </c>
      <c r="AO73" s="102">
        <f t="shared" si="8"/>
        <v>16476</v>
      </c>
      <c r="AP73" s="103">
        <f t="shared" si="9"/>
        <v>39451</v>
      </c>
      <c r="AQ73" s="101">
        <f t="shared" si="10"/>
        <v>21526</v>
      </c>
      <c r="AR73" s="104">
        <f t="shared" si="11"/>
        <v>40175</v>
      </c>
    </row>
    <row r="74" spans="1:44">
      <c r="A74" s="14" t="s">
        <v>1249</v>
      </c>
      <c r="B74" s="15" t="s">
        <v>1250</v>
      </c>
      <c r="C74" s="14" t="s">
        <v>1220</v>
      </c>
      <c r="D74" s="14">
        <v>21</v>
      </c>
      <c r="E74" s="15" t="s">
        <v>1024</v>
      </c>
      <c r="F74" s="15" t="s">
        <v>1031</v>
      </c>
      <c r="G74" s="14" t="s">
        <v>1032</v>
      </c>
      <c r="H74" s="14"/>
      <c r="I74" s="14"/>
      <c r="J74" s="16">
        <v>727.35</v>
      </c>
      <c r="K74" s="66">
        <v>148256</v>
      </c>
      <c r="L74" s="66">
        <v>348962</v>
      </c>
      <c r="M74" s="28">
        <v>497218</v>
      </c>
      <c r="N74" s="64">
        <v>4688569</v>
      </c>
      <c r="O74" s="64">
        <v>201627</v>
      </c>
      <c r="P74" s="64">
        <v>113797</v>
      </c>
      <c r="Q74" s="28">
        <v>5003993</v>
      </c>
      <c r="R74" s="62">
        <v>181825</v>
      </c>
      <c r="S74" s="28">
        <v>5683036</v>
      </c>
      <c r="T74" s="81">
        <v>259318</v>
      </c>
      <c r="U74" s="81">
        <v>68232</v>
      </c>
      <c r="V74" s="81">
        <v>0</v>
      </c>
      <c r="W74" s="81">
        <v>971216</v>
      </c>
      <c r="X74" s="28">
        <v>6981802</v>
      </c>
      <c r="Y74" s="28">
        <v>983629</v>
      </c>
      <c r="Z74" s="28">
        <v>496679</v>
      </c>
      <c r="AA74" s="28">
        <v>5199463</v>
      </c>
      <c r="AB74" s="28">
        <v>302031</v>
      </c>
      <c r="AC74" s="40" t="s">
        <v>184</v>
      </c>
      <c r="AD74" s="41">
        <v>213</v>
      </c>
      <c r="AE74" s="42">
        <v>1</v>
      </c>
      <c r="AF74" s="40" t="s">
        <v>1031</v>
      </c>
      <c r="AG74" s="68">
        <v>44152.22</v>
      </c>
      <c r="AH74" s="42">
        <v>1</v>
      </c>
      <c r="AI74" s="40" t="s">
        <v>1031</v>
      </c>
      <c r="AJ74" s="70">
        <v>0</v>
      </c>
      <c r="AK74" s="72">
        <f t="shared" si="6"/>
        <v>-44152.22</v>
      </c>
      <c r="AL74" s="72">
        <f t="shared" si="7"/>
        <v>0</v>
      </c>
      <c r="AM74">
        <v>-1</v>
      </c>
      <c r="AO74" s="102">
        <f t="shared" si="8"/>
        <v>835373</v>
      </c>
      <c r="AP74" s="103">
        <f t="shared" si="9"/>
        <v>147717</v>
      </c>
      <c r="AQ74" s="101">
        <f t="shared" si="10"/>
        <v>195470</v>
      </c>
      <c r="AR74" s="104">
        <f t="shared" si="11"/>
        <v>120206</v>
      </c>
    </row>
    <row r="75" spans="1:44">
      <c r="A75" s="14" t="s">
        <v>1017</v>
      </c>
      <c r="B75" s="15" t="s">
        <v>1018</v>
      </c>
      <c r="C75" s="14" t="s">
        <v>1220</v>
      </c>
      <c r="D75" s="14">
        <v>55</v>
      </c>
      <c r="E75" s="15" t="s">
        <v>1033</v>
      </c>
      <c r="F75" s="15" t="s">
        <v>1034</v>
      </c>
      <c r="G75" s="14" t="s">
        <v>1035</v>
      </c>
      <c r="H75" s="14"/>
      <c r="I75" s="14"/>
      <c r="J75" s="16">
        <v>886.51</v>
      </c>
      <c r="K75" s="66">
        <v>645433</v>
      </c>
      <c r="L75" s="66">
        <v>302525</v>
      </c>
      <c r="M75" s="28">
        <v>947958</v>
      </c>
      <c r="N75" s="64">
        <v>5750259</v>
      </c>
      <c r="O75" s="64">
        <v>336413</v>
      </c>
      <c r="P75" s="64">
        <v>53950</v>
      </c>
      <c r="Q75" s="28">
        <v>6140622</v>
      </c>
      <c r="R75" s="62">
        <v>61363</v>
      </c>
      <c r="S75" s="28">
        <v>7149943</v>
      </c>
      <c r="T75" s="81">
        <v>380123</v>
      </c>
      <c r="U75" s="81">
        <v>369219</v>
      </c>
      <c r="V75" s="81">
        <v>0</v>
      </c>
      <c r="W75" s="81">
        <v>139837</v>
      </c>
      <c r="X75" s="28">
        <v>8039122</v>
      </c>
      <c r="Y75" s="28">
        <v>825254</v>
      </c>
      <c r="Z75" s="28">
        <v>850044</v>
      </c>
      <c r="AA75" s="28">
        <v>6204979</v>
      </c>
      <c r="AB75" s="28">
        <v>158845</v>
      </c>
      <c r="AC75" s="40" t="s">
        <v>184</v>
      </c>
      <c r="AD75" s="41">
        <v>227</v>
      </c>
      <c r="AE75" s="42">
        <v>1</v>
      </c>
      <c r="AF75" s="40" t="s">
        <v>1034</v>
      </c>
      <c r="AG75" s="68">
        <v>108664.09</v>
      </c>
      <c r="AH75" s="42">
        <v>1</v>
      </c>
      <c r="AI75" s="40" t="s">
        <v>1034</v>
      </c>
      <c r="AJ75" s="70">
        <v>0</v>
      </c>
      <c r="AK75" s="72">
        <f t="shared" si="6"/>
        <v>-108664.09</v>
      </c>
      <c r="AL75" s="72">
        <f t="shared" si="7"/>
        <v>0</v>
      </c>
      <c r="AM75">
        <v>-1</v>
      </c>
      <c r="AO75" s="102">
        <f t="shared" si="8"/>
        <v>179821</v>
      </c>
      <c r="AP75" s="103">
        <f t="shared" si="9"/>
        <v>547519</v>
      </c>
      <c r="AQ75" s="101">
        <f t="shared" si="10"/>
        <v>64357</v>
      </c>
      <c r="AR75" s="104">
        <f t="shared" si="11"/>
        <v>97482</v>
      </c>
    </row>
    <row r="76" spans="1:44">
      <c r="A76" s="14" t="s">
        <v>1017</v>
      </c>
      <c r="B76" s="15" t="s">
        <v>1018</v>
      </c>
      <c r="C76" s="14" t="s">
        <v>1220</v>
      </c>
      <c r="D76" s="14">
        <v>23</v>
      </c>
      <c r="E76" s="15" t="s">
        <v>1036</v>
      </c>
      <c r="F76" s="15" t="s">
        <v>1037</v>
      </c>
      <c r="G76" s="14" t="s">
        <v>1038</v>
      </c>
      <c r="H76" s="14"/>
      <c r="I76" s="14"/>
      <c r="J76" s="16">
        <v>370.5</v>
      </c>
      <c r="K76" s="66">
        <v>144178</v>
      </c>
      <c r="L76" s="66">
        <v>421221</v>
      </c>
      <c r="M76" s="28">
        <v>565399</v>
      </c>
      <c r="N76" s="64">
        <v>2466254</v>
      </c>
      <c r="O76" s="64">
        <v>178691</v>
      </c>
      <c r="P76" s="64">
        <v>17213</v>
      </c>
      <c r="Q76" s="28">
        <v>2662158</v>
      </c>
      <c r="R76" s="62">
        <v>112556</v>
      </c>
      <c r="S76" s="28">
        <v>3340113</v>
      </c>
      <c r="T76" s="81">
        <v>182231</v>
      </c>
      <c r="U76" s="81">
        <v>281525</v>
      </c>
      <c r="V76" s="81">
        <v>0</v>
      </c>
      <c r="W76" s="81">
        <v>304435</v>
      </c>
      <c r="X76" s="28">
        <v>4108304</v>
      </c>
      <c r="Y76" s="28">
        <v>385401</v>
      </c>
      <c r="Z76" s="28">
        <v>790192</v>
      </c>
      <c r="AA76" s="28">
        <v>2734323</v>
      </c>
      <c r="AB76" s="28">
        <v>198388</v>
      </c>
      <c r="AC76" s="40" t="s">
        <v>184</v>
      </c>
      <c r="AD76" s="41">
        <v>229</v>
      </c>
      <c r="AE76" s="42">
        <v>1</v>
      </c>
      <c r="AF76" s="40" t="s">
        <v>1037</v>
      </c>
      <c r="AG76" s="68">
        <v>23411.599999999999</v>
      </c>
      <c r="AH76" s="42">
        <v>1</v>
      </c>
      <c r="AI76" s="40" t="s">
        <v>1037</v>
      </c>
      <c r="AJ76" s="70">
        <v>0</v>
      </c>
      <c r="AK76" s="72">
        <f t="shared" si="6"/>
        <v>-23411.599999999999</v>
      </c>
      <c r="AL76" s="72">
        <f t="shared" si="7"/>
        <v>0</v>
      </c>
      <c r="AM76">
        <v>-1</v>
      </c>
      <c r="AO76" s="102">
        <f t="shared" si="8"/>
        <v>241223</v>
      </c>
      <c r="AP76" s="103">
        <f t="shared" si="9"/>
        <v>368971</v>
      </c>
      <c r="AQ76" s="101">
        <f t="shared" si="10"/>
        <v>72165</v>
      </c>
      <c r="AR76" s="104">
        <f t="shared" si="11"/>
        <v>85832</v>
      </c>
    </row>
    <row r="77" spans="1:44">
      <c r="A77" s="14" t="s">
        <v>1017</v>
      </c>
      <c r="B77" s="15" t="s">
        <v>1018</v>
      </c>
      <c r="C77" s="14" t="s">
        <v>1220</v>
      </c>
      <c r="D77" s="14">
        <v>23</v>
      </c>
      <c r="E77" s="15" t="s">
        <v>1036</v>
      </c>
      <c r="F77" s="15" t="s">
        <v>1039</v>
      </c>
      <c r="G77" s="14" t="s">
        <v>1040</v>
      </c>
      <c r="H77" s="14"/>
      <c r="I77" s="14"/>
      <c r="J77" s="16">
        <v>357.03</v>
      </c>
      <c r="K77" s="66">
        <v>319025</v>
      </c>
      <c r="L77" s="66">
        <v>361153</v>
      </c>
      <c r="M77" s="28">
        <v>680178</v>
      </c>
      <c r="N77" s="64">
        <v>2270814</v>
      </c>
      <c r="O77" s="64">
        <v>162773</v>
      </c>
      <c r="P77" s="64">
        <v>15147</v>
      </c>
      <c r="Q77" s="28">
        <v>2448734</v>
      </c>
      <c r="R77" s="62">
        <v>179323</v>
      </c>
      <c r="S77" s="28">
        <v>3308235</v>
      </c>
      <c r="T77" s="81">
        <v>168971</v>
      </c>
      <c r="U77" s="81">
        <v>51366</v>
      </c>
      <c r="V77" s="81">
        <v>0</v>
      </c>
      <c r="W77" s="81">
        <v>391710</v>
      </c>
      <c r="X77" s="28">
        <v>3920282</v>
      </c>
      <c r="Y77" s="28">
        <v>656364</v>
      </c>
      <c r="Z77" s="28">
        <v>483046</v>
      </c>
      <c r="AA77" s="28">
        <v>2539820</v>
      </c>
      <c r="AB77" s="28">
        <v>241051</v>
      </c>
      <c r="AC77" s="40" t="s">
        <v>184</v>
      </c>
      <c r="AD77" s="41">
        <v>238</v>
      </c>
      <c r="AE77" s="42">
        <v>1</v>
      </c>
      <c r="AF77" s="40" t="s">
        <v>1039</v>
      </c>
      <c r="AG77" s="68">
        <v>23824.44</v>
      </c>
      <c r="AH77" s="42">
        <v>1</v>
      </c>
      <c r="AI77" s="40" t="s">
        <v>1039</v>
      </c>
      <c r="AJ77" s="70">
        <v>0</v>
      </c>
      <c r="AK77" s="72">
        <f t="shared" si="6"/>
        <v>-23824.44</v>
      </c>
      <c r="AL77" s="72">
        <f t="shared" si="7"/>
        <v>0</v>
      </c>
      <c r="AM77">
        <v>-1</v>
      </c>
      <c r="AO77" s="102">
        <f t="shared" si="8"/>
        <v>337339</v>
      </c>
      <c r="AP77" s="103">
        <f t="shared" si="9"/>
        <v>121893</v>
      </c>
      <c r="AQ77" s="101">
        <f t="shared" si="10"/>
        <v>91086</v>
      </c>
      <c r="AR77" s="104">
        <f t="shared" si="11"/>
        <v>61728</v>
      </c>
    </row>
    <row r="78" spans="1:44">
      <c r="A78" s="14" t="s">
        <v>1017</v>
      </c>
      <c r="B78" s="15" t="s">
        <v>1018</v>
      </c>
      <c r="C78" s="14" t="s">
        <v>1220</v>
      </c>
      <c r="D78" s="14">
        <v>23</v>
      </c>
      <c r="E78" s="15" t="s">
        <v>1036</v>
      </c>
      <c r="F78" s="15" t="s">
        <v>1041</v>
      </c>
      <c r="G78" s="14" t="s">
        <v>1042</v>
      </c>
      <c r="H78" s="14"/>
      <c r="I78" s="14"/>
      <c r="J78" s="16">
        <v>660.05</v>
      </c>
      <c r="K78" s="66">
        <v>609862</v>
      </c>
      <c r="L78" s="66">
        <v>244797</v>
      </c>
      <c r="M78" s="28">
        <v>854659</v>
      </c>
      <c r="N78" s="64">
        <v>4628027</v>
      </c>
      <c r="O78" s="64">
        <v>306952</v>
      </c>
      <c r="P78" s="64">
        <v>96436</v>
      </c>
      <c r="Q78" s="28">
        <v>5031415</v>
      </c>
      <c r="R78" s="62">
        <v>74877</v>
      </c>
      <c r="S78" s="28">
        <v>5960951</v>
      </c>
      <c r="T78" s="81">
        <v>274129</v>
      </c>
      <c r="U78" s="81">
        <v>163027</v>
      </c>
      <c r="V78" s="81">
        <v>0</v>
      </c>
      <c r="W78" s="81">
        <v>14245</v>
      </c>
      <c r="X78" s="28">
        <v>6412352</v>
      </c>
      <c r="Y78" s="28">
        <v>657837</v>
      </c>
      <c r="Z78" s="28">
        <v>466335</v>
      </c>
      <c r="AA78" s="28">
        <v>5088234</v>
      </c>
      <c r="AB78" s="28">
        <v>199946</v>
      </c>
      <c r="AC78" s="40" t="s">
        <v>184</v>
      </c>
      <c r="AD78" s="41">
        <v>239</v>
      </c>
      <c r="AE78" s="42">
        <v>1</v>
      </c>
      <c r="AF78" s="40" t="s">
        <v>1041</v>
      </c>
      <c r="AG78" s="68">
        <v>33322.959999999999</v>
      </c>
      <c r="AH78" s="42">
        <v>1</v>
      </c>
      <c r="AI78" s="40" t="s">
        <v>1041</v>
      </c>
      <c r="AJ78" s="70">
        <v>10633</v>
      </c>
      <c r="AK78" s="72">
        <f t="shared" si="6"/>
        <v>-33322.959999999999</v>
      </c>
      <c r="AL78" s="72">
        <f t="shared" si="7"/>
        <v>-10633</v>
      </c>
      <c r="AM78">
        <v>-1</v>
      </c>
      <c r="AO78" s="102">
        <f t="shared" si="8"/>
        <v>47975</v>
      </c>
      <c r="AP78" s="103">
        <f t="shared" si="9"/>
        <v>221538</v>
      </c>
      <c r="AQ78" s="101">
        <f t="shared" si="10"/>
        <v>56819</v>
      </c>
      <c r="AR78" s="104">
        <f t="shared" si="11"/>
        <v>125069</v>
      </c>
    </row>
    <row r="79" spans="1:44">
      <c r="A79" s="14" t="s">
        <v>1017</v>
      </c>
      <c r="B79" s="15" t="s">
        <v>1018</v>
      </c>
      <c r="C79" s="14" t="s">
        <v>1220</v>
      </c>
      <c r="D79" s="14">
        <v>24</v>
      </c>
      <c r="E79" s="15" t="s">
        <v>1043</v>
      </c>
      <c r="F79" s="15" t="s">
        <v>1044</v>
      </c>
      <c r="G79" s="14" t="s">
        <v>1045</v>
      </c>
      <c r="H79" s="14"/>
      <c r="I79" s="14"/>
      <c r="J79" s="16">
        <v>3546.59</v>
      </c>
      <c r="K79" s="66">
        <v>1979192</v>
      </c>
      <c r="L79" s="66">
        <v>1033424</v>
      </c>
      <c r="M79" s="28">
        <v>3012616</v>
      </c>
      <c r="N79" s="64">
        <v>23835695</v>
      </c>
      <c r="O79" s="64">
        <v>2922354</v>
      </c>
      <c r="P79" s="64">
        <v>1021261</v>
      </c>
      <c r="Q79" s="28">
        <v>27779310</v>
      </c>
      <c r="R79" s="62">
        <v>1517897</v>
      </c>
      <c r="S79" s="28">
        <v>32309823</v>
      </c>
      <c r="T79" s="81">
        <v>1488350</v>
      </c>
      <c r="U79" s="81">
        <v>981676</v>
      </c>
      <c r="V79" s="81">
        <v>5006</v>
      </c>
      <c r="W79" s="81">
        <v>2870785</v>
      </c>
      <c r="X79" s="28">
        <v>37655639</v>
      </c>
      <c r="Y79" s="28">
        <v>4660800</v>
      </c>
      <c r="Z79" s="28">
        <v>2303979</v>
      </c>
      <c r="AA79" s="28">
        <v>28416788</v>
      </c>
      <c r="AB79" s="28">
        <v>2274072</v>
      </c>
      <c r="AC79" s="40" t="s">
        <v>184</v>
      </c>
      <c r="AD79" s="41">
        <v>241</v>
      </c>
      <c r="AE79" s="42">
        <v>1</v>
      </c>
      <c r="AF79" s="40" t="s">
        <v>1044</v>
      </c>
      <c r="AG79" s="68">
        <v>289614.83</v>
      </c>
      <c r="AH79" s="42">
        <v>1</v>
      </c>
      <c r="AI79" s="40" t="s">
        <v>1044</v>
      </c>
      <c r="AJ79" s="70">
        <v>151062.5</v>
      </c>
      <c r="AK79" s="72">
        <f t="shared" si="6"/>
        <v>-289614.83</v>
      </c>
      <c r="AL79" s="72">
        <f t="shared" si="7"/>
        <v>-151062.5</v>
      </c>
      <c r="AM79">
        <v>-1</v>
      </c>
      <c r="AO79" s="102">
        <f t="shared" si="8"/>
        <v>2681608</v>
      </c>
      <c r="AP79" s="103">
        <f t="shared" si="9"/>
        <v>1270555</v>
      </c>
      <c r="AQ79" s="101">
        <f t="shared" si="10"/>
        <v>637478</v>
      </c>
      <c r="AR79" s="104">
        <f t="shared" si="11"/>
        <v>756175</v>
      </c>
    </row>
    <row r="80" spans="1:44">
      <c r="A80" s="14" t="s">
        <v>1017</v>
      </c>
      <c r="B80" s="15" t="s">
        <v>1018</v>
      </c>
      <c r="C80" s="14" t="s">
        <v>1220</v>
      </c>
      <c r="D80" s="14">
        <v>24</v>
      </c>
      <c r="E80" s="15" t="s">
        <v>1043</v>
      </c>
      <c r="F80" s="15" t="s">
        <v>1046</v>
      </c>
      <c r="G80" s="14" t="s">
        <v>1047</v>
      </c>
      <c r="H80" s="14"/>
      <c r="I80" s="14"/>
      <c r="J80" s="16">
        <v>397.77</v>
      </c>
      <c r="K80" s="66">
        <v>147061</v>
      </c>
      <c r="L80" s="66">
        <v>553560</v>
      </c>
      <c r="M80" s="28">
        <v>700621</v>
      </c>
      <c r="N80" s="64">
        <v>2765576</v>
      </c>
      <c r="O80" s="64">
        <v>230451</v>
      </c>
      <c r="P80" s="64">
        <v>9876</v>
      </c>
      <c r="Q80" s="28">
        <v>3005903</v>
      </c>
      <c r="R80" s="62">
        <v>68510</v>
      </c>
      <c r="S80" s="28">
        <v>3775034</v>
      </c>
      <c r="T80" s="81">
        <v>149830</v>
      </c>
      <c r="U80" s="81">
        <v>39591</v>
      </c>
      <c r="V80" s="81">
        <v>0</v>
      </c>
      <c r="W80" s="81">
        <v>313927</v>
      </c>
      <c r="X80" s="28">
        <v>4278382</v>
      </c>
      <c r="Y80" s="28">
        <v>440542</v>
      </c>
      <c r="Z80" s="28">
        <v>630810</v>
      </c>
      <c r="AA80" s="28">
        <v>3070591</v>
      </c>
      <c r="AB80" s="28">
        <v>136439</v>
      </c>
      <c r="AC80" s="40" t="s">
        <v>184</v>
      </c>
      <c r="AD80" s="41">
        <v>242</v>
      </c>
      <c r="AE80" s="42">
        <v>1</v>
      </c>
      <c r="AF80" s="40" t="s">
        <v>1046</v>
      </c>
      <c r="AG80" s="68">
        <v>24437.29</v>
      </c>
      <c r="AH80" s="42">
        <v>1</v>
      </c>
      <c r="AI80" s="40" t="s">
        <v>1046</v>
      </c>
      <c r="AJ80" s="70">
        <v>0</v>
      </c>
      <c r="AK80" s="72">
        <f t="shared" si="6"/>
        <v>-24437.29</v>
      </c>
      <c r="AL80" s="72">
        <f t="shared" si="7"/>
        <v>0</v>
      </c>
      <c r="AM80">
        <v>-1</v>
      </c>
      <c r="AO80" s="102">
        <f t="shared" si="8"/>
        <v>293481</v>
      </c>
      <c r="AP80" s="103">
        <f t="shared" si="9"/>
        <v>77250</v>
      </c>
      <c r="AQ80" s="101">
        <f t="shared" si="10"/>
        <v>64688</v>
      </c>
      <c r="AR80" s="104">
        <f t="shared" si="11"/>
        <v>67929</v>
      </c>
    </row>
    <row r="81" spans="1:44">
      <c r="A81" s="14" t="s">
        <v>1017</v>
      </c>
      <c r="B81" s="15" t="s">
        <v>1018</v>
      </c>
      <c r="C81" s="14" t="s">
        <v>1220</v>
      </c>
      <c r="D81" s="14">
        <v>25</v>
      </c>
      <c r="E81" s="15" t="s">
        <v>1048</v>
      </c>
      <c r="F81" s="15" t="s">
        <v>1049</v>
      </c>
      <c r="G81" s="14" t="s">
        <v>1050</v>
      </c>
      <c r="H81" s="14"/>
      <c r="I81" s="14"/>
      <c r="J81" s="16">
        <v>1305.27</v>
      </c>
      <c r="K81" s="66">
        <v>880248</v>
      </c>
      <c r="L81" s="66">
        <v>313521</v>
      </c>
      <c r="M81" s="28">
        <v>1193769</v>
      </c>
      <c r="N81" s="64">
        <v>8208175</v>
      </c>
      <c r="O81" s="64">
        <v>544791</v>
      </c>
      <c r="P81" s="64">
        <v>85430</v>
      </c>
      <c r="Q81" s="28">
        <v>8838396</v>
      </c>
      <c r="R81" s="62">
        <v>112635</v>
      </c>
      <c r="S81" s="28">
        <v>10144800</v>
      </c>
      <c r="T81" s="81">
        <v>603431</v>
      </c>
      <c r="U81" s="81">
        <v>518279</v>
      </c>
      <c r="V81" s="81">
        <v>10469</v>
      </c>
      <c r="W81" s="81">
        <v>980533</v>
      </c>
      <c r="X81" s="28">
        <v>12257511</v>
      </c>
      <c r="Y81" s="28">
        <v>1893248</v>
      </c>
      <c r="Z81" s="28">
        <v>1134685</v>
      </c>
      <c r="AA81" s="28">
        <v>8979138</v>
      </c>
      <c r="AB81" s="28">
        <v>250440</v>
      </c>
      <c r="AC81" s="40" t="s">
        <v>184</v>
      </c>
      <c r="AD81" s="41">
        <v>252</v>
      </c>
      <c r="AE81" s="42">
        <v>1</v>
      </c>
      <c r="AF81" s="40" t="s">
        <v>1049</v>
      </c>
      <c r="AG81" s="68">
        <v>77117.63</v>
      </c>
      <c r="AH81" s="42">
        <v>1</v>
      </c>
      <c r="AI81" s="40" t="s">
        <v>1049</v>
      </c>
      <c r="AJ81" s="70">
        <v>0</v>
      </c>
      <c r="AK81" s="72">
        <f t="shared" si="6"/>
        <v>-77117.63</v>
      </c>
      <c r="AL81" s="72">
        <f t="shared" si="7"/>
        <v>0</v>
      </c>
      <c r="AM81">
        <v>-1</v>
      </c>
      <c r="AO81" s="102">
        <f t="shared" si="8"/>
        <v>1013000</v>
      </c>
      <c r="AP81" s="103">
        <f t="shared" si="9"/>
        <v>821164</v>
      </c>
      <c r="AQ81" s="101">
        <f t="shared" si="10"/>
        <v>140742</v>
      </c>
      <c r="AR81" s="104">
        <f t="shared" si="11"/>
        <v>137805</v>
      </c>
    </row>
    <row r="82" spans="1:44">
      <c r="A82" s="14" t="s">
        <v>1017</v>
      </c>
      <c r="B82" s="15" t="s">
        <v>1018</v>
      </c>
      <c r="C82" s="14" t="s">
        <v>1220</v>
      </c>
      <c r="D82" s="14">
        <v>25</v>
      </c>
      <c r="E82" s="15" t="s">
        <v>1048</v>
      </c>
      <c r="F82" s="15" t="s">
        <v>1051</v>
      </c>
      <c r="G82" s="14" t="s">
        <v>1052</v>
      </c>
      <c r="H82" s="14"/>
      <c r="I82" s="14"/>
      <c r="J82" s="16">
        <v>623.88</v>
      </c>
      <c r="K82" s="66">
        <v>138655</v>
      </c>
      <c r="L82" s="66">
        <v>231528</v>
      </c>
      <c r="M82" s="28">
        <v>370183</v>
      </c>
      <c r="N82" s="64">
        <v>3929267</v>
      </c>
      <c r="O82" s="64">
        <v>149236</v>
      </c>
      <c r="P82" s="64">
        <v>35357</v>
      </c>
      <c r="Q82" s="28">
        <v>4113860</v>
      </c>
      <c r="R82" s="62">
        <v>95207</v>
      </c>
      <c r="S82" s="28">
        <v>4579250</v>
      </c>
      <c r="T82" s="81">
        <v>242338</v>
      </c>
      <c r="U82" s="81">
        <v>119720</v>
      </c>
      <c r="V82" s="81">
        <v>0</v>
      </c>
      <c r="W82" s="81">
        <v>541032</v>
      </c>
      <c r="X82" s="28">
        <v>5482339</v>
      </c>
      <c r="Y82" s="28">
        <v>630019</v>
      </c>
      <c r="Z82" s="28">
        <v>487956</v>
      </c>
      <c r="AA82" s="28">
        <v>4203743</v>
      </c>
      <c r="AB82" s="28">
        <v>160621</v>
      </c>
      <c r="AC82" s="40" t="s">
        <v>184</v>
      </c>
      <c r="AD82" s="41">
        <v>253</v>
      </c>
      <c r="AE82" s="42">
        <v>1</v>
      </c>
      <c r="AF82" s="40" t="s">
        <v>1051</v>
      </c>
      <c r="AG82" s="68">
        <v>43796</v>
      </c>
      <c r="AH82" s="42">
        <v>1</v>
      </c>
      <c r="AI82" s="40" t="s">
        <v>1051</v>
      </c>
      <c r="AJ82" s="70">
        <v>0</v>
      </c>
      <c r="AK82" s="72">
        <f t="shared" si="6"/>
        <v>-43796</v>
      </c>
      <c r="AL82" s="72">
        <f t="shared" si="7"/>
        <v>0</v>
      </c>
      <c r="AM82">
        <v>-1</v>
      </c>
      <c r="AO82" s="102">
        <f t="shared" si="8"/>
        <v>491364</v>
      </c>
      <c r="AP82" s="103">
        <f t="shared" si="9"/>
        <v>256428</v>
      </c>
      <c r="AQ82" s="101">
        <f t="shared" si="10"/>
        <v>89883</v>
      </c>
      <c r="AR82" s="104">
        <f t="shared" si="11"/>
        <v>65414</v>
      </c>
    </row>
    <row r="83" spans="1:44">
      <c r="A83" s="14" t="s">
        <v>1017</v>
      </c>
      <c r="B83" s="15" t="s">
        <v>1018</v>
      </c>
      <c r="C83" s="14" t="s">
        <v>1220</v>
      </c>
      <c r="D83" s="14">
        <v>25</v>
      </c>
      <c r="E83" s="15" t="s">
        <v>1048</v>
      </c>
      <c r="F83" s="15" t="s">
        <v>1053</v>
      </c>
      <c r="G83" s="14" t="s">
        <v>1054</v>
      </c>
      <c r="H83" s="14"/>
      <c r="I83" s="14"/>
      <c r="J83" s="16">
        <v>1226.44</v>
      </c>
      <c r="K83" s="66">
        <v>680695</v>
      </c>
      <c r="L83" s="66">
        <v>432889</v>
      </c>
      <c r="M83" s="28">
        <v>1113584</v>
      </c>
      <c r="N83" s="64">
        <v>7824561</v>
      </c>
      <c r="O83" s="64">
        <v>291119</v>
      </c>
      <c r="P83" s="64">
        <v>51266</v>
      </c>
      <c r="Q83" s="28">
        <v>8166946</v>
      </c>
      <c r="R83" s="62">
        <v>112334</v>
      </c>
      <c r="S83" s="28">
        <v>9392864</v>
      </c>
      <c r="T83" s="81">
        <v>434457</v>
      </c>
      <c r="U83" s="81">
        <v>366762</v>
      </c>
      <c r="V83" s="81">
        <v>0</v>
      </c>
      <c r="W83" s="81">
        <v>567192</v>
      </c>
      <c r="X83" s="28">
        <v>10761275</v>
      </c>
      <c r="Y83" s="28">
        <v>1252050</v>
      </c>
      <c r="Z83" s="28">
        <v>984082</v>
      </c>
      <c r="AA83" s="28">
        <v>8299774</v>
      </c>
      <c r="AB83" s="28">
        <v>225369</v>
      </c>
      <c r="AC83" s="40" t="s">
        <v>184</v>
      </c>
      <c r="AD83" s="41">
        <v>255</v>
      </c>
      <c r="AE83" s="42">
        <v>1</v>
      </c>
      <c r="AF83" s="40" t="s">
        <v>1053</v>
      </c>
      <c r="AG83" s="68">
        <v>91057.99</v>
      </c>
      <c r="AH83" s="42">
        <v>1</v>
      </c>
      <c r="AI83" s="40" t="s">
        <v>1053</v>
      </c>
      <c r="AJ83" s="70">
        <v>0</v>
      </c>
      <c r="AK83" s="72">
        <f t="shared" si="6"/>
        <v>-91057.99</v>
      </c>
      <c r="AL83" s="72">
        <f t="shared" si="7"/>
        <v>0</v>
      </c>
      <c r="AM83">
        <v>-1</v>
      </c>
      <c r="AO83" s="102">
        <f t="shared" si="8"/>
        <v>571355</v>
      </c>
      <c r="AP83" s="103">
        <f t="shared" si="9"/>
        <v>551193</v>
      </c>
      <c r="AQ83" s="101">
        <f t="shared" si="10"/>
        <v>132828</v>
      </c>
      <c r="AR83" s="104">
        <f t="shared" si="11"/>
        <v>113035</v>
      </c>
    </row>
    <row r="84" spans="1:44">
      <c r="A84" s="14" t="s">
        <v>1017</v>
      </c>
      <c r="B84" s="15" t="s">
        <v>1018</v>
      </c>
      <c r="C84" s="14" t="s">
        <v>1220</v>
      </c>
      <c r="D84" s="14">
        <v>25</v>
      </c>
      <c r="E84" s="15" t="s">
        <v>1048</v>
      </c>
      <c r="F84" s="15" t="s">
        <v>1055</v>
      </c>
      <c r="G84" s="14" t="s">
        <v>1056</v>
      </c>
      <c r="H84" s="14"/>
      <c r="I84" s="14"/>
      <c r="J84" s="16">
        <v>2896.81</v>
      </c>
      <c r="K84" s="66">
        <v>3298580</v>
      </c>
      <c r="L84" s="66">
        <v>2579822</v>
      </c>
      <c r="M84" s="28">
        <v>5878402</v>
      </c>
      <c r="N84" s="64">
        <v>17548153</v>
      </c>
      <c r="O84" s="64">
        <v>1991899</v>
      </c>
      <c r="P84" s="64">
        <v>359991</v>
      </c>
      <c r="Q84" s="28">
        <v>19900043</v>
      </c>
      <c r="R84" s="62">
        <v>482670</v>
      </c>
      <c r="S84" s="28">
        <v>26261115</v>
      </c>
      <c r="T84" s="81">
        <v>1256388</v>
      </c>
      <c r="U84" s="81">
        <v>1711439</v>
      </c>
      <c r="V84" s="81">
        <v>0</v>
      </c>
      <c r="W84" s="81">
        <v>3131847</v>
      </c>
      <c r="X84" s="28">
        <v>32360789</v>
      </c>
      <c r="Y84" s="28">
        <v>6711479</v>
      </c>
      <c r="Z84" s="28">
        <v>4418976</v>
      </c>
      <c r="AA84" s="28">
        <v>20410422</v>
      </c>
      <c r="AB84" s="28">
        <v>819911</v>
      </c>
      <c r="AC84" s="40" t="s">
        <v>184</v>
      </c>
      <c r="AD84" s="41">
        <v>256</v>
      </c>
      <c r="AE84" s="42">
        <v>1</v>
      </c>
      <c r="AF84" s="40" t="s">
        <v>1055</v>
      </c>
      <c r="AG84" s="68">
        <v>203226.81</v>
      </c>
      <c r="AH84" s="42">
        <v>1</v>
      </c>
      <c r="AI84" s="40" t="s">
        <v>1055</v>
      </c>
      <c r="AJ84" s="70">
        <v>286891.82</v>
      </c>
      <c r="AK84" s="72">
        <f t="shared" si="6"/>
        <v>-203226.81</v>
      </c>
      <c r="AL84" s="72">
        <f t="shared" si="7"/>
        <v>-286891.82</v>
      </c>
      <c r="AM84">
        <v>-1</v>
      </c>
      <c r="AO84" s="102">
        <f t="shared" si="8"/>
        <v>3412899</v>
      </c>
      <c r="AP84" s="103">
        <f t="shared" si="9"/>
        <v>1839154</v>
      </c>
      <c r="AQ84" s="101">
        <f t="shared" si="10"/>
        <v>510379</v>
      </c>
      <c r="AR84" s="104">
        <f t="shared" si="11"/>
        <v>337241</v>
      </c>
    </row>
    <row r="85" spans="1:44">
      <c r="A85" s="14" t="s">
        <v>1249</v>
      </c>
      <c r="B85" s="15" t="s">
        <v>1250</v>
      </c>
      <c r="C85" s="14" t="s">
        <v>1220</v>
      </c>
      <c r="D85" s="14">
        <v>26</v>
      </c>
      <c r="E85" s="15" t="s">
        <v>1057</v>
      </c>
      <c r="F85" s="15" t="s">
        <v>1058</v>
      </c>
      <c r="G85" s="14" t="s">
        <v>1059</v>
      </c>
      <c r="H85" s="14"/>
      <c r="I85" s="14"/>
      <c r="J85" s="16">
        <v>271.39999999999998</v>
      </c>
      <c r="K85" s="66">
        <v>98275</v>
      </c>
      <c r="L85" s="66">
        <v>99237</v>
      </c>
      <c r="M85" s="28">
        <v>197512</v>
      </c>
      <c r="N85" s="64">
        <v>1745801</v>
      </c>
      <c r="O85" s="64">
        <v>81557</v>
      </c>
      <c r="P85" s="64">
        <v>9500</v>
      </c>
      <c r="Q85" s="28">
        <v>1836858</v>
      </c>
      <c r="R85" s="62">
        <v>96642</v>
      </c>
      <c r="S85" s="28">
        <v>2131012</v>
      </c>
      <c r="T85" s="81">
        <v>122372</v>
      </c>
      <c r="U85" s="81">
        <v>39307</v>
      </c>
      <c r="V85" s="81">
        <v>7836</v>
      </c>
      <c r="W85" s="81">
        <v>502056</v>
      </c>
      <c r="X85" s="28">
        <v>2802583</v>
      </c>
      <c r="Y85" s="28">
        <v>490265</v>
      </c>
      <c r="Z85" s="28">
        <v>186756</v>
      </c>
      <c r="AA85" s="28">
        <v>1980017</v>
      </c>
      <c r="AB85" s="28">
        <v>145545</v>
      </c>
      <c r="AC85" s="40" t="s">
        <v>184</v>
      </c>
      <c r="AD85" s="41">
        <v>261</v>
      </c>
      <c r="AE85" s="42">
        <v>1</v>
      </c>
      <c r="AF85" s="40" t="s">
        <v>1058</v>
      </c>
      <c r="AG85" s="68">
        <v>22219.8</v>
      </c>
      <c r="AH85" s="42">
        <v>1</v>
      </c>
      <c r="AI85" s="40" t="s">
        <v>1058</v>
      </c>
      <c r="AJ85" s="70">
        <v>0</v>
      </c>
      <c r="AK85" s="72">
        <f t="shared" si="6"/>
        <v>-22219.8</v>
      </c>
      <c r="AL85" s="72">
        <f t="shared" si="7"/>
        <v>0</v>
      </c>
      <c r="AM85">
        <v>-1</v>
      </c>
      <c r="AO85" s="102">
        <f t="shared" si="8"/>
        <v>391990</v>
      </c>
      <c r="AP85" s="103">
        <f t="shared" si="9"/>
        <v>87519</v>
      </c>
      <c r="AQ85" s="101">
        <f t="shared" si="10"/>
        <v>143159</v>
      </c>
      <c r="AR85" s="104">
        <f t="shared" si="11"/>
        <v>48903</v>
      </c>
    </row>
    <row r="86" spans="1:44">
      <c r="A86" s="14" t="s">
        <v>1249</v>
      </c>
      <c r="B86" s="15" t="s">
        <v>1250</v>
      </c>
      <c r="C86" s="14" t="s">
        <v>1220</v>
      </c>
      <c r="D86" s="14">
        <v>26</v>
      </c>
      <c r="E86" s="15" t="s">
        <v>1057</v>
      </c>
      <c r="F86" s="15" t="s">
        <v>1060</v>
      </c>
      <c r="G86" s="14" t="s">
        <v>1061</v>
      </c>
      <c r="H86" s="14"/>
      <c r="I86" s="14"/>
      <c r="J86" s="16">
        <v>111.42</v>
      </c>
      <c r="K86" s="66">
        <v>16465</v>
      </c>
      <c r="L86" s="66">
        <v>128395</v>
      </c>
      <c r="M86" s="28">
        <v>144860</v>
      </c>
      <c r="N86" s="64">
        <v>1340463</v>
      </c>
      <c r="O86" s="64">
        <v>51909</v>
      </c>
      <c r="P86" s="64">
        <v>1979</v>
      </c>
      <c r="Q86" s="28">
        <v>1394351</v>
      </c>
      <c r="R86" s="62">
        <v>85749</v>
      </c>
      <c r="S86" s="28">
        <v>1624960</v>
      </c>
      <c r="T86" s="81">
        <v>62281</v>
      </c>
      <c r="U86" s="81">
        <v>37533</v>
      </c>
      <c r="V86" s="81">
        <v>0</v>
      </c>
      <c r="W86" s="81">
        <v>0</v>
      </c>
      <c r="X86" s="28">
        <v>1724773</v>
      </c>
      <c r="Y86" s="28">
        <v>26731</v>
      </c>
      <c r="Z86" s="28">
        <v>161189</v>
      </c>
      <c r="AA86" s="28">
        <v>1410764</v>
      </c>
      <c r="AB86" s="28">
        <v>126089</v>
      </c>
      <c r="AC86" s="40" t="s">
        <v>184</v>
      </c>
      <c r="AD86" s="41">
        <v>264</v>
      </c>
      <c r="AE86" s="42">
        <v>1</v>
      </c>
      <c r="AF86" s="40" t="s">
        <v>1060</v>
      </c>
      <c r="AG86" s="68">
        <v>20335.55</v>
      </c>
      <c r="AH86" s="42">
        <v>1</v>
      </c>
      <c r="AI86" s="40" t="s">
        <v>1060</v>
      </c>
      <c r="AJ86" s="70">
        <v>0</v>
      </c>
      <c r="AK86" s="72">
        <f t="shared" si="6"/>
        <v>-20335.55</v>
      </c>
      <c r="AL86" s="72">
        <f t="shared" si="7"/>
        <v>0</v>
      </c>
      <c r="AM86">
        <v>-1</v>
      </c>
      <c r="AO86" s="102">
        <f t="shared" si="8"/>
        <v>10266</v>
      </c>
      <c r="AP86" s="103">
        <f t="shared" si="9"/>
        <v>32794</v>
      </c>
      <c r="AQ86" s="101">
        <f t="shared" si="10"/>
        <v>16413</v>
      </c>
      <c r="AR86" s="104">
        <f t="shared" si="11"/>
        <v>40340</v>
      </c>
    </row>
    <row r="87" spans="1:44">
      <c r="A87" s="14" t="s">
        <v>1224</v>
      </c>
      <c r="B87" s="15" t="s">
        <v>1225</v>
      </c>
      <c r="C87" s="14" t="s">
        <v>1220</v>
      </c>
      <c r="D87" s="14">
        <v>27</v>
      </c>
      <c r="E87" s="15" t="s">
        <v>1227</v>
      </c>
      <c r="F87" s="15" t="s">
        <v>1062</v>
      </c>
      <c r="G87" s="14" t="s">
        <v>1063</v>
      </c>
      <c r="H87" s="14"/>
      <c r="I87" s="14"/>
      <c r="J87" s="16">
        <v>8119.29</v>
      </c>
      <c r="K87" s="66">
        <v>18592039</v>
      </c>
      <c r="L87" s="66">
        <v>5690610</v>
      </c>
      <c r="M87" s="28">
        <v>24282649</v>
      </c>
      <c r="N87" s="64">
        <v>49193455</v>
      </c>
      <c r="O87" s="64">
        <v>8631799</v>
      </c>
      <c r="P87" s="64">
        <v>2459564</v>
      </c>
      <c r="Q87" s="28">
        <v>60284818</v>
      </c>
      <c r="R87" s="62">
        <v>2443689</v>
      </c>
      <c r="S87" s="28">
        <v>87011156</v>
      </c>
      <c r="T87" s="81">
        <v>4732800</v>
      </c>
      <c r="U87" s="81">
        <v>8443458</v>
      </c>
      <c r="V87" s="81">
        <v>3635058</v>
      </c>
      <c r="W87" s="81">
        <v>12149263</v>
      </c>
      <c r="X87" s="28">
        <v>115971735</v>
      </c>
      <c r="Y87" s="28">
        <v>32910669</v>
      </c>
      <c r="Z87" s="28">
        <v>16566198</v>
      </c>
      <c r="AA87" s="28">
        <v>62680883</v>
      </c>
      <c r="AB87" s="28">
        <v>3813984</v>
      </c>
      <c r="AC87" s="40" t="s">
        <v>184</v>
      </c>
      <c r="AD87" s="41">
        <v>270</v>
      </c>
      <c r="AE87" s="42">
        <v>1</v>
      </c>
      <c r="AF87" s="40" t="s">
        <v>1062</v>
      </c>
      <c r="AG87" s="68">
        <v>505115.64</v>
      </c>
      <c r="AH87" s="42">
        <v>1</v>
      </c>
      <c r="AI87" s="40" t="s">
        <v>1062</v>
      </c>
      <c r="AJ87" s="70">
        <v>1552446.53</v>
      </c>
      <c r="AK87" s="72">
        <f t="shared" si="6"/>
        <v>-505115.64</v>
      </c>
      <c r="AL87" s="72">
        <f t="shared" si="7"/>
        <v>-1552446.53</v>
      </c>
      <c r="AM87">
        <v>-1</v>
      </c>
      <c r="AO87" s="102">
        <f t="shared" si="8"/>
        <v>14318630</v>
      </c>
      <c r="AP87" s="103">
        <f t="shared" si="9"/>
        <v>10875588</v>
      </c>
      <c r="AQ87" s="101">
        <f t="shared" si="10"/>
        <v>2396065</v>
      </c>
      <c r="AR87" s="104">
        <f t="shared" si="11"/>
        <v>1370295</v>
      </c>
    </row>
    <row r="88" spans="1:44">
      <c r="A88" s="14" t="s">
        <v>1224</v>
      </c>
      <c r="B88" s="15" t="s">
        <v>1225</v>
      </c>
      <c r="C88" s="14" t="s">
        <v>1220</v>
      </c>
      <c r="D88" s="14">
        <v>27</v>
      </c>
      <c r="E88" s="15" t="s">
        <v>1227</v>
      </c>
      <c r="F88" s="15" t="s">
        <v>1064</v>
      </c>
      <c r="G88" s="14" t="s">
        <v>1065</v>
      </c>
      <c r="H88" s="14"/>
      <c r="I88" s="14"/>
      <c r="J88" s="16">
        <v>10599.15</v>
      </c>
      <c r="K88" s="66">
        <v>16931524</v>
      </c>
      <c r="L88" s="66">
        <v>5302299</v>
      </c>
      <c r="M88" s="28">
        <v>22233823</v>
      </c>
      <c r="N88" s="64">
        <v>64420561</v>
      </c>
      <c r="O88" s="64">
        <v>9476271</v>
      </c>
      <c r="P88" s="64">
        <v>2181835</v>
      </c>
      <c r="Q88" s="28">
        <v>76078667</v>
      </c>
      <c r="R88" s="62">
        <v>3117443</v>
      </c>
      <c r="S88" s="28">
        <v>101429933</v>
      </c>
      <c r="T88" s="81">
        <v>4482847</v>
      </c>
      <c r="U88" s="81">
        <v>11442173</v>
      </c>
      <c r="V88" s="81">
        <v>3025118</v>
      </c>
      <c r="W88" s="81">
        <v>14618628</v>
      </c>
      <c r="X88" s="28">
        <v>134998699</v>
      </c>
      <c r="Y88" s="28">
        <v>30268182</v>
      </c>
      <c r="Z88" s="28">
        <v>17822582</v>
      </c>
      <c r="AA88" s="28">
        <v>80638762</v>
      </c>
      <c r="AB88" s="28">
        <v>6269173</v>
      </c>
      <c r="AC88" s="40" t="s">
        <v>184</v>
      </c>
      <c r="AD88" s="41">
        <v>271</v>
      </c>
      <c r="AE88" s="42">
        <v>1</v>
      </c>
      <c r="AF88" s="40" t="s">
        <v>1064</v>
      </c>
      <c r="AG88" s="68">
        <v>2337943.5499999998</v>
      </c>
      <c r="AH88" s="42">
        <v>1</v>
      </c>
      <c r="AI88" s="40" t="s">
        <v>1064</v>
      </c>
      <c r="AJ88" s="70">
        <v>2697436.91</v>
      </c>
      <c r="AK88" s="72">
        <f t="shared" si="6"/>
        <v>-2337943.5499999998</v>
      </c>
      <c r="AL88" s="72">
        <f t="shared" si="7"/>
        <v>-2697436.91</v>
      </c>
      <c r="AM88">
        <v>-1</v>
      </c>
      <c r="AO88" s="102">
        <f t="shared" si="8"/>
        <v>13336658</v>
      </c>
      <c r="AP88" s="103">
        <f t="shared" si="9"/>
        <v>12520283</v>
      </c>
      <c r="AQ88" s="101">
        <f t="shared" si="10"/>
        <v>4560095</v>
      </c>
      <c r="AR88" s="104">
        <f t="shared" si="11"/>
        <v>3151730</v>
      </c>
    </row>
    <row r="89" spans="1:44">
      <c r="A89" s="14" t="s">
        <v>1224</v>
      </c>
      <c r="B89" s="15" t="s">
        <v>1225</v>
      </c>
      <c r="C89" s="14" t="s">
        <v>1220</v>
      </c>
      <c r="D89" s="14">
        <v>27</v>
      </c>
      <c r="E89" s="15" t="s">
        <v>1227</v>
      </c>
      <c r="F89" s="15" t="s">
        <v>1066</v>
      </c>
      <c r="G89" s="14" t="s">
        <v>1067</v>
      </c>
      <c r="H89" s="14"/>
      <c r="I89" s="14"/>
      <c r="J89" s="16">
        <v>9922.0300000000007</v>
      </c>
      <c r="K89" s="66">
        <v>23555052</v>
      </c>
      <c r="L89" s="66">
        <v>3180319</v>
      </c>
      <c r="M89" s="28">
        <v>26735371</v>
      </c>
      <c r="N89" s="64">
        <v>60038281</v>
      </c>
      <c r="O89" s="64">
        <v>6394847</v>
      </c>
      <c r="P89" s="64">
        <v>1431595</v>
      </c>
      <c r="Q89" s="28">
        <v>67864723</v>
      </c>
      <c r="R89" s="62">
        <v>2422521</v>
      </c>
      <c r="S89" s="28">
        <v>97022615</v>
      </c>
      <c r="T89" s="81">
        <v>4662756</v>
      </c>
      <c r="U89" s="81">
        <v>4183464</v>
      </c>
      <c r="V89" s="81">
        <v>462937</v>
      </c>
      <c r="W89" s="81">
        <v>12179180</v>
      </c>
      <c r="X89" s="28">
        <v>118510955</v>
      </c>
      <c r="Y89" s="28">
        <v>35162170</v>
      </c>
      <c r="Z89" s="28">
        <v>11560228</v>
      </c>
      <c r="AA89" s="28">
        <v>68487120</v>
      </c>
      <c r="AB89" s="28">
        <v>3301436</v>
      </c>
      <c r="AC89" s="40" t="s">
        <v>184</v>
      </c>
      <c r="AD89" s="41">
        <v>272</v>
      </c>
      <c r="AE89" s="42">
        <v>1</v>
      </c>
      <c r="AF89" s="40" t="s">
        <v>1066</v>
      </c>
      <c r="AG89" s="68">
        <v>1011548.33</v>
      </c>
      <c r="AH89" s="42">
        <v>1</v>
      </c>
      <c r="AI89" s="40" t="s">
        <v>1066</v>
      </c>
      <c r="AJ89" s="70">
        <v>6365</v>
      </c>
      <c r="AK89" s="72">
        <f t="shared" si="6"/>
        <v>-1011548.33</v>
      </c>
      <c r="AL89" s="72">
        <f t="shared" si="7"/>
        <v>-6365</v>
      </c>
      <c r="AM89">
        <v>-1</v>
      </c>
      <c r="AO89" s="102">
        <f t="shared" si="8"/>
        <v>11607118</v>
      </c>
      <c r="AP89" s="103">
        <f t="shared" si="9"/>
        <v>8379909</v>
      </c>
      <c r="AQ89" s="101">
        <f t="shared" si="10"/>
        <v>622397</v>
      </c>
      <c r="AR89" s="104">
        <f t="shared" si="11"/>
        <v>878915</v>
      </c>
    </row>
    <row r="90" spans="1:44">
      <c r="A90" s="14" t="s">
        <v>1224</v>
      </c>
      <c r="B90" s="15" t="s">
        <v>1225</v>
      </c>
      <c r="C90" s="14" t="s">
        <v>1220</v>
      </c>
      <c r="D90" s="14">
        <v>27</v>
      </c>
      <c r="E90" s="15" t="s">
        <v>1227</v>
      </c>
      <c r="F90" s="15" t="s">
        <v>1068</v>
      </c>
      <c r="G90" s="14" t="s">
        <v>1069</v>
      </c>
      <c r="H90" s="14"/>
      <c r="I90" s="14"/>
      <c r="J90" s="16">
        <v>7593.32</v>
      </c>
      <c r="K90" s="66">
        <v>15794725</v>
      </c>
      <c r="L90" s="66">
        <v>3090573</v>
      </c>
      <c r="M90" s="28">
        <v>18885298</v>
      </c>
      <c r="N90" s="64">
        <v>43012488</v>
      </c>
      <c r="O90" s="64">
        <v>5925379</v>
      </c>
      <c r="P90" s="64">
        <v>2319449</v>
      </c>
      <c r="Q90" s="28">
        <v>51257316</v>
      </c>
      <c r="R90" s="62">
        <v>1579151</v>
      </c>
      <c r="S90" s="28">
        <v>71721765</v>
      </c>
      <c r="T90" s="81">
        <v>2930258</v>
      </c>
      <c r="U90" s="81">
        <v>6801909</v>
      </c>
      <c r="V90" s="81">
        <v>1501736</v>
      </c>
      <c r="W90" s="81">
        <v>8267099</v>
      </c>
      <c r="X90" s="28">
        <v>91222768</v>
      </c>
      <c r="Y90" s="28">
        <v>25710493</v>
      </c>
      <c r="Z90" s="28">
        <v>12008359</v>
      </c>
      <c r="AA90" s="28">
        <v>51646605</v>
      </c>
      <c r="AB90" s="28">
        <v>1857310</v>
      </c>
      <c r="AC90" s="40" t="s">
        <v>184</v>
      </c>
      <c r="AD90" s="41">
        <v>273</v>
      </c>
      <c r="AE90" s="42">
        <v>1</v>
      </c>
      <c r="AF90" s="40" t="s">
        <v>1068</v>
      </c>
      <c r="AG90" s="68">
        <v>1342768.57</v>
      </c>
      <c r="AH90" s="42">
        <v>1</v>
      </c>
      <c r="AI90" s="40" t="s">
        <v>1068</v>
      </c>
      <c r="AJ90" s="70">
        <v>5202</v>
      </c>
      <c r="AK90" s="72">
        <f t="shared" si="6"/>
        <v>-1342768.57</v>
      </c>
      <c r="AL90" s="72">
        <f t="shared" si="7"/>
        <v>-5202</v>
      </c>
      <c r="AM90">
        <v>-1</v>
      </c>
      <c r="AO90" s="102">
        <f t="shared" si="8"/>
        <v>9915768</v>
      </c>
      <c r="AP90" s="103">
        <f t="shared" si="9"/>
        <v>8917786</v>
      </c>
      <c r="AQ90" s="101">
        <f t="shared" si="10"/>
        <v>389289</v>
      </c>
      <c r="AR90" s="104">
        <f t="shared" si="11"/>
        <v>278159</v>
      </c>
    </row>
    <row r="91" spans="1:44">
      <c r="A91" s="14" t="s">
        <v>1224</v>
      </c>
      <c r="B91" s="15" t="s">
        <v>1225</v>
      </c>
      <c r="C91" s="14" t="s">
        <v>1220</v>
      </c>
      <c r="D91" s="14">
        <v>27</v>
      </c>
      <c r="E91" s="15" t="s">
        <v>1227</v>
      </c>
      <c r="F91" s="15" t="s">
        <v>1070</v>
      </c>
      <c r="G91" s="14" t="s">
        <v>1071</v>
      </c>
      <c r="H91" s="14"/>
      <c r="I91" s="14"/>
      <c r="J91" s="16">
        <v>7752.62</v>
      </c>
      <c r="K91" s="66">
        <v>15931979</v>
      </c>
      <c r="L91" s="66">
        <v>2769387</v>
      </c>
      <c r="M91" s="28">
        <v>18701366</v>
      </c>
      <c r="N91" s="64">
        <v>46287494</v>
      </c>
      <c r="O91" s="64">
        <v>6318359</v>
      </c>
      <c r="P91" s="64">
        <v>623970</v>
      </c>
      <c r="Q91" s="28">
        <v>53229823</v>
      </c>
      <c r="R91" s="62">
        <v>1583752</v>
      </c>
      <c r="S91" s="28">
        <v>73514941</v>
      </c>
      <c r="T91" s="81">
        <v>3891370</v>
      </c>
      <c r="U91" s="81">
        <v>6228056</v>
      </c>
      <c r="V91" s="81">
        <v>6241924</v>
      </c>
      <c r="W91" s="81">
        <v>6436959</v>
      </c>
      <c r="X91" s="28">
        <v>96313251</v>
      </c>
      <c r="Y91" s="28">
        <v>28003991</v>
      </c>
      <c r="Z91" s="28">
        <v>12374687</v>
      </c>
      <c r="AA91" s="28">
        <v>53815728</v>
      </c>
      <c r="AB91" s="28">
        <v>2118845</v>
      </c>
      <c r="AC91" s="40" t="s">
        <v>184</v>
      </c>
      <c r="AD91" s="41">
        <v>276</v>
      </c>
      <c r="AE91" s="42">
        <v>1</v>
      </c>
      <c r="AF91" s="40" t="s">
        <v>1070</v>
      </c>
      <c r="AG91" s="68">
        <v>775018.58</v>
      </c>
      <c r="AH91" s="42">
        <v>1</v>
      </c>
      <c r="AI91" s="40" t="s">
        <v>1070</v>
      </c>
      <c r="AJ91" s="70">
        <v>256068.72</v>
      </c>
      <c r="AK91" s="72">
        <f t="shared" si="6"/>
        <v>-775018.58</v>
      </c>
      <c r="AL91" s="72">
        <f t="shared" si="7"/>
        <v>-256068.72</v>
      </c>
      <c r="AM91">
        <v>-1</v>
      </c>
      <c r="AO91" s="102">
        <f t="shared" si="8"/>
        <v>12072012</v>
      </c>
      <c r="AP91" s="103">
        <f t="shared" si="9"/>
        <v>9605300</v>
      </c>
      <c r="AQ91" s="101">
        <f t="shared" si="10"/>
        <v>585905</v>
      </c>
      <c r="AR91" s="104">
        <f t="shared" si="11"/>
        <v>535093</v>
      </c>
    </row>
    <row r="92" spans="1:44">
      <c r="A92" s="14" t="s">
        <v>1224</v>
      </c>
      <c r="B92" s="15" t="s">
        <v>1225</v>
      </c>
      <c r="C92" s="14" t="s">
        <v>1220</v>
      </c>
      <c r="D92" s="14">
        <v>27</v>
      </c>
      <c r="E92" s="15" t="s">
        <v>1227</v>
      </c>
      <c r="F92" s="15" t="s">
        <v>1072</v>
      </c>
      <c r="G92" s="14" t="s">
        <v>1073</v>
      </c>
      <c r="H92" s="14"/>
      <c r="I92" s="14"/>
      <c r="J92" s="16">
        <v>2282.89</v>
      </c>
      <c r="K92" s="66">
        <v>4874861</v>
      </c>
      <c r="L92" s="66">
        <v>888781</v>
      </c>
      <c r="M92" s="28">
        <v>5763642</v>
      </c>
      <c r="N92" s="64">
        <v>13155489</v>
      </c>
      <c r="O92" s="64">
        <v>2503488</v>
      </c>
      <c r="P92" s="64">
        <v>178564</v>
      </c>
      <c r="Q92" s="28">
        <v>15837541</v>
      </c>
      <c r="R92" s="62">
        <v>641168</v>
      </c>
      <c r="S92" s="28">
        <v>22242351</v>
      </c>
      <c r="T92" s="81">
        <v>1085784</v>
      </c>
      <c r="U92" s="81">
        <v>1956688</v>
      </c>
      <c r="V92" s="81">
        <v>3951</v>
      </c>
      <c r="W92" s="81">
        <v>1072652</v>
      </c>
      <c r="X92" s="28">
        <v>26361428</v>
      </c>
      <c r="Y92" s="28">
        <v>6238810</v>
      </c>
      <c r="Z92" s="28">
        <v>3149607</v>
      </c>
      <c r="AA92" s="28">
        <v>16159570</v>
      </c>
      <c r="AB92" s="28">
        <v>813441</v>
      </c>
      <c r="AC92" s="40" t="s">
        <v>184</v>
      </c>
      <c r="AD92" s="41">
        <v>277</v>
      </c>
      <c r="AE92" s="42">
        <v>1</v>
      </c>
      <c r="AF92" s="40" t="s">
        <v>1072</v>
      </c>
      <c r="AG92" s="68">
        <v>453577.24</v>
      </c>
      <c r="AH92" s="42">
        <v>1</v>
      </c>
      <c r="AI92" s="40" t="s">
        <v>1072</v>
      </c>
      <c r="AJ92" s="70">
        <v>42000</v>
      </c>
      <c r="AK92" s="72">
        <f t="shared" si="6"/>
        <v>-453577.24</v>
      </c>
      <c r="AL92" s="72">
        <f t="shared" si="7"/>
        <v>-42000</v>
      </c>
      <c r="AM92">
        <v>-1</v>
      </c>
      <c r="AO92" s="102">
        <f t="shared" si="8"/>
        <v>1363949</v>
      </c>
      <c r="AP92" s="103">
        <f t="shared" si="9"/>
        <v>2260826</v>
      </c>
      <c r="AQ92" s="101">
        <f t="shared" si="10"/>
        <v>322029</v>
      </c>
      <c r="AR92" s="104">
        <f t="shared" si="11"/>
        <v>172273</v>
      </c>
    </row>
    <row r="93" spans="1:44">
      <c r="A93" s="14" t="s">
        <v>1224</v>
      </c>
      <c r="B93" s="15" t="s">
        <v>1225</v>
      </c>
      <c r="C93" s="14" t="s">
        <v>1220</v>
      </c>
      <c r="D93" s="14">
        <v>27</v>
      </c>
      <c r="E93" s="15" t="s">
        <v>1227</v>
      </c>
      <c r="F93" s="15" t="s">
        <v>1074</v>
      </c>
      <c r="G93" s="14" t="s">
        <v>1075</v>
      </c>
      <c r="H93" s="14"/>
      <c r="I93" s="14"/>
      <c r="J93" s="16">
        <v>2599.04</v>
      </c>
      <c r="K93" s="66">
        <v>4190461</v>
      </c>
      <c r="L93" s="66">
        <v>1851851</v>
      </c>
      <c r="M93" s="28">
        <v>6042312</v>
      </c>
      <c r="N93" s="64">
        <v>14588662</v>
      </c>
      <c r="O93" s="64">
        <v>1367347</v>
      </c>
      <c r="P93" s="64">
        <v>696530</v>
      </c>
      <c r="Q93" s="28">
        <v>16652539</v>
      </c>
      <c r="R93" s="62">
        <v>551534</v>
      </c>
      <c r="S93" s="28">
        <v>23246385</v>
      </c>
      <c r="T93" s="81">
        <v>1209731</v>
      </c>
      <c r="U93" s="81">
        <v>2715754</v>
      </c>
      <c r="V93" s="81">
        <v>675304</v>
      </c>
      <c r="W93" s="81">
        <v>1711251</v>
      </c>
      <c r="X93" s="28">
        <v>29558425</v>
      </c>
      <c r="Y93" s="28">
        <v>6764583</v>
      </c>
      <c r="Z93" s="28">
        <v>5348658</v>
      </c>
      <c r="AA93" s="28">
        <v>16761761</v>
      </c>
      <c r="AB93" s="28">
        <v>683423</v>
      </c>
      <c r="AC93" s="40" t="s">
        <v>184</v>
      </c>
      <c r="AD93" s="41">
        <v>278</v>
      </c>
      <c r="AE93" s="42">
        <v>1</v>
      </c>
      <c r="AF93" s="40" t="s">
        <v>1074</v>
      </c>
      <c r="AG93" s="68">
        <v>314961.40000000002</v>
      </c>
      <c r="AH93" s="42">
        <v>1</v>
      </c>
      <c r="AI93" s="40" t="s">
        <v>1074</v>
      </c>
      <c r="AJ93" s="70">
        <v>14879.46</v>
      </c>
      <c r="AK93" s="72">
        <f t="shared" si="6"/>
        <v>-314961.40000000002</v>
      </c>
      <c r="AL93" s="72">
        <f t="shared" si="7"/>
        <v>-14879.46</v>
      </c>
      <c r="AM93">
        <v>-1</v>
      </c>
      <c r="AO93" s="102">
        <f t="shared" si="8"/>
        <v>2574122</v>
      </c>
      <c r="AP93" s="103">
        <f t="shared" si="9"/>
        <v>3496807</v>
      </c>
      <c r="AQ93" s="101">
        <f t="shared" si="10"/>
        <v>109222</v>
      </c>
      <c r="AR93" s="104">
        <f t="shared" si="11"/>
        <v>131889</v>
      </c>
    </row>
    <row r="94" spans="1:44">
      <c r="A94" s="14" t="s">
        <v>1224</v>
      </c>
      <c r="B94" s="15" t="s">
        <v>1225</v>
      </c>
      <c r="C94" s="14" t="s">
        <v>1220</v>
      </c>
      <c r="D94" s="14">
        <v>27</v>
      </c>
      <c r="E94" s="15" t="s">
        <v>1227</v>
      </c>
      <c r="F94" s="15" t="s">
        <v>1076</v>
      </c>
      <c r="G94" s="14" t="s">
        <v>1077</v>
      </c>
      <c r="H94" s="14"/>
      <c r="I94" s="14"/>
      <c r="J94" s="16">
        <v>22246.68</v>
      </c>
      <c r="K94" s="66">
        <v>31240503</v>
      </c>
      <c r="L94" s="66">
        <v>10065005</v>
      </c>
      <c r="M94" s="28">
        <v>41305508</v>
      </c>
      <c r="N94" s="64">
        <v>144534319</v>
      </c>
      <c r="O94" s="64">
        <v>23364220</v>
      </c>
      <c r="P94" s="64">
        <v>5244324</v>
      </c>
      <c r="Q94" s="28">
        <v>173142863</v>
      </c>
      <c r="R94" s="62">
        <v>7372899</v>
      </c>
      <c r="S94" s="28">
        <v>221821270</v>
      </c>
      <c r="T94" s="81">
        <v>9284843</v>
      </c>
      <c r="U94" s="81">
        <v>13077544</v>
      </c>
      <c r="V94" s="81">
        <v>2554088</v>
      </c>
      <c r="W94" s="81">
        <v>21699196</v>
      </c>
      <c r="X94" s="28">
        <v>268436941</v>
      </c>
      <c r="Y94" s="28">
        <v>52749115</v>
      </c>
      <c r="Z94" s="28">
        <v>27377383</v>
      </c>
      <c r="AA94" s="28">
        <v>176452642</v>
      </c>
      <c r="AB94" s="28">
        <v>11857801</v>
      </c>
      <c r="AC94" s="40" t="s">
        <v>184</v>
      </c>
      <c r="AD94" s="41">
        <v>279</v>
      </c>
      <c r="AE94" s="42">
        <v>1</v>
      </c>
      <c r="AF94" s="40" t="s">
        <v>1076</v>
      </c>
      <c r="AG94" s="68">
        <v>1752698.52</v>
      </c>
      <c r="AH94" s="42">
        <v>1</v>
      </c>
      <c r="AI94" s="40" t="s">
        <v>1076</v>
      </c>
      <c r="AJ94" s="70">
        <v>1045980.06</v>
      </c>
      <c r="AK94" s="72">
        <f t="shared" si="6"/>
        <v>-1752698.52</v>
      </c>
      <c r="AL94" s="72">
        <f t="shared" si="7"/>
        <v>-1045980.06</v>
      </c>
      <c r="AM94">
        <v>-1</v>
      </c>
      <c r="AO94" s="102">
        <f t="shared" si="8"/>
        <v>21508612</v>
      </c>
      <c r="AP94" s="103">
        <f t="shared" si="9"/>
        <v>17312378</v>
      </c>
      <c r="AQ94" s="101">
        <f t="shared" si="10"/>
        <v>3309779</v>
      </c>
      <c r="AR94" s="104">
        <f t="shared" si="11"/>
        <v>4484902</v>
      </c>
    </row>
    <row r="95" spans="1:44">
      <c r="A95" s="14" t="s">
        <v>1224</v>
      </c>
      <c r="B95" s="15" t="s">
        <v>1225</v>
      </c>
      <c r="C95" s="14" t="s">
        <v>1220</v>
      </c>
      <c r="D95" s="14">
        <v>27</v>
      </c>
      <c r="E95" s="15" t="s">
        <v>1227</v>
      </c>
      <c r="F95" s="15" t="s">
        <v>903</v>
      </c>
      <c r="G95" s="14" t="s">
        <v>904</v>
      </c>
      <c r="H95" s="14"/>
      <c r="I95" s="14"/>
      <c r="J95" s="16">
        <v>4326.8100000000004</v>
      </c>
      <c r="K95" s="66">
        <v>8668862</v>
      </c>
      <c r="L95" s="66">
        <v>2499773</v>
      </c>
      <c r="M95" s="28">
        <v>11168635</v>
      </c>
      <c r="N95" s="64">
        <v>28931927</v>
      </c>
      <c r="O95" s="64">
        <v>3979883</v>
      </c>
      <c r="P95" s="64">
        <v>1457729</v>
      </c>
      <c r="Q95" s="28">
        <v>34369539</v>
      </c>
      <c r="R95" s="62">
        <v>2069252</v>
      </c>
      <c r="S95" s="28">
        <v>47607426</v>
      </c>
      <c r="T95" s="81">
        <v>1388226</v>
      </c>
      <c r="U95" s="81">
        <v>1182146</v>
      </c>
      <c r="V95" s="81">
        <v>111129</v>
      </c>
      <c r="W95" s="81">
        <v>3428722</v>
      </c>
      <c r="X95" s="28">
        <v>53717647</v>
      </c>
      <c r="Y95" s="28">
        <v>12249950</v>
      </c>
      <c r="Z95" s="28">
        <v>3457026</v>
      </c>
      <c r="AA95" s="28">
        <v>35060131</v>
      </c>
      <c r="AB95" s="28">
        <v>2950540</v>
      </c>
      <c r="AC95" s="40" t="s">
        <v>184</v>
      </c>
      <c r="AD95" s="41">
        <v>280</v>
      </c>
      <c r="AE95" s="42">
        <v>1</v>
      </c>
      <c r="AF95" s="40" t="s">
        <v>903</v>
      </c>
      <c r="AG95" s="68">
        <v>249851.81</v>
      </c>
      <c r="AH95" s="42">
        <v>1</v>
      </c>
      <c r="AI95" s="40" t="s">
        <v>903</v>
      </c>
      <c r="AJ95" s="70">
        <v>0</v>
      </c>
      <c r="AK95" s="72">
        <f t="shared" si="6"/>
        <v>-249851.81</v>
      </c>
      <c r="AL95" s="72">
        <f t="shared" si="7"/>
        <v>0</v>
      </c>
      <c r="AM95">
        <v>-1</v>
      </c>
      <c r="AO95" s="102">
        <f t="shared" si="8"/>
        <v>3581088</v>
      </c>
      <c r="AP95" s="103">
        <f t="shared" si="9"/>
        <v>957253</v>
      </c>
      <c r="AQ95" s="101">
        <f t="shared" si="10"/>
        <v>690592</v>
      </c>
      <c r="AR95" s="104">
        <f t="shared" si="11"/>
        <v>881288</v>
      </c>
    </row>
    <row r="96" spans="1:44">
      <c r="A96" s="14" t="s">
        <v>1224</v>
      </c>
      <c r="B96" s="15" t="s">
        <v>1225</v>
      </c>
      <c r="C96" s="14" t="s">
        <v>1220</v>
      </c>
      <c r="D96" s="14">
        <v>27</v>
      </c>
      <c r="E96" s="15" t="s">
        <v>1227</v>
      </c>
      <c r="F96" s="15" t="s">
        <v>905</v>
      </c>
      <c r="G96" s="14" t="s">
        <v>906</v>
      </c>
      <c r="H96" s="14"/>
      <c r="I96" s="14"/>
      <c r="J96" s="16">
        <v>13681.87</v>
      </c>
      <c r="K96" s="66">
        <v>19774559</v>
      </c>
      <c r="L96" s="66">
        <v>5686711</v>
      </c>
      <c r="M96" s="28">
        <v>25461270</v>
      </c>
      <c r="N96" s="64">
        <v>85158557</v>
      </c>
      <c r="O96" s="64">
        <v>10574853</v>
      </c>
      <c r="P96" s="64">
        <v>5129139</v>
      </c>
      <c r="Q96" s="28">
        <v>100862549</v>
      </c>
      <c r="R96" s="62">
        <v>6005038</v>
      </c>
      <c r="S96" s="28">
        <v>132328857</v>
      </c>
      <c r="T96" s="81">
        <v>6003445</v>
      </c>
      <c r="U96" s="81">
        <v>7466700</v>
      </c>
      <c r="V96" s="81">
        <v>8492911</v>
      </c>
      <c r="W96" s="81">
        <v>17774889</v>
      </c>
      <c r="X96" s="28">
        <v>172066802</v>
      </c>
      <c r="Y96" s="28">
        <v>41541129</v>
      </c>
      <c r="Z96" s="28">
        <v>17137894</v>
      </c>
      <c r="AA96" s="28">
        <v>104391165</v>
      </c>
      <c r="AB96" s="28">
        <v>8996614</v>
      </c>
      <c r="AC96" s="40" t="s">
        <v>184</v>
      </c>
      <c r="AD96" s="41">
        <v>281</v>
      </c>
      <c r="AE96" s="42">
        <v>1</v>
      </c>
      <c r="AF96" s="40" t="s">
        <v>905</v>
      </c>
      <c r="AG96" s="68">
        <v>1205758.27</v>
      </c>
      <c r="AH96" s="42">
        <v>1</v>
      </c>
      <c r="AI96" s="40" t="s">
        <v>905</v>
      </c>
      <c r="AJ96" s="70">
        <v>1272395.58</v>
      </c>
      <c r="AK96" s="72">
        <f t="shared" si="6"/>
        <v>-1205758.27</v>
      </c>
      <c r="AL96" s="72">
        <f t="shared" si="7"/>
        <v>-1272395.58</v>
      </c>
      <c r="AM96">
        <v>-1</v>
      </c>
      <c r="AO96" s="102">
        <f t="shared" si="8"/>
        <v>21766570</v>
      </c>
      <c r="AP96" s="103">
        <f t="shared" si="9"/>
        <v>11451183</v>
      </c>
      <c r="AQ96" s="101">
        <f t="shared" si="10"/>
        <v>3528616</v>
      </c>
      <c r="AR96" s="104">
        <f t="shared" si="11"/>
        <v>2991576</v>
      </c>
    </row>
    <row r="97" spans="1:44">
      <c r="A97" s="14" t="s">
        <v>1224</v>
      </c>
      <c r="B97" s="15" t="s">
        <v>1225</v>
      </c>
      <c r="C97" s="14" t="s">
        <v>1220</v>
      </c>
      <c r="D97" s="14">
        <v>27</v>
      </c>
      <c r="E97" s="15" t="s">
        <v>1227</v>
      </c>
      <c r="F97" s="15" t="s">
        <v>907</v>
      </c>
      <c r="G97" s="14" t="s">
        <v>908</v>
      </c>
      <c r="H97" s="14"/>
      <c r="I97" s="14"/>
      <c r="J97" s="16">
        <v>1726.94</v>
      </c>
      <c r="K97" s="66">
        <v>3471167</v>
      </c>
      <c r="L97" s="66">
        <v>753582</v>
      </c>
      <c r="M97" s="28">
        <v>4224749</v>
      </c>
      <c r="N97" s="64">
        <v>10598436</v>
      </c>
      <c r="O97" s="64">
        <v>580242</v>
      </c>
      <c r="P97" s="64">
        <v>543439</v>
      </c>
      <c r="Q97" s="28">
        <v>11722117</v>
      </c>
      <c r="R97" s="62">
        <v>428701</v>
      </c>
      <c r="S97" s="28">
        <v>16375567</v>
      </c>
      <c r="T97" s="81">
        <v>675571</v>
      </c>
      <c r="U97" s="81">
        <v>1242868</v>
      </c>
      <c r="V97" s="81">
        <v>17213</v>
      </c>
      <c r="W97" s="81">
        <v>370003</v>
      </c>
      <c r="X97" s="28">
        <v>18681221</v>
      </c>
      <c r="Y97" s="28">
        <v>3982956</v>
      </c>
      <c r="Z97" s="28">
        <v>2257203</v>
      </c>
      <c r="AA97" s="28">
        <v>11824767</v>
      </c>
      <c r="AB97" s="28">
        <v>616296</v>
      </c>
      <c r="AC97" s="40" t="s">
        <v>184</v>
      </c>
      <c r="AD97" s="41">
        <v>282</v>
      </c>
      <c r="AE97" s="42">
        <v>1</v>
      </c>
      <c r="AF97" s="40" t="s">
        <v>907</v>
      </c>
      <c r="AG97" s="68">
        <v>62119.33</v>
      </c>
      <c r="AH97" s="42">
        <v>1</v>
      </c>
      <c r="AI97" s="40" t="s">
        <v>907</v>
      </c>
      <c r="AJ97" s="70">
        <v>5123</v>
      </c>
      <c r="AK97" s="72">
        <f t="shared" si="6"/>
        <v>-62119.33</v>
      </c>
      <c r="AL97" s="72">
        <f t="shared" si="7"/>
        <v>-5123</v>
      </c>
      <c r="AM97">
        <v>-1</v>
      </c>
      <c r="AO97" s="102">
        <f t="shared" si="8"/>
        <v>511789</v>
      </c>
      <c r="AP97" s="103">
        <f t="shared" si="9"/>
        <v>1503621</v>
      </c>
      <c r="AQ97" s="101">
        <f t="shared" si="10"/>
        <v>102650</v>
      </c>
      <c r="AR97" s="104">
        <f t="shared" si="11"/>
        <v>187595</v>
      </c>
    </row>
    <row r="98" spans="1:44">
      <c r="A98" s="14" t="s">
        <v>1224</v>
      </c>
      <c r="B98" s="15" t="s">
        <v>1225</v>
      </c>
      <c r="C98" s="14" t="s">
        <v>1220</v>
      </c>
      <c r="D98" s="14">
        <v>27</v>
      </c>
      <c r="E98" s="15" t="s">
        <v>1227</v>
      </c>
      <c r="F98" s="15" t="s">
        <v>909</v>
      </c>
      <c r="G98" s="14" t="s">
        <v>910</v>
      </c>
      <c r="H98" s="14"/>
      <c r="I98" s="14"/>
      <c r="J98" s="16">
        <v>4399.3500000000004</v>
      </c>
      <c r="K98" s="66">
        <v>10107266</v>
      </c>
      <c r="L98" s="66">
        <v>2457026</v>
      </c>
      <c r="M98" s="28">
        <v>12564292</v>
      </c>
      <c r="N98" s="64">
        <v>26916007</v>
      </c>
      <c r="O98" s="64">
        <v>4605795</v>
      </c>
      <c r="P98" s="64">
        <v>1555232</v>
      </c>
      <c r="Q98" s="28">
        <v>33077034</v>
      </c>
      <c r="R98" s="62">
        <v>1886889</v>
      </c>
      <c r="S98" s="28">
        <v>47528215</v>
      </c>
      <c r="T98" s="81">
        <v>1758214</v>
      </c>
      <c r="U98" s="81">
        <v>6089326</v>
      </c>
      <c r="V98" s="81">
        <v>1327458</v>
      </c>
      <c r="W98" s="81">
        <v>7162249</v>
      </c>
      <c r="X98" s="28">
        <v>63865461</v>
      </c>
      <c r="Y98" s="28">
        <v>17657141</v>
      </c>
      <c r="Z98" s="28">
        <v>9668323</v>
      </c>
      <c r="AA98" s="28">
        <v>34086642</v>
      </c>
      <c r="AB98" s="28">
        <v>2453355</v>
      </c>
      <c r="AC98" s="40" t="s">
        <v>184</v>
      </c>
      <c r="AD98" s="41">
        <v>283</v>
      </c>
      <c r="AE98" s="42">
        <v>1</v>
      </c>
      <c r="AF98" s="40" t="s">
        <v>909</v>
      </c>
      <c r="AG98" s="68">
        <v>458814.01</v>
      </c>
      <c r="AH98" s="42">
        <v>1</v>
      </c>
      <c r="AI98" s="40" t="s">
        <v>909</v>
      </c>
      <c r="AJ98" s="70">
        <v>420954.64</v>
      </c>
      <c r="AK98" s="72">
        <f t="shared" si="6"/>
        <v>-458814.01</v>
      </c>
      <c r="AL98" s="72">
        <f t="shared" si="7"/>
        <v>-420954.64</v>
      </c>
      <c r="AM98">
        <v>-1</v>
      </c>
      <c r="AO98" s="102">
        <f t="shared" si="8"/>
        <v>7549875</v>
      </c>
      <c r="AP98" s="103">
        <f t="shared" si="9"/>
        <v>7211297</v>
      </c>
      <c r="AQ98" s="101">
        <f t="shared" si="10"/>
        <v>1009608</v>
      </c>
      <c r="AR98" s="104">
        <f t="shared" si="11"/>
        <v>566466</v>
      </c>
    </row>
    <row r="99" spans="1:44">
      <c r="A99" s="14" t="s">
        <v>1224</v>
      </c>
      <c r="B99" s="15" t="s">
        <v>1225</v>
      </c>
      <c r="C99" s="14" t="s">
        <v>1220</v>
      </c>
      <c r="D99" s="14">
        <v>27</v>
      </c>
      <c r="E99" s="15" t="s">
        <v>1227</v>
      </c>
      <c r="F99" s="15" t="s">
        <v>911</v>
      </c>
      <c r="G99" s="14" t="s">
        <v>912</v>
      </c>
      <c r="H99" s="14"/>
      <c r="I99" s="14"/>
      <c r="J99" s="16">
        <v>10037.950000000001</v>
      </c>
      <c r="K99" s="66">
        <v>25601798</v>
      </c>
      <c r="L99" s="66">
        <v>3726774</v>
      </c>
      <c r="M99" s="28">
        <v>29328572</v>
      </c>
      <c r="N99" s="64">
        <v>59993739</v>
      </c>
      <c r="O99" s="64">
        <v>5609601</v>
      </c>
      <c r="P99" s="64">
        <v>2687145</v>
      </c>
      <c r="Q99" s="28">
        <v>68290485</v>
      </c>
      <c r="R99" s="62">
        <v>1889930</v>
      </c>
      <c r="S99" s="28">
        <v>99508987</v>
      </c>
      <c r="T99" s="81">
        <v>4540138</v>
      </c>
      <c r="U99" s="81">
        <v>6582985</v>
      </c>
      <c r="V99" s="81">
        <v>35446</v>
      </c>
      <c r="W99" s="81">
        <v>10424564</v>
      </c>
      <c r="X99" s="28">
        <v>121092120</v>
      </c>
      <c r="Y99" s="28">
        <v>36127699</v>
      </c>
      <c r="Z99" s="28">
        <v>13454500</v>
      </c>
      <c r="AA99" s="28">
        <v>68884821</v>
      </c>
      <c r="AB99" s="28">
        <v>2625100</v>
      </c>
      <c r="AC99" s="40" t="s">
        <v>184</v>
      </c>
      <c r="AD99" s="41">
        <v>284</v>
      </c>
      <c r="AE99" s="42">
        <v>1</v>
      </c>
      <c r="AF99" s="40" t="s">
        <v>911</v>
      </c>
      <c r="AG99" s="68">
        <v>609198.88</v>
      </c>
      <c r="AH99" s="42">
        <v>1</v>
      </c>
      <c r="AI99" s="40" t="s">
        <v>911</v>
      </c>
      <c r="AJ99" s="70">
        <v>240747.82</v>
      </c>
      <c r="AK99" s="72">
        <f t="shared" si="6"/>
        <v>-609198.88</v>
      </c>
      <c r="AL99" s="72">
        <f t="shared" si="7"/>
        <v>-240747.82</v>
      </c>
      <c r="AM99">
        <v>-1</v>
      </c>
      <c r="AO99" s="102">
        <f t="shared" si="8"/>
        <v>10525901</v>
      </c>
      <c r="AP99" s="103">
        <f t="shared" si="9"/>
        <v>9727726</v>
      </c>
      <c r="AQ99" s="101">
        <f t="shared" si="10"/>
        <v>594336</v>
      </c>
      <c r="AR99" s="104">
        <f t="shared" si="11"/>
        <v>735170</v>
      </c>
    </row>
    <row r="100" spans="1:44">
      <c r="A100" s="14" t="s">
        <v>1224</v>
      </c>
      <c r="B100" s="15" t="s">
        <v>1225</v>
      </c>
      <c r="C100" s="14" t="s">
        <v>1220</v>
      </c>
      <c r="D100" s="14">
        <v>27</v>
      </c>
      <c r="E100" s="15" t="s">
        <v>1227</v>
      </c>
      <c r="F100" s="15" t="s">
        <v>913</v>
      </c>
      <c r="G100" s="14" t="s">
        <v>914</v>
      </c>
      <c r="H100" s="14"/>
      <c r="I100" s="14"/>
      <c r="J100" s="16">
        <v>1781.05</v>
      </c>
      <c r="K100" s="66">
        <v>1078212</v>
      </c>
      <c r="L100" s="66">
        <v>683857</v>
      </c>
      <c r="M100" s="28">
        <v>1762069</v>
      </c>
      <c r="N100" s="64">
        <v>12855550</v>
      </c>
      <c r="O100" s="64">
        <v>994460</v>
      </c>
      <c r="P100" s="64">
        <v>723889</v>
      </c>
      <c r="Q100" s="28">
        <v>14573899</v>
      </c>
      <c r="R100" s="62">
        <v>1446038</v>
      </c>
      <c r="S100" s="28">
        <v>17782006</v>
      </c>
      <c r="T100" s="81">
        <v>867808</v>
      </c>
      <c r="U100" s="81">
        <v>762632</v>
      </c>
      <c r="V100" s="81">
        <v>5929</v>
      </c>
      <c r="W100" s="81">
        <v>3444452</v>
      </c>
      <c r="X100" s="28">
        <v>22862826</v>
      </c>
      <c r="Y100" s="28">
        <v>3099060</v>
      </c>
      <c r="Z100" s="28">
        <v>2626296</v>
      </c>
      <c r="AA100" s="28">
        <v>15106517</v>
      </c>
      <c r="AB100" s="28">
        <v>2030954</v>
      </c>
      <c r="AC100" s="40" t="s">
        <v>184</v>
      </c>
      <c r="AD100" s="41">
        <v>286</v>
      </c>
      <c r="AE100" s="42">
        <v>1</v>
      </c>
      <c r="AF100" s="40" t="s">
        <v>913</v>
      </c>
      <c r="AG100" s="68">
        <v>200475.55</v>
      </c>
      <c r="AH100" s="42">
        <v>1</v>
      </c>
      <c r="AI100" s="40" t="s">
        <v>913</v>
      </c>
      <c r="AJ100" s="70">
        <v>84421.88</v>
      </c>
      <c r="AK100" s="72">
        <f t="shared" si="6"/>
        <v>-200475.55</v>
      </c>
      <c r="AL100" s="72">
        <f t="shared" si="7"/>
        <v>-84421.88</v>
      </c>
      <c r="AM100">
        <v>-1</v>
      </c>
      <c r="AO100" s="102">
        <f t="shared" si="8"/>
        <v>2020848</v>
      </c>
      <c r="AP100" s="103">
        <f t="shared" si="9"/>
        <v>1942439</v>
      </c>
      <c r="AQ100" s="101">
        <f t="shared" si="10"/>
        <v>532618</v>
      </c>
      <c r="AR100" s="104">
        <f t="shared" si="11"/>
        <v>584916</v>
      </c>
    </row>
    <row r="101" spans="1:44">
      <c r="A101" s="14" t="s">
        <v>1017</v>
      </c>
      <c r="B101" s="15" t="s">
        <v>1018</v>
      </c>
      <c r="C101" s="14" t="s">
        <v>1220</v>
      </c>
      <c r="D101" s="14">
        <v>28</v>
      </c>
      <c r="E101" s="15" t="s">
        <v>915</v>
      </c>
      <c r="F101" s="15" t="s">
        <v>916</v>
      </c>
      <c r="G101" s="14" t="s">
        <v>917</v>
      </c>
      <c r="H101" s="14"/>
      <c r="I101" s="14"/>
      <c r="J101" s="16">
        <v>1164.72</v>
      </c>
      <c r="K101" s="66">
        <v>494365</v>
      </c>
      <c r="L101" s="66">
        <v>396918</v>
      </c>
      <c r="M101" s="28">
        <v>891283</v>
      </c>
      <c r="N101" s="64">
        <v>7815143</v>
      </c>
      <c r="O101" s="64">
        <v>181309</v>
      </c>
      <c r="P101" s="64">
        <v>42872</v>
      </c>
      <c r="Q101" s="28">
        <v>8039324</v>
      </c>
      <c r="R101" s="62">
        <v>89448</v>
      </c>
      <c r="S101" s="28">
        <v>9020055</v>
      </c>
      <c r="T101" s="81">
        <v>211148</v>
      </c>
      <c r="U101" s="81">
        <v>134956</v>
      </c>
      <c r="V101" s="81">
        <v>0</v>
      </c>
      <c r="W101" s="81">
        <v>0</v>
      </c>
      <c r="X101" s="28">
        <v>9366157</v>
      </c>
      <c r="Y101" s="28">
        <v>518857</v>
      </c>
      <c r="Z101" s="28">
        <v>598989</v>
      </c>
      <c r="AA101" s="28">
        <v>8079180</v>
      </c>
      <c r="AB101" s="28">
        <v>169131</v>
      </c>
      <c r="AC101" s="40" t="s">
        <v>184</v>
      </c>
      <c r="AD101" s="41">
        <v>294</v>
      </c>
      <c r="AE101" s="42">
        <v>1</v>
      </c>
      <c r="AF101" s="40" t="s">
        <v>916</v>
      </c>
      <c r="AG101" s="68">
        <v>39001.120000000003</v>
      </c>
      <c r="AH101" s="42">
        <v>1</v>
      </c>
      <c r="AI101" s="40" t="s">
        <v>916</v>
      </c>
      <c r="AJ101" s="70">
        <v>0</v>
      </c>
      <c r="AK101" s="72">
        <f t="shared" si="6"/>
        <v>-39001.120000000003</v>
      </c>
      <c r="AL101" s="72">
        <f t="shared" si="7"/>
        <v>0</v>
      </c>
      <c r="AM101">
        <v>-1</v>
      </c>
      <c r="AO101" s="102">
        <f t="shared" si="8"/>
        <v>24492</v>
      </c>
      <c r="AP101" s="103">
        <f t="shared" si="9"/>
        <v>202071</v>
      </c>
      <c r="AQ101" s="101">
        <f t="shared" si="10"/>
        <v>39856</v>
      </c>
      <c r="AR101" s="104">
        <f t="shared" si="11"/>
        <v>79683</v>
      </c>
    </row>
    <row r="102" spans="1:44">
      <c r="A102" s="14" t="s">
        <v>1017</v>
      </c>
      <c r="B102" s="15" t="s">
        <v>1018</v>
      </c>
      <c r="C102" s="14" t="s">
        <v>1220</v>
      </c>
      <c r="D102" s="14">
        <v>28</v>
      </c>
      <c r="E102" s="15" t="s">
        <v>915</v>
      </c>
      <c r="F102" s="15" t="s">
        <v>918</v>
      </c>
      <c r="G102" s="14" t="s">
        <v>919</v>
      </c>
      <c r="H102" s="14"/>
      <c r="I102" s="14"/>
      <c r="J102" s="16">
        <v>342.66</v>
      </c>
      <c r="K102" s="66">
        <v>391321</v>
      </c>
      <c r="L102" s="66">
        <v>231183</v>
      </c>
      <c r="M102" s="28">
        <v>622504</v>
      </c>
      <c r="N102" s="64">
        <v>2421395</v>
      </c>
      <c r="O102" s="64">
        <v>85148</v>
      </c>
      <c r="P102" s="64">
        <v>28016</v>
      </c>
      <c r="Q102" s="28">
        <v>2534559</v>
      </c>
      <c r="R102" s="62">
        <v>86801</v>
      </c>
      <c r="S102" s="28">
        <v>3243864</v>
      </c>
      <c r="T102" s="81">
        <v>165402</v>
      </c>
      <c r="U102" s="81">
        <v>71271</v>
      </c>
      <c r="V102" s="81">
        <v>0</v>
      </c>
      <c r="W102" s="81">
        <v>133755</v>
      </c>
      <c r="X102" s="28">
        <v>3614293</v>
      </c>
      <c r="Y102" s="28">
        <v>496390</v>
      </c>
      <c r="Z102" s="28">
        <v>357055</v>
      </c>
      <c r="AA102" s="28">
        <v>2609343</v>
      </c>
      <c r="AB102" s="28">
        <v>151505</v>
      </c>
      <c r="AC102" s="40" t="s">
        <v>184</v>
      </c>
      <c r="AD102" s="41">
        <v>297</v>
      </c>
      <c r="AE102" s="42">
        <v>1</v>
      </c>
      <c r="AF102" s="40" t="s">
        <v>918</v>
      </c>
      <c r="AG102" s="68">
        <v>25172.41</v>
      </c>
      <c r="AH102" s="42">
        <v>1</v>
      </c>
      <c r="AI102" s="40" t="s">
        <v>918</v>
      </c>
      <c r="AJ102" s="70">
        <v>0</v>
      </c>
      <c r="AK102" s="72">
        <f t="shared" si="6"/>
        <v>-25172.41</v>
      </c>
      <c r="AL102" s="72">
        <f t="shared" si="7"/>
        <v>0</v>
      </c>
      <c r="AM102">
        <v>-1</v>
      </c>
      <c r="AO102" s="102">
        <f t="shared" si="8"/>
        <v>105069</v>
      </c>
      <c r="AP102" s="103">
        <f t="shared" si="9"/>
        <v>125872</v>
      </c>
      <c r="AQ102" s="101">
        <f t="shared" si="10"/>
        <v>74784</v>
      </c>
      <c r="AR102" s="104">
        <f t="shared" si="11"/>
        <v>64704</v>
      </c>
    </row>
    <row r="103" spans="1:44">
      <c r="A103" s="14" t="s">
        <v>1017</v>
      </c>
      <c r="B103" s="15" t="s">
        <v>1018</v>
      </c>
      <c r="C103" s="14" t="s">
        <v>1220</v>
      </c>
      <c r="D103" s="14">
        <v>28</v>
      </c>
      <c r="E103" s="15" t="s">
        <v>915</v>
      </c>
      <c r="F103" s="15" t="s">
        <v>920</v>
      </c>
      <c r="G103" s="14" t="s">
        <v>921</v>
      </c>
      <c r="H103" s="14"/>
      <c r="I103" s="14"/>
      <c r="J103" s="16">
        <v>821.01</v>
      </c>
      <c r="K103" s="66">
        <v>614644</v>
      </c>
      <c r="L103" s="66">
        <v>339390</v>
      </c>
      <c r="M103" s="28">
        <v>954034</v>
      </c>
      <c r="N103" s="64">
        <v>5711451</v>
      </c>
      <c r="O103" s="64">
        <v>698158</v>
      </c>
      <c r="P103" s="64">
        <v>113333</v>
      </c>
      <c r="Q103" s="28">
        <v>6522942</v>
      </c>
      <c r="R103" s="62">
        <v>168274</v>
      </c>
      <c r="S103" s="28">
        <v>7645250</v>
      </c>
      <c r="T103" s="81">
        <v>398584</v>
      </c>
      <c r="U103" s="81">
        <v>302423</v>
      </c>
      <c r="V103" s="81">
        <v>0</v>
      </c>
      <c r="W103" s="81">
        <v>1346679</v>
      </c>
      <c r="X103" s="28">
        <v>9692937</v>
      </c>
      <c r="Y103" s="28">
        <v>1673496</v>
      </c>
      <c r="Z103" s="28">
        <v>786846</v>
      </c>
      <c r="AA103" s="28">
        <v>6933260</v>
      </c>
      <c r="AB103" s="28">
        <v>299335</v>
      </c>
      <c r="AC103" s="40" t="s">
        <v>184</v>
      </c>
      <c r="AD103" s="41">
        <v>299</v>
      </c>
      <c r="AE103" s="42">
        <v>1</v>
      </c>
      <c r="AF103" s="40" t="s">
        <v>920</v>
      </c>
      <c r="AG103" s="68">
        <v>83033.509999999995</v>
      </c>
      <c r="AH103" s="42">
        <v>1</v>
      </c>
      <c r="AI103" s="40" t="s">
        <v>920</v>
      </c>
      <c r="AJ103" s="70">
        <v>34557.699999999997</v>
      </c>
      <c r="AK103" s="72">
        <f t="shared" si="6"/>
        <v>-83033.509999999995</v>
      </c>
      <c r="AL103" s="72">
        <f t="shared" si="7"/>
        <v>-34557.699999999997</v>
      </c>
      <c r="AM103">
        <v>-1</v>
      </c>
      <c r="AO103" s="102">
        <f t="shared" si="8"/>
        <v>1058852</v>
      </c>
      <c r="AP103" s="103">
        <f t="shared" si="9"/>
        <v>447456</v>
      </c>
      <c r="AQ103" s="101">
        <f t="shared" si="10"/>
        <v>410318</v>
      </c>
      <c r="AR103" s="104">
        <f t="shared" si="11"/>
        <v>131061</v>
      </c>
    </row>
    <row r="104" spans="1:44">
      <c r="A104" s="14" t="s">
        <v>1017</v>
      </c>
      <c r="B104" s="15" t="s">
        <v>1018</v>
      </c>
      <c r="C104" s="14" t="s">
        <v>1220</v>
      </c>
      <c r="D104" s="14">
        <v>28</v>
      </c>
      <c r="E104" s="15" t="s">
        <v>915</v>
      </c>
      <c r="F104" s="15" t="s">
        <v>922</v>
      </c>
      <c r="G104" s="14" t="s">
        <v>923</v>
      </c>
      <c r="H104" s="14"/>
      <c r="I104" s="14"/>
      <c r="J104" s="16">
        <v>1431.29</v>
      </c>
      <c r="K104" s="66">
        <v>792985</v>
      </c>
      <c r="L104" s="66">
        <v>547316</v>
      </c>
      <c r="M104" s="28">
        <v>1340301</v>
      </c>
      <c r="N104" s="64">
        <v>9357639</v>
      </c>
      <c r="O104" s="64">
        <v>991282</v>
      </c>
      <c r="P104" s="64">
        <v>146282</v>
      </c>
      <c r="Q104" s="28">
        <v>10495203</v>
      </c>
      <c r="R104" s="62">
        <v>138934</v>
      </c>
      <c r="S104" s="28">
        <v>11974438</v>
      </c>
      <c r="T104" s="81">
        <v>659553</v>
      </c>
      <c r="U104" s="81">
        <v>475382</v>
      </c>
      <c r="V104" s="81">
        <v>0</v>
      </c>
      <c r="W104" s="81">
        <v>736346</v>
      </c>
      <c r="X104" s="28">
        <v>13845719</v>
      </c>
      <c r="Y104" s="28">
        <v>1498884</v>
      </c>
      <c r="Z104" s="28">
        <v>1339085</v>
      </c>
      <c r="AA104" s="28">
        <v>10730519</v>
      </c>
      <c r="AB104" s="28">
        <v>277231</v>
      </c>
      <c r="AC104" s="40" t="s">
        <v>184</v>
      </c>
      <c r="AD104" s="41">
        <v>300</v>
      </c>
      <c r="AE104" s="42">
        <v>1</v>
      </c>
      <c r="AF104" s="40" t="s">
        <v>922</v>
      </c>
      <c r="AG104" s="68">
        <v>107245.83</v>
      </c>
      <c r="AH104" s="42">
        <v>1</v>
      </c>
      <c r="AI104" s="40" t="s">
        <v>922</v>
      </c>
      <c r="AJ104" s="70">
        <v>0</v>
      </c>
      <c r="AK104" s="72">
        <f t="shared" si="6"/>
        <v>-107245.83</v>
      </c>
      <c r="AL104" s="72">
        <f t="shared" si="7"/>
        <v>0</v>
      </c>
      <c r="AM104">
        <v>-1</v>
      </c>
      <c r="AO104" s="102">
        <f t="shared" si="8"/>
        <v>705899</v>
      </c>
      <c r="AP104" s="103">
        <f t="shared" si="9"/>
        <v>791769</v>
      </c>
      <c r="AQ104" s="101">
        <f t="shared" si="10"/>
        <v>235316</v>
      </c>
      <c r="AR104" s="104">
        <f t="shared" si="11"/>
        <v>138297</v>
      </c>
    </row>
    <row r="105" spans="1:44">
      <c r="A105" s="14" t="s">
        <v>1258</v>
      </c>
      <c r="B105" s="15" t="s">
        <v>1259</v>
      </c>
      <c r="C105" s="14" t="s">
        <v>1220</v>
      </c>
      <c r="D105" s="14">
        <v>29</v>
      </c>
      <c r="E105" s="15" t="s">
        <v>924</v>
      </c>
      <c r="F105" s="15" t="s">
        <v>925</v>
      </c>
      <c r="G105" s="14" t="s">
        <v>926</v>
      </c>
      <c r="H105" s="14"/>
      <c r="I105" s="14"/>
      <c r="J105" s="16">
        <v>287.14999999999998</v>
      </c>
      <c r="K105" s="66">
        <v>122507</v>
      </c>
      <c r="L105" s="66">
        <v>150047</v>
      </c>
      <c r="M105" s="28">
        <v>272554</v>
      </c>
      <c r="N105" s="64">
        <v>1982687</v>
      </c>
      <c r="O105" s="64">
        <v>365613</v>
      </c>
      <c r="P105" s="64">
        <v>12651</v>
      </c>
      <c r="Q105" s="28">
        <v>2360951</v>
      </c>
      <c r="R105" s="62">
        <v>127943</v>
      </c>
      <c r="S105" s="28">
        <v>2761448</v>
      </c>
      <c r="T105" s="81">
        <v>144575</v>
      </c>
      <c r="U105" s="81">
        <v>32026</v>
      </c>
      <c r="V105" s="81">
        <v>11204</v>
      </c>
      <c r="W105" s="81">
        <v>759576</v>
      </c>
      <c r="X105" s="28">
        <v>3708829</v>
      </c>
      <c r="Y105" s="28">
        <v>773453</v>
      </c>
      <c r="Z105" s="28">
        <v>271315</v>
      </c>
      <c r="AA105" s="28">
        <v>2439538</v>
      </c>
      <c r="AB105" s="28">
        <v>224523</v>
      </c>
      <c r="AC105" s="40" t="s">
        <v>184</v>
      </c>
      <c r="AD105" s="41">
        <v>306</v>
      </c>
      <c r="AE105" s="42">
        <v>1</v>
      </c>
      <c r="AF105" s="40" t="s">
        <v>925</v>
      </c>
      <c r="AG105" s="68">
        <v>18751.22</v>
      </c>
      <c r="AH105" s="42">
        <v>1</v>
      </c>
      <c r="AI105" s="40" t="s">
        <v>925</v>
      </c>
      <c r="AJ105" s="70">
        <v>0</v>
      </c>
      <c r="AK105" s="72">
        <f t="shared" si="6"/>
        <v>-18751.22</v>
      </c>
      <c r="AL105" s="72">
        <f t="shared" si="7"/>
        <v>0</v>
      </c>
      <c r="AM105">
        <v>-1</v>
      </c>
      <c r="AO105" s="102">
        <f t="shared" si="8"/>
        <v>650946</v>
      </c>
      <c r="AP105" s="103">
        <f t="shared" si="9"/>
        <v>121268</v>
      </c>
      <c r="AQ105" s="101">
        <f t="shared" si="10"/>
        <v>78587</v>
      </c>
      <c r="AR105" s="104">
        <f t="shared" si="11"/>
        <v>96580</v>
      </c>
    </row>
    <row r="106" spans="1:44">
      <c r="A106" s="14" t="s">
        <v>1258</v>
      </c>
      <c r="B106" s="15" t="s">
        <v>1259</v>
      </c>
      <c r="C106" s="14" t="s">
        <v>1220</v>
      </c>
      <c r="D106" s="14">
        <v>29</v>
      </c>
      <c r="E106" s="15" t="s">
        <v>924</v>
      </c>
      <c r="F106" s="15" t="s">
        <v>927</v>
      </c>
      <c r="G106" s="14" t="s">
        <v>928</v>
      </c>
      <c r="H106" s="14"/>
      <c r="I106" s="14"/>
      <c r="J106" s="16">
        <v>537.13</v>
      </c>
      <c r="K106" s="66">
        <v>301625</v>
      </c>
      <c r="L106" s="66">
        <v>406959</v>
      </c>
      <c r="M106" s="28">
        <v>708584</v>
      </c>
      <c r="N106" s="64">
        <v>3489656</v>
      </c>
      <c r="O106" s="64">
        <v>435128</v>
      </c>
      <c r="P106" s="64">
        <v>100069</v>
      </c>
      <c r="Q106" s="28">
        <v>4024853</v>
      </c>
      <c r="R106" s="62">
        <v>225931</v>
      </c>
      <c r="S106" s="28">
        <v>4959368</v>
      </c>
      <c r="T106" s="81">
        <v>230122</v>
      </c>
      <c r="U106" s="81">
        <v>98184</v>
      </c>
      <c r="V106" s="81">
        <v>0</v>
      </c>
      <c r="W106" s="81">
        <v>320327</v>
      </c>
      <c r="X106" s="28">
        <v>5608001</v>
      </c>
      <c r="Y106" s="28">
        <v>635780</v>
      </c>
      <c r="Z106" s="28">
        <v>547460</v>
      </c>
      <c r="AA106" s="28">
        <v>4067675</v>
      </c>
      <c r="AB106" s="28">
        <v>357086</v>
      </c>
      <c r="AC106" s="40" t="s">
        <v>184</v>
      </c>
      <c r="AD106" s="41">
        <v>308</v>
      </c>
      <c r="AE106" s="42">
        <v>1</v>
      </c>
      <c r="AF106" s="40" t="s">
        <v>927</v>
      </c>
      <c r="AG106" s="68">
        <v>42011.48</v>
      </c>
      <c r="AH106" s="42">
        <v>1</v>
      </c>
      <c r="AI106" s="40" t="s">
        <v>927</v>
      </c>
      <c r="AJ106" s="70">
        <v>4082.36</v>
      </c>
      <c r="AK106" s="72">
        <f t="shared" si="6"/>
        <v>-42011.48</v>
      </c>
      <c r="AL106" s="72">
        <f t="shared" si="7"/>
        <v>-4082.36</v>
      </c>
      <c r="AM106">
        <v>-1</v>
      </c>
      <c r="AO106" s="102">
        <f t="shared" si="8"/>
        <v>334155</v>
      </c>
      <c r="AP106" s="103">
        <f t="shared" si="9"/>
        <v>140501</v>
      </c>
      <c r="AQ106" s="101">
        <f t="shared" si="10"/>
        <v>42822</v>
      </c>
      <c r="AR106" s="104">
        <f t="shared" si="11"/>
        <v>131155</v>
      </c>
    </row>
    <row r="107" spans="1:44">
      <c r="A107" s="14" t="s">
        <v>1258</v>
      </c>
      <c r="B107" s="15" t="s">
        <v>1259</v>
      </c>
      <c r="C107" s="14" t="s">
        <v>1220</v>
      </c>
      <c r="D107" s="14">
        <v>29</v>
      </c>
      <c r="E107" s="15" t="s">
        <v>924</v>
      </c>
      <c r="F107" s="15" t="s">
        <v>929</v>
      </c>
      <c r="G107" s="14" t="s">
        <v>930</v>
      </c>
      <c r="H107" s="14"/>
      <c r="I107" s="14"/>
      <c r="J107" s="16">
        <v>1623.22</v>
      </c>
      <c r="K107" s="66">
        <v>373039</v>
      </c>
      <c r="L107" s="66">
        <v>1347457</v>
      </c>
      <c r="M107" s="28">
        <v>1720496</v>
      </c>
      <c r="N107" s="64">
        <v>10448462</v>
      </c>
      <c r="O107" s="64">
        <v>1088754</v>
      </c>
      <c r="P107" s="64">
        <v>95882</v>
      </c>
      <c r="Q107" s="28">
        <v>11633098</v>
      </c>
      <c r="R107" s="62">
        <v>1098809</v>
      </c>
      <c r="S107" s="28">
        <v>14452403</v>
      </c>
      <c r="T107" s="81">
        <v>725454</v>
      </c>
      <c r="U107" s="81">
        <v>359801</v>
      </c>
      <c r="V107" s="81">
        <v>0</v>
      </c>
      <c r="W107" s="81">
        <v>2722502</v>
      </c>
      <c r="X107" s="28">
        <v>18260160</v>
      </c>
      <c r="Y107" s="28">
        <v>3004971</v>
      </c>
      <c r="Z107" s="28">
        <v>1903265</v>
      </c>
      <c r="AA107" s="28">
        <v>11932968</v>
      </c>
      <c r="AB107" s="28">
        <v>1418957</v>
      </c>
      <c r="AC107" s="40" t="s">
        <v>184</v>
      </c>
      <c r="AD107" s="41">
        <v>309</v>
      </c>
      <c r="AE107" s="42">
        <v>1</v>
      </c>
      <c r="AF107" s="40" t="s">
        <v>929</v>
      </c>
      <c r="AG107" s="68">
        <v>132528.59</v>
      </c>
      <c r="AH107" s="42">
        <v>1</v>
      </c>
      <c r="AI107" s="40" t="s">
        <v>929</v>
      </c>
      <c r="AJ107" s="70">
        <v>20947.25</v>
      </c>
      <c r="AK107" s="72">
        <f t="shared" si="6"/>
        <v>-132528.59</v>
      </c>
      <c r="AL107" s="72">
        <f t="shared" si="7"/>
        <v>-20947.25</v>
      </c>
      <c r="AM107">
        <v>-1</v>
      </c>
      <c r="AO107" s="102">
        <f t="shared" si="8"/>
        <v>2631932</v>
      </c>
      <c r="AP107" s="103">
        <f t="shared" si="9"/>
        <v>555808</v>
      </c>
      <c r="AQ107" s="101">
        <f t="shared" si="10"/>
        <v>299870</v>
      </c>
      <c r="AR107" s="104">
        <f t="shared" si="11"/>
        <v>320148</v>
      </c>
    </row>
    <row r="108" spans="1:44">
      <c r="A108" s="14" t="s">
        <v>1146</v>
      </c>
      <c r="B108" s="15" t="s">
        <v>1147</v>
      </c>
      <c r="C108" s="14" t="s">
        <v>1220</v>
      </c>
      <c r="D108" s="14">
        <v>30</v>
      </c>
      <c r="E108" s="15" t="s">
        <v>931</v>
      </c>
      <c r="F108" s="15" t="s">
        <v>932</v>
      </c>
      <c r="G108" s="14" t="s">
        <v>933</v>
      </c>
      <c r="H108" s="14"/>
      <c r="I108" s="14"/>
      <c r="J108" s="16">
        <v>965.06</v>
      </c>
      <c r="K108" s="66">
        <v>312471</v>
      </c>
      <c r="L108" s="66">
        <v>258277</v>
      </c>
      <c r="M108" s="28">
        <v>570748</v>
      </c>
      <c r="N108" s="64">
        <v>6116281</v>
      </c>
      <c r="O108" s="64">
        <v>514004</v>
      </c>
      <c r="P108" s="64">
        <v>29340</v>
      </c>
      <c r="Q108" s="28">
        <v>6659625</v>
      </c>
      <c r="R108" s="62">
        <v>296487</v>
      </c>
      <c r="S108" s="28">
        <v>7526860</v>
      </c>
      <c r="T108" s="81">
        <v>390858</v>
      </c>
      <c r="U108" s="81">
        <v>136976</v>
      </c>
      <c r="V108" s="81">
        <v>0</v>
      </c>
      <c r="W108" s="81">
        <v>643173</v>
      </c>
      <c r="X108" s="28">
        <v>8697867</v>
      </c>
      <c r="Y108" s="28">
        <v>899554</v>
      </c>
      <c r="Z108" s="28">
        <v>504376</v>
      </c>
      <c r="AA108" s="28">
        <v>6821744</v>
      </c>
      <c r="AB108" s="28">
        <v>472193</v>
      </c>
      <c r="AC108" s="40" t="s">
        <v>184</v>
      </c>
      <c r="AD108" s="41">
        <v>314</v>
      </c>
      <c r="AE108" s="42">
        <v>1</v>
      </c>
      <c r="AF108" s="40" t="s">
        <v>932</v>
      </c>
      <c r="AG108" s="68">
        <v>67742.7</v>
      </c>
      <c r="AH108" s="42">
        <v>1</v>
      </c>
      <c r="AI108" s="40" t="s">
        <v>932</v>
      </c>
      <c r="AJ108" s="70">
        <v>0</v>
      </c>
      <c r="AK108" s="72">
        <f t="shared" si="6"/>
        <v>-67742.7</v>
      </c>
      <c r="AL108" s="72">
        <f t="shared" si="7"/>
        <v>0</v>
      </c>
      <c r="AM108">
        <v>-1</v>
      </c>
      <c r="AO108" s="102">
        <f t="shared" si="8"/>
        <v>587083</v>
      </c>
      <c r="AP108" s="103">
        <f t="shared" si="9"/>
        <v>246099</v>
      </c>
      <c r="AQ108" s="101">
        <f t="shared" si="10"/>
        <v>162119</v>
      </c>
      <c r="AR108" s="104">
        <f t="shared" si="11"/>
        <v>175706</v>
      </c>
    </row>
    <row r="109" spans="1:44">
      <c r="A109" s="14" t="s">
        <v>1218</v>
      </c>
      <c r="B109" s="15" t="s">
        <v>1219</v>
      </c>
      <c r="C109" s="14" t="s">
        <v>1220</v>
      </c>
      <c r="D109" s="14">
        <v>31</v>
      </c>
      <c r="E109" s="15" t="s">
        <v>934</v>
      </c>
      <c r="F109" s="15" t="s">
        <v>935</v>
      </c>
      <c r="G109" s="14" t="s">
        <v>936</v>
      </c>
      <c r="H109" s="14"/>
      <c r="I109" s="14"/>
      <c r="J109" s="16">
        <v>1234.4100000000001</v>
      </c>
      <c r="K109" s="66">
        <v>1076886</v>
      </c>
      <c r="L109" s="66">
        <v>2193355</v>
      </c>
      <c r="M109" s="28">
        <v>3270241</v>
      </c>
      <c r="N109" s="64">
        <v>8396092</v>
      </c>
      <c r="O109" s="64">
        <v>795340</v>
      </c>
      <c r="P109" s="64">
        <v>133376</v>
      </c>
      <c r="Q109" s="28">
        <v>9324808</v>
      </c>
      <c r="R109" s="62">
        <v>347636</v>
      </c>
      <c r="S109" s="28">
        <v>12942685</v>
      </c>
      <c r="T109" s="81">
        <v>485888</v>
      </c>
      <c r="U109" s="81">
        <v>264422</v>
      </c>
      <c r="V109" s="81">
        <v>0</v>
      </c>
      <c r="W109" s="81">
        <v>372210</v>
      </c>
      <c r="X109" s="28">
        <v>14065204</v>
      </c>
      <c r="Y109" s="28">
        <v>1145396</v>
      </c>
      <c r="Z109" s="28">
        <v>2837501</v>
      </c>
      <c r="AA109" s="28">
        <v>9455900</v>
      </c>
      <c r="AB109" s="28">
        <v>626407</v>
      </c>
      <c r="AC109" s="40" t="s">
        <v>184</v>
      </c>
      <c r="AD109" s="41">
        <v>316</v>
      </c>
      <c r="AE109" s="42">
        <v>1</v>
      </c>
      <c r="AF109" s="40" t="s">
        <v>935</v>
      </c>
      <c r="AG109" s="68">
        <v>175961.61</v>
      </c>
      <c r="AH109" s="42">
        <v>1</v>
      </c>
      <c r="AI109" s="40" t="s">
        <v>935</v>
      </c>
      <c r="AJ109" s="70">
        <v>0</v>
      </c>
      <c r="AK109" s="72">
        <f t="shared" si="6"/>
        <v>-175961.61</v>
      </c>
      <c r="AL109" s="72">
        <f t="shared" si="7"/>
        <v>0</v>
      </c>
      <c r="AM109">
        <v>-1</v>
      </c>
      <c r="AO109" s="102">
        <f t="shared" si="8"/>
        <v>68510</v>
      </c>
      <c r="AP109" s="103">
        <f t="shared" si="9"/>
        <v>644146</v>
      </c>
      <c r="AQ109" s="101">
        <f t="shared" si="10"/>
        <v>131092</v>
      </c>
      <c r="AR109" s="104">
        <f t="shared" si="11"/>
        <v>278771</v>
      </c>
    </row>
    <row r="110" spans="1:44">
      <c r="A110" s="14" t="s">
        <v>1218</v>
      </c>
      <c r="B110" s="15" t="s">
        <v>1219</v>
      </c>
      <c r="C110" s="14" t="s">
        <v>1220</v>
      </c>
      <c r="D110" s="14">
        <v>31</v>
      </c>
      <c r="E110" s="15" t="s">
        <v>934</v>
      </c>
      <c r="F110" s="15" t="s">
        <v>937</v>
      </c>
      <c r="G110" s="14" t="s">
        <v>938</v>
      </c>
      <c r="H110" s="14"/>
      <c r="I110" s="14"/>
      <c r="J110" s="16">
        <v>978.62</v>
      </c>
      <c r="K110" s="66">
        <v>70606</v>
      </c>
      <c r="L110" s="66">
        <v>936305</v>
      </c>
      <c r="M110" s="28">
        <v>1006911</v>
      </c>
      <c r="N110" s="64">
        <v>6880108</v>
      </c>
      <c r="O110" s="64">
        <v>617545</v>
      </c>
      <c r="P110" s="64">
        <v>48776</v>
      </c>
      <c r="Q110" s="28">
        <v>7546429</v>
      </c>
      <c r="R110" s="62">
        <v>1108895</v>
      </c>
      <c r="S110" s="28">
        <v>9662235</v>
      </c>
      <c r="T110" s="81">
        <v>470843</v>
      </c>
      <c r="U110" s="81">
        <v>274631</v>
      </c>
      <c r="V110" s="81">
        <v>116468</v>
      </c>
      <c r="W110" s="81">
        <v>1111394</v>
      </c>
      <c r="X110" s="28">
        <v>11635571</v>
      </c>
      <c r="Y110" s="28">
        <v>733190</v>
      </c>
      <c r="Z110" s="28">
        <v>1845073</v>
      </c>
      <c r="AA110" s="28">
        <v>7672792</v>
      </c>
      <c r="AB110" s="28">
        <v>1384515</v>
      </c>
      <c r="AC110" s="40" t="s">
        <v>184</v>
      </c>
      <c r="AD110" s="41">
        <v>317</v>
      </c>
      <c r="AE110" s="42">
        <v>1</v>
      </c>
      <c r="AF110" s="40" t="s">
        <v>937</v>
      </c>
      <c r="AG110" s="68">
        <v>207419.58</v>
      </c>
      <c r="AH110" s="42">
        <v>1</v>
      </c>
      <c r="AI110" s="40" t="s">
        <v>937</v>
      </c>
      <c r="AJ110" s="70">
        <v>0</v>
      </c>
      <c r="AK110" s="72">
        <f t="shared" si="6"/>
        <v>-207419.58</v>
      </c>
      <c r="AL110" s="72">
        <f t="shared" si="7"/>
        <v>0</v>
      </c>
      <c r="AM110">
        <v>-1</v>
      </c>
      <c r="AO110" s="102">
        <f t="shared" si="8"/>
        <v>662584</v>
      </c>
      <c r="AP110" s="103">
        <f t="shared" si="9"/>
        <v>908768</v>
      </c>
      <c r="AQ110" s="101">
        <f t="shared" si="10"/>
        <v>126363</v>
      </c>
      <c r="AR110" s="104">
        <f t="shared" si="11"/>
        <v>275620</v>
      </c>
    </row>
    <row r="111" spans="1:44">
      <c r="A111" s="14" t="s">
        <v>1218</v>
      </c>
      <c r="B111" s="15" t="s">
        <v>1219</v>
      </c>
      <c r="C111" s="14" t="s">
        <v>1220</v>
      </c>
      <c r="D111" s="14">
        <v>31</v>
      </c>
      <c r="E111" s="15" t="s">
        <v>934</v>
      </c>
      <c r="F111" s="15" t="s">
        <v>939</v>
      </c>
      <c r="G111" s="14" t="s">
        <v>940</v>
      </c>
      <c r="H111" s="14"/>
      <c r="I111" s="14"/>
      <c r="J111" s="16">
        <v>3888.23</v>
      </c>
      <c r="K111" s="66">
        <v>1871034</v>
      </c>
      <c r="L111" s="66">
        <v>5766794</v>
      </c>
      <c r="M111" s="28">
        <v>7637828</v>
      </c>
      <c r="N111" s="64">
        <v>24937872</v>
      </c>
      <c r="O111" s="64">
        <v>2017136</v>
      </c>
      <c r="P111" s="64">
        <v>473118</v>
      </c>
      <c r="Q111" s="28">
        <v>27428126</v>
      </c>
      <c r="R111" s="62">
        <v>2108030</v>
      </c>
      <c r="S111" s="28">
        <v>37173984</v>
      </c>
      <c r="T111" s="81">
        <v>1392968</v>
      </c>
      <c r="U111" s="81">
        <v>938089</v>
      </c>
      <c r="V111" s="81">
        <v>132309</v>
      </c>
      <c r="W111" s="81">
        <v>3932364</v>
      </c>
      <c r="X111" s="28">
        <v>43569714</v>
      </c>
      <c r="Y111" s="28">
        <v>4728372</v>
      </c>
      <c r="Z111" s="28">
        <v>8256076</v>
      </c>
      <c r="AA111" s="28">
        <v>27866168</v>
      </c>
      <c r="AB111" s="28">
        <v>2719098</v>
      </c>
      <c r="AC111" s="40" t="s">
        <v>184</v>
      </c>
      <c r="AD111" s="41">
        <v>318</v>
      </c>
      <c r="AE111" s="42">
        <v>1</v>
      </c>
      <c r="AF111" s="40" t="s">
        <v>939</v>
      </c>
      <c r="AG111" s="68">
        <v>524524.31999999995</v>
      </c>
      <c r="AH111" s="42">
        <v>1</v>
      </c>
      <c r="AI111" s="40" t="s">
        <v>939</v>
      </c>
      <c r="AJ111" s="70">
        <v>0</v>
      </c>
      <c r="AK111" s="72">
        <f t="shared" si="6"/>
        <v>-524524.31999999995</v>
      </c>
      <c r="AL111" s="72">
        <f t="shared" si="7"/>
        <v>0</v>
      </c>
      <c r="AM111">
        <v>-1</v>
      </c>
      <c r="AO111" s="102">
        <f t="shared" si="8"/>
        <v>2857338</v>
      </c>
      <c r="AP111" s="103">
        <f t="shared" si="9"/>
        <v>2489282</v>
      </c>
      <c r="AQ111" s="101">
        <f t="shared" si="10"/>
        <v>438042</v>
      </c>
      <c r="AR111" s="104">
        <f t="shared" si="11"/>
        <v>611068</v>
      </c>
    </row>
    <row r="112" spans="1:44">
      <c r="A112" s="14" t="s">
        <v>1218</v>
      </c>
      <c r="B112" s="15" t="s">
        <v>1219</v>
      </c>
      <c r="C112" s="14" t="s">
        <v>1220</v>
      </c>
      <c r="D112" s="14">
        <v>31</v>
      </c>
      <c r="E112" s="15" t="s">
        <v>934</v>
      </c>
      <c r="F112" s="15" t="s">
        <v>941</v>
      </c>
      <c r="G112" s="14" t="s">
        <v>942</v>
      </c>
      <c r="H112" s="14"/>
      <c r="I112" s="14"/>
      <c r="J112" s="16">
        <v>614.73</v>
      </c>
      <c r="K112" s="66">
        <v>94860</v>
      </c>
      <c r="L112" s="66">
        <v>1241575</v>
      </c>
      <c r="M112" s="28">
        <v>1336435</v>
      </c>
      <c r="N112" s="64">
        <v>4245021</v>
      </c>
      <c r="O112" s="64">
        <v>849460</v>
      </c>
      <c r="P112" s="64">
        <v>979</v>
      </c>
      <c r="Q112" s="28">
        <v>5095460</v>
      </c>
      <c r="R112" s="62">
        <v>131366</v>
      </c>
      <c r="S112" s="28">
        <v>6563261</v>
      </c>
      <c r="T112" s="81">
        <v>261070</v>
      </c>
      <c r="U112" s="81">
        <v>123973</v>
      </c>
      <c r="V112" s="81">
        <v>0</v>
      </c>
      <c r="W112" s="81">
        <v>0</v>
      </c>
      <c r="X112" s="28">
        <v>6948303</v>
      </c>
      <c r="Y112" s="28">
        <v>95422</v>
      </c>
      <c r="Z112" s="28">
        <v>1436714</v>
      </c>
      <c r="AA112" s="28">
        <v>5144518</v>
      </c>
      <c r="AB112" s="28">
        <v>271650</v>
      </c>
      <c r="AC112" s="40" t="s">
        <v>184</v>
      </c>
      <c r="AD112" s="41">
        <v>319</v>
      </c>
      <c r="AE112" s="42">
        <v>1</v>
      </c>
      <c r="AF112" s="40" t="s">
        <v>941</v>
      </c>
      <c r="AG112" s="68">
        <v>32032.880000000001</v>
      </c>
      <c r="AH112" s="42">
        <v>1</v>
      </c>
      <c r="AI112" s="40" t="s">
        <v>941</v>
      </c>
      <c r="AJ112" s="70">
        <v>0</v>
      </c>
      <c r="AK112" s="72">
        <f t="shared" si="6"/>
        <v>-32032.880000000001</v>
      </c>
      <c r="AL112" s="72">
        <f t="shared" si="7"/>
        <v>0</v>
      </c>
      <c r="AM112">
        <v>-1</v>
      </c>
      <c r="AO112" s="102">
        <f t="shared" si="8"/>
        <v>562</v>
      </c>
      <c r="AP112" s="103">
        <f t="shared" si="9"/>
        <v>195139</v>
      </c>
      <c r="AQ112" s="101">
        <f t="shared" si="10"/>
        <v>49058</v>
      </c>
      <c r="AR112" s="104">
        <f t="shared" si="11"/>
        <v>140284</v>
      </c>
    </row>
    <row r="113" spans="1:44">
      <c r="A113" s="14" t="s">
        <v>1146</v>
      </c>
      <c r="B113" s="15" t="s">
        <v>1147</v>
      </c>
      <c r="C113" s="14" t="s">
        <v>943</v>
      </c>
      <c r="D113" s="14">
        <v>13</v>
      </c>
      <c r="E113" s="15" t="s">
        <v>1148</v>
      </c>
      <c r="F113" s="15" t="s">
        <v>944</v>
      </c>
      <c r="G113" s="14" t="s">
        <v>945</v>
      </c>
      <c r="H113" s="14"/>
      <c r="I113" s="14"/>
      <c r="J113" s="16">
        <v>32.29</v>
      </c>
      <c r="K113" s="66">
        <v>62234</v>
      </c>
      <c r="L113" s="66">
        <v>19862</v>
      </c>
      <c r="M113" s="28">
        <v>82096</v>
      </c>
      <c r="N113" s="64">
        <v>180008</v>
      </c>
      <c r="O113" s="64">
        <v>-13815</v>
      </c>
      <c r="P113" s="64">
        <v>495</v>
      </c>
      <c r="Q113" s="28">
        <v>166688</v>
      </c>
      <c r="R113" s="62">
        <v>0</v>
      </c>
      <c r="S113" s="28">
        <v>248784</v>
      </c>
      <c r="T113" s="81">
        <v>0</v>
      </c>
      <c r="U113" s="81">
        <v>0</v>
      </c>
      <c r="V113" s="81">
        <v>0</v>
      </c>
      <c r="W113" s="81">
        <v>0</v>
      </c>
      <c r="X113" s="28">
        <v>248783</v>
      </c>
      <c r="Y113" s="28">
        <v>62234</v>
      </c>
      <c r="Z113" s="28">
        <v>19862</v>
      </c>
      <c r="AA113" s="28">
        <v>166687</v>
      </c>
      <c r="AB113" s="28">
        <v>0</v>
      </c>
      <c r="AC113" s="40" t="s">
        <v>184</v>
      </c>
      <c r="AD113" s="41">
        <v>323</v>
      </c>
      <c r="AE113" s="42">
        <v>2</v>
      </c>
      <c r="AF113" s="40" t="s">
        <v>944</v>
      </c>
      <c r="AG113" s="68">
        <v>0</v>
      </c>
      <c r="AH113" s="42">
        <v>2</v>
      </c>
      <c r="AI113" s="40" t="s">
        <v>944</v>
      </c>
      <c r="AJ113" s="70">
        <v>0</v>
      </c>
      <c r="AK113" s="72">
        <f t="shared" si="6"/>
        <v>0</v>
      </c>
      <c r="AL113" s="72">
        <f t="shared" si="7"/>
        <v>0</v>
      </c>
      <c r="AM113">
        <v>-1</v>
      </c>
      <c r="AO113" s="102">
        <f t="shared" si="8"/>
        <v>0</v>
      </c>
      <c r="AP113" s="103">
        <f t="shared" si="9"/>
        <v>0</v>
      </c>
      <c r="AQ113" s="101">
        <f t="shared" si="10"/>
        <v>-1</v>
      </c>
      <c r="AR113" s="104">
        <f t="shared" si="11"/>
        <v>0</v>
      </c>
    </row>
    <row r="114" spans="1:44">
      <c r="A114" s="14" t="s">
        <v>1166</v>
      </c>
      <c r="B114" s="15" t="s">
        <v>1167</v>
      </c>
      <c r="C114" s="14" t="s">
        <v>1220</v>
      </c>
      <c r="D114" s="14">
        <v>32</v>
      </c>
      <c r="E114" s="15" t="s">
        <v>946</v>
      </c>
      <c r="F114" s="15" t="s">
        <v>947</v>
      </c>
      <c r="G114" s="14" t="s">
        <v>948</v>
      </c>
      <c r="H114" s="14"/>
      <c r="I114" s="14"/>
      <c r="J114" s="16">
        <v>330.05</v>
      </c>
      <c r="K114" s="66">
        <v>279426</v>
      </c>
      <c r="L114" s="66">
        <v>361991</v>
      </c>
      <c r="M114" s="28">
        <v>641417</v>
      </c>
      <c r="N114" s="64">
        <v>2594012</v>
      </c>
      <c r="O114" s="64">
        <v>115912</v>
      </c>
      <c r="P114" s="64">
        <v>23649</v>
      </c>
      <c r="Q114" s="28">
        <v>2733573</v>
      </c>
      <c r="R114" s="62">
        <v>105566</v>
      </c>
      <c r="S114" s="28">
        <v>3480556</v>
      </c>
      <c r="T114" s="81">
        <v>131475</v>
      </c>
      <c r="U114" s="81">
        <v>60662</v>
      </c>
      <c r="V114" s="81">
        <v>0</v>
      </c>
      <c r="W114" s="81">
        <v>373364</v>
      </c>
      <c r="X114" s="28">
        <v>4046058</v>
      </c>
      <c r="Y114" s="28">
        <v>538411</v>
      </c>
      <c r="Z114" s="28">
        <v>570318</v>
      </c>
      <c r="AA114" s="28">
        <v>2778117</v>
      </c>
      <c r="AB114" s="28">
        <v>159212</v>
      </c>
      <c r="AC114" s="40" t="s">
        <v>184</v>
      </c>
      <c r="AD114" s="41">
        <v>330</v>
      </c>
      <c r="AE114" s="42">
        <v>1</v>
      </c>
      <c r="AF114" s="40" t="s">
        <v>947</v>
      </c>
      <c r="AG114" s="68">
        <v>24871.64</v>
      </c>
      <c r="AH114" s="42">
        <v>1</v>
      </c>
      <c r="AI114" s="40" t="s">
        <v>947</v>
      </c>
      <c r="AJ114" s="70">
        <v>0</v>
      </c>
      <c r="AK114" s="72">
        <f t="shared" si="6"/>
        <v>-24871.64</v>
      </c>
      <c r="AL114" s="72">
        <f t="shared" si="7"/>
        <v>0</v>
      </c>
      <c r="AM114">
        <v>-1</v>
      </c>
      <c r="AO114" s="102">
        <f t="shared" si="8"/>
        <v>258985</v>
      </c>
      <c r="AP114" s="103">
        <f t="shared" si="9"/>
        <v>208327</v>
      </c>
      <c r="AQ114" s="101">
        <f t="shared" si="10"/>
        <v>44544</v>
      </c>
      <c r="AR114" s="104">
        <f t="shared" si="11"/>
        <v>53646</v>
      </c>
    </row>
    <row r="115" spans="1:44">
      <c r="A115" s="14" t="s">
        <v>1146</v>
      </c>
      <c r="B115" s="15" t="s">
        <v>1147</v>
      </c>
      <c r="C115" s="14" t="s">
        <v>1220</v>
      </c>
      <c r="D115" s="14">
        <v>33</v>
      </c>
      <c r="E115" s="15" t="s">
        <v>949</v>
      </c>
      <c r="F115" s="15" t="s">
        <v>950</v>
      </c>
      <c r="G115" s="14" t="s">
        <v>951</v>
      </c>
      <c r="H115" s="14"/>
      <c r="I115" s="14"/>
      <c r="J115" s="16">
        <v>1884.64</v>
      </c>
      <c r="K115" s="66">
        <v>588288</v>
      </c>
      <c r="L115" s="66">
        <v>1210949</v>
      </c>
      <c r="M115" s="28">
        <v>1799237</v>
      </c>
      <c r="N115" s="64">
        <v>11959395</v>
      </c>
      <c r="O115" s="64">
        <v>912944</v>
      </c>
      <c r="P115" s="64">
        <v>62288</v>
      </c>
      <c r="Q115" s="28">
        <v>12934627</v>
      </c>
      <c r="R115" s="62">
        <v>457906</v>
      </c>
      <c r="S115" s="28">
        <v>15191770</v>
      </c>
      <c r="T115" s="81">
        <v>687442</v>
      </c>
      <c r="U115" s="81">
        <v>347467</v>
      </c>
      <c r="V115" s="81">
        <v>0</v>
      </c>
      <c r="W115" s="81">
        <v>719256</v>
      </c>
      <c r="X115" s="28">
        <v>16945935</v>
      </c>
      <c r="Y115" s="28">
        <v>1325180</v>
      </c>
      <c r="Z115" s="28">
        <v>1718096</v>
      </c>
      <c r="AA115" s="28">
        <v>13122323</v>
      </c>
      <c r="AB115" s="28">
        <v>780336</v>
      </c>
      <c r="AC115" s="40" t="s">
        <v>184</v>
      </c>
      <c r="AD115" s="41">
        <v>332</v>
      </c>
      <c r="AE115" s="42">
        <v>1</v>
      </c>
      <c r="AF115" s="40" t="s">
        <v>950</v>
      </c>
      <c r="AG115" s="68">
        <v>122387.12</v>
      </c>
      <c r="AH115" s="42">
        <v>1</v>
      </c>
      <c r="AI115" s="40" t="s">
        <v>950</v>
      </c>
      <c r="AJ115" s="70">
        <v>0</v>
      </c>
      <c r="AK115" s="72">
        <f t="shared" si="6"/>
        <v>-122387.12</v>
      </c>
      <c r="AL115" s="72">
        <f t="shared" si="7"/>
        <v>0</v>
      </c>
      <c r="AM115">
        <v>-1</v>
      </c>
      <c r="AO115" s="102">
        <f t="shared" si="8"/>
        <v>736892</v>
      </c>
      <c r="AP115" s="103">
        <f t="shared" si="9"/>
        <v>507147</v>
      </c>
      <c r="AQ115" s="101">
        <f t="shared" si="10"/>
        <v>187696</v>
      </c>
      <c r="AR115" s="104">
        <f t="shared" si="11"/>
        <v>322430</v>
      </c>
    </row>
    <row r="116" spans="1:44">
      <c r="A116" s="14" t="s">
        <v>1146</v>
      </c>
      <c r="B116" s="15" t="s">
        <v>1147</v>
      </c>
      <c r="C116" s="14" t="s">
        <v>1220</v>
      </c>
      <c r="D116" s="14">
        <v>33</v>
      </c>
      <c r="E116" s="15" t="s">
        <v>949</v>
      </c>
      <c r="F116" s="15" t="s">
        <v>952</v>
      </c>
      <c r="G116" s="14" t="s">
        <v>953</v>
      </c>
      <c r="H116" s="14"/>
      <c r="I116" s="14"/>
      <c r="J116" s="16">
        <v>617.76</v>
      </c>
      <c r="K116" s="66">
        <v>124422</v>
      </c>
      <c r="L116" s="66">
        <v>617035</v>
      </c>
      <c r="M116" s="28">
        <v>741457</v>
      </c>
      <c r="N116" s="64">
        <v>4084730</v>
      </c>
      <c r="O116" s="64">
        <v>262063</v>
      </c>
      <c r="P116" s="64">
        <v>17500</v>
      </c>
      <c r="Q116" s="28">
        <v>4364293</v>
      </c>
      <c r="R116" s="62">
        <v>563105</v>
      </c>
      <c r="S116" s="28">
        <v>5668855</v>
      </c>
      <c r="T116" s="81">
        <v>335829</v>
      </c>
      <c r="U116" s="81">
        <v>108576</v>
      </c>
      <c r="V116" s="81">
        <v>0</v>
      </c>
      <c r="W116" s="81">
        <v>781729</v>
      </c>
      <c r="X116" s="28">
        <v>6894990</v>
      </c>
      <c r="Y116" s="28">
        <v>771798</v>
      </c>
      <c r="Z116" s="28">
        <v>846703</v>
      </c>
      <c r="AA116" s="28">
        <v>4554580</v>
      </c>
      <c r="AB116" s="28">
        <v>721909</v>
      </c>
      <c r="AC116" s="40" t="s">
        <v>184</v>
      </c>
      <c r="AD116" s="41">
        <v>333</v>
      </c>
      <c r="AE116" s="42">
        <v>1</v>
      </c>
      <c r="AF116" s="40" t="s">
        <v>952</v>
      </c>
      <c r="AG116" s="68">
        <v>53291.64</v>
      </c>
      <c r="AH116" s="42">
        <v>1</v>
      </c>
      <c r="AI116" s="40" t="s">
        <v>952</v>
      </c>
      <c r="AJ116" s="70">
        <v>3297.81</v>
      </c>
      <c r="AK116" s="72">
        <f t="shared" si="6"/>
        <v>-53291.64</v>
      </c>
      <c r="AL116" s="72">
        <f t="shared" si="7"/>
        <v>-3297.81</v>
      </c>
      <c r="AM116">
        <v>-1</v>
      </c>
      <c r="AO116" s="102">
        <f t="shared" si="8"/>
        <v>647376</v>
      </c>
      <c r="AP116" s="103">
        <f t="shared" si="9"/>
        <v>229668</v>
      </c>
      <c r="AQ116" s="101">
        <f t="shared" si="10"/>
        <v>190287</v>
      </c>
      <c r="AR116" s="104">
        <f t="shared" si="11"/>
        <v>158804</v>
      </c>
    </row>
    <row r="117" spans="1:44">
      <c r="A117" s="14" t="s">
        <v>954</v>
      </c>
      <c r="B117" s="15" t="s">
        <v>955</v>
      </c>
      <c r="C117" s="14" t="s">
        <v>1220</v>
      </c>
      <c r="D117" s="14">
        <v>34</v>
      </c>
      <c r="E117" s="15" t="s">
        <v>956</v>
      </c>
      <c r="F117" s="15" t="s">
        <v>957</v>
      </c>
      <c r="G117" s="14" t="s">
        <v>958</v>
      </c>
      <c r="H117" s="14"/>
      <c r="I117" s="14"/>
      <c r="J117" s="16">
        <v>1589.37</v>
      </c>
      <c r="K117" s="66">
        <v>1008209</v>
      </c>
      <c r="L117" s="66">
        <v>648480</v>
      </c>
      <c r="M117" s="28">
        <v>1656689</v>
      </c>
      <c r="N117" s="64">
        <v>10146253</v>
      </c>
      <c r="O117" s="64">
        <v>753110</v>
      </c>
      <c r="P117" s="64">
        <v>158351</v>
      </c>
      <c r="Q117" s="28">
        <v>11057714</v>
      </c>
      <c r="R117" s="62">
        <v>286153</v>
      </c>
      <c r="S117" s="28">
        <v>13000556</v>
      </c>
      <c r="T117" s="81">
        <v>642857</v>
      </c>
      <c r="U117" s="81">
        <v>557300</v>
      </c>
      <c r="V117" s="81">
        <v>30492</v>
      </c>
      <c r="W117" s="81">
        <v>1497585</v>
      </c>
      <c r="X117" s="28">
        <v>15728789</v>
      </c>
      <c r="Y117" s="28">
        <v>2502876</v>
      </c>
      <c r="Z117" s="28">
        <v>1484027</v>
      </c>
      <c r="AA117" s="28">
        <v>11242453</v>
      </c>
      <c r="AB117" s="28">
        <v>499433</v>
      </c>
      <c r="AC117" s="40" t="s">
        <v>184</v>
      </c>
      <c r="AD117" s="41">
        <v>345</v>
      </c>
      <c r="AE117" s="42">
        <v>1</v>
      </c>
      <c r="AF117" s="40" t="s">
        <v>957</v>
      </c>
      <c r="AG117" s="68">
        <v>110972.61</v>
      </c>
      <c r="AH117" s="42">
        <v>1</v>
      </c>
      <c r="AI117" s="40" t="s">
        <v>957</v>
      </c>
      <c r="AJ117" s="70">
        <v>0</v>
      </c>
      <c r="AK117" s="72">
        <f t="shared" si="6"/>
        <v>-110972.61</v>
      </c>
      <c r="AL117" s="72">
        <f t="shared" si="7"/>
        <v>0</v>
      </c>
      <c r="AM117">
        <v>-1</v>
      </c>
      <c r="AO117" s="102">
        <f t="shared" si="8"/>
        <v>1494667</v>
      </c>
      <c r="AP117" s="103">
        <f t="shared" si="9"/>
        <v>835547</v>
      </c>
      <c r="AQ117" s="101">
        <f t="shared" si="10"/>
        <v>184739</v>
      </c>
      <c r="AR117" s="104">
        <f t="shared" si="11"/>
        <v>213280</v>
      </c>
    </row>
    <row r="118" spans="1:44">
      <c r="A118" s="14" t="s">
        <v>954</v>
      </c>
      <c r="B118" s="15" t="s">
        <v>955</v>
      </c>
      <c r="C118" s="14" t="s">
        <v>1220</v>
      </c>
      <c r="D118" s="14">
        <v>34</v>
      </c>
      <c r="E118" s="15" t="s">
        <v>956</v>
      </c>
      <c r="F118" s="15" t="s">
        <v>959</v>
      </c>
      <c r="G118" s="14" t="s">
        <v>960</v>
      </c>
      <c r="H118" s="14"/>
      <c r="I118" s="14"/>
      <c r="J118" s="16">
        <v>4146.8100000000004</v>
      </c>
      <c r="K118" s="66">
        <v>2350882</v>
      </c>
      <c r="L118" s="66">
        <v>2615834</v>
      </c>
      <c r="M118" s="28">
        <v>4966716</v>
      </c>
      <c r="N118" s="64">
        <v>28945801</v>
      </c>
      <c r="O118" s="64">
        <v>4489110</v>
      </c>
      <c r="P118" s="64">
        <v>676148</v>
      </c>
      <c r="Q118" s="28">
        <v>34111059</v>
      </c>
      <c r="R118" s="62">
        <v>1496352</v>
      </c>
      <c r="S118" s="28">
        <v>40574127</v>
      </c>
      <c r="T118" s="81">
        <v>2055220</v>
      </c>
      <c r="U118" s="81">
        <v>2168039</v>
      </c>
      <c r="V118" s="81">
        <v>0</v>
      </c>
      <c r="W118" s="81">
        <v>2592275</v>
      </c>
      <c r="X118" s="28">
        <v>47389663</v>
      </c>
      <c r="Y118" s="28">
        <v>4870218</v>
      </c>
      <c r="Z118" s="28">
        <v>4349576</v>
      </c>
      <c r="AA118" s="28">
        <v>35315438</v>
      </c>
      <c r="AB118" s="28">
        <v>2854431</v>
      </c>
      <c r="AC118" s="40" t="s">
        <v>184</v>
      </c>
      <c r="AD118" s="41">
        <v>347</v>
      </c>
      <c r="AE118" s="42">
        <v>1</v>
      </c>
      <c r="AF118" s="40" t="s">
        <v>959</v>
      </c>
      <c r="AG118" s="68">
        <v>435911.24</v>
      </c>
      <c r="AH118" s="42">
        <v>1</v>
      </c>
      <c r="AI118" s="40" t="s">
        <v>959</v>
      </c>
      <c r="AJ118" s="70">
        <v>529689.43999999994</v>
      </c>
      <c r="AK118" s="72">
        <f t="shared" si="6"/>
        <v>-435911.24</v>
      </c>
      <c r="AL118" s="72">
        <f t="shared" si="7"/>
        <v>-529689.43999999994</v>
      </c>
      <c r="AM118">
        <v>-1</v>
      </c>
      <c r="AO118" s="102">
        <f t="shared" si="8"/>
        <v>2519336</v>
      </c>
      <c r="AP118" s="103">
        <f t="shared" si="9"/>
        <v>1733742</v>
      </c>
      <c r="AQ118" s="101">
        <f t="shared" si="10"/>
        <v>1204379</v>
      </c>
      <c r="AR118" s="104">
        <f t="shared" si="11"/>
        <v>1358079</v>
      </c>
    </row>
    <row r="119" spans="1:44">
      <c r="A119" s="14" t="s">
        <v>961</v>
      </c>
      <c r="B119" s="15" t="s">
        <v>962</v>
      </c>
      <c r="C119" s="14" t="s">
        <v>1220</v>
      </c>
      <c r="D119" s="14">
        <v>35</v>
      </c>
      <c r="E119" s="15" t="s">
        <v>963</v>
      </c>
      <c r="F119" s="15" t="s">
        <v>964</v>
      </c>
      <c r="G119" s="14" t="s">
        <v>965</v>
      </c>
      <c r="H119" s="14"/>
      <c r="I119" s="14"/>
      <c r="J119" s="16">
        <v>194.16</v>
      </c>
      <c r="K119" s="66">
        <v>116684</v>
      </c>
      <c r="L119" s="66">
        <v>104347</v>
      </c>
      <c r="M119" s="28">
        <v>221031</v>
      </c>
      <c r="N119" s="64">
        <v>1784728</v>
      </c>
      <c r="O119" s="64">
        <v>150149</v>
      </c>
      <c r="P119" s="64">
        <v>9515</v>
      </c>
      <c r="Q119" s="28">
        <v>1944392</v>
      </c>
      <c r="R119" s="62">
        <v>69946</v>
      </c>
      <c r="S119" s="28">
        <v>2235369</v>
      </c>
      <c r="T119" s="81">
        <v>118640</v>
      </c>
      <c r="U119" s="81">
        <v>29453</v>
      </c>
      <c r="V119" s="81">
        <v>0</v>
      </c>
      <c r="W119" s="81">
        <v>0</v>
      </c>
      <c r="X119" s="28">
        <v>2383463</v>
      </c>
      <c r="Y119" s="28">
        <v>125481</v>
      </c>
      <c r="Z119" s="28">
        <v>152854</v>
      </c>
      <c r="AA119" s="28">
        <v>1973924</v>
      </c>
      <c r="AB119" s="28">
        <v>131204</v>
      </c>
      <c r="AC119" s="40" t="s">
        <v>184</v>
      </c>
      <c r="AD119" s="41">
        <v>356</v>
      </c>
      <c r="AE119" s="42">
        <v>1</v>
      </c>
      <c r="AF119" s="40" t="s">
        <v>964</v>
      </c>
      <c r="AG119" s="68">
        <v>19944.43</v>
      </c>
      <c r="AH119" s="42">
        <v>1</v>
      </c>
      <c r="AI119" s="40" t="s">
        <v>964</v>
      </c>
      <c r="AJ119" s="70">
        <v>0</v>
      </c>
      <c r="AK119" s="72">
        <f t="shared" si="6"/>
        <v>-19944.43</v>
      </c>
      <c r="AL119" s="72">
        <f t="shared" si="7"/>
        <v>0</v>
      </c>
      <c r="AM119">
        <v>-1</v>
      </c>
      <c r="AO119" s="102">
        <f t="shared" si="8"/>
        <v>8797</v>
      </c>
      <c r="AP119" s="103">
        <f t="shared" si="9"/>
        <v>48507</v>
      </c>
      <c r="AQ119" s="101">
        <f t="shared" si="10"/>
        <v>29532</v>
      </c>
      <c r="AR119" s="104">
        <f t="shared" si="11"/>
        <v>61258</v>
      </c>
    </row>
    <row r="120" spans="1:44">
      <c r="A120" s="14" t="s">
        <v>1218</v>
      </c>
      <c r="B120" s="15" t="s">
        <v>1219</v>
      </c>
      <c r="C120" s="14" t="s">
        <v>1220</v>
      </c>
      <c r="D120" s="14">
        <v>36</v>
      </c>
      <c r="E120" s="15" t="s">
        <v>966</v>
      </c>
      <c r="F120" s="15" t="s">
        <v>967</v>
      </c>
      <c r="G120" s="14" t="s">
        <v>968</v>
      </c>
      <c r="H120" s="14"/>
      <c r="I120" s="14"/>
      <c r="J120" s="16">
        <v>1316.53</v>
      </c>
      <c r="K120" s="66">
        <v>1168189</v>
      </c>
      <c r="L120" s="66">
        <v>813728</v>
      </c>
      <c r="M120" s="28">
        <v>1981917</v>
      </c>
      <c r="N120" s="64">
        <v>9015218</v>
      </c>
      <c r="O120" s="64">
        <v>609535</v>
      </c>
      <c r="P120" s="64">
        <v>368356</v>
      </c>
      <c r="Q120" s="28">
        <v>9993109</v>
      </c>
      <c r="R120" s="62">
        <v>759529</v>
      </c>
      <c r="S120" s="28">
        <v>12734555</v>
      </c>
      <c r="T120" s="81">
        <v>561697</v>
      </c>
      <c r="U120" s="81">
        <v>367537</v>
      </c>
      <c r="V120" s="81">
        <v>0</v>
      </c>
      <c r="W120" s="81">
        <v>0</v>
      </c>
      <c r="X120" s="28">
        <v>13663789</v>
      </c>
      <c r="Y120" s="28">
        <v>1240315</v>
      </c>
      <c r="Z120" s="28">
        <v>1273017</v>
      </c>
      <c r="AA120" s="28">
        <v>10160814</v>
      </c>
      <c r="AB120" s="28">
        <v>989643</v>
      </c>
      <c r="AC120" s="40" t="s">
        <v>184</v>
      </c>
      <c r="AD120" s="41">
        <v>361</v>
      </c>
      <c r="AE120" s="42">
        <v>1</v>
      </c>
      <c r="AF120" s="40" t="s">
        <v>967</v>
      </c>
      <c r="AG120" s="68">
        <v>116056.42</v>
      </c>
      <c r="AH120" s="42">
        <v>1</v>
      </c>
      <c r="AI120" s="40" t="s">
        <v>967</v>
      </c>
      <c r="AJ120" s="70">
        <v>48035.38</v>
      </c>
      <c r="AK120" s="72">
        <f t="shared" si="6"/>
        <v>-116056.42</v>
      </c>
      <c r="AL120" s="72">
        <f t="shared" si="7"/>
        <v>-48035.38</v>
      </c>
      <c r="AM120">
        <v>-1</v>
      </c>
      <c r="AO120" s="102">
        <f t="shared" si="8"/>
        <v>72126</v>
      </c>
      <c r="AP120" s="103">
        <f t="shared" si="9"/>
        <v>459289</v>
      </c>
      <c r="AQ120" s="101">
        <f t="shared" si="10"/>
        <v>167705</v>
      </c>
      <c r="AR120" s="104">
        <f t="shared" si="11"/>
        <v>230114</v>
      </c>
    </row>
    <row r="121" spans="1:44">
      <c r="A121" s="14" t="s">
        <v>1218</v>
      </c>
      <c r="B121" s="15" t="s">
        <v>1219</v>
      </c>
      <c r="C121" s="14" t="s">
        <v>1220</v>
      </c>
      <c r="D121" s="14">
        <v>36</v>
      </c>
      <c r="E121" s="15" t="s">
        <v>966</v>
      </c>
      <c r="F121" s="15" t="s">
        <v>969</v>
      </c>
      <c r="G121" s="14" t="s">
        <v>970</v>
      </c>
      <c r="H121" s="14"/>
      <c r="I121" s="14"/>
      <c r="J121" s="16">
        <v>347.91</v>
      </c>
      <c r="K121" s="66">
        <v>75839</v>
      </c>
      <c r="L121" s="66">
        <v>556176</v>
      </c>
      <c r="M121" s="28">
        <v>632015</v>
      </c>
      <c r="N121" s="64">
        <v>2908892</v>
      </c>
      <c r="O121" s="64">
        <v>87786</v>
      </c>
      <c r="P121" s="64">
        <v>20441</v>
      </c>
      <c r="Q121" s="28">
        <v>3017119</v>
      </c>
      <c r="R121" s="62">
        <v>96879</v>
      </c>
      <c r="S121" s="28">
        <v>3746013</v>
      </c>
      <c r="T121" s="81">
        <v>165021</v>
      </c>
      <c r="U121" s="81">
        <v>37300</v>
      </c>
      <c r="V121" s="81">
        <v>6067</v>
      </c>
      <c r="W121" s="81">
        <v>343850</v>
      </c>
      <c r="X121" s="28">
        <v>4298251</v>
      </c>
      <c r="Y121" s="28">
        <v>337250</v>
      </c>
      <c r="Z121" s="28">
        <v>650647</v>
      </c>
      <c r="AA121" s="28">
        <v>3136681</v>
      </c>
      <c r="AB121" s="28">
        <v>173673</v>
      </c>
      <c r="AC121" s="40" t="s">
        <v>184</v>
      </c>
      <c r="AD121" s="41">
        <v>362</v>
      </c>
      <c r="AE121" s="42">
        <v>1</v>
      </c>
      <c r="AF121" s="40" t="s">
        <v>969</v>
      </c>
      <c r="AG121" s="68">
        <v>22198.959999999999</v>
      </c>
      <c r="AH121" s="42">
        <v>1</v>
      </c>
      <c r="AI121" s="40" t="s">
        <v>969</v>
      </c>
      <c r="AJ121" s="70">
        <v>0</v>
      </c>
      <c r="AK121" s="72">
        <f t="shared" si="6"/>
        <v>-22198.959999999999</v>
      </c>
      <c r="AL121" s="72">
        <f t="shared" si="7"/>
        <v>0</v>
      </c>
      <c r="AM121">
        <v>-1</v>
      </c>
      <c r="AO121" s="102">
        <f t="shared" si="8"/>
        <v>261411</v>
      </c>
      <c r="AP121" s="103">
        <f t="shared" si="9"/>
        <v>94471</v>
      </c>
      <c r="AQ121" s="101">
        <f t="shared" si="10"/>
        <v>119562</v>
      </c>
      <c r="AR121" s="104">
        <f t="shared" si="11"/>
        <v>76794</v>
      </c>
    </row>
    <row r="122" spans="1:44">
      <c r="A122" s="14" t="s">
        <v>1218</v>
      </c>
      <c r="B122" s="15" t="s">
        <v>1219</v>
      </c>
      <c r="C122" s="14" t="s">
        <v>1220</v>
      </c>
      <c r="D122" s="14">
        <v>36</v>
      </c>
      <c r="E122" s="15" t="s">
        <v>966</v>
      </c>
      <c r="F122" s="15" t="s">
        <v>971</v>
      </c>
      <c r="G122" s="14" t="s">
        <v>972</v>
      </c>
      <c r="H122" s="14"/>
      <c r="I122" s="14"/>
      <c r="J122" s="16">
        <v>365.21</v>
      </c>
      <c r="K122" s="66">
        <v>38984</v>
      </c>
      <c r="L122" s="66">
        <v>1086621</v>
      </c>
      <c r="M122" s="28">
        <v>1125605</v>
      </c>
      <c r="N122" s="64">
        <v>3829783</v>
      </c>
      <c r="O122" s="64">
        <v>471264</v>
      </c>
      <c r="P122" s="64">
        <v>3589</v>
      </c>
      <c r="Q122" s="28">
        <v>4304636</v>
      </c>
      <c r="R122" s="62">
        <v>396528</v>
      </c>
      <c r="S122" s="28">
        <v>5826769</v>
      </c>
      <c r="T122" s="81">
        <v>138282</v>
      </c>
      <c r="U122" s="81">
        <v>34989</v>
      </c>
      <c r="V122" s="81">
        <v>0</v>
      </c>
      <c r="W122" s="81">
        <v>423475</v>
      </c>
      <c r="X122" s="28">
        <v>6423515</v>
      </c>
      <c r="Y122" s="28">
        <v>338779</v>
      </c>
      <c r="Z122" s="28">
        <v>1148196</v>
      </c>
      <c r="AA122" s="28">
        <v>4452448</v>
      </c>
      <c r="AB122" s="28">
        <v>484091</v>
      </c>
      <c r="AC122" s="40" t="s">
        <v>184</v>
      </c>
      <c r="AD122" s="41">
        <v>363</v>
      </c>
      <c r="AE122" s="42">
        <v>1</v>
      </c>
      <c r="AF122" s="40" t="s">
        <v>971</v>
      </c>
      <c r="AG122" s="68">
        <v>21940.37</v>
      </c>
      <c r="AH122" s="42">
        <v>1</v>
      </c>
      <c r="AI122" s="40" t="s">
        <v>971</v>
      </c>
      <c r="AJ122" s="70">
        <v>0</v>
      </c>
      <c r="AK122" s="72">
        <f t="shared" si="6"/>
        <v>-21940.37</v>
      </c>
      <c r="AL122" s="72">
        <f t="shared" si="7"/>
        <v>0</v>
      </c>
      <c r="AM122">
        <v>-1</v>
      </c>
      <c r="AO122" s="102">
        <f t="shared" si="8"/>
        <v>299795</v>
      </c>
      <c r="AP122" s="103">
        <f t="shared" si="9"/>
        <v>61575</v>
      </c>
      <c r="AQ122" s="101">
        <f t="shared" si="10"/>
        <v>147812</v>
      </c>
      <c r="AR122" s="104">
        <f t="shared" si="11"/>
        <v>87563</v>
      </c>
    </row>
    <row r="123" spans="1:44">
      <c r="A123" s="14" t="s">
        <v>1087</v>
      </c>
      <c r="B123" s="15" t="s">
        <v>1088</v>
      </c>
      <c r="C123" s="14" t="s">
        <v>1220</v>
      </c>
      <c r="D123" s="14">
        <v>37</v>
      </c>
      <c r="E123" s="15" t="s">
        <v>973</v>
      </c>
      <c r="F123" s="15" t="s">
        <v>974</v>
      </c>
      <c r="G123" s="14" t="s">
        <v>975</v>
      </c>
      <c r="H123" s="14"/>
      <c r="I123" s="14"/>
      <c r="J123" s="16">
        <v>117.38</v>
      </c>
      <c r="K123" s="66">
        <v>110602</v>
      </c>
      <c r="L123" s="66">
        <v>26847</v>
      </c>
      <c r="M123" s="28">
        <v>137449</v>
      </c>
      <c r="N123" s="64">
        <v>728937</v>
      </c>
      <c r="O123" s="64">
        <v>0</v>
      </c>
      <c r="P123" s="64">
        <v>18246</v>
      </c>
      <c r="Q123" s="28">
        <v>747183</v>
      </c>
      <c r="R123" s="62">
        <v>48855</v>
      </c>
      <c r="S123" s="28">
        <v>933487</v>
      </c>
      <c r="T123" s="81">
        <v>38304</v>
      </c>
      <c r="U123" s="81">
        <v>25887</v>
      </c>
      <c r="V123" s="81">
        <v>0</v>
      </c>
      <c r="W123" s="81">
        <v>0</v>
      </c>
      <c r="X123" s="28">
        <v>997678</v>
      </c>
      <c r="Y123" s="28">
        <v>119184</v>
      </c>
      <c r="Z123" s="28">
        <v>41876</v>
      </c>
      <c r="AA123" s="28">
        <v>767699</v>
      </c>
      <c r="AB123" s="28">
        <v>68919</v>
      </c>
      <c r="AC123" s="40" t="s">
        <v>184</v>
      </c>
      <c r="AD123" s="41">
        <v>371</v>
      </c>
      <c r="AE123" s="42">
        <v>1</v>
      </c>
      <c r="AF123" s="40" t="s">
        <v>974</v>
      </c>
      <c r="AG123" s="68">
        <v>14869.27</v>
      </c>
      <c r="AH123" s="42">
        <v>1</v>
      </c>
      <c r="AI123" s="40" t="s">
        <v>974</v>
      </c>
      <c r="AJ123" s="70">
        <v>0</v>
      </c>
      <c r="AK123" s="72">
        <f t="shared" si="6"/>
        <v>-14869.27</v>
      </c>
      <c r="AL123" s="72">
        <f t="shared" si="7"/>
        <v>0</v>
      </c>
      <c r="AM123">
        <v>-1</v>
      </c>
      <c r="AO123" s="102">
        <f t="shared" si="8"/>
        <v>8582</v>
      </c>
      <c r="AP123" s="103">
        <f t="shared" si="9"/>
        <v>15029</v>
      </c>
      <c r="AQ123" s="101">
        <f t="shared" si="10"/>
        <v>20516</v>
      </c>
      <c r="AR123" s="104">
        <f t="shared" si="11"/>
        <v>20064</v>
      </c>
    </row>
    <row r="124" spans="1:44">
      <c r="A124" s="14" t="s">
        <v>1087</v>
      </c>
      <c r="B124" s="15" t="s">
        <v>1088</v>
      </c>
      <c r="C124" s="14" t="s">
        <v>1220</v>
      </c>
      <c r="D124" s="14">
        <v>37</v>
      </c>
      <c r="E124" s="15" t="s">
        <v>973</v>
      </c>
      <c r="F124" s="15" t="s">
        <v>976</v>
      </c>
      <c r="G124" s="14" t="s">
        <v>977</v>
      </c>
      <c r="H124" s="14"/>
      <c r="I124" s="14"/>
      <c r="J124" s="16">
        <v>525.04999999999995</v>
      </c>
      <c r="K124" s="66">
        <v>282633</v>
      </c>
      <c r="L124" s="66">
        <v>273357</v>
      </c>
      <c r="M124" s="28">
        <v>555990</v>
      </c>
      <c r="N124" s="64">
        <v>3756551</v>
      </c>
      <c r="O124" s="64">
        <v>384258</v>
      </c>
      <c r="P124" s="64">
        <v>68081</v>
      </c>
      <c r="Q124" s="28">
        <v>4208890</v>
      </c>
      <c r="R124" s="62">
        <v>206953</v>
      </c>
      <c r="S124" s="28">
        <v>4971833</v>
      </c>
      <c r="T124" s="81">
        <v>285538</v>
      </c>
      <c r="U124" s="81">
        <v>171678</v>
      </c>
      <c r="V124" s="81">
        <v>0</v>
      </c>
      <c r="W124" s="81">
        <v>271442</v>
      </c>
      <c r="X124" s="28">
        <v>5700490</v>
      </c>
      <c r="Y124" s="28">
        <v>487861</v>
      </c>
      <c r="Z124" s="28">
        <v>579669</v>
      </c>
      <c r="AA124" s="28">
        <v>4301605</v>
      </c>
      <c r="AB124" s="28">
        <v>331354</v>
      </c>
      <c r="AC124" s="40" t="s">
        <v>184</v>
      </c>
      <c r="AD124" s="41">
        <v>378</v>
      </c>
      <c r="AE124" s="42">
        <v>1</v>
      </c>
      <c r="AF124" s="40" t="s">
        <v>976</v>
      </c>
      <c r="AG124" s="68">
        <v>49044.1</v>
      </c>
      <c r="AH124" s="42">
        <v>1</v>
      </c>
      <c r="AI124" s="40" t="s">
        <v>976</v>
      </c>
      <c r="AJ124" s="70">
        <v>0</v>
      </c>
      <c r="AK124" s="72">
        <f t="shared" si="6"/>
        <v>-49044.1</v>
      </c>
      <c r="AL124" s="72">
        <f t="shared" si="7"/>
        <v>0</v>
      </c>
      <c r="AM124">
        <v>-1</v>
      </c>
      <c r="AO124" s="102">
        <f t="shared" si="8"/>
        <v>205228</v>
      </c>
      <c r="AP124" s="103">
        <f t="shared" si="9"/>
        <v>306312</v>
      </c>
      <c r="AQ124" s="101">
        <f t="shared" si="10"/>
        <v>92715</v>
      </c>
      <c r="AR124" s="104">
        <f t="shared" si="11"/>
        <v>124401</v>
      </c>
    </row>
    <row r="125" spans="1:44">
      <c r="A125" s="14" t="s">
        <v>1218</v>
      </c>
      <c r="B125" s="15" t="s">
        <v>1219</v>
      </c>
      <c r="C125" s="14" t="s">
        <v>1220</v>
      </c>
      <c r="D125" s="14">
        <v>38</v>
      </c>
      <c r="E125" s="15" t="s">
        <v>978</v>
      </c>
      <c r="F125" s="15" t="s">
        <v>979</v>
      </c>
      <c r="G125" s="14" t="s">
        <v>980</v>
      </c>
      <c r="H125" s="14"/>
      <c r="I125" s="14"/>
      <c r="J125" s="16">
        <v>1553.77</v>
      </c>
      <c r="K125" s="66">
        <v>85574</v>
      </c>
      <c r="L125" s="66">
        <v>2971532</v>
      </c>
      <c r="M125" s="28">
        <v>3057106</v>
      </c>
      <c r="N125" s="64">
        <v>10621952</v>
      </c>
      <c r="O125" s="64">
        <v>637997</v>
      </c>
      <c r="P125" s="64">
        <v>42400</v>
      </c>
      <c r="Q125" s="28">
        <v>11302349</v>
      </c>
      <c r="R125" s="62">
        <v>818865</v>
      </c>
      <c r="S125" s="28">
        <v>15178320</v>
      </c>
      <c r="T125" s="81">
        <v>565189</v>
      </c>
      <c r="U125" s="81">
        <v>634673</v>
      </c>
      <c r="V125" s="81">
        <v>93927</v>
      </c>
      <c r="W125" s="81">
        <v>3284486</v>
      </c>
      <c r="X125" s="28">
        <v>19756594</v>
      </c>
      <c r="Y125" s="28">
        <v>2400607</v>
      </c>
      <c r="Z125" s="28">
        <v>4714818</v>
      </c>
      <c r="AA125" s="28">
        <v>11601061</v>
      </c>
      <c r="AB125" s="28">
        <v>1040108</v>
      </c>
      <c r="AC125" s="40" t="s">
        <v>184</v>
      </c>
      <c r="AD125" s="41">
        <v>381</v>
      </c>
      <c r="AE125" s="42">
        <v>1</v>
      </c>
      <c r="AF125" s="40" t="s">
        <v>979</v>
      </c>
      <c r="AG125" s="68">
        <v>94318.37</v>
      </c>
      <c r="AH125" s="42">
        <v>1</v>
      </c>
      <c r="AI125" s="40" t="s">
        <v>979</v>
      </c>
      <c r="AJ125" s="70">
        <v>0</v>
      </c>
      <c r="AK125" s="72">
        <f t="shared" si="6"/>
        <v>-94318.37</v>
      </c>
      <c r="AL125" s="72">
        <f t="shared" si="7"/>
        <v>0</v>
      </c>
      <c r="AM125">
        <v>-1</v>
      </c>
      <c r="AO125" s="102">
        <f t="shared" si="8"/>
        <v>2315033</v>
      </c>
      <c r="AP125" s="103">
        <f t="shared" si="9"/>
        <v>1743286</v>
      </c>
      <c r="AQ125" s="101">
        <f t="shared" si="10"/>
        <v>298712</v>
      </c>
      <c r="AR125" s="104">
        <f t="shared" si="11"/>
        <v>221243</v>
      </c>
    </row>
    <row r="126" spans="1:44">
      <c r="A126" s="14" t="s">
        <v>1258</v>
      </c>
      <c r="B126" s="15" t="s">
        <v>1259</v>
      </c>
      <c r="C126" s="14" t="s">
        <v>1220</v>
      </c>
      <c r="D126" s="14">
        <v>39</v>
      </c>
      <c r="E126" s="15" t="s">
        <v>981</v>
      </c>
      <c r="F126" s="15" t="s">
        <v>982</v>
      </c>
      <c r="G126" s="14" t="s">
        <v>983</v>
      </c>
      <c r="H126" s="14"/>
      <c r="I126" s="14"/>
      <c r="J126" s="16">
        <v>581.28</v>
      </c>
      <c r="K126" s="66">
        <v>492042</v>
      </c>
      <c r="L126" s="66">
        <v>782326</v>
      </c>
      <c r="M126" s="28">
        <v>1274368</v>
      </c>
      <c r="N126" s="64">
        <v>4562231</v>
      </c>
      <c r="O126" s="64">
        <v>343989</v>
      </c>
      <c r="P126" s="64">
        <v>42441</v>
      </c>
      <c r="Q126" s="28">
        <v>4948661</v>
      </c>
      <c r="R126" s="62">
        <v>145154</v>
      </c>
      <c r="S126" s="28">
        <v>6368183</v>
      </c>
      <c r="T126" s="81">
        <v>307793</v>
      </c>
      <c r="U126" s="81">
        <v>122181</v>
      </c>
      <c r="V126" s="81">
        <v>0</v>
      </c>
      <c r="W126" s="81">
        <v>1268169</v>
      </c>
      <c r="X126" s="28">
        <v>8066326</v>
      </c>
      <c r="Y126" s="28">
        <v>1430778</v>
      </c>
      <c r="Z126" s="28">
        <v>1080347</v>
      </c>
      <c r="AA126" s="28">
        <v>5292907</v>
      </c>
      <c r="AB126" s="28">
        <v>262294</v>
      </c>
      <c r="AC126" s="40" t="s">
        <v>184</v>
      </c>
      <c r="AD126" s="41">
        <v>390</v>
      </c>
      <c r="AE126" s="42">
        <v>1</v>
      </c>
      <c r="AF126" s="40" t="s">
        <v>982</v>
      </c>
      <c r="AG126" s="68">
        <v>67698.8</v>
      </c>
      <c r="AH126" s="42">
        <v>1</v>
      </c>
      <c r="AI126" s="40" t="s">
        <v>982</v>
      </c>
      <c r="AJ126" s="70">
        <v>0</v>
      </c>
      <c r="AK126" s="72">
        <f t="shared" si="6"/>
        <v>-67698.8</v>
      </c>
      <c r="AL126" s="72">
        <f t="shared" si="7"/>
        <v>0</v>
      </c>
      <c r="AM126">
        <v>-1</v>
      </c>
      <c r="AO126" s="102">
        <f t="shared" si="8"/>
        <v>938736</v>
      </c>
      <c r="AP126" s="103">
        <f t="shared" si="9"/>
        <v>298021</v>
      </c>
      <c r="AQ126" s="101">
        <f t="shared" si="10"/>
        <v>344246</v>
      </c>
      <c r="AR126" s="104">
        <f t="shared" si="11"/>
        <v>117140</v>
      </c>
    </row>
    <row r="127" spans="1:44">
      <c r="A127" s="14" t="s">
        <v>1092</v>
      </c>
      <c r="B127" s="15" t="s">
        <v>1093</v>
      </c>
      <c r="C127" s="14" t="s">
        <v>1220</v>
      </c>
      <c r="D127" s="14">
        <v>40</v>
      </c>
      <c r="E127" s="15" t="s">
        <v>984</v>
      </c>
      <c r="F127" s="15" t="s">
        <v>985</v>
      </c>
      <c r="G127" s="14" t="s">
        <v>986</v>
      </c>
      <c r="H127" s="14"/>
      <c r="I127" s="14"/>
      <c r="J127" s="16">
        <v>410.77</v>
      </c>
      <c r="K127" s="66">
        <v>430254</v>
      </c>
      <c r="L127" s="66">
        <v>134564</v>
      </c>
      <c r="M127" s="28">
        <v>564818</v>
      </c>
      <c r="N127" s="64">
        <v>2555402</v>
      </c>
      <c r="O127" s="64">
        <v>192015</v>
      </c>
      <c r="P127" s="64">
        <v>16029</v>
      </c>
      <c r="Q127" s="28">
        <v>2763446</v>
      </c>
      <c r="R127" s="62">
        <v>124754</v>
      </c>
      <c r="S127" s="28">
        <v>3453018</v>
      </c>
      <c r="T127" s="81">
        <v>178159</v>
      </c>
      <c r="U127" s="81">
        <v>107419</v>
      </c>
      <c r="V127" s="81">
        <v>0</v>
      </c>
      <c r="W127" s="81">
        <v>147676</v>
      </c>
      <c r="X127" s="28">
        <v>3886274</v>
      </c>
      <c r="Y127" s="28">
        <v>590763</v>
      </c>
      <c r="Z127" s="28">
        <v>312558</v>
      </c>
      <c r="AA127" s="28">
        <v>2799579</v>
      </c>
      <c r="AB127" s="28">
        <v>183373</v>
      </c>
      <c r="AC127" s="40" t="s">
        <v>184</v>
      </c>
      <c r="AD127" s="41">
        <v>391</v>
      </c>
      <c r="AE127" s="42">
        <v>1</v>
      </c>
      <c r="AF127" s="40" t="s">
        <v>985</v>
      </c>
      <c r="AG127" s="68">
        <v>59501.15</v>
      </c>
      <c r="AH127" s="42">
        <v>1</v>
      </c>
      <c r="AI127" s="40" t="s">
        <v>985</v>
      </c>
      <c r="AJ127" s="70">
        <v>0</v>
      </c>
      <c r="AK127" s="72">
        <f t="shared" si="6"/>
        <v>-59501.15</v>
      </c>
      <c r="AL127" s="72">
        <f t="shared" si="7"/>
        <v>0</v>
      </c>
      <c r="AM127">
        <v>-1</v>
      </c>
      <c r="AO127" s="102">
        <f t="shared" si="8"/>
        <v>160509</v>
      </c>
      <c r="AP127" s="103">
        <f t="shared" si="9"/>
        <v>177994</v>
      </c>
      <c r="AQ127" s="101">
        <f t="shared" si="10"/>
        <v>36133</v>
      </c>
      <c r="AR127" s="104">
        <f t="shared" si="11"/>
        <v>58619</v>
      </c>
    </row>
    <row r="128" spans="1:44">
      <c r="A128" s="14" t="s">
        <v>1092</v>
      </c>
      <c r="B128" s="15" t="s">
        <v>1093</v>
      </c>
      <c r="C128" s="14" t="s">
        <v>1220</v>
      </c>
      <c r="D128" s="14">
        <v>40</v>
      </c>
      <c r="E128" s="15" t="s">
        <v>984</v>
      </c>
      <c r="F128" s="15" t="s">
        <v>987</v>
      </c>
      <c r="G128" s="14" t="s">
        <v>988</v>
      </c>
      <c r="H128" s="14"/>
      <c r="I128" s="14"/>
      <c r="J128" s="16">
        <v>663.38</v>
      </c>
      <c r="K128" s="66">
        <v>463517</v>
      </c>
      <c r="L128" s="66">
        <v>377145</v>
      </c>
      <c r="M128" s="28">
        <v>840662</v>
      </c>
      <c r="N128" s="64">
        <v>4506818</v>
      </c>
      <c r="O128" s="64">
        <v>273172</v>
      </c>
      <c r="P128" s="64">
        <v>32051</v>
      </c>
      <c r="Q128" s="28">
        <v>4812041</v>
      </c>
      <c r="R128" s="62">
        <v>99320</v>
      </c>
      <c r="S128" s="28">
        <v>5752023</v>
      </c>
      <c r="T128" s="81">
        <v>295274</v>
      </c>
      <c r="U128" s="81">
        <v>103158</v>
      </c>
      <c r="V128" s="81">
        <v>1964</v>
      </c>
      <c r="W128" s="81">
        <v>683034</v>
      </c>
      <c r="X128" s="28">
        <v>6835454</v>
      </c>
      <c r="Y128" s="28">
        <v>1081746</v>
      </c>
      <c r="Z128" s="28">
        <v>612491</v>
      </c>
      <c r="AA128" s="28">
        <v>4936462</v>
      </c>
      <c r="AB128" s="28">
        <v>204755</v>
      </c>
      <c r="AC128" s="40" t="s">
        <v>184</v>
      </c>
      <c r="AD128" s="41">
        <v>392</v>
      </c>
      <c r="AE128" s="42">
        <v>1</v>
      </c>
      <c r="AF128" s="40" t="s">
        <v>987</v>
      </c>
      <c r="AG128" s="68">
        <v>52143.25</v>
      </c>
      <c r="AH128" s="42">
        <v>1</v>
      </c>
      <c r="AI128" s="40" t="s">
        <v>987</v>
      </c>
      <c r="AJ128" s="70">
        <v>0</v>
      </c>
      <c r="AK128" s="72">
        <f t="shared" si="6"/>
        <v>-52143.25</v>
      </c>
      <c r="AL128" s="72">
        <f t="shared" si="7"/>
        <v>0</v>
      </c>
      <c r="AM128">
        <v>-1</v>
      </c>
      <c r="AO128" s="102">
        <f t="shared" si="8"/>
        <v>618229</v>
      </c>
      <c r="AP128" s="103">
        <f t="shared" si="9"/>
        <v>235346</v>
      </c>
      <c r="AQ128" s="101">
        <f t="shared" si="10"/>
        <v>124421</v>
      </c>
      <c r="AR128" s="104">
        <f t="shared" si="11"/>
        <v>105435</v>
      </c>
    </row>
    <row r="129" spans="1:44">
      <c r="A129" s="14" t="s">
        <v>1092</v>
      </c>
      <c r="B129" s="15" t="s">
        <v>1093</v>
      </c>
      <c r="C129" s="14" t="s">
        <v>1220</v>
      </c>
      <c r="D129" s="14">
        <v>40</v>
      </c>
      <c r="E129" s="15" t="s">
        <v>984</v>
      </c>
      <c r="F129" s="15" t="s">
        <v>989</v>
      </c>
      <c r="G129" s="14" t="s">
        <v>990</v>
      </c>
      <c r="H129" s="14"/>
      <c r="I129" s="14"/>
      <c r="J129" s="16">
        <v>1062.94</v>
      </c>
      <c r="K129" s="66">
        <v>356877</v>
      </c>
      <c r="L129" s="66">
        <v>536149</v>
      </c>
      <c r="M129" s="28">
        <v>893026</v>
      </c>
      <c r="N129" s="64">
        <v>6528321</v>
      </c>
      <c r="O129" s="64">
        <v>652701</v>
      </c>
      <c r="P129" s="64">
        <v>108033</v>
      </c>
      <c r="Q129" s="28">
        <v>7289055</v>
      </c>
      <c r="R129" s="62">
        <v>352434</v>
      </c>
      <c r="S129" s="28">
        <v>8534515</v>
      </c>
      <c r="T129" s="81">
        <v>448636</v>
      </c>
      <c r="U129" s="81">
        <v>406939</v>
      </c>
      <c r="V129" s="81">
        <v>42585</v>
      </c>
      <c r="W129" s="81">
        <v>1339083</v>
      </c>
      <c r="X129" s="28">
        <v>10771759</v>
      </c>
      <c r="Y129" s="28">
        <v>1550975</v>
      </c>
      <c r="Z129" s="28">
        <v>1152069</v>
      </c>
      <c r="AA129" s="28">
        <v>7559673</v>
      </c>
      <c r="AB129" s="28">
        <v>509042</v>
      </c>
      <c r="AC129" s="40" t="s">
        <v>184</v>
      </c>
      <c r="AD129" s="41">
        <v>394</v>
      </c>
      <c r="AE129" s="42">
        <v>1</v>
      </c>
      <c r="AF129" s="40" t="s">
        <v>989</v>
      </c>
      <c r="AG129" s="68">
        <v>125628.83</v>
      </c>
      <c r="AH129" s="42">
        <v>1</v>
      </c>
      <c r="AI129" s="40" t="s">
        <v>989</v>
      </c>
      <c r="AJ129" s="70">
        <v>0</v>
      </c>
      <c r="AK129" s="72">
        <f t="shared" si="6"/>
        <v>-125628.83</v>
      </c>
      <c r="AL129" s="72">
        <f t="shared" si="7"/>
        <v>0</v>
      </c>
      <c r="AM129">
        <v>-1</v>
      </c>
      <c r="AO129" s="102">
        <f t="shared" si="8"/>
        <v>1194098</v>
      </c>
      <c r="AP129" s="103">
        <f t="shared" si="9"/>
        <v>615920</v>
      </c>
      <c r="AQ129" s="101">
        <f t="shared" si="10"/>
        <v>270618</v>
      </c>
      <c r="AR129" s="104">
        <f t="shared" si="11"/>
        <v>156608</v>
      </c>
    </row>
    <row r="130" spans="1:44">
      <c r="A130" s="14" t="s">
        <v>1166</v>
      </c>
      <c r="B130" s="15" t="s">
        <v>1167</v>
      </c>
      <c r="C130" s="14" t="s">
        <v>1220</v>
      </c>
      <c r="D130" s="14">
        <v>41</v>
      </c>
      <c r="E130" s="15" t="s">
        <v>814</v>
      </c>
      <c r="F130" s="15" t="s">
        <v>815</v>
      </c>
      <c r="G130" s="14" t="s">
        <v>816</v>
      </c>
      <c r="H130" s="14"/>
      <c r="I130" s="14"/>
      <c r="J130" s="16">
        <v>242.43</v>
      </c>
      <c r="K130" s="66">
        <v>111625</v>
      </c>
      <c r="L130" s="66">
        <v>92024</v>
      </c>
      <c r="M130" s="28">
        <v>203649</v>
      </c>
      <c r="N130" s="64">
        <v>1175602</v>
      </c>
      <c r="O130" s="64">
        <v>131265</v>
      </c>
      <c r="P130" s="64">
        <v>6033</v>
      </c>
      <c r="Q130" s="28">
        <v>1312900</v>
      </c>
      <c r="R130" s="62">
        <v>157897</v>
      </c>
      <c r="S130" s="28">
        <v>1674446</v>
      </c>
      <c r="T130" s="81">
        <v>98471</v>
      </c>
      <c r="U130" s="81">
        <v>45611</v>
      </c>
      <c r="V130" s="81">
        <v>0</v>
      </c>
      <c r="W130" s="81">
        <v>0</v>
      </c>
      <c r="X130" s="28">
        <v>1818527</v>
      </c>
      <c r="Y130" s="28">
        <v>120511</v>
      </c>
      <c r="Z130" s="28">
        <v>153922</v>
      </c>
      <c r="AA130" s="28">
        <v>1332500</v>
      </c>
      <c r="AB130" s="28">
        <v>211593</v>
      </c>
      <c r="AC130" s="40" t="s">
        <v>184</v>
      </c>
      <c r="AD130" s="41">
        <v>402</v>
      </c>
      <c r="AE130" s="42">
        <v>1</v>
      </c>
      <c r="AF130" s="40" t="s">
        <v>815</v>
      </c>
      <c r="AG130" s="68">
        <v>23419.37</v>
      </c>
      <c r="AH130" s="42">
        <v>1</v>
      </c>
      <c r="AI130" s="40" t="s">
        <v>815</v>
      </c>
      <c r="AJ130" s="70">
        <v>0</v>
      </c>
      <c r="AK130" s="72">
        <f t="shared" si="6"/>
        <v>-23419.37</v>
      </c>
      <c r="AL130" s="72">
        <f t="shared" si="7"/>
        <v>0</v>
      </c>
      <c r="AM130">
        <v>-1</v>
      </c>
      <c r="AO130" s="102">
        <f t="shared" si="8"/>
        <v>8886</v>
      </c>
      <c r="AP130" s="103">
        <f t="shared" si="9"/>
        <v>61898</v>
      </c>
      <c r="AQ130" s="101">
        <f t="shared" si="10"/>
        <v>19600</v>
      </c>
      <c r="AR130" s="104">
        <f t="shared" si="11"/>
        <v>53696</v>
      </c>
    </row>
    <row r="131" spans="1:44">
      <c r="A131" s="14" t="s">
        <v>1166</v>
      </c>
      <c r="B131" s="15" t="s">
        <v>1167</v>
      </c>
      <c r="C131" s="14" t="s">
        <v>1220</v>
      </c>
      <c r="D131" s="14">
        <v>41</v>
      </c>
      <c r="E131" s="15" t="s">
        <v>814</v>
      </c>
      <c r="F131" s="15" t="s">
        <v>817</v>
      </c>
      <c r="G131" s="14" t="s">
        <v>818</v>
      </c>
      <c r="H131" s="14"/>
      <c r="I131" s="14"/>
      <c r="J131" s="16">
        <v>241.1</v>
      </c>
      <c r="K131" s="66">
        <v>72664</v>
      </c>
      <c r="L131" s="66">
        <v>149593</v>
      </c>
      <c r="M131" s="28">
        <v>222257</v>
      </c>
      <c r="N131" s="64">
        <v>1306896</v>
      </c>
      <c r="O131" s="64">
        <v>-13211</v>
      </c>
      <c r="P131" s="64">
        <v>10498</v>
      </c>
      <c r="Q131" s="28">
        <v>1304183</v>
      </c>
      <c r="R131" s="62">
        <v>-7190</v>
      </c>
      <c r="S131" s="28">
        <v>1519250</v>
      </c>
      <c r="T131" s="81">
        <v>91769</v>
      </c>
      <c r="U131" s="81">
        <v>28967</v>
      </c>
      <c r="V131" s="81">
        <v>0</v>
      </c>
      <c r="W131" s="81">
        <v>0</v>
      </c>
      <c r="X131" s="28">
        <v>1639985</v>
      </c>
      <c r="Y131" s="28">
        <v>82375</v>
      </c>
      <c r="Z131" s="28">
        <v>213566</v>
      </c>
      <c r="AA131" s="28">
        <v>1320789</v>
      </c>
      <c r="AB131" s="28">
        <v>23255</v>
      </c>
      <c r="AC131" s="40" t="s">
        <v>184</v>
      </c>
      <c r="AD131" s="41">
        <v>403</v>
      </c>
      <c r="AE131" s="42">
        <v>1</v>
      </c>
      <c r="AF131" s="40" t="s">
        <v>817</v>
      </c>
      <c r="AG131" s="68">
        <v>14359.11</v>
      </c>
      <c r="AH131" s="42">
        <v>1</v>
      </c>
      <c r="AI131" s="40" t="s">
        <v>817</v>
      </c>
      <c r="AJ131" s="70">
        <v>0</v>
      </c>
      <c r="AK131" s="72">
        <f t="shared" si="6"/>
        <v>-14359.11</v>
      </c>
      <c r="AL131" s="72">
        <f t="shared" si="7"/>
        <v>0</v>
      </c>
      <c r="AM131">
        <v>-1</v>
      </c>
      <c r="AO131" s="102">
        <f t="shared" si="8"/>
        <v>9711</v>
      </c>
      <c r="AP131" s="103">
        <f t="shared" si="9"/>
        <v>63973</v>
      </c>
      <c r="AQ131" s="101">
        <f t="shared" si="10"/>
        <v>16606</v>
      </c>
      <c r="AR131" s="104">
        <f t="shared" si="11"/>
        <v>30445</v>
      </c>
    </row>
    <row r="132" spans="1:44">
      <c r="A132" s="14" t="s">
        <v>1166</v>
      </c>
      <c r="B132" s="15" t="s">
        <v>1167</v>
      </c>
      <c r="C132" s="14" t="s">
        <v>1220</v>
      </c>
      <c r="D132" s="14">
        <v>41</v>
      </c>
      <c r="E132" s="15" t="s">
        <v>814</v>
      </c>
      <c r="F132" s="15" t="s">
        <v>819</v>
      </c>
      <c r="G132" s="14" t="s">
        <v>820</v>
      </c>
      <c r="H132" s="14"/>
      <c r="I132" s="14"/>
      <c r="J132" s="16">
        <v>200.63</v>
      </c>
      <c r="K132" s="66">
        <v>163758</v>
      </c>
      <c r="L132" s="66">
        <v>91867</v>
      </c>
      <c r="M132" s="28">
        <v>255625</v>
      </c>
      <c r="N132" s="64">
        <v>1448438</v>
      </c>
      <c r="O132" s="64">
        <v>4784</v>
      </c>
      <c r="P132" s="64">
        <v>13619</v>
      </c>
      <c r="Q132" s="28">
        <v>1466841</v>
      </c>
      <c r="R132" s="62">
        <v>64577</v>
      </c>
      <c r="S132" s="28">
        <v>1787043</v>
      </c>
      <c r="T132" s="81">
        <v>92652</v>
      </c>
      <c r="U132" s="81">
        <v>13210</v>
      </c>
      <c r="V132" s="81">
        <v>0</v>
      </c>
      <c r="W132" s="81">
        <v>0</v>
      </c>
      <c r="X132" s="28">
        <v>1892904</v>
      </c>
      <c r="Y132" s="28">
        <v>162214</v>
      </c>
      <c r="Z132" s="28">
        <v>136636</v>
      </c>
      <c r="AA132" s="28">
        <v>1478096</v>
      </c>
      <c r="AB132" s="28">
        <v>115958</v>
      </c>
      <c r="AC132" s="40" t="s">
        <v>184</v>
      </c>
      <c r="AD132" s="41">
        <v>404</v>
      </c>
      <c r="AE132" s="42">
        <v>1</v>
      </c>
      <c r="AF132" s="40" t="s">
        <v>819</v>
      </c>
      <c r="AG132" s="68">
        <v>10083.69</v>
      </c>
      <c r="AH132" s="42">
        <v>1</v>
      </c>
      <c r="AI132" s="40" t="s">
        <v>819</v>
      </c>
      <c r="AJ132" s="70">
        <v>0</v>
      </c>
      <c r="AK132" s="72">
        <f t="shared" si="6"/>
        <v>-10083.69</v>
      </c>
      <c r="AL132" s="72">
        <f t="shared" si="7"/>
        <v>0</v>
      </c>
      <c r="AM132">
        <v>-1</v>
      </c>
      <c r="AO132" s="102">
        <f t="shared" si="8"/>
        <v>-1544</v>
      </c>
      <c r="AP132" s="103">
        <f t="shared" si="9"/>
        <v>44769</v>
      </c>
      <c r="AQ132" s="101">
        <f t="shared" si="10"/>
        <v>11255</v>
      </c>
      <c r="AR132" s="104">
        <f t="shared" si="11"/>
        <v>51381</v>
      </c>
    </row>
    <row r="133" spans="1:44">
      <c r="A133" s="14" t="s">
        <v>1166</v>
      </c>
      <c r="B133" s="15" t="s">
        <v>1167</v>
      </c>
      <c r="C133" s="14" t="s">
        <v>1220</v>
      </c>
      <c r="D133" s="14">
        <v>42</v>
      </c>
      <c r="E133" s="15" t="s">
        <v>821</v>
      </c>
      <c r="F133" s="15" t="s">
        <v>822</v>
      </c>
      <c r="G133" s="14" t="s">
        <v>823</v>
      </c>
      <c r="H133" s="14"/>
      <c r="I133" s="14"/>
      <c r="J133" s="16">
        <v>95.8</v>
      </c>
      <c r="K133" s="66">
        <v>107118</v>
      </c>
      <c r="L133" s="66">
        <v>32178</v>
      </c>
      <c r="M133" s="28">
        <v>139296</v>
      </c>
      <c r="N133" s="64">
        <v>686805</v>
      </c>
      <c r="O133" s="64">
        <v>-78857</v>
      </c>
      <c r="P133" s="64">
        <v>9933</v>
      </c>
      <c r="Q133" s="28">
        <v>617881</v>
      </c>
      <c r="R133" s="62">
        <v>70539</v>
      </c>
      <c r="S133" s="28">
        <v>827716</v>
      </c>
      <c r="T133" s="81">
        <v>48242</v>
      </c>
      <c r="U133" s="81">
        <v>28013</v>
      </c>
      <c r="V133" s="81">
        <v>0</v>
      </c>
      <c r="W133" s="81">
        <v>0</v>
      </c>
      <c r="X133" s="28">
        <v>903971</v>
      </c>
      <c r="Y133" s="28">
        <v>114307</v>
      </c>
      <c r="Z133" s="28">
        <v>58507</v>
      </c>
      <c r="AA133" s="28">
        <v>637481</v>
      </c>
      <c r="AB133" s="28">
        <v>93676</v>
      </c>
      <c r="AC133" s="40" t="s">
        <v>184</v>
      </c>
      <c r="AD133" s="41">
        <v>411</v>
      </c>
      <c r="AE133" s="42">
        <v>1</v>
      </c>
      <c r="AF133" s="40" t="s">
        <v>822</v>
      </c>
      <c r="AG133" s="68">
        <v>19424.88</v>
      </c>
      <c r="AH133" s="42">
        <v>1</v>
      </c>
      <c r="AI133" s="40" t="s">
        <v>822</v>
      </c>
      <c r="AJ133" s="70">
        <v>0</v>
      </c>
      <c r="AK133" s="72">
        <f t="shared" si="6"/>
        <v>-19424.88</v>
      </c>
      <c r="AL133" s="72">
        <f t="shared" si="7"/>
        <v>0</v>
      </c>
      <c r="AM133">
        <v>-1</v>
      </c>
      <c r="AO133" s="102">
        <f t="shared" si="8"/>
        <v>7189</v>
      </c>
      <c r="AP133" s="103">
        <f t="shared" si="9"/>
        <v>26329</v>
      </c>
      <c r="AQ133" s="101">
        <f t="shared" si="10"/>
        <v>19600</v>
      </c>
      <c r="AR133" s="104">
        <f t="shared" si="11"/>
        <v>23137</v>
      </c>
    </row>
    <row r="134" spans="1:44">
      <c r="A134" s="14" t="s">
        <v>1166</v>
      </c>
      <c r="B134" s="15" t="s">
        <v>1167</v>
      </c>
      <c r="C134" s="14" t="s">
        <v>1220</v>
      </c>
      <c r="D134" s="14">
        <v>42</v>
      </c>
      <c r="E134" s="15" t="s">
        <v>821</v>
      </c>
      <c r="F134" s="15" t="s">
        <v>824</v>
      </c>
      <c r="G134" s="14" t="s">
        <v>825</v>
      </c>
      <c r="H134" s="14"/>
      <c r="I134" s="14"/>
      <c r="J134" s="16">
        <v>2210.63</v>
      </c>
      <c r="K134" s="66">
        <v>1208855</v>
      </c>
      <c r="L134" s="66">
        <v>1448864</v>
      </c>
      <c r="M134" s="28">
        <v>2657719</v>
      </c>
      <c r="N134" s="64">
        <v>14139613</v>
      </c>
      <c r="O134" s="64">
        <v>1530033</v>
      </c>
      <c r="P134" s="64">
        <v>579120</v>
      </c>
      <c r="Q134" s="28">
        <v>16248766</v>
      </c>
      <c r="R134" s="62">
        <v>815327</v>
      </c>
      <c r="S134" s="28">
        <v>19721812</v>
      </c>
      <c r="T134" s="81">
        <v>1136199</v>
      </c>
      <c r="U134" s="81">
        <v>1656167</v>
      </c>
      <c r="V134" s="81">
        <v>229710</v>
      </c>
      <c r="W134" s="81">
        <v>3208130</v>
      </c>
      <c r="X134" s="28">
        <v>25952019</v>
      </c>
      <c r="Y134" s="28">
        <v>3969148</v>
      </c>
      <c r="Z134" s="28">
        <v>2636891</v>
      </c>
      <c r="AA134" s="28">
        <v>18046351</v>
      </c>
      <c r="AB134" s="28">
        <v>1299629</v>
      </c>
      <c r="AC134" s="40" t="s">
        <v>184</v>
      </c>
      <c r="AD134" s="41">
        <v>413</v>
      </c>
      <c r="AE134" s="42">
        <v>1</v>
      </c>
      <c r="AF134" s="40" t="s">
        <v>824</v>
      </c>
      <c r="AG134" s="68">
        <v>160964.44</v>
      </c>
      <c r="AH134" s="42">
        <v>1</v>
      </c>
      <c r="AI134" s="40" t="s">
        <v>824</v>
      </c>
      <c r="AJ134" s="70">
        <v>1230924.45</v>
      </c>
      <c r="AK134" s="72">
        <f t="shared" si="6"/>
        <v>-160964.44</v>
      </c>
      <c r="AL134" s="72">
        <f t="shared" si="7"/>
        <v>-1230924.45</v>
      </c>
      <c r="AM134">
        <v>-1</v>
      </c>
      <c r="AO134" s="102">
        <f t="shared" si="8"/>
        <v>2760293</v>
      </c>
      <c r="AP134" s="103">
        <f t="shared" si="9"/>
        <v>1188027</v>
      </c>
      <c r="AQ134" s="101">
        <f t="shared" si="10"/>
        <v>1797585</v>
      </c>
      <c r="AR134" s="104">
        <f t="shared" si="11"/>
        <v>484302</v>
      </c>
    </row>
    <row r="135" spans="1:44">
      <c r="A135" s="14" t="s">
        <v>1166</v>
      </c>
      <c r="B135" s="15" t="s">
        <v>1167</v>
      </c>
      <c r="C135" s="14" t="s">
        <v>1220</v>
      </c>
      <c r="D135" s="14">
        <v>42</v>
      </c>
      <c r="E135" s="15" t="s">
        <v>821</v>
      </c>
      <c r="F135" s="15" t="s">
        <v>826</v>
      </c>
      <c r="G135" s="14" t="s">
        <v>827</v>
      </c>
      <c r="H135" s="14"/>
      <c r="I135" s="14"/>
      <c r="J135" s="16">
        <v>471.36</v>
      </c>
      <c r="K135" s="66">
        <v>178456</v>
      </c>
      <c r="L135" s="66">
        <v>161313</v>
      </c>
      <c r="M135" s="28">
        <v>339769</v>
      </c>
      <c r="N135" s="64">
        <v>3124102</v>
      </c>
      <c r="O135" s="64">
        <v>330072</v>
      </c>
      <c r="P135" s="64">
        <v>68252</v>
      </c>
      <c r="Q135" s="28">
        <v>3522426</v>
      </c>
      <c r="R135" s="62">
        <v>164315</v>
      </c>
      <c r="S135" s="28">
        <v>4026510</v>
      </c>
      <c r="T135" s="81">
        <v>199586</v>
      </c>
      <c r="U135" s="81">
        <v>72916</v>
      </c>
      <c r="V135" s="81">
        <v>0</v>
      </c>
      <c r="W135" s="81">
        <v>194798</v>
      </c>
      <c r="X135" s="28">
        <v>4493810</v>
      </c>
      <c r="Y135" s="28">
        <v>358509</v>
      </c>
      <c r="Z135" s="28">
        <v>299094</v>
      </c>
      <c r="AA135" s="28">
        <v>3580996</v>
      </c>
      <c r="AB135" s="28">
        <v>255211</v>
      </c>
      <c r="AC135" s="40" t="s">
        <v>184</v>
      </c>
      <c r="AD135" s="41">
        <v>414</v>
      </c>
      <c r="AE135" s="42">
        <v>1</v>
      </c>
      <c r="AF135" s="40" t="s">
        <v>826</v>
      </c>
      <c r="AG135" s="68">
        <v>13239.64</v>
      </c>
      <c r="AH135" s="42">
        <v>1</v>
      </c>
      <c r="AI135" s="40" t="s">
        <v>826</v>
      </c>
      <c r="AJ135" s="70">
        <v>0</v>
      </c>
      <c r="AK135" s="72">
        <f t="shared" ref="AK135:AK198" si="12">AG135*AM135</f>
        <v>-13239.64</v>
      </c>
      <c r="AL135" s="72">
        <f t="shared" ref="AL135:AL198" si="13">AJ135*AM135</f>
        <v>0</v>
      </c>
      <c r="AM135">
        <v>-1</v>
      </c>
      <c r="AO135" s="102">
        <f t="shared" ref="AO135:AO198" si="14">Y135-K135</f>
        <v>180053</v>
      </c>
      <c r="AP135" s="103">
        <f t="shared" ref="AP135:AP198" si="15">Z135-L135</f>
        <v>137781</v>
      </c>
      <c r="AQ135" s="101">
        <f t="shared" ref="AQ135:AQ198" si="16">AA135-Q135</f>
        <v>58570</v>
      </c>
      <c r="AR135" s="104">
        <f t="shared" ref="AR135:AR198" si="17">AB135-R135</f>
        <v>90896</v>
      </c>
    </row>
    <row r="136" spans="1:44">
      <c r="A136" s="14" t="s">
        <v>1166</v>
      </c>
      <c r="B136" s="15" t="s">
        <v>1167</v>
      </c>
      <c r="C136" s="14" t="s">
        <v>1220</v>
      </c>
      <c r="D136" s="14">
        <v>42</v>
      </c>
      <c r="E136" s="15" t="s">
        <v>821</v>
      </c>
      <c r="F136" s="15" t="s">
        <v>828</v>
      </c>
      <c r="G136" s="14" t="s">
        <v>829</v>
      </c>
      <c r="H136" s="14"/>
      <c r="I136" s="14"/>
      <c r="J136" s="16">
        <v>166.88</v>
      </c>
      <c r="K136" s="66">
        <v>208280</v>
      </c>
      <c r="L136" s="66">
        <v>215043</v>
      </c>
      <c r="M136" s="28">
        <v>423323</v>
      </c>
      <c r="N136" s="64">
        <v>1246987</v>
      </c>
      <c r="O136" s="64">
        <v>55921</v>
      </c>
      <c r="P136" s="64">
        <v>28042</v>
      </c>
      <c r="Q136" s="28">
        <v>1330950</v>
      </c>
      <c r="R136" s="62">
        <v>49564</v>
      </c>
      <c r="S136" s="28">
        <v>1803837</v>
      </c>
      <c r="T136" s="81">
        <v>82292</v>
      </c>
      <c r="U136" s="81">
        <v>52806</v>
      </c>
      <c r="V136" s="81">
        <v>0</v>
      </c>
      <c r="W136" s="81">
        <v>0</v>
      </c>
      <c r="X136" s="28">
        <v>1938935</v>
      </c>
      <c r="Y136" s="28">
        <v>223142</v>
      </c>
      <c r="Z136" s="28">
        <v>251228</v>
      </c>
      <c r="AA136" s="28">
        <v>1357307</v>
      </c>
      <c r="AB136" s="28">
        <v>107258</v>
      </c>
      <c r="AC136" s="40" t="s">
        <v>184</v>
      </c>
      <c r="AD136" s="41">
        <v>415</v>
      </c>
      <c r="AE136" s="42">
        <v>1</v>
      </c>
      <c r="AF136" s="40" t="s">
        <v>828</v>
      </c>
      <c r="AG136" s="68">
        <v>27855.58</v>
      </c>
      <c r="AH136" s="42">
        <v>1</v>
      </c>
      <c r="AI136" s="40" t="s">
        <v>828</v>
      </c>
      <c r="AJ136" s="70">
        <v>0</v>
      </c>
      <c r="AK136" s="72">
        <f t="shared" si="12"/>
        <v>-27855.58</v>
      </c>
      <c r="AL136" s="72">
        <f t="shared" si="13"/>
        <v>0</v>
      </c>
      <c r="AM136">
        <v>-1</v>
      </c>
      <c r="AO136" s="102">
        <f t="shared" si="14"/>
        <v>14862</v>
      </c>
      <c r="AP136" s="103">
        <f t="shared" si="15"/>
        <v>36185</v>
      </c>
      <c r="AQ136" s="101">
        <f t="shared" si="16"/>
        <v>26357</v>
      </c>
      <c r="AR136" s="104">
        <f t="shared" si="17"/>
        <v>57694</v>
      </c>
    </row>
    <row r="137" spans="1:44">
      <c r="A137" s="14" t="s">
        <v>1166</v>
      </c>
      <c r="B137" s="15" t="s">
        <v>1167</v>
      </c>
      <c r="C137" s="14" t="s">
        <v>1220</v>
      </c>
      <c r="D137" s="14">
        <v>42</v>
      </c>
      <c r="E137" s="15" t="s">
        <v>821</v>
      </c>
      <c r="F137" s="15" t="s">
        <v>830</v>
      </c>
      <c r="G137" s="14" t="s">
        <v>831</v>
      </c>
      <c r="H137" s="14"/>
      <c r="I137" s="14"/>
      <c r="J137" s="16">
        <v>716.59</v>
      </c>
      <c r="K137" s="66">
        <v>112485</v>
      </c>
      <c r="L137" s="66">
        <v>563938</v>
      </c>
      <c r="M137" s="28">
        <v>676423</v>
      </c>
      <c r="N137" s="64">
        <v>5007394</v>
      </c>
      <c r="O137" s="64">
        <v>424824</v>
      </c>
      <c r="P137" s="64">
        <v>74854</v>
      </c>
      <c r="Q137" s="28">
        <v>5507072</v>
      </c>
      <c r="R137" s="62">
        <v>200795</v>
      </c>
      <c r="S137" s="28">
        <v>6384290</v>
      </c>
      <c r="T137" s="81">
        <v>356348</v>
      </c>
      <c r="U137" s="81">
        <v>91090</v>
      </c>
      <c r="V137" s="81">
        <v>0</v>
      </c>
      <c r="W137" s="81">
        <v>289170</v>
      </c>
      <c r="X137" s="28">
        <v>7120898</v>
      </c>
      <c r="Y137" s="28">
        <v>377451</v>
      </c>
      <c r="Z137" s="28">
        <v>793117</v>
      </c>
      <c r="AA137" s="28">
        <v>5588756</v>
      </c>
      <c r="AB137" s="28">
        <v>361575</v>
      </c>
      <c r="AC137" s="40" t="s">
        <v>184</v>
      </c>
      <c r="AD137" s="41">
        <v>417</v>
      </c>
      <c r="AE137" s="42">
        <v>1</v>
      </c>
      <c r="AF137" s="40" t="s">
        <v>830</v>
      </c>
      <c r="AG137" s="68">
        <v>18076.71</v>
      </c>
      <c r="AH137" s="42">
        <v>1</v>
      </c>
      <c r="AI137" s="40" t="s">
        <v>830</v>
      </c>
      <c r="AJ137" s="70">
        <v>0</v>
      </c>
      <c r="AK137" s="72">
        <f t="shared" si="12"/>
        <v>-18076.71</v>
      </c>
      <c r="AL137" s="72">
        <f t="shared" si="13"/>
        <v>0</v>
      </c>
      <c r="AM137">
        <v>-1</v>
      </c>
      <c r="AO137" s="102">
        <f t="shared" si="14"/>
        <v>264966</v>
      </c>
      <c r="AP137" s="103">
        <f t="shared" si="15"/>
        <v>229179</v>
      </c>
      <c r="AQ137" s="101">
        <f t="shared" si="16"/>
        <v>81684</v>
      </c>
      <c r="AR137" s="104">
        <f t="shared" si="17"/>
        <v>160780</v>
      </c>
    </row>
    <row r="138" spans="1:44">
      <c r="A138" s="14" t="s">
        <v>954</v>
      </c>
      <c r="B138" s="15" t="s">
        <v>955</v>
      </c>
      <c r="C138" s="14" t="s">
        <v>1220</v>
      </c>
      <c r="D138" s="14">
        <v>43</v>
      </c>
      <c r="E138" s="15" t="s">
        <v>832</v>
      </c>
      <c r="F138" s="15" t="s">
        <v>833</v>
      </c>
      <c r="G138" s="14" t="s">
        <v>834</v>
      </c>
      <c r="H138" s="14"/>
      <c r="I138" s="14"/>
      <c r="J138" s="16">
        <v>3028.19</v>
      </c>
      <c r="K138" s="66">
        <v>2632838</v>
      </c>
      <c r="L138" s="66">
        <v>1132782</v>
      </c>
      <c r="M138" s="28">
        <v>3765620</v>
      </c>
      <c r="N138" s="64">
        <v>19653620</v>
      </c>
      <c r="O138" s="64">
        <v>1327968</v>
      </c>
      <c r="P138" s="64">
        <v>216933</v>
      </c>
      <c r="Q138" s="28">
        <v>21198521</v>
      </c>
      <c r="R138" s="62">
        <v>901800</v>
      </c>
      <c r="S138" s="28">
        <v>25865941</v>
      </c>
      <c r="T138" s="81">
        <v>1136335</v>
      </c>
      <c r="U138" s="81">
        <v>717089</v>
      </c>
      <c r="V138" s="81">
        <v>0</v>
      </c>
      <c r="W138" s="81">
        <v>1382282</v>
      </c>
      <c r="X138" s="28">
        <v>29101646</v>
      </c>
      <c r="Y138" s="28">
        <v>3812917</v>
      </c>
      <c r="Z138" s="28">
        <v>2494488</v>
      </c>
      <c r="AA138" s="28">
        <v>21552195</v>
      </c>
      <c r="AB138" s="28">
        <v>1242045</v>
      </c>
      <c r="AC138" s="40" t="s">
        <v>184</v>
      </c>
      <c r="AD138" s="41">
        <v>423</v>
      </c>
      <c r="AE138" s="42">
        <v>1</v>
      </c>
      <c r="AF138" s="40" t="s">
        <v>833</v>
      </c>
      <c r="AG138" s="68">
        <v>201864.27</v>
      </c>
      <c r="AH138" s="42">
        <v>1</v>
      </c>
      <c r="AI138" s="40" t="s">
        <v>833</v>
      </c>
      <c r="AJ138" s="70">
        <v>20720</v>
      </c>
      <c r="AK138" s="72">
        <f t="shared" si="12"/>
        <v>-201864.27</v>
      </c>
      <c r="AL138" s="72">
        <f t="shared" si="13"/>
        <v>-20720</v>
      </c>
      <c r="AM138">
        <v>-1</v>
      </c>
      <c r="AO138" s="102">
        <f t="shared" si="14"/>
        <v>1180079</v>
      </c>
      <c r="AP138" s="103">
        <f t="shared" si="15"/>
        <v>1361706</v>
      </c>
      <c r="AQ138" s="101">
        <f t="shared" si="16"/>
        <v>353674</v>
      </c>
      <c r="AR138" s="104">
        <f t="shared" si="17"/>
        <v>340245</v>
      </c>
    </row>
    <row r="139" spans="1:44">
      <c r="A139" s="14" t="s">
        <v>954</v>
      </c>
      <c r="B139" s="15" t="s">
        <v>955</v>
      </c>
      <c r="C139" s="14" t="s">
        <v>1220</v>
      </c>
      <c r="D139" s="14">
        <v>43</v>
      </c>
      <c r="E139" s="15" t="s">
        <v>832</v>
      </c>
      <c r="F139" s="15" t="s">
        <v>835</v>
      </c>
      <c r="G139" s="14" t="s">
        <v>836</v>
      </c>
      <c r="H139" s="14"/>
      <c r="I139" s="14"/>
      <c r="J139" s="16">
        <v>465.81</v>
      </c>
      <c r="K139" s="66">
        <v>146837</v>
      </c>
      <c r="L139" s="66">
        <v>214017</v>
      </c>
      <c r="M139" s="28">
        <v>360854</v>
      </c>
      <c r="N139" s="64">
        <v>2889206</v>
      </c>
      <c r="O139" s="64">
        <v>151575</v>
      </c>
      <c r="P139" s="64">
        <v>23382</v>
      </c>
      <c r="Q139" s="28">
        <v>3064163</v>
      </c>
      <c r="R139" s="62">
        <v>188981</v>
      </c>
      <c r="S139" s="28">
        <v>3613998</v>
      </c>
      <c r="T139" s="81">
        <v>196125</v>
      </c>
      <c r="U139" s="81">
        <v>131201</v>
      </c>
      <c r="V139" s="81">
        <v>0</v>
      </c>
      <c r="W139" s="81">
        <v>149611</v>
      </c>
      <c r="X139" s="28">
        <v>4090936</v>
      </c>
      <c r="Y139" s="28">
        <v>299981</v>
      </c>
      <c r="Z139" s="28">
        <v>411950</v>
      </c>
      <c r="AA139" s="28">
        <v>3124257</v>
      </c>
      <c r="AB139" s="28">
        <v>254748</v>
      </c>
      <c r="AC139" s="40" t="s">
        <v>184</v>
      </c>
      <c r="AD139" s="41">
        <v>424</v>
      </c>
      <c r="AE139" s="42">
        <v>1</v>
      </c>
      <c r="AF139" s="40" t="s">
        <v>835</v>
      </c>
      <c r="AG139" s="68">
        <v>39985.71</v>
      </c>
      <c r="AH139" s="42">
        <v>1</v>
      </c>
      <c r="AI139" s="40" t="s">
        <v>835</v>
      </c>
      <c r="AJ139" s="70">
        <v>0</v>
      </c>
      <c r="AK139" s="72">
        <f t="shared" si="12"/>
        <v>-39985.71</v>
      </c>
      <c r="AL139" s="72">
        <f t="shared" si="13"/>
        <v>0</v>
      </c>
      <c r="AM139">
        <v>-1</v>
      </c>
      <c r="AO139" s="102">
        <f t="shared" si="14"/>
        <v>153144</v>
      </c>
      <c r="AP139" s="103">
        <f t="shared" si="15"/>
        <v>197933</v>
      </c>
      <c r="AQ139" s="101">
        <f t="shared" si="16"/>
        <v>60094</v>
      </c>
      <c r="AR139" s="104">
        <f t="shared" si="17"/>
        <v>65767</v>
      </c>
    </row>
    <row r="140" spans="1:44">
      <c r="A140" s="14" t="s">
        <v>1258</v>
      </c>
      <c r="B140" s="15" t="s">
        <v>1259</v>
      </c>
      <c r="C140" s="14" t="s">
        <v>1220</v>
      </c>
      <c r="D140" s="14">
        <v>44</v>
      </c>
      <c r="E140" s="15" t="s">
        <v>837</v>
      </c>
      <c r="F140" s="15" t="s">
        <v>838</v>
      </c>
      <c r="G140" s="14" t="s">
        <v>839</v>
      </c>
      <c r="H140" s="14"/>
      <c r="I140" s="14"/>
      <c r="J140" s="16">
        <v>650.11</v>
      </c>
      <c r="K140" s="66">
        <v>93727</v>
      </c>
      <c r="L140" s="66">
        <v>342662</v>
      </c>
      <c r="M140" s="28">
        <v>436389</v>
      </c>
      <c r="N140" s="64">
        <v>4997458</v>
      </c>
      <c r="O140" s="64">
        <v>494263</v>
      </c>
      <c r="P140" s="64">
        <v>240700</v>
      </c>
      <c r="Q140" s="28">
        <v>5732421</v>
      </c>
      <c r="R140" s="62">
        <v>1035156</v>
      </c>
      <c r="S140" s="28">
        <v>7203966</v>
      </c>
      <c r="T140" s="81">
        <v>289295</v>
      </c>
      <c r="U140" s="81">
        <v>103212</v>
      </c>
      <c r="V140" s="81">
        <v>0</v>
      </c>
      <c r="W140" s="81">
        <v>215804</v>
      </c>
      <c r="X140" s="28">
        <v>7812278</v>
      </c>
      <c r="Y140" s="28">
        <v>278874</v>
      </c>
      <c r="Z140" s="28">
        <v>445126</v>
      </c>
      <c r="AA140" s="28">
        <v>5852851</v>
      </c>
      <c r="AB140" s="28">
        <v>1235427</v>
      </c>
      <c r="AC140" s="40" t="s">
        <v>184</v>
      </c>
      <c r="AD140" s="41">
        <v>432</v>
      </c>
      <c r="AE140" s="42">
        <v>1</v>
      </c>
      <c r="AF140" s="40" t="s">
        <v>838</v>
      </c>
      <c r="AG140" s="68">
        <v>49312.81</v>
      </c>
      <c r="AH140" s="42">
        <v>1</v>
      </c>
      <c r="AI140" s="40" t="s">
        <v>838</v>
      </c>
      <c r="AJ140" s="70">
        <v>4165</v>
      </c>
      <c r="AK140" s="72">
        <f t="shared" si="12"/>
        <v>-49312.81</v>
      </c>
      <c r="AL140" s="72">
        <f t="shared" si="13"/>
        <v>-4165</v>
      </c>
      <c r="AM140">
        <v>-1</v>
      </c>
      <c r="AO140" s="102">
        <f t="shared" si="14"/>
        <v>185147</v>
      </c>
      <c r="AP140" s="103">
        <f t="shared" si="15"/>
        <v>102464</v>
      </c>
      <c r="AQ140" s="101">
        <f t="shared" si="16"/>
        <v>120430</v>
      </c>
      <c r="AR140" s="104">
        <f t="shared" si="17"/>
        <v>200271</v>
      </c>
    </row>
    <row r="141" spans="1:44">
      <c r="A141" s="14" t="s">
        <v>1258</v>
      </c>
      <c r="B141" s="15" t="s">
        <v>1259</v>
      </c>
      <c r="C141" s="14" t="s">
        <v>1220</v>
      </c>
      <c r="D141" s="14">
        <v>44</v>
      </c>
      <c r="E141" s="15" t="s">
        <v>837</v>
      </c>
      <c r="F141" s="15" t="s">
        <v>840</v>
      </c>
      <c r="G141" s="14" t="s">
        <v>841</v>
      </c>
      <c r="H141" s="14"/>
      <c r="I141" s="14"/>
      <c r="J141" s="16">
        <v>626.37</v>
      </c>
      <c r="K141" s="66">
        <v>109548</v>
      </c>
      <c r="L141" s="66">
        <v>240762</v>
      </c>
      <c r="M141" s="28">
        <v>350310</v>
      </c>
      <c r="N141" s="64">
        <v>4935173</v>
      </c>
      <c r="O141" s="64">
        <v>254641</v>
      </c>
      <c r="P141" s="64">
        <v>154459</v>
      </c>
      <c r="Q141" s="28">
        <v>5344273</v>
      </c>
      <c r="R141" s="62">
        <v>1251047</v>
      </c>
      <c r="S141" s="28">
        <v>6945630</v>
      </c>
      <c r="T141" s="81">
        <v>314103</v>
      </c>
      <c r="U141" s="81">
        <v>77474</v>
      </c>
      <c r="V141" s="81">
        <v>0</v>
      </c>
      <c r="W141" s="81">
        <v>832313</v>
      </c>
      <c r="X141" s="28">
        <v>8169519</v>
      </c>
      <c r="Y141" s="28">
        <v>893725</v>
      </c>
      <c r="Z141" s="28">
        <v>355422</v>
      </c>
      <c r="AA141" s="28">
        <v>5448464</v>
      </c>
      <c r="AB141" s="28">
        <v>1471908</v>
      </c>
      <c r="AC141" s="40" t="s">
        <v>184</v>
      </c>
      <c r="AD141" s="41">
        <v>435</v>
      </c>
      <c r="AE141" s="42">
        <v>1</v>
      </c>
      <c r="AF141" s="40" t="s">
        <v>840</v>
      </c>
      <c r="AG141" s="68">
        <v>31789.99</v>
      </c>
      <c r="AH141" s="42">
        <v>1</v>
      </c>
      <c r="AI141" s="40" t="s">
        <v>840</v>
      </c>
      <c r="AJ141" s="70">
        <v>0</v>
      </c>
      <c r="AK141" s="72">
        <f t="shared" si="12"/>
        <v>-31789.99</v>
      </c>
      <c r="AL141" s="72">
        <f t="shared" si="13"/>
        <v>0</v>
      </c>
      <c r="AM141">
        <v>-1</v>
      </c>
      <c r="AO141" s="102">
        <f t="shared" si="14"/>
        <v>784177</v>
      </c>
      <c r="AP141" s="103">
        <f t="shared" si="15"/>
        <v>114660</v>
      </c>
      <c r="AQ141" s="101">
        <f t="shared" si="16"/>
        <v>104191</v>
      </c>
      <c r="AR141" s="104">
        <f t="shared" si="17"/>
        <v>220861</v>
      </c>
    </row>
    <row r="142" spans="1:44">
      <c r="A142" s="14" t="s">
        <v>961</v>
      </c>
      <c r="B142" s="15" t="s">
        <v>962</v>
      </c>
      <c r="C142" s="14" t="s">
        <v>1220</v>
      </c>
      <c r="D142" s="14">
        <v>45</v>
      </c>
      <c r="E142" s="15" t="s">
        <v>842</v>
      </c>
      <c r="F142" s="15" t="s">
        <v>843</v>
      </c>
      <c r="G142" s="14" t="s">
        <v>844</v>
      </c>
      <c r="H142" s="14"/>
      <c r="I142" s="14"/>
      <c r="J142" s="16">
        <v>359.95</v>
      </c>
      <c r="K142" s="66">
        <v>261210</v>
      </c>
      <c r="L142" s="66">
        <v>283240</v>
      </c>
      <c r="M142" s="28">
        <v>544450</v>
      </c>
      <c r="N142" s="64">
        <v>3008362</v>
      </c>
      <c r="O142" s="64">
        <v>371376</v>
      </c>
      <c r="P142" s="64">
        <v>30643</v>
      </c>
      <c r="Q142" s="28">
        <v>3410381</v>
      </c>
      <c r="R142" s="62">
        <v>137346</v>
      </c>
      <c r="S142" s="28">
        <v>4092177</v>
      </c>
      <c r="T142" s="81">
        <v>189432</v>
      </c>
      <c r="U142" s="81">
        <v>52540</v>
      </c>
      <c r="V142" s="81">
        <v>0</v>
      </c>
      <c r="W142" s="81">
        <v>0</v>
      </c>
      <c r="X142" s="28">
        <v>4334149</v>
      </c>
      <c r="Y142" s="28">
        <v>283227</v>
      </c>
      <c r="Z142" s="28">
        <v>362448</v>
      </c>
      <c r="AA142" s="28">
        <v>3444086</v>
      </c>
      <c r="AB142" s="28">
        <v>244389</v>
      </c>
      <c r="AC142" s="40" t="s">
        <v>184</v>
      </c>
      <c r="AD142" s="41">
        <v>441</v>
      </c>
      <c r="AE142" s="42">
        <v>1</v>
      </c>
      <c r="AF142" s="40" t="s">
        <v>843</v>
      </c>
      <c r="AG142" s="68">
        <v>28283.65</v>
      </c>
      <c r="AH142" s="42">
        <v>1</v>
      </c>
      <c r="AI142" s="40" t="s">
        <v>843</v>
      </c>
      <c r="AJ142" s="70">
        <v>0</v>
      </c>
      <c r="AK142" s="72">
        <f t="shared" si="12"/>
        <v>-28283.65</v>
      </c>
      <c r="AL142" s="72">
        <f t="shared" si="13"/>
        <v>0</v>
      </c>
      <c r="AM142">
        <v>-1</v>
      </c>
      <c r="AO142" s="102">
        <f t="shared" si="14"/>
        <v>22017</v>
      </c>
      <c r="AP142" s="103">
        <f t="shared" si="15"/>
        <v>79208</v>
      </c>
      <c r="AQ142" s="101">
        <f t="shared" si="16"/>
        <v>33705</v>
      </c>
      <c r="AR142" s="104">
        <f t="shared" si="17"/>
        <v>107043</v>
      </c>
    </row>
    <row r="143" spans="1:44">
      <c r="A143" s="14" t="s">
        <v>961</v>
      </c>
      <c r="B143" s="15" t="s">
        <v>962</v>
      </c>
      <c r="C143" s="14" t="s">
        <v>1220</v>
      </c>
      <c r="D143" s="14">
        <v>45</v>
      </c>
      <c r="E143" s="15" t="s">
        <v>842</v>
      </c>
      <c r="F143" s="15" t="s">
        <v>845</v>
      </c>
      <c r="G143" s="14" t="s">
        <v>846</v>
      </c>
      <c r="H143" s="14"/>
      <c r="I143" s="14"/>
      <c r="J143" s="16">
        <v>205.92</v>
      </c>
      <c r="K143" s="66">
        <v>56054</v>
      </c>
      <c r="L143" s="66">
        <v>479358</v>
      </c>
      <c r="M143" s="28">
        <v>535412</v>
      </c>
      <c r="N143" s="64">
        <v>2169037</v>
      </c>
      <c r="O143" s="64">
        <v>129253</v>
      </c>
      <c r="P143" s="64">
        <v>6873</v>
      </c>
      <c r="Q143" s="28">
        <v>2305163</v>
      </c>
      <c r="R143" s="62">
        <v>79143</v>
      </c>
      <c r="S143" s="28">
        <v>2919718</v>
      </c>
      <c r="T143" s="81">
        <v>122306</v>
      </c>
      <c r="U143" s="81">
        <v>30131</v>
      </c>
      <c r="V143" s="81">
        <v>0</v>
      </c>
      <c r="W143" s="81">
        <v>90412</v>
      </c>
      <c r="X143" s="28">
        <v>3162566</v>
      </c>
      <c r="Y143" s="28">
        <v>134420</v>
      </c>
      <c r="Z143" s="28">
        <v>532608</v>
      </c>
      <c r="AA143" s="28">
        <v>2347470</v>
      </c>
      <c r="AB143" s="28">
        <v>148068</v>
      </c>
      <c r="AC143" s="40" t="s">
        <v>184</v>
      </c>
      <c r="AD143" s="41">
        <v>447</v>
      </c>
      <c r="AE143" s="42">
        <v>1</v>
      </c>
      <c r="AF143" s="40" t="s">
        <v>845</v>
      </c>
      <c r="AG143" s="68">
        <v>21567.15</v>
      </c>
      <c r="AH143" s="42">
        <v>1</v>
      </c>
      <c r="AI143" s="40" t="s">
        <v>845</v>
      </c>
      <c r="AJ143" s="70">
        <v>0</v>
      </c>
      <c r="AK143" s="72">
        <f t="shared" si="12"/>
        <v>-21567.15</v>
      </c>
      <c r="AL143" s="72">
        <f t="shared" si="13"/>
        <v>0</v>
      </c>
      <c r="AM143">
        <v>-1</v>
      </c>
      <c r="AO143" s="102">
        <f t="shared" si="14"/>
        <v>78366</v>
      </c>
      <c r="AP143" s="103">
        <f t="shared" si="15"/>
        <v>53250</v>
      </c>
      <c r="AQ143" s="101">
        <f t="shared" si="16"/>
        <v>42307</v>
      </c>
      <c r="AR143" s="104">
        <f t="shared" si="17"/>
        <v>68925</v>
      </c>
    </row>
    <row r="144" spans="1:44">
      <c r="A144" s="14" t="s">
        <v>1092</v>
      </c>
      <c r="B144" s="15" t="s">
        <v>1093</v>
      </c>
      <c r="C144" s="14" t="s">
        <v>1220</v>
      </c>
      <c r="D144" s="14">
        <v>46</v>
      </c>
      <c r="E144" s="15" t="s">
        <v>847</v>
      </c>
      <c r="F144" s="15" t="s">
        <v>848</v>
      </c>
      <c r="G144" s="14" t="s">
        <v>849</v>
      </c>
      <c r="H144" s="14"/>
      <c r="I144" s="14"/>
      <c r="J144" s="16">
        <v>356.21</v>
      </c>
      <c r="K144" s="66">
        <v>368995</v>
      </c>
      <c r="L144" s="66">
        <v>163074</v>
      </c>
      <c r="M144" s="28">
        <v>532069</v>
      </c>
      <c r="N144" s="64">
        <v>2622585</v>
      </c>
      <c r="O144" s="64">
        <v>162223</v>
      </c>
      <c r="P144" s="64">
        <v>166297</v>
      </c>
      <c r="Q144" s="28">
        <v>2951105</v>
      </c>
      <c r="R144" s="62">
        <v>108382</v>
      </c>
      <c r="S144" s="28">
        <v>3591556</v>
      </c>
      <c r="T144" s="81">
        <v>176099</v>
      </c>
      <c r="U144" s="81">
        <v>85670</v>
      </c>
      <c r="V144" s="81">
        <v>0</v>
      </c>
      <c r="W144" s="81">
        <v>0</v>
      </c>
      <c r="X144" s="28">
        <v>3853324</v>
      </c>
      <c r="Y144" s="28">
        <v>396665</v>
      </c>
      <c r="Z144" s="28">
        <v>281478</v>
      </c>
      <c r="AA144" s="28">
        <v>2987272</v>
      </c>
      <c r="AB144" s="28">
        <v>187909</v>
      </c>
      <c r="AC144" s="40" t="s">
        <v>184</v>
      </c>
      <c r="AD144" s="41">
        <v>458</v>
      </c>
      <c r="AE144" s="42">
        <v>1</v>
      </c>
      <c r="AF144" s="40" t="s">
        <v>848</v>
      </c>
      <c r="AG144" s="68">
        <v>42970.7</v>
      </c>
      <c r="AH144" s="42">
        <v>1</v>
      </c>
      <c r="AI144" s="40" t="s">
        <v>848</v>
      </c>
      <c r="AJ144" s="70">
        <v>1305</v>
      </c>
      <c r="AK144" s="72">
        <f t="shared" si="12"/>
        <v>-42970.7</v>
      </c>
      <c r="AL144" s="72">
        <f t="shared" si="13"/>
        <v>-1305</v>
      </c>
      <c r="AM144">
        <v>-1</v>
      </c>
      <c r="AO144" s="102">
        <f t="shared" si="14"/>
        <v>27670</v>
      </c>
      <c r="AP144" s="103">
        <f t="shared" si="15"/>
        <v>118404</v>
      </c>
      <c r="AQ144" s="101">
        <f t="shared" si="16"/>
        <v>36167</v>
      </c>
      <c r="AR144" s="104">
        <f t="shared" si="17"/>
        <v>79527</v>
      </c>
    </row>
    <row r="145" spans="1:44">
      <c r="A145" s="14" t="s">
        <v>954</v>
      </c>
      <c r="B145" s="15" t="s">
        <v>955</v>
      </c>
      <c r="C145" s="14" t="s">
        <v>1220</v>
      </c>
      <c r="D145" s="14">
        <v>47</v>
      </c>
      <c r="E145" s="15" t="s">
        <v>850</v>
      </c>
      <c r="F145" s="15" t="s">
        <v>851</v>
      </c>
      <c r="G145" s="14" t="s">
        <v>852</v>
      </c>
      <c r="H145" s="14"/>
      <c r="I145" s="14"/>
      <c r="J145" s="16">
        <v>867.77</v>
      </c>
      <c r="K145" s="66">
        <v>382885</v>
      </c>
      <c r="L145" s="66">
        <v>414166</v>
      </c>
      <c r="M145" s="28">
        <v>797051</v>
      </c>
      <c r="N145" s="64">
        <v>5809915</v>
      </c>
      <c r="O145" s="64">
        <v>472828</v>
      </c>
      <c r="P145" s="64">
        <v>205184</v>
      </c>
      <c r="Q145" s="28">
        <v>6487927</v>
      </c>
      <c r="R145" s="62">
        <v>219667</v>
      </c>
      <c r="S145" s="28">
        <v>7504645</v>
      </c>
      <c r="T145" s="81">
        <v>438242</v>
      </c>
      <c r="U145" s="81">
        <v>200144</v>
      </c>
      <c r="V145" s="81">
        <v>0</v>
      </c>
      <c r="W145" s="81">
        <v>836745</v>
      </c>
      <c r="X145" s="28">
        <v>8979775</v>
      </c>
      <c r="Y145" s="28">
        <v>1038111</v>
      </c>
      <c r="Z145" s="28">
        <v>867360</v>
      </c>
      <c r="AA145" s="28">
        <v>6652186</v>
      </c>
      <c r="AB145" s="28">
        <v>422117</v>
      </c>
      <c r="AC145" s="40" t="s">
        <v>184</v>
      </c>
      <c r="AD145" s="41">
        <v>463</v>
      </c>
      <c r="AE145" s="42">
        <v>1</v>
      </c>
      <c r="AF145" s="40" t="s">
        <v>851</v>
      </c>
      <c r="AG145" s="68">
        <v>74553.899999999994</v>
      </c>
      <c r="AH145" s="42">
        <v>1</v>
      </c>
      <c r="AI145" s="40" t="s">
        <v>851</v>
      </c>
      <c r="AJ145" s="70">
        <v>0</v>
      </c>
      <c r="AK145" s="72">
        <f t="shared" si="12"/>
        <v>-74553.899999999994</v>
      </c>
      <c r="AL145" s="72">
        <f t="shared" si="13"/>
        <v>0</v>
      </c>
      <c r="AM145">
        <v>-1</v>
      </c>
      <c r="AO145" s="102">
        <f t="shared" si="14"/>
        <v>655226</v>
      </c>
      <c r="AP145" s="103">
        <f t="shared" si="15"/>
        <v>453194</v>
      </c>
      <c r="AQ145" s="101">
        <f t="shared" si="16"/>
        <v>164259</v>
      </c>
      <c r="AR145" s="104">
        <f t="shared" si="17"/>
        <v>202450</v>
      </c>
    </row>
    <row r="146" spans="1:44">
      <c r="A146" s="14" t="s">
        <v>954</v>
      </c>
      <c r="B146" s="15" t="s">
        <v>955</v>
      </c>
      <c r="C146" s="14" t="s">
        <v>1220</v>
      </c>
      <c r="D146" s="14">
        <v>47</v>
      </c>
      <c r="E146" s="15" t="s">
        <v>850</v>
      </c>
      <c r="F146" s="15" t="s">
        <v>853</v>
      </c>
      <c r="G146" s="14" t="s">
        <v>854</v>
      </c>
      <c r="H146" s="14"/>
      <c r="I146" s="14"/>
      <c r="J146" s="16">
        <v>1780.34</v>
      </c>
      <c r="K146" s="66">
        <v>1013618</v>
      </c>
      <c r="L146" s="66">
        <v>844174</v>
      </c>
      <c r="M146" s="28">
        <v>1857792</v>
      </c>
      <c r="N146" s="64">
        <v>11592857</v>
      </c>
      <c r="O146" s="64">
        <v>1306718</v>
      </c>
      <c r="P146" s="64">
        <v>115495</v>
      </c>
      <c r="Q146" s="28">
        <v>13015070</v>
      </c>
      <c r="R146" s="62">
        <v>252124</v>
      </c>
      <c r="S146" s="28">
        <v>15124986</v>
      </c>
      <c r="T146" s="81">
        <v>677376</v>
      </c>
      <c r="U146" s="81">
        <v>554288</v>
      </c>
      <c r="V146" s="81">
        <v>235211</v>
      </c>
      <c r="W146" s="81">
        <v>1306314</v>
      </c>
      <c r="X146" s="28">
        <v>17898175</v>
      </c>
      <c r="Y146" s="28">
        <v>2245088</v>
      </c>
      <c r="Z146" s="28">
        <v>1823839</v>
      </c>
      <c r="AA146" s="28">
        <v>13304238</v>
      </c>
      <c r="AB146" s="28">
        <v>525010</v>
      </c>
      <c r="AC146" s="40" t="s">
        <v>184</v>
      </c>
      <c r="AD146" s="41">
        <v>465</v>
      </c>
      <c r="AE146" s="42">
        <v>1</v>
      </c>
      <c r="AF146" s="40" t="s">
        <v>853</v>
      </c>
      <c r="AG146" s="68">
        <v>188368.93</v>
      </c>
      <c r="AH146" s="42">
        <v>1</v>
      </c>
      <c r="AI146" s="40" t="s">
        <v>853</v>
      </c>
      <c r="AJ146" s="70">
        <v>5650</v>
      </c>
      <c r="AK146" s="72">
        <f t="shared" si="12"/>
        <v>-188368.93</v>
      </c>
      <c r="AL146" s="72">
        <f t="shared" si="13"/>
        <v>-5650</v>
      </c>
      <c r="AM146">
        <v>-1</v>
      </c>
      <c r="AO146" s="102">
        <f t="shared" si="14"/>
        <v>1231470</v>
      </c>
      <c r="AP146" s="103">
        <f t="shared" si="15"/>
        <v>979665</v>
      </c>
      <c r="AQ146" s="101">
        <f t="shared" si="16"/>
        <v>289168</v>
      </c>
      <c r="AR146" s="104">
        <f t="shared" si="17"/>
        <v>272886</v>
      </c>
    </row>
    <row r="147" spans="1:44">
      <c r="A147" s="14" t="s">
        <v>1080</v>
      </c>
      <c r="B147" s="15" t="s">
        <v>1081</v>
      </c>
      <c r="C147" s="14" t="s">
        <v>1220</v>
      </c>
      <c r="D147" s="14">
        <v>47</v>
      </c>
      <c r="E147" s="15" t="s">
        <v>850</v>
      </c>
      <c r="F147" s="15" t="s">
        <v>855</v>
      </c>
      <c r="G147" s="14" t="s">
        <v>856</v>
      </c>
      <c r="H147" s="14"/>
      <c r="I147" s="14"/>
      <c r="J147" s="16">
        <v>2338.21</v>
      </c>
      <c r="K147" s="66">
        <v>716775</v>
      </c>
      <c r="L147" s="66">
        <v>894303</v>
      </c>
      <c r="M147" s="28">
        <v>1611078</v>
      </c>
      <c r="N147" s="64">
        <v>14701912</v>
      </c>
      <c r="O147" s="64">
        <v>1102675</v>
      </c>
      <c r="P147" s="64">
        <v>63973</v>
      </c>
      <c r="Q147" s="28">
        <v>15868560</v>
      </c>
      <c r="R147" s="62">
        <v>322586</v>
      </c>
      <c r="S147" s="28">
        <v>17802224</v>
      </c>
      <c r="T147" s="81">
        <v>822418</v>
      </c>
      <c r="U147" s="81">
        <v>656329</v>
      </c>
      <c r="V147" s="81">
        <v>0</v>
      </c>
      <c r="W147" s="81">
        <v>2054344</v>
      </c>
      <c r="X147" s="28">
        <v>21335315</v>
      </c>
      <c r="Y147" s="28">
        <v>2644560</v>
      </c>
      <c r="Z147" s="28">
        <v>1833578</v>
      </c>
      <c r="AA147" s="28">
        <v>16216467</v>
      </c>
      <c r="AB147" s="28">
        <v>640711</v>
      </c>
      <c r="AC147" s="40" t="s">
        <v>184</v>
      </c>
      <c r="AD147" s="41">
        <v>466</v>
      </c>
      <c r="AE147" s="42">
        <v>1</v>
      </c>
      <c r="AF147" s="40" t="s">
        <v>855</v>
      </c>
      <c r="AG147" s="68">
        <v>215640.51</v>
      </c>
      <c r="AH147" s="42">
        <v>1</v>
      </c>
      <c r="AI147" s="40" t="s">
        <v>855</v>
      </c>
      <c r="AJ147" s="70">
        <v>1584</v>
      </c>
      <c r="AK147" s="72">
        <f t="shared" si="12"/>
        <v>-215640.51</v>
      </c>
      <c r="AL147" s="72">
        <f t="shared" si="13"/>
        <v>-1584</v>
      </c>
      <c r="AM147">
        <v>-1</v>
      </c>
      <c r="AO147" s="102">
        <f t="shared" si="14"/>
        <v>1927785</v>
      </c>
      <c r="AP147" s="103">
        <f t="shared" si="15"/>
        <v>939275</v>
      </c>
      <c r="AQ147" s="101">
        <f t="shared" si="16"/>
        <v>347907</v>
      </c>
      <c r="AR147" s="104">
        <f t="shared" si="17"/>
        <v>318125</v>
      </c>
    </row>
    <row r="148" spans="1:44">
      <c r="A148" s="14" t="s">
        <v>1146</v>
      </c>
      <c r="B148" s="15" t="s">
        <v>1147</v>
      </c>
      <c r="C148" s="14" t="s">
        <v>1220</v>
      </c>
      <c r="D148" s="14">
        <v>48</v>
      </c>
      <c r="E148" s="15" t="s">
        <v>857</v>
      </c>
      <c r="F148" s="15" t="s">
        <v>858</v>
      </c>
      <c r="G148" s="14" t="s">
        <v>859</v>
      </c>
      <c r="H148" s="14"/>
      <c r="I148" s="14"/>
      <c r="J148" s="16">
        <v>590.69000000000005</v>
      </c>
      <c r="K148" s="66">
        <v>225789</v>
      </c>
      <c r="L148" s="66">
        <v>411995</v>
      </c>
      <c r="M148" s="28">
        <v>637784</v>
      </c>
      <c r="N148" s="64">
        <v>3977400</v>
      </c>
      <c r="O148" s="64">
        <v>287665</v>
      </c>
      <c r="P148" s="64">
        <v>94105</v>
      </c>
      <c r="Q148" s="28">
        <v>4359170</v>
      </c>
      <c r="R148" s="62">
        <v>201828</v>
      </c>
      <c r="S148" s="28">
        <v>5198782</v>
      </c>
      <c r="T148" s="81">
        <v>247967</v>
      </c>
      <c r="U148" s="81">
        <v>224643</v>
      </c>
      <c r="V148" s="81">
        <v>0</v>
      </c>
      <c r="W148" s="81">
        <v>625487</v>
      </c>
      <c r="X148" s="28">
        <v>6296878</v>
      </c>
      <c r="Y148" s="28">
        <v>824295</v>
      </c>
      <c r="Z148" s="28">
        <v>629534</v>
      </c>
      <c r="AA148" s="28">
        <v>4434772</v>
      </c>
      <c r="AB148" s="28">
        <v>408276</v>
      </c>
      <c r="AC148" s="40" t="s">
        <v>184</v>
      </c>
      <c r="AD148" s="41">
        <v>473</v>
      </c>
      <c r="AE148" s="42">
        <v>1</v>
      </c>
      <c r="AF148" s="40" t="s">
        <v>858</v>
      </c>
      <c r="AG148" s="68">
        <v>36449.57</v>
      </c>
      <c r="AH148" s="42">
        <v>1</v>
      </c>
      <c r="AI148" s="40" t="s">
        <v>858</v>
      </c>
      <c r="AJ148" s="70">
        <v>1254.53</v>
      </c>
      <c r="AK148" s="72">
        <f t="shared" si="12"/>
        <v>-36449.57</v>
      </c>
      <c r="AL148" s="72">
        <f t="shared" si="13"/>
        <v>-1254.53</v>
      </c>
      <c r="AM148">
        <v>-1</v>
      </c>
      <c r="AO148" s="102">
        <f t="shared" si="14"/>
        <v>598506</v>
      </c>
      <c r="AP148" s="103">
        <f t="shared" si="15"/>
        <v>217539</v>
      </c>
      <c r="AQ148" s="101">
        <f t="shared" si="16"/>
        <v>75602</v>
      </c>
      <c r="AR148" s="104">
        <f t="shared" si="17"/>
        <v>206448</v>
      </c>
    </row>
    <row r="149" spans="1:44">
      <c r="A149" s="14" t="s">
        <v>1146</v>
      </c>
      <c r="B149" s="15" t="s">
        <v>1147</v>
      </c>
      <c r="C149" s="14" t="s">
        <v>1220</v>
      </c>
      <c r="D149" s="14">
        <v>48</v>
      </c>
      <c r="E149" s="15" t="s">
        <v>857</v>
      </c>
      <c r="F149" s="15" t="s">
        <v>860</v>
      </c>
      <c r="G149" s="14" t="s">
        <v>861</v>
      </c>
      <c r="H149" s="14"/>
      <c r="I149" s="14"/>
      <c r="J149" s="16">
        <v>3469.72</v>
      </c>
      <c r="K149" s="66">
        <v>1833562</v>
      </c>
      <c r="L149" s="66">
        <v>1895461</v>
      </c>
      <c r="M149" s="28">
        <v>3729023</v>
      </c>
      <c r="N149" s="64">
        <v>21735200</v>
      </c>
      <c r="O149" s="64">
        <v>1281003</v>
      </c>
      <c r="P149" s="64">
        <v>227536</v>
      </c>
      <c r="Q149" s="28">
        <v>23243739</v>
      </c>
      <c r="R149" s="62">
        <v>412482</v>
      </c>
      <c r="S149" s="28">
        <v>27385244</v>
      </c>
      <c r="T149" s="81">
        <v>1193325</v>
      </c>
      <c r="U149" s="81">
        <v>1077230</v>
      </c>
      <c r="V149" s="81">
        <v>0</v>
      </c>
      <c r="W149" s="81">
        <v>2739088</v>
      </c>
      <c r="X149" s="28">
        <v>32394885</v>
      </c>
      <c r="Y149" s="28">
        <v>4047364</v>
      </c>
      <c r="Z149" s="28">
        <v>3807722</v>
      </c>
      <c r="AA149" s="28">
        <v>23707752</v>
      </c>
      <c r="AB149" s="28">
        <v>832047</v>
      </c>
      <c r="AC149" s="40" t="s">
        <v>184</v>
      </c>
      <c r="AD149" s="41">
        <v>477</v>
      </c>
      <c r="AE149" s="42">
        <v>1</v>
      </c>
      <c r="AF149" s="40" t="s">
        <v>860</v>
      </c>
      <c r="AG149" s="68">
        <v>245349.8</v>
      </c>
      <c r="AH149" s="42">
        <v>1</v>
      </c>
      <c r="AI149" s="40" t="s">
        <v>860</v>
      </c>
      <c r="AJ149" s="70">
        <v>0</v>
      </c>
      <c r="AK149" s="72">
        <f t="shared" si="12"/>
        <v>-245349.8</v>
      </c>
      <c r="AL149" s="72">
        <f t="shared" si="13"/>
        <v>0</v>
      </c>
      <c r="AM149">
        <v>-1</v>
      </c>
      <c r="AO149" s="102">
        <f t="shared" si="14"/>
        <v>2213802</v>
      </c>
      <c r="AP149" s="103">
        <f t="shared" si="15"/>
        <v>1912261</v>
      </c>
      <c r="AQ149" s="101">
        <f t="shared" si="16"/>
        <v>464013</v>
      </c>
      <c r="AR149" s="104">
        <f t="shared" si="17"/>
        <v>419565</v>
      </c>
    </row>
    <row r="150" spans="1:44">
      <c r="A150" s="14" t="s">
        <v>1146</v>
      </c>
      <c r="B150" s="15" t="s">
        <v>1147</v>
      </c>
      <c r="C150" s="14" t="s">
        <v>1220</v>
      </c>
      <c r="D150" s="14">
        <v>48</v>
      </c>
      <c r="E150" s="15" t="s">
        <v>857</v>
      </c>
      <c r="F150" s="15" t="s">
        <v>862</v>
      </c>
      <c r="G150" s="14" t="s">
        <v>863</v>
      </c>
      <c r="H150" s="14"/>
      <c r="I150" s="14"/>
      <c r="J150" s="16">
        <v>801.48</v>
      </c>
      <c r="K150" s="66">
        <v>367833</v>
      </c>
      <c r="L150" s="66">
        <v>952982</v>
      </c>
      <c r="M150" s="28">
        <v>1320815</v>
      </c>
      <c r="N150" s="64">
        <v>5351376</v>
      </c>
      <c r="O150" s="64">
        <v>1273732</v>
      </c>
      <c r="P150" s="64">
        <v>21825</v>
      </c>
      <c r="Q150" s="28">
        <v>6646933</v>
      </c>
      <c r="R150" s="62">
        <v>883886</v>
      </c>
      <c r="S150" s="28">
        <v>8851634</v>
      </c>
      <c r="T150" s="81">
        <v>377029</v>
      </c>
      <c r="U150" s="81">
        <v>226947</v>
      </c>
      <c r="V150" s="81">
        <v>78</v>
      </c>
      <c r="W150" s="81">
        <v>666659</v>
      </c>
      <c r="X150" s="28">
        <v>10122348</v>
      </c>
      <c r="Y150" s="28">
        <v>1034751</v>
      </c>
      <c r="Z150" s="28">
        <v>1170515</v>
      </c>
      <c r="AA150" s="28">
        <v>6754858</v>
      </c>
      <c r="AB150" s="28">
        <v>1162224</v>
      </c>
      <c r="AC150" s="40" t="s">
        <v>184</v>
      </c>
      <c r="AD150" s="41">
        <v>480</v>
      </c>
      <c r="AE150" s="42">
        <v>1</v>
      </c>
      <c r="AF150" s="40" t="s">
        <v>862</v>
      </c>
      <c r="AG150" s="68">
        <v>62345.120000000003</v>
      </c>
      <c r="AH150" s="42">
        <v>1</v>
      </c>
      <c r="AI150" s="40" t="s">
        <v>862</v>
      </c>
      <c r="AJ150" s="70">
        <v>5147.04</v>
      </c>
      <c r="AK150" s="72">
        <f t="shared" si="12"/>
        <v>-62345.120000000003</v>
      </c>
      <c r="AL150" s="72">
        <f t="shared" si="13"/>
        <v>-5147.04</v>
      </c>
      <c r="AM150">
        <v>-1</v>
      </c>
      <c r="AO150" s="102">
        <f t="shared" si="14"/>
        <v>666918</v>
      </c>
      <c r="AP150" s="103">
        <f t="shared" si="15"/>
        <v>217533</v>
      </c>
      <c r="AQ150" s="101">
        <f t="shared" si="16"/>
        <v>107925</v>
      </c>
      <c r="AR150" s="104">
        <f t="shared" si="17"/>
        <v>278338</v>
      </c>
    </row>
    <row r="151" spans="1:44">
      <c r="A151" s="14" t="s">
        <v>1132</v>
      </c>
      <c r="B151" s="15" t="s">
        <v>1133</v>
      </c>
      <c r="C151" s="14" t="s">
        <v>1220</v>
      </c>
      <c r="D151" s="14">
        <v>49</v>
      </c>
      <c r="E151" s="15" t="s">
        <v>864</v>
      </c>
      <c r="F151" s="15" t="s">
        <v>865</v>
      </c>
      <c r="G151" s="14" t="s">
        <v>866</v>
      </c>
      <c r="H151" s="14"/>
      <c r="I151" s="14"/>
      <c r="J151" s="16">
        <v>2576.1999999999998</v>
      </c>
      <c r="K151" s="66">
        <v>2396331</v>
      </c>
      <c r="L151" s="66">
        <v>1061270</v>
      </c>
      <c r="M151" s="28">
        <v>3457601</v>
      </c>
      <c r="N151" s="64">
        <v>17965710</v>
      </c>
      <c r="O151" s="64">
        <v>1652094</v>
      </c>
      <c r="P151" s="64">
        <v>278904</v>
      </c>
      <c r="Q151" s="28">
        <v>19896708</v>
      </c>
      <c r="R151" s="62">
        <v>981281</v>
      </c>
      <c r="S151" s="28">
        <v>24335590</v>
      </c>
      <c r="T151" s="81">
        <v>1201829</v>
      </c>
      <c r="U151" s="81">
        <v>870132</v>
      </c>
      <c r="V151" s="81">
        <v>0</v>
      </c>
      <c r="W151" s="81">
        <v>711968</v>
      </c>
      <c r="X151" s="28">
        <v>27119519</v>
      </c>
      <c r="Y151" s="28">
        <v>3123309</v>
      </c>
      <c r="Z151" s="28">
        <v>2094303</v>
      </c>
      <c r="AA151" s="28">
        <v>20318599</v>
      </c>
      <c r="AB151" s="28">
        <v>1583308</v>
      </c>
      <c r="AC151" s="40" t="s">
        <v>184</v>
      </c>
      <c r="AD151" s="41">
        <v>482</v>
      </c>
      <c r="AE151" s="42">
        <v>1</v>
      </c>
      <c r="AF151" s="40" t="s">
        <v>865</v>
      </c>
      <c r="AG151" s="68">
        <v>190832.01</v>
      </c>
      <c r="AH151" s="42">
        <v>1</v>
      </c>
      <c r="AI151" s="40" t="s">
        <v>865</v>
      </c>
      <c r="AJ151" s="70">
        <v>10640</v>
      </c>
      <c r="AK151" s="72">
        <f t="shared" si="12"/>
        <v>-190832.01</v>
      </c>
      <c r="AL151" s="72">
        <f t="shared" si="13"/>
        <v>-10640</v>
      </c>
      <c r="AM151">
        <v>-1</v>
      </c>
      <c r="AO151" s="102">
        <f t="shared" si="14"/>
        <v>726978</v>
      </c>
      <c r="AP151" s="103">
        <f t="shared" si="15"/>
        <v>1033033</v>
      </c>
      <c r="AQ151" s="101">
        <f t="shared" si="16"/>
        <v>421891</v>
      </c>
      <c r="AR151" s="104">
        <f t="shared" si="17"/>
        <v>602027</v>
      </c>
    </row>
    <row r="152" spans="1:44">
      <c r="A152" s="14" t="s">
        <v>1132</v>
      </c>
      <c r="B152" s="15" t="s">
        <v>1133</v>
      </c>
      <c r="C152" s="14" t="s">
        <v>1220</v>
      </c>
      <c r="D152" s="14">
        <v>49</v>
      </c>
      <c r="E152" s="15" t="s">
        <v>864</v>
      </c>
      <c r="F152" s="15" t="s">
        <v>867</v>
      </c>
      <c r="G152" s="14" t="s">
        <v>868</v>
      </c>
      <c r="H152" s="14"/>
      <c r="I152" s="14"/>
      <c r="J152" s="16">
        <v>1039.56</v>
      </c>
      <c r="K152" s="66">
        <v>523438</v>
      </c>
      <c r="L152" s="66">
        <v>649280</v>
      </c>
      <c r="M152" s="28">
        <v>1172718</v>
      </c>
      <c r="N152" s="64">
        <v>7132790</v>
      </c>
      <c r="O152" s="64">
        <v>583325</v>
      </c>
      <c r="P152" s="64">
        <v>108753</v>
      </c>
      <c r="Q152" s="28">
        <v>7824868</v>
      </c>
      <c r="R152" s="62">
        <v>263532</v>
      </c>
      <c r="S152" s="28">
        <v>9261118</v>
      </c>
      <c r="T152" s="81">
        <v>418460</v>
      </c>
      <c r="U152" s="81">
        <v>166921</v>
      </c>
      <c r="V152" s="81">
        <v>0</v>
      </c>
      <c r="W152" s="81">
        <v>436389</v>
      </c>
      <c r="X152" s="28">
        <v>10282889</v>
      </c>
      <c r="Y152" s="28">
        <v>917755</v>
      </c>
      <c r="Z152" s="28">
        <v>933337</v>
      </c>
      <c r="AA152" s="28">
        <v>7974663</v>
      </c>
      <c r="AB152" s="28">
        <v>457133</v>
      </c>
      <c r="AC152" s="40" t="s">
        <v>184</v>
      </c>
      <c r="AD152" s="41">
        <v>484</v>
      </c>
      <c r="AE152" s="42">
        <v>1</v>
      </c>
      <c r="AF152" s="40" t="s">
        <v>867</v>
      </c>
      <c r="AG152" s="68">
        <v>49168.71</v>
      </c>
      <c r="AH152" s="42">
        <v>1</v>
      </c>
      <c r="AI152" s="40" t="s">
        <v>867</v>
      </c>
      <c r="AJ152" s="70">
        <v>0</v>
      </c>
      <c r="AK152" s="72">
        <f t="shared" si="12"/>
        <v>-49168.71</v>
      </c>
      <c r="AL152" s="72">
        <f t="shared" si="13"/>
        <v>0</v>
      </c>
      <c r="AM152">
        <v>-1</v>
      </c>
      <c r="AO152" s="102">
        <f t="shared" si="14"/>
        <v>394317</v>
      </c>
      <c r="AP152" s="103">
        <f t="shared" si="15"/>
        <v>284057</v>
      </c>
      <c r="AQ152" s="101">
        <f t="shared" si="16"/>
        <v>149795</v>
      </c>
      <c r="AR152" s="104">
        <f t="shared" si="17"/>
        <v>193601</v>
      </c>
    </row>
    <row r="153" spans="1:44">
      <c r="A153" s="14" t="s">
        <v>1132</v>
      </c>
      <c r="B153" s="15" t="s">
        <v>1133</v>
      </c>
      <c r="C153" s="14" t="s">
        <v>1220</v>
      </c>
      <c r="D153" s="14">
        <v>49</v>
      </c>
      <c r="E153" s="15" t="s">
        <v>864</v>
      </c>
      <c r="F153" s="15" t="s">
        <v>869</v>
      </c>
      <c r="G153" s="14" t="s">
        <v>870</v>
      </c>
      <c r="H153" s="14"/>
      <c r="I153" s="14"/>
      <c r="J153" s="16">
        <v>670.86</v>
      </c>
      <c r="K153" s="66">
        <v>169291</v>
      </c>
      <c r="L153" s="66">
        <v>267700</v>
      </c>
      <c r="M153" s="28">
        <v>436991</v>
      </c>
      <c r="N153" s="64">
        <v>4300059</v>
      </c>
      <c r="O153" s="64">
        <v>295829</v>
      </c>
      <c r="P153" s="64">
        <v>18083</v>
      </c>
      <c r="Q153" s="28">
        <v>4613971</v>
      </c>
      <c r="R153" s="62">
        <v>190425</v>
      </c>
      <c r="S153" s="28">
        <v>5241387</v>
      </c>
      <c r="T153" s="81">
        <v>310188</v>
      </c>
      <c r="U153" s="81">
        <v>88501</v>
      </c>
      <c r="V153" s="81">
        <v>0</v>
      </c>
      <c r="W153" s="81">
        <v>730057</v>
      </c>
      <c r="X153" s="28">
        <v>6370134</v>
      </c>
      <c r="Y153" s="28">
        <v>838550</v>
      </c>
      <c r="Z153" s="28">
        <v>473816</v>
      </c>
      <c r="AA153" s="28">
        <v>4741799</v>
      </c>
      <c r="AB153" s="28">
        <v>315968</v>
      </c>
      <c r="AC153" s="40" t="s">
        <v>184</v>
      </c>
      <c r="AD153" s="41">
        <v>485</v>
      </c>
      <c r="AE153" s="42">
        <v>1</v>
      </c>
      <c r="AF153" s="40" t="s">
        <v>869</v>
      </c>
      <c r="AG153" s="68">
        <v>28516.21</v>
      </c>
      <c r="AH153" s="42">
        <v>1</v>
      </c>
      <c r="AI153" s="40" t="s">
        <v>869</v>
      </c>
      <c r="AJ153" s="70">
        <v>0</v>
      </c>
      <c r="AK153" s="72">
        <f t="shared" si="12"/>
        <v>-28516.21</v>
      </c>
      <c r="AL153" s="72">
        <f t="shared" si="13"/>
        <v>0</v>
      </c>
      <c r="AM153">
        <v>-1</v>
      </c>
      <c r="AO153" s="102">
        <f t="shared" si="14"/>
        <v>669259</v>
      </c>
      <c r="AP153" s="103">
        <f t="shared" si="15"/>
        <v>206116</v>
      </c>
      <c r="AQ153" s="101">
        <f t="shared" si="16"/>
        <v>127828</v>
      </c>
      <c r="AR153" s="104">
        <f t="shared" si="17"/>
        <v>125543</v>
      </c>
    </row>
    <row r="154" spans="1:44">
      <c r="A154" s="14" t="s">
        <v>1132</v>
      </c>
      <c r="B154" s="15" t="s">
        <v>1133</v>
      </c>
      <c r="C154" s="14" t="s">
        <v>1220</v>
      </c>
      <c r="D154" s="14">
        <v>49</v>
      </c>
      <c r="E154" s="15" t="s">
        <v>864</v>
      </c>
      <c r="F154" s="15" t="s">
        <v>871</v>
      </c>
      <c r="G154" s="14" t="s">
        <v>872</v>
      </c>
      <c r="H154" s="14"/>
      <c r="I154" s="14"/>
      <c r="J154" s="16">
        <v>366.66</v>
      </c>
      <c r="K154" s="66">
        <v>257923</v>
      </c>
      <c r="L154" s="66">
        <v>190506</v>
      </c>
      <c r="M154" s="28">
        <v>448429</v>
      </c>
      <c r="N154" s="64">
        <v>2644900</v>
      </c>
      <c r="O154" s="64">
        <v>97116</v>
      </c>
      <c r="P154" s="64">
        <v>67142</v>
      </c>
      <c r="Q154" s="28">
        <v>2809158</v>
      </c>
      <c r="R154" s="62">
        <v>101952</v>
      </c>
      <c r="S154" s="28">
        <v>3359539</v>
      </c>
      <c r="T154" s="81">
        <v>143253</v>
      </c>
      <c r="U154" s="81">
        <v>45002</v>
      </c>
      <c r="V154" s="81">
        <v>25401</v>
      </c>
      <c r="W154" s="81">
        <v>333544</v>
      </c>
      <c r="X154" s="28">
        <v>3906741</v>
      </c>
      <c r="Y154" s="28">
        <v>566436</v>
      </c>
      <c r="Z154" s="28">
        <v>287800</v>
      </c>
      <c r="AA154" s="28">
        <v>2874417</v>
      </c>
      <c r="AB154" s="28">
        <v>178088</v>
      </c>
      <c r="AC154" s="40" t="s">
        <v>184</v>
      </c>
      <c r="AD154" s="41">
        <v>486</v>
      </c>
      <c r="AE154" s="42">
        <v>1</v>
      </c>
      <c r="AF154" s="40" t="s">
        <v>871</v>
      </c>
      <c r="AG154" s="68">
        <v>22418.1</v>
      </c>
      <c r="AH154" s="42">
        <v>1</v>
      </c>
      <c r="AI154" s="40" t="s">
        <v>871</v>
      </c>
      <c r="AJ154" s="70">
        <v>0</v>
      </c>
      <c r="AK154" s="72">
        <f t="shared" si="12"/>
        <v>-22418.1</v>
      </c>
      <c r="AL154" s="72">
        <f t="shared" si="13"/>
        <v>0</v>
      </c>
      <c r="AM154">
        <v>-1</v>
      </c>
      <c r="AO154" s="102">
        <f t="shared" si="14"/>
        <v>308513</v>
      </c>
      <c r="AP154" s="103">
        <f t="shared" si="15"/>
        <v>97294</v>
      </c>
      <c r="AQ154" s="101">
        <f t="shared" si="16"/>
        <v>65259</v>
      </c>
      <c r="AR154" s="104">
        <f t="shared" si="17"/>
        <v>76136</v>
      </c>
    </row>
    <row r="155" spans="1:44">
      <c r="A155" s="14" t="s">
        <v>1132</v>
      </c>
      <c r="B155" s="15" t="s">
        <v>1133</v>
      </c>
      <c r="C155" s="14" t="s">
        <v>1220</v>
      </c>
      <c r="D155" s="14">
        <v>49</v>
      </c>
      <c r="E155" s="15" t="s">
        <v>864</v>
      </c>
      <c r="F155" s="15" t="s">
        <v>873</v>
      </c>
      <c r="G155" s="14" t="s">
        <v>874</v>
      </c>
      <c r="H155" s="14"/>
      <c r="I155" s="14"/>
      <c r="J155" s="16">
        <v>416.27</v>
      </c>
      <c r="K155" s="66">
        <v>101927</v>
      </c>
      <c r="L155" s="66">
        <v>133365</v>
      </c>
      <c r="M155" s="28">
        <v>235292</v>
      </c>
      <c r="N155" s="64">
        <v>2616741</v>
      </c>
      <c r="O155" s="64">
        <v>174474</v>
      </c>
      <c r="P155" s="64">
        <v>12902</v>
      </c>
      <c r="Q155" s="28">
        <v>2804117</v>
      </c>
      <c r="R155" s="62">
        <v>107363</v>
      </c>
      <c r="S155" s="28">
        <v>3146772</v>
      </c>
      <c r="T155" s="81">
        <v>142697</v>
      </c>
      <c r="U155" s="81">
        <v>42966</v>
      </c>
      <c r="V155" s="81">
        <v>0</v>
      </c>
      <c r="W155" s="81">
        <v>885024</v>
      </c>
      <c r="X155" s="28">
        <v>4217458</v>
      </c>
      <c r="Y155" s="28">
        <v>634683</v>
      </c>
      <c r="Z155" s="28">
        <v>221363</v>
      </c>
      <c r="AA155" s="28">
        <v>3196883</v>
      </c>
      <c r="AB155" s="28">
        <v>164529</v>
      </c>
      <c r="AC155" s="40" t="s">
        <v>184</v>
      </c>
      <c r="AD155" s="41">
        <v>487</v>
      </c>
      <c r="AE155" s="42">
        <v>1</v>
      </c>
      <c r="AF155" s="40" t="s">
        <v>873</v>
      </c>
      <c r="AG155" s="68">
        <v>20314.87</v>
      </c>
      <c r="AH155" s="42">
        <v>1</v>
      </c>
      <c r="AI155" s="40" t="s">
        <v>873</v>
      </c>
      <c r="AJ155" s="70">
        <v>0</v>
      </c>
      <c r="AK155" s="72">
        <f t="shared" si="12"/>
        <v>-20314.87</v>
      </c>
      <c r="AL155" s="72">
        <f t="shared" si="13"/>
        <v>0</v>
      </c>
      <c r="AM155">
        <v>-1</v>
      </c>
      <c r="AO155" s="102">
        <f t="shared" si="14"/>
        <v>532756</v>
      </c>
      <c r="AP155" s="103">
        <f t="shared" si="15"/>
        <v>87998</v>
      </c>
      <c r="AQ155" s="101">
        <f t="shared" si="16"/>
        <v>392766</v>
      </c>
      <c r="AR155" s="104">
        <f t="shared" si="17"/>
        <v>57166</v>
      </c>
    </row>
    <row r="156" spans="1:44">
      <c r="A156" s="14" t="s">
        <v>1017</v>
      </c>
      <c r="B156" s="15" t="s">
        <v>1018</v>
      </c>
      <c r="C156" s="14" t="s">
        <v>1220</v>
      </c>
      <c r="D156" s="14">
        <v>50</v>
      </c>
      <c r="E156" s="15" t="s">
        <v>875</v>
      </c>
      <c r="F156" s="15" t="s">
        <v>876</v>
      </c>
      <c r="G156" s="14" t="s">
        <v>877</v>
      </c>
      <c r="H156" s="14"/>
      <c r="I156" s="14"/>
      <c r="J156" s="16">
        <v>4350.22</v>
      </c>
      <c r="K156" s="66">
        <v>3020493</v>
      </c>
      <c r="L156" s="66">
        <v>1218863</v>
      </c>
      <c r="M156" s="28">
        <v>4239356</v>
      </c>
      <c r="N156" s="64">
        <v>29857946</v>
      </c>
      <c r="O156" s="64">
        <v>3319478</v>
      </c>
      <c r="P156" s="64">
        <v>706813</v>
      </c>
      <c r="Q156" s="28">
        <v>33884237</v>
      </c>
      <c r="R156" s="62">
        <v>2381292</v>
      </c>
      <c r="S156" s="28">
        <v>40504885</v>
      </c>
      <c r="T156" s="81">
        <v>1948359</v>
      </c>
      <c r="U156" s="81">
        <v>1273955</v>
      </c>
      <c r="V156" s="81">
        <v>0</v>
      </c>
      <c r="W156" s="81">
        <v>1403522</v>
      </c>
      <c r="X156" s="28">
        <v>45130720</v>
      </c>
      <c r="Y156" s="28">
        <v>4235302</v>
      </c>
      <c r="Z156" s="28">
        <v>2883481</v>
      </c>
      <c r="AA156" s="28">
        <v>34672014</v>
      </c>
      <c r="AB156" s="28">
        <v>3339923</v>
      </c>
      <c r="AC156" s="40" t="s">
        <v>184</v>
      </c>
      <c r="AD156" s="41">
        <v>492</v>
      </c>
      <c r="AE156" s="42">
        <v>1</v>
      </c>
      <c r="AF156" s="40" t="s">
        <v>876</v>
      </c>
      <c r="AG156" s="68">
        <v>378871.25</v>
      </c>
      <c r="AH156" s="42">
        <v>1</v>
      </c>
      <c r="AI156" s="40" t="s">
        <v>876</v>
      </c>
      <c r="AJ156" s="70">
        <v>267331.68</v>
      </c>
      <c r="AK156" s="72">
        <f t="shared" si="12"/>
        <v>-378871.25</v>
      </c>
      <c r="AL156" s="72">
        <f t="shared" si="13"/>
        <v>-267331.68</v>
      </c>
      <c r="AM156">
        <v>-1</v>
      </c>
      <c r="AO156" s="102">
        <f t="shared" si="14"/>
        <v>1214809</v>
      </c>
      <c r="AP156" s="103">
        <f t="shared" si="15"/>
        <v>1664618</v>
      </c>
      <c r="AQ156" s="101">
        <f t="shared" si="16"/>
        <v>787777</v>
      </c>
      <c r="AR156" s="104">
        <f t="shared" si="17"/>
        <v>958631</v>
      </c>
    </row>
    <row r="157" spans="1:44">
      <c r="A157" s="14" t="s">
        <v>1017</v>
      </c>
      <c r="B157" s="15" t="s">
        <v>1018</v>
      </c>
      <c r="C157" s="14" t="s">
        <v>1220</v>
      </c>
      <c r="D157" s="14">
        <v>50</v>
      </c>
      <c r="E157" s="15" t="s">
        <v>875</v>
      </c>
      <c r="F157" s="15" t="s">
        <v>878</v>
      </c>
      <c r="G157" s="14" t="s">
        <v>879</v>
      </c>
      <c r="H157" s="14"/>
      <c r="I157" s="14"/>
      <c r="J157" s="16">
        <v>357.31</v>
      </c>
      <c r="K157" s="66">
        <v>296366</v>
      </c>
      <c r="L157" s="66">
        <v>328082</v>
      </c>
      <c r="M157" s="28">
        <v>624448</v>
      </c>
      <c r="N157" s="64">
        <v>2433415</v>
      </c>
      <c r="O157" s="64">
        <v>218909</v>
      </c>
      <c r="P157" s="64">
        <v>12978</v>
      </c>
      <c r="Q157" s="28">
        <v>2665302</v>
      </c>
      <c r="R157" s="62">
        <v>442099</v>
      </c>
      <c r="S157" s="28">
        <v>3731849</v>
      </c>
      <c r="T157" s="81">
        <v>184402</v>
      </c>
      <c r="U157" s="81">
        <v>86765</v>
      </c>
      <c r="V157" s="81">
        <v>41422</v>
      </c>
      <c r="W157" s="81">
        <v>837561</v>
      </c>
      <c r="X157" s="28">
        <v>4881997</v>
      </c>
      <c r="Y157" s="28">
        <v>791769</v>
      </c>
      <c r="Z157" s="28">
        <v>829411</v>
      </c>
      <c r="AA157" s="28">
        <v>2773291</v>
      </c>
      <c r="AB157" s="28">
        <v>487526</v>
      </c>
      <c r="AC157" s="40" t="s">
        <v>184</v>
      </c>
      <c r="AD157" s="41">
        <v>495</v>
      </c>
      <c r="AE157" s="42">
        <v>1</v>
      </c>
      <c r="AF157" s="40" t="s">
        <v>878</v>
      </c>
      <c r="AG157" s="68">
        <v>39462.53</v>
      </c>
      <c r="AH157" s="42">
        <v>1</v>
      </c>
      <c r="AI157" s="40" t="s">
        <v>878</v>
      </c>
      <c r="AJ157" s="70">
        <v>0</v>
      </c>
      <c r="AK157" s="72">
        <f t="shared" si="12"/>
        <v>-39462.53</v>
      </c>
      <c r="AL157" s="72">
        <f t="shared" si="13"/>
        <v>0</v>
      </c>
      <c r="AM157">
        <v>-1</v>
      </c>
      <c r="AO157" s="102">
        <f t="shared" si="14"/>
        <v>495403</v>
      </c>
      <c r="AP157" s="103">
        <f t="shared" si="15"/>
        <v>501329</v>
      </c>
      <c r="AQ157" s="101">
        <f t="shared" si="16"/>
        <v>107989</v>
      </c>
      <c r="AR157" s="104">
        <f t="shared" si="17"/>
        <v>45427</v>
      </c>
    </row>
    <row r="158" spans="1:44">
      <c r="A158" s="14" t="s">
        <v>1017</v>
      </c>
      <c r="B158" s="15" t="s">
        <v>1018</v>
      </c>
      <c r="C158" s="14" t="s">
        <v>1220</v>
      </c>
      <c r="D158" s="14">
        <v>50</v>
      </c>
      <c r="E158" s="15" t="s">
        <v>875</v>
      </c>
      <c r="F158" s="15" t="s">
        <v>880</v>
      </c>
      <c r="G158" s="14" t="s">
        <v>881</v>
      </c>
      <c r="H158" s="14"/>
      <c r="I158" s="14"/>
      <c r="J158" s="16">
        <v>244.39</v>
      </c>
      <c r="K158" s="66">
        <v>84351</v>
      </c>
      <c r="L158" s="66">
        <v>253335</v>
      </c>
      <c r="M158" s="28">
        <v>337686</v>
      </c>
      <c r="N158" s="64">
        <v>1580890</v>
      </c>
      <c r="O158" s="64">
        <v>124947</v>
      </c>
      <c r="P158" s="64">
        <v>12004</v>
      </c>
      <c r="Q158" s="28">
        <v>1717841</v>
      </c>
      <c r="R158" s="62">
        <v>54815</v>
      </c>
      <c r="S158" s="28">
        <v>2110342</v>
      </c>
      <c r="T158" s="81">
        <v>103867</v>
      </c>
      <c r="U158" s="81">
        <v>39727</v>
      </c>
      <c r="V158" s="81">
        <v>148571</v>
      </c>
      <c r="W158" s="81">
        <v>546311</v>
      </c>
      <c r="X158" s="28">
        <v>2948816</v>
      </c>
      <c r="Y158" s="28">
        <v>470622</v>
      </c>
      <c r="Z158" s="28">
        <v>454808</v>
      </c>
      <c r="AA158" s="28">
        <v>1909536</v>
      </c>
      <c r="AB158" s="28">
        <v>113850</v>
      </c>
      <c r="AC158" s="40" t="s">
        <v>184</v>
      </c>
      <c r="AD158" s="41">
        <v>497</v>
      </c>
      <c r="AE158" s="42">
        <v>1</v>
      </c>
      <c r="AF158" s="40" t="s">
        <v>880</v>
      </c>
      <c r="AG158" s="68">
        <v>29950.98</v>
      </c>
      <c r="AH158" s="42">
        <v>1</v>
      </c>
      <c r="AI158" s="40" t="s">
        <v>880</v>
      </c>
      <c r="AJ158" s="70">
        <v>0</v>
      </c>
      <c r="AK158" s="72">
        <f t="shared" si="12"/>
        <v>-29950.98</v>
      </c>
      <c r="AL158" s="72">
        <f t="shared" si="13"/>
        <v>0</v>
      </c>
      <c r="AM158">
        <v>-1</v>
      </c>
      <c r="AO158" s="102">
        <f t="shared" si="14"/>
        <v>386271</v>
      </c>
      <c r="AP158" s="103">
        <f t="shared" si="15"/>
        <v>201473</v>
      </c>
      <c r="AQ158" s="101">
        <f t="shared" si="16"/>
        <v>191695</v>
      </c>
      <c r="AR158" s="104">
        <f t="shared" si="17"/>
        <v>59035</v>
      </c>
    </row>
    <row r="159" spans="1:44">
      <c r="A159" s="14" t="s">
        <v>1017</v>
      </c>
      <c r="B159" s="15" t="s">
        <v>1018</v>
      </c>
      <c r="C159" s="14" t="s">
        <v>1220</v>
      </c>
      <c r="D159" s="14">
        <v>50</v>
      </c>
      <c r="E159" s="15" t="s">
        <v>875</v>
      </c>
      <c r="F159" s="15" t="s">
        <v>882</v>
      </c>
      <c r="G159" s="14" t="s">
        <v>883</v>
      </c>
      <c r="H159" s="14"/>
      <c r="I159" s="14"/>
      <c r="J159" s="16">
        <v>313.33</v>
      </c>
      <c r="K159" s="66">
        <v>304379</v>
      </c>
      <c r="L159" s="66">
        <v>129708</v>
      </c>
      <c r="M159" s="28">
        <v>434087</v>
      </c>
      <c r="N159" s="64">
        <v>2297535</v>
      </c>
      <c r="O159" s="64">
        <v>103253</v>
      </c>
      <c r="P159" s="64">
        <v>146346</v>
      </c>
      <c r="Q159" s="28">
        <v>2547134</v>
      </c>
      <c r="R159" s="62">
        <v>90249</v>
      </c>
      <c r="S159" s="28">
        <v>3071470</v>
      </c>
      <c r="T159" s="81">
        <v>134731</v>
      </c>
      <c r="U159" s="81">
        <v>124879</v>
      </c>
      <c r="V159" s="81">
        <v>0</v>
      </c>
      <c r="W159" s="81">
        <v>285039</v>
      </c>
      <c r="X159" s="28">
        <v>3616120</v>
      </c>
      <c r="Y159" s="28">
        <v>543573</v>
      </c>
      <c r="Z159" s="28">
        <v>315934</v>
      </c>
      <c r="AA159" s="28">
        <v>2600967</v>
      </c>
      <c r="AB159" s="28">
        <v>155646</v>
      </c>
      <c r="AC159" s="40" t="s">
        <v>184</v>
      </c>
      <c r="AD159" s="41">
        <v>499</v>
      </c>
      <c r="AE159" s="42">
        <v>1</v>
      </c>
      <c r="AF159" s="40" t="s">
        <v>882</v>
      </c>
      <c r="AG159" s="68">
        <v>23505.29</v>
      </c>
      <c r="AH159" s="42">
        <v>1</v>
      </c>
      <c r="AI159" s="40" t="s">
        <v>882</v>
      </c>
      <c r="AJ159" s="70">
        <v>4555</v>
      </c>
      <c r="AK159" s="72">
        <f t="shared" si="12"/>
        <v>-23505.29</v>
      </c>
      <c r="AL159" s="72">
        <f t="shared" si="13"/>
        <v>-4555</v>
      </c>
      <c r="AM159">
        <v>-1</v>
      </c>
      <c r="AO159" s="102">
        <f t="shared" si="14"/>
        <v>239194</v>
      </c>
      <c r="AP159" s="103">
        <f t="shared" si="15"/>
        <v>186226</v>
      </c>
      <c r="AQ159" s="101">
        <f t="shared" si="16"/>
        <v>53833</v>
      </c>
      <c r="AR159" s="104">
        <f t="shared" si="17"/>
        <v>65397</v>
      </c>
    </row>
    <row r="160" spans="1:44">
      <c r="A160" s="14" t="s">
        <v>1017</v>
      </c>
      <c r="B160" s="15" t="s">
        <v>1018</v>
      </c>
      <c r="C160" s="14" t="s">
        <v>1220</v>
      </c>
      <c r="D160" s="14">
        <v>50</v>
      </c>
      <c r="E160" s="15" t="s">
        <v>875</v>
      </c>
      <c r="F160" s="15" t="s">
        <v>884</v>
      </c>
      <c r="G160" s="14" t="s">
        <v>885</v>
      </c>
      <c r="H160" s="14"/>
      <c r="I160" s="14"/>
      <c r="J160" s="16">
        <v>642.08000000000004</v>
      </c>
      <c r="K160" s="66">
        <v>435182</v>
      </c>
      <c r="L160" s="66">
        <v>317180</v>
      </c>
      <c r="M160" s="28">
        <v>752362</v>
      </c>
      <c r="N160" s="64">
        <v>4416573</v>
      </c>
      <c r="O160" s="64">
        <v>234045</v>
      </c>
      <c r="P160" s="64">
        <v>105299</v>
      </c>
      <c r="Q160" s="28">
        <v>4755917</v>
      </c>
      <c r="R160" s="62">
        <v>112552</v>
      </c>
      <c r="S160" s="28">
        <v>5620831</v>
      </c>
      <c r="T160" s="81">
        <v>244310</v>
      </c>
      <c r="U160" s="81">
        <v>137653</v>
      </c>
      <c r="V160" s="81">
        <v>0</v>
      </c>
      <c r="W160" s="81">
        <v>177296</v>
      </c>
      <c r="X160" s="28">
        <v>6180090</v>
      </c>
      <c r="Y160" s="28">
        <v>616723</v>
      </c>
      <c r="Z160" s="28">
        <v>533656</v>
      </c>
      <c r="AA160" s="28">
        <v>4834064</v>
      </c>
      <c r="AB160" s="28">
        <v>195646</v>
      </c>
      <c r="AC160" s="40" t="s">
        <v>184</v>
      </c>
      <c r="AD160" s="41">
        <v>500</v>
      </c>
      <c r="AE160" s="42">
        <v>1</v>
      </c>
      <c r="AF160" s="40" t="s">
        <v>884</v>
      </c>
      <c r="AG160" s="68">
        <v>58424.1</v>
      </c>
      <c r="AH160" s="42">
        <v>1</v>
      </c>
      <c r="AI160" s="40" t="s">
        <v>884</v>
      </c>
      <c r="AJ160" s="70">
        <v>0</v>
      </c>
      <c r="AK160" s="72">
        <f t="shared" si="12"/>
        <v>-58424.1</v>
      </c>
      <c r="AL160" s="72">
        <f t="shared" si="13"/>
        <v>0</v>
      </c>
      <c r="AM160">
        <v>-1</v>
      </c>
      <c r="AO160" s="102">
        <f t="shared" si="14"/>
        <v>181541</v>
      </c>
      <c r="AP160" s="103">
        <f t="shared" si="15"/>
        <v>216476</v>
      </c>
      <c r="AQ160" s="101">
        <f t="shared" si="16"/>
        <v>78147</v>
      </c>
      <c r="AR160" s="104">
        <f t="shared" si="17"/>
        <v>83094</v>
      </c>
    </row>
    <row r="161" spans="1:44">
      <c r="A161" s="14" t="s">
        <v>1166</v>
      </c>
      <c r="B161" s="15" t="s">
        <v>1167</v>
      </c>
      <c r="C161" s="14" t="s">
        <v>1220</v>
      </c>
      <c r="D161" s="14">
        <v>51</v>
      </c>
      <c r="E161" s="15" t="s">
        <v>886</v>
      </c>
      <c r="F161" s="15" t="s">
        <v>887</v>
      </c>
      <c r="G161" s="14" t="s">
        <v>888</v>
      </c>
      <c r="H161" s="14"/>
      <c r="I161" s="14"/>
      <c r="J161" s="16">
        <v>430.21</v>
      </c>
      <c r="K161" s="66">
        <v>503225</v>
      </c>
      <c r="L161" s="66">
        <v>360651</v>
      </c>
      <c r="M161" s="28">
        <v>863876</v>
      </c>
      <c r="N161" s="64">
        <v>3798166</v>
      </c>
      <c r="O161" s="64">
        <v>296240</v>
      </c>
      <c r="P161" s="64">
        <v>89040</v>
      </c>
      <c r="Q161" s="28">
        <v>4183446</v>
      </c>
      <c r="R161" s="62">
        <v>99686</v>
      </c>
      <c r="S161" s="28">
        <v>5147008</v>
      </c>
      <c r="T161" s="81">
        <v>166106</v>
      </c>
      <c r="U161" s="81">
        <v>150171</v>
      </c>
      <c r="V161" s="81">
        <v>0</v>
      </c>
      <c r="W161" s="81">
        <v>1302</v>
      </c>
      <c r="X161" s="28">
        <v>5464587</v>
      </c>
      <c r="Y161" s="28">
        <v>545078</v>
      </c>
      <c r="Z161" s="28">
        <v>530161</v>
      </c>
      <c r="AA161" s="28">
        <v>4217916</v>
      </c>
      <c r="AB161" s="28">
        <v>171431</v>
      </c>
      <c r="AC161" s="40" t="s">
        <v>184</v>
      </c>
      <c r="AD161" s="41">
        <v>505</v>
      </c>
      <c r="AE161" s="42">
        <v>1</v>
      </c>
      <c r="AF161" s="40" t="s">
        <v>887</v>
      </c>
      <c r="AG161" s="68">
        <v>22202.23</v>
      </c>
      <c r="AH161" s="42">
        <v>1</v>
      </c>
      <c r="AI161" s="40" t="s">
        <v>887</v>
      </c>
      <c r="AJ161" s="70">
        <v>0</v>
      </c>
      <c r="AK161" s="72">
        <f t="shared" si="12"/>
        <v>-22202.23</v>
      </c>
      <c r="AL161" s="72">
        <f t="shared" si="13"/>
        <v>0</v>
      </c>
      <c r="AM161">
        <v>-1</v>
      </c>
      <c r="AO161" s="102">
        <f t="shared" si="14"/>
        <v>41853</v>
      </c>
      <c r="AP161" s="103">
        <f t="shared" si="15"/>
        <v>169510</v>
      </c>
      <c r="AQ161" s="101">
        <f t="shared" si="16"/>
        <v>34470</v>
      </c>
      <c r="AR161" s="104">
        <f t="shared" si="17"/>
        <v>71745</v>
      </c>
    </row>
    <row r="162" spans="1:44">
      <c r="A162" s="14" t="s">
        <v>1092</v>
      </c>
      <c r="B162" s="15" t="s">
        <v>1093</v>
      </c>
      <c r="C162" s="14" t="s">
        <v>1220</v>
      </c>
      <c r="D162" s="14">
        <v>52</v>
      </c>
      <c r="E162" s="15" t="s">
        <v>889</v>
      </c>
      <c r="F162" s="15" t="s">
        <v>890</v>
      </c>
      <c r="G162" s="14" t="s">
        <v>891</v>
      </c>
      <c r="H162" s="14"/>
      <c r="I162" s="14"/>
      <c r="J162" s="16">
        <v>301.49</v>
      </c>
      <c r="K162" s="66">
        <v>230143</v>
      </c>
      <c r="L162" s="66">
        <v>302013</v>
      </c>
      <c r="M162" s="28">
        <v>532156</v>
      </c>
      <c r="N162" s="64">
        <v>1969094</v>
      </c>
      <c r="O162" s="64">
        <v>200647</v>
      </c>
      <c r="P162" s="64">
        <v>64518</v>
      </c>
      <c r="Q162" s="28">
        <v>2234259</v>
      </c>
      <c r="R162" s="62">
        <v>118832</v>
      </c>
      <c r="S162" s="28">
        <v>2885247</v>
      </c>
      <c r="T162" s="81">
        <v>135749</v>
      </c>
      <c r="U162" s="81">
        <v>320413</v>
      </c>
      <c r="V162" s="81">
        <v>17829</v>
      </c>
      <c r="W162" s="81">
        <v>453756</v>
      </c>
      <c r="X162" s="28">
        <v>3812994</v>
      </c>
      <c r="Y162" s="28">
        <v>664543</v>
      </c>
      <c r="Z162" s="28">
        <v>679271</v>
      </c>
      <c r="AA162" s="28">
        <v>2309090</v>
      </c>
      <c r="AB162" s="28">
        <v>160090</v>
      </c>
      <c r="AC162" s="40" t="s">
        <v>184</v>
      </c>
      <c r="AD162" s="41">
        <v>507</v>
      </c>
      <c r="AE162" s="42">
        <v>1</v>
      </c>
      <c r="AF162" s="40" t="s">
        <v>890</v>
      </c>
      <c r="AG162" s="68">
        <v>21450.13</v>
      </c>
      <c r="AH162" s="42">
        <v>1</v>
      </c>
      <c r="AI162" s="40" t="s">
        <v>890</v>
      </c>
      <c r="AJ162" s="70">
        <v>0</v>
      </c>
      <c r="AK162" s="72">
        <f t="shared" si="12"/>
        <v>-21450.13</v>
      </c>
      <c r="AL162" s="72">
        <f t="shared" si="13"/>
        <v>0</v>
      </c>
      <c r="AM162">
        <v>-1</v>
      </c>
      <c r="AO162" s="102">
        <f t="shared" si="14"/>
        <v>434400</v>
      </c>
      <c r="AP162" s="103">
        <f t="shared" si="15"/>
        <v>377258</v>
      </c>
      <c r="AQ162" s="101">
        <f t="shared" si="16"/>
        <v>74831</v>
      </c>
      <c r="AR162" s="104">
        <f t="shared" si="17"/>
        <v>41258</v>
      </c>
    </row>
    <row r="163" spans="1:44">
      <c r="A163" s="14" t="s">
        <v>1092</v>
      </c>
      <c r="B163" s="15" t="s">
        <v>1093</v>
      </c>
      <c r="C163" s="14" t="s">
        <v>1220</v>
      </c>
      <c r="D163" s="14">
        <v>52</v>
      </c>
      <c r="E163" s="15" t="s">
        <v>889</v>
      </c>
      <c r="F163" s="15" t="s">
        <v>892</v>
      </c>
      <c r="G163" s="14" t="s">
        <v>893</v>
      </c>
      <c r="H163" s="14"/>
      <c r="I163" s="14"/>
      <c r="J163" s="16">
        <v>1898.47</v>
      </c>
      <c r="K163" s="66">
        <v>1702613</v>
      </c>
      <c r="L163" s="66">
        <v>1888645</v>
      </c>
      <c r="M163" s="28">
        <v>3591258</v>
      </c>
      <c r="N163" s="64">
        <v>12364332</v>
      </c>
      <c r="O163" s="64">
        <v>1064559</v>
      </c>
      <c r="P163" s="64">
        <v>113824</v>
      </c>
      <c r="Q163" s="28">
        <v>13542715</v>
      </c>
      <c r="R163" s="62">
        <v>363811</v>
      </c>
      <c r="S163" s="28">
        <v>17497784</v>
      </c>
      <c r="T163" s="81">
        <v>721075</v>
      </c>
      <c r="U163" s="81">
        <v>482068</v>
      </c>
      <c r="V163" s="81">
        <v>17588</v>
      </c>
      <c r="W163" s="81">
        <v>586271</v>
      </c>
      <c r="X163" s="28">
        <v>19304786</v>
      </c>
      <c r="Y163" s="28">
        <v>2312817</v>
      </c>
      <c r="Z163" s="28">
        <v>2617093</v>
      </c>
      <c r="AA163" s="28">
        <v>13773090</v>
      </c>
      <c r="AB163" s="28">
        <v>601786</v>
      </c>
      <c r="AC163" s="40" t="s">
        <v>184</v>
      </c>
      <c r="AD163" s="41">
        <v>508</v>
      </c>
      <c r="AE163" s="42">
        <v>1</v>
      </c>
      <c r="AF163" s="40" t="s">
        <v>892</v>
      </c>
      <c r="AG163" s="68">
        <v>241164.39</v>
      </c>
      <c r="AH163" s="42">
        <v>1</v>
      </c>
      <c r="AI163" s="40" t="s">
        <v>892</v>
      </c>
      <c r="AJ163" s="70">
        <v>0</v>
      </c>
      <c r="AK163" s="72">
        <f t="shared" si="12"/>
        <v>-241164.39</v>
      </c>
      <c r="AL163" s="72">
        <f t="shared" si="13"/>
        <v>0</v>
      </c>
      <c r="AM163">
        <v>-1</v>
      </c>
      <c r="AO163" s="102">
        <f t="shared" si="14"/>
        <v>610204</v>
      </c>
      <c r="AP163" s="103">
        <f t="shared" si="15"/>
        <v>728448</v>
      </c>
      <c r="AQ163" s="101">
        <f t="shared" si="16"/>
        <v>230375</v>
      </c>
      <c r="AR163" s="104">
        <f t="shared" si="17"/>
        <v>237975</v>
      </c>
    </row>
    <row r="164" spans="1:44">
      <c r="A164" s="14" t="s">
        <v>1166</v>
      </c>
      <c r="B164" s="15" t="s">
        <v>1167</v>
      </c>
      <c r="C164" s="14" t="s">
        <v>1220</v>
      </c>
      <c r="D164" s="14">
        <v>53</v>
      </c>
      <c r="E164" s="15" t="s">
        <v>894</v>
      </c>
      <c r="F164" s="15" t="s">
        <v>895</v>
      </c>
      <c r="G164" s="14" t="s">
        <v>896</v>
      </c>
      <c r="H164" s="14"/>
      <c r="I164" s="14"/>
      <c r="J164" s="16">
        <v>660.43</v>
      </c>
      <c r="K164" s="66">
        <v>174879</v>
      </c>
      <c r="L164" s="66">
        <v>192887</v>
      </c>
      <c r="M164" s="28">
        <v>367766</v>
      </c>
      <c r="N164" s="64">
        <v>4545642</v>
      </c>
      <c r="O164" s="64">
        <v>365066</v>
      </c>
      <c r="P164" s="64">
        <v>62062</v>
      </c>
      <c r="Q164" s="28">
        <v>4972770</v>
      </c>
      <c r="R164" s="62">
        <v>133984</v>
      </c>
      <c r="S164" s="28">
        <v>5474520</v>
      </c>
      <c r="T164" s="81">
        <v>324040</v>
      </c>
      <c r="U164" s="81">
        <v>115896</v>
      </c>
      <c r="V164" s="81">
        <v>0</v>
      </c>
      <c r="W164" s="81">
        <v>776458</v>
      </c>
      <c r="X164" s="28">
        <v>6690915</v>
      </c>
      <c r="Y164" s="28">
        <v>886407</v>
      </c>
      <c r="Z164" s="28">
        <v>424781</v>
      </c>
      <c r="AA164" s="28">
        <v>5100308</v>
      </c>
      <c r="AB164" s="28">
        <v>279418</v>
      </c>
      <c r="AC164" s="40" t="s">
        <v>184</v>
      </c>
      <c r="AD164" s="41">
        <v>511</v>
      </c>
      <c r="AE164" s="42">
        <v>1</v>
      </c>
      <c r="AF164" s="40" t="s">
        <v>895</v>
      </c>
      <c r="AG164" s="68">
        <v>24413.74</v>
      </c>
      <c r="AH164" s="42">
        <v>1</v>
      </c>
      <c r="AI164" s="40" t="s">
        <v>895</v>
      </c>
      <c r="AJ164" s="70">
        <v>0</v>
      </c>
      <c r="AK164" s="72">
        <f t="shared" si="12"/>
        <v>-24413.74</v>
      </c>
      <c r="AL164" s="72">
        <f t="shared" si="13"/>
        <v>0</v>
      </c>
      <c r="AM164">
        <v>-1</v>
      </c>
      <c r="AO164" s="102">
        <f t="shared" si="14"/>
        <v>711528</v>
      </c>
      <c r="AP164" s="103">
        <f t="shared" si="15"/>
        <v>231894</v>
      </c>
      <c r="AQ164" s="101">
        <f t="shared" si="16"/>
        <v>127538</v>
      </c>
      <c r="AR164" s="104">
        <f t="shared" si="17"/>
        <v>145434</v>
      </c>
    </row>
    <row r="165" spans="1:44">
      <c r="A165" s="14" t="s">
        <v>1166</v>
      </c>
      <c r="B165" s="15" t="s">
        <v>1167</v>
      </c>
      <c r="C165" s="14" t="s">
        <v>1220</v>
      </c>
      <c r="D165" s="14">
        <v>53</v>
      </c>
      <c r="E165" s="15" t="s">
        <v>894</v>
      </c>
      <c r="F165" s="15" t="s">
        <v>897</v>
      </c>
      <c r="G165" s="14" t="s">
        <v>898</v>
      </c>
      <c r="H165" s="14"/>
      <c r="I165" s="14"/>
      <c r="J165" s="16">
        <v>215.2</v>
      </c>
      <c r="K165" s="66">
        <v>198126</v>
      </c>
      <c r="L165" s="66">
        <v>118713</v>
      </c>
      <c r="M165" s="28">
        <v>316839</v>
      </c>
      <c r="N165" s="64">
        <v>1232310</v>
      </c>
      <c r="O165" s="64">
        <v>-7941</v>
      </c>
      <c r="P165" s="64">
        <v>20194</v>
      </c>
      <c r="Q165" s="28">
        <v>1244563</v>
      </c>
      <c r="R165" s="62">
        <v>81349</v>
      </c>
      <c r="S165" s="28">
        <v>1642751</v>
      </c>
      <c r="T165" s="81">
        <v>74381</v>
      </c>
      <c r="U165" s="81">
        <v>40257</v>
      </c>
      <c r="V165" s="81">
        <v>0</v>
      </c>
      <c r="W165" s="81">
        <v>0</v>
      </c>
      <c r="X165" s="28">
        <v>1757389</v>
      </c>
      <c r="Y165" s="28">
        <v>207430</v>
      </c>
      <c r="Z165" s="28">
        <v>169736</v>
      </c>
      <c r="AA165" s="28">
        <v>1265670</v>
      </c>
      <c r="AB165" s="28">
        <v>114552</v>
      </c>
      <c r="AC165" s="40" t="s">
        <v>184</v>
      </c>
      <c r="AD165" s="41">
        <v>513</v>
      </c>
      <c r="AE165" s="42">
        <v>1</v>
      </c>
      <c r="AF165" s="40" t="s">
        <v>897</v>
      </c>
      <c r="AG165" s="68">
        <v>24671.97</v>
      </c>
      <c r="AH165" s="42">
        <v>1</v>
      </c>
      <c r="AI165" s="40" t="s">
        <v>897</v>
      </c>
      <c r="AJ165" s="70">
        <v>0</v>
      </c>
      <c r="AK165" s="72">
        <f t="shared" si="12"/>
        <v>-24671.97</v>
      </c>
      <c r="AL165" s="72">
        <f t="shared" si="13"/>
        <v>0</v>
      </c>
      <c r="AM165">
        <v>-1</v>
      </c>
      <c r="AO165" s="102">
        <f t="shared" si="14"/>
        <v>9304</v>
      </c>
      <c r="AP165" s="103">
        <f t="shared" si="15"/>
        <v>51023</v>
      </c>
      <c r="AQ165" s="101">
        <f t="shared" si="16"/>
        <v>21107</v>
      </c>
      <c r="AR165" s="104">
        <f t="shared" si="17"/>
        <v>33203</v>
      </c>
    </row>
    <row r="166" spans="1:44">
      <c r="A166" s="14" t="s">
        <v>1166</v>
      </c>
      <c r="B166" s="15" t="s">
        <v>1167</v>
      </c>
      <c r="C166" s="14" t="s">
        <v>1220</v>
      </c>
      <c r="D166" s="14">
        <v>53</v>
      </c>
      <c r="E166" s="15" t="s">
        <v>894</v>
      </c>
      <c r="F166" s="15" t="s">
        <v>899</v>
      </c>
      <c r="G166" s="14" t="s">
        <v>900</v>
      </c>
      <c r="H166" s="14"/>
      <c r="I166" s="14"/>
      <c r="J166" s="16">
        <v>192.53</v>
      </c>
      <c r="K166" s="66">
        <v>117906</v>
      </c>
      <c r="L166" s="66">
        <v>158314</v>
      </c>
      <c r="M166" s="28">
        <v>276220</v>
      </c>
      <c r="N166" s="64">
        <v>1334213</v>
      </c>
      <c r="O166" s="64">
        <v>68060</v>
      </c>
      <c r="P166" s="64">
        <v>31831</v>
      </c>
      <c r="Q166" s="28">
        <v>1434104</v>
      </c>
      <c r="R166" s="62">
        <v>73147</v>
      </c>
      <c r="S166" s="28">
        <v>1783471</v>
      </c>
      <c r="T166" s="81">
        <v>82067</v>
      </c>
      <c r="U166" s="81">
        <v>16005</v>
      </c>
      <c r="V166" s="81">
        <v>0</v>
      </c>
      <c r="W166" s="81">
        <v>0</v>
      </c>
      <c r="X166" s="28">
        <v>1881544</v>
      </c>
      <c r="Y166" s="28">
        <v>125488</v>
      </c>
      <c r="Z166" s="28">
        <v>203772</v>
      </c>
      <c r="AA166" s="28">
        <v>1441948</v>
      </c>
      <c r="AB166" s="28">
        <v>110336</v>
      </c>
      <c r="AC166" s="40" t="s">
        <v>184</v>
      </c>
      <c r="AD166" s="41">
        <v>514</v>
      </c>
      <c r="AE166" s="42">
        <v>1</v>
      </c>
      <c r="AF166" s="40" t="s">
        <v>899</v>
      </c>
      <c r="AG166" s="68">
        <v>7334.49</v>
      </c>
      <c r="AH166" s="42">
        <v>1</v>
      </c>
      <c r="AI166" s="40" t="s">
        <v>899</v>
      </c>
      <c r="AJ166" s="70">
        <v>0</v>
      </c>
      <c r="AK166" s="72">
        <f t="shared" si="12"/>
        <v>-7334.49</v>
      </c>
      <c r="AL166" s="72">
        <f t="shared" si="13"/>
        <v>0</v>
      </c>
      <c r="AM166">
        <v>-1</v>
      </c>
      <c r="AO166" s="102">
        <f t="shared" si="14"/>
        <v>7582</v>
      </c>
      <c r="AP166" s="103">
        <f t="shared" si="15"/>
        <v>45458</v>
      </c>
      <c r="AQ166" s="101">
        <f t="shared" si="16"/>
        <v>7844</v>
      </c>
      <c r="AR166" s="104">
        <f t="shared" si="17"/>
        <v>37189</v>
      </c>
    </row>
    <row r="167" spans="1:44">
      <c r="A167" s="14" t="s">
        <v>1166</v>
      </c>
      <c r="B167" s="15" t="s">
        <v>1167</v>
      </c>
      <c r="C167" s="14" t="s">
        <v>1220</v>
      </c>
      <c r="D167" s="14">
        <v>53</v>
      </c>
      <c r="E167" s="15" t="s">
        <v>894</v>
      </c>
      <c r="F167" s="15" t="s">
        <v>901</v>
      </c>
      <c r="G167" s="14" t="s">
        <v>902</v>
      </c>
      <c r="H167" s="14"/>
      <c r="I167" s="14"/>
      <c r="J167" s="16">
        <v>183.9</v>
      </c>
      <c r="K167" s="66">
        <v>155479</v>
      </c>
      <c r="L167" s="66">
        <v>263781</v>
      </c>
      <c r="M167" s="28">
        <v>419260</v>
      </c>
      <c r="N167" s="64">
        <v>845467</v>
      </c>
      <c r="O167" s="64">
        <v>114908</v>
      </c>
      <c r="P167" s="64">
        <v>16840</v>
      </c>
      <c r="Q167" s="28">
        <v>977215</v>
      </c>
      <c r="R167" s="62">
        <v>25699</v>
      </c>
      <c r="S167" s="28">
        <v>1422174</v>
      </c>
      <c r="T167" s="81">
        <v>57098</v>
      </c>
      <c r="U167" s="81">
        <v>29332</v>
      </c>
      <c r="V167" s="81">
        <v>0</v>
      </c>
      <c r="W167" s="81">
        <v>0</v>
      </c>
      <c r="X167" s="28">
        <v>1508605</v>
      </c>
      <c r="Y167" s="28">
        <v>166073</v>
      </c>
      <c r="Z167" s="28">
        <v>299233</v>
      </c>
      <c r="AA167" s="28">
        <v>997838</v>
      </c>
      <c r="AB167" s="28">
        <v>45461</v>
      </c>
      <c r="AC167" s="40" t="s">
        <v>184</v>
      </c>
      <c r="AD167" s="41">
        <v>516</v>
      </c>
      <c r="AE167" s="42">
        <v>1</v>
      </c>
      <c r="AF167" s="40" t="s">
        <v>901</v>
      </c>
      <c r="AG167" s="68">
        <v>18275.14</v>
      </c>
      <c r="AH167" s="42">
        <v>1</v>
      </c>
      <c r="AI167" s="40" t="s">
        <v>901</v>
      </c>
      <c r="AJ167" s="70">
        <v>0</v>
      </c>
      <c r="AK167" s="72">
        <f t="shared" si="12"/>
        <v>-18275.14</v>
      </c>
      <c r="AL167" s="72">
        <f t="shared" si="13"/>
        <v>0</v>
      </c>
      <c r="AM167">
        <v>-1</v>
      </c>
      <c r="AO167" s="102">
        <f t="shared" si="14"/>
        <v>10594</v>
      </c>
      <c r="AP167" s="103">
        <f t="shared" si="15"/>
        <v>35452</v>
      </c>
      <c r="AQ167" s="101">
        <f t="shared" si="16"/>
        <v>20623</v>
      </c>
      <c r="AR167" s="104">
        <f t="shared" si="17"/>
        <v>19762</v>
      </c>
    </row>
    <row r="168" spans="1:44">
      <c r="A168" s="14" t="s">
        <v>1166</v>
      </c>
      <c r="B168" s="15" t="s">
        <v>1167</v>
      </c>
      <c r="C168" s="14" t="s">
        <v>1220</v>
      </c>
      <c r="D168" s="14">
        <v>53</v>
      </c>
      <c r="E168" s="15" t="s">
        <v>894</v>
      </c>
      <c r="F168" s="15" t="s">
        <v>729</v>
      </c>
      <c r="G168" s="14" t="s">
        <v>730</v>
      </c>
      <c r="H168" s="14"/>
      <c r="I168" s="14"/>
      <c r="J168" s="16">
        <v>2191.33</v>
      </c>
      <c r="K168" s="66">
        <v>884929</v>
      </c>
      <c r="L168" s="66">
        <v>628595</v>
      </c>
      <c r="M168" s="28">
        <v>1513524</v>
      </c>
      <c r="N168" s="64">
        <v>15534140</v>
      </c>
      <c r="O168" s="64">
        <v>1641746</v>
      </c>
      <c r="P168" s="64">
        <v>490493</v>
      </c>
      <c r="Q168" s="28">
        <v>17666379</v>
      </c>
      <c r="R168" s="62">
        <v>1207146</v>
      </c>
      <c r="S168" s="28">
        <v>20387049</v>
      </c>
      <c r="T168" s="81">
        <v>1002785</v>
      </c>
      <c r="U168" s="81">
        <v>1162459</v>
      </c>
      <c r="V168" s="81">
        <v>0</v>
      </c>
      <c r="W168" s="81">
        <v>2284147</v>
      </c>
      <c r="X168" s="28">
        <v>24836440</v>
      </c>
      <c r="Y168" s="28">
        <v>2364455</v>
      </c>
      <c r="Z168" s="28">
        <v>1779658</v>
      </c>
      <c r="AA168" s="28">
        <v>18597014</v>
      </c>
      <c r="AB168" s="28">
        <v>2095313</v>
      </c>
      <c r="AC168" s="40" t="s">
        <v>184</v>
      </c>
      <c r="AD168" s="41">
        <v>518</v>
      </c>
      <c r="AE168" s="42">
        <v>1</v>
      </c>
      <c r="AF168" s="40" t="s">
        <v>729</v>
      </c>
      <c r="AG168" s="68">
        <v>188838.42</v>
      </c>
      <c r="AH168" s="42">
        <v>1</v>
      </c>
      <c r="AI168" s="40" t="s">
        <v>729</v>
      </c>
      <c r="AJ168" s="70">
        <v>448337.81</v>
      </c>
      <c r="AK168" s="72">
        <f t="shared" si="12"/>
        <v>-188838.42</v>
      </c>
      <c r="AL168" s="72">
        <f t="shared" si="13"/>
        <v>-448337.81</v>
      </c>
      <c r="AM168">
        <v>-1</v>
      </c>
      <c r="AO168" s="102">
        <f t="shared" si="14"/>
        <v>1479526</v>
      </c>
      <c r="AP168" s="103">
        <f t="shared" si="15"/>
        <v>1151063</v>
      </c>
      <c r="AQ168" s="101">
        <f t="shared" si="16"/>
        <v>930635</v>
      </c>
      <c r="AR168" s="104">
        <f t="shared" si="17"/>
        <v>888167</v>
      </c>
    </row>
    <row r="169" spans="1:44">
      <c r="A169" s="14" t="s">
        <v>1017</v>
      </c>
      <c r="B169" s="15" t="s">
        <v>1018</v>
      </c>
      <c r="C169" s="14" t="s">
        <v>1220</v>
      </c>
      <c r="D169" s="14">
        <v>55</v>
      </c>
      <c r="E169" s="15" t="s">
        <v>1033</v>
      </c>
      <c r="F169" s="15" t="s">
        <v>731</v>
      </c>
      <c r="G169" s="14" t="s">
        <v>732</v>
      </c>
      <c r="H169" s="14"/>
      <c r="I169" s="14"/>
      <c r="J169" s="16">
        <v>1629.9</v>
      </c>
      <c r="K169" s="66">
        <v>393440</v>
      </c>
      <c r="L169" s="66">
        <v>631249</v>
      </c>
      <c r="M169" s="28">
        <v>1024689</v>
      </c>
      <c r="N169" s="64">
        <v>9906399</v>
      </c>
      <c r="O169" s="64">
        <v>672410</v>
      </c>
      <c r="P169" s="64">
        <v>34148</v>
      </c>
      <c r="Q169" s="28">
        <v>10612957</v>
      </c>
      <c r="R169" s="62">
        <v>108775</v>
      </c>
      <c r="S169" s="28">
        <v>11746421</v>
      </c>
      <c r="T169" s="81">
        <v>616439</v>
      </c>
      <c r="U169" s="81">
        <v>366388</v>
      </c>
      <c r="V169" s="81">
        <v>185164</v>
      </c>
      <c r="W169" s="81">
        <v>2434996</v>
      </c>
      <c r="X169" s="28">
        <v>15349408</v>
      </c>
      <c r="Y169" s="28">
        <v>2220405</v>
      </c>
      <c r="Z169" s="28">
        <v>1561159</v>
      </c>
      <c r="AA169" s="28">
        <v>11323172</v>
      </c>
      <c r="AB169" s="28">
        <v>244672</v>
      </c>
      <c r="AC169" s="40" t="s">
        <v>184</v>
      </c>
      <c r="AD169" s="41">
        <v>531</v>
      </c>
      <c r="AE169" s="42">
        <v>1</v>
      </c>
      <c r="AF169" s="40" t="s">
        <v>731</v>
      </c>
      <c r="AG169" s="68">
        <v>152848.59</v>
      </c>
      <c r="AH169" s="42">
        <v>1</v>
      </c>
      <c r="AI169" s="40" t="s">
        <v>731</v>
      </c>
      <c r="AJ169" s="70">
        <v>4781.58</v>
      </c>
      <c r="AK169" s="72">
        <f t="shared" si="12"/>
        <v>-152848.59</v>
      </c>
      <c r="AL169" s="72">
        <f t="shared" si="13"/>
        <v>-4781.58</v>
      </c>
      <c r="AM169">
        <v>-1</v>
      </c>
      <c r="AO169" s="102">
        <f t="shared" si="14"/>
        <v>1826965</v>
      </c>
      <c r="AP169" s="103">
        <f t="shared" si="15"/>
        <v>929910</v>
      </c>
      <c r="AQ169" s="101">
        <f t="shared" si="16"/>
        <v>710215</v>
      </c>
      <c r="AR169" s="104">
        <f t="shared" si="17"/>
        <v>135897</v>
      </c>
    </row>
    <row r="170" spans="1:44">
      <c r="A170" s="14" t="s">
        <v>1017</v>
      </c>
      <c r="B170" s="15" t="s">
        <v>1018</v>
      </c>
      <c r="C170" s="14" t="s">
        <v>1220</v>
      </c>
      <c r="D170" s="14">
        <v>55</v>
      </c>
      <c r="E170" s="15" t="s">
        <v>1033</v>
      </c>
      <c r="F170" s="15" t="s">
        <v>733</v>
      </c>
      <c r="G170" s="14" t="s">
        <v>734</v>
      </c>
      <c r="H170" s="14"/>
      <c r="I170" s="14"/>
      <c r="J170" s="16">
        <v>1241.73</v>
      </c>
      <c r="K170" s="66">
        <v>387312</v>
      </c>
      <c r="L170" s="66">
        <v>547047</v>
      </c>
      <c r="M170" s="28">
        <v>934359</v>
      </c>
      <c r="N170" s="64">
        <v>6789059</v>
      </c>
      <c r="O170" s="64">
        <v>468678</v>
      </c>
      <c r="P170" s="64">
        <v>42172</v>
      </c>
      <c r="Q170" s="28">
        <v>7299909</v>
      </c>
      <c r="R170" s="62">
        <v>98365</v>
      </c>
      <c r="S170" s="28">
        <v>8332633</v>
      </c>
      <c r="T170" s="81">
        <v>514338</v>
      </c>
      <c r="U170" s="81">
        <v>228086</v>
      </c>
      <c r="V170" s="81">
        <v>0</v>
      </c>
      <c r="W170" s="81">
        <v>1392220</v>
      </c>
      <c r="X170" s="28">
        <v>10467278</v>
      </c>
      <c r="Y170" s="28">
        <v>1208941</v>
      </c>
      <c r="Z170" s="28">
        <v>1095038</v>
      </c>
      <c r="AA170" s="28">
        <v>7945096</v>
      </c>
      <c r="AB170" s="28">
        <v>218203</v>
      </c>
      <c r="AC170" s="40" t="s">
        <v>184</v>
      </c>
      <c r="AD170" s="41">
        <v>533</v>
      </c>
      <c r="AE170" s="42">
        <v>1</v>
      </c>
      <c r="AF170" s="40" t="s">
        <v>733</v>
      </c>
      <c r="AG170" s="68">
        <v>74250.89</v>
      </c>
      <c r="AH170" s="42">
        <v>1</v>
      </c>
      <c r="AI170" s="40" t="s">
        <v>733</v>
      </c>
      <c r="AJ170" s="70">
        <v>0</v>
      </c>
      <c r="AK170" s="72">
        <f t="shared" si="12"/>
        <v>-74250.89</v>
      </c>
      <c r="AL170" s="72">
        <f t="shared" si="13"/>
        <v>0</v>
      </c>
      <c r="AM170">
        <v>-1</v>
      </c>
      <c r="AO170" s="102">
        <f t="shared" si="14"/>
        <v>821629</v>
      </c>
      <c r="AP170" s="103">
        <f t="shared" si="15"/>
        <v>547991</v>
      </c>
      <c r="AQ170" s="101">
        <f t="shared" si="16"/>
        <v>645187</v>
      </c>
      <c r="AR170" s="104">
        <f t="shared" si="17"/>
        <v>119838</v>
      </c>
    </row>
    <row r="171" spans="1:44">
      <c r="A171" s="14" t="s">
        <v>1017</v>
      </c>
      <c r="B171" s="15" t="s">
        <v>1018</v>
      </c>
      <c r="C171" s="14" t="s">
        <v>1220</v>
      </c>
      <c r="D171" s="14">
        <v>55</v>
      </c>
      <c r="E171" s="15" t="s">
        <v>1033</v>
      </c>
      <c r="F171" s="15" t="s">
        <v>735</v>
      </c>
      <c r="G171" s="14" t="s">
        <v>736</v>
      </c>
      <c r="H171" s="14"/>
      <c r="I171" s="14"/>
      <c r="J171" s="16">
        <v>1792.52</v>
      </c>
      <c r="K171" s="66">
        <v>1144188</v>
      </c>
      <c r="L171" s="66">
        <v>454982</v>
      </c>
      <c r="M171" s="28">
        <v>1599170</v>
      </c>
      <c r="N171" s="64">
        <v>11587559</v>
      </c>
      <c r="O171" s="64">
        <v>718760</v>
      </c>
      <c r="P171" s="64">
        <v>56259</v>
      </c>
      <c r="Q171" s="28">
        <v>12362578</v>
      </c>
      <c r="R171" s="62">
        <v>207322</v>
      </c>
      <c r="S171" s="28">
        <v>14169070</v>
      </c>
      <c r="T171" s="81">
        <v>795878</v>
      </c>
      <c r="U171" s="81">
        <v>571059</v>
      </c>
      <c r="V171" s="81">
        <v>53676</v>
      </c>
      <c r="W171" s="81">
        <v>1271951</v>
      </c>
      <c r="X171" s="28">
        <v>16861634</v>
      </c>
      <c r="Y171" s="28">
        <v>2318303</v>
      </c>
      <c r="Z171" s="28">
        <v>1550328</v>
      </c>
      <c r="AA171" s="28">
        <v>12573240</v>
      </c>
      <c r="AB171" s="28">
        <v>419762</v>
      </c>
      <c r="AC171" s="40" t="s">
        <v>184</v>
      </c>
      <c r="AD171" s="41">
        <v>534</v>
      </c>
      <c r="AE171" s="42">
        <v>1</v>
      </c>
      <c r="AF171" s="40" t="s">
        <v>735</v>
      </c>
      <c r="AG171" s="68">
        <v>71459.78</v>
      </c>
      <c r="AH171" s="42">
        <v>1</v>
      </c>
      <c r="AI171" s="40" t="s">
        <v>735</v>
      </c>
      <c r="AJ171" s="70">
        <v>0</v>
      </c>
      <c r="AK171" s="72">
        <f t="shared" si="12"/>
        <v>-71459.78</v>
      </c>
      <c r="AL171" s="72">
        <f t="shared" si="13"/>
        <v>0</v>
      </c>
      <c r="AM171">
        <v>-1</v>
      </c>
      <c r="AO171" s="102">
        <f t="shared" si="14"/>
        <v>1174115</v>
      </c>
      <c r="AP171" s="103">
        <f t="shared" si="15"/>
        <v>1095346</v>
      </c>
      <c r="AQ171" s="101">
        <f t="shared" si="16"/>
        <v>210662</v>
      </c>
      <c r="AR171" s="104">
        <f t="shared" si="17"/>
        <v>212440</v>
      </c>
    </row>
    <row r="172" spans="1:44">
      <c r="A172" s="14" t="s">
        <v>1017</v>
      </c>
      <c r="B172" s="15" t="s">
        <v>1018</v>
      </c>
      <c r="C172" s="14" t="s">
        <v>1220</v>
      </c>
      <c r="D172" s="14">
        <v>55</v>
      </c>
      <c r="E172" s="15" t="s">
        <v>1033</v>
      </c>
      <c r="F172" s="15" t="s">
        <v>737</v>
      </c>
      <c r="G172" s="14" t="s">
        <v>738</v>
      </c>
      <c r="H172" s="14"/>
      <c r="I172" s="14"/>
      <c r="J172" s="16">
        <v>16049.11</v>
      </c>
      <c r="K172" s="66">
        <v>16635295</v>
      </c>
      <c r="L172" s="66">
        <v>4859887</v>
      </c>
      <c r="M172" s="28">
        <v>21495182</v>
      </c>
      <c r="N172" s="64">
        <v>99802420</v>
      </c>
      <c r="O172" s="64">
        <v>9049210</v>
      </c>
      <c r="P172" s="64">
        <v>3672890</v>
      </c>
      <c r="Q172" s="28">
        <v>112524520</v>
      </c>
      <c r="R172" s="62">
        <v>7770339</v>
      </c>
      <c r="S172" s="28">
        <v>141790041</v>
      </c>
      <c r="T172" s="81">
        <v>6601429</v>
      </c>
      <c r="U172" s="81">
        <v>8239114</v>
      </c>
      <c r="V172" s="81">
        <v>8060397</v>
      </c>
      <c r="W172" s="81">
        <v>9400618</v>
      </c>
      <c r="X172" s="28">
        <v>174091599</v>
      </c>
      <c r="Y172" s="28">
        <v>33099820</v>
      </c>
      <c r="Z172" s="28">
        <v>13808948</v>
      </c>
      <c r="AA172" s="28">
        <v>116502443</v>
      </c>
      <c r="AB172" s="28">
        <v>10680388</v>
      </c>
      <c r="AC172" s="40" t="s">
        <v>184</v>
      </c>
      <c r="AD172" s="41">
        <v>535</v>
      </c>
      <c r="AE172" s="42">
        <v>1</v>
      </c>
      <c r="AF172" s="40" t="s">
        <v>737</v>
      </c>
      <c r="AG172" s="68">
        <v>1170095.51</v>
      </c>
      <c r="AH172" s="42">
        <v>1</v>
      </c>
      <c r="AI172" s="40" t="s">
        <v>737</v>
      </c>
      <c r="AJ172" s="70">
        <v>1880412.37</v>
      </c>
      <c r="AK172" s="72">
        <f t="shared" si="12"/>
        <v>-1170095.51</v>
      </c>
      <c r="AL172" s="72">
        <f t="shared" si="13"/>
        <v>-1880412.37</v>
      </c>
      <c r="AM172">
        <v>-1</v>
      </c>
      <c r="AO172" s="102">
        <f t="shared" si="14"/>
        <v>16464525</v>
      </c>
      <c r="AP172" s="103">
        <f t="shared" si="15"/>
        <v>8949061</v>
      </c>
      <c r="AQ172" s="101">
        <f t="shared" si="16"/>
        <v>3977923</v>
      </c>
      <c r="AR172" s="104">
        <f t="shared" si="17"/>
        <v>2910049</v>
      </c>
    </row>
    <row r="173" spans="1:44">
      <c r="A173" s="14" t="s">
        <v>1249</v>
      </c>
      <c r="B173" s="15" t="s">
        <v>1250</v>
      </c>
      <c r="C173" s="14" t="s">
        <v>1220</v>
      </c>
      <c r="D173" s="14">
        <v>56</v>
      </c>
      <c r="E173" s="15" t="s">
        <v>739</v>
      </c>
      <c r="F173" s="15" t="s">
        <v>740</v>
      </c>
      <c r="G173" s="14" t="s">
        <v>741</v>
      </c>
      <c r="H173" s="14"/>
      <c r="I173" s="14"/>
      <c r="J173" s="16">
        <v>538.96</v>
      </c>
      <c r="K173" s="66">
        <v>260591</v>
      </c>
      <c r="L173" s="66">
        <v>261208</v>
      </c>
      <c r="M173" s="28">
        <v>521799</v>
      </c>
      <c r="N173" s="64">
        <v>3371823</v>
      </c>
      <c r="O173" s="64">
        <v>109935</v>
      </c>
      <c r="P173" s="64">
        <v>16202</v>
      </c>
      <c r="Q173" s="28">
        <v>3497960</v>
      </c>
      <c r="R173" s="62">
        <v>143896</v>
      </c>
      <c r="S173" s="28">
        <v>4163655</v>
      </c>
      <c r="T173" s="81">
        <v>260028</v>
      </c>
      <c r="U173" s="81">
        <v>100702</v>
      </c>
      <c r="V173" s="81">
        <v>42325</v>
      </c>
      <c r="W173" s="81">
        <v>666048</v>
      </c>
      <c r="X173" s="28">
        <v>5232756</v>
      </c>
      <c r="Y173" s="28">
        <v>904024</v>
      </c>
      <c r="Z173" s="28">
        <v>497108</v>
      </c>
      <c r="AA173" s="28">
        <v>3567778</v>
      </c>
      <c r="AB173" s="28">
        <v>263845</v>
      </c>
      <c r="AC173" s="40" t="s">
        <v>184</v>
      </c>
      <c r="AD173" s="41">
        <v>542</v>
      </c>
      <c r="AE173" s="42">
        <v>1</v>
      </c>
      <c r="AF173" s="40" t="s">
        <v>740</v>
      </c>
      <c r="AG173" s="68">
        <v>37163.589999999997</v>
      </c>
      <c r="AH173" s="42">
        <v>1</v>
      </c>
      <c r="AI173" s="40" t="s">
        <v>740</v>
      </c>
      <c r="AJ173" s="70">
        <v>200</v>
      </c>
      <c r="AK173" s="72">
        <f t="shared" si="12"/>
        <v>-37163.589999999997</v>
      </c>
      <c r="AL173" s="72">
        <f t="shared" si="13"/>
        <v>-200</v>
      </c>
      <c r="AM173">
        <v>-1</v>
      </c>
      <c r="AO173" s="102">
        <f t="shared" si="14"/>
        <v>643433</v>
      </c>
      <c r="AP173" s="103">
        <f t="shared" si="15"/>
        <v>235900</v>
      </c>
      <c r="AQ173" s="101">
        <f t="shared" si="16"/>
        <v>69818</v>
      </c>
      <c r="AR173" s="104">
        <f t="shared" si="17"/>
        <v>119949</v>
      </c>
    </row>
    <row r="174" spans="1:44">
      <c r="A174" s="14" t="s">
        <v>1249</v>
      </c>
      <c r="B174" s="15" t="s">
        <v>1250</v>
      </c>
      <c r="C174" s="14" t="s">
        <v>1220</v>
      </c>
      <c r="D174" s="14">
        <v>56</v>
      </c>
      <c r="E174" s="15" t="s">
        <v>739</v>
      </c>
      <c r="F174" s="15" t="s">
        <v>742</v>
      </c>
      <c r="G174" s="14" t="s">
        <v>743</v>
      </c>
      <c r="H174" s="14"/>
      <c r="I174" s="14"/>
      <c r="J174" s="16">
        <v>2620.75</v>
      </c>
      <c r="K174" s="66">
        <v>1847861</v>
      </c>
      <c r="L174" s="66">
        <v>1258962</v>
      </c>
      <c r="M174" s="28">
        <v>3106823</v>
      </c>
      <c r="N174" s="64">
        <v>16980372</v>
      </c>
      <c r="O174" s="64">
        <v>1835283</v>
      </c>
      <c r="P174" s="64">
        <v>338870</v>
      </c>
      <c r="Q174" s="28">
        <v>19154525</v>
      </c>
      <c r="R174" s="62">
        <v>542163</v>
      </c>
      <c r="S174" s="28">
        <v>22803511</v>
      </c>
      <c r="T174" s="81">
        <v>960816</v>
      </c>
      <c r="U174" s="81">
        <v>674201</v>
      </c>
      <c r="V174" s="81">
        <v>0</v>
      </c>
      <c r="W174" s="81">
        <v>762495</v>
      </c>
      <c r="X174" s="28">
        <v>25201023</v>
      </c>
      <c r="Y174" s="28">
        <v>2640766</v>
      </c>
      <c r="Z174" s="28">
        <v>2084935</v>
      </c>
      <c r="AA174" s="28">
        <v>19617204</v>
      </c>
      <c r="AB174" s="28">
        <v>858118</v>
      </c>
      <c r="AC174" s="40" t="s">
        <v>184</v>
      </c>
      <c r="AD174" s="41">
        <v>544</v>
      </c>
      <c r="AE174" s="42">
        <v>1</v>
      </c>
      <c r="AF174" s="40" t="s">
        <v>742</v>
      </c>
      <c r="AG174" s="68">
        <v>221967.92</v>
      </c>
      <c r="AH174" s="42">
        <v>1</v>
      </c>
      <c r="AI174" s="40" t="s">
        <v>742</v>
      </c>
      <c r="AJ174" s="70">
        <v>68677.45</v>
      </c>
      <c r="AK174" s="72">
        <f t="shared" si="12"/>
        <v>-221967.92</v>
      </c>
      <c r="AL174" s="72">
        <f t="shared" si="13"/>
        <v>-68677.45</v>
      </c>
      <c r="AM174">
        <v>-1</v>
      </c>
      <c r="AO174" s="102">
        <f t="shared" si="14"/>
        <v>792905</v>
      </c>
      <c r="AP174" s="103">
        <f t="shared" si="15"/>
        <v>825973</v>
      </c>
      <c r="AQ174" s="101">
        <f t="shared" si="16"/>
        <v>462679</v>
      </c>
      <c r="AR174" s="104">
        <f t="shared" si="17"/>
        <v>315955</v>
      </c>
    </row>
    <row r="175" spans="1:44">
      <c r="A175" s="14" t="s">
        <v>1249</v>
      </c>
      <c r="B175" s="15" t="s">
        <v>1250</v>
      </c>
      <c r="C175" s="14" t="s">
        <v>1220</v>
      </c>
      <c r="D175" s="14">
        <v>56</v>
      </c>
      <c r="E175" s="15" t="s">
        <v>739</v>
      </c>
      <c r="F175" s="15" t="s">
        <v>744</v>
      </c>
      <c r="G175" s="14" t="s">
        <v>745</v>
      </c>
      <c r="H175" s="14"/>
      <c r="I175" s="14"/>
      <c r="J175" s="16">
        <v>379.44</v>
      </c>
      <c r="K175" s="66">
        <v>482778</v>
      </c>
      <c r="L175" s="66">
        <v>263351</v>
      </c>
      <c r="M175" s="28">
        <v>746129</v>
      </c>
      <c r="N175" s="64">
        <v>2675488</v>
      </c>
      <c r="O175" s="64">
        <v>100639</v>
      </c>
      <c r="P175" s="64">
        <v>16580</v>
      </c>
      <c r="Q175" s="28">
        <v>2792707</v>
      </c>
      <c r="R175" s="62">
        <v>112924</v>
      </c>
      <c r="S175" s="28">
        <v>3651760</v>
      </c>
      <c r="T175" s="81">
        <v>159303</v>
      </c>
      <c r="U175" s="81">
        <v>97230</v>
      </c>
      <c r="V175" s="81">
        <v>0</v>
      </c>
      <c r="W175" s="81">
        <v>374136</v>
      </c>
      <c r="X175" s="28">
        <v>4282429</v>
      </c>
      <c r="Y175" s="28">
        <v>838573</v>
      </c>
      <c r="Z175" s="28">
        <v>381266</v>
      </c>
      <c r="AA175" s="28">
        <v>2865529</v>
      </c>
      <c r="AB175" s="28">
        <v>197061</v>
      </c>
      <c r="AC175" s="40" t="s">
        <v>184</v>
      </c>
      <c r="AD175" s="41">
        <v>545</v>
      </c>
      <c r="AE175" s="42">
        <v>1</v>
      </c>
      <c r="AF175" s="40" t="s">
        <v>744</v>
      </c>
      <c r="AG175" s="68">
        <v>33928.32</v>
      </c>
      <c r="AH175" s="42">
        <v>1</v>
      </c>
      <c r="AI175" s="40" t="s">
        <v>744</v>
      </c>
      <c r="AJ175" s="70">
        <v>0</v>
      </c>
      <c r="AK175" s="72">
        <f t="shared" si="12"/>
        <v>-33928.32</v>
      </c>
      <c r="AL175" s="72">
        <f t="shared" si="13"/>
        <v>0</v>
      </c>
      <c r="AM175">
        <v>-1</v>
      </c>
      <c r="AO175" s="102">
        <f t="shared" si="14"/>
        <v>355795</v>
      </c>
      <c r="AP175" s="103">
        <f t="shared" si="15"/>
        <v>117915</v>
      </c>
      <c r="AQ175" s="101">
        <f t="shared" si="16"/>
        <v>72822</v>
      </c>
      <c r="AR175" s="104">
        <f t="shared" si="17"/>
        <v>84137</v>
      </c>
    </row>
    <row r="176" spans="1:44">
      <c r="A176" s="14" t="s">
        <v>1249</v>
      </c>
      <c r="B176" s="15" t="s">
        <v>1250</v>
      </c>
      <c r="C176" s="14" t="s">
        <v>1220</v>
      </c>
      <c r="D176" s="14">
        <v>56</v>
      </c>
      <c r="E176" s="15" t="s">
        <v>739</v>
      </c>
      <c r="F176" s="15" t="s">
        <v>746</v>
      </c>
      <c r="G176" s="14" t="s">
        <v>747</v>
      </c>
      <c r="H176" s="14"/>
      <c r="I176" s="14"/>
      <c r="J176" s="16">
        <v>588.49</v>
      </c>
      <c r="K176" s="66">
        <v>230932</v>
      </c>
      <c r="L176" s="66">
        <v>293746</v>
      </c>
      <c r="M176" s="28">
        <v>524678</v>
      </c>
      <c r="N176" s="64">
        <v>4049780</v>
      </c>
      <c r="O176" s="64">
        <v>298876</v>
      </c>
      <c r="P176" s="64">
        <v>20168</v>
      </c>
      <c r="Q176" s="28">
        <v>4368824</v>
      </c>
      <c r="R176" s="62">
        <v>176281</v>
      </c>
      <c r="S176" s="28">
        <v>5069783</v>
      </c>
      <c r="T176" s="81">
        <v>219676</v>
      </c>
      <c r="U176" s="81">
        <v>84211</v>
      </c>
      <c r="V176" s="81">
        <v>17588</v>
      </c>
      <c r="W176" s="81">
        <v>310370</v>
      </c>
      <c r="X176" s="28">
        <v>5701627</v>
      </c>
      <c r="Y176" s="28">
        <v>534874</v>
      </c>
      <c r="Z176" s="28">
        <v>430518</v>
      </c>
      <c r="AA176" s="28">
        <v>4442214</v>
      </c>
      <c r="AB176" s="28">
        <v>294022</v>
      </c>
      <c r="AC176" s="40" t="s">
        <v>184</v>
      </c>
      <c r="AD176" s="41">
        <v>547</v>
      </c>
      <c r="AE176" s="42">
        <v>1</v>
      </c>
      <c r="AF176" s="40" t="s">
        <v>746</v>
      </c>
      <c r="AG176" s="68">
        <v>27149.65</v>
      </c>
      <c r="AH176" s="42">
        <v>1</v>
      </c>
      <c r="AI176" s="40" t="s">
        <v>746</v>
      </c>
      <c r="AJ176" s="70">
        <v>0</v>
      </c>
      <c r="AK176" s="72">
        <f t="shared" si="12"/>
        <v>-27149.65</v>
      </c>
      <c r="AL176" s="72">
        <f t="shared" si="13"/>
        <v>0</v>
      </c>
      <c r="AM176">
        <v>-1</v>
      </c>
      <c r="AO176" s="102">
        <f t="shared" si="14"/>
        <v>303942</v>
      </c>
      <c r="AP176" s="103">
        <f t="shared" si="15"/>
        <v>136772</v>
      </c>
      <c r="AQ176" s="101">
        <f t="shared" si="16"/>
        <v>73390</v>
      </c>
      <c r="AR176" s="104">
        <f t="shared" si="17"/>
        <v>117741</v>
      </c>
    </row>
    <row r="177" spans="1:44">
      <c r="A177" s="14" t="s">
        <v>1249</v>
      </c>
      <c r="B177" s="15" t="s">
        <v>1250</v>
      </c>
      <c r="C177" s="14" t="s">
        <v>1220</v>
      </c>
      <c r="D177" s="14">
        <v>56</v>
      </c>
      <c r="E177" s="15" t="s">
        <v>739</v>
      </c>
      <c r="F177" s="15" t="s">
        <v>748</v>
      </c>
      <c r="G177" s="14" t="s">
        <v>749</v>
      </c>
      <c r="H177" s="14"/>
      <c r="I177" s="14"/>
      <c r="J177" s="16">
        <v>1048.5</v>
      </c>
      <c r="K177" s="66">
        <v>573373</v>
      </c>
      <c r="L177" s="66">
        <v>352145</v>
      </c>
      <c r="M177" s="28">
        <v>925518</v>
      </c>
      <c r="N177" s="64">
        <v>7041315</v>
      </c>
      <c r="O177" s="64">
        <v>246387</v>
      </c>
      <c r="P177" s="64">
        <v>165655</v>
      </c>
      <c r="Q177" s="28">
        <v>7453357</v>
      </c>
      <c r="R177" s="62">
        <v>316853</v>
      </c>
      <c r="S177" s="28">
        <v>8695728</v>
      </c>
      <c r="T177" s="81">
        <v>417648</v>
      </c>
      <c r="U177" s="81">
        <v>172364</v>
      </c>
      <c r="V177" s="81">
        <v>0</v>
      </c>
      <c r="W177" s="81">
        <v>0</v>
      </c>
      <c r="X177" s="28">
        <v>9285740</v>
      </c>
      <c r="Y177" s="28">
        <v>650047</v>
      </c>
      <c r="Z177" s="28">
        <v>563004</v>
      </c>
      <c r="AA177" s="28">
        <v>7510242</v>
      </c>
      <c r="AB177" s="28">
        <v>562446</v>
      </c>
      <c r="AC177" s="40" t="s">
        <v>184</v>
      </c>
      <c r="AD177" s="41">
        <v>548</v>
      </c>
      <c r="AE177" s="42">
        <v>1</v>
      </c>
      <c r="AF177" s="40" t="s">
        <v>748</v>
      </c>
      <c r="AG177" s="68">
        <v>106411.34</v>
      </c>
      <c r="AH177" s="42">
        <v>1</v>
      </c>
      <c r="AI177" s="40" t="s">
        <v>748</v>
      </c>
      <c r="AJ177" s="70">
        <v>0</v>
      </c>
      <c r="AK177" s="72">
        <f t="shared" si="12"/>
        <v>-106411.34</v>
      </c>
      <c r="AL177" s="72">
        <f t="shared" si="13"/>
        <v>0</v>
      </c>
      <c r="AM177">
        <v>-1</v>
      </c>
      <c r="AO177" s="102">
        <f t="shared" si="14"/>
        <v>76674</v>
      </c>
      <c r="AP177" s="103">
        <f t="shared" si="15"/>
        <v>210859</v>
      </c>
      <c r="AQ177" s="101">
        <f t="shared" si="16"/>
        <v>56885</v>
      </c>
      <c r="AR177" s="104">
        <f t="shared" si="17"/>
        <v>245593</v>
      </c>
    </row>
    <row r="178" spans="1:44">
      <c r="A178" s="14" t="s">
        <v>1249</v>
      </c>
      <c r="B178" s="15" t="s">
        <v>1250</v>
      </c>
      <c r="C178" s="14" t="s">
        <v>1220</v>
      </c>
      <c r="D178" s="14">
        <v>56</v>
      </c>
      <c r="E178" s="15" t="s">
        <v>739</v>
      </c>
      <c r="F178" s="15" t="s">
        <v>750</v>
      </c>
      <c r="G178" s="14" t="s">
        <v>751</v>
      </c>
      <c r="H178" s="14"/>
      <c r="I178" s="14"/>
      <c r="J178" s="16">
        <v>1566.84</v>
      </c>
      <c r="K178" s="66">
        <v>972091</v>
      </c>
      <c r="L178" s="66">
        <v>734694</v>
      </c>
      <c r="M178" s="28">
        <v>1706785</v>
      </c>
      <c r="N178" s="64">
        <v>10091694</v>
      </c>
      <c r="O178" s="64">
        <v>1015393</v>
      </c>
      <c r="P178" s="64">
        <v>191409</v>
      </c>
      <c r="Q178" s="28">
        <v>11298496</v>
      </c>
      <c r="R178" s="62">
        <v>321818</v>
      </c>
      <c r="S178" s="28">
        <v>13327099</v>
      </c>
      <c r="T178" s="81">
        <v>718821</v>
      </c>
      <c r="U178" s="81">
        <v>342291</v>
      </c>
      <c r="V178" s="81">
        <v>0</v>
      </c>
      <c r="W178" s="81">
        <v>1084342</v>
      </c>
      <c r="X178" s="28">
        <v>15472550</v>
      </c>
      <c r="Y178" s="28">
        <v>2055348</v>
      </c>
      <c r="Z178" s="28">
        <v>1273601</v>
      </c>
      <c r="AA178" s="28">
        <v>11485931</v>
      </c>
      <c r="AB178" s="28">
        <v>657670</v>
      </c>
      <c r="AC178" s="40" t="s">
        <v>184</v>
      </c>
      <c r="AD178" s="41">
        <v>549</v>
      </c>
      <c r="AE178" s="42">
        <v>1</v>
      </c>
      <c r="AF178" s="40" t="s">
        <v>750</v>
      </c>
      <c r="AG178" s="68">
        <v>107514.88</v>
      </c>
      <c r="AH178" s="42">
        <v>1</v>
      </c>
      <c r="AI178" s="40" t="s">
        <v>750</v>
      </c>
      <c r="AJ178" s="70">
        <v>0</v>
      </c>
      <c r="AK178" s="72">
        <f t="shared" si="12"/>
        <v>-107514.88</v>
      </c>
      <c r="AL178" s="72">
        <f t="shared" si="13"/>
        <v>0</v>
      </c>
      <c r="AM178">
        <v>-1</v>
      </c>
      <c r="AO178" s="102">
        <f t="shared" si="14"/>
        <v>1083257</v>
      </c>
      <c r="AP178" s="103">
        <f t="shared" si="15"/>
        <v>538907</v>
      </c>
      <c r="AQ178" s="101">
        <f t="shared" si="16"/>
        <v>187435</v>
      </c>
      <c r="AR178" s="104">
        <f t="shared" si="17"/>
        <v>335852</v>
      </c>
    </row>
    <row r="179" spans="1:44">
      <c r="A179" s="14" t="s">
        <v>1249</v>
      </c>
      <c r="B179" s="15" t="s">
        <v>1250</v>
      </c>
      <c r="C179" s="14" t="s">
        <v>1220</v>
      </c>
      <c r="D179" s="14">
        <v>56</v>
      </c>
      <c r="E179" s="15" t="s">
        <v>739</v>
      </c>
      <c r="F179" s="15" t="s">
        <v>752</v>
      </c>
      <c r="G179" s="14" t="s">
        <v>753</v>
      </c>
      <c r="H179" s="14"/>
      <c r="I179" s="14"/>
      <c r="J179" s="16">
        <v>516.59</v>
      </c>
      <c r="K179" s="66">
        <v>168425</v>
      </c>
      <c r="L179" s="66">
        <v>191387</v>
      </c>
      <c r="M179" s="28">
        <v>359812</v>
      </c>
      <c r="N179" s="64">
        <v>3379103</v>
      </c>
      <c r="O179" s="64">
        <v>121186</v>
      </c>
      <c r="P179" s="64">
        <v>39713</v>
      </c>
      <c r="Q179" s="28">
        <v>3540002</v>
      </c>
      <c r="R179" s="62">
        <v>102986</v>
      </c>
      <c r="S179" s="28">
        <v>4002800</v>
      </c>
      <c r="T179" s="81">
        <v>234345</v>
      </c>
      <c r="U179" s="81">
        <v>82092</v>
      </c>
      <c r="V179" s="81">
        <v>731</v>
      </c>
      <c r="W179" s="81">
        <v>567755</v>
      </c>
      <c r="X179" s="28">
        <v>4887723</v>
      </c>
      <c r="Y179" s="28">
        <v>681216</v>
      </c>
      <c r="Z179" s="28">
        <v>338017</v>
      </c>
      <c r="AA179" s="28">
        <v>3645987</v>
      </c>
      <c r="AB179" s="28">
        <v>222504</v>
      </c>
      <c r="AC179" s="40" t="s">
        <v>184</v>
      </c>
      <c r="AD179" s="41">
        <v>550</v>
      </c>
      <c r="AE179" s="42">
        <v>1</v>
      </c>
      <c r="AF179" s="40" t="s">
        <v>752</v>
      </c>
      <c r="AG179" s="68">
        <v>33253.96</v>
      </c>
      <c r="AH179" s="42">
        <v>1</v>
      </c>
      <c r="AI179" s="40" t="s">
        <v>752</v>
      </c>
      <c r="AJ179" s="70">
        <v>0</v>
      </c>
      <c r="AK179" s="72">
        <f t="shared" si="12"/>
        <v>-33253.96</v>
      </c>
      <c r="AL179" s="72">
        <f t="shared" si="13"/>
        <v>0</v>
      </c>
      <c r="AM179">
        <v>-1</v>
      </c>
      <c r="AO179" s="102">
        <f t="shared" si="14"/>
        <v>512791</v>
      </c>
      <c r="AP179" s="103">
        <f t="shared" si="15"/>
        <v>146630</v>
      </c>
      <c r="AQ179" s="101">
        <f t="shared" si="16"/>
        <v>105985</v>
      </c>
      <c r="AR179" s="104">
        <f t="shared" si="17"/>
        <v>119518</v>
      </c>
    </row>
    <row r="180" spans="1:44">
      <c r="A180" s="14" t="s">
        <v>1249</v>
      </c>
      <c r="B180" s="15" t="s">
        <v>1250</v>
      </c>
      <c r="C180" s="14" t="s">
        <v>1220</v>
      </c>
      <c r="D180" s="14">
        <v>56</v>
      </c>
      <c r="E180" s="15" t="s">
        <v>739</v>
      </c>
      <c r="F180" s="15" t="s">
        <v>754</v>
      </c>
      <c r="G180" s="14" t="s">
        <v>755</v>
      </c>
      <c r="H180" s="14"/>
      <c r="I180" s="14"/>
      <c r="J180" s="16">
        <v>751.24</v>
      </c>
      <c r="K180" s="66">
        <v>195046</v>
      </c>
      <c r="L180" s="66">
        <v>391887</v>
      </c>
      <c r="M180" s="28">
        <v>586933</v>
      </c>
      <c r="N180" s="64">
        <v>5065631</v>
      </c>
      <c r="O180" s="64">
        <v>298275</v>
      </c>
      <c r="P180" s="64">
        <v>26667</v>
      </c>
      <c r="Q180" s="28">
        <v>5390573</v>
      </c>
      <c r="R180" s="62">
        <v>219331</v>
      </c>
      <c r="S180" s="28">
        <v>6196837</v>
      </c>
      <c r="T180" s="81">
        <v>336648</v>
      </c>
      <c r="U180" s="81">
        <v>143028</v>
      </c>
      <c r="V180" s="81">
        <v>0</v>
      </c>
      <c r="W180" s="81">
        <v>661428</v>
      </c>
      <c r="X180" s="28">
        <v>7337942</v>
      </c>
      <c r="Y180" s="28">
        <v>729546</v>
      </c>
      <c r="Z180" s="28">
        <v>599594</v>
      </c>
      <c r="AA180" s="28">
        <v>5609867</v>
      </c>
      <c r="AB180" s="28">
        <v>398935</v>
      </c>
      <c r="AC180" s="40" t="s">
        <v>184</v>
      </c>
      <c r="AD180" s="41">
        <v>553</v>
      </c>
      <c r="AE180" s="42">
        <v>1</v>
      </c>
      <c r="AF180" s="40" t="s">
        <v>754</v>
      </c>
      <c r="AG180" s="68">
        <v>38837.339999999997</v>
      </c>
      <c r="AH180" s="42">
        <v>1</v>
      </c>
      <c r="AI180" s="40" t="s">
        <v>754</v>
      </c>
      <c r="AJ180" s="70">
        <v>7497.91</v>
      </c>
      <c r="AK180" s="72">
        <f t="shared" si="12"/>
        <v>-38837.339999999997</v>
      </c>
      <c r="AL180" s="72">
        <f t="shared" si="13"/>
        <v>-7497.91</v>
      </c>
      <c r="AM180">
        <v>-1</v>
      </c>
      <c r="AO180" s="102">
        <f t="shared" si="14"/>
        <v>534500</v>
      </c>
      <c r="AP180" s="103">
        <f t="shared" si="15"/>
        <v>207707</v>
      </c>
      <c r="AQ180" s="101">
        <f t="shared" si="16"/>
        <v>219294</v>
      </c>
      <c r="AR180" s="104">
        <f t="shared" si="17"/>
        <v>179604</v>
      </c>
    </row>
    <row r="181" spans="1:44">
      <c r="A181" s="14" t="s">
        <v>961</v>
      </c>
      <c r="B181" s="15" t="s">
        <v>962</v>
      </c>
      <c r="C181" s="14" t="s">
        <v>1220</v>
      </c>
      <c r="D181" s="14">
        <v>57</v>
      </c>
      <c r="E181" s="15" t="s">
        <v>756</v>
      </c>
      <c r="F181" s="15" t="s">
        <v>757</v>
      </c>
      <c r="G181" s="14" t="s">
        <v>758</v>
      </c>
      <c r="H181" s="14"/>
      <c r="I181" s="14"/>
      <c r="J181" s="16">
        <v>193.3</v>
      </c>
      <c r="K181" s="66">
        <v>92464</v>
      </c>
      <c r="L181" s="66">
        <v>206141</v>
      </c>
      <c r="M181" s="28">
        <v>298605</v>
      </c>
      <c r="N181" s="64">
        <v>2031651</v>
      </c>
      <c r="O181" s="64">
        <v>111098</v>
      </c>
      <c r="P181" s="64">
        <v>21407</v>
      </c>
      <c r="Q181" s="28">
        <v>2164156</v>
      </c>
      <c r="R181" s="62">
        <v>101276</v>
      </c>
      <c r="S181" s="28">
        <v>2564037</v>
      </c>
      <c r="T181" s="81">
        <v>95438</v>
      </c>
      <c r="U181" s="81">
        <v>28515</v>
      </c>
      <c r="V181" s="81">
        <v>0</v>
      </c>
      <c r="W181" s="81">
        <v>0</v>
      </c>
      <c r="X181" s="28">
        <v>2687990</v>
      </c>
      <c r="Y181" s="28">
        <v>93543</v>
      </c>
      <c r="Z181" s="28">
        <v>242704</v>
      </c>
      <c r="AA181" s="28">
        <v>2193909</v>
      </c>
      <c r="AB181" s="28">
        <v>157835</v>
      </c>
      <c r="AC181" s="40" t="s">
        <v>184</v>
      </c>
      <c r="AD181" s="41">
        <v>561</v>
      </c>
      <c r="AE181" s="42">
        <v>1</v>
      </c>
      <c r="AF181" s="40" t="s">
        <v>757</v>
      </c>
      <c r="AG181" s="68">
        <v>19980.580000000002</v>
      </c>
      <c r="AH181" s="42">
        <v>1</v>
      </c>
      <c r="AI181" s="40" t="s">
        <v>757</v>
      </c>
      <c r="AJ181" s="70">
        <v>0</v>
      </c>
      <c r="AK181" s="72">
        <f t="shared" si="12"/>
        <v>-19980.580000000002</v>
      </c>
      <c r="AL181" s="72">
        <f t="shared" si="13"/>
        <v>0</v>
      </c>
      <c r="AM181">
        <v>-1</v>
      </c>
      <c r="AO181" s="102">
        <f t="shared" si="14"/>
        <v>1079</v>
      </c>
      <c r="AP181" s="103">
        <f t="shared" si="15"/>
        <v>36563</v>
      </c>
      <c r="AQ181" s="101">
        <f t="shared" si="16"/>
        <v>29753</v>
      </c>
      <c r="AR181" s="104">
        <f t="shared" si="17"/>
        <v>56559</v>
      </c>
    </row>
    <row r="182" spans="1:44">
      <c r="A182" s="14" t="s">
        <v>961</v>
      </c>
      <c r="B182" s="15" t="s">
        <v>962</v>
      </c>
      <c r="C182" s="14" t="s">
        <v>1220</v>
      </c>
      <c r="D182" s="14">
        <v>57</v>
      </c>
      <c r="E182" s="15" t="s">
        <v>756</v>
      </c>
      <c r="F182" s="15" t="s">
        <v>759</v>
      </c>
      <c r="G182" s="14" t="s">
        <v>760</v>
      </c>
      <c r="H182" s="14"/>
      <c r="I182" s="14"/>
      <c r="J182" s="16">
        <v>2037.94</v>
      </c>
      <c r="K182" s="66">
        <v>1181629</v>
      </c>
      <c r="L182" s="66">
        <v>907974</v>
      </c>
      <c r="M182" s="28">
        <v>2089603</v>
      </c>
      <c r="N182" s="64">
        <v>14196715</v>
      </c>
      <c r="O182" s="64">
        <v>874899</v>
      </c>
      <c r="P182" s="64">
        <v>204223</v>
      </c>
      <c r="Q182" s="28">
        <v>15275837</v>
      </c>
      <c r="R182" s="62">
        <v>907009</v>
      </c>
      <c r="S182" s="28">
        <v>18272449</v>
      </c>
      <c r="T182" s="81">
        <v>843581</v>
      </c>
      <c r="U182" s="81">
        <v>518201</v>
      </c>
      <c r="V182" s="81">
        <v>0</v>
      </c>
      <c r="W182" s="81">
        <v>1644864</v>
      </c>
      <c r="X182" s="28">
        <v>21279094</v>
      </c>
      <c r="Y182" s="28">
        <v>2493066</v>
      </c>
      <c r="Z182" s="28">
        <v>1745379</v>
      </c>
      <c r="AA182" s="28">
        <v>15828507</v>
      </c>
      <c r="AB182" s="28">
        <v>1212142</v>
      </c>
      <c r="AC182" s="40" t="s">
        <v>184</v>
      </c>
      <c r="AD182" s="41">
        <v>564</v>
      </c>
      <c r="AE182" s="42">
        <v>1</v>
      </c>
      <c r="AF182" s="40" t="s">
        <v>759</v>
      </c>
      <c r="AG182" s="68">
        <v>219182.05</v>
      </c>
      <c r="AH182" s="42">
        <v>1</v>
      </c>
      <c r="AI182" s="40" t="s">
        <v>759</v>
      </c>
      <c r="AJ182" s="70">
        <v>24912.13</v>
      </c>
      <c r="AK182" s="72">
        <f t="shared" si="12"/>
        <v>-219182.05</v>
      </c>
      <c r="AL182" s="72">
        <f t="shared" si="13"/>
        <v>-24912.13</v>
      </c>
      <c r="AM182">
        <v>-1</v>
      </c>
      <c r="AO182" s="102">
        <f t="shared" si="14"/>
        <v>1311437</v>
      </c>
      <c r="AP182" s="103">
        <f t="shared" si="15"/>
        <v>837405</v>
      </c>
      <c r="AQ182" s="101">
        <f t="shared" si="16"/>
        <v>552670</v>
      </c>
      <c r="AR182" s="104">
        <f t="shared" si="17"/>
        <v>305133</v>
      </c>
    </row>
    <row r="183" spans="1:44">
      <c r="A183" s="14" t="s">
        <v>1146</v>
      </c>
      <c r="B183" s="15" t="s">
        <v>1147</v>
      </c>
      <c r="C183" s="14" t="s">
        <v>1220</v>
      </c>
      <c r="D183" s="14">
        <v>58</v>
      </c>
      <c r="E183" s="15" t="s">
        <v>761</v>
      </c>
      <c r="F183" s="15" t="s">
        <v>762</v>
      </c>
      <c r="G183" s="14" t="s">
        <v>763</v>
      </c>
      <c r="H183" s="14"/>
      <c r="I183" s="14"/>
      <c r="J183" s="16">
        <v>446.12</v>
      </c>
      <c r="K183" s="66">
        <v>200257</v>
      </c>
      <c r="L183" s="66">
        <v>185774</v>
      </c>
      <c r="M183" s="28">
        <v>386031</v>
      </c>
      <c r="N183" s="64">
        <v>3262125</v>
      </c>
      <c r="O183" s="64">
        <v>247558</v>
      </c>
      <c r="P183" s="64">
        <v>-4130</v>
      </c>
      <c r="Q183" s="28">
        <v>3505553</v>
      </c>
      <c r="R183" s="62">
        <v>294319</v>
      </c>
      <c r="S183" s="28">
        <v>4185903</v>
      </c>
      <c r="T183" s="81">
        <v>182443</v>
      </c>
      <c r="U183" s="81">
        <v>73862</v>
      </c>
      <c r="V183" s="81">
        <v>0</v>
      </c>
      <c r="W183" s="81">
        <v>681310</v>
      </c>
      <c r="X183" s="28">
        <v>5123519</v>
      </c>
      <c r="Y183" s="28">
        <v>764882</v>
      </c>
      <c r="Z183" s="28">
        <v>355617</v>
      </c>
      <c r="AA183" s="28">
        <v>3596235</v>
      </c>
      <c r="AB183" s="28">
        <v>406784</v>
      </c>
      <c r="AC183" s="40" t="s">
        <v>184</v>
      </c>
      <c r="AD183" s="41">
        <v>577</v>
      </c>
      <c r="AE183" s="42">
        <v>1</v>
      </c>
      <c r="AF183" s="40" t="s">
        <v>762</v>
      </c>
      <c r="AG183" s="68">
        <v>27173.599999999999</v>
      </c>
      <c r="AH183" s="42">
        <v>1</v>
      </c>
      <c r="AI183" s="40" t="s">
        <v>762</v>
      </c>
      <c r="AJ183" s="70">
        <v>3000</v>
      </c>
      <c r="AK183" s="72">
        <f t="shared" si="12"/>
        <v>-27173.599999999999</v>
      </c>
      <c r="AL183" s="72">
        <f t="shared" si="13"/>
        <v>-3000</v>
      </c>
      <c r="AM183">
        <v>-1</v>
      </c>
      <c r="AO183" s="102">
        <f t="shared" si="14"/>
        <v>564625</v>
      </c>
      <c r="AP183" s="103">
        <f t="shared" si="15"/>
        <v>169843</v>
      </c>
      <c r="AQ183" s="101">
        <f t="shared" si="16"/>
        <v>90682</v>
      </c>
      <c r="AR183" s="104">
        <f t="shared" si="17"/>
        <v>112465</v>
      </c>
    </row>
    <row r="184" spans="1:44">
      <c r="A184" s="14" t="s">
        <v>1146</v>
      </c>
      <c r="B184" s="15" t="s">
        <v>1147</v>
      </c>
      <c r="C184" s="14" t="s">
        <v>1220</v>
      </c>
      <c r="D184" s="14">
        <v>58</v>
      </c>
      <c r="E184" s="15" t="s">
        <v>761</v>
      </c>
      <c r="F184" s="15" t="s">
        <v>764</v>
      </c>
      <c r="G184" s="14" t="s">
        <v>765</v>
      </c>
      <c r="H184" s="14"/>
      <c r="I184" s="14"/>
      <c r="J184" s="16">
        <v>1655.07</v>
      </c>
      <c r="K184" s="66">
        <v>1653110</v>
      </c>
      <c r="L184" s="66">
        <v>795155</v>
      </c>
      <c r="M184" s="28">
        <v>2448265</v>
      </c>
      <c r="N184" s="64">
        <v>10869712</v>
      </c>
      <c r="O184" s="64">
        <v>1049549</v>
      </c>
      <c r="P184" s="64">
        <v>105686</v>
      </c>
      <c r="Q184" s="28">
        <v>12024947</v>
      </c>
      <c r="R184" s="62">
        <v>431429</v>
      </c>
      <c r="S184" s="28">
        <v>14904641</v>
      </c>
      <c r="T184" s="81">
        <v>693305</v>
      </c>
      <c r="U184" s="81">
        <v>283272</v>
      </c>
      <c r="V184" s="81">
        <v>0</v>
      </c>
      <c r="W184" s="81">
        <v>293094</v>
      </c>
      <c r="X184" s="28">
        <v>16174313</v>
      </c>
      <c r="Y184" s="28">
        <v>1970622</v>
      </c>
      <c r="Z184" s="28">
        <v>1287920</v>
      </c>
      <c r="AA184" s="28">
        <v>12179504</v>
      </c>
      <c r="AB184" s="28">
        <v>736267</v>
      </c>
      <c r="AC184" s="40" t="s">
        <v>184</v>
      </c>
      <c r="AD184" s="41">
        <v>578</v>
      </c>
      <c r="AE184" s="42">
        <v>1</v>
      </c>
      <c r="AF184" s="40" t="s">
        <v>764</v>
      </c>
      <c r="AG184" s="68">
        <v>101607.2</v>
      </c>
      <c r="AH184" s="42">
        <v>1</v>
      </c>
      <c r="AI184" s="40" t="s">
        <v>764</v>
      </c>
      <c r="AJ184" s="70">
        <v>36091.49</v>
      </c>
      <c r="AK184" s="72">
        <f t="shared" si="12"/>
        <v>-101607.2</v>
      </c>
      <c r="AL184" s="72">
        <f t="shared" si="13"/>
        <v>-36091.49</v>
      </c>
      <c r="AM184">
        <v>-1</v>
      </c>
      <c r="AO184" s="102">
        <f t="shared" si="14"/>
        <v>317512</v>
      </c>
      <c r="AP184" s="103">
        <f t="shared" si="15"/>
        <v>492765</v>
      </c>
      <c r="AQ184" s="101">
        <f t="shared" si="16"/>
        <v>154557</v>
      </c>
      <c r="AR184" s="104">
        <f t="shared" si="17"/>
        <v>304838</v>
      </c>
    </row>
    <row r="185" spans="1:44">
      <c r="A185" s="14" t="s">
        <v>1166</v>
      </c>
      <c r="B185" s="15" t="s">
        <v>1167</v>
      </c>
      <c r="C185" s="14" t="s">
        <v>1220</v>
      </c>
      <c r="D185" s="14">
        <v>59</v>
      </c>
      <c r="E185" s="15" t="s">
        <v>766</v>
      </c>
      <c r="F185" s="15" t="s">
        <v>767</v>
      </c>
      <c r="G185" s="14" t="s">
        <v>768</v>
      </c>
      <c r="H185" s="14"/>
      <c r="I185" s="14"/>
      <c r="J185" s="16">
        <v>295.35000000000002</v>
      </c>
      <c r="K185" s="66">
        <v>300625</v>
      </c>
      <c r="L185" s="66">
        <v>92701</v>
      </c>
      <c r="M185" s="28">
        <v>393326</v>
      </c>
      <c r="N185" s="64">
        <v>2112751</v>
      </c>
      <c r="O185" s="64">
        <v>204292</v>
      </c>
      <c r="P185" s="64">
        <v>120092</v>
      </c>
      <c r="Q185" s="28">
        <v>2437135</v>
      </c>
      <c r="R185" s="62">
        <v>137215</v>
      </c>
      <c r="S185" s="28">
        <v>2967676</v>
      </c>
      <c r="T185" s="81">
        <v>133831</v>
      </c>
      <c r="U185" s="81">
        <v>109858</v>
      </c>
      <c r="V185" s="81">
        <v>6403</v>
      </c>
      <c r="W185" s="81">
        <v>53</v>
      </c>
      <c r="X185" s="28">
        <v>3217822</v>
      </c>
      <c r="Y185" s="28">
        <v>319484</v>
      </c>
      <c r="Z185" s="28">
        <v>188982</v>
      </c>
      <c r="AA185" s="28">
        <v>2512907</v>
      </c>
      <c r="AB185" s="28">
        <v>196449</v>
      </c>
      <c r="AC185" s="40" t="s">
        <v>184</v>
      </c>
      <c r="AD185" s="41">
        <v>581</v>
      </c>
      <c r="AE185" s="42">
        <v>1</v>
      </c>
      <c r="AF185" s="40" t="s">
        <v>767</v>
      </c>
      <c r="AG185" s="68">
        <v>33993.33</v>
      </c>
      <c r="AH185" s="42">
        <v>1</v>
      </c>
      <c r="AI185" s="40" t="s">
        <v>767</v>
      </c>
      <c r="AJ185" s="70">
        <v>0</v>
      </c>
      <c r="AK185" s="72">
        <f t="shared" si="12"/>
        <v>-33993.33</v>
      </c>
      <c r="AL185" s="72">
        <f t="shared" si="13"/>
        <v>0</v>
      </c>
      <c r="AM185">
        <v>-1</v>
      </c>
      <c r="AO185" s="102">
        <f t="shared" si="14"/>
        <v>18859</v>
      </c>
      <c r="AP185" s="103">
        <f t="shared" si="15"/>
        <v>96281</v>
      </c>
      <c r="AQ185" s="101">
        <f t="shared" si="16"/>
        <v>75772</v>
      </c>
      <c r="AR185" s="104">
        <f t="shared" si="17"/>
        <v>59234</v>
      </c>
    </row>
    <row r="186" spans="1:44">
      <c r="A186" s="14" t="s">
        <v>961</v>
      </c>
      <c r="B186" s="15" t="s">
        <v>962</v>
      </c>
      <c r="C186" s="14" t="s">
        <v>1220</v>
      </c>
      <c r="D186" s="14">
        <v>60</v>
      </c>
      <c r="E186" s="15" t="s">
        <v>769</v>
      </c>
      <c r="F186" s="15" t="s">
        <v>770</v>
      </c>
      <c r="G186" s="14" t="s">
        <v>771</v>
      </c>
      <c r="H186" s="14"/>
      <c r="I186" s="14"/>
      <c r="J186" s="16">
        <v>136.07</v>
      </c>
      <c r="K186" s="66">
        <v>161208</v>
      </c>
      <c r="L186" s="66">
        <v>209533</v>
      </c>
      <c r="M186" s="28">
        <v>370741</v>
      </c>
      <c r="N186" s="64">
        <v>1233222</v>
      </c>
      <c r="O186" s="64">
        <v>124442</v>
      </c>
      <c r="P186" s="64">
        <v>6411</v>
      </c>
      <c r="Q186" s="28">
        <v>1364075</v>
      </c>
      <c r="R186" s="62">
        <v>91593</v>
      </c>
      <c r="S186" s="28">
        <v>1826409</v>
      </c>
      <c r="T186" s="81">
        <v>69609</v>
      </c>
      <c r="U186" s="81">
        <v>24171</v>
      </c>
      <c r="V186" s="81">
        <v>0</v>
      </c>
      <c r="W186" s="81">
        <v>0</v>
      </c>
      <c r="X186" s="28">
        <v>1920188</v>
      </c>
      <c r="Y186" s="28">
        <v>167296</v>
      </c>
      <c r="Z186" s="28">
        <v>231482</v>
      </c>
      <c r="AA186" s="28">
        <v>1386233</v>
      </c>
      <c r="AB186" s="28">
        <v>135177</v>
      </c>
      <c r="AC186" s="40" t="s">
        <v>184</v>
      </c>
      <c r="AD186" s="41">
        <v>592</v>
      </c>
      <c r="AE186" s="42">
        <v>1</v>
      </c>
      <c r="AF186" s="40" t="s">
        <v>770</v>
      </c>
      <c r="AG186" s="68">
        <v>18515.05</v>
      </c>
      <c r="AH186" s="42">
        <v>1</v>
      </c>
      <c r="AI186" s="40" t="s">
        <v>770</v>
      </c>
      <c r="AJ186" s="70">
        <v>0</v>
      </c>
      <c r="AK186" s="72">
        <f t="shared" si="12"/>
        <v>-18515.05</v>
      </c>
      <c r="AL186" s="72">
        <f t="shared" si="13"/>
        <v>0</v>
      </c>
      <c r="AM186">
        <v>-1</v>
      </c>
      <c r="AO186" s="102">
        <f t="shared" si="14"/>
        <v>6088</v>
      </c>
      <c r="AP186" s="103">
        <f t="shared" si="15"/>
        <v>21949</v>
      </c>
      <c r="AQ186" s="101">
        <f t="shared" si="16"/>
        <v>22158</v>
      </c>
      <c r="AR186" s="104">
        <f t="shared" si="17"/>
        <v>43584</v>
      </c>
    </row>
    <row r="187" spans="1:44">
      <c r="A187" s="14" t="s">
        <v>961</v>
      </c>
      <c r="B187" s="15" t="s">
        <v>962</v>
      </c>
      <c r="C187" s="14" t="s">
        <v>1220</v>
      </c>
      <c r="D187" s="14">
        <v>60</v>
      </c>
      <c r="E187" s="15" t="s">
        <v>769</v>
      </c>
      <c r="F187" s="15" t="s">
        <v>772</v>
      </c>
      <c r="G187" s="14" t="s">
        <v>773</v>
      </c>
      <c r="H187" s="14"/>
      <c r="I187" s="14"/>
      <c r="J187" s="16">
        <v>1375.02</v>
      </c>
      <c r="K187" s="66">
        <v>446539</v>
      </c>
      <c r="L187" s="66">
        <v>711119</v>
      </c>
      <c r="M187" s="28">
        <v>1157658</v>
      </c>
      <c r="N187" s="64">
        <v>9918753</v>
      </c>
      <c r="O187" s="64">
        <v>1095877</v>
      </c>
      <c r="P187" s="64">
        <v>95073</v>
      </c>
      <c r="Q187" s="28">
        <v>11109703</v>
      </c>
      <c r="R187" s="62">
        <v>1197883</v>
      </c>
      <c r="S187" s="28">
        <v>13465244</v>
      </c>
      <c r="T187" s="81">
        <v>690769</v>
      </c>
      <c r="U187" s="81">
        <v>569975</v>
      </c>
      <c r="V187" s="81">
        <v>0</v>
      </c>
      <c r="W187" s="81">
        <v>1383577</v>
      </c>
      <c r="X187" s="28">
        <v>16109564</v>
      </c>
      <c r="Y187" s="28">
        <v>1710950</v>
      </c>
      <c r="Z187" s="28">
        <v>1382454</v>
      </c>
      <c r="AA187" s="28">
        <v>11538091</v>
      </c>
      <c r="AB187" s="28">
        <v>1478069</v>
      </c>
      <c r="AC187" s="40" t="s">
        <v>184</v>
      </c>
      <c r="AD187" s="41">
        <v>593</v>
      </c>
      <c r="AE187" s="42">
        <v>1</v>
      </c>
      <c r="AF187" s="40" t="s">
        <v>772</v>
      </c>
      <c r="AG187" s="68">
        <v>114384.35</v>
      </c>
      <c r="AH187" s="42">
        <v>1</v>
      </c>
      <c r="AI187" s="40" t="s">
        <v>772</v>
      </c>
      <c r="AJ187" s="70">
        <v>0</v>
      </c>
      <c r="AK187" s="72">
        <f t="shared" si="12"/>
        <v>-114384.35</v>
      </c>
      <c r="AL187" s="72">
        <f t="shared" si="13"/>
        <v>0</v>
      </c>
      <c r="AM187">
        <v>-1</v>
      </c>
      <c r="AO187" s="102">
        <f t="shared" si="14"/>
        <v>1264411</v>
      </c>
      <c r="AP187" s="103">
        <f t="shared" si="15"/>
        <v>671335</v>
      </c>
      <c r="AQ187" s="101">
        <f t="shared" si="16"/>
        <v>428388</v>
      </c>
      <c r="AR187" s="104">
        <f t="shared" si="17"/>
        <v>280186</v>
      </c>
    </row>
    <row r="188" spans="1:44">
      <c r="A188" s="14" t="s">
        <v>961</v>
      </c>
      <c r="B188" s="15" t="s">
        <v>962</v>
      </c>
      <c r="C188" s="14" t="s">
        <v>1220</v>
      </c>
      <c r="D188" s="14">
        <v>60</v>
      </c>
      <c r="E188" s="15" t="s">
        <v>769</v>
      </c>
      <c r="F188" s="15" t="s">
        <v>774</v>
      </c>
      <c r="G188" s="14" t="s">
        <v>775</v>
      </c>
      <c r="H188" s="14"/>
      <c r="I188" s="14"/>
      <c r="J188" s="16">
        <v>1748.44</v>
      </c>
      <c r="K188" s="66">
        <v>664121</v>
      </c>
      <c r="L188" s="66">
        <v>638051</v>
      </c>
      <c r="M188" s="28">
        <v>1302172</v>
      </c>
      <c r="N188" s="64">
        <v>11233151</v>
      </c>
      <c r="O188" s="64">
        <v>1043868</v>
      </c>
      <c r="P188" s="64">
        <v>266365</v>
      </c>
      <c r="Q188" s="28">
        <v>12543384</v>
      </c>
      <c r="R188" s="62">
        <v>475977</v>
      </c>
      <c r="S188" s="28">
        <v>14321533</v>
      </c>
      <c r="T188" s="81">
        <v>852469</v>
      </c>
      <c r="U188" s="81">
        <v>328446</v>
      </c>
      <c r="V188" s="81">
        <v>0</v>
      </c>
      <c r="W188" s="81">
        <v>0</v>
      </c>
      <c r="X188" s="28">
        <v>15502448</v>
      </c>
      <c r="Y188" s="28">
        <v>720627</v>
      </c>
      <c r="Z188" s="28">
        <v>1275590</v>
      </c>
      <c r="AA188" s="28">
        <v>12732578</v>
      </c>
      <c r="AB188" s="28">
        <v>773653</v>
      </c>
      <c r="AC188" s="40" t="s">
        <v>184</v>
      </c>
      <c r="AD188" s="41">
        <v>595</v>
      </c>
      <c r="AE188" s="42">
        <v>1</v>
      </c>
      <c r="AF188" s="40" t="s">
        <v>774</v>
      </c>
      <c r="AG188" s="68">
        <v>119040.62</v>
      </c>
      <c r="AH188" s="42">
        <v>1</v>
      </c>
      <c r="AI188" s="40" t="s">
        <v>774</v>
      </c>
      <c r="AJ188" s="70">
        <v>0</v>
      </c>
      <c r="AK188" s="72">
        <f t="shared" si="12"/>
        <v>-119040.62</v>
      </c>
      <c r="AL188" s="72">
        <f t="shared" si="13"/>
        <v>0</v>
      </c>
      <c r="AM188">
        <v>-1</v>
      </c>
      <c r="AO188" s="102">
        <f t="shared" si="14"/>
        <v>56506</v>
      </c>
      <c r="AP188" s="103">
        <f t="shared" si="15"/>
        <v>637539</v>
      </c>
      <c r="AQ188" s="101">
        <f t="shared" si="16"/>
        <v>189194</v>
      </c>
      <c r="AR188" s="104">
        <f t="shared" si="17"/>
        <v>297676</v>
      </c>
    </row>
    <row r="189" spans="1:44">
      <c r="A189" s="14" t="s">
        <v>961</v>
      </c>
      <c r="B189" s="15" t="s">
        <v>962</v>
      </c>
      <c r="C189" s="14" t="s">
        <v>1220</v>
      </c>
      <c r="D189" s="14">
        <v>60</v>
      </c>
      <c r="E189" s="15" t="s">
        <v>769</v>
      </c>
      <c r="F189" s="15" t="s">
        <v>776</v>
      </c>
      <c r="G189" s="14" t="s">
        <v>777</v>
      </c>
      <c r="H189" s="14"/>
      <c r="I189" s="14"/>
      <c r="J189" s="16">
        <v>489.1</v>
      </c>
      <c r="K189" s="66">
        <v>329937</v>
      </c>
      <c r="L189" s="66">
        <v>262591</v>
      </c>
      <c r="M189" s="28">
        <v>592528</v>
      </c>
      <c r="N189" s="64">
        <v>3931885</v>
      </c>
      <c r="O189" s="64">
        <v>402826</v>
      </c>
      <c r="P189" s="64">
        <v>903</v>
      </c>
      <c r="Q189" s="28">
        <v>4335614</v>
      </c>
      <c r="R189" s="62">
        <v>181245</v>
      </c>
      <c r="S189" s="28">
        <v>5109387</v>
      </c>
      <c r="T189" s="81">
        <v>192110</v>
      </c>
      <c r="U189" s="81">
        <v>37933</v>
      </c>
      <c r="V189" s="81">
        <v>0</v>
      </c>
      <c r="W189" s="81">
        <v>312652</v>
      </c>
      <c r="X189" s="28">
        <v>5652083</v>
      </c>
      <c r="Y189" s="28">
        <v>601604</v>
      </c>
      <c r="Z189" s="28">
        <v>366650</v>
      </c>
      <c r="AA189" s="28">
        <v>4402553</v>
      </c>
      <c r="AB189" s="28">
        <v>281275</v>
      </c>
      <c r="AC189" s="40" t="s">
        <v>184</v>
      </c>
      <c r="AD189" s="41">
        <v>599</v>
      </c>
      <c r="AE189" s="42">
        <v>1</v>
      </c>
      <c r="AF189" s="40" t="s">
        <v>776</v>
      </c>
      <c r="AG189" s="68">
        <v>27423.1</v>
      </c>
      <c r="AH189" s="42">
        <v>1</v>
      </c>
      <c r="AI189" s="40" t="s">
        <v>776</v>
      </c>
      <c r="AJ189" s="70">
        <v>0</v>
      </c>
      <c r="AK189" s="72">
        <f t="shared" si="12"/>
        <v>-27423.1</v>
      </c>
      <c r="AL189" s="72">
        <f t="shared" si="13"/>
        <v>0</v>
      </c>
      <c r="AM189">
        <v>-1</v>
      </c>
      <c r="AO189" s="102">
        <f t="shared" si="14"/>
        <v>271667</v>
      </c>
      <c r="AP189" s="103">
        <f t="shared" si="15"/>
        <v>104059</v>
      </c>
      <c r="AQ189" s="101">
        <f t="shared" si="16"/>
        <v>66939</v>
      </c>
      <c r="AR189" s="104">
        <f t="shared" si="17"/>
        <v>100030</v>
      </c>
    </row>
    <row r="190" spans="1:44">
      <c r="A190" s="14" t="s">
        <v>961</v>
      </c>
      <c r="B190" s="15" t="s">
        <v>962</v>
      </c>
      <c r="C190" s="14" t="s">
        <v>1220</v>
      </c>
      <c r="D190" s="14">
        <v>60</v>
      </c>
      <c r="E190" s="15" t="s">
        <v>769</v>
      </c>
      <c r="F190" s="15" t="s">
        <v>778</v>
      </c>
      <c r="G190" s="14" t="s">
        <v>779</v>
      </c>
      <c r="H190" s="14"/>
      <c r="I190" s="14"/>
      <c r="J190" s="16">
        <v>297.91000000000003</v>
      </c>
      <c r="K190" s="66">
        <v>204423</v>
      </c>
      <c r="L190" s="66">
        <v>132322</v>
      </c>
      <c r="M190" s="28">
        <v>336745</v>
      </c>
      <c r="N190" s="64">
        <v>2157585</v>
      </c>
      <c r="O190" s="64">
        <v>149021</v>
      </c>
      <c r="P190" s="64">
        <v>18735</v>
      </c>
      <c r="Q190" s="28">
        <v>2325341</v>
      </c>
      <c r="R190" s="62">
        <v>108364</v>
      </c>
      <c r="S190" s="28">
        <v>2770450</v>
      </c>
      <c r="T190" s="81">
        <v>140666</v>
      </c>
      <c r="U190" s="81">
        <v>74757</v>
      </c>
      <c r="V190" s="81">
        <v>0</v>
      </c>
      <c r="W190" s="81">
        <v>352985</v>
      </c>
      <c r="X190" s="28">
        <v>3338858</v>
      </c>
      <c r="Y190" s="28">
        <v>472651</v>
      </c>
      <c r="Z190" s="28">
        <v>335509</v>
      </c>
      <c r="AA190" s="28">
        <v>2360223</v>
      </c>
      <c r="AB190" s="28">
        <v>170474</v>
      </c>
      <c r="AC190" s="40" t="s">
        <v>184</v>
      </c>
      <c r="AD190" s="41">
        <v>600</v>
      </c>
      <c r="AE190" s="42">
        <v>1</v>
      </c>
      <c r="AF190" s="40" t="s">
        <v>778</v>
      </c>
      <c r="AG190" s="68">
        <v>43653.5</v>
      </c>
      <c r="AH190" s="42">
        <v>1</v>
      </c>
      <c r="AI190" s="40" t="s">
        <v>778</v>
      </c>
      <c r="AJ190" s="70">
        <v>0</v>
      </c>
      <c r="AK190" s="72">
        <f t="shared" si="12"/>
        <v>-43653.5</v>
      </c>
      <c r="AL190" s="72">
        <f t="shared" si="13"/>
        <v>0</v>
      </c>
      <c r="AM190">
        <v>-1</v>
      </c>
      <c r="AO190" s="102">
        <f t="shared" si="14"/>
        <v>268228</v>
      </c>
      <c r="AP190" s="103">
        <f t="shared" si="15"/>
        <v>203187</v>
      </c>
      <c r="AQ190" s="101">
        <f t="shared" si="16"/>
        <v>34882</v>
      </c>
      <c r="AR190" s="104">
        <f t="shared" si="17"/>
        <v>62110</v>
      </c>
    </row>
    <row r="191" spans="1:44">
      <c r="A191" s="14" t="s">
        <v>961</v>
      </c>
      <c r="B191" s="15" t="s">
        <v>962</v>
      </c>
      <c r="C191" s="14" t="s">
        <v>1220</v>
      </c>
      <c r="D191" s="14">
        <v>60</v>
      </c>
      <c r="E191" s="15" t="s">
        <v>769</v>
      </c>
      <c r="F191" s="15" t="s">
        <v>780</v>
      </c>
      <c r="G191" s="14" t="s">
        <v>781</v>
      </c>
      <c r="H191" s="14"/>
      <c r="I191" s="14"/>
      <c r="J191" s="16">
        <v>654.35</v>
      </c>
      <c r="K191" s="66">
        <v>553854</v>
      </c>
      <c r="L191" s="66">
        <v>417830</v>
      </c>
      <c r="M191" s="28">
        <v>971684</v>
      </c>
      <c r="N191" s="64">
        <v>5042281</v>
      </c>
      <c r="O191" s="64">
        <v>470628</v>
      </c>
      <c r="P191" s="64">
        <v>57595</v>
      </c>
      <c r="Q191" s="28">
        <v>5570504</v>
      </c>
      <c r="R191" s="62">
        <v>203552</v>
      </c>
      <c r="S191" s="28">
        <v>6745740</v>
      </c>
      <c r="T191" s="81">
        <v>277869</v>
      </c>
      <c r="U191" s="81">
        <v>102652</v>
      </c>
      <c r="V191" s="81">
        <v>73844</v>
      </c>
      <c r="W191" s="81">
        <v>505807</v>
      </c>
      <c r="X191" s="28">
        <v>7705911</v>
      </c>
      <c r="Y191" s="28">
        <v>956615</v>
      </c>
      <c r="Z191" s="28">
        <v>563135</v>
      </c>
      <c r="AA191" s="28">
        <v>5830535</v>
      </c>
      <c r="AB191" s="28">
        <v>355626</v>
      </c>
      <c r="AC191" s="40" t="s">
        <v>184</v>
      </c>
      <c r="AD191" s="41">
        <v>601</v>
      </c>
      <c r="AE191" s="42">
        <v>1</v>
      </c>
      <c r="AF191" s="40" t="s">
        <v>780</v>
      </c>
      <c r="AG191" s="68">
        <v>42984.58</v>
      </c>
      <c r="AH191" s="42">
        <v>1</v>
      </c>
      <c r="AI191" s="40" t="s">
        <v>780</v>
      </c>
      <c r="AJ191" s="70">
        <v>0</v>
      </c>
      <c r="AK191" s="72">
        <f t="shared" si="12"/>
        <v>-42984.58</v>
      </c>
      <c r="AL191" s="72">
        <f t="shared" si="13"/>
        <v>0</v>
      </c>
      <c r="AM191">
        <v>-1</v>
      </c>
      <c r="AO191" s="102">
        <f t="shared" si="14"/>
        <v>402761</v>
      </c>
      <c r="AP191" s="103">
        <f t="shared" si="15"/>
        <v>145305</v>
      </c>
      <c r="AQ191" s="101">
        <f t="shared" si="16"/>
        <v>260031</v>
      </c>
      <c r="AR191" s="104">
        <f t="shared" si="17"/>
        <v>152074</v>
      </c>
    </row>
    <row r="192" spans="1:44">
      <c r="A192" s="14" t="s">
        <v>1249</v>
      </c>
      <c r="B192" s="15" t="s">
        <v>1250</v>
      </c>
      <c r="C192" s="14" t="s">
        <v>1220</v>
      </c>
      <c r="D192" s="14">
        <v>61</v>
      </c>
      <c r="E192" s="15" t="s">
        <v>782</v>
      </c>
      <c r="F192" s="15" t="s">
        <v>783</v>
      </c>
      <c r="G192" s="14" t="s">
        <v>784</v>
      </c>
      <c r="H192" s="14"/>
      <c r="I192" s="14"/>
      <c r="J192" s="16">
        <v>116.95</v>
      </c>
      <c r="K192" s="66">
        <v>114853</v>
      </c>
      <c r="L192" s="66">
        <v>22424</v>
      </c>
      <c r="M192" s="28">
        <v>137277</v>
      </c>
      <c r="N192" s="64">
        <v>772269</v>
      </c>
      <c r="O192" s="64">
        <v>4770</v>
      </c>
      <c r="P192" s="64">
        <v>10228</v>
      </c>
      <c r="Q192" s="28">
        <v>787267</v>
      </c>
      <c r="R192" s="62">
        <v>48957</v>
      </c>
      <c r="S192" s="28">
        <v>973501</v>
      </c>
      <c r="T192" s="81">
        <v>44828</v>
      </c>
      <c r="U192" s="81">
        <v>106799</v>
      </c>
      <c r="V192" s="81">
        <v>0</v>
      </c>
      <c r="W192" s="81">
        <v>0</v>
      </c>
      <c r="X192" s="28">
        <v>1125128</v>
      </c>
      <c r="Y192" s="28">
        <v>123416</v>
      </c>
      <c r="Z192" s="28">
        <v>113848</v>
      </c>
      <c r="AA192" s="28">
        <v>811905</v>
      </c>
      <c r="AB192" s="28">
        <v>75959</v>
      </c>
      <c r="AC192" s="40" t="s">
        <v>184</v>
      </c>
      <c r="AD192" s="41">
        <v>611</v>
      </c>
      <c r="AE192" s="42">
        <v>1</v>
      </c>
      <c r="AF192" s="40" t="s">
        <v>783</v>
      </c>
      <c r="AG192" s="68">
        <v>17038.259999999998</v>
      </c>
      <c r="AH192" s="42">
        <v>1</v>
      </c>
      <c r="AI192" s="40" t="s">
        <v>783</v>
      </c>
      <c r="AJ192" s="70">
        <v>0</v>
      </c>
      <c r="AK192" s="72">
        <f t="shared" si="12"/>
        <v>-17038.259999999998</v>
      </c>
      <c r="AL192" s="72">
        <f t="shared" si="13"/>
        <v>0</v>
      </c>
      <c r="AM192">
        <v>-1</v>
      </c>
      <c r="AO192" s="102">
        <f t="shared" si="14"/>
        <v>8563</v>
      </c>
      <c r="AP192" s="103">
        <f t="shared" si="15"/>
        <v>91424</v>
      </c>
      <c r="AQ192" s="101">
        <f t="shared" si="16"/>
        <v>24638</v>
      </c>
      <c r="AR192" s="104">
        <f t="shared" si="17"/>
        <v>27002</v>
      </c>
    </row>
    <row r="193" spans="1:44">
      <c r="A193" s="14" t="s">
        <v>1224</v>
      </c>
      <c r="B193" s="15" t="s">
        <v>1225</v>
      </c>
      <c r="C193" s="14" t="s">
        <v>1220</v>
      </c>
      <c r="D193" s="14">
        <v>62</v>
      </c>
      <c r="E193" s="15" t="s">
        <v>785</v>
      </c>
      <c r="F193" s="15" t="s">
        <v>786</v>
      </c>
      <c r="G193" s="14" t="s">
        <v>787</v>
      </c>
      <c r="H193" s="14"/>
      <c r="I193" s="14"/>
      <c r="J193" s="16">
        <v>10437.969999999999</v>
      </c>
      <c r="K193" s="66">
        <v>16904272</v>
      </c>
      <c r="L193" s="66">
        <v>5181295</v>
      </c>
      <c r="M193" s="28">
        <v>22085567</v>
      </c>
      <c r="N193" s="64">
        <v>63387825</v>
      </c>
      <c r="O193" s="64">
        <v>10082948</v>
      </c>
      <c r="P193" s="64">
        <v>1223068</v>
      </c>
      <c r="Q193" s="28">
        <v>74693841</v>
      </c>
      <c r="R193" s="62">
        <v>3285221</v>
      </c>
      <c r="S193" s="28">
        <v>100064629</v>
      </c>
      <c r="T193" s="81">
        <v>4565448</v>
      </c>
      <c r="U193" s="81">
        <v>3806629</v>
      </c>
      <c r="V193" s="81">
        <v>3949782</v>
      </c>
      <c r="W193" s="81">
        <v>10813062</v>
      </c>
      <c r="X193" s="28">
        <v>123199549</v>
      </c>
      <c r="Y193" s="28">
        <v>30462820</v>
      </c>
      <c r="Z193" s="28">
        <v>12595555</v>
      </c>
      <c r="AA193" s="28">
        <v>75692782</v>
      </c>
      <c r="AB193" s="28">
        <v>4448391</v>
      </c>
      <c r="AC193" s="40" t="s">
        <v>184</v>
      </c>
      <c r="AD193" s="41">
        <v>621</v>
      </c>
      <c r="AE193" s="42">
        <v>1</v>
      </c>
      <c r="AF193" s="40" t="s">
        <v>786</v>
      </c>
      <c r="AG193" s="68">
        <v>734410.01</v>
      </c>
      <c r="AH193" s="42">
        <v>1</v>
      </c>
      <c r="AI193" s="40" t="s">
        <v>786</v>
      </c>
      <c r="AJ193" s="70">
        <v>305875.13</v>
      </c>
      <c r="AK193" s="72">
        <f t="shared" si="12"/>
        <v>-734410.01</v>
      </c>
      <c r="AL193" s="72">
        <f t="shared" si="13"/>
        <v>-305875.13</v>
      </c>
      <c r="AM193">
        <v>-1</v>
      </c>
      <c r="AO193" s="102">
        <f t="shared" si="14"/>
        <v>13558548</v>
      </c>
      <c r="AP193" s="103">
        <f t="shared" si="15"/>
        <v>7414260</v>
      </c>
      <c r="AQ193" s="101">
        <f t="shared" si="16"/>
        <v>998941</v>
      </c>
      <c r="AR193" s="104">
        <f t="shared" si="17"/>
        <v>1163170</v>
      </c>
    </row>
    <row r="194" spans="1:44">
      <c r="A194" s="14" t="s">
        <v>1224</v>
      </c>
      <c r="B194" s="15" t="s">
        <v>1225</v>
      </c>
      <c r="C194" s="14" t="s">
        <v>1220</v>
      </c>
      <c r="D194" s="14">
        <v>62</v>
      </c>
      <c r="E194" s="15" t="s">
        <v>785</v>
      </c>
      <c r="F194" s="15" t="s">
        <v>788</v>
      </c>
      <c r="G194" s="14" t="s">
        <v>789</v>
      </c>
      <c r="H194" s="14"/>
      <c r="I194" s="14"/>
      <c r="J194" s="16">
        <v>11991.22</v>
      </c>
      <c r="K194" s="66">
        <v>18387046</v>
      </c>
      <c r="L194" s="66">
        <v>3081544</v>
      </c>
      <c r="M194" s="28">
        <v>21468590</v>
      </c>
      <c r="N194" s="64">
        <v>75366548</v>
      </c>
      <c r="O194" s="64">
        <v>7497801</v>
      </c>
      <c r="P194" s="64">
        <v>2197319</v>
      </c>
      <c r="Q194" s="28">
        <v>85061668</v>
      </c>
      <c r="R194" s="62">
        <v>4283802</v>
      </c>
      <c r="S194" s="28">
        <v>110814060</v>
      </c>
      <c r="T194" s="81">
        <v>5243422</v>
      </c>
      <c r="U194" s="81">
        <v>7490843</v>
      </c>
      <c r="V194" s="81">
        <v>393366</v>
      </c>
      <c r="W194" s="81">
        <v>10719560</v>
      </c>
      <c r="X194" s="28">
        <v>134661253</v>
      </c>
      <c r="Y194" s="28">
        <v>28396337</v>
      </c>
      <c r="Z194" s="28">
        <v>11414105</v>
      </c>
      <c r="AA194" s="28">
        <v>88456903</v>
      </c>
      <c r="AB194" s="28">
        <v>6393908</v>
      </c>
      <c r="AC194" s="40" t="s">
        <v>184</v>
      </c>
      <c r="AD194" s="41">
        <v>622</v>
      </c>
      <c r="AE194" s="42">
        <v>1</v>
      </c>
      <c r="AF194" s="40" t="s">
        <v>788</v>
      </c>
      <c r="AG194" s="68">
        <v>818219.63</v>
      </c>
      <c r="AH194" s="42">
        <v>1</v>
      </c>
      <c r="AI194" s="40" t="s">
        <v>788</v>
      </c>
      <c r="AJ194" s="70">
        <v>1823593.85</v>
      </c>
      <c r="AK194" s="72">
        <f t="shared" si="12"/>
        <v>-818219.63</v>
      </c>
      <c r="AL194" s="72">
        <f t="shared" si="13"/>
        <v>-1823593.85</v>
      </c>
      <c r="AM194">
        <v>-1</v>
      </c>
      <c r="AO194" s="102">
        <f t="shared" si="14"/>
        <v>10009291</v>
      </c>
      <c r="AP194" s="103">
        <f t="shared" si="15"/>
        <v>8332561</v>
      </c>
      <c r="AQ194" s="101">
        <f t="shared" si="16"/>
        <v>3395235</v>
      </c>
      <c r="AR194" s="104">
        <f t="shared" si="17"/>
        <v>2110106</v>
      </c>
    </row>
    <row r="195" spans="1:44">
      <c r="A195" s="14" t="s">
        <v>1224</v>
      </c>
      <c r="B195" s="15" t="s">
        <v>1225</v>
      </c>
      <c r="C195" s="14" t="s">
        <v>1220</v>
      </c>
      <c r="D195" s="14">
        <v>62</v>
      </c>
      <c r="E195" s="15" t="s">
        <v>785</v>
      </c>
      <c r="F195" s="15" t="s">
        <v>790</v>
      </c>
      <c r="G195" s="14" t="s">
        <v>791</v>
      </c>
      <c r="H195" s="14"/>
      <c r="I195" s="14"/>
      <c r="J195" s="16">
        <v>6665.47</v>
      </c>
      <c r="K195" s="66">
        <v>11240775</v>
      </c>
      <c r="L195" s="66">
        <v>2406667</v>
      </c>
      <c r="M195" s="28">
        <v>13647442</v>
      </c>
      <c r="N195" s="64">
        <v>40034135</v>
      </c>
      <c r="O195" s="64">
        <v>4204734</v>
      </c>
      <c r="P195" s="64">
        <v>1490988</v>
      </c>
      <c r="Q195" s="28">
        <v>45729857</v>
      </c>
      <c r="R195" s="62">
        <v>1896905</v>
      </c>
      <c r="S195" s="28">
        <v>61274204</v>
      </c>
      <c r="T195" s="81">
        <v>2825627</v>
      </c>
      <c r="U195" s="81">
        <v>5710207</v>
      </c>
      <c r="V195" s="81">
        <v>3249099</v>
      </c>
      <c r="W195" s="81">
        <v>3309305</v>
      </c>
      <c r="X195" s="28">
        <v>76368443</v>
      </c>
      <c r="Y195" s="28">
        <v>18406667</v>
      </c>
      <c r="Z195" s="28">
        <v>8563796</v>
      </c>
      <c r="AA195" s="28">
        <v>46555911</v>
      </c>
      <c r="AB195" s="28">
        <v>2842068</v>
      </c>
      <c r="AC195" s="40" t="s">
        <v>184</v>
      </c>
      <c r="AD195" s="41">
        <v>623</v>
      </c>
      <c r="AE195" s="42">
        <v>1</v>
      </c>
      <c r="AF195" s="40" t="s">
        <v>790</v>
      </c>
      <c r="AG195" s="68">
        <v>426319.57</v>
      </c>
      <c r="AH195" s="42">
        <v>1</v>
      </c>
      <c r="AI195" s="40" t="s">
        <v>790</v>
      </c>
      <c r="AJ195" s="70">
        <v>689168.82</v>
      </c>
      <c r="AK195" s="72">
        <f t="shared" si="12"/>
        <v>-426319.57</v>
      </c>
      <c r="AL195" s="72">
        <f t="shared" si="13"/>
        <v>-689168.82</v>
      </c>
      <c r="AM195">
        <v>-1</v>
      </c>
      <c r="AO195" s="102">
        <f t="shared" si="14"/>
        <v>7165892</v>
      </c>
      <c r="AP195" s="103">
        <f t="shared" si="15"/>
        <v>6157129</v>
      </c>
      <c r="AQ195" s="101">
        <f t="shared" si="16"/>
        <v>826054</v>
      </c>
      <c r="AR195" s="104">
        <f t="shared" si="17"/>
        <v>945163</v>
      </c>
    </row>
    <row r="196" spans="1:44">
      <c r="A196" s="14" t="s">
        <v>1224</v>
      </c>
      <c r="B196" s="15" t="s">
        <v>1225</v>
      </c>
      <c r="C196" s="14" t="s">
        <v>1220</v>
      </c>
      <c r="D196" s="14">
        <v>62</v>
      </c>
      <c r="E196" s="15" t="s">
        <v>785</v>
      </c>
      <c r="F196" s="15" t="s">
        <v>792</v>
      </c>
      <c r="G196" s="14" t="s">
        <v>793</v>
      </c>
      <c r="H196" s="14"/>
      <c r="I196" s="14"/>
      <c r="J196" s="16">
        <v>8636.64</v>
      </c>
      <c r="K196" s="66">
        <v>13069286</v>
      </c>
      <c r="L196" s="66">
        <v>2330619</v>
      </c>
      <c r="M196" s="28">
        <v>15399905</v>
      </c>
      <c r="N196" s="64">
        <v>51388885</v>
      </c>
      <c r="O196" s="64">
        <v>7330916</v>
      </c>
      <c r="P196" s="64">
        <v>1518204</v>
      </c>
      <c r="Q196" s="28">
        <v>60238005</v>
      </c>
      <c r="R196" s="62">
        <v>2360414</v>
      </c>
      <c r="S196" s="28">
        <v>77998324</v>
      </c>
      <c r="T196" s="81">
        <v>3762902</v>
      </c>
      <c r="U196" s="81">
        <v>4050704</v>
      </c>
      <c r="V196" s="81">
        <v>1793277</v>
      </c>
      <c r="W196" s="81">
        <v>7003993</v>
      </c>
      <c r="X196" s="28">
        <v>94609201</v>
      </c>
      <c r="Y196" s="28">
        <v>20693864</v>
      </c>
      <c r="Z196" s="28">
        <v>9425383</v>
      </c>
      <c r="AA196" s="28">
        <v>61009375</v>
      </c>
      <c r="AB196" s="28">
        <v>3480579</v>
      </c>
      <c r="AC196" s="40" t="s">
        <v>184</v>
      </c>
      <c r="AD196" s="41">
        <v>624</v>
      </c>
      <c r="AE196" s="42">
        <v>1</v>
      </c>
      <c r="AF196" s="40" t="s">
        <v>792</v>
      </c>
      <c r="AG196" s="68">
        <v>449533.57</v>
      </c>
      <c r="AH196" s="42">
        <v>1</v>
      </c>
      <c r="AI196" s="40" t="s">
        <v>792</v>
      </c>
      <c r="AJ196" s="70">
        <v>8641.0300000000007</v>
      </c>
      <c r="AK196" s="72">
        <f t="shared" si="12"/>
        <v>-449533.57</v>
      </c>
      <c r="AL196" s="72">
        <f t="shared" si="13"/>
        <v>-8641.0300000000007</v>
      </c>
      <c r="AM196">
        <v>-1</v>
      </c>
      <c r="AO196" s="102">
        <f t="shared" si="14"/>
        <v>7624578</v>
      </c>
      <c r="AP196" s="103">
        <f t="shared" si="15"/>
        <v>7094764</v>
      </c>
      <c r="AQ196" s="101">
        <f t="shared" si="16"/>
        <v>771370</v>
      </c>
      <c r="AR196" s="104">
        <f t="shared" si="17"/>
        <v>1120165</v>
      </c>
    </row>
    <row r="197" spans="1:44">
      <c r="A197" s="14" t="s">
        <v>1224</v>
      </c>
      <c r="B197" s="15" t="s">
        <v>1225</v>
      </c>
      <c r="C197" s="14" t="s">
        <v>1220</v>
      </c>
      <c r="D197" s="14">
        <v>62</v>
      </c>
      <c r="E197" s="15" t="s">
        <v>785</v>
      </c>
      <c r="F197" s="96" t="s">
        <v>794</v>
      </c>
      <c r="G197" s="97" t="s">
        <v>795</v>
      </c>
      <c r="H197" s="99" t="s">
        <v>52</v>
      </c>
      <c r="I197" s="99" t="s">
        <v>190</v>
      </c>
      <c r="J197" s="98">
        <v>42379.85</v>
      </c>
      <c r="K197" s="66">
        <v>48650687</v>
      </c>
      <c r="L197" s="66">
        <v>18437068</v>
      </c>
      <c r="M197" s="28">
        <v>67087755</v>
      </c>
      <c r="N197" s="64">
        <v>329659792</v>
      </c>
      <c r="O197" s="64">
        <v>43546172</v>
      </c>
      <c r="P197" s="64">
        <v>23370195</v>
      </c>
      <c r="Q197" s="28">
        <v>396576159</v>
      </c>
      <c r="R197" s="62">
        <v>41434769</v>
      </c>
      <c r="S197" s="28">
        <v>505098683</v>
      </c>
      <c r="T197" s="81">
        <v>20203751</v>
      </c>
      <c r="U197" s="81">
        <v>25727064</v>
      </c>
      <c r="V197" s="81">
        <v>2428882</v>
      </c>
      <c r="W197" s="81">
        <v>33879553</v>
      </c>
      <c r="X197" s="28">
        <v>587337933</v>
      </c>
      <c r="Y197" s="28">
        <v>80223356</v>
      </c>
      <c r="Z197" s="28">
        <v>31397027</v>
      </c>
      <c r="AA197" s="28">
        <v>414138351</v>
      </c>
      <c r="AB197" s="28">
        <v>61579199</v>
      </c>
      <c r="AC197" s="40" t="s">
        <v>184</v>
      </c>
      <c r="AD197" s="41">
        <v>625</v>
      </c>
      <c r="AE197" s="42">
        <v>1</v>
      </c>
      <c r="AF197" s="40" t="s">
        <v>794</v>
      </c>
      <c r="AG197" s="68">
        <v>5597682.3099999996</v>
      </c>
      <c r="AH197" s="42">
        <v>1</v>
      </c>
      <c r="AI197" s="40" t="s">
        <v>794</v>
      </c>
      <c r="AJ197" s="70">
        <v>9194966.0799999982</v>
      </c>
      <c r="AK197" s="72">
        <f t="shared" si="12"/>
        <v>-5597682.3099999996</v>
      </c>
      <c r="AL197" s="72">
        <f t="shared" si="13"/>
        <v>-9194966.0799999982</v>
      </c>
      <c r="AM197">
        <v>-1</v>
      </c>
      <c r="AO197" s="102">
        <f t="shared" si="14"/>
        <v>31572669</v>
      </c>
      <c r="AP197" s="103">
        <f t="shared" si="15"/>
        <v>12959959</v>
      </c>
      <c r="AQ197" s="101">
        <f t="shared" si="16"/>
        <v>17562192</v>
      </c>
      <c r="AR197" s="104">
        <f t="shared" si="17"/>
        <v>20144430</v>
      </c>
    </row>
    <row r="198" spans="1:44">
      <c r="A198" s="14" t="s">
        <v>961</v>
      </c>
      <c r="B198" s="15" t="s">
        <v>962</v>
      </c>
      <c r="C198" s="14" t="s">
        <v>1220</v>
      </c>
      <c r="D198" s="14">
        <v>63</v>
      </c>
      <c r="E198" s="15" t="s">
        <v>796</v>
      </c>
      <c r="F198" s="15" t="s">
        <v>797</v>
      </c>
      <c r="G198" s="14" t="s">
        <v>798</v>
      </c>
      <c r="H198" s="14"/>
      <c r="I198" s="14"/>
      <c r="J198" s="16">
        <v>245.46</v>
      </c>
      <c r="K198" s="66">
        <v>148368</v>
      </c>
      <c r="L198" s="66">
        <v>293101</v>
      </c>
      <c r="M198" s="28">
        <v>441469</v>
      </c>
      <c r="N198" s="64">
        <v>1914632</v>
      </c>
      <c r="O198" s="64">
        <v>91835</v>
      </c>
      <c r="P198" s="64">
        <v>17653</v>
      </c>
      <c r="Q198" s="28">
        <v>2024120</v>
      </c>
      <c r="R198" s="62">
        <v>47102</v>
      </c>
      <c r="S198" s="28">
        <v>2512691</v>
      </c>
      <c r="T198" s="81">
        <v>77741</v>
      </c>
      <c r="U198" s="81">
        <v>36534</v>
      </c>
      <c r="V198" s="81">
        <v>0</v>
      </c>
      <c r="W198" s="81">
        <v>0</v>
      </c>
      <c r="X198" s="28">
        <v>2626965</v>
      </c>
      <c r="Y198" s="28">
        <v>156707</v>
      </c>
      <c r="Z198" s="28">
        <v>321262</v>
      </c>
      <c r="AA198" s="28">
        <v>2052367</v>
      </c>
      <c r="AB198" s="28">
        <v>96629</v>
      </c>
      <c r="AC198" s="40" t="s">
        <v>184</v>
      </c>
      <c r="AD198" s="41">
        <v>627</v>
      </c>
      <c r="AE198" s="42">
        <v>1</v>
      </c>
      <c r="AF198" s="40" t="s">
        <v>797</v>
      </c>
      <c r="AG198" s="68">
        <v>22632.26</v>
      </c>
      <c r="AH198" s="42">
        <v>1</v>
      </c>
      <c r="AI198" s="40" t="s">
        <v>797</v>
      </c>
      <c r="AJ198" s="70">
        <v>0</v>
      </c>
      <c r="AK198" s="72">
        <f t="shared" si="12"/>
        <v>-22632.26</v>
      </c>
      <c r="AL198" s="72">
        <f t="shared" si="13"/>
        <v>0</v>
      </c>
      <c r="AM198">
        <v>-1</v>
      </c>
      <c r="AO198" s="102">
        <f t="shared" si="14"/>
        <v>8339</v>
      </c>
      <c r="AP198" s="103">
        <f t="shared" si="15"/>
        <v>28161</v>
      </c>
      <c r="AQ198" s="101">
        <f t="shared" si="16"/>
        <v>28247</v>
      </c>
      <c r="AR198" s="104">
        <f t="shared" si="17"/>
        <v>49527</v>
      </c>
    </row>
    <row r="199" spans="1:44">
      <c r="A199" s="14" t="s">
        <v>961</v>
      </c>
      <c r="B199" s="15" t="s">
        <v>962</v>
      </c>
      <c r="C199" s="14" t="s">
        <v>1220</v>
      </c>
      <c r="D199" s="14">
        <v>63</v>
      </c>
      <c r="E199" s="15" t="s">
        <v>796</v>
      </c>
      <c r="F199" s="15" t="s">
        <v>799</v>
      </c>
      <c r="G199" s="14" t="s">
        <v>800</v>
      </c>
      <c r="H199" s="14"/>
      <c r="I199" s="14"/>
      <c r="J199" s="16">
        <v>229.96</v>
      </c>
      <c r="K199" s="66">
        <v>162657</v>
      </c>
      <c r="L199" s="66">
        <v>445957</v>
      </c>
      <c r="M199" s="28">
        <v>608614</v>
      </c>
      <c r="N199" s="64">
        <v>1075937</v>
      </c>
      <c r="O199" s="64">
        <v>169125</v>
      </c>
      <c r="P199" s="64">
        <v>10391</v>
      </c>
      <c r="Q199" s="28">
        <v>1255453</v>
      </c>
      <c r="R199" s="62">
        <v>134894</v>
      </c>
      <c r="S199" s="28">
        <v>1998961</v>
      </c>
      <c r="T199" s="81">
        <v>103912</v>
      </c>
      <c r="U199" s="81">
        <v>60142</v>
      </c>
      <c r="V199" s="81">
        <v>0</v>
      </c>
      <c r="W199" s="81">
        <v>0</v>
      </c>
      <c r="X199" s="28">
        <v>2163015</v>
      </c>
      <c r="Y199" s="28">
        <v>183117</v>
      </c>
      <c r="Z199" s="28">
        <v>490106</v>
      </c>
      <c r="AA199" s="28">
        <v>1291088</v>
      </c>
      <c r="AB199" s="28">
        <v>198704</v>
      </c>
      <c r="AC199" s="40" t="s">
        <v>184</v>
      </c>
      <c r="AD199" s="41">
        <v>628</v>
      </c>
      <c r="AE199" s="42">
        <v>1</v>
      </c>
      <c r="AF199" s="40" t="s">
        <v>799</v>
      </c>
      <c r="AG199" s="68">
        <v>22685.57</v>
      </c>
      <c r="AH199" s="42">
        <v>1</v>
      </c>
      <c r="AI199" s="40" t="s">
        <v>799</v>
      </c>
      <c r="AJ199" s="70">
        <v>0</v>
      </c>
      <c r="AK199" s="72">
        <f t="shared" ref="AK199:AK262" si="18">AG199*AM199</f>
        <v>-22685.57</v>
      </c>
      <c r="AL199" s="72">
        <f t="shared" ref="AL199:AL262" si="19">AJ199*AM199</f>
        <v>0</v>
      </c>
      <c r="AM199">
        <v>-1</v>
      </c>
      <c r="AO199" s="102">
        <f t="shared" ref="AO199:AO262" si="20">Y199-K199</f>
        <v>20460</v>
      </c>
      <c r="AP199" s="103">
        <f t="shared" ref="AP199:AP262" si="21">Z199-L199</f>
        <v>44149</v>
      </c>
      <c r="AQ199" s="101">
        <f t="shared" ref="AQ199:AQ262" si="22">AA199-Q199</f>
        <v>35635</v>
      </c>
      <c r="AR199" s="104">
        <f t="shared" ref="AR199:AR262" si="23">AB199-R199</f>
        <v>63810</v>
      </c>
    </row>
    <row r="200" spans="1:44">
      <c r="A200" s="14" t="s">
        <v>961</v>
      </c>
      <c r="B200" s="15" t="s">
        <v>962</v>
      </c>
      <c r="C200" s="14" t="s">
        <v>1220</v>
      </c>
      <c r="D200" s="14">
        <v>63</v>
      </c>
      <c r="E200" s="15" t="s">
        <v>796</v>
      </c>
      <c r="F200" s="15" t="s">
        <v>801</v>
      </c>
      <c r="G200" s="14" t="s">
        <v>802</v>
      </c>
      <c r="H200" s="14"/>
      <c r="I200" s="14"/>
      <c r="J200" s="16">
        <v>379.51</v>
      </c>
      <c r="K200" s="66">
        <v>186066</v>
      </c>
      <c r="L200" s="66">
        <v>168707</v>
      </c>
      <c r="M200" s="28">
        <v>354773</v>
      </c>
      <c r="N200" s="64">
        <v>3041414</v>
      </c>
      <c r="O200" s="64">
        <v>343943</v>
      </c>
      <c r="P200" s="64">
        <v>41478</v>
      </c>
      <c r="Q200" s="28">
        <v>3426835</v>
      </c>
      <c r="R200" s="62">
        <v>152990</v>
      </c>
      <c r="S200" s="28">
        <v>3934598</v>
      </c>
      <c r="T200" s="81">
        <v>181351</v>
      </c>
      <c r="U200" s="81">
        <v>78621</v>
      </c>
      <c r="V200" s="81">
        <v>0</v>
      </c>
      <c r="W200" s="81">
        <v>486947</v>
      </c>
      <c r="X200" s="28">
        <v>4681517</v>
      </c>
      <c r="Y200" s="28">
        <v>397248</v>
      </c>
      <c r="Z200" s="28">
        <v>284487</v>
      </c>
      <c r="AA200" s="28">
        <v>3767172</v>
      </c>
      <c r="AB200" s="28">
        <v>232609</v>
      </c>
      <c r="AC200" s="40" t="s">
        <v>184</v>
      </c>
      <c r="AD200" s="41">
        <v>630</v>
      </c>
      <c r="AE200" s="42">
        <v>1</v>
      </c>
      <c r="AF200" s="40" t="s">
        <v>801</v>
      </c>
      <c r="AG200" s="68">
        <v>29341.52</v>
      </c>
      <c r="AH200" s="42">
        <v>1</v>
      </c>
      <c r="AI200" s="40" t="s">
        <v>801</v>
      </c>
      <c r="AJ200" s="70">
        <v>0</v>
      </c>
      <c r="AK200" s="72">
        <f t="shared" si="18"/>
        <v>-29341.52</v>
      </c>
      <c r="AL200" s="72">
        <f t="shared" si="19"/>
        <v>0</v>
      </c>
      <c r="AM200">
        <v>-1</v>
      </c>
      <c r="AO200" s="102">
        <f t="shared" si="20"/>
        <v>211182</v>
      </c>
      <c r="AP200" s="103">
        <f t="shared" si="21"/>
        <v>115780</v>
      </c>
      <c r="AQ200" s="101">
        <f t="shared" si="22"/>
        <v>340337</v>
      </c>
      <c r="AR200" s="104">
        <f t="shared" si="23"/>
        <v>79619</v>
      </c>
    </row>
    <row r="201" spans="1:44">
      <c r="A201" s="14" t="s">
        <v>1166</v>
      </c>
      <c r="B201" s="15" t="s">
        <v>1167</v>
      </c>
      <c r="C201" s="14" t="s">
        <v>1220</v>
      </c>
      <c r="D201" s="14">
        <v>64</v>
      </c>
      <c r="E201" s="15" t="s">
        <v>803</v>
      </c>
      <c r="F201" s="15" t="s">
        <v>804</v>
      </c>
      <c r="G201" s="14" t="s">
        <v>805</v>
      </c>
      <c r="H201" s="14"/>
      <c r="I201" s="14"/>
      <c r="J201" s="16">
        <v>69.900000000000006</v>
      </c>
      <c r="K201" s="66">
        <v>144924</v>
      </c>
      <c r="L201" s="66">
        <v>159717</v>
      </c>
      <c r="M201" s="28">
        <v>304641</v>
      </c>
      <c r="N201" s="64">
        <v>572890</v>
      </c>
      <c r="O201" s="64">
        <v>-22840</v>
      </c>
      <c r="P201" s="64">
        <v>17252</v>
      </c>
      <c r="Q201" s="28">
        <v>567302</v>
      </c>
      <c r="R201" s="62">
        <v>56313</v>
      </c>
      <c r="S201" s="28">
        <v>928256</v>
      </c>
      <c r="T201" s="81">
        <v>45035</v>
      </c>
      <c r="U201" s="81">
        <v>34837</v>
      </c>
      <c r="V201" s="81">
        <v>0</v>
      </c>
      <c r="W201" s="81">
        <v>0</v>
      </c>
      <c r="X201" s="28">
        <v>1008127</v>
      </c>
      <c r="Y201" s="28">
        <v>156666</v>
      </c>
      <c r="Z201" s="28">
        <v>188930</v>
      </c>
      <c r="AA201" s="28">
        <v>583271</v>
      </c>
      <c r="AB201" s="28">
        <v>79260</v>
      </c>
      <c r="AC201" s="40" t="s">
        <v>184</v>
      </c>
      <c r="AD201" s="41">
        <v>635</v>
      </c>
      <c r="AE201" s="42">
        <v>1</v>
      </c>
      <c r="AF201" s="40" t="s">
        <v>804</v>
      </c>
      <c r="AG201" s="68">
        <v>14733.53</v>
      </c>
      <c r="AH201" s="42">
        <v>1</v>
      </c>
      <c r="AI201" s="40" t="s">
        <v>804</v>
      </c>
      <c r="AJ201" s="70">
        <v>0</v>
      </c>
      <c r="AK201" s="72">
        <f t="shared" si="18"/>
        <v>-14733.53</v>
      </c>
      <c r="AL201" s="72">
        <f t="shared" si="19"/>
        <v>0</v>
      </c>
      <c r="AM201">
        <v>-1</v>
      </c>
      <c r="AO201" s="102">
        <f t="shared" si="20"/>
        <v>11742</v>
      </c>
      <c r="AP201" s="103">
        <f t="shared" si="21"/>
        <v>29213</v>
      </c>
      <c r="AQ201" s="101">
        <f t="shared" si="22"/>
        <v>15969</v>
      </c>
      <c r="AR201" s="104">
        <f t="shared" si="23"/>
        <v>22947</v>
      </c>
    </row>
    <row r="202" spans="1:44">
      <c r="A202" s="14" t="s">
        <v>1166</v>
      </c>
      <c r="B202" s="15" t="s">
        <v>1167</v>
      </c>
      <c r="C202" s="14" t="s">
        <v>1220</v>
      </c>
      <c r="D202" s="14">
        <v>64</v>
      </c>
      <c r="E202" s="15" t="s">
        <v>803</v>
      </c>
      <c r="F202" s="15" t="s">
        <v>806</v>
      </c>
      <c r="G202" s="14" t="s">
        <v>807</v>
      </c>
      <c r="H202" s="14"/>
      <c r="I202" s="14"/>
      <c r="J202" s="16">
        <v>402.19</v>
      </c>
      <c r="K202" s="66">
        <v>238819</v>
      </c>
      <c r="L202" s="66">
        <v>195221</v>
      </c>
      <c r="M202" s="28">
        <v>434040</v>
      </c>
      <c r="N202" s="64">
        <v>2802615</v>
      </c>
      <c r="O202" s="64">
        <v>167586</v>
      </c>
      <c r="P202" s="64">
        <v>74977</v>
      </c>
      <c r="Q202" s="28">
        <v>3045178</v>
      </c>
      <c r="R202" s="62">
        <v>150358</v>
      </c>
      <c r="S202" s="28">
        <v>3629576</v>
      </c>
      <c r="T202" s="81">
        <v>176686</v>
      </c>
      <c r="U202" s="81">
        <v>95696</v>
      </c>
      <c r="V202" s="81">
        <v>0</v>
      </c>
      <c r="W202" s="81">
        <v>484542</v>
      </c>
      <c r="X202" s="28">
        <v>4386500</v>
      </c>
      <c r="Y202" s="28">
        <v>580478</v>
      </c>
      <c r="Z202" s="28">
        <v>465270</v>
      </c>
      <c r="AA202" s="28">
        <v>3119492</v>
      </c>
      <c r="AB202" s="28">
        <v>221260</v>
      </c>
      <c r="AC202" s="40" t="s">
        <v>184</v>
      </c>
      <c r="AD202" s="41">
        <v>640</v>
      </c>
      <c r="AE202" s="42">
        <v>1</v>
      </c>
      <c r="AF202" s="40" t="s">
        <v>806</v>
      </c>
      <c r="AG202" s="68">
        <v>39033.96</v>
      </c>
      <c r="AH202" s="42">
        <v>1</v>
      </c>
      <c r="AI202" s="40" t="s">
        <v>806</v>
      </c>
      <c r="AJ202" s="70">
        <v>0</v>
      </c>
      <c r="AK202" s="72">
        <f t="shared" si="18"/>
        <v>-39033.96</v>
      </c>
      <c r="AL202" s="72">
        <f t="shared" si="19"/>
        <v>0</v>
      </c>
      <c r="AM202">
        <v>-1</v>
      </c>
      <c r="AO202" s="102">
        <f t="shared" si="20"/>
        <v>341659</v>
      </c>
      <c r="AP202" s="103">
        <f t="shared" si="21"/>
        <v>270049</v>
      </c>
      <c r="AQ202" s="101">
        <f t="shared" si="22"/>
        <v>74314</v>
      </c>
      <c r="AR202" s="104">
        <f t="shared" si="23"/>
        <v>70902</v>
      </c>
    </row>
    <row r="203" spans="1:44">
      <c r="A203" s="14" t="s">
        <v>1017</v>
      </c>
      <c r="B203" s="15" t="s">
        <v>1018</v>
      </c>
      <c r="C203" s="14" t="s">
        <v>1220</v>
      </c>
      <c r="D203" s="14">
        <v>66</v>
      </c>
      <c r="E203" s="15" t="s">
        <v>808</v>
      </c>
      <c r="F203" s="15" t="s">
        <v>809</v>
      </c>
      <c r="G203" s="14" t="s">
        <v>810</v>
      </c>
      <c r="H203" s="14"/>
      <c r="I203" s="14"/>
      <c r="J203" s="16">
        <v>4058.93</v>
      </c>
      <c r="K203" s="66">
        <v>2724651</v>
      </c>
      <c r="L203" s="66">
        <v>1545729</v>
      </c>
      <c r="M203" s="28">
        <v>4270380</v>
      </c>
      <c r="N203" s="64">
        <v>26710861</v>
      </c>
      <c r="O203" s="64">
        <v>2872560</v>
      </c>
      <c r="P203" s="64">
        <v>259970</v>
      </c>
      <c r="Q203" s="28">
        <v>29843391</v>
      </c>
      <c r="R203" s="62">
        <v>2072172</v>
      </c>
      <c r="S203" s="28">
        <v>36185943</v>
      </c>
      <c r="T203" s="81">
        <v>1955907</v>
      </c>
      <c r="U203" s="81">
        <v>2522704</v>
      </c>
      <c r="V203" s="81">
        <v>7198</v>
      </c>
      <c r="W203" s="81">
        <v>4666791</v>
      </c>
      <c r="X203" s="28">
        <v>45338543</v>
      </c>
      <c r="Y203" s="28">
        <v>7030250</v>
      </c>
      <c r="Z203" s="28">
        <v>3520143</v>
      </c>
      <c r="AA203" s="28">
        <v>31061382</v>
      </c>
      <c r="AB203" s="28">
        <v>3726768</v>
      </c>
      <c r="AC203" s="40" t="s">
        <v>184</v>
      </c>
      <c r="AD203" s="41">
        <v>656</v>
      </c>
      <c r="AE203" s="42">
        <v>1</v>
      </c>
      <c r="AF203" s="40" t="s">
        <v>809</v>
      </c>
      <c r="AG203" s="68">
        <v>348147.75</v>
      </c>
      <c r="AH203" s="42">
        <v>1</v>
      </c>
      <c r="AI203" s="40" t="s">
        <v>809</v>
      </c>
      <c r="AJ203" s="70">
        <v>412448.22</v>
      </c>
      <c r="AK203" s="72">
        <f t="shared" si="18"/>
        <v>-348147.75</v>
      </c>
      <c r="AL203" s="72">
        <f t="shared" si="19"/>
        <v>-412448.22</v>
      </c>
      <c r="AM203">
        <v>-1</v>
      </c>
      <c r="AO203" s="102">
        <f t="shared" si="20"/>
        <v>4305599</v>
      </c>
      <c r="AP203" s="103">
        <f t="shared" si="21"/>
        <v>1974414</v>
      </c>
      <c r="AQ203" s="101">
        <f t="shared" si="22"/>
        <v>1217991</v>
      </c>
      <c r="AR203" s="104">
        <f t="shared" si="23"/>
        <v>1654596</v>
      </c>
    </row>
    <row r="204" spans="1:44">
      <c r="A204" s="14" t="s">
        <v>1017</v>
      </c>
      <c r="B204" s="15" t="s">
        <v>1018</v>
      </c>
      <c r="C204" s="14" t="s">
        <v>1220</v>
      </c>
      <c r="D204" s="14">
        <v>66</v>
      </c>
      <c r="E204" s="15" t="s">
        <v>808</v>
      </c>
      <c r="F204" s="15" t="s">
        <v>811</v>
      </c>
      <c r="G204" s="14" t="s">
        <v>812</v>
      </c>
      <c r="H204" s="14"/>
      <c r="I204" s="14"/>
      <c r="J204" s="16">
        <v>3944.86</v>
      </c>
      <c r="K204" s="66">
        <v>4376967</v>
      </c>
      <c r="L204" s="66">
        <v>1458002</v>
      </c>
      <c r="M204" s="28">
        <v>5834969</v>
      </c>
      <c r="N204" s="64">
        <v>24572268</v>
      </c>
      <c r="O204" s="64">
        <v>1884185</v>
      </c>
      <c r="P204" s="64">
        <v>259912</v>
      </c>
      <c r="Q204" s="28">
        <v>26716365</v>
      </c>
      <c r="R204" s="62">
        <v>1308168</v>
      </c>
      <c r="S204" s="28">
        <v>33859502</v>
      </c>
      <c r="T204" s="81">
        <v>1690285</v>
      </c>
      <c r="U204" s="81">
        <v>2008557</v>
      </c>
      <c r="V204" s="81">
        <v>64469</v>
      </c>
      <c r="W204" s="81">
        <v>5562520</v>
      </c>
      <c r="X204" s="28">
        <v>43185333</v>
      </c>
      <c r="Y204" s="28">
        <v>9857276</v>
      </c>
      <c r="Z204" s="28">
        <v>4228288</v>
      </c>
      <c r="AA204" s="28">
        <v>27319200</v>
      </c>
      <c r="AB204" s="28">
        <v>1780569</v>
      </c>
      <c r="AC204" s="40" t="s">
        <v>184</v>
      </c>
      <c r="AD204" s="41">
        <v>659</v>
      </c>
      <c r="AE204" s="42">
        <v>1</v>
      </c>
      <c r="AF204" s="40" t="s">
        <v>811</v>
      </c>
      <c r="AG204" s="68">
        <v>368495.78</v>
      </c>
      <c r="AH204" s="42">
        <v>1</v>
      </c>
      <c r="AI204" s="40" t="s">
        <v>811</v>
      </c>
      <c r="AJ204" s="70">
        <v>15029</v>
      </c>
      <c r="AK204" s="72">
        <f t="shared" si="18"/>
        <v>-368495.78</v>
      </c>
      <c r="AL204" s="72">
        <f t="shared" si="19"/>
        <v>-15029</v>
      </c>
      <c r="AM204">
        <v>-1</v>
      </c>
      <c r="AO204" s="102">
        <f t="shared" si="20"/>
        <v>5480309</v>
      </c>
      <c r="AP204" s="103">
        <f t="shared" si="21"/>
        <v>2770286</v>
      </c>
      <c r="AQ204" s="101">
        <f t="shared" si="22"/>
        <v>602835</v>
      </c>
      <c r="AR204" s="104">
        <f t="shared" si="23"/>
        <v>472401</v>
      </c>
    </row>
    <row r="205" spans="1:44">
      <c r="A205" s="14" t="s">
        <v>1166</v>
      </c>
      <c r="B205" s="15" t="s">
        <v>1167</v>
      </c>
      <c r="C205" s="14" t="s">
        <v>1220</v>
      </c>
      <c r="D205" s="14">
        <v>67</v>
      </c>
      <c r="E205" s="15" t="s">
        <v>813</v>
      </c>
      <c r="F205" s="15" t="s">
        <v>642</v>
      </c>
      <c r="G205" s="14" t="s">
        <v>643</v>
      </c>
      <c r="H205" s="14"/>
      <c r="I205" s="14"/>
      <c r="J205" s="16">
        <v>339.54</v>
      </c>
      <c r="K205" s="66">
        <v>201896</v>
      </c>
      <c r="L205" s="66">
        <v>159749</v>
      </c>
      <c r="M205" s="28">
        <v>361645</v>
      </c>
      <c r="N205" s="64">
        <v>2382775</v>
      </c>
      <c r="O205" s="64">
        <v>145498</v>
      </c>
      <c r="P205" s="64">
        <v>16848</v>
      </c>
      <c r="Q205" s="28">
        <v>2545121</v>
      </c>
      <c r="R205" s="62">
        <v>91279</v>
      </c>
      <c r="S205" s="28">
        <v>2998045</v>
      </c>
      <c r="T205" s="81">
        <v>132644</v>
      </c>
      <c r="U205" s="81">
        <v>78344</v>
      </c>
      <c r="V205" s="81">
        <v>0</v>
      </c>
      <c r="W205" s="81">
        <v>178002</v>
      </c>
      <c r="X205" s="28">
        <v>3387035</v>
      </c>
      <c r="Y205" s="28">
        <v>375605</v>
      </c>
      <c r="Z205" s="28">
        <v>275839</v>
      </c>
      <c r="AA205" s="28">
        <v>2586627</v>
      </c>
      <c r="AB205" s="28">
        <v>148963</v>
      </c>
      <c r="AC205" s="40" t="s">
        <v>184</v>
      </c>
      <c r="AD205" s="41">
        <v>671</v>
      </c>
      <c r="AE205" s="42">
        <v>1</v>
      </c>
      <c r="AF205" s="40" t="s">
        <v>642</v>
      </c>
      <c r="AG205" s="68">
        <v>20391.98</v>
      </c>
      <c r="AH205" s="42">
        <v>1</v>
      </c>
      <c r="AI205" s="40" t="s">
        <v>642</v>
      </c>
      <c r="AJ205" s="70">
        <v>0</v>
      </c>
      <c r="AK205" s="72">
        <f t="shared" si="18"/>
        <v>-20391.98</v>
      </c>
      <c r="AL205" s="72">
        <f t="shared" si="19"/>
        <v>0</v>
      </c>
      <c r="AM205">
        <v>-1</v>
      </c>
      <c r="AO205" s="102">
        <f t="shared" si="20"/>
        <v>173709</v>
      </c>
      <c r="AP205" s="103">
        <f t="shared" si="21"/>
        <v>116090</v>
      </c>
      <c r="AQ205" s="101">
        <f t="shared" si="22"/>
        <v>41506</v>
      </c>
      <c r="AR205" s="104">
        <f t="shared" si="23"/>
        <v>57684</v>
      </c>
    </row>
    <row r="206" spans="1:44">
      <c r="A206" s="14" t="s">
        <v>961</v>
      </c>
      <c r="B206" s="15" t="s">
        <v>962</v>
      </c>
      <c r="C206" s="14" t="s">
        <v>1220</v>
      </c>
      <c r="D206" s="14">
        <v>68</v>
      </c>
      <c r="E206" s="15" t="s">
        <v>644</v>
      </c>
      <c r="F206" s="15" t="s">
        <v>645</v>
      </c>
      <c r="G206" s="14" t="s">
        <v>646</v>
      </c>
      <c r="H206" s="14"/>
      <c r="I206" s="14"/>
      <c r="J206" s="16">
        <v>226.99</v>
      </c>
      <c r="K206" s="66">
        <v>183259</v>
      </c>
      <c r="L206" s="66">
        <v>181091</v>
      </c>
      <c r="M206" s="28">
        <v>364350</v>
      </c>
      <c r="N206" s="64">
        <v>1875831</v>
      </c>
      <c r="O206" s="64">
        <v>91198</v>
      </c>
      <c r="P206" s="64">
        <v>27430</v>
      </c>
      <c r="Q206" s="28">
        <v>1994459</v>
      </c>
      <c r="R206" s="62">
        <v>68634</v>
      </c>
      <c r="S206" s="28">
        <v>2427443</v>
      </c>
      <c r="T206" s="81">
        <v>110203</v>
      </c>
      <c r="U206" s="81">
        <v>37512</v>
      </c>
      <c r="V206" s="81">
        <v>0</v>
      </c>
      <c r="W206" s="81">
        <v>53686</v>
      </c>
      <c r="X206" s="28">
        <v>2628845</v>
      </c>
      <c r="Y206" s="28">
        <v>233270</v>
      </c>
      <c r="Z206" s="28">
        <v>226010</v>
      </c>
      <c r="AA206" s="28">
        <v>2036959</v>
      </c>
      <c r="AB206" s="28">
        <v>132605</v>
      </c>
      <c r="AC206" s="40" t="s">
        <v>184</v>
      </c>
      <c r="AD206" s="41">
        <v>676</v>
      </c>
      <c r="AE206" s="42">
        <v>1</v>
      </c>
      <c r="AF206" s="40" t="s">
        <v>645</v>
      </c>
      <c r="AG206" s="68">
        <v>20448.88</v>
      </c>
      <c r="AH206" s="42">
        <v>1</v>
      </c>
      <c r="AI206" s="40" t="s">
        <v>645</v>
      </c>
      <c r="AJ206" s="70">
        <v>0</v>
      </c>
      <c r="AK206" s="72">
        <f t="shared" si="18"/>
        <v>-20448.88</v>
      </c>
      <c r="AL206" s="72">
        <f t="shared" si="19"/>
        <v>0</v>
      </c>
      <c r="AM206">
        <v>-1</v>
      </c>
      <c r="AO206" s="102">
        <f t="shared" si="20"/>
        <v>50011</v>
      </c>
      <c r="AP206" s="103">
        <f t="shared" si="21"/>
        <v>44919</v>
      </c>
      <c r="AQ206" s="101">
        <f t="shared" si="22"/>
        <v>42500</v>
      </c>
      <c r="AR206" s="104">
        <f t="shared" si="23"/>
        <v>63971</v>
      </c>
    </row>
    <row r="207" spans="1:44">
      <c r="A207" s="14" t="s">
        <v>961</v>
      </c>
      <c r="B207" s="15" t="s">
        <v>962</v>
      </c>
      <c r="C207" s="14" t="s">
        <v>1220</v>
      </c>
      <c r="D207" s="14">
        <v>68</v>
      </c>
      <c r="E207" s="15" t="s">
        <v>644</v>
      </c>
      <c r="F207" s="15" t="s">
        <v>647</v>
      </c>
      <c r="G207" s="14" t="s">
        <v>648</v>
      </c>
      <c r="H207" s="14"/>
      <c r="I207" s="14"/>
      <c r="J207" s="16">
        <v>1333.17</v>
      </c>
      <c r="K207" s="66">
        <v>559893</v>
      </c>
      <c r="L207" s="66">
        <v>507903</v>
      </c>
      <c r="M207" s="28">
        <v>1067796</v>
      </c>
      <c r="N207" s="64">
        <v>9141472</v>
      </c>
      <c r="O207" s="64">
        <v>738031</v>
      </c>
      <c r="P207" s="64">
        <v>70128</v>
      </c>
      <c r="Q207" s="28">
        <v>9949631</v>
      </c>
      <c r="R207" s="62">
        <v>415248</v>
      </c>
      <c r="S207" s="28">
        <v>11432675</v>
      </c>
      <c r="T207" s="81">
        <v>484686</v>
      </c>
      <c r="U207" s="81">
        <v>309307</v>
      </c>
      <c r="V207" s="81">
        <v>0</v>
      </c>
      <c r="W207" s="81">
        <v>1400851</v>
      </c>
      <c r="X207" s="28">
        <v>13627519</v>
      </c>
      <c r="Y207" s="28">
        <v>1571428</v>
      </c>
      <c r="Z207" s="28">
        <v>1082877</v>
      </c>
      <c r="AA207" s="28">
        <v>10391671</v>
      </c>
      <c r="AB207" s="28">
        <v>581543</v>
      </c>
      <c r="AC207" s="40" t="s">
        <v>184</v>
      </c>
      <c r="AD207" s="41">
        <v>682</v>
      </c>
      <c r="AE207" s="42">
        <v>1</v>
      </c>
      <c r="AF207" s="40" t="s">
        <v>647</v>
      </c>
      <c r="AG207" s="68">
        <v>89591.06</v>
      </c>
      <c r="AH207" s="42">
        <v>1</v>
      </c>
      <c r="AI207" s="40" t="s">
        <v>647</v>
      </c>
      <c r="AJ207" s="70">
        <v>0</v>
      </c>
      <c r="AK207" s="72">
        <f t="shared" si="18"/>
        <v>-89591.06</v>
      </c>
      <c r="AL207" s="72">
        <f t="shared" si="19"/>
        <v>0</v>
      </c>
      <c r="AM207">
        <v>-1</v>
      </c>
      <c r="AO207" s="102">
        <f t="shared" si="20"/>
        <v>1011535</v>
      </c>
      <c r="AP207" s="103">
        <f t="shared" si="21"/>
        <v>574974</v>
      </c>
      <c r="AQ207" s="101">
        <f t="shared" si="22"/>
        <v>442040</v>
      </c>
      <c r="AR207" s="104">
        <f t="shared" si="23"/>
        <v>166295</v>
      </c>
    </row>
    <row r="208" spans="1:44">
      <c r="A208" s="14" t="s">
        <v>961</v>
      </c>
      <c r="B208" s="15" t="s">
        <v>962</v>
      </c>
      <c r="C208" s="14" t="s">
        <v>1220</v>
      </c>
      <c r="D208" s="14">
        <v>68</v>
      </c>
      <c r="E208" s="15" t="s">
        <v>644</v>
      </c>
      <c r="F208" s="15" t="s">
        <v>649</v>
      </c>
      <c r="G208" s="14" t="s">
        <v>650</v>
      </c>
      <c r="H208" s="14"/>
      <c r="I208" s="14"/>
      <c r="J208" s="16">
        <v>1261.52</v>
      </c>
      <c r="K208" s="66">
        <v>456583</v>
      </c>
      <c r="L208" s="66">
        <v>854426</v>
      </c>
      <c r="M208" s="28">
        <v>1311009</v>
      </c>
      <c r="N208" s="64">
        <v>8717220</v>
      </c>
      <c r="O208" s="64">
        <v>444674</v>
      </c>
      <c r="P208" s="64">
        <v>224178</v>
      </c>
      <c r="Q208" s="28">
        <v>9386072</v>
      </c>
      <c r="R208" s="62">
        <v>649488</v>
      </c>
      <c r="S208" s="28">
        <v>11346569</v>
      </c>
      <c r="T208" s="81">
        <v>499742</v>
      </c>
      <c r="U208" s="81">
        <v>556417</v>
      </c>
      <c r="V208" s="81">
        <v>38777</v>
      </c>
      <c r="W208" s="81">
        <v>1293227</v>
      </c>
      <c r="X208" s="28">
        <v>13734731</v>
      </c>
      <c r="Y208" s="28">
        <v>1391098</v>
      </c>
      <c r="Z208" s="28">
        <v>1442918</v>
      </c>
      <c r="AA208" s="28">
        <v>10025091</v>
      </c>
      <c r="AB208" s="28">
        <v>875624</v>
      </c>
      <c r="AC208" s="40" t="s">
        <v>184</v>
      </c>
      <c r="AD208" s="41">
        <v>690</v>
      </c>
      <c r="AE208" s="42">
        <v>1</v>
      </c>
      <c r="AF208" s="40" t="s">
        <v>649</v>
      </c>
      <c r="AG208" s="68">
        <v>109254.74</v>
      </c>
      <c r="AH208" s="42">
        <v>1</v>
      </c>
      <c r="AI208" s="40" t="s">
        <v>649</v>
      </c>
      <c r="AJ208" s="70">
        <v>0</v>
      </c>
      <c r="AK208" s="72">
        <f t="shared" si="18"/>
        <v>-109254.74</v>
      </c>
      <c r="AL208" s="72">
        <f t="shared" si="19"/>
        <v>0</v>
      </c>
      <c r="AM208">
        <v>-1</v>
      </c>
      <c r="AO208" s="102">
        <f t="shared" si="20"/>
        <v>934515</v>
      </c>
      <c r="AP208" s="103">
        <f t="shared" si="21"/>
        <v>588492</v>
      </c>
      <c r="AQ208" s="101">
        <f t="shared" si="22"/>
        <v>639019</v>
      </c>
      <c r="AR208" s="104">
        <f t="shared" si="23"/>
        <v>226136</v>
      </c>
    </row>
    <row r="209" spans="1:44">
      <c r="A209" s="14" t="s">
        <v>1218</v>
      </c>
      <c r="B209" s="15" t="s">
        <v>1219</v>
      </c>
      <c r="C209" s="14" t="s">
        <v>1220</v>
      </c>
      <c r="D209" s="14">
        <v>69</v>
      </c>
      <c r="E209" s="15" t="s">
        <v>651</v>
      </c>
      <c r="F209" s="15" t="s">
        <v>652</v>
      </c>
      <c r="G209" s="14" t="s">
        <v>653</v>
      </c>
      <c r="H209" s="14"/>
      <c r="I209" s="14"/>
      <c r="J209" s="16">
        <v>757.37</v>
      </c>
      <c r="K209" s="66">
        <v>483555</v>
      </c>
      <c r="L209" s="66">
        <v>1212906</v>
      </c>
      <c r="M209" s="28">
        <v>1696461</v>
      </c>
      <c r="N209" s="64">
        <v>5280620</v>
      </c>
      <c r="O209" s="64">
        <v>165386</v>
      </c>
      <c r="P209" s="64">
        <v>94746</v>
      </c>
      <c r="Q209" s="28">
        <v>5540752</v>
      </c>
      <c r="R209" s="62">
        <v>307940</v>
      </c>
      <c r="S209" s="28">
        <v>7545153</v>
      </c>
      <c r="T209" s="81">
        <v>262046</v>
      </c>
      <c r="U209" s="81">
        <v>168485</v>
      </c>
      <c r="V209" s="81">
        <v>0</v>
      </c>
      <c r="W209" s="81">
        <v>820611</v>
      </c>
      <c r="X209" s="28">
        <v>8796296</v>
      </c>
      <c r="Y209" s="28">
        <v>638347</v>
      </c>
      <c r="Z209" s="28">
        <v>1939270</v>
      </c>
      <c r="AA209" s="28">
        <v>5749211</v>
      </c>
      <c r="AB209" s="28">
        <v>469468</v>
      </c>
      <c r="AC209" s="40" t="s">
        <v>184</v>
      </c>
      <c r="AD209" s="41">
        <v>695</v>
      </c>
      <c r="AE209" s="42">
        <v>1</v>
      </c>
      <c r="AF209" s="40" t="s">
        <v>652</v>
      </c>
      <c r="AG209" s="68">
        <v>58610.12</v>
      </c>
      <c r="AH209" s="42">
        <v>1</v>
      </c>
      <c r="AI209" s="40" t="s">
        <v>652</v>
      </c>
      <c r="AJ209" s="70">
        <v>0</v>
      </c>
      <c r="AK209" s="72">
        <f t="shared" si="18"/>
        <v>-58610.12</v>
      </c>
      <c r="AL209" s="72">
        <f t="shared" si="19"/>
        <v>0</v>
      </c>
      <c r="AM209">
        <v>-1</v>
      </c>
      <c r="AO209" s="102">
        <f t="shared" si="20"/>
        <v>154792</v>
      </c>
      <c r="AP209" s="103">
        <f t="shared" si="21"/>
        <v>726364</v>
      </c>
      <c r="AQ209" s="101">
        <f t="shared" si="22"/>
        <v>208459</v>
      </c>
      <c r="AR209" s="104">
        <f t="shared" si="23"/>
        <v>161528</v>
      </c>
    </row>
    <row r="210" spans="1:44">
      <c r="A210" s="14" t="s">
        <v>1218</v>
      </c>
      <c r="B210" s="15" t="s">
        <v>1219</v>
      </c>
      <c r="C210" s="14" t="s">
        <v>1220</v>
      </c>
      <c r="D210" s="14">
        <v>69</v>
      </c>
      <c r="E210" s="15" t="s">
        <v>651</v>
      </c>
      <c r="F210" s="15" t="s">
        <v>654</v>
      </c>
      <c r="G210" s="14" t="s">
        <v>655</v>
      </c>
      <c r="H210" s="14"/>
      <c r="I210" s="14"/>
      <c r="J210" s="16">
        <v>595.52</v>
      </c>
      <c r="K210" s="66">
        <v>374570</v>
      </c>
      <c r="L210" s="66">
        <v>857370</v>
      </c>
      <c r="M210" s="28">
        <v>1231940</v>
      </c>
      <c r="N210" s="64">
        <v>3682631</v>
      </c>
      <c r="O210" s="64">
        <v>272208</v>
      </c>
      <c r="P210" s="64">
        <v>87616</v>
      </c>
      <c r="Q210" s="28">
        <v>4042455</v>
      </c>
      <c r="R210" s="62">
        <v>207184</v>
      </c>
      <c r="S210" s="28">
        <v>5481579</v>
      </c>
      <c r="T210" s="81">
        <v>222892</v>
      </c>
      <c r="U210" s="81">
        <v>101552</v>
      </c>
      <c r="V210" s="81">
        <v>0</v>
      </c>
      <c r="W210" s="81">
        <v>117121</v>
      </c>
      <c r="X210" s="28">
        <v>5923146</v>
      </c>
      <c r="Y210" s="28">
        <v>413744</v>
      </c>
      <c r="Z210" s="28">
        <v>1155599</v>
      </c>
      <c r="AA210" s="28">
        <v>4070420</v>
      </c>
      <c r="AB210" s="28">
        <v>283383</v>
      </c>
      <c r="AC210" s="40" t="s">
        <v>184</v>
      </c>
      <c r="AD210" s="41">
        <v>696</v>
      </c>
      <c r="AE210" s="42">
        <v>1</v>
      </c>
      <c r="AF210" s="40" t="s">
        <v>654</v>
      </c>
      <c r="AG210" s="68">
        <v>33061.14</v>
      </c>
      <c r="AH210" s="42">
        <v>1</v>
      </c>
      <c r="AI210" s="40" t="s">
        <v>654</v>
      </c>
      <c r="AJ210" s="70">
        <v>0</v>
      </c>
      <c r="AK210" s="72">
        <f t="shared" si="18"/>
        <v>-33061.14</v>
      </c>
      <c r="AL210" s="72">
        <f t="shared" si="19"/>
        <v>0</v>
      </c>
      <c r="AM210">
        <v>-1</v>
      </c>
      <c r="AO210" s="102">
        <f t="shared" si="20"/>
        <v>39174</v>
      </c>
      <c r="AP210" s="103">
        <f t="shared" si="21"/>
        <v>298229</v>
      </c>
      <c r="AQ210" s="101">
        <f t="shared" si="22"/>
        <v>27965</v>
      </c>
      <c r="AR210" s="104">
        <f t="shared" si="23"/>
        <v>76199</v>
      </c>
    </row>
    <row r="211" spans="1:44">
      <c r="A211" s="14" t="s">
        <v>1218</v>
      </c>
      <c r="B211" s="15" t="s">
        <v>1219</v>
      </c>
      <c r="C211" s="14" t="s">
        <v>1220</v>
      </c>
      <c r="D211" s="14">
        <v>69</v>
      </c>
      <c r="E211" s="15" t="s">
        <v>651</v>
      </c>
      <c r="F211" s="15" t="s">
        <v>656</v>
      </c>
      <c r="G211" s="14" t="s">
        <v>657</v>
      </c>
      <c r="H211" s="14"/>
      <c r="I211" s="14"/>
      <c r="J211" s="16">
        <v>382.08</v>
      </c>
      <c r="K211" s="66">
        <v>68598</v>
      </c>
      <c r="L211" s="66">
        <v>236457</v>
      </c>
      <c r="M211" s="28">
        <v>305055</v>
      </c>
      <c r="N211" s="64">
        <v>2948086</v>
      </c>
      <c r="O211" s="64">
        <v>241670</v>
      </c>
      <c r="P211" s="64">
        <v>2477</v>
      </c>
      <c r="Q211" s="28">
        <v>3192233</v>
      </c>
      <c r="R211" s="62">
        <v>163520</v>
      </c>
      <c r="S211" s="28">
        <v>3660808</v>
      </c>
      <c r="T211" s="81">
        <v>144405</v>
      </c>
      <c r="U211" s="81">
        <v>51539</v>
      </c>
      <c r="V211" s="81">
        <v>0</v>
      </c>
      <c r="W211" s="81">
        <v>1024037</v>
      </c>
      <c r="X211" s="28">
        <v>4880789</v>
      </c>
      <c r="Y211" s="28">
        <v>697261</v>
      </c>
      <c r="Z211" s="28">
        <v>441524</v>
      </c>
      <c r="AA211" s="28">
        <v>3522471</v>
      </c>
      <c r="AB211" s="28">
        <v>219533</v>
      </c>
      <c r="AC211" s="40" t="s">
        <v>184</v>
      </c>
      <c r="AD211" s="41">
        <v>698</v>
      </c>
      <c r="AE211" s="42">
        <v>1</v>
      </c>
      <c r="AF211" s="40" t="s">
        <v>656</v>
      </c>
      <c r="AG211" s="68">
        <v>29649.19</v>
      </c>
      <c r="AH211" s="42">
        <v>1</v>
      </c>
      <c r="AI211" s="40" t="s">
        <v>656</v>
      </c>
      <c r="AJ211" s="70">
        <v>0</v>
      </c>
      <c r="AK211" s="72">
        <f t="shared" si="18"/>
        <v>-29649.19</v>
      </c>
      <c r="AL211" s="72">
        <f t="shared" si="19"/>
        <v>0</v>
      </c>
      <c r="AM211">
        <v>-1</v>
      </c>
      <c r="AO211" s="102">
        <f t="shared" si="20"/>
        <v>628663</v>
      </c>
      <c r="AP211" s="103">
        <f t="shared" si="21"/>
        <v>205067</v>
      </c>
      <c r="AQ211" s="101">
        <f t="shared" si="22"/>
        <v>330238</v>
      </c>
      <c r="AR211" s="104">
        <f t="shared" si="23"/>
        <v>56013</v>
      </c>
    </row>
    <row r="212" spans="1:44">
      <c r="A212" s="14" t="s">
        <v>1218</v>
      </c>
      <c r="B212" s="15" t="s">
        <v>1219</v>
      </c>
      <c r="C212" s="14" t="s">
        <v>1220</v>
      </c>
      <c r="D212" s="14">
        <v>69</v>
      </c>
      <c r="E212" s="15" t="s">
        <v>651</v>
      </c>
      <c r="F212" s="15" t="s">
        <v>658</v>
      </c>
      <c r="G212" s="14" t="s">
        <v>659</v>
      </c>
      <c r="H212" s="14"/>
      <c r="I212" s="14"/>
      <c r="J212" s="16">
        <v>2015.55</v>
      </c>
      <c r="K212" s="66">
        <v>788125</v>
      </c>
      <c r="L212" s="66">
        <v>1145867</v>
      </c>
      <c r="M212" s="28">
        <v>1933992</v>
      </c>
      <c r="N212" s="64">
        <v>12111415</v>
      </c>
      <c r="O212" s="64">
        <v>1218258</v>
      </c>
      <c r="P212" s="64">
        <v>64465</v>
      </c>
      <c r="Q212" s="28">
        <v>13394138</v>
      </c>
      <c r="R212" s="62">
        <v>368450</v>
      </c>
      <c r="S212" s="28">
        <v>15696580</v>
      </c>
      <c r="T212" s="81">
        <v>614528</v>
      </c>
      <c r="U212" s="81">
        <v>462990</v>
      </c>
      <c r="V212" s="81">
        <v>85518</v>
      </c>
      <c r="W212" s="81">
        <v>681777</v>
      </c>
      <c r="X212" s="28">
        <v>17541393</v>
      </c>
      <c r="Y212" s="28">
        <v>1465896</v>
      </c>
      <c r="Z212" s="28">
        <v>2012806</v>
      </c>
      <c r="AA212" s="28">
        <v>13543872</v>
      </c>
      <c r="AB212" s="28">
        <v>518819</v>
      </c>
      <c r="AC212" s="40" t="s">
        <v>184</v>
      </c>
      <c r="AD212" s="41">
        <v>700</v>
      </c>
      <c r="AE212" s="42">
        <v>1</v>
      </c>
      <c r="AF212" s="40" t="s">
        <v>658</v>
      </c>
      <c r="AG212" s="68">
        <v>196916.7</v>
      </c>
      <c r="AH212" s="42">
        <v>1</v>
      </c>
      <c r="AI212" s="40" t="s">
        <v>658</v>
      </c>
      <c r="AJ212" s="70">
        <v>0</v>
      </c>
      <c r="AK212" s="72">
        <f t="shared" si="18"/>
        <v>-196916.7</v>
      </c>
      <c r="AL212" s="72">
        <f t="shared" si="19"/>
        <v>0</v>
      </c>
      <c r="AM212">
        <v>-1</v>
      </c>
      <c r="AO212" s="102">
        <f t="shared" si="20"/>
        <v>677771</v>
      </c>
      <c r="AP212" s="103">
        <f t="shared" si="21"/>
        <v>866939</v>
      </c>
      <c r="AQ212" s="101">
        <f t="shared" si="22"/>
        <v>149734</v>
      </c>
      <c r="AR212" s="104">
        <f t="shared" si="23"/>
        <v>150369</v>
      </c>
    </row>
    <row r="213" spans="1:44">
      <c r="A213" s="14" t="s">
        <v>1218</v>
      </c>
      <c r="B213" s="15" t="s">
        <v>1219</v>
      </c>
      <c r="C213" s="14" t="s">
        <v>1220</v>
      </c>
      <c r="D213" s="14">
        <v>69</v>
      </c>
      <c r="E213" s="15" t="s">
        <v>651</v>
      </c>
      <c r="F213" s="15" t="s">
        <v>660</v>
      </c>
      <c r="G213" s="14" t="s">
        <v>661</v>
      </c>
      <c r="H213" s="14"/>
      <c r="I213" s="14"/>
      <c r="J213" s="16">
        <v>2458.19</v>
      </c>
      <c r="K213" s="66">
        <v>1206229</v>
      </c>
      <c r="L213" s="66">
        <v>4190115</v>
      </c>
      <c r="M213" s="28">
        <v>5396344</v>
      </c>
      <c r="N213" s="64">
        <v>16689824</v>
      </c>
      <c r="O213" s="64">
        <v>1161992</v>
      </c>
      <c r="P213" s="64">
        <v>523670</v>
      </c>
      <c r="Q213" s="28">
        <v>18375486</v>
      </c>
      <c r="R213" s="62">
        <v>1043555</v>
      </c>
      <c r="S213" s="28">
        <v>24815385</v>
      </c>
      <c r="T213" s="81">
        <v>873559</v>
      </c>
      <c r="U213" s="81">
        <v>569503</v>
      </c>
      <c r="V213" s="81">
        <v>0</v>
      </c>
      <c r="W213" s="81">
        <v>283782</v>
      </c>
      <c r="X213" s="28">
        <v>26542228</v>
      </c>
      <c r="Y213" s="28">
        <v>1226780</v>
      </c>
      <c r="Z213" s="28">
        <v>5143718</v>
      </c>
      <c r="AA213" s="28">
        <v>18716635</v>
      </c>
      <c r="AB213" s="28">
        <v>1455095</v>
      </c>
      <c r="AC213" s="40" t="s">
        <v>184</v>
      </c>
      <c r="AD213" s="41">
        <v>701</v>
      </c>
      <c r="AE213" s="42">
        <v>1</v>
      </c>
      <c r="AF213" s="40" t="s">
        <v>660</v>
      </c>
      <c r="AG213" s="68">
        <v>165064.20000000001</v>
      </c>
      <c r="AH213" s="42">
        <v>1</v>
      </c>
      <c r="AI213" s="40" t="s">
        <v>660</v>
      </c>
      <c r="AJ213" s="70">
        <v>96137.18</v>
      </c>
      <c r="AK213" s="72">
        <f t="shared" si="18"/>
        <v>-165064.20000000001</v>
      </c>
      <c r="AL213" s="72">
        <f t="shared" si="19"/>
        <v>-96137.18</v>
      </c>
      <c r="AM213">
        <v>-1</v>
      </c>
      <c r="AO213" s="102">
        <f t="shared" si="20"/>
        <v>20551</v>
      </c>
      <c r="AP213" s="103">
        <f t="shared" si="21"/>
        <v>953603</v>
      </c>
      <c r="AQ213" s="101">
        <f t="shared" si="22"/>
        <v>341149</v>
      </c>
      <c r="AR213" s="104">
        <f t="shared" si="23"/>
        <v>411540</v>
      </c>
    </row>
    <row r="214" spans="1:44">
      <c r="A214" s="14" t="s">
        <v>1218</v>
      </c>
      <c r="B214" s="15" t="s">
        <v>1219</v>
      </c>
      <c r="C214" s="14" t="s">
        <v>1220</v>
      </c>
      <c r="D214" s="14">
        <v>69</v>
      </c>
      <c r="E214" s="15" t="s">
        <v>651</v>
      </c>
      <c r="F214" s="15" t="s">
        <v>662</v>
      </c>
      <c r="G214" s="14" t="s">
        <v>663</v>
      </c>
      <c r="H214" s="14"/>
      <c r="I214" s="14"/>
      <c r="J214" s="16">
        <v>1739.59</v>
      </c>
      <c r="K214" s="66">
        <v>612438</v>
      </c>
      <c r="L214" s="66">
        <v>1323934</v>
      </c>
      <c r="M214" s="28">
        <v>1936372</v>
      </c>
      <c r="N214" s="64">
        <v>11093099</v>
      </c>
      <c r="O214" s="64">
        <v>712816</v>
      </c>
      <c r="P214" s="64">
        <v>152034</v>
      </c>
      <c r="Q214" s="28">
        <v>11957949</v>
      </c>
      <c r="R214" s="62">
        <v>492535</v>
      </c>
      <c r="S214" s="28">
        <v>14386856</v>
      </c>
      <c r="T214" s="81">
        <v>481277</v>
      </c>
      <c r="U214" s="81">
        <v>690482</v>
      </c>
      <c r="V214" s="81">
        <v>0</v>
      </c>
      <c r="W214" s="81">
        <v>1146541</v>
      </c>
      <c r="X214" s="28">
        <v>16705154</v>
      </c>
      <c r="Y214" s="28">
        <v>1646497</v>
      </c>
      <c r="Z214" s="28">
        <v>2083525</v>
      </c>
      <c r="AA214" s="28">
        <v>12256098</v>
      </c>
      <c r="AB214" s="28">
        <v>719034</v>
      </c>
      <c r="AC214" s="40" t="s">
        <v>184</v>
      </c>
      <c r="AD214" s="41">
        <v>704</v>
      </c>
      <c r="AE214" s="42">
        <v>1</v>
      </c>
      <c r="AF214" s="40" t="s">
        <v>662</v>
      </c>
      <c r="AG214" s="68">
        <v>199983.94</v>
      </c>
      <c r="AH214" s="42">
        <v>1</v>
      </c>
      <c r="AI214" s="40" t="s">
        <v>662</v>
      </c>
      <c r="AJ214" s="70">
        <v>12985.85</v>
      </c>
      <c r="AK214" s="72">
        <f t="shared" si="18"/>
        <v>-199983.94</v>
      </c>
      <c r="AL214" s="72">
        <f t="shared" si="19"/>
        <v>-12985.85</v>
      </c>
      <c r="AM214">
        <v>-1</v>
      </c>
      <c r="AO214" s="102">
        <f t="shared" si="20"/>
        <v>1034059</v>
      </c>
      <c r="AP214" s="103">
        <f t="shared" si="21"/>
        <v>759591</v>
      </c>
      <c r="AQ214" s="101">
        <f t="shared" si="22"/>
        <v>298149</v>
      </c>
      <c r="AR214" s="104">
        <f t="shared" si="23"/>
        <v>226499</v>
      </c>
    </row>
    <row r="215" spans="1:44">
      <c r="A215" s="14" t="s">
        <v>1218</v>
      </c>
      <c r="B215" s="15" t="s">
        <v>1219</v>
      </c>
      <c r="C215" s="14" t="s">
        <v>1220</v>
      </c>
      <c r="D215" s="14">
        <v>69</v>
      </c>
      <c r="E215" s="15" t="s">
        <v>651</v>
      </c>
      <c r="F215" s="15" t="s">
        <v>664</v>
      </c>
      <c r="G215" s="14" t="s">
        <v>665</v>
      </c>
      <c r="H215" s="14"/>
      <c r="I215" s="14"/>
      <c r="J215" s="16">
        <v>1611.74</v>
      </c>
      <c r="K215" s="66">
        <v>822020</v>
      </c>
      <c r="L215" s="66">
        <v>2751554</v>
      </c>
      <c r="M215" s="28">
        <v>3573574</v>
      </c>
      <c r="N215" s="64">
        <v>11057488</v>
      </c>
      <c r="O215" s="64">
        <v>494801</v>
      </c>
      <c r="P215" s="64">
        <v>126042</v>
      </c>
      <c r="Q215" s="28">
        <v>11678331</v>
      </c>
      <c r="R215" s="62">
        <v>631438</v>
      </c>
      <c r="S215" s="28">
        <v>15883343</v>
      </c>
      <c r="T215" s="81">
        <v>656437</v>
      </c>
      <c r="U215" s="81">
        <v>277535</v>
      </c>
      <c r="V215" s="81">
        <v>0</v>
      </c>
      <c r="W215" s="81">
        <v>1526071</v>
      </c>
      <c r="X215" s="28">
        <v>18343385</v>
      </c>
      <c r="Y215" s="28">
        <v>1042754</v>
      </c>
      <c r="Z215" s="28">
        <v>4279531</v>
      </c>
      <c r="AA215" s="28">
        <v>12122193</v>
      </c>
      <c r="AB215" s="28">
        <v>898907</v>
      </c>
      <c r="AC215" s="40" t="s">
        <v>184</v>
      </c>
      <c r="AD215" s="41">
        <v>706</v>
      </c>
      <c r="AE215" s="42">
        <v>1</v>
      </c>
      <c r="AF215" s="40" t="s">
        <v>664</v>
      </c>
      <c r="AG215" s="68">
        <v>115933.53</v>
      </c>
      <c r="AH215" s="42">
        <v>1</v>
      </c>
      <c r="AI215" s="40" t="s">
        <v>664</v>
      </c>
      <c r="AJ215" s="70">
        <v>2472</v>
      </c>
      <c r="AK215" s="72">
        <f t="shared" si="18"/>
        <v>-115933.53</v>
      </c>
      <c r="AL215" s="72">
        <f t="shared" si="19"/>
        <v>-2472</v>
      </c>
      <c r="AM215">
        <v>-1</v>
      </c>
      <c r="AO215" s="102">
        <f t="shared" si="20"/>
        <v>220734</v>
      </c>
      <c r="AP215" s="103">
        <f t="shared" si="21"/>
        <v>1527977</v>
      </c>
      <c r="AQ215" s="101">
        <f t="shared" si="22"/>
        <v>443862</v>
      </c>
      <c r="AR215" s="104">
        <f t="shared" si="23"/>
        <v>267469</v>
      </c>
    </row>
    <row r="216" spans="1:44">
      <c r="A216" s="14" t="s">
        <v>1218</v>
      </c>
      <c r="B216" s="15" t="s">
        <v>1219</v>
      </c>
      <c r="C216" s="14" t="s">
        <v>1220</v>
      </c>
      <c r="D216" s="14">
        <v>69</v>
      </c>
      <c r="E216" s="15" t="s">
        <v>651</v>
      </c>
      <c r="F216" s="15" t="s">
        <v>666</v>
      </c>
      <c r="G216" s="14" t="s">
        <v>667</v>
      </c>
      <c r="H216" s="14"/>
      <c r="I216" s="14"/>
      <c r="J216" s="16">
        <v>111.6</v>
      </c>
      <c r="K216" s="66">
        <v>26167</v>
      </c>
      <c r="L216" s="66">
        <v>243606</v>
      </c>
      <c r="M216" s="28">
        <v>269773</v>
      </c>
      <c r="N216" s="64">
        <v>1065039</v>
      </c>
      <c r="O216" s="64">
        <v>31503</v>
      </c>
      <c r="P216" s="64">
        <v>95084</v>
      </c>
      <c r="Q216" s="28">
        <v>1191626</v>
      </c>
      <c r="R216" s="62">
        <v>712353</v>
      </c>
      <c r="S216" s="28">
        <v>2173752</v>
      </c>
      <c r="T216" s="81">
        <v>60665</v>
      </c>
      <c r="U216" s="81">
        <v>29806</v>
      </c>
      <c r="V216" s="81">
        <v>0</v>
      </c>
      <c r="W216" s="81">
        <v>14077</v>
      </c>
      <c r="X216" s="28">
        <v>2278300</v>
      </c>
      <c r="Y216" s="28">
        <v>35119</v>
      </c>
      <c r="Z216" s="28">
        <v>267533</v>
      </c>
      <c r="AA216" s="28">
        <v>1228588</v>
      </c>
      <c r="AB216" s="28">
        <v>747060</v>
      </c>
      <c r="AC216" s="40" t="s">
        <v>184</v>
      </c>
      <c r="AD216" s="41">
        <v>707</v>
      </c>
      <c r="AE216" s="42">
        <v>1</v>
      </c>
      <c r="AF216" s="40" t="s">
        <v>666</v>
      </c>
      <c r="AG216" s="68">
        <v>18269.63</v>
      </c>
      <c r="AH216" s="42">
        <v>1</v>
      </c>
      <c r="AI216" s="40" t="s">
        <v>666</v>
      </c>
      <c r="AJ216" s="70">
        <v>0</v>
      </c>
      <c r="AK216" s="72">
        <f t="shared" si="18"/>
        <v>-18269.63</v>
      </c>
      <c r="AL216" s="72">
        <f t="shared" si="19"/>
        <v>0</v>
      </c>
      <c r="AM216">
        <v>-1</v>
      </c>
      <c r="AO216" s="102">
        <f t="shared" si="20"/>
        <v>8952</v>
      </c>
      <c r="AP216" s="103">
        <f t="shared" si="21"/>
        <v>23927</v>
      </c>
      <c r="AQ216" s="101">
        <f t="shared" si="22"/>
        <v>36962</v>
      </c>
      <c r="AR216" s="104">
        <f t="shared" si="23"/>
        <v>34707</v>
      </c>
    </row>
    <row r="217" spans="1:44">
      <c r="A217" s="14" t="s">
        <v>1218</v>
      </c>
      <c r="B217" s="15" t="s">
        <v>1219</v>
      </c>
      <c r="C217" s="14" t="s">
        <v>1220</v>
      </c>
      <c r="D217" s="14">
        <v>69</v>
      </c>
      <c r="E217" s="15" t="s">
        <v>651</v>
      </c>
      <c r="F217" s="15" t="s">
        <v>668</v>
      </c>
      <c r="G217" s="14" t="s">
        <v>669</v>
      </c>
      <c r="H217" s="14"/>
      <c r="I217" s="14"/>
      <c r="J217" s="16">
        <v>10263.36</v>
      </c>
      <c r="K217" s="66">
        <v>6078164</v>
      </c>
      <c r="L217" s="66">
        <v>8726701</v>
      </c>
      <c r="M217" s="28">
        <v>14804865</v>
      </c>
      <c r="N217" s="64">
        <v>66941107</v>
      </c>
      <c r="O217" s="64">
        <v>8700053</v>
      </c>
      <c r="P217" s="64">
        <v>3916989</v>
      </c>
      <c r="Q217" s="28">
        <v>79558149</v>
      </c>
      <c r="R217" s="62">
        <v>6332248</v>
      </c>
      <c r="S217" s="28">
        <v>100695262</v>
      </c>
      <c r="T217" s="81">
        <v>3086453</v>
      </c>
      <c r="U217" s="81">
        <v>6525385</v>
      </c>
      <c r="V217" s="81">
        <v>1409473</v>
      </c>
      <c r="W217" s="81">
        <v>3442583</v>
      </c>
      <c r="X217" s="28">
        <v>115159156</v>
      </c>
      <c r="Y217" s="28">
        <v>9928639</v>
      </c>
      <c r="Z217" s="28">
        <v>10874885</v>
      </c>
      <c r="AA217" s="28">
        <v>83358753</v>
      </c>
      <c r="AB217" s="28">
        <v>10996879</v>
      </c>
      <c r="AC217" s="40" t="s">
        <v>184</v>
      </c>
      <c r="AD217" s="41">
        <v>709</v>
      </c>
      <c r="AE217" s="42">
        <v>1</v>
      </c>
      <c r="AF217" s="40" t="s">
        <v>668</v>
      </c>
      <c r="AG217" s="68">
        <v>4038861.86</v>
      </c>
      <c r="AH217" s="42">
        <v>1</v>
      </c>
      <c r="AI217" s="40" t="s">
        <v>668</v>
      </c>
      <c r="AJ217" s="70">
        <v>498030.57</v>
      </c>
      <c r="AK217" s="72">
        <f t="shared" si="18"/>
        <v>-4038861.86</v>
      </c>
      <c r="AL217" s="72">
        <f t="shared" si="19"/>
        <v>-498030.57</v>
      </c>
      <c r="AM217">
        <v>-1</v>
      </c>
      <c r="AO217" s="102">
        <f t="shared" si="20"/>
        <v>3850475</v>
      </c>
      <c r="AP217" s="103">
        <f t="shared" si="21"/>
        <v>2148184</v>
      </c>
      <c r="AQ217" s="101">
        <f t="shared" si="22"/>
        <v>3800604</v>
      </c>
      <c r="AR217" s="104">
        <f t="shared" si="23"/>
        <v>4664631</v>
      </c>
    </row>
    <row r="218" spans="1:44">
      <c r="A218" s="14" t="s">
        <v>1218</v>
      </c>
      <c r="B218" s="15" t="s">
        <v>1219</v>
      </c>
      <c r="C218" s="14" t="s">
        <v>1220</v>
      </c>
      <c r="D218" s="14">
        <v>69</v>
      </c>
      <c r="E218" s="15" t="s">
        <v>651</v>
      </c>
      <c r="F218" s="15" t="s">
        <v>670</v>
      </c>
      <c r="G218" s="14" t="s">
        <v>671</v>
      </c>
      <c r="H218" s="14"/>
      <c r="I218" s="14"/>
      <c r="J218" s="16">
        <v>653.38</v>
      </c>
      <c r="K218" s="66">
        <v>-76531</v>
      </c>
      <c r="L218" s="66">
        <v>3839184</v>
      </c>
      <c r="M218" s="28">
        <v>3762653</v>
      </c>
      <c r="N218" s="64">
        <v>3697507</v>
      </c>
      <c r="O218" s="64">
        <v>686275</v>
      </c>
      <c r="P218" s="64">
        <v>403</v>
      </c>
      <c r="Q218" s="28">
        <v>4384185</v>
      </c>
      <c r="R218" s="62">
        <v>428479</v>
      </c>
      <c r="S218" s="28">
        <v>8575317</v>
      </c>
      <c r="T218" s="81">
        <v>214614</v>
      </c>
      <c r="U218" s="81">
        <v>131752</v>
      </c>
      <c r="V218" s="81">
        <v>0</v>
      </c>
      <c r="W218" s="81">
        <v>338547</v>
      </c>
      <c r="X218" s="28">
        <v>9260230</v>
      </c>
      <c r="Y218" s="28">
        <v>-74605</v>
      </c>
      <c r="Z218" s="28">
        <v>4340846</v>
      </c>
      <c r="AA218" s="28">
        <v>4447214</v>
      </c>
      <c r="AB218" s="28">
        <v>546775</v>
      </c>
      <c r="AC218" s="40" t="s">
        <v>184</v>
      </c>
      <c r="AD218" s="41">
        <v>712</v>
      </c>
      <c r="AE218" s="42">
        <v>1</v>
      </c>
      <c r="AF218" s="40" t="s">
        <v>670</v>
      </c>
      <c r="AG218" s="68">
        <v>76307.06</v>
      </c>
      <c r="AH218" s="42">
        <v>1</v>
      </c>
      <c r="AI218" s="40" t="s">
        <v>670</v>
      </c>
      <c r="AJ218" s="70">
        <v>0</v>
      </c>
      <c r="AK218" s="72">
        <f t="shared" si="18"/>
        <v>-76307.06</v>
      </c>
      <c r="AL218" s="72">
        <f t="shared" si="19"/>
        <v>0</v>
      </c>
      <c r="AM218">
        <v>-1</v>
      </c>
      <c r="AO218" s="102">
        <f t="shared" si="20"/>
        <v>1926</v>
      </c>
      <c r="AP218" s="103">
        <f t="shared" si="21"/>
        <v>501662</v>
      </c>
      <c r="AQ218" s="101">
        <f t="shared" si="22"/>
        <v>63029</v>
      </c>
      <c r="AR218" s="104">
        <f t="shared" si="23"/>
        <v>118296</v>
      </c>
    </row>
    <row r="219" spans="1:44">
      <c r="A219" s="14" t="s">
        <v>1224</v>
      </c>
      <c r="B219" s="15" t="s">
        <v>1225</v>
      </c>
      <c r="C219" s="14" t="s">
        <v>1220</v>
      </c>
      <c r="D219" s="14">
        <v>70</v>
      </c>
      <c r="E219" s="15" t="s">
        <v>672</v>
      </c>
      <c r="F219" s="15" t="s">
        <v>673</v>
      </c>
      <c r="G219" s="14" t="s">
        <v>674</v>
      </c>
      <c r="H219" s="14"/>
      <c r="I219" s="14"/>
      <c r="J219" s="16">
        <v>1544.63</v>
      </c>
      <c r="K219" s="66">
        <v>766954</v>
      </c>
      <c r="L219" s="66">
        <v>703317</v>
      </c>
      <c r="M219" s="28">
        <v>1470271</v>
      </c>
      <c r="N219" s="64">
        <v>9407715</v>
      </c>
      <c r="O219" s="64">
        <v>1217294</v>
      </c>
      <c r="P219" s="64">
        <v>112769</v>
      </c>
      <c r="Q219" s="28">
        <v>10737778</v>
      </c>
      <c r="R219" s="62">
        <v>138243</v>
      </c>
      <c r="S219" s="28">
        <v>12346292</v>
      </c>
      <c r="T219" s="81">
        <v>449649</v>
      </c>
      <c r="U219" s="81">
        <v>490138</v>
      </c>
      <c r="V219" s="81">
        <v>1481102</v>
      </c>
      <c r="W219" s="81">
        <v>2184089</v>
      </c>
      <c r="X219" s="28">
        <v>16951271</v>
      </c>
      <c r="Y219" s="28">
        <v>2860451</v>
      </c>
      <c r="Z219" s="28">
        <v>2808004</v>
      </c>
      <c r="AA219" s="28">
        <v>11031694</v>
      </c>
      <c r="AB219" s="28">
        <v>251122</v>
      </c>
      <c r="AC219" s="40" t="s">
        <v>184</v>
      </c>
      <c r="AD219" s="41">
        <v>716</v>
      </c>
      <c r="AE219" s="42">
        <v>1</v>
      </c>
      <c r="AF219" s="40" t="s">
        <v>673</v>
      </c>
      <c r="AG219" s="68">
        <v>114813.32</v>
      </c>
      <c r="AH219" s="42">
        <v>1</v>
      </c>
      <c r="AI219" s="40" t="s">
        <v>673</v>
      </c>
      <c r="AJ219" s="70">
        <v>0</v>
      </c>
      <c r="AK219" s="72">
        <f t="shared" si="18"/>
        <v>-114813.32</v>
      </c>
      <c r="AL219" s="72">
        <f t="shared" si="19"/>
        <v>0</v>
      </c>
      <c r="AM219">
        <v>-1</v>
      </c>
      <c r="AO219" s="102">
        <f t="shared" si="20"/>
        <v>2093497</v>
      </c>
      <c r="AP219" s="103">
        <f t="shared" si="21"/>
        <v>2104687</v>
      </c>
      <c r="AQ219" s="101">
        <f t="shared" si="22"/>
        <v>293916</v>
      </c>
      <c r="AR219" s="104">
        <f t="shared" si="23"/>
        <v>112879</v>
      </c>
    </row>
    <row r="220" spans="1:44">
      <c r="A220" s="14" t="s">
        <v>1224</v>
      </c>
      <c r="B220" s="15" t="s">
        <v>1225</v>
      </c>
      <c r="C220" s="14" t="s">
        <v>1220</v>
      </c>
      <c r="D220" s="14">
        <v>70</v>
      </c>
      <c r="E220" s="15" t="s">
        <v>672</v>
      </c>
      <c r="F220" s="15" t="s">
        <v>675</v>
      </c>
      <c r="G220" s="14" t="s">
        <v>676</v>
      </c>
      <c r="H220" s="14"/>
      <c r="I220" s="14"/>
      <c r="J220" s="16">
        <v>1589.87</v>
      </c>
      <c r="K220" s="66">
        <v>645130</v>
      </c>
      <c r="L220" s="66">
        <v>371199</v>
      </c>
      <c r="M220" s="28">
        <v>1016329</v>
      </c>
      <c r="N220" s="64">
        <v>9576944</v>
      </c>
      <c r="O220" s="64">
        <v>1174191</v>
      </c>
      <c r="P220" s="64">
        <v>119836</v>
      </c>
      <c r="Q220" s="28">
        <v>10870971</v>
      </c>
      <c r="R220" s="62">
        <v>321527</v>
      </c>
      <c r="S220" s="28">
        <v>12208827</v>
      </c>
      <c r="T220" s="81">
        <v>677862</v>
      </c>
      <c r="U220" s="81">
        <v>683983</v>
      </c>
      <c r="V220" s="81">
        <v>0</v>
      </c>
      <c r="W220" s="81">
        <v>2615284</v>
      </c>
      <c r="X220" s="28">
        <v>16185954</v>
      </c>
      <c r="Y220" s="28">
        <v>2627820</v>
      </c>
      <c r="Z220" s="28">
        <v>1947212</v>
      </c>
      <c r="AA220" s="28">
        <v>11095214</v>
      </c>
      <c r="AB220" s="28">
        <v>515708</v>
      </c>
      <c r="AC220" s="40" t="s">
        <v>184</v>
      </c>
      <c r="AD220" s="41">
        <v>717</v>
      </c>
      <c r="AE220" s="42">
        <v>1</v>
      </c>
      <c r="AF220" s="40" t="s">
        <v>675</v>
      </c>
      <c r="AG220" s="68">
        <v>188076.42</v>
      </c>
      <c r="AH220" s="42">
        <v>1</v>
      </c>
      <c r="AI220" s="40" t="s">
        <v>675</v>
      </c>
      <c r="AJ220" s="70">
        <v>0</v>
      </c>
      <c r="AK220" s="72">
        <f t="shared" si="18"/>
        <v>-188076.42</v>
      </c>
      <c r="AL220" s="72">
        <f t="shared" si="19"/>
        <v>0</v>
      </c>
      <c r="AM220">
        <v>-1</v>
      </c>
      <c r="AO220" s="102">
        <f t="shared" si="20"/>
        <v>1982690</v>
      </c>
      <c r="AP220" s="103">
        <f t="shared" si="21"/>
        <v>1576013</v>
      </c>
      <c r="AQ220" s="101">
        <f t="shared" si="22"/>
        <v>224243</v>
      </c>
      <c r="AR220" s="104">
        <f t="shared" si="23"/>
        <v>194181</v>
      </c>
    </row>
    <row r="221" spans="1:44">
      <c r="A221" s="14" t="s">
        <v>1224</v>
      </c>
      <c r="B221" s="15" t="s">
        <v>1225</v>
      </c>
      <c r="C221" s="14" t="s">
        <v>1220</v>
      </c>
      <c r="D221" s="14">
        <v>70</v>
      </c>
      <c r="E221" s="15" t="s">
        <v>672</v>
      </c>
      <c r="F221" s="15" t="s">
        <v>677</v>
      </c>
      <c r="G221" s="14" t="s">
        <v>678</v>
      </c>
      <c r="H221" s="14"/>
      <c r="I221" s="14"/>
      <c r="J221" s="16">
        <v>6623.25</v>
      </c>
      <c r="K221" s="66">
        <v>8291531</v>
      </c>
      <c r="L221" s="66">
        <v>2252718</v>
      </c>
      <c r="M221" s="28">
        <v>10544249</v>
      </c>
      <c r="N221" s="64">
        <v>38863414</v>
      </c>
      <c r="O221" s="64">
        <v>4473344</v>
      </c>
      <c r="P221" s="64">
        <v>364910</v>
      </c>
      <c r="Q221" s="28">
        <v>43701668</v>
      </c>
      <c r="R221" s="62">
        <v>354666</v>
      </c>
      <c r="S221" s="28">
        <v>54600583</v>
      </c>
      <c r="T221" s="81">
        <v>2739279</v>
      </c>
      <c r="U221" s="81">
        <v>3530018</v>
      </c>
      <c r="V221" s="81">
        <v>1254556</v>
      </c>
      <c r="W221" s="81">
        <v>11557371</v>
      </c>
      <c r="X221" s="28">
        <v>73681808</v>
      </c>
      <c r="Y221" s="28">
        <v>19185927</v>
      </c>
      <c r="Z221" s="28">
        <v>9083896</v>
      </c>
      <c r="AA221" s="28">
        <v>44698378</v>
      </c>
      <c r="AB221" s="28">
        <v>713607</v>
      </c>
      <c r="AC221" s="40" t="s">
        <v>184</v>
      </c>
      <c r="AD221" s="41">
        <v>719</v>
      </c>
      <c r="AE221" s="42">
        <v>1</v>
      </c>
      <c r="AF221" s="40" t="s">
        <v>677</v>
      </c>
      <c r="AG221" s="68">
        <v>783078.99</v>
      </c>
      <c r="AH221" s="42">
        <v>1</v>
      </c>
      <c r="AI221" s="40" t="s">
        <v>677</v>
      </c>
      <c r="AJ221" s="70">
        <v>0</v>
      </c>
      <c r="AK221" s="72">
        <f t="shared" si="18"/>
        <v>-783078.99</v>
      </c>
      <c r="AL221" s="72">
        <f t="shared" si="19"/>
        <v>0</v>
      </c>
      <c r="AM221">
        <v>-1</v>
      </c>
      <c r="AO221" s="102">
        <f t="shared" si="20"/>
        <v>10894396</v>
      </c>
      <c r="AP221" s="103">
        <f t="shared" si="21"/>
        <v>6831178</v>
      </c>
      <c r="AQ221" s="101">
        <f t="shared" si="22"/>
        <v>996710</v>
      </c>
      <c r="AR221" s="104">
        <f t="shared" si="23"/>
        <v>358941</v>
      </c>
    </row>
    <row r="222" spans="1:44">
      <c r="A222" s="14" t="s">
        <v>1224</v>
      </c>
      <c r="B222" s="15" t="s">
        <v>1225</v>
      </c>
      <c r="C222" s="14" t="s">
        <v>1220</v>
      </c>
      <c r="D222" s="14">
        <v>70</v>
      </c>
      <c r="E222" s="15" t="s">
        <v>672</v>
      </c>
      <c r="F222" s="15" t="s">
        <v>679</v>
      </c>
      <c r="G222" s="14" t="s">
        <v>680</v>
      </c>
      <c r="H222" s="14"/>
      <c r="I222" s="14"/>
      <c r="J222" s="16">
        <v>6193.24</v>
      </c>
      <c r="K222" s="66">
        <v>5239570</v>
      </c>
      <c r="L222" s="66">
        <v>1049755</v>
      </c>
      <c r="M222" s="28">
        <v>6289325</v>
      </c>
      <c r="N222" s="64">
        <v>37847246</v>
      </c>
      <c r="O222" s="64">
        <v>4114321</v>
      </c>
      <c r="P222" s="64">
        <v>646766</v>
      </c>
      <c r="Q222" s="28">
        <v>42608333</v>
      </c>
      <c r="R222" s="62">
        <v>1330600</v>
      </c>
      <c r="S222" s="28">
        <v>50228258</v>
      </c>
      <c r="T222" s="81">
        <v>2150314</v>
      </c>
      <c r="U222" s="81">
        <v>1331404</v>
      </c>
      <c r="V222" s="81">
        <v>2300167</v>
      </c>
      <c r="W222" s="81">
        <v>10648235</v>
      </c>
      <c r="X222" s="28">
        <v>66658378</v>
      </c>
      <c r="Y222" s="28">
        <v>14286925</v>
      </c>
      <c r="Z222" s="28">
        <v>6573141</v>
      </c>
      <c r="AA222" s="28">
        <v>43620326</v>
      </c>
      <c r="AB222" s="28">
        <v>2177986</v>
      </c>
      <c r="AC222" s="40" t="s">
        <v>184</v>
      </c>
      <c r="AD222" s="41">
        <v>720</v>
      </c>
      <c r="AE222" s="42">
        <v>1</v>
      </c>
      <c r="AF222" s="40" t="s">
        <v>679</v>
      </c>
      <c r="AG222" s="68">
        <v>518829.06</v>
      </c>
      <c r="AH222" s="42">
        <v>1</v>
      </c>
      <c r="AI222" s="40" t="s">
        <v>679</v>
      </c>
      <c r="AJ222" s="70">
        <v>0</v>
      </c>
      <c r="AK222" s="72">
        <f t="shared" si="18"/>
        <v>-518829.06</v>
      </c>
      <c r="AL222" s="72">
        <f t="shared" si="19"/>
        <v>0</v>
      </c>
      <c r="AM222">
        <v>-1</v>
      </c>
      <c r="AO222" s="102">
        <f t="shared" si="20"/>
        <v>9047355</v>
      </c>
      <c r="AP222" s="103">
        <f t="shared" si="21"/>
        <v>5523386</v>
      </c>
      <c r="AQ222" s="101">
        <f t="shared" si="22"/>
        <v>1011993</v>
      </c>
      <c r="AR222" s="104">
        <f t="shared" si="23"/>
        <v>847386</v>
      </c>
    </row>
    <row r="223" spans="1:44">
      <c r="A223" s="14" t="s">
        <v>1224</v>
      </c>
      <c r="B223" s="15" t="s">
        <v>1225</v>
      </c>
      <c r="C223" s="14" t="s">
        <v>1220</v>
      </c>
      <c r="D223" s="14">
        <v>70</v>
      </c>
      <c r="E223" s="15" t="s">
        <v>672</v>
      </c>
      <c r="F223" s="15" t="s">
        <v>681</v>
      </c>
      <c r="G223" s="14" t="s">
        <v>682</v>
      </c>
      <c r="H223" s="14"/>
      <c r="I223" s="14"/>
      <c r="J223" s="16">
        <v>3417.5</v>
      </c>
      <c r="K223" s="66">
        <v>2377176</v>
      </c>
      <c r="L223" s="66">
        <v>743439</v>
      </c>
      <c r="M223" s="28">
        <v>3120615</v>
      </c>
      <c r="N223" s="64">
        <v>21194286</v>
      </c>
      <c r="O223" s="64">
        <v>2347789</v>
      </c>
      <c r="P223" s="64">
        <v>240321</v>
      </c>
      <c r="Q223" s="28">
        <v>23782396</v>
      </c>
      <c r="R223" s="62">
        <v>456515</v>
      </c>
      <c r="S223" s="28">
        <v>27359526</v>
      </c>
      <c r="T223" s="81">
        <v>1261357</v>
      </c>
      <c r="U223" s="81">
        <v>1271663</v>
      </c>
      <c r="V223" s="81">
        <v>1022505</v>
      </c>
      <c r="W223" s="81">
        <v>4489941</v>
      </c>
      <c r="X223" s="28">
        <v>35404992</v>
      </c>
      <c r="Y223" s="28">
        <v>6815066</v>
      </c>
      <c r="Z223" s="28">
        <v>3612850</v>
      </c>
      <c r="AA223" s="28">
        <v>24330468</v>
      </c>
      <c r="AB223" s="28">
        <v>646608</v>
      </c>
      <c r="AC223" s="40" t="s">
        <v>184</v>
      </c>
      <c r="AD223" s="41">
        <v>721</v>
      </c>
      <c r="AE223" s="42">
        <v>1</v>
      </c>
      <c r="AF223" s="40" t="s">
        <v>681</v>
      </c>
      <c r="AG223" s="68">
        <v>313445.57</v>
      </c>
      <c r="AH223" s="42">
        <v>1</v>
      </c>
      <c r="AI223" s="40" t="s">
        <v>681</v>
      </c>
      <c r="AJ223" s="70">
        <v>0</v>
      </c>
      <c r="AK223" s="72">
        <f t="shared" si="18"/>
        <v>-313445.57</v>
      </c>
      <c r="AL223" s="72">
        <f t="shared" si="19"/>
        <v>0</v>
      </c>
      <c r="AM223">
        <v>-1</v>
      </c>
      <c r="AO223" s="102">
        <f t="shared" si="20"/>
        <v>4437890</v>
      </c>
      <c r="AP223" s="103">
        <f t="shared" si="21"/>
        <v>2869411</v>
      </c>
      <c r="AQ223" s="101">
        <f t="shared" si="22"/>
        <v>548072</v>
      </c>
      <c r="AR223" s="104">
        <f t="shared" si="23"/>
        <v>190093</v>
      </c>
    </row>
    <row r="224" spans="1:44">
      <c r="A224" s="14" t="s">
        <v>1080</v>
      </c>
      <c r="B224" s="15" t="s">
        <v>1081</v>
      </c>
      <c r="C224" s="14" t="s">
        <v>1220</v>
      </c>
      <c r="D224" s="14">
        <v>71</v>
      </c>
      <c r="E224" s="15" t="s">
        <v>683</v>
      </c>
      <c r="F224" s="15" t="s">
        <v>684</v>
      </c>
      <c r="G224" s="14" t="s">
        <v>685</v>
      </c>
      <c r="H224" s="14"/>
      <c r="I224" s="14"/>
      <c r="J224" s="16">
        <v>2677.09</v>
      </c>
      <c r="K224" s="66">
        <v>3011294</v>
      </c>
      <c r="L224" s="66">
        <v>901933</v>
      </c>
      <c r="M224" s="28">
        <v>3913227</v>
      </c>
      <c r="N224" s="64">
        <v>15713564</v>
      </c>
      <c r="O224" s="64">
        <v>986654</v>
      </c>
      <c r="P224" s="64">
        <v>218565</v>
      </c>
      <c r="Q224" s="28">
        <v>16918783</v>
      </c>
      <c r="R224" s="62">
        <v>143541</v>
      </c>
      <c r="S224" s="28">
        <v>20975551</v>
      </c>
      <c r="T224" s="81">
        <v>924564</v>
      </c>
      <c r="U224" s="81">
        <v>459074</v>
      </c>
      <c r="V224" s="81">
        <v>0</v>
      </c>
      <c r="W224" s="81">
        <v>4082003</v>
      </c>
      <c r="X224" s="28">
        <v>26441193</v>
      </c>
      <c r="Y224" s="28">
        <v>6322087</v>
      </c>
      <c r="Z224" s="28">
        <v>2572813</v>
      </c>
      <c r="AA224" s="28">
        <v>17164802</v>
      </c>
      <c r="AB224" s="28">
        <v>381492</v>
      </c>
      <c r="AC224" s="40" t="s">
        <v>184</v>
      </c>
      <c r="AD224" s="41">
        <v>726</v>
      </c>
      <c r="AE224" s="42">
        <v>1</v>
      </c>
      <c r="AF224" s="40" t="s">
        <v>684</v>
      </c>
      <c r="AG224" s="68">
        <v>239044.08</v>
      </c>
      <c r="AH224" s="42">
        <v>1</v>
      </c>
      <c r="AI224" s="40" t="s">
        <v>684</v>
      </c>
      <c r="AJ224" s="70">
        <v>2910</v>
      </c>
      <c r="AK224" s="72">
        <f t="shared" si="18"/>
        <v>-239044.08</v>
      </c>
      <c r="AL224" s="72">
        <f t="shared" si="19"/>
        <v>-2910</v>
      </c>
      <c r="AM224">
        <v>-1</v>
      </c>
      <c r="AO224" s="102">
        <f t="shared" si="20"/>
        <v>3310793</v>
      </c>
      <c r="AP224" s="103">
        <f t="shared" si="21"/>
        <v>1670880</v>
      </c>
      <c r="AQ224" s="101">
        <f t="shared" si="22"/>
        <v>246019</v>
      </c>
      <c r="AR224" s="104">
        <f t="shared" si="23"/>
        <v>237951</v>
      </c>
    </row>
    <row r="225" spans="1:44">
      <c r="A225" s="14" t="s">
        <v>1080</v>
      </c>
      <c r="B225" s="15" t="s">
        <v>1081</v>
      </c>
      <c r="C225" s="14" t="s">
        <v>1220</v>
      </c>
      <c r="D225" s="14">
        <v>71</v>
      </c>
      <c r="E225" s="15" t="s">
        <v>683</v>
      </c>
      <c r="F225" s="15" t="s">
        <v>686</v>
      </c>
      <c r="G225" s="14" t="s">
        <v>687</v>
      </c>
      <c r="H225" s="14"/>
      <c r="I225" s="14"/>
      <c r="J225" s="16">
        <v>3638.36</v>
      </c>
      <c r="K225" s="66">
        <v>983898</v>
      </c>
      <c r="L225" s="66">
        <v>1465628</v>
      </c>
      <c r="M225" s="28">
        <v>2449526</v>
      </c>
      <c r="N225" s="64">
        <v>21922225</v>
      </c>
      <c r="O225" s="64">
        <v>1221924</v>
      </c>
      <c r="P225" s="64">
        <v>89128</v>
      </c>
      <c r="Q225" s="28">
        <v>23233277</v>
      </c>
      <c r="R225" s="62">
        <v>200467</v>
      </c>
      <c r="S225" s="28">
        <v>25883270</v>
      </c>
      <c r="T225" s="81">
        <v>1188456</v>
      </c>
      <c r="U225" s="81">
        <v>1625192</v>
      </c>
      <c r="V225" s="81">
        <v>0</v>
      </c>
      <c r="W225" s="81">
        <v>5838530</v>
      </c>
      <c r="X225" s="28">
        <v>34535448</v>
      </c>
      <c r="Y225" s="28">
        <v>4529118</v>
      </c>
      <c r="Z225" s="28">
        <v>4689270</v>
      </c>
      <c r="AA225" s="28">
        <v>24722309</v>
      </c>
      <c r="AB225" s="28">
        <v>594751</v>
      </c>
      <c r="AC225" s="40" t="s">
        <v>184</v>
      </c>
      <c r="AD225" s="41">
        <v>727</v>
      </c>
      <c r="AE225" s="42">
        <v>1</v>
      </c>
      <c r="AF225" s="40" t="s">
        <v>686</v>
      </c>
      <c r="AG225" s="68">
        <v>348652.82</v>
      </c>
      <c r="AH225" s="42">
        <v>1</v>
      </c>
      <c r="AI225" s="40" t="s">
        <v>686</v>
      </c>
      <c r="AJ225" s="70">
        <v>12949.93</v>
      </c>
      <c r="AK225" s="72">
        <f t="shared" si="18"/>
        <v>-348652.82</v>
      </c>
      <c r="AL225" s="72">
        <f t="shared" si="19"/>
        <v>-12949.93</v>
      </c>
      <c r="AM225">
        <v>-1</v>
      </c>
      <c r="AO225" s="102">
        <f t="shared" si="20"/>
        <v>3545220</v>
      </c>
      <c r="AP225" s="103">
        <f t="shared" si="21"/>
        <v>3223642</v>
      </c>
      <c r="AQ225" s="101">
        <f t="shared" si="22"/>
        <v>1489032</v>
      </c>
      <c r="AR225" s="104">
        <f t="shared" si="23"/>
        <v>394284</v>
      </c>
    </row>
    <row r="226" spans="1:44">
      <c r="A226" s="14" t="s">
        <v>1080</v>
      </c>
      <c r="B226" s="15" t="s">
        <v>1081</v>
      </c>
      <c r="C226" s="14" t="s">
        <v>1220</v>
      </c>
      <c r="D226" s="14">
        <v>71</v>
      </c>
      <c r="E226" s="15" t="s">
        <v>683</v>
      </c>
      <c r="F226" s="15" t="s">
        <v>688</v>
      </c>
      <c r="G226" s="14" t="s">
        <v>689</v>
      </c>
      <c r="H226" s="14"/>
      <c r="I226" s="14"/>
      <c r="J226" s="16">
        <v>11874.92</v>
      </c>
      <c r="K226" s="66">
        <v>11161776</v>
      </c>
      <c r="L226" s="66">
        <v>2293361</v>
      </c>
      <c r="M226" s="28">
        <v>13455137</v>
      </c>
      <c r="N226" s="64">
        <v>73184843</v>
      </c>
      <c r="O226" s="64">
        <v>8186577</v>
      </c>
      <c r="P226" s="64">
        <v>1622857</v>
      </c>
      <c r="Q226" s="28">
        <v>82994277</v>
      </c>
      <c r="R226" s="62">
        <v>3025484</v>
      </c>
      <c r="S226" s="28">
        <v>99474898</v>
      </c>
      <c r="T226" s="81">
        <v>5116887</v>
      </c>
      <c r="U226" s="81">
        <v>4411106</v>
      </c>
      <c r="V226" s="81">
        <v>597802</v>
      </c>
      <c r="W226" s="81">
        <v>19511061</v>
      </c>
      <c r="X226" s="28">
        <v>129111754</v>
      </c>
      <c r="Y226" s="28">
        <v>26726701</v>
      </c>
      <c r="Z226" s="28">
        <v>13544965</v>
      </c>
      <c r="AA226" s="28">
        <v>84841659</v>
      </c>
      <c r="AB226" s="28">
        <v>3998429</v>
      </c>
      <c r="AC226" s="40" t="s">
        <v>184</v>
      </c>
      <c r="AD226" s="41">
        <v>728</v>
      </c>
      <c r="AE226" s="42">
        <v>1</v>
      </c>
      <c r="AF226" s="40" t="s">
        <v>688</v>
      </c>
      <c r="AG226" s="68">
        <v>944316.53</v>
      </c>
      <c r="AH226" s="42">
        <v>1</v>
      </c>
      <c r="AI226" s="40" t="s">
        <v>688</v>
      </c>
      <c r="AJ226" s="70">
        <v>241130.99</v>
      </c>
      <c r="AK226" s="72">
        <f t="shared" si="18"/>
        <v>-944316.53</v>
      </c>
      <c r="AL226" s="72">
        <f t="shared" si="19"/>
        <v>-241130.99</v>
      </c>
      <c r="AM226">
        <v>-1</v>
      </c>
      <c r="AO226" s="102">
        <f t="shared" si="20"/>
        <v>15564925</v>
      </c>
      <c r="AP226" s="103">
        <f t="shared" si="21"/>
        <v>11251604</v>
      </c>
      <c r="AQ226" s="101">
        <f t="shared" si="22"/>
        <v>1847382</v>
      </c>
      <c r="AR226" s="104">
        <f t="shared" si="23"/>
        <v>972945</v>
      </c>
    </row>
    <row r="227" spans="1:44">
      <c r="A227" s="14" t="s">
        <v>1080</v>
      </c>
      <c r="B227" s="15" t="s">
        <v>1081</v>
      </c>
      <c r="C227" s="14" t="s">
        <v>1220</v>
      </c>
      <c r="D227" s="14">
        <v>73</v>
      </c>
      <c r="E227" s="15" t="s">
        <v>690</v>
      </c>
      <c r="F227" s="15" t="s">
        <v>691</v>
      </c>
      <c r="G227" s="14" t="s">
        <v>692</v>
      </c>
      <c r="H227" s="14"/>
      <c r="I227" s="14"/>
      <c r="J227" s="16">
        <v>1005.06</v>
      </c>
      <c r="K227" s="66">
        <v>370354</v>
      </c>
      <c r="L227" s="66">
        <v>232919</v>
      </c>
      <c r="M227" s="28">
        <v>603273</v>
      </c>
      <c r="N227" s="64">
        <v>6637411</v>
      </c>
      <c r="O227" s="64">
        <v>330346</v>
      </c>
      <c r="P227" s="64">
        <v>-9719</v>
      </c>
      <c r="Q227" s="28">
        <v>6958038</v>
      </c>
      <c r="R227" s="62">
        <v>178507</v>
      </c>
      <c r="S227" s="28">
        <v>7739818</v>
      </c>
      <c r="T227" s="81">
        <v>391672</v>
      </c>
      <c r="U227" s="81">
        <v>157255</v>
      </c>
      <c r="V227" s="81">
        <v>0</v>
      </c>
      <c r="W227" s="81">
        <v>784706</v>
      </c>
      <c r="X227" s="28">
        <v>9073450</v>
      </c>
      <c r="Y227" s="28">
        <v>1043689</v>
      </c>
      <c r="Z227" s="28">
        <v>487522</v>
      </c>
      <c r="AA227" s="28">
        <v>7201336</v>
      </c>
      <c r="AB227" s="28">
        <v>340904</v>
      </c>
      <c r="AC227" s="40" t="s">
        <v>184</v>
      </c>
      <c r="AD227" s="41">
        <v>738</v>
      </c>
      <c r="AE227" s="42">
        <v>1</v>
      </c>
      <c r="AF227" s="40" t="s">
        <v>691</v>
      </c>
      <c r="AG227" s="68">
        <v>48965.25</v>
      </c>
      <c r="AH227" s="42">
        <v>1</v>
      </c>
      <c r="AI227" s="40" t="s">
        <v>691</v>
      </c>
      <c r="AJ227" s="70">
        <v>0</v>
      </c>
      <c r="AK227" s="72">
        <f t="shared" si="18"/>
        <v>-48965.25</v>
      </c>
      <c r="AL227" s="72">
        <f t="shared" si="19"/>
        <v>0</v>
      </c>
      <c r="AM227">
        <v>-1</v>
      </c>
      <c r="AO227" s="102">
        <f t="shared" si="20"/>
        <v>673335</v>
      </c>
      <c r="AP227" s="103">
        <f t="shared" si="21"/>
        <v>254603</v>
      </c>
      <c r="AQ227" s="101">
        <f t="shared" si="22"/>
        <v>243298</v>
      </c>
      <c r="AR227" s="104">
        <f t="shared" si="23"/>
        <v>162397</v>
      </c>
    </row>
    <row r="228" spans="1:44">
      <c r="A228" s="14" t="s">
        <v>1080</v>
      </c>
      <c r="B228" s="15" t="s">
        <v>1081</v>
      </c>
      <c r="C228" s="14" t="s">
        <v>1220</v>
      </c>
      <c r="D228" s="14">
        <v>73</v>
      </c>
      <c r="E228" s="15" t="s">
        <v>690</v>
      </c>
      <c r="F228" s="15" t="s">
        <v>693</v>
      </c>
      <c r="G228" s="14" t="s">
        <v>694</v>
      </c>
      <c r="H228" s="14"/>
      <c r="I228" s="14"/>
      <c r="J228" s="16">
        <v>762.61</v>
      </c>
      <c r="K228" s="66">
        <v>303563</v>
      </c>
      <c r="L228" s="66">
        <v>245744</v>
      </c>
      <c r="M228" s="28">
        <v>549307</v>
      </c>
      <c r="N228" s="64">
        <v>4861006</v>
      </c>
      <c r="O228" s="64">
        <v>534532</v>
      </c>
      <c r="P228" s="64">
        <v>32594</v>
      </c>
      <c r="Q228" s="28">
        <v>5428132</v>
      </c>
      <c r="R228" s="62">
        <v>255096</v>
      </c>
      <c r="S228" s="28">
        <v>6232535</v>
      </c>
      <c r="T228" s="81">
        <v>304682</v>
      </c>
      <c r="U228" s="81">
        <v>281391</v>
      </c>
      <c r="V228" s="81">
        <v>5154</v>
      </c>
      <c r="W228" s="81">
        <v>1300089</v>
      </c>
      <c r="X228" s="28">
        <v>8123851</v>
      </c>
      <c r="Y228" s="28">
        <v>1377814</v>
      </c>
      <c r="Z228" s="28">
        <v>732472</v>
      </c>
      <c r="AA228" s="28">
        <v>5667473</v>
      </c>
      <c r="AB228" s="28">
        <v>346092</v>
      </c>
      <c r="AC228" s="40" t="s">
        <v>184</v>
      </c>
      <c r="AD228" s="41">
        <v>739</v>
      </c>
      <c r="AE228" s="42">
        <v>1</v>
      </c>
      <c r="AF228" s="40" t="s">
        <v>693</v>
      </c>
      <c r="AG228" s="68">
        <v>95636.81</v>
      </c>
      <c r="AH228" s="42">
        <v>1</v>
      </c>
      <c r="AI228" s="40" t="s">
        <v>693</v>
      </c>
      <c r="AJ228" s="70">
        <v>14904.73</v>
      </c>
      <c r="AK228" s="72">
        <f t="shared" si="18"/>
        <v>-95636.81</v>
      </c>
      <c r="AL228" s="72">
        <f t="shared" si="19"/>
        <v>-14904.73</v>
      </c>
      <c r="AM228">
        <v>-1</v>
      </c>
      <c r="AO228" s="102">
        <f t="shared" si="20"/>
        <v>1074251</v>
      </c>
      <c r="AP228" s="103">
        <f t="shared" si="21"/>
        <v>486728</v>
      </c>
      <c r="AQ228" s="101">
        <f t="shared" si="22"/>
        <v>239341</v>
      </c>
      <c r="AR228" s="104">
        <f t="shared" si="23"/>
        <v>90996</v>
      </c>
    </row>
    <row r="229" spans="1:44">
      <c r="A229" s="14" t="s">
        <v>1080</v>
      </c>
      <c r="B229" s="15" t="s">
        <v>1081</v>
      </c>
      <c r="C229" s="14" t="s">
        <v>1220</v>
      </c>
      <c r="D229" s="14">
        <v>73</v>
      </c>
      <c r="E229" s="15" t="s">
        <v>690</v>
      </c>
      <c r="F229" s="15" t="s">
        <v>695</v>
      </c>
      <c r="G229" s="14" t="s">
        <v>696</v>
      </c>
      <c r="H229" s="14"/>
      <c r="I229" s="14"/>
      <c r="J229" s="16">
        <v>1420.17</v>
      </c>
      <c r="K229" s="66">
        <v>1209252</v>
      </c>
      <c r="L229" s="66">
        <v>515066</v>
      </c>
      <c r="M229" s="28">
        <v>1724318</v>
      </c>
      <c r="N229" s="64">
        <v>9918172</v>
      </c>
      <c r="O229" s="64">
        <v>712585</v>
      </c>
      <c r="P229" s="64">
        <v>249587</v>
      </c>
      <c r="Q229" s="28">
        <v>10880344</v>
      </c>
      <c r="R229" s="62">
        <v>389469</v>
      </c>
      <c r="S229" s="28">
        <v>12994131</v>
      </c>
      <c r="T229" s="81">
        <v>633524</v>
      </c>
      <c r="U229" s="81">
        <v>325995</v>
      </c>
      <c r="V229" s="81">
        <v>16031</v>
      </c>
      <c r="W229" s="81">
        <v>832318</v>
      </c>
      <c r="X229" s="28">
        <v>14801999</v>
      </c>
      <c r="Y229" s="28">
        <v>1998145</v>
      </c>
      <c r="Z229" s="28">
        <v>1081905</v>
      </c>
      <c r="AA229" s="28">
        <v>11111758</v>
      </c>
      <c r="AB229" s="28">
        <v>610191</v>
      </c>
      <c r="AC229" s="40" t="s">
        <v>184</v>
      </c>
      <c r="AD229" s="41">
        <v>740</v>
      </c>
      <c r="AE229" s="42">
        <v>1</v>
      </c>
      <c r="AF229" s="40" t="s">
        <v>695</v>
      </c>
      <c r="AG229" s="68">
        <v>115921.03</v>
      </c>
      <c r="AH229" s="42">
        <v>1</v>
      </c>
      <c r="AI229" s="40" t="s">
        <v>695</v>
      </c>
      <c r="AJ229" s="70">
        <v>1374.29</v>
      </c>
      <c r="AK229" s="72">
        <f t="shared" si="18"/>
        <v>-115921.03</v>
      </c>
      <c r="AL229" s="72">
        <f t="shared" si="19"/>
        <v>-1374.29</v>
      </c>
      <c r="AM229">
        <v>-1</v>
      </c>
      <c r="AO229" s="102">
        <f t="shared" si="20"/>
        <v>788893</v>
      </c>
      <c r="AP229" s="103">
        <f t="shared" si="21"/>
        <v>566839</v>
      </c>
      <c r="AQ229" s="101">
        <f t="shared" si="22"/>
        <v>231414</v>
      </c>
      <c r="AR229" s="104">
        <f t="shared" si="23"/>
        <v>220722</v>
      </c>
    </row>
    <row r="230" spans="1:44">
      <c r="A230" s="14" t="s">
        <v>1080</v>
      </c>
      <c r="B230" s="15" t="s">
        <v>1081</v>
      </c>
      <c r="C230" s="14" t="s">
        <v>1220</v>
      </c>
      <c r="D230" s="14">
        <v>73</v>
      </c>
      <c r="E230" s="15" t="s">
        <v>690</v>
      </c>
      <c r="F230" s="15" t="s">
        <v>697</v>
      </c>
      <c r="G230" s="14" t="s">
        <v>698</v>
      </c>
      <c r="H230" s="14"/>
      <c r="I230" s="14"/>
      <c r="J230" s="16">
        <v>1062.46</v>
      </c>
      <c r="K230" s="66">
        <v>551846</v>
      </c>
      <c r="L230" s="66">
        <v>319749</v>
      </c>
      <c r="M230" s="28">
        <v>871595</v>
      </c>
      <c r="N230" s="64">
        <v>6978900</v>
      </c>
      <c r="O230" s="64">
        <v>726036</v>
      </c>
      <c r="P230" s="64">
        <v>28261</v>
      </c>
      <c r="Q230" s="28">
        <v>7733197</v>
      </c>
      <c r="R230" s="62">
        <v>219573</v>
      </c>
      <c r="S230" s="28">
        <v>8824365</v>
      </c>
      <c r="T230" s="81">
        <v>420950</v>
      </c>
      <c r="U230" s="81">
        <v>348942</v>
      </c>
      <c r="V230" s="81">
        <v>6456</v>
      </c>
      <c r="W230" s="81">
        <v>948815</v>
      </c>
      <c r="X230" s="28">
        <v>10549528</v>
      </c>
      <c r="Y230" s="28">
        <v>1340662</v>
      </c>
      <c r="Z230" s="28">
        <v>925276</v>
      </c>
      <c r="AA230" s="28">
        <v>7889707</v>
      </c>
      <c r="AB230" s="28">
        <v>393883</v>
      </c>
      <c r="AC230" s="40" t="s">
        <v>184</v>
      </c>
      <c r="AD230" s="41">
        <v>741</v>
      </c>
      <c r="AE230" s="42">
        <v>1</v>
      </c>
      <c r="AF230" s="40" t="s">
        <v>697</v>
      </c>
      <c r="AG230" s="68">
        <v>59689.58</v>
      </c>
      <c r="AH230" s="42">
        <v>1</v>
      </c>
      <c r="AI230" s="40" t="s">
        <v>697</v>
      </c>
      <c r="AJ230" s="70">
        <v>12319.18</v>
      </c>
      <c r="AK230" s="72">
        <f t="shared" si="18"/>
        <v>-59689.58</v>
      </c>
      <c r="AL230" s="72">
        <f t="shared" si="19"/>
        <v>-12319.18</v>
      </c>
      <c r="AM230">
        <v>-1</v>
      </c>
      <c r="AO230" s="102">
        <f t="shared" si="20"/>
        <v>788816</v>
      </c>
      <c r="AP230" s="103">
        <f t="shared" si="21"/>
        <v>605527</v>
      </c>
      <c r="AQ230" s="101">
        <f t="shared" si="22"/>
        <v>156510</v>
      </c>
      <c r="AR230" s="104">
        <f t="shared" si="23"/>
        <v>174310</v>
      </c>
    </row>
    <row r="231" spans="1:44">
      <c r="A231" s="14" t="s">
        <v>1080</v>
      </c>
      <c r="B231" s="15" t="s">
        <v>1081</v>
      </c>
      <c r="C231" s="14" t="s">
        <v>1220</v>
      </c>
      <c r="D231" s="14">
        <v>73</v>
      </c>
      <c r="E231" s="15" t="s">
        <v>690</v>
      </c>
      <c r="F231" s="15" t="s">
        <v>699</v>
      </c>
      <c r="G231" s="14" t="s">
        <v>700</v>
      </c>
      <c r="H231" s="14"/>
      <c r="I231" s="14"/>
      <c r="J231" s="16">
        <v>9734.9599999999991</v>
      </c>
      <c r="K231" s="66">
        <v>9502321</v>
      </c>
      <c r="L231" s="66">
        <v>3435259</v>
      </c>
      <c r="M231" s="28">
        <v>12937580</v>
      </c>
      <c r="N231" s="64">
        <v>63237718</v>
      </c>
      <c r="O231" s="64">
        <v>11009077</v>
      </c>
      <c r="P231" s="64">
        <v>1795883</v>
      </c>
      <c r="Q231" s="28">
        <v>76042678</v>
      </c>
      <c r="R231" s="62">
        <v>5432369</v>
      </c>
      <c r="S231" s="28">
        <v>94412627</v>
      </c>
      <c r="T231" s="81">
        <v>3795199</v>
      </c>
      <c r="U231" s="81">
        <v>4816523</v>
      </c>
      <c r="V231" s="81">
        <v>2675250</v>
      </c>
      <c r="W231" s="81">
        <v>2927988</v>
      </c>
      <c r="X231" s="28">
        <v>108627587</v>
      </c>
      <c r="Y231" s="28">
        <v>15022844</v>
      </c>
      <c r="Z231" s="28">
        <v>7669983</v>
      </c>
      <c r="AA231" s="28">
        <v>78630687</v>
      </c>
      <c r="AB231" s="28">
        <v>7304073</v>
      </c>
      <c r="AC231" s="40" t="s">
        <v>184</v>
      </c>
      <c r="AD231" s="41">
        <v>742</v>
      </c>
      <c r="AE231" s="42">
        <v>1</v>
      </c>
      <c r="AF231" s="40" t="s">
        <v>699</v>
      </c>
      <c r="AG231" s="68">
        <v>1264840.1499999999</v>
      </c>
      <c r="AH231" s="42">
        <v>1</v>
      </c>
      <c r="AI231" s="40" t="s">
        <v>699</v>
      </c>
      <c r="AJ231" s="70">
        <v>1033477.48</v>
      </c>
      <c r="AK231" s="72">
        <f t="shared" si="18"/>
        <v>-1264840.1499999999</v>
      </c>
      <c r="AL231" s="72">
        <f t="shared" si="19"/>
        <v>-1033477.48</v>
      </c>
      <c r="AM231">
        <v>-1</v>
      </c>
      <c r="AO231" s="102">
        <f t="shared" si="20"/>
        <v>5520523</v>
      </c>
      <c r="AP231" s="103">
        <f t="shared" si="21"/>
        <v>4234724</v>
      </c>
      <c r="AQ231" s="101">
        <f t="shared" si="22"/>
        <v>2588009</v>
      </c>
      <c r="AR231" s="104">
        <f t="shared" si="23"/>
        <v>1871704</v>
      </c>
    </row>
    <row r="232" spans="1:44">
      <c r="A232" s="14" t="s">
        <v>1080</v>
      </c>
      <c r="B232" s="15" t="s">
        <v>1081</v>
      </c>
      <c r="C232" s="14" t="s">
        <v>1220</v>
      </c>
      <c r="D232" s="14">
        <v>73</v>
      </c>
      <c r="E232" s="15" t="s">
        <v>690</v>
      </c>
      <c r="F232" s="15" t="s">
        <v>701</v>
      </c>
      <c r="G232" s="14" t="s">
        <v>702</v>
      </c>
      <c r="H232" s="14"/>
      <c r="I232" s="14"/>
      <c r="J232" s="16">
        <v>1063.43</v>
      </c>
      <c r="K232" s="66">
        <v>844232</v>
      </c>
      <c r="L232" s="66">
        <v>686348</v>
      </c>
      <c r="M232" s="28">
        <v>1530580</v>
      </c>
      <c r="N232" s="64">
        <v>7221480</v>
      </c>
      <c r="O232" s="64">
        <v>742439</v>
      </c>
      <c r="P232" s="64">
        <v>114154</v>
      </c>
      <c r="Q232" s="28">
        <v>8078073</v>
      </c>
      <c r="R232" s="62">
        <v>200574</v>
      </c>
      <c r="S232" s="28">
        <v>9809227</v>
      </c>
      <c r="T232" s="81">
        <v>407318</v>
      </c>
      <c r="U232" s="81">
        <v>250052</v>
      </c>
      <c r="V232" s="81">
        <v>14372</v>
      </c>
      <c r="W232" s="81">
        <v>1115615</v>
      </c>
      <c r="X232" s="28">
        <v>11596582</v>
      </c>
      <c r="Y232" s="28">
        <v>1565764</v>
      </c>
      <c r="Z232" s="28">
        <v>1387004</v>
      </c>
      <c r="AA232" s="28">
        <v>8273835</v>
      </c>
      <c r="AB232" s="28">
        <v>369979</v>
      </c>
      <c r="AC232" s="40" t="s">
        <v>184</v>
      </c>
      <c r="AD232" s="41">
        <v>743</v>
      </c>
      <c r="AE232" s="42">
        <v>1</v>
      </c>
      <c r="AF232" s="40" t="s">
        <v>701</v>
      </c>
      <c r="AG232" s="68">
        <v>82668.7</v>
      </c>
      <c r="AH232" s="42">
        <v>1</v>
      </c>
      <c r="AI232" s="40" t="s">
        <v>701</v>
      </c>
      <c r="AJ232" s="70">
        <v>0</v>
      </c>
      <c r="AK232" s="72">
        <f t="shared" si="18"/>
        <v>-82668.7</v>
      </c>
      <c r="AL232" s="72">
        <f t="shared" si="19"/>
        <v>0</v>
      </c>
      <c r="AM232">
        <v>-1</v>
      </c>
      <c r="AO232" s="102">
        <f t="shared" si="20"/>
        <v>721532</v>
      </c>
      <c r="AP232" s="103">
        <f t="shared" si="21"/>
        <v>700656</v>
      </c>
      <c r="AQ232" s="101">
        <f t="shared" si="22"/>
        <v>195762</v>
      </c>
      <c r="AR232" s="104">
        <f t="shared" si="23"/>
        <v>169405</v>
      </c>
    </row>
    <row r="233" spans="1:44">
      <c r="A233" s="14" t="s">
        <v>1080</v>
      </c>
      <c r="B233" s="15" t="s">
        <v>1081</v>
      </c>
      <c r="C233" s="14" t="s">
        <v>1220</v>
      </c>
      <c r="D233" s="14">
        <v>73</v>
      </c>
      <c r="E233" s="15" t="s">
        <v>690</v>
      </c>
      <c r="F233" s="15" t="s">
        <v>703</v>
      </c>
      <c r="G233" s="14" t="s">
        <v>704</v>
      </c>
      <c r="H233" s="14"/>
      <c r="I233" s="14"/>
      <c r="J233" s="16">
        <v>1629.98</v>
      </c>
      <c r="K233" s="66">
        <v>609633</v>
      </c>
      <c r="L233" s="66">
        <v>696673</v>
      </c>
      <c r="M233" s="28">
        <v>1306306</v>
      </c>
      <c r="N233" s="64">
        <v>10349665</v>
      </c>
      <c r="O233" s="64">
        <v>877970</v>
      </c>
      <c r="P233" s="64">
        <v>90529</v>
      </c>
      <c r="Q233" s="28">
        <v>11318164</v>
      </c>
      <c r="R233" s="62">
        <v>248802</v>
      </c>
      <c r="S233" s="28">
        <v>12873272</v>
      </c>
      <c r="T233" s="81">
        <v>624796</v>
      </c>
      <c r="U233" s="81">
        <v>448831</v>
      </c>
      <c r="V233" s="81">
        <v>0</v>
      </c>
      <c r="W233" s="81">
        <v>1311642</v>
      </c>
      <c r="X233" s="28">
        <v>15258542</v>
      </c>
      <c r="Y233" s="28">
        <v>1820699</v>
      </c>
      <c r="Z233" s="28">
        <v>1414055</v>
      </c>
      <c r="AA233" s="28">
        <v>11595952</v>
      </c>
      <c r="AB233" s="28">
        <v>427836</v>
      </c>
      <c r="AC233" s="40" t="s">
        <v>184</v>
      </c>
      <c r="AD233" s="41">
        <v>745</v>
      </c>
      <c r="AE233" s="42">
        <v>1</v>
      </c>
      <c r="AF233" s="40" t="s">
        <v>703</v>
      </c>
      <c r="AG233" s="68">
        <v>156253.15</v>
      </c>
      <c r="AH233" s="42">
        <v>1</v>
      </c>
      <c r="AI233" s="40" t="s">
        <v>703</v>
      </c>
      <c r="AJ233" s="70">
        <v>11076.36</v>
      </c>
      <c r="AK233" s="72">
        <f t="shared" si="18"/>
        <v>-156253.15</v>
      </c>
      <c r="AL233" s="72">
        <f t="shared" si="19"/>
        <v>-11076.36</v>
      </c>
      <c r="AM233">
        <v>-1</v>
      </c>
      <c r="AO233" s="102">
        <f t="shared" si="20"/>
        <v>1211066</v>
      </c>
      <c r="AP233" s="103">
        <f t="shared" si="21"/>
        <v>717382</v>
      </c>
      <c r="AQ233" s="101">
        <f t="shared" si="22"/>
        <v>277788</v>
      </c>
      <c r="AR233" s="104">
        <f t="shared" si="23"/>
        <v>179034</v>
      </c>
    </row>
    <row r="234" spans="1:44">
      <c r="A234" s="14" t="s">
        <v>1080</v>
      </c>
      <c r="B234" s="15" t="s">
        <v>1081</v>
      </c>
      <c r="C234" s="14" t="s">
        <v>1220</v>
      </c>
      <c r="D234" s="14">
        <v>73</v>
      </c>
      <c r="E234" s="15" t="s">
        <v>690</v>
      </c>
      <c r="F234" s="15" t="s">
        <v>705</v>
      </c>
      <c r="G234" s="14" t="s">
        <v>706</v>
      </c>
      <c r="H234" s="14"/>
      <c r="I234" s="14"/>
      <c r="J234" s="16">
        <v>3102.02</v>
      </c>
      <c r="K234" s="66">
        <v>1311955</v>
      </c>
      <c r="L234" s="66">
        <v>1210784</v>
      </c>
      <c r="M234" s="28">
        <v>2522739</v>
      </c>
      <c r="N234" s="64">
        <v>18795237</v>
      </c>
      <c r="O234" s="64">
        <v>1377411</v>
      </c>
      <c r="P234" s="64">
        <v>188502</v>
      </c>
      <c r="Q234" s="28">
        <v>20361150</v>
      </c>
      <c r="R234" s="62">
        <v>270580</v>
      </c>
      <c r="S234" s="28">
        <v>23154469</v>
      </c>
      <c r="T234" s="81">
        <v>1516638</v>
      </c>
      <c r="U234" s="81">
        <v>805445</v>
      </c>
      <c r="V234" s="81">
        <v>0</v>
      </c>
      <c r="W234" s="81">
        <v>5896797</v>
      </c>
      <c r="X234" s="28">
        <v>31373351</v>
      </c>
      <c r="Y234" s="28">
        <v>4945784</v>
      </c>
      <c r="Z234" s="28">
        <v>3943339</v>
      </c>
      <c r="AA234" s="28">
        <v>21913388</v>
      </c>
      <c r="AB234" s="28">
        <v>570840</v>
      </c>
      <c r="AC234" s="40" t="s">
        <v>184</v>
      </c>
      <c r="AD234" s="41">
        <v>748</v>
      </c>
      <c r="AE234" s="42">
        <v>1</v>
      </c>
      <c r="AF234" s="40" t="s">
        <v>705</v>
      </c>
      <c r="AG234" s="68">
        <v>317140.69</v>
      </c>
      <c r="AH234" s="42">
        <v>1</v>
      </c>
      <c r="AI234" s="40" t="s">
        <v>705</v>
      </c>
      <c r="AJ234" s="70">
        <v>0</v>
      </c>
      <c r="AK234" s="72">
        <f t="shared" si="18"/>
        <v>-317140.69</v>
      </c>
      <c r="AL234" s="72">
        <f t="shared" si="19"/>
        <v>0</v>
      </c>
      <c r="AM234">
        <v>-1</v>
      </c>
      <c r="AO234" s="102">
        <f t="shared" si="20"/>
        <v>3633829</v>
      </c>
      <c r="AP234" s="103">
        <f t="shared" si="21"/>
        <v>2732555</v>
      </c>
      <c r="AQ234" s="101">
        <f t="shared" si="22"/>
        <v>1552238</v>
      </c>
      <c r="AR234" s="104">
        <f t="shared" si="23"/>
        <v>300260</v>
      </c>
    </row>
    <row r="235" spans="1:44">
      <c r="A235" s="14" t="s">
        <v>1080</v>
      </c>
      <c r="B235" s="15" t="s">
        <v>1081</v>
      </c>
      <c r="C235" s="14" t="s">
        <v>1220</v>
      </c>
      <c r="D235" s="14">
        <v>73</v>
      </c>
      <c r="E235" s="15" t="s">
        <v>690</v>
      </c>
      <c r="F235" s="15" t="s">
        <v>707</v>
      </c>
      <c r="G235" s="14" t="s">
        <v>708</v>
      </c>
      <c r="H235" s="14"/>
      <c r="I235" s="14"/>
      <c r="J235" s="16">
        <v>2285.87</v>
      </c>
      <c r="K235" s="66">
        <v>968861</v>
      </c>
      <c r="L235" s="66">
        <v>1241461</v>
      </c>
      <c r="M235" s="28">
        <v>2210322</v>
      </c>
      <c r="N235" s="64">
        <v>14466951</v>
      </c>
      <c r="O235" s="64">
        <v>1055845</v>
      </c>
      <c r="P235" s="64">
        <v>419966</v>
      </c>
      <c r="Q235" s="28">
        <v>15942762</v>
      </c>
      <c r="R235" s="62">
        <v>454133</v>
      </c>
      <c r="S235" s="28">
        <v>18607217</v>
      </c>
      <c r="T235" s="81">
        <v>1041400</v>
      </c>
      <c r="U235" s="81">
        <v>713270</v>
      </c>
      <c r="V235" s="81">
        <v>0</v>
      </c>
      <c r="W235" s="81">
        <v>1192341</v>
      </c>
      <c r="X235" s="28">
        <v>21554227</v>
      </c>
      <c r="Y235" s="28">
        <v>2153776</v>
      </c>
      <c r="Z235" s="28">
        <v>2405073</v>
      </c>
      <c r="AA235" s="28">
        <v>16217799</v>
      </c>
      <c r="AB235" s="28">
        <v>777579</v>
      </c>
      <c r="AC235" s="40" t="s">
        <v>184</v>
      </c>
      <c r="AD235" s="41">
        <v>750</v>
      </c>
      <c r="AE235" s="42">
        <v>1</v>
      </c>
      <c r="AF235" s="40" t="s">
        <v>707</v>
      </c>
      <c r="AG235" s="68">
        <v>135768.45000000001</v>
      </c>
      <c r="AH235" s="42">
        <v>1</v>
      </c>
      <c r="AI235" s="40" t="s">
        <v>707</v>
      </c>
      <c r="AJ235" s="70">
        <v>12755.6</v>
      </c>
      <c r="AK235" s="72">
        <f t="shared" si="18"/>
        <v>-135768.45000000001</v>
      </c>
      <c r="AL235" s="72">
        <f t="shared" si="19"/>
        <v>-12755.6</v>
      </c>
      <c r="AM235">
        <v>-1</v>
      </c>
      <c r="AO235" s="102">
        <f t="shared" si="20"/>
        <v>1184915</v>
      </c>
      <c r="AP235" s="103">
        <f t="shared" si="21"/>
        <v>1163612</v>
      </c>
      <c r="AQ235" s="101">
        <f t="shared" si="22"/>
        <v>275037</v>
      </c>
      <c r="AR235" s="104">
        <f t="shared" si="23"/>
        <v>323446</v>
      </c>
    </row>
    <row r="236" spans="1:44">
      <c r="A236" s="14" t="s">
        <v>1017</v>
      </c>
      <c r="B236" s="15" t="s">
        <v>1018</v>
      </c>
      <c r="C236" s="14" t="s">
        <v>1220</v>
      </c>
      <c r="D236" s="14">
        <v>74</v>
      </c>
      <c r="E236" s="15" t="s">
        <v>709</v>
      </c>
      <c r="F236" s="15" t="s">
        <v>710</v>
      </c>
      <c r="G236" s="14" t="s">
        <v>711</v>
      </c>
      <c r="H236" s="14"/>
      <c r="I236" s="14"/>
      <c r="J236" s="16">
        <v>721.9</v>
      </c>
      <c r="K236" s="66">
        <v>303794</v>
      </c>
      <c r="L236" s="66">
        <v>265641</v>
      </c>
      <c r="M236" s="28">
        <v>569435</v>
      </c>
      <c r="N236" s="64">
        <v>4703996</v>
      </c>
      <c r="O236" s="64">
        <v>447678</v>
      </c>
      <c r="P236" s="64">
        <v>41814</v>
      </c>
      <c r="Q236" s="28">
        <v>5193488</v>
      </c>
      <c r="R236" s="62">
        <v>195470</v>
      </c>
      <c r="S236" s="28">
        <v>5958393</v>
      </c>
      <c r="T236" s="81">
        <v>323520</v>
      </c>
      <c r="U236" s="81">
        <v>103687</v>
      </c>
      <c r="V236" s="81">
        <v>0</v>
      </c>
      <c r="W236" s="81">
        <v>235324</v>
      </c>
      <c r="X236" s="28">
        <v>6620925</v>
      </c>
      <c r="Y236" s="28">
        <v>545702</v>
      </c>
      <c r="Z236" s="28">
        <v>503408</v>
      </c>
      <c r="AA236" s="28">
        <v>5266594</v>
      </c>
      <c r="AB236" s="28">
        <v>305221</v>
      </c>
      <c r="AC236" s="40" t="s">
        <v>184</v>
      </c>
      <c r="AD236" s="41">
        <v>756</v>
      </c>
      <c r="AE236" s="42">
        <v>1</v>
      </c>
      <c r="AF236" s="40" t="s">
        <v>710</v>
      </c>
      <c r="AG236" s="68">
        <v>53958.06</v>
      </c>
      <c r="AH236" s="42">
        <v>1</v>
      </c>
      <c r="AI236" s="40" t="s">
        <v>710</v>
      </c>
      <c r="AJ236" s="70">
        <v>0</v>
      </c>
      <c r="AK236" s="72">
        <f t="shared" si="18"/>
        <v>-53958.06</v>
      </c>
      <c r="AL236" s="72">
        <f t="shared" si="19"/>
        <v>0</v>
      </c>
      <c r="AM236">
        <v>-1</v>
      </c>
      <c r="AO236" s="102">
        <f t="shared" si="20"/>
        <v>241908</v>
      </c>
      <c r="AP236" s="103">
        <f t="shared" si="21"/>
        <v>237767</v>
      </c>
      <c r="AQ236" s="101">
        <f t="shared" si="22"/>
        <v>73106</v>
      </c>
      <c r="AR236" s="104">
        <f t="shared" si="23"/>
        <v>109751</v>
      </c>
    </row>
    <row r="237" spans="1:44">
      <c r="A237" s="14" t="s">
        <v>1017</v>
      </c>
      <c r="B237" s="15" t="s">
        <v>1018</v>
      </c>
      <c r="C237" s="14" t="s">
        <v>1220</v>
      </c>
      <c r="D237" s="14">
        <v>74</v>
      </c>
      <c r="E237" s="15" t="s">
        <v>709</v>
      </c>
      <c r="F237" s="15" t="s">
        <v>712</v>
      </c>
      <c r="G237" s="14" t="s">
        <v>713</v>
      </c>
      <c r="H237" s="14"/>
      <c r="I237" s="14"/>
      <c r="J237" s="16">
        <v>5043.6400000000003</v>
      </c>
      <c r="K237" s="66">
        <v>3906921</v>
      </c>
      <c r="L237" s="66">
        <v>1495615</v>
      </c>
      <c r="M237" s="28">
        <v>5402536</v>
      </c>
      <c r="N237" s="64">
        <v>33235948</v>
      </c>
      <c r="O237" s="64">
        <v>2607208</v>
      </c>
      <c r="P237" s="64">
        <v>288215</v>
      </c>
      <c r="Q237" s="28">
        <v>36131371</v>
      </c>
      <c r="R237" s="62">
        <v>2091266</v>
      </c>
      <c r="S237" s="28">
        <v>43625173</v>
      </c>
      <c r="T237" s="81">
        <v>2289414</v>
      </c>
      <c r="U237" s="81">
        <v>1643170</v>
      </c>
      <c r="V237" s="81">
        <v>0</v>
      </c>
      <c r="W237" s="81">
        <v>3283865</v>
      </c>
      <c r="X237" s="28">
        <v>50841623</v>
      </c>
      <c r="Y237" s="28">
        <v>7041747</v>
      </c>
      <c r="Z237" s="28">
        <v>3457026</v>
      </c>
      <c r="AA237" s="28">
        <v>37365796</v>
      </c>
      <c r="AB237" s="28">
        <v>2977054</v>
      </c>
      <c r="AC237" s="40" t="s">
        <v>184</v>
      </c>
      <c r="AD237" s="41">
        <v>761</v>
      </c>
      <c r="AE237" s="42">
        <v>1</v>
      </c>
      <c r="AF237" s="40" t="s">
        <v>712</v>
      </c>
      <c r="AG237" s="68">
        <v>357810.42</v>
      </c>
      <c r="AH237" s="42">
        <v>1</v>
      </c>
      <c r="AI237" s="40" t="s">
        <v>712</v>
      </c>
      <c r="AJ237" s="70">
        <v>530124.53</v>
      </c>
      <c r="AK237" s="72">
        <f t="shared" si="18"/>
        <v>-357810.42</v>
      </c>
      <c r="AL237" s="72">
        <f t="shared" si="19"/>
        <v>-530124.53</v>
      </c>
      <c r="AM237">
        <v>-1</v>
      </c>
      <c r="AO237" s="102">
        <f t="shared" si="20"/>
        <v>3134826</v>
      </c>
      <c r="AP237" s="103">
        <f t="shared" si="21"/>
        <v>1961411</v>
      </c>
      <c r="AQ237" s="101">
        <f t="shared" si="22"/>
        <v>1234425</v>
      </c>
      <c r="AR237" s="104">
        <f t="shared" si="23"/>
        <v>885788</v>
      </c>
    </row>
    <row r="238" spans="1:44">
      <c r="A238" s="14" t="s">
        <v>1017</v>
      </c>
      <c r="B238" s="15" t="s">
        <v>1018</v>
      </c>
      <c r="C238" s="14" t="s">
        <v>1220</v>
      </c>
      <c r="D238" s="14">
        <v>74</v>
      </c>
      <c r="E238" s="15" t="s">
        <v>709</v>
      </c>
      <c r="F238" s="15" t="s">
        <v>714</v>
      </c>
      <c r="G238" s="14" t="s">
        <v>715</v>
      </c>
      <c r="H238" s="14"/>
      <c r="I238" s="14"/>
      <c r="J238" s="16">
        <v>745.89</v>
      </c>
      <c r="K238" s="66">
        <v>197420</v>
      </c>
      <c r="L238" s="66">
        <v>351724</v>
      </c>
      <c r="M238" s="28">
        <v>549144</v>
      </c>
      <c r="N238" s="64">
        <v>4502503</v>
      </c>
      <c r="O238" s="64">
        <v>77601</v>
      </c>
      <c r="P238" s="64">
        <v>12663</v>
      </c>
      <c r="Q238" s="28">
        <v>4592767</v>
      </c>
      <c r="R238" s="62">
        <v>39144</v>
      </c>
      <c r="S238" s="28">
        <v>5181055</v>
      </c>
      <c r="T238" s="81">
        <v>292575</v>
      </c>
      <c r="U238" s="81">
        <v>149535</v>
      </c>
      <c r="V238" s="81">
        <v>0</v>
      </c>
      <c r="W238" s="81">
        <v>1391083</v>
      </c>
      <c r="X238" s="28">
        <v>7014247</v>
      </c>
      <c r="Y238" s="28">
        <v>948080</v>
      </c>
      <c r="Z238" s="28">
        <v>1115486</v>
      </c>
      <c r="AA238" s="28">
        <v>4821954</v>
      </c>
      <c r="AB238" s="28">
        <v>128727</v>
      </c>
      <c r="AC238" s="40" t="s">
        <v>184</v>
      </c>
      <c r="AD238" s="41">
        <v>763</v>
      </c>
      <c r="AE238" s="42">
        <v>1</v>
      </c>
      <c r="AF238" s="40" t="s">
        <v>714</v>
      </c>
      <c r="AG238" s="68">
        <v>32849.56</v>
      </c>
      <c r="AH238" s="42">
        <v>1</v>
      </c>
      <c r="AI238" s="40" t="s">
        <v>714</v>
      </c>
      <c r="AJ238" s="70">
        <v>0</v>
      </c>
      <c r="AK238" s="72">
        <f t="shared" si="18"/>
        <v>-32849.56</v>
      </c>
      <c r="AL238" s="72">
        <f t="shared" si="19"/>
        <v>0</v>
      </c>
      <c r="AM238">
        <v>-1</v>
      </c>
      <c r="AO238" s="102">
        <f t="shared" si="20"/>
        <v>750660</v>
      </c>
      <c r="AP238" s="103">
        <f t="shared" si="21"/>
        <v>763762</v>
      </c>
      <c r="AQ238" s="101">
        <f t="shared" si="22"/>
        <v>229187</v>
      </c>
      <c r="AR238" s="104">
        <f t="shared" si="23"/>
        <v>89583</v>
      </c>
    </row>
    <row r="239" spans="1:44">
      <c r="A239" s="14" t="s">
        <v>1249</v>
      </c>
      <c r="B239" s="15" t="s">
        <v>1250</v>
      </c>
      <c r="C239" s="14" t="s">
        <v>1220</v>
      </c>
      <c r="D239" s="14">
        <v>75</v>
      </c>
      <c r="E239" s="15" t="s">
        <v>716</v>
      </c>
      <c r="F239" s="15" t="s">
        <v>717</v>
      </c>
      <c r="G239" s="14" t="s">
        <v>718</v>
      </c>
      <c r="H239" s="14"/>
      <c r="I239" s="14"/>
      <c r="J239" s="16">
        <v>249.19</v>
      </c>
      <c r="K239" s="66">
        <v>184319</v>
      </c>
      <c r="L239" s="66">
        <v>102211</v>
      </c>
      <c r="M239" s="28">
        <v>286530</v>
      </c>
      <c r="N239" s="64">
        <v>1708806</v>
      </c>
      <c r="O239" s="64">
        <v>73999</v>
      </c>
      <c r="P239" s="64">
        <v>9451</v>
      </c>
      <c r="Q239" s="28">
        <v>1792256</v>
      </c>
      <c r="R239" s="62">
        <v>38559</v>
      </c>
      <c r="S239" s="28">
        <v>2117345</v>
      </c>
      <c r="T239" s="81">
        <v>84311</v>
      </c>
      <c r="U239" s="81">
        <v>51503</v>
      </c>
      <c r="V239" s="81">
        <v>0</v>
      </c>
      <c r="W239" s="81">
        <v>257135</v>
      </c>
      <c r="X239" s="28">
        <v>2510294</v>
      </c>
      <c r="Y239" s="28">
        <v>417099</v>
      </c>
      <c r="Z239" s="28">
        <v>181027</v>
      </c>
      <c r="AA239" s="28">
        <v>1839251</v>
      </c>
      <c r="AB239" s="28">
        <v>72917</v>
      </c>
      <c r="AC239" s="40" t="s">
        <v>184</v>
      </c>
      <c r="AD239" s="41">
        <v>768</v>
      </c>
      <c r="AE239" s="42">
        <v>1</v>
      </c>
      <c r="AF239" s="40" t="s">
        <v>717</v>
      </c>
      <c r="AG239" s="68">
        <v>28600.76</v>
      </c>
      <c r="AH239" s="42">
        <v>1</v>
      </c>
      <c r="AI239" s="40" t="s">
        <v>717</v>
      </c>
      <c r="AJ239" s="70">
        <v>0</v>
      </c>
      <c r="AK239" s="72">
        <f t="shared" si="18"/>
        <v>-28600.76</v>
      </c>
      <c r="AL239" s="72">
        <f t="shared" si="19"/>
        <v>0</v>
      </c>
      <c r="AM239">
        <v>-1</v>
      </c>
      <c r="AO239" s="102">
        <f t="shared" si="20"/>
        <v>232780</v>
      </c>
      <c r="AP239" s="103">
        <f t="shared" si="21"/>
        <v>78816</v>
      </c>
      <c r="AQ239" s="101">
        <f t="shared" si="22"/>
        <v>46995</v>
      </c>
      <c r="AR239" s="104">
        <f t="shared" si="23"/>
        <v>34358</v>
      </c>
    </row>
    <row r="240" spans="1:44">
      <c r="A240" s="14" t="s">
        <v>1249</v>
      </c>
      <c r="B240" s="15" t="s">
        <v>1250</v>
      </c>
      <c r="C240" s="14" t="s">
        <v>1220</v>
      </c>
      <c r="D240" s="14">
        <v>75</v>
      </c>
      <c r="E240" s="15" t="s">
        <v>716</v>
      </c>
      <c r="F240" s="15" t="s">
        <v>719</v>
      </c>
      <c r="G240" s="14" t="s">
        <v>720</v>
      </c>
      <c r="H240" s="14"/>
      <c r="I240" s="14"/>
      <c r="J240" s="16">
        <v>902.92</v>
      </c>
      <c r="K240" s="66">
        <v>569660</v>
      </c>
      <c r="L240" s="66">
        <v>690888</v>
      </c>
      <c r="M240" s="28">
        <v>1260548</v>
      </c>
      <c r="N240" s="64">
        <v>5728182</v>
      </c>
      <c r="O240" s="64">
        <v>771770</v>
      </c>
      <c r="P240" s="64">
        <v>48655</v>
      </c>
      <c r="Q240" s="28">
        <v>6548607</v>
      </c>
      <c r="R240" s="62">
        <v>145348</v>
      </c>
      <c r="S240" s="28">
        <v>7954503</v>
      </c>
      <c r="T240" s="81">
        <v>380349</v>
      </c>
      <c r="U240" s="81">
        <v>473405</v>
      </c>
      <c r="V240" s="81">
        <v>20925</v>
      </c>
      <c r="W240" s="81">
        <v>3087926</v>
      </c>
      <c r="X240" s="28">
        <v>11917110</v>
      </c>
      <c r="Y240" s="28">
        <v>2061665</v>
      </c>
      <c r="Z240" s="28">
        <v>2089100</v>
      </c>
      <c r="AA240" s="28">
        <v>7497167</v>
      </c>
      <c r="AB240" s="28">
        <v>269178</v>
      </c>
      <c r="AC240" s="40" t="s">
        <v>184</v>
      </c>
      <c r="AD240" s="41">
        <v>769</v>
      </c>
      <c r="AE240" s="42">
        <v>1</v>
      </c>
      <c r="AF240" s="40" t="s">
        <v>719</v>
      </c>
      <c r="AG240" s="68">
        <v>88651.58</v>
      </c>
      <c r="AH240" s="42">
        <v>1</v>
      </c>
      <c r="AI240" s="40" t="s">
        <v>719</v>
      </c>
      <c r="AJ240" s="70">
        <v>0</v>
      </c>
      <c r="AK240" s="72">
        <f t="shared" si="18"/>
        <v>-88651.58</v>
      </c>
      <c r="AL240" s="72">
        <f t="shared" si="19"/>
        <v>0</v>
      </c>
      <c r="AM240">
        <v>-1</v>
      </c>
      <c r="AO240" s="102">
        <f t="shared" si="20"/>
        <v>1492005</v>
      </c>
      <c r="AP240" s="103">
        <f t="shared" si="21"/>
        <v>1398212</v>
      </c>
      <c r="AQ240" s="101">
        <f t="shared" si="22"/>
        <v>948560</v>
      </c>
      <c r="AR240" s="104">
        <f t="shared" si="23"/>
        <v>123830</v>
      </c>
    </row>
    <row r="241" spans="1:44">
      <c r="A241" s="14" t="s">
        <v>1249</v>
      </c>
      <c r="B241" s="15" t="s">
        <v>1250</v>
      </c>
      <c r="C241" s="14" t="s">
        <v>1220</v>
      </c>
      <c r="D241" s="14">
        <v>75</v>
      </c>
      <c r="E241" s="15" t="s">
        <v>716</v>
      </c>
      <c r="F241" s="15" t="s">
        <v>721</v>
      </c>
      <c r="G241" s="14" t="s">
        <v>722</v>
      </c>
      <c r="H241" s="14"/>
      <c r="I241" s="14"/>
      <c r="J241" s="16">
        <v>173.12</v>
      </c>
      <c r="K241" s="66">
        <v>410624</v>
      </c>
      <c r="L241" s="66">
        <v>92751</v>
      </c>
      <c r="M241" s="28">
        <v>503375</v>
      </c>
      <c r="N241" s="64">
        <v>1384250</v>
      </c>
      <c r="O241" s="64">
        <v>47209</v>
      </c>
      <c r="P241" s="64">
        <v>15218</v>
      </c>
      <c r="Q241" s="28">
        <v>1446677</v>
      </c>
      <c r="R241" s="62">
        <v>77266</v>
      </c>
      <c r="S241" s="28">
        <v>2027318</v>
      </c>
      <c r="T241" s="81">
        <v>77840</v>
      </c>
      <c r="U241" s="81">
        <v>47484</v>
      </c>
      <c r="V241" s="81">
        <v>0</v>
      </c>
      <c r="W241" s="81">
        <v>3010</v>
      </c>
      <c r="X241" s="28">
        <v>2155651</v>
      </c>
      <c r="Y241" s="28">
        <v>420503</v>
      </c>
      <c r="Z241" s="28">
        <v>161746</v>
      </c>
      <c r="AA241" s="28">
        <v>1462804</v>
      </c>
      <c r="AB241" s="28">
        <v>110597</v>
      </c>
      <c r="AC241" s="40" t="s">
        <v>184</v>
      </c>
      <c r="AD241" s="41">
        <v>771</v>
      </c>
      <c r="AE241" s="42">
        <v>1</v>
      </c>
      <c r="AF241" s="40" t="s">
        <v>721</v>
      </c>
      <c r="AG241" s="68">
        <v>27574.61</v>
      </c>
      <c r="AH241" s="42">
        <v>1</v>
      </c>
      <c r="AI241" s="40" t="s">
        <v>721</v>
      </c>
      <c r="AJ241" s="70">
        <v>0</v>
      </c>
      <c r="AK241" s="72">
        <f t="shared" si="18"/>
        <v>-27574.61</v>
      </c>
      <c r="AL241" s="72">
        <f t="shared" si="19"/>
        <v>0</v>
      </c>
      <c r="AM241">
        <v>-1</v>
      </c>
      <c r="AO241" s="102">
        <f t="shared" si="20"/>
        <v>9879</v>
      </c>
      <c r="AP241" s="103">
        <f t="shared" si="21"/>
        <v>68995</v>
      </c>
      <c r="AQ241" s="101">
        <f t="shared" si="22"/>
        <v>16127</v>
      </c>
      <c r="AR241" s="104">
        <f t="shared" si="23"/>
        <v>33331</v>
      </c>
    </row>
    <row r="242" spans="1:44">
      <c r="A242" s="14" t="s">
        <v>1087</v>
      </c>
      <c r="B242" s="15" t="s">
        <v>1088</v>
      </c>
      <c r="C242" s="14" t="s">
        <v>1220</v>
      </c>
      <c r="D242" s="14">
        <v>76</v>
      </c>
      <c r="E242" s="15" t="s">
        <v>723</v>
      </c>
      <c r="F242" s="15" t="s">
        <v>724</v>
      </c>
      <c r="G242" s="14" t="s">
        <v>725</v>
      </c>
      <c r="H242" s="14"/>
      <c r="I242" s="14"/>
      <c r="J242" s="16">
        <v>563.08000000000004</v>
      </c>
      <c r="K242" s="66">
        <v>221916</v>
      </c>
      <c r="L242" s="66">
        <v>199395</v>
      </c>
      <c r="M242" s="28">
        <v>421311</v>
      </c>
      <c r="N242" s="64">
        <v>4104943</v>
      </c>
      <c r="O242" s="64">
        <v>422216</v>
      </c>
      <c r="P242" s="64">
        <v>42982</v>
      </c>
      <c r="Q242" s="28">
        <v>4570141</v>
      </c>
      <c r="R242" s="62">
        <v>121151</v>
      </c>
      <c r="S242" s="28">
        <v>5112603</v>
      </c>
      <c r="T242" s="81">
        <v>252612</v>
      </c>
      <c r="U242" s="81">
        <v>143774</v>
      </c>
      <c r="V242" s="81">
        <v>0</v>
      </c>
      <c r="W242" s="81">
        <v>544149</v>
      </c>
      <c r="X242" s="28">
        <v>6053139</v>
      </c>
      <c r="Y242" s="28">
        <v>721713</v>
      </c>
      <c r="Z242" s="28">
        <v>427558</v>
      </c>
      <c r="AA242" s="28">
        <v>4664864</v>
      </c>
      <c r="AB242" s="28">
        <v>239003</v>
      </c>
      <c r="AC242" s="40" t="s">
        <v>184</v>
      </c>
      <c r="AD242" s="41">
        <v>775</v>
      </c>
      <c r="AE242" s="42">
        <v>1</v>
      </c>
      <c r="AF242" s="40" t="s">
        <v>724</v>
      </c>
      <c r="AG242" s="68">
        <v>40111.230000000003</v>
      </c>
      <c r="AH242" s="42">
        <v>1</v>
      </c>
      <c r="AI242" s="40" t="s">
        <v>724</v>
      </c>
      <c r="AJ242" s="70">
        <v>2376.11</v>
      </c>
      <c r="AK242" s="72">
        <f t="shared" si="18"/>
        <v>-40111.230000000003</v>
      </c>
      <c r="AL242" s="72">
        <f t="shared" si="19"/>
        <v>-2376.11</v>
      </c>
      <c r="AM242">
        <v>-1</v>
      </c>
      <c r="AO242" s="102">
        <f t="shared" si="20"/>
        <v>499797</v>
      </c>
      <c r="AP242" s="103">
        <f t="shared" si="21"/>
        <v>228163</v>
      </c>
      <c r="AQ242" s="101">
        <f t="shared" si="22"/>
        <v>94723</v>
      </c>
      <c r="AR242" s="104">
        <f t="shared" si="23"/>
        <v>117852</v>
      </c>
    </row>
    <row r="243" spans="1:44">
      <c r="A243" s="14" t="s">
        <v>1087</v>
      </c>
      <c r="B243" s="15" t="s">
        <v>1088</v>
      </c>
      <c r="C243" s="14" t="s">
        <v>1220</v>
      </c>
      <c r="D243" s="14">
        <v>76</v>
      </c>
      <c r="E243" s="15" t="s">
        <v>723</v>
      </c>
      <c r="F243" s="15" t="s">
        <v>726</v>
      </c>
      <c r="G243" s="14" t="s">
        <v>727</v>
      </c>
      <c r="H243" s="14"/>
      <c r="I243" s="14"/>
      <c r="J243" s="16">
        <v>1014.52</v>
      </c>
      <c r="K243" s="66">
        <v>424104</v>
      </c>
      <c r="L243" s="66">
        <v>943143</v>
      </c>
      <c r="M243" s="28">
        <v>1367247</v>
      </c>
      <c r="N243" s="64">
        <v>6774181</v>
      </c>
      <c r="O243" s="64">
        <v>640323</v>
      </c>
      <c r="P243" s="64">
        <v>218779</v>
      </c>
      <c r="Q243" s="28">
        <v>7633283</v>
      </c>
      <c r="R243" s="62">
        <v>175180</v>
      </c>
      <c r="S243" s="28">
        <v>9175710</v>
      </c>
      <c r="T243" s="81">
        <v>443225</v>
      </c>
      <c r="U243" s="81">
        <v>285720</v>
      </c>
      <c r="V243" s="81">
        <v>0</v>
      </c>
      <c r="W243" s="81">
        <v>368044</v>
      </c>
      <c r="X243" s="28">
        <v>10272698</v>
      </c>
      <c r="Y243" s="28">
        <v>785749</v>
      </c>
      <c r="Z243" s="28">
        <v>1400897</v>
      </c>
      <c r="AA243" s="28">
        <v>7741430</v>
      </c>
      <c r="AB243" s="28">
        <v>344622</v>
      </c>
      <c r="AC243" s="40" t="s">
        <v>184</v>
      </c>
      <c r="AD243" s="41">
        <v>777</v>
      </c>
      <c r="AE243" s="42">
        <v>1</v>
      </c>
      <c r="AF243" s="40" t="s">
        <v>726</v>
      </c>
      <c r="AG243" s="68">
        <v>63274.38</v>
      </c>
      <c r="AH243" s="42">
        <v>1</v>
      </c>
      <c r="AI243" s="40" t="s">
        <v>726</v>
      </c>
      <c r="AJ243" s="70">
        <v>1385.75</v>
      </c>
      <c r="AK243" s="72">
        <f t="shared" si="18"/>
        <v>-63274.38</v>
      </c>
      <c r="AL243" s="72">
        <f t="shared" si="19"/>
        <v>-1385.75</v>
      </c>
      <c r="AM243">
        <v>-1</v>
      </c>
      <c r="AO243" s="102">
        <f t="shared" si="20"/>
        <v>361645</v>
      </c>
      <c r="AP243" s="103">
        <f t="shared" si="21"/>
        <v>457754</v>
      </c>
      <c r="AQ243" s="101">
        <f t="shared" si="22"/>
        <v>108147</v>
      </c>
      <c r="AR243" s="104">
        <f t="shared" si="23"/>
        <v>169442</v>
      </c>
    </row>
    <row r="244" spans="1:44">
      <c r="A244" s="14" t="s">
        <v>1132</v>
      </c>
      <c r="B244" s="15" t="s">
        <v>1133</v>
      </c>
      <c r="C244" s="14" t="s">
        <v>1220</v>
      </c>
      <c r="D244" s="14">
        <v>77</v>
      </c>
      <c r="E244" s="15" t="s">
        <v>728</v>
      </c>
      <c r="F244" s="15" t="s">
        <v>557</v>
      </c>
      <c r="G244" s="14" t="s">
        <v>558</v>
      </c>
      <c r="H244" s="14"/>
      <c r="I244" s="14"/>
      <c r="J244" s="16">
        <v>482.83</v>
      </c>
      <c r="K244" s="66">
        <v>50779</v>
      </c>
      <c r="L244" s="66">
        <v>407512</v>
      </c>
      <c r="M244" s="28">
        <v>458291</v>
      </c>
      <c r="N244" s="64">
        <v>3606503</v>
      </c>
      <c r="O244" s="64">
        <v>172709</v>
      </c>
      <c r="P244" s="64">
        <v>12491</v>
      </c>
      <c r="Q244" s="28">
        <v>3791703</v>
      </c>
      <c r="R244" s="62">
        <v>211490</v>
      </c>
      <c r="S244" s="28">
        <v>4461484</v>
      </c>
      <c r="T244" s="81">
        <v>242972</v>
      </c>
      <c r="U244" s="81">
        <v>78672</v>
      </c>
      <c r="V244" s="81">
        <v>9802</v>
      </c>
      <c r="W244" s="81">
        <v>518966</v>
      </c>
      <c r="X244" s="28">
        <v>5311897</v>
      </c>
      <c r="Y244" s="28">
        <v>333196</v>
      </c>
      <c r="Z244" s="28">
        <v>483759</v>
      </c>
      <c r="AA244" s="28">
        <v>4112499</v>
      </c>
      <c r="AB244" s="28">
        <v>382443</v>
      </c>
      <c r="AC244" s="40" t="s">
        <v>184</v>
      </c>
      <c r="AD244" s="41">
        <v>786</v>
      </c>
      <c r="AE244" s="42">
        <v>1</v>
      </c>
      <c r="AF244" s="40" t="s">
        <v>557</v>
      </c>
      <c r="AG244" s="68">
        <v>26184.67</v>
      </c>
      <c r="AH244" s="42">
        <v>1</v>
      </c>
      <c r="AI244" s="40" t="s">
        <v>557</v>
      </c>
      <c r="AJ244" s="70">
        <v>1583</v>
      </c>
      <c r="AK244" s="72">
        <f t="shared" si="18"/>
        <v>-26184.67</v>
      </c>
      <c r="AL244" s="72">
        <f t="shared" si="19"/>
        <v>-1583</v>
      </c>
      <c r="AM244">
        <v>-1</v>
      </c>
      <c r="AO244" s="102">
        <f t="shared" si="20"/>
        <v>282417</v>
      </c>
      <c r="AP244" s="103">
        <f t="shared" si="21"/>
        <v>76247</v>
      </c>
      <c r="AQ244" s="101">
        <f t="shared" si="22"/>
        <v>320796</v>
      </c>
      <c r="AR244" s="104">
        <f t="shared" si="23"/>
        <v>170953</v>
      </c>
    </row>
    <row r="245" spans="1:44">
      <c r="A245" s="14" t="s">
        <v>1132</v>
      </c>
      <c r="B245" s="15" t="s">
        <v>1133</v>
      </c>
      <c r="C245" s="14" t="s">
        <v>1220</v>
      </c>
      <c r="D245" s="14">
        <v>77</v>
      </c>
      <c r="E245" s="15" t="s">
        <v>728</v>
      </c>
      <c r="F245" s="15" t="s">
        <v>559</v>
      </c>
      <c r="G245" s="14" t="s">
        <v>560</v>
      </c>
      <c r="H245" s="14"/>
      <c r="I245" s="14"/>
      <c r="J245" s="16">
        <v>514.55999999999995</v>
      </c>
      <c r="K245" s="66">
        <v>104427</v>
      </c>
      <c r="L245" s="66">
        <v>319254</v>
      </c>
      <c r="M245" s="28">
        <v>423681</v>
      </c>
      <c r="N245" s="64">
        <v>3622579</v>
      </c>
      <c r="O245" s="64">
        <v>387905</v>
      </c>
      <c r="P245" s="64">
        <v>37649</v>
      </c>
      <c r="Q245" s="28">
        <v>4048133</v>
      </c>
      <c r="R245" s="62">
        <v>155851</v>
      </c>
      <c r="S245" s="28">
        <v>4627665</v>
      </c>
      <c r="T245" s="81">
        <v>260064</v>
      </c>
      <c r="U245" s="81">
        <v>63830</v>
      </c>
      <c r="V245" s="81">
        <v>46912</v>
      </c>
      <c r="W245" s="81">
        <v>201589</v>
      </c>
      <c r="X245" s="28">
        <v>5200061</v>
      </c>
      <c r="Y245" s="28">
        <v>286145</v>
      </c>
      <c r="Z245" s="28">
        <v>440969</v>
      </c>
      <c r="AA245" s="28">
        <v>4141927</v>
      </c>
      <c r="AB245" s="28">
        <v>331020</v>
      </c>
      <c r="AC245" s="40" t="s">
        <v>184</v>
      </c>
      <c r="AD245" s="41">
        <v>787</v>
      </c>
      <c r="AE245" s="42">
        <v>1</v>
      </c>
      <c r="AF245" s="40" t="s">
        <v>559</v>
      </c>
      <c r="AG245" s="68">
        <v>24064.61</v>
      </c>
      <c r="AH245" s="42">
        <v>1</v>
      </c>
      <c r="AI245" s="40" t="s">
        <v>559</v>
      </c>
      <c r="AJ245" s="70">
        <v>0</v>
      </c>
      <c r="AK245" s="72">
        <f t="shared" si="18"/>
        <v>-24064.61</v>
      </c>
      <c r="AL245" s="72">
        <f t="shared" si="19"/>
        <v>0</v>
      </c>
      <c r="AM245">
        <v>-1</v>
      </c>
      <c r="AO245" s="102">
        <f t="shared" si="20"/>
        <v>181718</v>
      </c>
      <c r="AP245" s="103">
        <f t="shared" si="21"/>
        <v>121715</v>
      </c>
      <c r="AQ245" s="101">
        <f t="shared" si="22"/>
        <v>93794</v>
      </c>
      <c r="AR245" s="104">
        <f t="shared" si="23"/>
        <v>175169</v>
      </c>
    </row>
    <row r="246" spans="1:44">
      <c r="A246" s="14" t="s">
        <v>1249</v>
      </c>
      <c r="B246" s="15" t="s">
        <v>1250</v>
      </c>
      <c r="C246" s="14" t="s">
        <v>1220</v>
      </c>
      <c r="D246" s="14">
        <v>78</v>
      </c>
      <c r="E246" s="15" t="s">
        <v>561</v>
      </c>
      <c r="F246" s="15" t="s">
        <v>562</v>
      </c>
      <c r="G246" s="14" t="s">
        <v>563</v>
      </c>
      <c r="H246" s="14"/>
      <c r="I246" s="14"/>
      <c r="J246" s="16">
        <v>160.76</v>
      </c>
      <c r="K246" s="66">
        <v>125309</v>
      </c>
      <c r="L246" s="66">
        <v>306952</v>
      </c>
      <c r="M246" s="28">
        <v>432261</v>
      </c>
      <c r="N246" s="64">
        <v>1097989</v>
      </c>
      <c r="O246" s="64">
        <v>120591</v>
      </c>
      <c r="P246" s="64">
        <v>56812</v>
      </c>
      <c r="Q246" s="28">
        <v>1275392</v>
      </c>
      <c r="R246" s="62">
        <v>166528</v>
      </c>
      <c r="S246" s="28">
        <v>1874181</v>
      </c>
      <c r="T246" s="81">
        <v>67595</v>
      </c>
      <c r="U246" s="81">
        <v>40842</v>
      </c>
      <c r="V246" s="81">
        <v>0</v>
      </c>
      <c r="W246" s="81">
        <v>1439</v>
      </c>
      <c r="X246" s="28">
        <v>1984058</v>
      </c>
      <c r="Y246" s="28">
        <v>132246</v>
      </c>
      <c r="Z246" s="28">
        <v>336348</v>
      </c>
      <c r="AA246" s="28">
        <v>1298745</v>
      </c>
      <c r="AB246" s="28">
        <v>216718</v>
      </c>
      <c r="AC246" s="40" t="s">
        <v>184</v>
      </c>
      <c r="AD246" s="41">
        <v>801</v>
      </c>
      <c r="AE246" s="42">
        <v>1</v>
      </c>
      <c r="AF246" s="40" t="s">
        <v>562</v>
      </c>
      <c r="AG246" s="68">
        <v>17629.88</v>
      </c>
      <c r="AH246" s="42">
        <v>1</v>
      </c>
      <c r="AI246" s="40" t="s">
        <v>562</v>
      </c>
      <c r="AJ246" s="70">
        <v>0</v>
      </c>
      <c r="AK246" s="72">
        <f t="shared" si="18"/>
        <v>-17629.88</v>
      </c>
      <c r="AL246" s="72">
        <f t="shared" si="19"/>
        <v>0</v>
      </c>
      <c r="AM246">
        <v>-1</v>
      </c>
      <c r="AO246" s="102">
        <f t="shared" si="20"/>
        <v>6937</v>
      </c>
      <c r="AP246" s="103">
        <f t="shared" si="21"/>
        <v>29396</v>
      </c>
      <c r="AQ246" s="101">
        <f t="shared" si="22"/>
        <v>23353</v>
      </c>
      <c r="AR246" s="104">
        <f t="shared" si="23"/>
        <v>50190</v>
      </c>
    </row>
    <row r="247" spans="1:44">
      <c r="A247" s="14" t="s">
        <v>1249</v>
      </c>
      <c r="B247" s="15" t="s">
        <v>1250</v>
      </c>
      <c r="C247" s="14" t="s">
        <v>1220</v>
      </c>
      <c r="D247" s="14">
        <v>78</v>
      </c>
      <c r="E247" s="15" t="s">
        <v>561</v>
      </c>
      <c r="F247" s="15" t="s">
        <v>564</v>
      </c>
      <c r="G247" s="14" t="s">
        <v>565</v>
      </c>
      <c r="H247" s="14"/>
      <c r="I247" s="14"/>
      <c r="J247" s="16">
        <v>437.86</v>
      </c>
      <c r="K247" s="66">
        <v>300812</v>
      </c>
      <c r="L247" s="66">
        <v>321976</v>
      </c>
      <c r="M247" s="28">
        <v>622788</v>
      </c>
      <c r="N247" s="64">
        <v>3371651</v>
      </c>
      <c r="O247" s="64">
        <v>226590</v>
      </c>
      <c r="P247" s="64">
        <v>14792</v>
      </c>
      <c r="Q247" s="28">
        <v>3613033</v>
      </c>
      <c r="R247" s="62">
        <v>278272</v>
      </c>
      <c r="S247" s="28">
        <v>4514093</v>
      </c>
      <c r="T247" s="81">
        <v>173040</v>
      </c>
      <c r="U247" s="81">
        <v>116009</v>
      </c>
      <c r="V247" s="81">
        <v>0</v>
      </c>
      <c r="W247" s="81">
        <v>171365</v>
      </c>
      <c r="X247" s="28">
        <v>4974506</v>
      </c>
      <c r="Y247" s="28">
        <v>487707</v>
      </c>
      <c r="Z247" s="28">
        <v>483594</v>
      </c>
      <c r="AA247" s="28">
        <v>3648169</v>
      </c>
      <c r="AB247" s="28">
        <v>355036</v>
      </c>
      <c r="AC247" s="40" t="s">
        <v>184</v>
      </c>
      <c r="AD247" s="41">
        <v>803</v>
      </c>
      <c r="AE247" s="42">
        <v>1</v>
      </c>
      <c r="AF247" s="40" t="s">
        <v>564</v>
      </c>
      <c r="AG247" s="68">
        <v>33529.51</v>
      </c>
      <c r="AH247" s="42">
        <v>1</v>
      </c>
      <c r="AI247" s="40" t="s">
        <v>564</v>
      </c>
      <c r="AJ247" s="70">
        <v>0</v>
      </c>
      <c r="AK247" s="72">
        <f t="shared" si="18"/>
        <v>-33529.51</v>
      </c>
      <c r="AL247" s="72">
        <f t="shared" si="19"/>
        <v>0</v>
      </c>
      <c r="AM247">
        <v>-1</v>
      </c>
      <c r="AO247" s="102">
        <f t="shared" si="20"/>
        <v>186895</v>
      </c>
      <c r="AP247" s="103">
        <f t="shared" si="21"/>
        <v>161618</v>
      </c>
      <c r="AQ247" s="101">
        <f t="shared" si="22"/>
        <v>35136</v>
      </c>
      <c r="AR247" s="104">
        <f t="shared" si="23"/>
        <v>76764</v>
      </c>
    </row>
    <row r="248" spans="1:44">
      <c r="A248" s="14" t="s">
        <v>1017</v>
      </c>
      <c r="B248" s="15" t="s">
        <v>1018</v>
      </c>
      <c r="C248" s="14" t="s">
        <v>1220</v>
      </c>
      <c r="D248" s="14">
        <v>79</v>
      </c>
      <c r="E248" s="15" t="s">
        <v>566</v>
      </c>
      <c r="F248" s="15" t="s">
        <v>567</v>
      </c>
      <c r="G248" s="14" t="s">
        <v>568</v>
      </c>
      <c r="H248" s="14"/>
      <c r="I248" s="14"/>
      <c r="J248" s="16">
        <v>633.85</v>
      </c>
      <c r="K248" s="66">
        <v>903968</v>
      </c>
      <c r="L248" s="66">
        <v>419550</v>
      </c>
      <c r="M248" s="28">
        <v>1323518</v>
      </c>
      <c r="N248" s="64">
        <v>4209219</v>
      </c>
      <c r="O248" s="64">
        <v>330141</v>
      </c>
      <c r="P248" s="64">
        <v>70678</v>
      </c>
      <c r="Q248" s="28">
        <v>4610038</v>
      </c>
      <c r="R248" s="62">
        <v>134703</v>
      </c>
      <c r="S248" s="28">
        <v>6068259</v>
      </c>
      <c r="T248" s="81">
        <v>320407</v>
      </c>
      <c r="U248" s="81">
        <v>165971</v>
      </c>
      <c r="V248" s="81">
        <v>1366</v>
      </c>
      <c r="W248" s="81">
        <v>681307</v>
      </c>
      <c r="X248" s="28">
        <v>7237311</v>
      </c>
      <c r="Y248" s="28">
        <v>1526184</v>
      </c>
      <c r="Z248" s="28">
        <v>713526</v>
      </c>
      <c r="AA248" s="28">
        <v>4747823</v>
      </c>
      <c r="AB248" s="28">
        <v>249778</v>
      </c>
      <c r="AC248" s="40" t="s">
        <v>184</v>
      </c>
      <c r="AD248" s="41">
        <v>811</v>
      </c>
      <c r="AE248" s="42">
        <v>1</v>
      </c>
      <c r="AF248" s="40" t="s">
        <v>567</v>
      </c>
      <c r="AG248" s="68">
        <v>59196.56</v>
      </c>
      <c r="AH248" s="42">
        <v>1</v>
      </c>
      <c r="AI248" s="40" t="s">
        <v>567</v>
      </c>
      <c r="AJ248" s="70">
        <v>0</v>
      </c>
      <c r="AK248" s="72">
        <f t="shared" si="18"/>
        <v>-59196.56</v>
      </c>
      <c r="AL248" s="72">
        <f t="shared" si="19"/>
        <v>0</v>
      </c>
      <c r="AM248">
        <v>-1</v>
      </c>
      <c r="AO248" s="102">
        <f t="shared" si="20"/>
        <v>622216</v>
      </c>
      <c r="AP248" s="103">
        <f t="shared" si="21"/>
        <v>293976</v>
      </c>
      <c r="AQ248" s="101">
        <f t="shared" si="22"/>
        <v>137785</v>
      </c>
      <c r="AR248" s="104">
        <f t="shared" si="23"/>
        <v>115075</v>
      </c>
    </row>
    <row r="249" spans="1:44">
      <c r="A249" s="14" t="s">
        <v>1017</v>
      </c>
      <c r="B249" s="15" t="s">
        <v>1018</v>
      </c>
      <c r="C249" s="14" t="s">
        <v>1220</v>
      </c>
      <c r="D249" s="14">
        <v>79</v>
      </c>
      <c r="E249" s="15" t="s">
        <v>566</v>
      </c>
      <c r="F249" s="15" t="s">
        <v>569</v>
      </c>
      <c r="G249" s="14" t="s">
        <v>570</v>
      </c>
      <c r="H249" s="14"/>
      <c r="I249" s="14"/>
      <c r="J249" s="16">
        <v>1329.35</v>
      </c>
      <c r="K249" s="66">
        <v>1009798</v>
      </c>
      <c r="L249" s="66">
        <v>865491</v>
      </c>
      <c r="M249" s="28">
        <v>1875289</v>
      </c>
      <c r="N249" s="64">
        <v>8406967</v>
      </c>
      <c r="O249" s="64">
        <v>509778</v>
      </c>
      <c r="P249" s="64">
        <v>53999</v>
      </c>
      <c r="Q249" s="28">
        <v>8970744</v>
      </c>
      <c r="R249" s="62">
        <v>189904</v>
      </c>
      <c r="S249" s="28">
        <v>11035937</v>
      </c>
      <c r="T249" s="81">
        <v>513844</v>
      </c>
      <c r="U249" s="81">
        <v>368801</v>
      </c>
      <c r="V249" s="81">
        <v>0</v>
      </c>
      <c r="W249" s="81">
        <v>237863</v>
      </c>
      <c r="X249" s="28">
        <v>12156445</v>
      </c>
      <c r="Y249" s="28">
        <v>1317589</v>
      </c>
      <c r="Z249" s="28">
        <v>1412509</v>
      </c>
      <c r="AA249" s="28">
        <v>9082087</v>
      </c>
      <c r="AB249" s="28">
        <v>344261</v>
      </c>
      <c r="AC249" s="40" t="s">
        <v>184</v>
      </c>
      <c r="AD249" s="41">
        <v>813</v>
      </c>
      <c r="AE249" s="42">
        <v>1</v>
      </c>
      <c r="AF249" s="40" t="s">
        <v>569</v>
      </c>
      <c r="AG249" s="68">
        <v>65587.87</v>
      </c>
      <c r="AH249" s="42">
        <v>1</v>
      </c>
      <c r="AI249" s="40" t="s">
        <v>569</v>
      </c>
      <c r="AJ249" s="70">
        <v>0</v>
      </c>
      <c r="AK249" s="72">
        <f t="shared" si="18"/>
        <v>-65587.87</v>
      </c>
      <c r="AL249" s="72">
        <f t="shared" si="19"/>
        <v>0</v>
      </c>
      <c r="AM249">
        <v>-1</v>
      </c>
      <c r="AO249" s="102">
        <f t="shared" si="20"/>
        <v>307791</v>
      </c>
      <c r="AP249" s="103">
        <f t="shared" si="21"/>
        <v>547018</v>
      </c>
      <c r="AQ249" s="101">
        <f t="shared" si="22"/>
        <v>111343</v>
      </c>
      <c r="AR249" s="104">
        <f t="shared" si="23"/>
        <v>154357</v>
      </c>
    </row>
    <row r="250" spans="1:44">
      <c r="A250" s="14" t="s">
        <v>954</v>
      </c>
      <c r="B250" s="15" t="s">
        <v>955</v>
      </c>
      <c r="C250" s="14" t="s">
        <v>943</v>
      </c>
      <c r="D250" s="14">
        <v>34</v>
      </c>
      <c r="E250" s="15" t="s">
        <v>956</v>
      </c>
      <c r="F250" s="15" t="s">
        <v>571</v>
      </c>
      <c r="G250" s="14" t="s">
        <v>572</v>
      </c>
      <c r="H250" s="14"/>
      <c r="I250" s="14"/>
      <c r="J250" s="16">
        <v>4.6900000000000004</v>
      </c>
      <c r="K250" s="66">
        <v>140558</v>
      </c>
      <c r="L250" s="66">
        <v>7972</v>
      </c>
      <c r="M250" s="28">
        <v>148530</v>
      </c>
      <c r="N250" s="64">
        <v>3047</v>
      </c>
      <c r="O250" s="64">
        <v>105673</v>
      </c>
      <c r="P250" s="64">
        <v>5629</v>
      </c>
      <c r="Q250" s="28">
        <v>114349</v>
      </c>
      <c r="R250" s="62">
        <v>25951</v>
      </c>
      <c r="S250" s="28">
        <v>288830</v>
      </c>
      <c r="T250" s="81">
        <v>0</v>
      </c>
      <c r="U250" s="81">
        <v>26305</v>
      </c>
      <c r="V250" s="81">
        <v>0</v>
      </c>
      <c r="W250" s="81">
        <v>0</v>
      </c>
      <c r="X250" s="28">
        <v>315135</v>
      </c>
      <c r="Y250" s="28">
        <v>141695</v>
      </c>
      <c r="Z250" s="28">
        <v>8931</v>
      </c>
      <c r="AA250" s="28">
        <v>138558</v>
      </c>
      <c r="AB250" s="28">
        <v>25951</v>
      </c>
      <c r="AC250" s="40" t="s">
        <v>184</v>
      </c>
      <c r="AD250" s="41">
        <v>815</v>
      </c>
      <c r="AE250" s="42">
        <v>2</v>
      </c>
      <c r="AF250" s="40" t="s">
        <v>571</v>
      </c>
      <c r="AG250" s="68">
        <v>0</v>
      </c>
      <c r="AH250" s="42">
        <v>2</v>
      </c>
      <c r="AI250" s="40" t="s">
        <v>571</v>
      </c>
      <c r="AJ250" s="70">
        <v>0</v>
      </c>
      <c r="AK250" s="72">
        <f t="shared" si="18"/>
        <v>0</v>
      </c>
      <c r="AL250" s="72">
        <f t="shared" si="19"/>
        <v>0</v>
      </c>
      <c r="AM250">
        <v>-1</v>
      </c>
      <c r="AO250" s="102">
        <f t="shared" si="20"/>
        <v>1137</v>
      </c>
      <c r="AP250" s="103">
        <f t="shared" si="21"/>
        <v>959</v>
      </c>
      <c r="AQ250" s="101">
        <f t="shared" si="22"/>
        <v>24209</v>
      </c>
      <c r="AR250" s="104">
        <f t="shared" si="23"/>
        <v>0</v>
      </c>
    </row>
    <row r="251" spans="1:44">
      <c r="A251" s="14" t="s">
        <v>1132</v>
      </c>
      <c r="B251" s="15" t="s">
        <v>1133</v>
      </c>
      <c r="C251" s="14" t="s">
        <v>1220</v>
      </c>
      <c r="D251" s="14">
        <v>80</v>
      </c>
      <c r="E251" s="15" t="s">
        <v>573</v>
      </c>
      <c r="F251" s="15" t="s">
        <v>574</v>
      </c>
      <c r="G251" s="14" t="s">
        <v>575</v>
      </c>
      <c r="H251" s="14"/>
      <c r="I251" s="14"/>
      <c r="J251" s="16">
        <v>449.77</v>
      </c>
      <c r="K251" s="66">
        <v>61717</v>
      </c>
      <c r="L251" s="66">
        <v>352916</v>
      </c>
      <c r="M251" s="28">
        <v>414633</v>
      </c>
      <c r="N251" s="64">
        <v>3058253</v>
      </c>
      <c r="O251" s="64">
        <v>408255</v>
      </c>
      <c r="P251" s="64">
        <v>37690</v>
      </c>
      <c r="Q251" s="28">
        <v>3504198</v>
      </c>
      <c r="R251" s="62">
        <v>125360</v>
      </c>
      <c r="S251" s="28">
        <v>4044191</v>
      </c>
      <c r="T251" s="81">
        <v>221310</v>
      </c>
      <c r="U251" s="81">
        <v>67023</v>
      </c>
      <c r="V251" s="81">
        <v>0</v>
      </c>
      <c r="W251" s="81">
        <v>217434</v>
      </c>
      <c r="X251" s="28">
        <v>4549958</v>
      </c>
      <c r="Y251" s="28">
        <v>217669</v>
      </c>
      <c r="Z251" s="28">
        <v>489244</v>
      </c>
      <c r="AA251" s="28">
        <v>3583475</v>
      </c>
      <c r="AB251" s="28">
        <v>259570</v>
      </c>
      <c r="AC251" s="40" t="s">
        <v>184</v>
      </c>
      <c r="AD251" s="41">
        <v>818</v>
      </c>
      <c r="AE251" s="42">
        <v>1</v>
      </c>
      <c r="AF251" s="40" t="s">
        <v>574</v>
      </c>
      <c r="AG251" s="68">
        <v>19563.45</v>
      </c>
      <c r="AH251" s="42">
        <v>1</v>
      </c>
      <c r="AI251" s="40" t="s">
        <v>574</v>
      </c>
      <c r="AJ251" s="70">
        <v>0</v>
      </c>
      <c r="AK251" s="72">
        <f t="shared" si="18"/>
        <v>-19563.45</v>
      </c>
      <c r="AL251" s="72">
        <f t="shared" si="19"/>
        <v>0</v>
      </c>
      <c r="AM251">
        <v>-1</v>
      </c>
      <c r="AO251" s="102">
        <f t="shared" si="20"/>
        <v>155952</v>
      </c>
      <c r="AP251" s="103">
        <f t="shared" si="21"/>
        <v>136328</v>
      </c>
      <c r="AQ251" s="101">
        <f t="shared" si="22"/>
        <v>79277</v>
      </c>
      <c r="AR251" s="104">
        <f t="shared" si="23"/>
        <v>134210</v>
      </c>
    </row>
    <row r="252" spans="1:44">
      <c r="A252" s="14" t="s">
        <v>1132</v>
      </c>
      <c r="B252" s="15" t="s">
        <v>1133</v>
      </c>
      <c r="C252" s="14" t="s">
        <v>1220</v>
      </c>
      <c r="D252" s="14">
        <v>80</v>
      </c>
      <c r="E252" s="15" t="s">
        <v>573</v>
      </c>
      <c r="F252" s="15" t="s">
        <v>576</v>
      </c>
      <c r="G252" s="14" t="s">
        <v>577</v>
      </c>
      <c r="H252" s="14"/>
      <c r="I252" s="14"/>
      <c r="J252" s="16">
        <v>563.98</v>
      </c>
      <c r="K252" s="66">
        <v>256845</v>
      </c>
      <c r="L252" s="66">
        <v>265824</v>
      </c>
      <c r="M252" s="28">
        <v>522669</v>
      </c>
      <c r="N252" s="64">
        <v>4414872</v>
      </c>
      <c r="O252" s="64">
        <v>149660</v>
      </c>
      <c r="P252" s="64">
        <v>44440</v>
      </c>
      <c r="Q252" s="28">
        <v>4608972</v>
      </c>
      <c r="R252" s="62">
        <v>166532</v>
      </c>
      <c r="S252" s="28">
        <v>5298173</v>
      </c>
      <c r="T252" s="81">
        <v>252315</v>
      </c>
      <c r="U252" s="81">
        <v>58134</v>
      </c>
      <c r="V252" s="81">
        <v>0</v>
      </c>
      <c r="W252" s="81">
        <v>0</v>
      </c>
      <c r="X252" s="28">
        <v>5608622</v>
      </c>
      <c r="Y252" s="28">
        <v>274882</v>
      </c>
      <c r="Z252" s="28">
        <v>358150</v>
      </c>
      <c r="AA252" s="28">
        <v>4652057</v>
      </c>
      <c r="AB252" s="28">
        <v>323533</v>
      </c>
      <c r="AC252" s="40" t="s">
        <v>184</v>
      </c>
      <c r="AD252" s="41">
        <v>820</v>
      </c>
      <c r="AE252" s="42">
        <v>1</v>
      </c>
      <c r="AF252" s="40" t="s">
        <v>576</v>
      </c>
      <c r="AG252" s="68">
        <v>27233.78</v>
      </c>
      <c r="AH252" s="42">
        <v>1</v>
      </c>
      <c r="AI252" s="40" t="s">
        <v>576</v>
      </c>
      <c r="AJ252" s="70">
        <v>0</v>
      </c>
      <c r="AK252" s="72">
        <f t="shared" si="18"/>
        <v>-27233.78</v>
      </c>
      <c r="AL252" s="72">
        <f t="shared" si="19"/>
        <v>0</v>
      </c>
      <c r="AM252">
        <v>-1</v>
      </c>
      <c r="AO252" s="102">
        <f t="shared" si="20"/>
        <v>18037</v>
      </c>
      <c r="AP252" s="103">
        <f t="shared" si="21"/>
        <v>92326</v>
      </c>
      <c r="AQ252" s="101">
        <f t="shared" si="22"/>
        <v>43085</v>
      </c>
      <c r="AR252" s="104">
        <f t="shared" si="23"/>
        <v>157001</v>
      </c>
    </row>
    <row r="253" spans="1:44">
      <c r="A253" s="14" t="s">
        <v>1132</v>
      </c>
      <c r="B253" s="15" t="s">
        <v>1133</v>
      </c>
      <c r="C253" s="14" t="s">
        <v>1220</v>
      </c>
      <c r="D253" s="14">
        <v>80</v>
      </c>
      <c r="E253" s="15" t="s">
        <v>573</v>
      </c>
      <c r="F253" s="15" t="s">
        <v>578</v>
      </c>
      <c r="G253" s="14" t="s">
        <v>579</v>
      </c>
      <c r="H253" s="14"/>
      <c r="I253" s="14"/>
      <c r="J253" s="16">
        <v>764.88</v>
      </c>
      <c r="K253" s="66">
        <v>336837</v>
      </c>
      <c r="L253" s="66">
        <v>426056</v>
      </c>
      <c r="M253" s="28">
        <v>762893</v>
      </c>
      <c r="N253" s="64">
        <v>5210790</v>
      </c>
      <c r="O253" s="64">
        <v>307888</v>
      </c>
      <c r="P253" s="64">
        <v>35843</v>
      </c>
      <c r="Q253" s="28">
        <v>5554521</v>
      </c>
      <c r="R253" s="62">
        <v>236264</v>
      </c>
      <c r="S253" s="28">
        <v>6553678</v>
      </c>
      <c r="T253" s="81">
        <v>318964</v>
      </c>
      <c r="U253" s="81">
        <v>94646</v>
      </c>
      <c r="V253" s="81">
        <v>0</v>
      </c>
      <c r="W253" s="81">
        <v>357429</v>
      </c>
      <c r="X253" s="28">
        <v>7324717</v>
      </c>
      <c r="Y253" s="28">
        <v>678695</v>
      </c>
      <c r="Z253" s="28">
        <v>543796</v>
      </c>
      <c r="AA253" s="28">
        <v>5660145</v>
      </c>
      <c r="AB253" s="28">
        <v>442081</v>
      </c>
      <c r="AC253" s="40" t="s">
        <v>184</v>
      </c>
      <c r="AD253" s="41">
        <v>821</v>
      </c>
      <c r="AE253" s="42">
        <v>1</v>
      </c>
      <c r="AF253" s="40" t="s">
        <v>578</v>
      </c>
      <c r="AG253" s="68">
        <v>49875.75</v>
      </c>
      <c r="AH253" s="42">
        <v>1</v>
      </c>
      <c r="AI253" s="40" t="s">
        <v>578</v>
      </c>
      <c r="AJ253" s="70">
        <v>0</v>
      </c>
      <c r="AK253" s="72">
        <f t="shared" si="18"/>
        <v>-49875.75</v>
      </c>
      <c r="AL253" s="72">
        <f t="shared" si="19"/>
        <v>0</v>
      </c>
      <c r="AM253">
        <v>-1</v>
      </c>
      <c r="AO253" s="102">
        <f t="shared" si="20"/>
        <v>341858</v>
      </c>
      <c r="AP253" s="103">
        <f t="shared" si="21"/>
        <v>117740</v>
      </c>
      <c r="AQ253" s="101">
        <f t="shared" si="22"/>
        <v>105624</v>
      </c>
      <c r="AR253" s="104">
        <f t="shared" si="23"/>
        <v>205817</v>
      </c>
    </row>
    <row r="254" spans="1:44">
      <c r="A254" s="14" t="s">
        <v>1092</v>
      </c>
      <c r="B254" s="15" t="s">
        <v>1093</v>
      </c>
      <c r="C254" s="14" t="s">
        <v>1220</v>
      </c>
      <c r="D254" s="14">
        <v>81</v>
      </c>
      <c r="E254" s="15" t="s">
        <v>580</v>
      </c>
      <c r="F254" s="15" t="s">
        <v>581</v>
      </c>
      <c r="G254" s="14" t="s">
        <v>582</v>
      </c>
      <c r="H254" s="14"/>
      <c r="I254" s="14"/>
      <c r="J254" s="16">
        <v>1953.5</v>
      </c>
      <c r="K254" s="66">
        <v>1281993</v>
      </c>
      <c r="L254" s="66">
        <v>2326428</v>
      </c>
      <c r="M254" s="28">
        <v>3608421</v>
      </c>
      <c r="N254" s="64">
        <v>12900406</v>
      </c>
      <c r="O254" s="64">
        <v>2189997</v>
      </c>
      <c r="P254" s="64">
        <v>389159</v>
      </c>
      <c r="Q254" s="28">
        <v>15479562</v>
      </c>
      <c r="R254" s="62">
        <v>2233209</v>
      </c>
      <c r="S254" s="28">
        <v>21321192</v>
      </c>
      <c r="T254" s="81">
        <v>935741</v>
      </c>
      <c r="U254" s="81">
        <v>1145967</v>
      </c>
      <c r="V254" s="81">
        <v>0</v>
      </c>
      <c r="W254" s="81">
        <v>1276113</v>
      </c>
      <c r="X254" s="28">
        <v>24679013</v>
      </c>
      <c r="Y254" s="28">
        <v>2471506</v>
      </c>
      <c r="Z254" s="28">
        <v>3707831</v>
      </c>
      <c r="AA254" s="28">
        <v>15946769</v>
      </c>
      <c r="AB254" s="28">
        <v>2552906</v>
      </c>
      <c r="AC254" s="40" t="s">
        <v>184</v>
      </c>
      <c r="AD254" s="41">
        <v>829</v>
      </c>
      <c r="AE254" s="42">
        <v>1</v>
      </c>
      <c r="AF254" s="40" t="s">
        <v>581</v>
      </c>
      <c r="AG254" s="68">
        <v>173969.23</v>
      </c>
      <c r="AH254" s="42">
        <v>1</v>
      </c>
      <c r="AI254" s="40" t="s">
        <v>581</v>
      </c>
      <c r="AJ254" s="70">
        <v>151278.93</v>
      </c>
      <c r="AK254" s="72">
        <f t="shared" si="18"/>
        <v>-173969.23</v>
      </c>
      <c r="AL254" s="72">
        <f t="shared" si="19"/>
        <v>-151278.93</v>
      </c>
      <c r="AM254">
        <v>-1</v>
      </c>
      <c r="AO254" s="102">
        <f t="shared" si="20"/>
        <v>1189513</v>
      </c>
      <c r="AP254" s="103">
        <f t="shared" si="21"/>
        <v>1381403</v>
      </c>
      <c r="AQ254" s="101">
        <f t="shared" si="22"/>
        <v>467207</v>
      </c>
      <c r="AR254" s="104">
        <f t="shared" si="23"/>
        <v>319697</v>
      </c>
    </row>
    <row r="255" spans="1:44">
      <c r="A255" s="14" t="s">
        <v>1224</v>
      </c>
      <c r="B255" s="15" t="s">
        <v>1225</v>
      </c>
      <c r="C255" s="14" t="s">
        <v>1220</v>
      </c>
      <c r="D255" s="14">
        <v>82</v>
      </c>
      <c r="E255" s="15" t="s">
        <v>583</v>
      </c>
      <c r="F255" s="15" t="s">
        <v>584</v>
      </c>
      <c r="G255" s="14" t="s">
        <v>585</v>
      </c>
      <c r="H255" s="14"/>
      <c r="I255" s="14"/>
      <c r="J255" s="16">
        <v>7382.13</v>
      </c>
      <c r="K255" s="66">
        <v>8313430</v>
      </c>
      <c r="L255" s="66">
        <v>2002019</v>
      </c>
      <c r="M255" s="28">
        <v>10315449</v>
      </c>
      <c r="N255" s="64">
        <v>45377414</v>
      </c>
      <c r="O255" s="64">
        <v>3868456</v>
      </c>
      <c r="P255" s="64">
        <v>371413</v>
      </c>
      <c r="Q255" s="28">
        <v>49617283</v>
      </c>
      <c r="R255" s="62">
        <v>2463213</v>
      </c>
      <c r="S255" s="28">
        <v>62395945</v>
      </c>
      <c r="T255" s="81">
        <v>3711974</v>
      </c>
      <c r="U255" s="81">
        <v>3588784</v>
      </c>
      <c r="V255" s="81">
        <v>0</v>
      </c>
      <c r="W255" s="81">
        <v>5538763</v>
      </c>
      <c r="X255" s="28">
        <v>75235466</v>
      </c>
      <c r="Y255" s="28">
        <v>12940182</v>
      </c>
      <c r="Z255" s="28">
        <v>8500537</v>
      </c>
      <c r="AA255" s="28">
        <v>50438524</v>
      </c>
      <c r="AB255" s="28">
        <v>3356223</v>
      </c>
      <c r="AC255" s="40" t="s">
        <v>184</v>
      </c>
      <c r="AD255" s="41">
        <v>831</v>
      </c>
      <c r="AE255" s="42">
        <v>1</v>
      </c>
      <c r="AF255" s="40" t="s">
        <v>584</v>
      </c>
      <c r="AG255" s="68">
        <v>719006.69</v>
      </c>
      <c r="AH255" s="42">
        <v>1</v>
      </c>
      <c r="AI255" s="40" t="s">
        <v>584</v>
      </c>
      <c r="AJ255" s="70">
        <v>145485.15</v>
      </c>
      <c r="AK255" s="72">
        <f t="shared" si="18"/>
        <v>-719006.69</v>
      </c>
      <c r="AL255" s="72">
        <f t="shared" si="19"/>
        <v>-145485.15</v>
      </c>
      <c r="AM255">
        <v>-1</v>
      </c>
      <c r="AO255" s="102">
        <f t="shared" si="20"/>
        <v>4626752</v>
      </c>
      <c r="AP255" s="103">
        <f t="shared" si="21"/>
        <v>6498518</v>
      </c>
      <c r="AQ255" s="101">
        <f t="shared" si="22"/>
        <v>821241</v>
      </c>
      <c r="AR255" s="104">
        <f t="shared" si="23"/>
        <v>893010</v>
      </c>
    </row>
    <row r="256" spans="1:44">
      <c r="A256" s="14" t="s">
        <v>1224</v>
      </c>
      <c r="B256" s="15" t="s">
        <v>1225</v>
      </c>
      <c r="C256" s="14" t="s">
        <v>1220</v>
      </c>
      <c r="D256" s="14">
        <v>82</v>
      </c>
      <c r="E256" s="15" t="s">
        <v>583</v>
      </c>
      <c r="F256" s="15" t="s">
        <v>586</v>
      </c>
      <c r="G256" s="14" t="s">
        <v>587</v>
      </c>
      <c r="H256" s="14"/>
      <c r="I256" s="14"/>
      <c r="J256" s="16">
        <v>3052.42</v>
      </c>
      <c r="K256" s="66">
        <v>4918238</v>
      </c>
      <c r="L256" s="66">
        <v>1438634</v>
      </c>
      <c r="M256" s="28">
        <v>6356872</v>
      </c>
      <c r="N256" s="64">
        <v>18178570</v>
      </c>
      <c r="O256" s="64">
        <v>1620182</v>
      </c>
      <c r="P256" s="64">
        <v>413541</v>
      </c>
      <c r="Q256" s="28">
        <v>20212293</v>
      </c>
      <c r="R256" s="62">
        <v>868838</v>
      </c>
      <c r="S256" s="28">
        <v>27438003</v>
      </c>
      <c r="T256" s="81">
        <v>1164082</v>
      </c>
      <c r="U256" s="81">
        <v>1916130</v>
      </c>
      <c r="V256" s="81">
        <v>51936</v>
      </c>
      <c r="W256" s="81">
        <v>2990707</v>
      </c>
      <c r="X256" s="28">
        <v>33560857</v>
      </c>
      <c r="Y256" s="28">
        <v>8034054</v>
      </c>
      <c r="Z256" s="28">
        <v>4103643</v>
      </c>
      <c r="AA256" s="28">
        <v>20409625</v>
      </c>
      <c r="AB256" s="28">
        <v>1013535</v>
      </c>
      <c r="AC256" s="40" t="s">
        <v>184</v>
      </c>
      <c r="AD256" s="41">
        <v>832</v>
      </c>
      <c r="AE256" s="42">
        <v>1</v>
      </c>
      <c r="AF256" s="40" t="s">
        <v>586</v>
      </c>
      <c r="AG256" s="68">
        <v>156336.22</v>
      </c>
      <c r="AH256" s="42">
        <v>1</v>
      </c>
      <c r="AI256" s="40" t="s">
        <v>586</v>
      </c>
      <c r="AJ256" s="70">
        <v>1345</v>
      </c>
      <c r="AK256" s="72">
        <f t="shared" si="18"/>
        <v>-156336.22</v>
      </c>
      <c r="AL256" s="72">
        <f t="shared" si="19"/>
        <v>-1345</v>
      </c>
      <c r="AM256">
        <v>-1</v>
      </c>
      <c r="AO256" s="102">
        <f t="shared" si="20"/>
        <v>3115816</v>
      </c>
      <c r="AP256" s="103">
        <f t="shared" si="21"/>
        <v>2665009</v>
      </c>
      <c r="AQ256" s="101">
        <f t="shared" si="22"/>
        <v>197332</v>
      </c>
      <c r="AR256" s="104">
        <f t="shared" si="23"/>
        <v>144697</v>
      </c>
    </row>
    <row r="257" spans="1:44">
      <c r="A257" s="14" t="s">
        <v>1224</v>
      </c>
      <c r="B257" s="15" t="s">
        <v>1225</v>
      </c>
      <c r="C257" s="14" t="s">
        <v>1220</v>
      </c>
      <c r="D257" s="14">
        <v>82</v>
      </c>
      <c r="E257" s="15" t="s">
        <v>583</v>
      </c>
      <c r="F257" s="15" t="s">
        <v>588</v>
      </c>
      <c r="G257" s="14" t="s">
        <v>589</v>
      </c>
      <c r="H257" s="14"/>
      <c r="I257" s="14"/>
      <c r="J257" s="16">
        <v>16664.169999999998</v>
      </c>
      <c r="K257" s="66">
        <v>22744244</v>
      </c>
      <c r="L257" s="66">
        <v>4532370</v>
      </c>
      <c r="M257" s="28">
        <v>27276614</v>
      </c>
      <c r="N257" s="64">
        <v>104442011</v>
      </c>
      <c r="O257" s="64">
        <v>8726329</v>
      </c>
      <c r="P257" s="64">
        <v>3551337</v>
      </c>
      <c r="Q257" s="28">
        <v>116719677</v>
      </c>
      <c r="R257" s="62">
        <v>3705720</v>
      </c>
      <c r="S257" s="28">
        <v>147702011</v>
      </c>
      <c r="T257" s="81">
        <v>6216148</v>
      </c>
      <c r="U257" s="81">
        <v>8768990</v>
      </c>
      <c r="V257" s="81">
        <v>8138897</v>
      </c>
      <c r="W257" s="81">
        <v>15831308</v>
      </c>
      <c r="X257" s="28">
        <v>186657355</v>
      </c>
      <c r="Y257" s="28">
        <v>41115033</v>
      </c>
      <c r="Z257" s="28">
        <v>21864823</v>
      </c>
      <c r="AA257" s="28">
        <v>118700281</v>
      </c>
      <c r="AB257" s="28">
        <v>4977218</v>
      </c>
      <c r="AC257" s="40" t="s">
        <v>184</v>
      </c>
      <c r="AD257" s="41">
        <v>833</v>
      </c>
      <c r="AE257" s="42">
        <v>1</v>
      </c>
      <c r="AF257" s="40" t="s">
        <v>588</v>
      </c>
      <c r="AG257" s="68">
        <v>1397415.27</v>
      </c>
      <c r="AH257" s="42">
        <v>1</v>
      </c>
      <c r="AI257" s="40" t="s">
        <v>588</v>
      </c>
      <c r="AJ257" s="70">
        <v>209736.74</v>
      </c>
      <c r="AK257" s="72">
        <f t="shared" si="18"/>
        <v>-1397415.27</v>
      </c>
      <c r="AL257" s="72">
        <f t="shared" si="19"/>
        <v>-209736.74</v>
      </c>
      <c r="AM257">
        <v>-1</v>
      </c>
      <c r="AO257" s="102">
        <f t="shared" si="20"/>
        <v>18370789</v>
      </c>
      <c r="AP257" s="103">
        <f t="shared" si="21"/>
        <v>17332453</v>
      </c>
      <c r="AQ257" s="101">
        <f t="shared" si="22"/>
        <v>1980604</v>
      </c>
      <c r="AR257" s="104">
        <f t="shared" si="23"/>
        <v>1271498</v>
      </c>
    </row>
    <row r="258" spans="1:44">
      <c r="A258" s="14" t="s">
        <v>1224</v>
      </c>
      <c r="B258" s="15" t="s">
        <v>1225</v>
      </c>
      <c r="C258" s="14" t="s">
        <v>1220</v>
      </c>
      <c r="D258" s="14">
        <v>82</v>
      </c>
      <c r="E258" s="15" t="s">
        <v>583</v>
      </c>
      <c r="F258" s="15" t="s">
        <v>590</v>
      </c>
      <c r="G258" s="14" t="s">
        <v>591</v>
      </c>
      <c r="H258" s="14"/>
      <c r="I258" s="14"/>
      <c r="J258" s="16">
        <v>9039.3700000000008</v>
      </c>
      <c r="K258" s="66">
        <v>13709624</v>
      </c>
      <c r="L258" s="66">
        <v>5066370</v>
      </c>
      <c r="M258" s="28">
        <v>18775994</v>
      </c>
      <c r="N258" s="64">
        <v>53226534</v>
      </c>
      <c r="O258" s="64">
        <v>5129363</v>
      </c>
      <c r="P258" s="64">
        <v>1436420</v>
      </c>
      <c r="Q258" s="28">
        <v>59792317</v>
      </c>
      <c r="R258" s="62">
        <v>2185311</v>
      </c>
      <c r="S258" s="28">
        <v>80753622</v>
      </c>
      <c r="T258" s="81">
        <v>3544584</v>
      </c>
      <c r="U258" s="81">
        <v>3674429</v>
      </c>
      <c r="V258" s="81">
        <v>2259324</v>
      </c>
      <c r="W258" s="81">
        <v>8900446</v>
      </c>
      <c r="X258" s="28">
        <v>99132404</v>
      </c>
      <c r="Y258" s="28">
        <v>24153941</v>
      </c>
      <c r="Z258" s="28">
        <v>11416600</v>
      </c>
      <c r="AA258" s="28">
        <v>60653946</v>
      </c>
      <c r="AB258" s="28">
        <v>2907917</v>
      </c>
      <c r="AC258" s="40" t="s">
        <v>184</v>
      </c>
      <c r="AD258" s="41">
        <v>834</v>
      </c>
      <c r="AE258" s="42">
        <v>1</v>
      </c>
      <c r="AF258" s="40" t="s">
        <v>590</v>
      </c>
      <c r="AG258" s="68">
        <v>630413.35</v>
      </c>
      <c r="AH258" s="42">
        <v>1</v>
      </c>
      <c r="AI258" s="40" t="s">
        <v>590</v>
      </c>
      <c r="AJ258" s="70">
        <v>169689.06</v>
      </c>
      <c r="AK258" s="72">
        <f t="shared" si="18"/>
        <v>-630413.35</v>
      </c>
      <c r="AL258" s="72">
        <f t="shared" si="19"/>
        <v>-169689.06</v>
      </c>
      <c r="AM258">
        <v>-1</v>
      </c>
      <c r="AO258" s="102">
        <f t="shared" si="20"/>
        <v>10444317</v>
      </c>
      <c r="AP258" s="103">
        <f t="shared" si="21"/>
        <v>6350230</v>
      </c>
      <c r="AQ258" s="101">
        <f t="shared" si="22"/>
        <v>861629</v>
      </c>
      <c r="AR258" s="104">
        <f t="shared" si="23"/>
        <v>722606</v>
      </c>
    </row>
    <row r="259" spans="1:44">
      <c r="A259" s="14" t="s">
        <v>1092</v>
      </c>
      <c r="B259" s="15" t="s">
        <v>1093</v>
      </c>
      <c r="C259" s="14" t="s">
        <v>1220</v>
      </c>
      <c r="D259" s="14">
        <v>83</v>
      </c>
      <c r="E259" s="15" t="s">
        <v>592</v>
      </c>
      <c r="F259" s="15" t="s">
        <v>593</v>
      </c>
      <c r="G259" s="14" t="s">
        <v>594</v>
      </c>
      <c r="H259" s="14"/>
      <c r="I259" s="14"/>
      <c r="J259" s="16">
        <v>202.61</v>
      </c>
      <c r="K259" s="66">
        <v>251731</v>
      </c>
      <c r="L259" s="66">
        <v>96483</v>
      </c>
      <c r="M259" s="28">
        <v>348214</v>
      </c>
      <c r="N259" s="64">
        <v>1610415</v>
      </c>
      <c r="O259" s="64">
        <v>84075</v>
      </c>
      <c r="P259" s="64">
        <v>34807</v>
      </c>
      <c r="Q259" s="28">
        <v>1729297</v>
      </c>
      <c r="R259" s="62">
        <v>61252</v>
      </c>
      <c r="S259" s="28">
        <v>2138763</v>
      </c>
      <c r="T259" s="81">
        <v>89591</v>
      </c>
      <c r="U259" s="81">
        <v>65252</v>
      </c>
      <c r="V259" s="81">
        <v>0</v>
      </c>
      <c r="W259" s="81">
        <v>0</v>
      </c>
      <c r="X259" s="28">
        <v>2293605</v>
      </c>
      <c r="Y259" s="28">
        <v>272968</v>
      </c>
      <c r="Z259" s="28">
        <v>153978</v>
      </c>
      <c r="AA259" s="28">
        <v>1753853</v>
      </c>
      <c r="AB259" s="28">
        <v>112806</v>
      </c>
      <c r="AC259" s="40" t="s">
        <v>184</v>
      </c>
      <c r="AD259" s="41">
        <v>836</v>
      </c>
      <c r="AE259" s="42">
        <v>1</v>
      </c>
      <c r="AF259" s="40" t="s">
        <v>593</v>
      </c>
      <c r="AG259" s="68">
        <v>22666.74</v>
      </c>
      <c r="AH259" s="42">
        <v>1</v>
      </c>
      <c r="AI259" s="40" t="s">
        <v>593</v>
      </c>
      <c r="AJ259" s="70">
        <v>1305</v>
      </c>
      <c r="AK259" s="72">
        <f t="shared" si="18"/>
        <v>-22666.74</v>
      </c>
      <c r="AL259" s="72">
        <f t="shared" si="19"/>
        <v>-1305</v>
      </c>
      <c r="AM259">
        <v>-1</v>
      </c>
      <c r="AO259" s="102">
        <f t="shared" si="20"/>
        <v>21237</v>
      </c>
      <c r="AP259" s="103">
        <f t="shared" si="21"/>
        <v>57495</v>
      </c>
      <c r="AQ259" s="101">
        <f t="shared" si="22"/>
        <v>24556</v>
      </c>
      <c r="AR259" s="104">
        <f t="shared" si="23"/>
        <v>51554</v>
      </c>
    </row>
    <row r="260" spans="1:44">
      <c r="A260" s="14" t="s">
        <v>1092</v>
      </c>
      <c r="B260" s="15" t="s">
        <v>1093</v>
      </c>
      <c r="C260" s="14" t="s">
        <v>1220</v>
      </c>
      <c r="D260" s="14">
        <v>83</v>
      </c>
      <c r="E260" s="15" t="s">
        <v>592</v>
      </c>
      <c r="F260" s="15" t="s">
        <v>595</v>
      </c>
      <c r="G260" s="14" t="s">
        <v>596</v>
      </c>
      <c r="H260" s="14"/>
      <c r="I260" s="14"/>
      <c r="J260" s="16">
        <v>578.33000000000004</v>
      </c>
      <c r="K260" s="66">
        <v>409997</v>
      </c>
      <c r="L260" s="66">
        <v>336295</v>
      </c>
      <c r="M260" s="28">
        <v>746292</v>
      </c>
      <c r="N260" s="64">
        <v>4102796</v>
      </c>
      <c r="O260" s="64">
        <v>305545</v>
      </c>
      <c r="P260" s="64">
        <v>206148</v>
      </c>
      <c r="Q260" s="28">
        <v>4614489</v>
      </c>
      <c r="R260" s="62">
        <v>145913</v>
      </c>
      <c r="S260" s="28">
        <v>5506694</v>
      </c>
      <c r="T260" s="81">
        <v>259057</v>
      </c>
      <c r="U260" s="81">
        <v>116880</v>
      </c>
      <c r="V260" s="81">
        <v>4361</v>
      </c>
      <c r="W260" s="81">
        <v>643885</v>
      </c>
      <c r="X260" s="28">
        <v>6530877</v>
      </c>
      <c r="Y260" s="28">
        <v>916862</v>
      </c>
      <c r="Z260" s="28">
        <v>616401</v>
      </c>
      <c r="AA260" s="28">
        <v>4715127</v>
      </c>
      <c r="AB260" s="28">
        <v>282487</v>
      </c>
      <c r="AC260" s="40" t="s">
        <v>184</v>
      </c>
      <c r="AD260" s="41">
        <v>837</v>
      </c>
      <c r="AE260" s="42">
        <v>1</v>
      </c>
      <c r="AF260" s="40" t="s">
        <v>595</v>
      </c>
      <c r="AG260" s="68">
        <v>42600.89</v>
      </c>
      <c r="AH260" s="42">
        <v>1</v>
      </c>
      <c r="AI260" s="40" t="s">
        <v>595</v>
      </c>
      <c r="AJ260" s="70">
        <v>5353</v>
      </c>
      <c r="AK260" s="72">
        <f t="shared" si="18"/>
        <v>-42600.89</v>
      </c>
      <c r="AL260" s="72">
        <f t="shared" si="19"/>
        <v>-5353</v>
      </c>
      <c r="AM260">
        <v>-1</v>
      </c>
      <c r="AO260" s="102">
        <f t="shared" si="20"/>
        <v>506865</v>
      </c>
      <c r="AP260" s="103">
        <f t="shared" si="21"/>
        <v>280106</v>
      </c>
      <c r="AQ260" s="101">
        <f t="shared" si="22"/>
        <v>100638</v>
      </c>
      <c r="AR260" s="104">
        <f t="shared" si="23"/>
        <v>136574</v>
      </c>
    </row>
    <row r="261" spans="1:44">
      <c r="A261" s="14" t="s">
        <v>1092</v>
      </c>
      <c r="B261" s="15" t="s">
        <v>1093</v>
      </c>
      <c r="C261" s="14" t="s">
        <v>1220</v>
      </c>
      <c r="D261" s="14">
        <v>83</v>
      </c>
      <c r="E261" s="15" t="s">
        <v>592</v>
      </c>
      <c r="F261" s="15" t="s">
        <v>597</v>
      </c>
      <c r="G261" s="14" t="s">
        <v>598</v>
      </c>
      <c r="H261" s="14"/>
      <c r="I261" s="14"/>
      <c r="J261" s="16">
        <v>1213.96</v>
      </c>
      <c r="K261" s="66">
        <v>665175</v>
      </c>
      <c r="L261" s="66">
        <v>656306</v>
      </c>
      <c r="M261" s="28">
        <v>1321481</v>
      </c>
      <c r="N261" s="64">
        <v>8983847</v>
      </c>
      <c r="O261" s="64">
        <v>494386</v>
      </c>
      <c r="P261" s="64">
        <v>200133</v>
      </c>
      <c r="Q261" s="28">
        <v>9678366</v>
      </c>
      <c r="R261" s="62">
        <v>457926</v>
      </c>
      <c r="S261" s="28">
        <v>11457773</v>
      </c>
      <c r="T261" s="81">
        <v>464864</v>
      </c>
      <c r="U261" s="81">
        <v>598088</v>
      </c>
      <c r="V261" s="81">
        <v>0</v>
      </c>
      <c r="W261" s="81">
        <v>12536</v>
      </c>
      <c r="X261" s="28">
        <v>12533260</v>
      </c>
      <c r="Y261" s="28">
        <v>759547</v>
      </c>
      <c r="Z261" s="28">
        <v>1149888</v>
      </c>
      <c r="AA261" s="28">
        <v>9814547</v>
      </c>
      <c r="AB261" s="28">
        <v>809278</v>
      </c>
      <c r="AC261" s="40" t="s">
        <v>184</v>
      </c>
      <c r="AD261" s="41">
        <v>840</v>
      </c>
      <c r="AE261" s="42">
        <v>1</v>
      </c>
      <c r="AF261" s="40" t="s">
        <v>597</v>
      </c>
      <c r="AG261" s="68">
        <v>220186.17</v>
      </c>
      <c r="AH261" s="42">
        <v>1</v>
      </c>
      <c r="AI261" s="40" t="s">
        <v>597</v>
      </c>
      <c r="AJ261" s="70">
        <v>26912.68</v>
      </c>
      <c r="AK261" s="72">
        <f t="shared" si="18"/>
        <v>-220186.17</v>
      </c>
      <c r="AL261" s="72">
        <f t="shared" si="19"/>
        <v>-26912.68</v>
      </c>
      <c r="AM261">
        <v>-1</v>
      </c>
      <c r="AO261" s="102">
        <f t="shared" si="20"/>
        <v>94372</v>
      </c>
      <c r="AP261" s="103">
        <f t="shared" si="21"/>
        <v>493582</v>
      </c>
      <c r="AQ261" s="101">
        <f t="shared" si="22"/>
        <v>136181</v>
      </c>
      <c r="AR261" s="104">
        <f t="shared" si="23"/>
        <v>351352</v>
      </c>
    </row>
    <row r="262" spans="1:44">
      <c r="A262" s="14" t="s">
        <v>1249</v>
      </c>
      <c r="B262" s="15" t="s">
        <v>1250</v>
      </c>
      <c r="C262" s="14" t="s">
        <v>1220</v>
      </c>
      <c r="D262" s="14">
        <v>84</v>
      </c>
      <c r="E262" s="15" t="s">
        <v>599</v>
      </c>
      <c r="F262" s="15" t="s">
        <v>600</v>
      </c>
      <c r="G262" s="14" t="s">
        <v>601</v>
      </c>
      <c r="H262" s="14"/>
      <c r="I262" s="14"/>
      <c r="J262" s="16">
        <v>892.68</v>
      </c>
      <c r="K262" s="66">
        <v>330751</v>
      </c>
      <c r="L262" s="66">
        <v>358406</v>
      </c>
      <c r="M262" s="28">
        <v>689157</v>
      </c>
      <c r="N262" s="64">
        <v>5776077</v>
      </c>
      <c r="O262" s="64">
        <v>480439</v>
      </c>
      <c r="P262" s="64">
        <v>86118</v>
      </c>
      <c r="Q262" s="28">
        <v>6342634</v>
      </c>
      <c r="R262" s="62">
        <v>320708</v>
      </c>
      <c r="S262" s="28">
        <v>7352499</v>
      </c>
      <c r="T262" s="81">
        <v>282482</v>
      </c>
      <c r="U262" s="81">
        <v>341355</v>
      </c>
      <c r="V262" s="81">
        <v>0</v>
      </c>
      <c r="W262" s="81">
        <v>283590</v>
      </c>
      <c r="X262" s="28">
        <v>8259926</v>
      </c>
      <c r="Y262" s="28">
        <v>616380</v>
      </c>
      <c r="Z262" s="28">
        <v>736500</v>
      </c>
      <c r="AA262" s="28">
        <v>6458797</v>
      </c>
      <c r="AB262" s="28">
        <v>448249</v>
      </c>
      <c r="AC262" s="40" t="s">
        <v>184</v>
      </c>
      <c r="AD262" s="41">
        <v>846</v>
      </c>
      <c r="AE262" s="42">
        <v>1</v>
      </c>
      <c r="AF262" s="40" t="s">
        <v>600</v>
      </c>
      <c r="AG262" s="68">
        <v>129136.02</v>
      </c>
      <c r="AH262" s="42">
        <v>1</v>
      </c>
      <c r="AI262" s="40" t="s">
        <v>600</v>
      </c>
      <c r="AJ262" s="70">
        <v>0</v>
      </c>
      <c r="AK262" s="72">
        <f t="shared" si="18"/>
        <v>-129136.02</v>
      </c>
      <c r="AL262" s="72">
        <f t="shared" si="19"/>
        <v>0</v>
      </c>
      <c r="AM262">
        <v>-1</v>
      </c>
      <c r="AO262" s="102">
        <f t="shared" si="20"/>
        <v>285629</v>
      </c>
      <c r="AP262" s="103">
        <f t="shared" si="21"/>
        <v>378094</v>
      </c>
      <c r="AQ262" s="101">
        <f t="shared" si="22"/>
        <v>116163</v>
      </c>
      <c r="AR262" s="104">
        <f t="shared" si="23"/>
        <v>127541</v>
      </c>
    </row>
    <row r="263" spans="1:44">
      <c r="A263" s="14" t="s">
        <v>1249</v>
      </c>
      <c r="B263" s="15" t="s">
        <v>1250</v>
      </c>
      <c r="C263" s="14" t="s">
        <v>1220</v>
      </c>
      <c r="D263" s="14">
        <v>84</v>
      </c>
      <c r="E263" s="15" t="s">
        <v>599</v>
      </c>
      <c r="F263" s="15" t="s">
        <v>602</v>
      </c>
      <c r="G263" s="14" t="s">
        <v>603</v>
      </c>
      <c r="H263" s="14"/>
      <c r="I263" s="14"/>
      <c r="J263" s="16">
        <v>209.76</v>
      </c>
      <c r="K263" s="66">
        <v>231429</v>
      </c>
      <c r="L263" s="66">
        <v>249687</v>
      </c>
      <c r="M263" s="28">
        <v>481116</v>
      </c>
      <c r="N263" s="64">
        <v>1715564</v>
      </c>
      <c r="O263" s="64">
        <v>56451</v>
      </c>
      <c r="P263" s="64">
        <v>6512</v>
      </c>
      <c r="Q263" s="28">
        <v>1778527</v>
      </c>
      <c r="R263" s="62">
        <v>53509</v>
      </c>
      <c r="S263" s="28">
        <v>2313152</v>
      </c>
      <c r="T263" s="81">
        <v>94901</v>
      </c>
      <c r="U263" s="81">
        <v>37914</v>
      </c>
      <c r="V263" s="81">
        <v>0</v>
      </c>
      <c r="W263" s="81">
        <v>0</v>
      </c>
      <c r="X263" s="28">
        <v>2445967</v>
      </c>
      <c r="Y263" s="28">
        <v>241878</v>
      </c>
      <c r="Z263" s="28">
        <v>303348</v>
      </c>
      <c r="AA263" s="28">
        <v>1800067</v>
      </c>
      <c r="AB263" s="28">
        <v>100674</v>
      </c>
      <c r="AC263" s="40" t="s">
        <v>184</v>
      </c>
      <c r="AD263" s="41">
        <v>850</v>
      </c>
      <c r="AE263" s="42">
        <v>1</v>
      </c>
      <c r="AF263" s="40" t="s">
        <v>602</v>
      </c>
      <c r="AG263" s="68">
        <v>14086.22</v>
      </c>
      <c r="AH263" s="42">
        <v>1</v>
      </c>
      <c r="AI263" s="40" t="s">
        <v>602</v>
      </c>
      <c r="AJ263" s="70">
        <v>0</v>
      </c>
      <c r="AK263" s="72">
        <f t="shared" ref="AK263:AK326" si="24">AG263*AM263</f>
        <v>-14086.22</v>
      </c>
      <c r="AL263" s="72">
        <f t="shared" ref="AL263:AL326" si="25">AJ263*AM263</f>
        <v>0</v>
      </c>
      <c r="AM263">
        <v>-1</v>
      </c>
      <c r="AO263" s="102">
        <f t="shared" ref="AO263:AO326" si="26">Y263-K263</f>
        <v>10449</v>
      </c>
      <c r="AP263" s="103">
        <f t="shared" ref="AP263:AP326" si="27">Z263-L263</f>
        <v>53661</v>
      </c>
      <c r="AQ263" s="101">
        <f t="shared" ref="AQ263:AQ326" si="28">AA263-Q263</f>
        <v>21540</v>
      </c>
      <c r="AR263" s="104">
        <f t="shared" ref="AR263:AR326" si="29">AB263-R263</f>
        <v>47165</v>
      </c>
    </row>
    <row r="264" spans="1:44">
      <c r="A264" s="14" t="s">
        <v>1249</v>
      </c>
      <c r="B264" s="15" t="s">
        <v>1250</v>
      </c>
      <c r="C264" s="14" t="s">
        <v>1220</v>
      </c>
      <c r="D264" s="14">
        <v>84</v>
      </c>
      <c r="E264" s="15" t="s">
        <v>599</v>
      </c>
      <c r="F264" s="15" t="s">
        <v>604</v>
      </c>
      <c r="G264" s="14" t="s">
        <v>605</v>
      </c>
      <c r="H264" s="14"/>
      <c r="I264" s="14"/>
      <c r="J264" s="16">
        <v>119.25</v>
      </c>
      <c r="K264" s="66">
        <v>386153</v>
      </c>
      <c r="L264" s="66">
        <v>76783</v>
      </c>
      <c r="M264" s="28">
        <v>462936</v>
      </c>
      <c r="N264" s="64">
        <v>1112537</v>
      </c>
      <c r="O264" s="64">
        <v>78401</v>
      </c>
      <c r="P264" s="64">
        <v>14638</v>
      </c>
      <c r="Q264" s="28">
        <v>1205576</v>
      </c>
      <c r="R264" s="62">
        <v>50652</v>
      </c>
      <c r="S264" s="28">
        <v>1719164</v>
      </c>
      <c r="T264" s="81">
        <v>66615</v>
      </c>
      <c r="U264" s="81">
        <v>29125</v>
      </c>
      <c r="V264" s="81">
        <v>0</v>
      </c>
      <c r="W264" s="81">
        <v>0</v>
      </c>
      <c r="X264" s="28">
        <v>1814906</v>
      </c>
      <c r="Y264" s="28">
        <v>407007</v>
      </c>
      <c r="Z264" s="28">
        <v>95476</v>
      </c>
      <c r="AA264" s="28">
        <v>1217462</v>
      </c>
      <c r="AB264" s="28">
        <v>94961</v>
      </c>
      <c r="AC264" s="40" t="s">
        <v>184</v>
      </c>
      <c r="AD264" s="41">
        <v>852</v>
      </c>
      <c r="AE264" s="42">
        <v>1</v>
      </c>
      <c r="AF264" s="40" t="s">
        <v>604</v>
      </c>
      <c r="AG264" s="68">
        <v>16985.45</v>
      </c>
      <c r="AH264" s="42">
        <v>1</v>
      </c>
      <c r="AI264" s="40" t="s">
        <v>604</v>
      </c>
      <c r="AJ264" s="70">
        <v>0</v>
      </c>
      <c r="AK264" s="72">
        <f t="shared" si="24"/>
        <v>-16985.45</v>
      </c>
      <c r="AL264" s="72">
        <f t="shared" si="25"/>
        <v>0</v>
      </c>
      <c r="AM264">
        <v>-1</v>
      </c>
      <c r="AO264" s="102">
        <f t="shared" si="26"/>
        <v>20854</v>
      </c>
      <c r="AP264" s="103">
        <f t="shared" si="27"/>
        <v>18693</v>
      </c>
      <c r="AQ264" s="101">
        <f t="shared" si="28"/>
        <v>11886</v>
      </c>
      <c r="AR264" s="104">
        <f t="shared" si="29"/>
        <v>44309</v>
      </c>
    </row>
    <row r="265" spans="1:44">
      <c r="A265" s="14" t="s">
        <v>1017</v>
      </c>
      <c r="B265" s="15" t="s">
        <v>1018</v>
      </c>
      <c r="C265" s="14" t="s">
        <v>1220</v>
      </c>
      <c r="D265" s="14">
        <v>85</v>
      </c>
      <c r="E265" s="15" t="s">
        <v>606</v>
      </c>
      <c r="F265" s="15" t="s">
        <v>607</v>
      </c>
      <c r="G265" s="14" t="s">
        <v>608</v>
      </c>
      <c r="H265" s="14"/>
      <c r="I265" s="14"/>
      <c r="J265" s="16">
        <v>751.57</v>
      </c>
      <c r="K265" s="66">
        <v>562515</v>
      </c>
      <c r="L265" s="66">
        <v>247442</v>
      </c>
      <c r="M265" s="28">
        <v>809957</v>
      </c>
      <c r="N265" s="64">
        <v>5014384</v>
      </c>
      <c r="O265" s="64">
        <v>331548</v>
      </c>
      <c r="P265" s="64">
        <v>56078</v>
      </c>
      <c r="Q265" s="28">
        <v>5402010</v>
      </c>
      <c r="R265" s="62">
        <v>171469</v>
      </c>
      <c r="S265" s="28">
        <v>6383436</v>
      </c>
      <c r="T265" s="81">
        <v>381885</v>
      </c>
      <c r="U265" s="81">
        <v>197067</v>
      </c>
      <c r="V265" s="81">
        <v>0</v>
      </c>
      <c r="W265" s="81">
        <v>124377</v>
      </c>
      <c r="X265" s="28">
        <v>7086765</v>
      </c>
      <c r="Y265" s="28">
        <v>707776</v>
      </c>
      <c r="Z265" s="28">
        <v>545582</v>
      </c>
      <c r="AA265" s="28">
        <v>5500975</v>
      </c>
      <c r="AB265" s="28">
        <v>332432</v>
      </c>
      <c r="AC265" s="40" t="s">
        <v>184</v>
      </c>
      <c r="AD265" s="41">
        <v>857</v>
      </c>
      <c r="AE265" s="42">
        <v>1</v>
      </c>
      <c r="AF265" s="40" t="s">
        <v>607</v>
      </c>
      <c r="AG265" s="68">
        <v>68917.66</v>
      </c>
      <c r="AH265" s="42">
        <v>1</v>
      </c>
      <c r="AI265" s="40" t="s">
        <v>607</v>
      </c>
      <c r="AJ265" s="70">
        <v>0</v>
      </c>
      <c r="AK265" s="72">
        <f t="shared" si="24"/>
        <v>-68917.66</v>
      </c>
      <c r="AL265" s="72">
        <f t="shared" si="25"/>
        <v>0</v>
      </c>
      <c r="AM265">
        <v>-1</v>
      </c>
      <c r="AO265" s="102">
        <f t="shared" si="26"/>
        <v>145261</v>
      </c>
      <c r="AP265" s="103">
        <f t="shared" si="27"/>
        <v>298140</v>
      </c>
      <c r="AQ265" s="101">
        <f t="shared" si="28"/>
        <v>98965</v>
      </c>
      <c r="AR265" s="104">
        <f t="shared" si="29"/>
        <v>160963</v>
      </c>
    </row>
    <row r="266" spans="1:44">
      <c r="A266" s="14" t="s">
        <v>1017</v>
      </c>
      <c r="B266" s="15" t="s">
        <v>1018</v>
      </c>
      <c r="C266" s="14" t="s">
        <v>1220</v>
      </c>
      <c r="D266" s="14">
        <v>85</v>
      </c>
      <c r="E266" s="15" t="s">
        <v>606</v>
      </c>
      <c r="F266" s="15" t="s">
        <v>609</v>
      </c>
      <c r="G266" s="14" t="s">
        <v>610</v>
      </c>
      <c r="H266" s="14"/>
      <c r="I266" s="14"/>
      <c r="J266" s="16">
        <v>1037.48</v>
      </c>
      <c r="K266" s="66">
        <v>195531</v>
      </c>
      <c r="L266" s="66">
        <v>334259</v>
      </c>
      <c r="M266" s="28">
        <v>529790</v>
      </c>
      <c r="N266" s="64">
        <v>6453119</v>
      </c>
      <c r="O266" s="64">
        <v>383891</v>
      </c>
      <c r="P266" s="64">
        <v>17405</v>
      </c>
      <c r="Q266" s="28">
        <v>6854415</v>
      </c>
      <c r="R266" s="62">
        <v>253969</v>
      </c>
      <c r="S266" s="28">
        <v>7638174</v>
      </c>
      <c r="T266" s="81">
        <v>401451</v>
      </c>
      <c r="U266" s="81">
        <v>194922</v>
      </c>
      <c r="V266" s="81">
        <v>5554</v>
      </c>
      <c r="W266" s="81">
        <v>983863</v>
      </c>
      <c r="X266" s="28">
        <v>9223964</v>
      </c>
      <c r="Y266" s="28">
        <v>893499</v>
      </c>
      <c r="Z266" s="28">
        <v>905052</v>
      </c>
      <c r="AA266" s="28">
        <v>7017501</v>
      </c>
      <c r="AB266" s="28">
        <v>407912</v>
      </c>
      <c r="AC266" s="40" t="s">
        <v>184</v>
      </c>
      <c r="AD266" s="41">
        <v>858</v>
      </c>
      <c r="AE266" s="42">
        <v>1</v>
      </c>
      <c r="AF266" s="40" t="s">
        <v>609</v>
      </c>
      <c r="AG266" s="68">
        <v>63359.91</v>
      </c>
      <c r="AH266" s="42">
        <v>1</v>
      </c>
      <c r="AI266" s="40" t="s">
        <v>609</v>
      </c>
      <c r="AJ266" s="70">
        <v>15909.4</v>
      </c>
      <c r="AK266" s="72">
        <f t="shared" si="24"/>
        <v>-63359.91</v>
      </c>
      <c r="AL266" s="72">
        <f t="shared" si="25"/>
        <v>-15909.4</v>
      </c>
      <c r="AM266">
        <v>-1</v>
      </c>
      <c r="AO266" s="102">
        <f t="shared" si="26"/>
        <v>697968</v>
      </c>
      <c r="AP266" s="103">
        <f t="shared" si="27"/>
        <v>570793</v>
      </c>
      <c r="AQ266" s="101">
        <f t="shared" si="28"/>
        <v>163086</v>
      </c>
      <c r="AR266" s="104">
        <f t="shared" si="29"/>
        <v>153943</v>
      </c>
    </row>
    <row r="267" spans="1:44">
      <c r="A267" s="14" t="s">
        <v>1017</v>
      </c>
      <c r="B267" s="15" t="s">
        <v>1018</v>
      </c>
      <c r="C267" s="14" t="s">
        <v>1220</v>
      </c>
      <c r="D267" s="14">
        <v>85</v>
      </c>
      <c r="E267" s="15" t="s">
        <v>606</v>
      </c>
      <c r="F267" s="15" t="s">
        <v>611</v>
      </c>
      <c r="G267" s="14" t="s">
        <v>612</v>
      </c>
      <c r="H267" s="14"/>
      <c r="I267" s="14"/>
      <c r="J267" s="16">
        <v>3716.23</v>
      </c>
      <c r="K267" s="66">
        <v>6734915</v>
      </c>
      <c r="L267" s="66">
        <v>2850883</v>
      </c>
      <c r="M267" s="28">
        <v>9585798</v>
      </c>
      <c r="N267" s="64">
        <v>24253087</v>
      </c>
      <c r="O267" s="64">
        <v>3103418</v>
      </c>
      <c r="P267" s="64">
        <v>266171</v>
      </c>
      <c r="Q267" s="28">
        <v>27622676</v>
      </c>
      <c r="R267" s="62">
        <v>751681</v>
      </c>
      <c r="S267" s="28">
        <v>37960155</v>
      </c>
      <c r="T267" s="81">
        <v>1642637</v>
      </c>
      <c r="U267" s="81">
        <v>2063660</v>
      </c>
      <c r="V267" s="81">
        <v>23681</v>
      </c>
      <c r="W267" s="81">
        <v>2500981</v>
      </c>
      <c r="X267" s="28">
        <v>44191116</v>
      </c>
      <c r="Y267" s="28">
        <v>9264320</v>
      </c>
      <c r="Z267" s="28">
        <v>4973634</v>
      </c>
      <c r="AA267" s="28">
        <v>28612925</v>
      </c>
      <c r="AB267" s="28">
        <v>1340236</v>
      </c>
      <c r="AC267" s="40" t="s">
        <v>184</v>
      </c>
      <c r="AD267" s="41">
        <v>861</v>
      </c>
      <c r="AE267" s="42">
        <v>1</v>
      </c>
      <c r="AF267" s="40" t="s">
        <v>611</v>
      </c>
      <c r="AG267" s="68">
        <v>291742.19</v>
      </c>
      <c r="AH267" s="42">
        <v>1</v>
      </c>
      <c r="AI267" s="40" t="s">
        <v>611</v>
      </c>
      <c r="AJ267" s="70">
        <v>237858.58</v>
      </c>
      <c r="AK267" s="72">
        <f t="shared" si="24"/>
        <v>-291742.19</v>
      </c>
      <c r="AL267" s="72">
        <f t="shared" si="25"/>
        <v>-237858.58</v>
      </c>
      <c r="AM267">
        <v>-1</v>
      </c>
      <c r="AO267" s="102">
        <f t="shared" si="26"/>
        <v>2529405</v>
      </c>
      <c r="AP267" s="103">
        <f t="shared" si="27"/>
        <v>2122751</v>
      </c>
      <c r="AQ267" s="101">
        <f t="shared" si="28"/>
        <v>990249</v>
      </c>
      <c r="AR267" s="104">
        <f t="shared" si="29"/>
        <v>588555</v>
      </c>
    </row>
    <row r="268" spans="1:44">
      <c r="A268" s="14" t="s">
        <v>1080</v>
      </c>
      <c r="B268" s="15" t="s">
        <v>1081</v>
      </c>
      <c r="C268" s="14" t="s">
        <v>1220</v>
      </c>
      <c r="D268" s="14">
        <v>86</v>
      </c>
      <c r="E268" s="15" t="s">
        <v>613</v>
      </c>
      <c r="F268" s="15" t="s">
        <v>614</v>
      </c>
      <c r="G268" s="14" t="s">
        <v>615</v>
      </c>
      <c r="H268" s="14"/>
      <c r="I268" s="14"/>
      <c r="J268" s="16">
        <v>1852.83</v>
      </c>
      <c r="K268" s="66">
        <v>1336901</v>
      </c>
      <c r="L268" s="66">
        <v>646358</v>
      </c>
      <c r="M268" s="28">
        <v>1983259</v>
      </c>
      <c r="N268" s="64">
        <v>11488016</v>
      </c>
      <c r="O268" s="64">
        <v>1136148</v>
      </c>
      <c r="P268" s="64">
        <v>62273</v>
      </c>
      <c r="Q268" s="28">
        <v>12686437</v>
      </c>
      <c r="R268" s="62">
        <v>277080</v>
      </c>
      <c r="S268" s="28">
        <v>14946776</v>
      </c>
      <c r="T268" s="81">
        <v>664338</v>
      </c>
      <c r="U268" s="81">
        <v>694869</v>
      </c>
      <c r="V268" s="81">
        <v>0</v>
      </c>
      <c r="W268" s="81">
        <v>950327</v>
      </c>
      <c r="X268" s="28">
        <v>17256309</v>
      </c>
      <c r="Y268" s="28">
        <v>2310331</v>
      </c>
      <c r="Z268" s="28">
        <v>1588879</v>
      </c>
      <c r="AA268" s="28">
        <v>12857105</v>
      </c>
      <c r="AB268" s="28">
        <v>499994</v>
      </c>
      <c r="AC268" s="40" t="s">
        <v>184</v>
      </c>
      <c r="AD268" s="41">
        <v>876</v>
      </c>
      <c r="AE268" s="42">
        <v>1</v>
      </c>
      <c r="AF268" s="40" t="s">
        <v>614</v>
      </c>
      <c r="AG268" s="68">
        <v>196090.4</v>
      </c>
      <c r="AH268" s="42">
        <v>1</v>
      </c>
      <c r="AI268" s="40" t="s">
        <v>614</v>
      </c>
      <c r="AJ268" s="70">
        <v>6319.79</v>
      </c>
      <c r="AK268" s="72">
        <f t="shared" si="24"/>
        <v>-196090.4</v>
      </c>
      <c r="AL268" s="72">
        <f t="shared" si="25"/>
        <v>-6319.79</v>
      </c>
      <c r="AM268">
        <v>-1</v>
      </c>
      <c r="AO268" s="102">
        <f t="shared" si="26"/>
        <v>973430</v>
      </c>
      <c r="AP268" s="103">
        <f t="shared" si="27"/>
        <v>942521</v>
      </c>
      <c r="AQ268" s="101">
        <f t="shared" si="28"/>
        <v>170668</v>
      </c>
      <c r="AR268" s="104">
        <f t="shared" si="29"/>
        <v>222914</v>
      </c>
    </row>
    <row r="269" spans="1:44">
      <c r="A269" s="14" t="s">
        <v>1080</v>
      </c>
      <c r="B269" s="15" t="s">
        <v>1081</v>
      </c>
      <c r="C269" s="14" t="s">
        <v>1220</v>
      </c>
      <c r="D269" s="14">
        <v>86</v>
      </c>
      <c r="E269" s="15" t="s">
        <v>613</v>
      </c>
      <c r="F269" s="15" t="s">
        <v>616</v>
      </c>
      <c r="G269" s="14" t="s">
        <v>617</v>
      </c>
      <c r="H269" s="14"/>
      <c r="I269" s="14"/>
      <c r="J269" s="16">
        <v>5631.72</v>
      </c>
      <c r="K269" s="66">
        <v>4044586</v>
      </c>
      <c r="L269" s="66">
        <v>2217928</v>
      </c>
      <c r="M269" s="28">
        <v>6262514</v>
      </c>
      <c r="N269" s="64">
        <v>35171208</v>
      </c>
      <c r="O269" s="64">
        <v>3048571</v>
      </c>
      <c r="P269" s="64">
        <v>198479</v>
      </c>
      <c r="Q269" s="28">
        <v>38418258</v>
      </c>
      <c r="R269" s="62">
        <v>2006459</v>
      </c>
      <c r="S269" s="28">
        <v>46687231</v>
      </c>
      <c r="T269" s="81">
        <v>2425265</v>
      </c>
      <c r="U269" s="81">
        <v>2498143</v>
      </c>
      <c r="V269" s="81">
        <v>453021</v>
      </c>
      <c r="W269" s="81">
        <v>6933455</v>
      </c>
      <c r="X269" s="28">
        <v>58997115</v>
      </c>
      <c r="Y269" s="28">
        <v>10792088</v>
      </c>
      <c r="Z269" s="28">
        <v>6220842</v>
      </c>
      <c r="AA269" s="28">
        <v>39360686</v>
      </c>
      <c r="AB269" s="28">
        <v>2623499</v>
      </c>
      <c r="AC269" s="40" t="s">
        <v>184</v>
      </c>
      <c r="AD269" s="41">
        <v>877</v>
      </c>
      <c r="AE269" s="42">
        <v>1</v>
      </c>
      <c r="AF269" s="40" t="s">
        <v>616</v>
      </c>
      <c r="AG269" s="68">
        <v>528371.38</v>
      </c>
      <c r="AH269" s="42">
        <v>1</v>
      </c>
      <c r="AI269" s="40" t="s">
        <v>616</v>
      </c>
      <c r="AJ269" s="70">
        <v>150407.10999999999</v>
      </c>
      <c r="AK269" s="72">
        <f t="shared" si="24"/>
        <v>-528371.38</v>
      </c>
      <c r="AL269" s="72">
        <f t="shared" si="25"/>
        <v>-150407.10999999999</v>
      </c>
      <c r="AM269">
        <v>-1</v>
      </c>
      <c r="AO269" s="102">
        <f t="shared" si="26"/>
        <v>6747502</v>
      </c>
      <c r="AP269" s="103">
        <f t="shared" si="27"/>
        <v>4002914</v>
      </c>
      <c r="AQ269" s="101">
        <f t="shared" si="28"/>
        <v>942428</v>
      </c>
      <c r="AR269" s="104">
        <f t="shared" si="29"/>
        <v>617040</v>
      </c>
    </row>
    <row r="270" spans="1:44">
      <c r="A270" s="14" t="s">
        <v>1080</v>
      </c>
      <c r="B270" s="15" t="s">
        <v>1081</v>
      </c>
      <c r="C270" s="14" t="s">
        <v>1220</v>
      </c>
      <c r="D270" s="14">
        <v>86</v>
      </c>
      <c r="E270" s="15" t="s">
        <v>613</v>
      </c>
      <c r="F270" s="15" t="s">
        <v>618</v>
      </c>
      <c r="G270" s="14" t="s">
        <v>619</v>
      </c>
      <c r="H270" s="14"/>
      <c r="I270" s="14"/>
      <c r="J270" s="16">
        <v>2189.48</v>
      </c>
      <c r="K270" s="66">
        <v>1920032</v>
      </c>
      <c r="L270" s="66">
        <v>1025464</v>
      </c>
      <c r="M270" s="28">
        <v>2945496</v>
      </c>
      <c r="N270" s="64">
        <v>13734506</v>
      </c>
      <c r="O270" s="64">
        <v>1088192</v>
      </c>
      <c r="P270" s="64">
        <v>162993</v>
      </c>
      <c r="Q270" s="28">
        <v>14985691</v>
      </c>
      <c r="R270" s="62">
        <v>123310</v>
      </c>
      <c r="S270" s="28">
        <v>18054497</v>
      </c>
      <c r="T270" s="81">
        <v>822134</v>
      </c>
      <c r="U270" s="81">
        <v>1310504</v>
      </c>
      <c r="V270" s="81">
        <v>0</v>
      </c>
      <c r="W270" s="81">
        <v>3425532</v>
      </c>
      <c r="X270" s="28">
        <v>23612669</v>
      </c>
      <c r="Y270" s="28">
        <v>4511056</v>
      </c>
      <c r="Z270" s="28">
        <v>3507111</v>
      </c>
      <c r="AA270" s="28">
        <v>15258862</v>
      </c>
      <c r="AB270" s="28">
        <v>335639</v>
      </c>
      <c r="AC270" s="40" t="s">
        <v>184</v>
      </c>
      <c r="AD270" s="41">
        <v>879</v>
      </c>
      <c r="AE270" s="42">
        <v>1</v>
      </c>
      <c r="AF270" s="40" t="s">
        <v>618</v>
      </c>
      <c r="AG270" s="68">
        <v>170347.89</v>
      </c>
      <c r="AH270" s="42">
        <v>1</v>
      </c>
      <c r="AI270" s="40" t="s">
        <v>618</v>
      </c>
      <c r="AJ270" s="70">
        <v>6004.22</v>
      </c>
      <c r="AK270" s="72">
        <f t="shared" si="24"/>
        <v>-170347.89</v>
      </c>
      <c r="AL270" s="72">
        <f t="shared" si="25"/>
        <v>-6004.22</v>
      </c>
      <c r="AM270">
        <v>-1</v>
      </c>
      <c r="AO270" s="102">
        <f t="shared" si="26"/>
        <v>2591024</v>
      </c>
      <c r="AP270" s="103">
        <f t="shared" si="27"/>
        <v>2481647</v>
      </c>
      <c r="AQ270" s="101">
        <f t="shared" si="28"/>
        <v>273171</v>
      </c>
      <c r="AR270" s="104">
        <f t="shared" si="29"/>
        <v>212329</v>
      </c>
    </row>
    <row r="271" spans="1:44">
      <c r="A271" s="14" t="s">
        <v>1080</v>
      </c>
      <c r="B271" s="15" t="s">
        <v>1081</v>
      </c>
      <c r="C271" s="14" t="s">
        <v>1220</v>
      </c>
      <c r="D271" s="14">
        <v>86</v>
      </c>
      <c r="E271" s="15" t="s">
        <v>613</v>
      </c>
      <c r="F271" s="15" t="s">
        <v>620</v>
      </c>
      <c r="G271" s="14" t="s">
        <v>621</v>
      </c>
      <c r="H271" s="14"/>
      <c r="I271" s="14"/>
      <c r="J271" s="16">
        <v>984.98</v>
      </c>
      <c r="K271" s="66">
        <v>740378</v>
      </c>
      <c r="L271" s="66">
        <v>479930</v>
      </c>
      <c r="M271" s="28">
        <v>1220308</v>
      </c>
      <c r="N271" s="64">
        <v>6197172</v>
      </c>
      <c r="O271" s="64">
        <v>515229</v>
      </c>
      <c r="P271" s="64">
        <v>72726</v>
      </c>
      <c r="Q271" s="28">
        <v>6785127</v>
      </c>
      <c r="R271" s="62">
        <v>58379</v>
      </c>
      <c r="S271" s="28">
        <v>8063814</v>
      </c>
      <c r="T271" s="81">
        <v>356855</v>
      </c>
      <c r="U271" s="81">
        <v>276493</v>
      </c>
      <c r="V271" s="81">
        <v>0</v>
      </c>
      <c r="W271" s="81">
        <v>1275496</v>
      </c>
      <c r="X271" s="28">
        <v>9972656</v>
      </c>
      <c r="Y271" s="28">
        <v>1803916</v>
      </c>
      <c r="Z271" s="28">
        <v>1030697</v>
      </c>
      <c r="AA271" s="28">
        <v>6966244</v>
      </c>
      <c r="AB271" s="28">
        <v>171799</v>
      </c>
      <c r="AC271" s="40" t="s">
        <v>184</v>
      </c>
      <c r="AD271" s="41">
        <v>881</v>
      </c>
      <c r="AE271" s="42">
        <v>1</v>
      </c>
      <c r="AF271" s="40" t="s">
        <v>620</v>
      </c>
      <c r="AG271" s="68">
        <v>63291.77</v>
      </c>
      <c r="AH271" s="42">
        <v>1</v>
      </c>
      <c r="AI271" s="40" t="s">
        <v>620</v>
      </c>
      <c r="AJ271" s="70">
        <v>0</v>
      </c>
      <c r="AK271" s="72">
        <f t="shared" si="24"/>
        <v>-63291.77</v>
      </c>
      <c r="AL271" s="72">
        <f t="shared" si="25"/>
        <v>0</v>
      </c>
      <c r="AM271">
        <v>-1</v>
      </c>
      <c r="AO271" s="102">
        <f t="shared" si="26"/>
        <v>1063538</v>
      </c>
      <c r="AP271" s="103">
        <f t="shared" si="27"/>
        <v>550767</v>
      </c>
      <c r="AQ271" s="101">
        <f t="shared" si="28"/>
        <v>181117</v>
      </c>
      <c r="AR271" s="104">
        <f t="shared" si="29"/>
        <v>113420</v>
      </c>
    </row>
    <row r="272" spans="1:44">
      <c r="A272" s="14" t="s">
        <v>1080</v>
      </c>
      <c r="B272" s="15" t="s">
        <v>1081</v>
      </c>
      <c r="C272" s="14" t="s">
        <v>1220</v>
      </c>
      <c r="D272" s="14">
        <v>86</v>
      </c>
      <c r="E272" s="15" t="s">
        <v>613</v>
      </c>
      <c r="F272" s="15" t="s">
        <v>622</v>
      </c>
      <c r="G272" s="14" t="s">
        <v>623</v>
      </c>
      <c r="H272" s="14"/>
      <c r="I272" s="14"/>
      <c r="J272" s="16">
        <v>4010.87</v>
      </c>
      <c r="K272" s="66">
        <v>2064594</v>
      </c>
      <c r="L272" s="66">
        <v>3991409</v>
      </c>
      <c r="M272" s="28">
        <v>6056003</v>
      </c>
      <c r="N272" s="64">
        <v>23829988</v>
      </c>
      <c r="O272" s="64">
        <v>4135406</v>
      </c>
      <c r="P272" s="64">
        <v>242564</v>
      </c>
      <c r="Q272" s="28">
        <v>28207958</v>
      </c>
      <c r="R272" s="62">
        <v>2674789</v>
      </c>
      <c r="S272" s="28">
        <v>36938750</v>
      </c>
      <c r="T272" s="81">
        <v>1506419</v>
      </c>
      <c r="U272" s="81">
        <v>2130867</v>
      </c>
      <c r="V272" s="81">
        <v>627</v>
      </c>
      <c r="W272" s="81">
        <v>3834564</v>
      </c>
      <c r="X272" s="28">
        <v>44411226</v>
      </c>
      <c r="Y272" s="28">
        <v>5787668</v>
      </c>
      <c r="Z272" s="28">
        <v>6200693</v>
      </c>
      <c r="AA272" s="28">
        <v>29279535</v>
      </c>
      <c r="AB272" s="28">
        <v>3143330</v>
      </c>
      <c r="AC272" s="40" t="s">
        <v>184</v>
      </c>
      <c r="AD272" s="41">
        <v>882</v>
      </c>
      <c r="AE272" s="42">
        <v>1</v>
      </c>
      <c r="AF272" s="40" t="s">
        <v>622</v>
      </c>
      <c r="AG272" s="68">
        <v>279689.14</v>
      </c>
      <c r="AH272" s="42">
        <v>1</v>
      </c>
      <c r="AI272" s="40" t="s">
        <v>622</v>
      </c>
      <c r="AJ272" s="70">
        <v>728258.82</v>
      </c>
      <c r="AK272" s="72">
        <f t="shared" si="24"/>
        <v>-279689.14</v>
      </c>
      <c r="AL272" s="72">
        <f t="shared" si="25"/>
        <v>-728258.82</v>
      </c>
      <c r="AM272">
        <v>-1</v>
      </c>
      <c r="AO272" s="102">
        <f t="shared" si="26"/>
        <v>3723074</v>
      </c>
      <c r="AP272" s="103">
        <f t="shared" si="27"/>
        <v>2209284</v>
      </c>
      <c r="AQ272" s="101">
        <f t="shared" si="28"/>
        <v>1071577</v>
      </c>
      <c r="AR272" s="104">
        <f t="shared" si="29"/>
        <v>468541</v>
      </c>
    </row>
    <row r="273" spans="1:44">
      <c r="A273" s="14" t="s">
        <v>1080</v>
      </c>
      <c r="B273" s="15" t="s">
        <v>1081</v>
      </c>
      <c r="C273" s="14" t="s">
        <v>1220</v>
      </c>
      <c r="D273" s="14">
        <v>86</v>
      </c>
      <c r="E273" s="15" t="s">
        <v>613</v>
      </c>
      <c r="F273" s="15" t="s">
        <v>624</v>
      </c>
      <c r="G273" s="14" t="s">
        <v>625</v>
      </c>
      <c r="H273" s="14"/>
      <c r="I273" s="14"/>
      <c r="J273" s="16">
        <v>1611.55</v>
      </c>
      <c r="K273" s="66">
        <v>486557</v>
      </c>
      <c r="L273" s="66">
        <v>968650</v>
      </c>
      <c r="M273" s="28">
        <v>1455207</v>
      </c>
      <c r="N273" s="64">
        <v>9802372</v>
      </c>
      <c r="O273" s="64">
        <v>1019920</v>
      </c>
      <c r="P273" s="64">
        <v>172151</v>
      </c>
      <c r="Q273" s="28">
        <v>10994443</v>
      </c>
      <c r="R273" s="62">
        <v>203239</v>
      </c>
      <c r="S273" s="28">
        <v>12652889</v>
      </c>
      <c r="T273" s="81">
        <v>583337</v>
      </c>
      <c r="U273" s="81">
        <v>1569361</v>
      </c>
      <c r="V273" s="81">
        <v>0</v>
      </c>
      <c r="W273" s="81">
        <v>4340038</v>
      </c>
      <c r="X273" s="28">
        <v>19145626</v>
      </c>
      <c r="Y273" s="28">
        <v>3602620</v>
      </c>
      <c r="Z273" s="28">
        <v>3052676</v>
      </c>
      <c r="AA273" s="28">
        <v>11559988</v>
      </c>
      <c r="AB273" s="28">
        <v>930342</v>
      </c>
      <c r="AC273" s="40" t="s">
        <v>184</v>
      </c>
      <c r="AD273" s="41">
        <v>883</v>
      </c>
      <c r="AE273" s="42">
        <v>1</v>
      </c>
      <c r="AF273" s="40" t="s">
        <v>624</v>
      </c>
      <c r="AG273" s="68">
        <v>276369.57</v>
      </c>
      <c r="AH273" s="42">
        <v>1</v>
      </c>
      <c r="AI273" s="40" t="s">
        <v>624</v>
      </c>
      <c r="AJ273" s="70">
        <v>5412</v>
      </c>
      <c r="AK273" s="72">
        <f t="shared" si="24"/>
        <v>-276369.57</v>
      </c>
      <c r="AL273" s="72">
        <f t="shared" si="25"/>
        <v>-5412</v>
      </c>
      <c r="AM273">
        <v>-1</v>
      </c>
      <c r="AO273" s="102">
        <f t="shared" si="26"/>
        <v>3116063</v>
      </c>
      <c r="AP273" s="103">
        <f t="shared" si="27"/>
        <v>2084026</v>
      </c>
      <c r="AQ273" s="101">
        <f t="shared" si="28"/>
        <v>565545</v>
      </c>
      <c r="AR273" s="104">
        <f t="shared" si="29"/>
        <v>727103</v>
      </c>
    </row>
    <row r="274" spans="1:44">
      <c r="A274" s="14" t="s">
        <v>1080</v>
      </c>
      <c r="B274" s="15" t="s">
        <v>1081</v>
      </c>
      <c r="C274" s="14" t="s">
        <v>1220</v>
      </c>
      <c r="D274" s="14">
        <v>86</v>
      </c>
      <c r="E274" s="15" t="s">
        <v>613</v>
      </c>
      <c r="F274" s="15" t="s">
        <v>626</v>
      </c>
      <c r="G274" s="14" t="s">
        <v>627</v>
      </c>
      <c r="H274" s="14"/>
      <c r="I274" s="14"/>
      <c r="J274" s="16">
        <v>4478.5</v>
      </c>
      <c r="K274" s="66">
        <v>2559805</v>
      </c>
      <c r="L274" s="66">
        <v>1060603</v>
      </c>
      <c r="M274" s="28">
        <v>3620408</v>
      </c>
      <c r="N274" s="64">
        <v>27006019</v>
      </c>
      <c r="O274" s="64">
        <v>1476755</v>
      </c>
      <c r="P274" s="64">
        <v>206110</v>
      </c>
      <c r="Q274" s="28">
        <v>28688884</v>
      </c>
      <c r="R274" s="62">
        <v>138461</v>
      </c>
      <c r="S274" s="28">
        <v>32447753</v>
      </c>
      <c r="T274" s="81">
        <v>1637277</v>
      </c>
      <c r="U274" s="81">
        <v>2730076</v>
      </c>
      <c r="V274" s="81">
        <v>2722962</v>
      </c>
      <c r="W274" s="81">
        <v>11115852</v>
      </c>
      <c r="X274" s="28">
        <v>50653919</v>
      </c>
      <c r="Y274" s="28">
        <v>9012352</v>
      </c>
      <c r="Z274" s="28">
        <v>10299044</v>
      </c>
      <c r="AA274" s="28">
        <v>30836004</v>
      </c>
      <c r="AB274" s="28">
        <v>506519</v>
      </c>
      <c r="AC274" s="40" t="s">
        <v>184</v>
      </c>
      <c r="AD274" s="41">
        <v>885</v>
      </c>
      <c r="AE274" s="42">
        <v>1</v>
      </c>
      <c r="AF274" s="40" t="s">
        <v>626</v>
      </c>
      <c r="AG274" s="68">
        <v>518742.01</v>
      </c>
      <c r="AH274" s="42">
        <v>1</v>
      </c>
      <c r="AI274" s="40" t="s">
        <v>626</v>
      </c>
      <c r="AJ274" s="70">
        <v>1000</v>
      </c>
      <c r="AK274" s="72">
        <f t="shared" si="24"/>
        <v>-518742.01</v>
      </c>
      <c r="AL274" s="72">
        <f t="shared" si="25"/>
        <v>-1000</v>
      </c>
      <c r="AM274">
        <v>-1</v>
      </c>
      <c r="AO274" s="102">
        <f t="shared" si="26"/>
        <v>6452547</v>
      </c>
      <c r="AP274" s="103">
        <f t="shared" si="27"/>
        <v>9238441</v>
      </c>
      <c r="AQ274" s="101">
        <f t="shared" si="28"/>
        <v>2147120</v>
      </c>
      <c r="AR274" s="104">
        <f t="shared" si="29"/>
        <v>368058</v>
      </c>
    </row>
    <row r="275" spans="1:44">
      <c r="A275" s="14" t="s">
        <v>1087</v>
      </c>
      <c r="B275" s="15" t="s">
        <v>1088</v>
      </c>
      <c r="C275" s="14" t="s">
        <v>1220</v>
      </c>
      <c r="D275" s="14">
        <v>87</v>
      </c>
      <c r="E275" s="15" t="s">
        <v>628</v>
      </c>
      <c r="F275" s="15" t="s">
        <v>629</v>
      </c>
      <c r="G275" s="14" t="s">
        <v>630</v>
      </c>
      <c r="H275" s="14"/>
      <c r="I275" s="14"/>
      <c r="J275" s="16">
        <v>571.99</v>
      </c>
      <c r="K275" s="66">
        <v>310180</v>
      </c>
      <c r="L275" s="66">
        <v>464052</v>
      </c>
      <c r="M275" s="28">
        <v>774232</v>
      </c>
      <c r="N275" s="64">
        <v>4100551</v>
      </c>
      <c r="O275" s="64">
        <v>343117</v>
      </c>
      <c r="P275" s="64">
        <v>55994</v>
      </c>
      <c r="Q275" s="28">
        <v>4499662</v>
      </c>
      <c r="R275" s="62">
        <v>227596</v>
      </c>
      <c r="S275" s="28">
        <v>5501490</v>
      </c>
      <c r="T275" s="81">
        <v>325294</v>
      </c>
      <c r="U275" s="81">
        <v>114195</v>
      </c>
      <c r="V275" s="81">
        <v>0</v>
      </c>
      <c r="W275" s="81">
        <v>319029</v>
      </c>
      <c r="X275" s="28">
        <v>6260008</v>
      </c>
      <c r="Y275" s="28">
        <v>603438</v>
      </c>
      <c r="Z275" s="28">
        <v>664866</v>
      </c>
      <c r="AA275" s="28">
        <v>4605655</v>
      </c>
      <c r="AB275" s="28">
        <v>386050</v>
      </c>
      <c r="AC275" s="40" t="s">
        <v>184</v>
      </c>
      <c r="AD275" s="41">
        <v>891</v>
      </c>
      <c r="AE275" s="42">
        <v>1</v>
      </c>
      <c r="AF275" s="40" t="s">
        <v>629</v>
      </c>
      <c r="AG275" s="68">
        <v>45657.15</v>
      </c>
      <c r="AH275" s="42">
        <v>1</v>
      </c>
      <c r="AI275" s="40" t="s">
        <v>629</v>
      </c>
      <c r="AJ275" s="70">
        <v>0</v>
      </c>
      <c r="AK275" s="72">
        <f t="shared" si="24"/>
        <v>-45657.15</v>
      </c>
      <c r="AL275" s="72">
        <f t="shared" si="25"/>
        <v>0</v>
      </c>
      <c r="AM275">
        <v>-1</v>
      </c>
      <c r="AO275" s="102">
        <f t="shared" si="26"/>
        <v>293258</v>
      </c>
      <c r="AP275" s="103">
        <f t="shared" si="27"/>
        <v>200814</v>
      </c>
      <c r="AQ275" s="101">
        <f t="shared" si="28"/>
        <v>105993</v>
      </c>
      <c r="AR275" s="104">
        <f t="shared" si="29"/>
        <v>158454</v>
      </c>
    </row>
    <row r="276" spans="1:44">
      <c r="A276" s="14" t="s">
        <v>1146</v>
      </c>
      <c r="B276" s="15" t="s">
        <v>1147</v>
      </c>
      <c r="C276" s="14" t="s">
        <v>1220</v>
      </c>
      <c r="D276" s="14">
        <v>30</v>
      </c>
      <c r="E276" s="15" t="s">
        <v>931</v>
      </c>
      <c r="F276" s="15" t="s">
        <v>631</v>
      </c>
      <c r="G276" s="14" t="s">
        <v>632</v>
      </c>
      <c r="H276" s="14"/>
      <c r="I276" s="14"/>
      <c r="J276" s="16">
        <v>5278.96</v>
      </c>
      <c r="K276" s="66">
        <v>2442640</v>
      </c>
      <c r="L276" s="66">
        <v>2056715</v>
      </c>
      <c r="M276" s="28">
        <v>4499355</v>
      </c>
      <c r="N276" s="64">
        <v>30570175</v>
      </c>
      <c r="O276" s="64">
        <v>2209893</v>
      </c>
      <c r="P276" s="64">
        <v>294841</v>
      </c>
      <c r="Q276" s="28">
        <v>33074909</v>
      </c>
      <c r="R276" s="62">
        <v>3040621</v>
      </c>
      <c r="S276" s="28">
        <v>40614885</v>
      </c>
      <c r="T276" s="81">
        <v>1780072</v>
      </c>
      <c r="U276" s="81">
        <v>1314328</v>
      </c>
      <c r="V276" s="81">
        <v>133490</v>
      </c>
      <c r="W276" s="81">
        <v>4038497</v>
      </c>
      <c r="X276" s="28">
        <v>47881273</v>
      </c>
      <c r="Y276" s="28">
        <v>6057579</v>
      </c>
      <c r="Z276" s="28">
        <v>4310418</v>
      </c>
      <c r="AA276" s="28">
        <v>33871869</v>
      </c>
      <c r="AB276" s="28">
        <v>3641407</v>
      </c>
      <c r="AC276" s="40" t="s">
        <v>184</v>
      </c>
      <c r="AD276" s="41">
        <v>911</v>
      </c>
      <c r="AE276" s="42">
        <v>1</v>
      </c>
      <c r="AF276" s="40" t="s">
        <v>631</v>
      </c>
      <c r="AG276" s="68">
        <v>283864.94</v>
      </c>
      <c r="AH276" s="42">
        <v>1</v>
      </c>
      <c r="AI276" s="40" t="s">
        <v>631</v>
      </c>
      <c r="AJ276" s="70">
        <v>257734.13</v>
      </c>
      <c r="AK276" s="72">
        <f t="shared" si="24"/>
        <v>-283864.94</v>
      </c>
      <c r="AL276" s="72">
        <f t="shared" si="25"/>
        <v>-257734.13</v>
      </c>
      <c r="AM276">
        <v>-1</v>
      </c>
      <c r="AO276" s="102">
        <f t="shared" si="26"/>
        <v>3614939</v>
      </c>
      <c r="AP276" s="103">
        <f t="shared" si="27"/>
        <v>2253703</v>
      </c>
      <c r="AQ276" s="101">
        <f t="shared" si="28"/>
        <v>796960</v>
      </c>
      <c r="AR276" s="104">
        <f t="shared" si="29"/>
        <v>600786</v>
      </c>
    </row>
    <row r="277" spans="1:44">
      <c r="A277" s="14" t="s">
        <v>1146</v>
      </c>
      <c r="B277" s="15" t="s">
        <v>1147</v>
      </c>
      <c r="C277" s="14" t="s">
        <v>1220</v>
      </c>
      <c r="D277" s="14">
        <v>48</v>
      </c>
      <c r="E277" s="15" t="s">
        <v>857</v>
      </c>
      <c r="F277" s="15" t="s">
        <v>633</v>
      </c>
      <c r="G277" s="14" t="s">
        <v>634</v>
      </c>
      <c r="H277" s="14"/>
      <c r="I277" s="14"/>
      <c r="J277" s="16">
        <v>1951.63</v>
      </c>
      <c r="K277" s="66">
        <v>511311</v>
      </c>
      <c r="L277" s="66">
        <v>1230231</v>
      </c>
      <c r="M277" s="28">
        <v>1741542</v>
      </c>
      <c r="N277" s="64">
        <v>12160619</v>
      </c>
      <c r="O277" s="64">
        <v>1405377</v>
      </c>
      <c r="P277" s="64">
        <v>152499</v>
      </c>
      <c r="Q277" s="28">
        <v>13718495</v>
      </c>
      <c r="R277" s="62">
        <v>638456</v>
      </c>
      <c r="S277" s="28">
        <v>16098493</v>
      </c>
      <c r="T277" s="81">
        <v>824304</v>
      </c>
      <c r="U277" s="81">
        <v>522155</v>
      </c>
      <c r="V277" s="81">
        <v>0</v>
      </c>
      <c r="W277" s="81">
        <v>1264128</v>
      </c>
      <c r="X277" s="28">
        <v>18709080</v>
      </c>
      <c r="Y277" s="28">
        <v>1424888</v>
      </c>
      <c r="Z277" s="28">
        <v>2220450</v>
      </c>
      <c r="AA277" s="28">
        <v>14059102</v>
      </c>
      <c r="AB277" s="28">
        <v>1004640</v>
      </c>
      <c r="AC277" s="40" t="s">
        <v>184</v>
      </c>
      <c r="AD277" s="41">
        <v>912</v>
      </c>
      <c r="AE277" s="42">
        <v>1</v>
      </c>
      <c r="AF277" s="40" t="s">
        <v>633</v>
      </c>
      <c r="AG277" s="68">
        <v>222518.19</v>
      </c>
      <c r="AH277" s="42">
        <v>1</v>
      </c>
      <c r="AI277" s="40" t="s">
        <v>633</v>
      </c>
      <c r="AJ277" s="70">
        <v>42779.61</v>
      </c>
      <c r="AK277" s="72">
        <f t="shared" si="24"/>
        <v>-222518.19</v>
      </c>
      <c r="AL277" s="72">
        <f t="shared" si="25"/>
        <v>-42779.61</v>
      </c>
      <c r="AM277">
        <v>-1</v>
      </c>
      <c r="AO277" s="102">
        <f t="shared" si="26"/>
        <v>913577</v>
      </c>
      <c r="AP277" s="103">
        <f t="shared" si="27"/>
        <v>990219</v>
      </c>
      <c r="AQ277" s="101">
        <f t="shared" si="28"/>
        <v>340607</v>
      </c>
      <c r="AR277" s="104">
        <f t="shared" si="29"/>
        <v>366184</v>
      </c>
    </row>
    <row r="278" spans="1:44">
      <c r="A278" s="14" t="s">
        <v>1249</v>
      </c>
      <c r="B278" s="15" t="s">
        <v>1250</v>
      </c>
      <c r="C278" s="14" t="s">
        <v>1220</v>
      </c>
      <c r="D278" s="14">
        <v>14</v>
      </c>
      <c r="E278" s="15" t="s">
        <v>1153</v>
      </c>
      <c r="F278" s="15" t="s">
        <v>635</v>
      </c>
      <c r="G278" s="14" t="s">
        <v>636</v>
      </c>
      <c r="H278" s="14"/>
      <c r="I278" s="14"/>
      <c r="J278" s="16">
        <v>298.12</v>
      </c>
      <c r="K278" s="66">
        <v>252544</v>
      </c>
      <c r="L278" s="66">
        <v>119785</v>
      </c>
      <c r="M278" s="28">
        <v>372329</v>
      </c>
      <c r="N278" s="64">
        <v>2166221</v>
      </c>
      <c r="O278" s="64">
        <v>227555</v>
      </c>
      <c r="P278" s="64">
        <v>14276</v>
      </c>
      <c r="Q278" s="28">
        <v>2408052</v>
      </c>
      <c r="R278" s="62">
        <v>149699</v>
      </c>
      <c r="S278" s="28">
        <v>2930080</v>
      </c>
      <c r="T278" s="81">
        <v>146159</v>
      </c>
      <c r="U278" s="81">
        <v>70368</v>
      </c>
      <c r="V278" s="81">
        <v>0</v>
      </c>
      <c r="W278" s="81">
        <v>816826</v>
      </c>
      <c r="X278" s="28">
        <v>3963434</v>
      </c>
      <c r="Y278" s="28">
        <v>756061</v>
      </c>
      <c r="Z278" s="28">
        <v>385330</v>
      </c>
      <c r="AA278" s="28">
        <v>2608243</v>
      </c>
      <c r="AB278" s="28">
        <v>213801</v>
      </c>
      <c r="AC278" s="40" t="s">
        <v>184</v>
      </c>
      <c r="AD278" s="41">
        <v>914</v>
      </c>
      <c r="AE278" s="42">
        <v>1</v>
      </c>
      <c r="AF278" s="40" t="s">
        <v>635</v>
      </c>
      <c r="AG278" s="68">
        <v>32581.61</v>
      </c>
      <c r="AH278" s="42">
        <v>1</v>
      </c>
      <c r="AI278" s="40" t="s">
        <v>635</v>
      </c>
      <c r="AJ278" s="70">
        <v>0</v>
      </c>
      <c r="AK278" s="72">
        <f t="shared" si="24"/>
        <v>-32581.61</v>
      </c>
      <c r="AL278" s="72">
        <f t="shared" si="25"/>
        <v>0</v>
      </c>
      <c r="AM278">
        <v>-1</v>
      </c>
      <c r="AO278" s="102">
        <f t="shared" si="26"/>
        <v>503517</v>
      </c>
      <c r="AP278" s="103">
        <f t="shared" si="27"/>
        <v>265545</v>
      </c>
      <c r="AQ278" s="101">
        <f t="shared" si="28"/>
        <v>200191</v>
      </c>
      <c r="AR278" s="104">
        <f t="shared" si="29"/>
        <v>64102</v>
      </c>
    </row>
    <row r="279" spans="1:44">
      <c r="A279" s="14" t="s">
        <v>1092</v>
      </c>
      <c r="B279" s="15" t="s">
        <v>1093</v>
      </c>
      <c r="C279" s="14" t="s">
        <v>1220</v>
      </c>
      <c r="D279" s="14">
        <v>7</v>
      </c>
      <c r="E279" s="15" t="s">
        <v>1094</v>
      </c>
      <c r="F279" s="15" t="s">
        <v>637</v>
      </c>
      <c r="G279" s="14" t="s">
        <v>638</v>
      </c>
      <c r="H279" s="14"/>
      <c r="I279" s="14"/>
      <c r="J279" s="16">
        <v>780.88</v>
      </c>
      <c r="K279" s="66">
        <v>714466</v>
      </c>
      <c r="L279" s="66">
        <v>575149</v>
      </c>
      <c r="M279" s="28">
        <v>1289615</v>
      </c>
      <c r="N279" s="64">
        <v>5136082</v>
      </c>
      <c r="O279" s="64">
        <v>397507</v>
      </c>
      <c r="P279" s="64">
        <v>94865</v>
      </c>
      <c r="Q279" s="28">
        <v>5628454</v>
      </c>
      <c r="R279" s="62">
        <v>122695</v>
      </c>
      <c r="S279" s="28">
        <v>7040764</v>
      </c>
      <c r="T279" s="81">
        <v>318703</v>
      </c>
      <c r="U279" s="81">
        <v>248166</v>
      </c>
      <c r="V279" s="81">
        <v>243781</v>
      </c>
      <c r="W279" s="81">
        <v>1243761</v>
      </c>
      <c r="X279" s="28">
        <v>9095173</v>
      </c>
      <c r="Y279" s="28">
        <v>1863373</v>
      </c>
      <c r="Z279" s="28">
        <v>1188511</v>
      </c>
      <c r="AA279" s="28">
        <v>5806856</v>
      </c>
      <c r="AB279" s="28">
        <v>236433</v>
      </c>
      <c r="AC279" s="40" t="s">
        <v>184</v>
      </c>
      <c r="AD279" s="41">
        <v>2071</v>
      </c>
      <c r="AE279" s="42">
        <v>1</v>
      </c>
      <c r="AF279" s="40" t="s">
        <v>637</v>
      </c>
      <c r="AG279" s="68">
        <v>113347.02</v>
      </c>
      <c r="AH279" s="42">
        <v>1</v>
      </c>
      <c r="AI279" s="40" t="s">
        <v>637</v>
      </c>
      <c r="AJ279" s="70">
        <v>0</v>
      </c>
      <c r="AK279" s="72">
        <f t="shared" si="24"/>
        <v>-113347.02</v>
      </c>
      <c r="AL279" s="72">
        <f t="shared" si="25"/>
        <v>0</v>
      </c>
      <c r="AM279">
        <v>-1</v>
      </c>
      <c r="AO279" s="102">
        <f t="shared" si="26"/>
        <v>1148907</v>
      </c>
      <c r="AP279" s="103">
        <f t="shared" si="27"/>
        <v>613362</v>
      </c>
      <c r="AQ279" s="101">
        <f t="shared" si="28"/>
        <v>178402</v>
      </c>
      <c r="AR279" s="104">
        <f t="shared" si="29"/>
        <v>113738</v>
      </c>
    </row>
    <row r="280" spans="1:44">
      <c r="A280" s="14" t="s">
        <v>1017</v>
      </c>
      <c r="B280" s="15" t="s">
        <v>1018</v>
      </c>
      <c r="C280" s="14" t="s">
        <v>1220</v>
      </c>
      <c r="D280" s="14">
        <v>20</v>
      </c>
      <c r="E280" s="15" t="s">
        <v>1019</v>
      </c>
      <c r="F280" s="15" t="s">
        <v>639</v>
      </c>
      <c r="G280" s="14" t="s">
        <v>640</v>
      </c>
      <c r="H280" s="14"/>
      <c r="I280" s="14"/>
      <c r="J280" s="16">
        <v>1111.97</v>
      </c>
      <c r="K280" s="66">
        <v>452621</v>
      </c>
      <c r="L280" s="66">
        <v>374614</v>
      </c>
      <c r="M280" s="28">
        <v>827235</v>
      </c>
      <c r="N280" s="64">
        <v>7339006</v>
      </c>
      <c r="O280" s="64">
        <v>441455</v>
      </c>
      <c r="P280" s="64">
        <v>39272</v>
      </c>
      <c r="Q280" s="28">
        <v>7819733</v>
      </c>
      <c r="R280" s="62">
        <v>176258</v>
      </c>
      <c r="S280" s="28">
        <v>8823226</v>
      </c>
      <c r="T280" s="81">
        <v>550000</v>
      </c>
      <c r="U280" s="81">
        <v>302566</v>
      </c>
      <c r="V280" s="81">
        <v>34640</v>
      </c>
      <c r="W280" s="81">
        <v>750007</v>
      </c>
      <c r="X280" s="28">
        <v>10460439</v>
      </c>
      <c r="Y280" s="28">
        <v>1182836</v>
      </c>
      <c r="Z280" s="28">
        <v>858182</v>
      </c>
      <c r="AA280" s="28">
        <v>8031131</v>
      </c>
      <c r="AB280" s="28">
        <v>388290</v>
      </c>
      <c r="AC280" s="40" t="s">
        <v>184</v>
      </c>
      <c r="AD280" s="41">
        <v>2125</v>
      </c>
      <c r="AE280" s="42">
        <v>1</v>
      </c>
      <c r="AF280" s="40" t="s">
        <v>639</v>
      </c>
      <c r="AG280" s="68">
        <v>133433.54999999999</v>
      </c>
      <c r="AH280" s="42">
        <v>1</v>
      </c>
      <c r="AI280" s="40" t="s">
        <v>639</v>
      </c>
      <c r="AJ280" s="70">
        <v>16219.75</v>
      </c>
      <c r="AK280" s="72">
        <f t="shared" si="24"/>
        <v>-133433.54999999999</v>
      </c>
      <c r="AL280" s="72">
        <f t="shared" si="25"/>
        <v>-16219.75</v>
      </c>
      <c r="AM280">
        <v>-1</v>
      </c>
      <c r="AO280" s="102">
        <f t="shared" si="26"/>
        <v>730215</v>
      </c>
      <c r="AP280" s="103">
        <f t="shared" si="27"/>
        <v>483568</v>
      </c>
      <c r="AQ280" s="101">
        <f t="shared" si="28"/>
        <v>211398</v>
      </c>
      <c r="AR280" s="104">
        <f t="shared" si="29"/>
        <v>212032</v>
      </c>
    </row>
    <row r="281" spans="1:44">
      <c r="A281" s="14" t="s">
        <v>1092</v>
      </c>
      <c r="B281" s="15" t="s">
        <v>1093</v>
      </c>
      <c r="C281" s="14" t="s">
        <v>1220</v>
      </c>
      <c r="D281" s="14">
        <v>22</v>
      </c>
      <c r="E281" s="15" t="s">
        <v>641</v>
      </c>
      <c r="F281" s="15" t="s">
        <v>469</v>
      </c>
      <c r="G281" s="14" t="s">
        <v>470</v>
      </c>
      <c r="H281" s="14"/>
      <c r="I281" s="14"/>
      <c r="J281" s="16">
        <v>834.02</v>
      </c>
      <c r="K281" s="66">
        <v>541825</v>
      </c>
      <c r="L281" s="66">
        <v>307520</v>
      </c>
      <c r="M281" s="28">
        <v>849345</v>
      </c>
      <c r="N281" s="64">
        <v>6014398</v>
      </c>
      <c r="O281" s="64">
        <v>596393</v>
      </c>
      <c r="P281" s="64">
        <v>155687</v>
      </c>
      <c r="Q281" s="28">
        <v>6766478</v>
      </c>
      <c r="R281" s="62">
        <v>223673</v>
      </c>
      <c r="S281" s="28">
        <v>7839496</v>
      </c>
      <c r="T281" s="81">
        <v>499055</v>
      </c>
      <c r="U281" s="81">
        <v>209495</v>
      </c>
      <c r="V281" s="81">
        <v>0</v>
      </c>
      <c r="W281" s="81">
        <v>66217</v>
      </c>
      <c r="X281" s="28">
        <v>8614262</v>
      </c>
      <c r="Y281" s="28">
        <v>664060</v>
      </c>
      <c r="Z281" s="28">
        <v>643785</v>
      </c>
      <c r="AA281" s="28">
        <v>6867555</v>
      </c>
      <c r="AB281" s="28">
        <v>438862</v>
      </c>
      <c r="AC281" s="40" t="s">
        <v>184</v>
      </c>
      <c r="AD281" s="41">
        <v>2134</v>
      </c>
      <c r="AE281" s="42">
        <v>1</v>
      </c>
      <c r="AF281" s="40" t="s">
        <v>469</v>
      </c>
      <c r="AG281" s="68">
        <v>68877.91</v>
      </c>
      <c r="AH281" s="42">
        <v>1</v>
      </c>
      <c r="AI281" s="40" t="s">
        <v>469</v>
      </c>
      <c r="AJ281" s="70">
        <v>0</v>
      </c>
      <c r="AK281" s="72">
        <f t="shared" si="24"/>
        <v>-68877.91</v>
      </c>
      <c r="AL281" s="72">
        <f t="shared" si="25"/>
        <v>0</v>
      </c>
      <c r="AM281">
        <v>-1</v>
      </c>
      <c r="AO281" s="102">
        <f t="shared" si="26"/>
        <v>122235</v>
      </c>
      <c r="AP281" s="103">
        <f t="shared" si="27"/>
        <v>336265</v>
      </c>
      <c r="AQ281" s="101">
        <f t="shared" si="28"/>
        <v>101077</v>
      </c>
      <c r="AR281" s="104">
        <f t="shared" si="29"/>
        <v>215189</v>
      </c>
    </row>
    <row r="282" spans="1:44">
      <c r="A282" s="14" t="s">
        <v>1092</v>
      </c>
      <c r="B282" s="15" t="s">
        <v>1093</v>
      </c>
      <c r="C282" s="14" t="s">
        <v>1220</v>
      </c>
      <c r="D282" s="14">
        <v>7</v>
      </c>
      <c r="E282" s="15" t="s">
        <v>1094</v>
      </c>
      <c r="F282" s="15" t="s">
        <v>471</v>
      </c>
      <c r="G282" s="14" t="s">
        <v>472</v>
      </c>
      <c r="H282" s="14"/>
      <c r="I282" s="14"/>
      <c r="J282" s="16">
        <v>1209.0999999999999</v>
      </c>
      <c r="K282" s="66">
        <v>1109741</v>
      </c>
      <c r="L282" s="66">
        <v>587596</v>
      </c>
      <c r="M282" s="28">
        <v>1697337</v>
      </c>
      <c r="N282" s="64">
        <v>8337968</v>
      </c>
      <c r="O282" s="64">
        <v>848968</v>
      </c>
      <c r="P282" s="64">
        <v>213978</v>
      </c>
      <c r="Q282" s="28">
        <v>9400914</v>
      </c>
      <c r="R282" s="62">
        <v>200444</v>
      </c>
      <c r="S282" s="28">
        <v>11298695</v>
      </c>
      <c r="T282" s="81">
        <v>603374</v>
      </c>
      <c r="U282" s="81">
        <v>286549</v>
      </c>
      <c r="V282" s="81">
        <v>0</v>
      </c>
      <c r="W282" s="81">
        <v>446271</v>
      </c>
      <c r="X282" s="28">
        <v>12634889</v>
      </c>
      <c r="Y282" s="28">
        <v>1542839</v>
      </c>
      <c r="Z282" s="28">
        <v>1110242</v>
      </c>
      <c r="AA282" s="28">
        <v>9569123</v>
      </c>
      <c r="AB282" s="28">
        <v>412684</v>
      </c>
      <c r="AC282" s="40" t="s">
        <v>184</v>
      </c>
      <c r="AD282" s="41">
        <v>2135</v>
      </c>
      <c r="AE282" s="42">
        <v>1</v>
      </c>
      <c r="AF282" s="40" t="s">
        <v>471</v>
      </c>
      <c r="AG282" s="68">
        <v>115190.15</v>
      </c>
      <c r="AH282" s="42">
        <v>1</v>
      </c>
      <c r="AI282" s="40" t="s">
        <v>471</v>
      </c>
      <c r="AJ282" s="70">
        <v>0</v>
      </c>
      <c r="AK282" s="72">
        <f t="shared" si="24"/>
        <v>-115190.15</v>
      </c>
      <c r="AL282" s="72">
        <f t="shared" si="25"/>
        <v>0</v>
      </c>
      <c r="AM282">
        <v>-1</v>
      </c>
      <c r="AO282" s="102">
        <f t="shared" si="26"/>
        <v>433098</v>
      </c>
      <c r="AP282" s="103">
        <f t="shared" si="27"/>
        <v>522646</v>
      </c>
      <c r="AQ282" s="101">
        <f t="shared" si="28"/>
        <v>168209</v>
      </c>
      <c r="AR282" s="104">
        <f t="shared" si="29"/>
        <v>212240</v>
      </c>
    </row>
    <row r="283" spans="1:44">
      <c r="A283" s="14" t="s">
        <v>1017</v>
      </c>
      <c r="B283" s="15" t="s">
        <v>1018</v>
      </c>
      <c r="C283" s="14" t="s">
        <v>1220</v>
      </c>
      <c r="D283" s="14">
        <v>23</v>
      </c>
      <c r="E283" s="15" t="s">
        <v>1036</v>
      </c>
      <c r="F283" s="15" t="s">
        <v>473</v>
      </c>
      <c r="G283" s="14" t="s">
        <v>474</v>
      </c>
      <c r="H283" s="14"/>
      <c r="I283" s="14"/>
      <c r="J283" s="16">
        <v>770.39</v>
      </c>
      <c r="K283" s="66">
        <v>339399</v>
      </c>
      <c r="L283" s="66">
        <v>370373</v>
      </c>
      <c r="M283" s="28">
        <v>709772</v>
      </c>
      <c r="N283" s="64">
        <v>5032776</v>
      </c>
      <c r="O283" s="64">
        <v>529829</v>
      </c>
      <c r="P283" s="64">
        <v>52901</v>
      </c>
      <c r="Q283" s="28">
        <v>5615506</v>
      </c>
      <c r="R283" s="62">
        <v>149176</v>
      </c>
      <c r="S283" s="28">
        <v>6474454</v>
      </c>
      <c r="T283" s="81">
        <v>334643</v>
      </c>
      <c r="U283" s="81">
        <v>166072</v>
      </c>
      <c r="V283" s="81">
        <v>333155</v>
      </c>
      <c r="W283" s="81">
        <v>247656</v>
      </c>
      <c r="X283" s="28">
        <v>7555980</v>
      </c>
      <c r="Y283" s="28">
        <v>570760</v>
      </c>
      <c r="Z283" s="28">
        <v>988962</v>
      </c>
      <c r="AA283" s="28">
        <v>5743320</v>
      </c>
      <c r="AB283" s="28">
        <v>252939</v>
      </c>
      <c r="AC283" s="40" t="s">
        <v>184</v>
      </c>
      <c r="AD283" s="41">
        <v>2137</v>
      </c>
      <c r="AE283" s="42">
        <v>1</v>
      </c>
      <c r="AF283" s="40" t="s">
        <v>473</v>
      </c>
      <c r="AG283" s="68">
        <v>69453.81</v>
      </c>
      <c r="AH283" s="42">
        <v>1</v>
      </c>
      <c r="AI283" s="40" t="s">
        <v>473</v>
      </c>
      <c r="AJ283" s="70">
        <v>0</v>
      </c>
      <c r="AK283" s="72">
        <f t="shared" si="24"/>
        <v>-69453.81</v>
      </c>
      <c r="AL283" s="72">
        <f t="shared" si="25"/>
        <v>0</v>
      </c>
      <c r="AM283">
        <v>-1</v>
      </c>
      <c r="AO283" s="102">
        <f t="shared" si="26"/>
        <v>231361</v>
      </c>
      <c r="AP283" s="103">
        <f t="shared" si="27"/>
        <v>618589</v>
      </c>
      <c r="AQ283" s="101">
        <f t="shared" si="28"/>
        <v>127814</v>
      </c>
      <c r="AR283" s="104">
        <f t="shared" si="29"/>
        <v>103763</v>
      </c>
    </row>
    <row r="284" spans="1:44">
      <c r="A284" s="14" t="s">
        <v>1218</v>
      </c>
      <c r="B284" s="15" t="s">
        <v>1219</v>
      </c>
      <c r="C284" s="14" t="s">
        <v>1220</v>
      </c>
      <c r="D284" s="14">
        <v>69</v>
      </c>
      <c r="E284" s="15" t="s">
        <v>651</v>
      </c>
      <c r="F284" s="15" t="s">
        <v>475</v>
      </c>
      <c r="G284" s="14" t="s">
        <v>476</v>
      </c>
      <c r="H284" s="14"/>
      <c r="I284" s="14"/>
      <c r="J284" s="16">
        <v>2202.37</v>
      </c>
      <c r="K284" s="66">
        <v>1148480</v>
      </c>
      <c r="L284" s="66">
        <v>3953079</v>
      </c>
      <c r="M284" s="28">
        <v>5101559</v>
      </c>
      <c r="N284" s="64">
        <v>17669941</v>
      </c>
      <c r="O284" s="64">
        <v>1512842</v>
      </c>
      <c r="P284" s="64">
        <v>197855</v>
      </c>
      <c r="Q284" s="28">
        <v>19380638</v>
      </c>
      <c r="R284" s="62">
        <v>1326762</v>
      </c>
      <c r="S284" s="28">
        <v>25808959</v>
      </c>
      <c r="T284" s="81">
        <v>893049</v>
      </c>
      <c r="U284" s="81">
        <v>231903</v>
      </c>
      <c r="V284" s="81">
        <v>0</v>
      </c>
      <c r="W284" s="81">
        <v>319623</v>
      </c>
      <c r="X284" s="28">
        <v>27253534</v>
      </c>
      <c r="Y284" s="28">
        <v>1148714</v>
      </c>
      <c r="Z284" s="28">
        <v>4890285</v>
      </c>
      <c r="AA284" s="28">
        <v>19454436</v>
      </c>
      <c r="AB284" s="28">
        <v>1760099</v>
      </c>
      <c r="AC284" s="40" t="s">
        <v>184</v>
      </c>
      <c r="AD284" s="41">
        <v>2142</v>
      </c>
      <c r="AE284" s="42">
        <v>1</v>
      </c>
      <c r="AF284" s="40" t="s">
        <v>475</v>
      </c>
      <c r="AG284" s="68">
        <v>161273.47</v>
      </c>
      <c r="AH284" s="42">
        <v>1</v>
      </c>
      <c r="AI284" s="40" t="s">
        <v>475</v>
      </c>
      <c r="AJ284" s="70">
        <v>0</v>
      </c>
      <c r="AK284" s="72">
        <f t="shared" si="24"/>
        <v>-161273.47</v>
      </c>
      <c r="AL284" s="72">
        <f t="shared" si="25"/>
        <v>0</v>
      </c>
      <c r="AM284">
        <v>-1</v>
      </c>
      <c r="AO284" s="102">
        <f t="shared" si="26"/>
        <v>234</v>
      </c>
      <c r="AP284" s="103">
        <f t="shared" si="27"/>
        <v>937206</v>
      </c>
      <c r="AQ284" s="101">
        <f t="shared" si="28"/>
        <v>73798</v>
      </c>
      <c r="AR284" s="104">
        <f t="shared" si="29"/>
        <v>433337</v>
      </c>
    </row>
    <row r="285" spans="1:44">
      <c r="A285" s="14" t="s">
        <v>1092</v>
      </c>
      <c r="B285" s="15" t="s">
        <v>1093</v>
      </c>
      <c r="C285" s="14" t="s">
        <v>1220</v>
      </c>
      <c r="D285" s="14">
        <v>40</v>
      </c>
      <c r="E285" s="15" t="s">
        <v>984</v>
      </c>
      <c r="F285" s="15" t="s">
        <v>477</v>
      </c>
      <c r="G285" s="14" t="s">
        <v>478</v>
      </c>
      <c r="H285" s="14"/>
      <c r="I285" s="14"/>
      <c r="J285" s="16">
        <v>975.91</v>
      </c>
      <c r="K285" s="66">
        <v>644952</v>
      </c>
      <c r="L285" s="66">
        <v>708296</v>
      </c>
      <c r="M285" s="28">
        <v>1353248</v>
      </c>
      <c r="N285" s="64">
        <v>6239363</v>
      </c>
      <c r="O285" s="64">
        <v>594618</v>
      </c>
      <c r="P285" s="64">
        <v>70909</v>
      </c>
      <c r="Q285" s="28">
        <v>6904890</v>
      </c>
      <c r="R285" s="62">
        <v>161843</v>
      </c>
      <c r="S285" s="28">
        <v>8419981</v>
      </c>
      <c r="T285" s="81">
        <v>420848</v>
      </c>
      <c r="U285" s="81">
        <v>209738</v>
      </c>
      <c r="V285" s="81">
        <v>0</v>
      </c>
      <c r="W285" s="81">
        <v>0</v>
      </c>
      <c r="X285" s="28">
        <v>9050566</v>
      </c>
      <c r="Y285" s="28">
        <v>707161</v>
      </c>
      <c r="Z285" s="28">
        <v>1038460</v>
      </c>
      <c r="AA285" s="28">
        <v>6973877</v>
      </c>
      <c r="AB285" s="28">
        <v>331068</v>
      </c>
      <c r="AC285" s="40" t="s">
        <v>184</v>
      </c>
      <c r="AD285" s="41">
        <v>2143</v>
      </c>
      <c r="AE285" s="42">
        <v>1</v>
      </c>
      <c r="AF285" s="40" t="s">
        <v>477</v>
      </c>
      <c r="AG285" s="68">
        <v>63905.07</v>
      </c>
      <c r="AH285" s="42">
        <v>1</v>
      </c>
      <c r="AI285" s="40" t="s">
        <v>477</v>
      </c>
      <c r="AJ285" s="70">
        <v>0</v>
      </c>
      <c r="AK285" s="72">
        <f t="shared" si="24"/>
        <v>-63905.07</v>
      </c>
      <c r="AL285" s="72">
        <f t="shared" si="25"/>
        <v>0</v>
      </c>
      <c r="AM285">
        <v>-1</v>
      </c>
      <c r="AO285" s="102">
        <f t="shared" si="26"/>
        <v>62209</v>
      </c>
      <c r="AP285" s="103">
        <f t="shared" si="27"/>
        <v>330164</v>
      </c>
      <c r="AQ285" s="101">
        <f t="shared" si="28"/>
        <v>68987</v>
      </c>
      <c r="AR285" s="104">
        <f t="shared" si="29"/>
        <v>169225</v>
      </c>
    </row>
    <row r="286" spans="1:44">
      <c r="A286" s="14" t="s">
        <v>1146</v>
      </c>
      <c r="B286" s="15" t="s">
        <v>1147</v>
      </c>
      <c r="C286" s="14" t="s">
        <v>1220</v>
      </c>
      <c r="D286" s="14">
        <v>13</v>
      </c>
      <c r="E286" s="15" t="s">
        <v>1148</v>
      </c>
      <c r="F286" s="15" t="s">
        <v>479</v>
      </c>
      <c r="G286" s="14" t="s">
        <v>480</v>
      </c>
      <c r="H286" s="14"/>
      <c r="I286" s="14"/>
      <c r="J286" s="16">
        <v>3537.18</v>
      </c>
      <c r="K286" s="66">
        <v>2567999</v>
      </c>
      <c r="L286" s="66">
        <v>1755105</v>
      </c>
      <c r="M286" s="28">
        <v>4323104</v>
      </c>
      <c r="N286" s="64">
        <v>21727235</v>
      </c>
      <c r="O286" s="64">
        <v>1716158</v>
      </c>
      <c r="P286" s="64">
        <v>449301</v>
      </c>
      <c r="Q286" s="28">
        <v>23892694</v>
      </c>
      <c r="R286" s="62">
        <v>537709</v>
      </c>
      <c r="S286" s="28">
        <v>28753507</v>
      </c>
      <c r="T286" s="81">
        <v>1495539</v>
      </c>
      <c r="U286" s="81">
        <v>1187449</v>
      </c>
      <c r="V286" s="81">
        <v>11367</v>
      </c>
      <c r="W286" s="81">
        <v>3925323</v>
      </c>
      <c r="X286" s="28">
        <v>35373185</v>
      </c>
      <c r="Y286" s="28">
        <v>6419788</v>
      </c>
      <c r="Z286" s="28">
        <v>3757442</v>
      </c>
      <c r="AA286" s="28">
        <v>24310101</v>
      </c>
      <c r="AB286" s="28">
        <v>885854</v>
      </c>
      <c r="AC286" s="40" t="s">
        <v>184</v>
      </c>
      <c r="AD286" s="41">
        <v>2144</v>
      </c>
      <c r="AE286" s="42">
        <v>1</v>
      </c>
      <c r="AF286" s="40" t="s">
        <v>479</v>
      </c>
      <c r="AG286" s="68">
        <v>265919.95</v>
      </c>
      <c r="AH286" s="42">
        <v>1</v>
      </c>
      <c r="AI286" s="40" t="s">
        <v>479</v>
      </c>
      <c r="AJ286" s="70">
        <v>11418.91</v>
      </c>
      <c r="AK286" s="72">
        <f t="shared" si="24"/>
        <v>-265919.95</v>
      </c>
      <c r="AL286" s="72">
        <f t="shared" si="25"/>
        <v>-11418.91</v>
      </c>
      <c r="AM286">
        <v>-1</v>
      </c>
      <c r="AO286" s="102">
        <f t="shared" si="26"/>
        <v>3851789</v>
      </c>
      <c r="AP286" s="103">
        <f t="shared" si="27"/>
        <v>2002337</v>
      </c>
      <c r="AQ286" s="101">
        <f t="shared" si="28"/>
        <v>417407</v>
      </c>
      <c r="AR286" s="104">
        <f t="shared" si="29"/>
        <v>348145</v>
      </c>
    </row>
    <row r="287" spans="1:44">
      <c r="A287" s="14" t="s">
        <v>1249</v>
      </c>
      <c r="B287" s="15" t="s">
        <v>1250</v>
      </c>
      <c r="C287" s="14" t="s">
        <v>1220</v>
      </c>
      <c r="D287" s="14">
        <v>61</v>
      </c>
      <c r="E287" s="15" t="s">
        <v>782</v>
      </c>
      <c r="F287" s="15" t="s">
        <v>481</v>
      </c>
      <c r="G287" s="14" t="s">
        <v>482</v>
      </c>
      <c r="H287" s="14"/>
      <c r="I287" s="14"/>
      <c r="J287" s="16">
        <v>1247.4100000000001</v>
      </c>
      <c r="K287" s="66">
        <v>521646</v>
      </c>
      <c r="L287" s="66">
        <v>1360114</v>
      </c>
      <c r="M287" s="28">
        <v>1881760</v>
      </c>
      <c r="N287" s="64">
        <v>8037131</v>
      </c>
      <c r="O287" s="64">
        <v>1863727</v>
      </c>
      <c r="P287" s="64">
        <v>61513</v>
      </c>
      <c r="Q287" s="28">
        <v>9962371</v>
      </c>
      <c r="R287" s="62">
        <v>271412</v>
      </c>
      <c r="S287" s="28">
        <v>12115543</v>
      </c>
      <c r="T287" s="81">
        <v>671726</v>
      </c>
      <c r="U287" s="81">
        <v>302990</v>
      </c>
      <c r="V287" s="81">
        <v>0</v>
      </c>
      <c r="W287" s="81">
        <v>997191</v>
      </c>
      <c r="X287" s="28">
        <v>14087452</v>
      </c>
      <c r="Y287" s="28">
        <v>1488232</v>
      </c>
      <c r="Z287" s="28">
        <v>1876707</v>
      </c>
      <c r="AA287" s="28">
        <v>10180951</v>
      </c>
      <c r="AB287" s="28">
        <v>541562</v>
      </c>
      <c r="AC287" s="40" t="s">
        <v>184</v>
      </c>
      <c r="AD287" s="41">
        <v>2149</v>
      </c>
      <c r="AE287" s="42">
        <v>1</v>
      </c>
      <c r="AF287" s="40" t="s">
        <v>481</v>
      </c>
      <c r="AG287" s="68">
        <v>71152.44</v>
      </c>
      <c r="AH287" s="42">
        <v>1</v>
      </c>
      <c r="AI287" s="40" t="s">
        <v>481</v>
      </c>
      <c r="AJ287" s="70">
        <v>0</v>
      </c>
      <c r="AK287" s="72">
        <f t="shared" si="24"/>
        <v>-71152.44</v>
      </c>
      <c r="AL287" s="72">
        <f t="shared" si="25"/>
        <v>0</v>
      </c>
      <c r="AM287">
        <v>-1</v>
      </c>
      <c r="AO287" s="102">
        <f t="shared" si="26"/>
        <v>966586</v>
      </c>
      <c r="AP287" s="103">
        <f t="shared" si="27"/>
        <v>516593</v>
      </c>
      <c r="AQ287" s="101">
        <f t="shared" si="28"/>
        <v>218580</v>
      </c>
      <c r="AR287" s="104">
        <f t="shared" si="29"/>
        <v>270150</v>
      </c>
    </row>
    <row r="288" spans="1:44">
      <c r="A288" s="14" t="s">
        <v>1218</v>
      </c>
      <c r="B288" s="15" t="s">
        <v>1219</v>
      </c>
      <c r="C288" s="14" t="s">
        <v>1220</v>
      </c>
      <c r="D288" s="14">
        <v>69</v>
      </c>
      <c r="E288" s="15" t="s">
        <v>651</v>
      </c>
      <c r="F288" s="15" t="s">
        <v>483</v>
      </c>
      <c r="G288" s="14" t="s">
        <v>484</v>
      </c>
      <c r="H288" s="14"/>
      <c r="I288" s="14"/>
      <c r="J288" s="16">
        <v>1331.74</v>
      </c>
      <c r="K288" s="66">
        <v>474561</v>
      </c>
      <c r="L288" s="66">
        <v>2045350</v>
      </c>
      <c r="M288" s="28">
        <v>2519911</v>
      </c>
      <c r="N288" s="64">
        <v>8564157</v>
      </c>
      <c r="O288" s="64">
        <v>237151</v>
      </c>
      <c r="P288" s="64">
        <v>138930</v>
      </c>
      <c r="Q288" s="28">
        <v>8940238</v>
      </c>
      <c r="R288" s="62">
        <v>531091</v>
      </c>
      <c r="S288" s="28">
        <v>11991240</v>
      </c>
      <c r="T288" s="81">
        <v>435946</v>
      </c>
      <c r="U288" s="81">
        <v>167280</v>
      </c>
      <c r="V288" s="81">
        <v>0</v>
      </c>
      <c r="W288" s="81">
        <v>799306</v>
      </c>
      <c r="X288" s="28">
        <v>13393772</v>
      </c>
      <c r="Y288" s="28">
        <v>529510</v>
      </c>
      <c r="Z288" s="28">
        <v>3017511</v>
      </c>
      <c r="AA288" s="28">
        <v>9100107</v>
      </c>
      <c r="AB288" s="28">
        <v>746644</v>
      </c>
      <c r="AC288" s="40" t="s">
        <v>184</v>
      </c>
      <c r="AD288" s="41">
        <v>2154</v>
      </c>
      <c r="AE288" s="42">
        <v>1</v>
      </c>
      <c r="AF288" s="40" t="s">
        <v>483</v>
      </c>
      <c r="AG288" s="68">
        <v>83886.2</v>
      </c>
      <c r="AH288" s="42">
        <v>1</v>
      </c>
      <c r="AI288" s="40" t="s">
        <v>483</v>
      </c>
      <c r="AJ288" s="70">
        <v>771.65</v>
      </c>
      <c r="AK288" s="72">
        <f t="shared" si="24"/>
        <v>-83886.2</v>
      </c>
      <c r="AL288" s="72">
        <f t="shared" si="25"/>
        <v>-771.65</v>
      </c>
      <c r="AM288">
        <v>-1</v>
      </c>
      <c r="AO288" s="102">
        <f t="shared" si="26"/>
        <v>54949</v>
      </c>
      <c r="AP288" s="103">
        <f t="shared" si="27"/>
        <v>972161</v>
      </c>
      <c r="AQ288" s="101">
        <f t="shared" si="28"/>
        <v>159869</v>
      </c>
      <c r="AR288" s="104">
        <f t="shared" si="29"/>
        <v>215553</v>
      </c>
    </row>
    <row r="289" spans="1:44">
      <c r="A289" s="14" t="s">
        <v>1132</v>
      </c>
      <c r="B289" s="15" t="s">
        <v>1133</v>
      </c>
      <c r="C289" s="14" t="s">
        <v>1220</v>
      </c>
      <c r="D289" s="14">
        <v>80</v>
      </c>
      <c r="E289" s="15" t="s">
        <v>573</v>
      </c>
      <c r="F289" s="15" t="s">
        <v>485</v>
      </c>
      <c r="G289" s="14" t="s">
        <v>486</v>
      </c>
      <c r="H289" s="14"/>
      <c r="I289" s="14"/>
      <c r="J289" s="16">
        <v>1159.94</v>
      </c>
      <c r="K289" s="66">
        <v>188243</v>
      </c>
      <c r="L289" s="66">
        <v>630602</v>
      </c>
      <c r="M289" s="28">
        <v>818845</v>
      </c>
      <c r="N289" s="64">
        <v>8150128</v>
      </c>
      <c r="O289" s="64">
        <v>610576</v>
      </c>
      <c r="P289" s="64">
        <v>86974</v>
      </c>
      <c r="Q289" s="28">
        <v>8847678</v>
      </c>
      <c r="R289" s="62">
        <v>350357</v>
      </c>
      <c r="S289" s="28">
        <v>10016880</v>
      </c>
      <c r="T289" s="81">
        <v>738752</v>
      </c>
      <c r="U289" s="81">
        <v>667171</v>
      </c>
      <c r="V289" s="81">
        <v>2077</v>
      </c>
      <c r="W289" s="81">
        <v>791355</v>
      </c>
      <c r="X289" s="28">
        <v>12216236</v>
      </c>
      <c r="Y289" s="28">
        <v>906689</v>
      </c>
      <c r="Z289" s="28">
        <v>1199008</v>
      </c>
      <c r="AA289" s="28">
        <v>9350715</v>
      </c>
      <c r="AB289" s="28">
        <v>759824</v>
      </c>
      <c r="AC289" s="40" t="s">
        <v>184</v>
      </c>
      <c r="AD289" s="41">
        <v>2155</v>
      </c>
      <c r="AE289" s="42">
        <v>1</v>
      </c>
      <c r="AF289" s="40" t="s">
        <v>485</v>
      </c>
      <c r="AG289" s="68">
        <v>117516.24</v>
      </c>
      <c r="AH289" s="42">
        <v>1</v>
      </c>
      <c r="AI289" s="40" t="s">
        <v>485</v>
      </c>
      <c r="AJ289" s="70">
        <v>255893.24</v>
      </c>
      <c r="AK289" s="72">
        <f t="shared" si="24"/>
        <v>-117516.24</v>
      </c>
      <c r="AL289" s="72">
        <f t="shared" si="25"/>
        <v>-255893.24</v>
      </c>
      <c r="AM289">
        <v>-1</v>
      </c>
      <c r="AO289" s="102">
        <f t="shared" si="26"/>
        <v>718446</v>
      </c>
      <c r="AP289" s="103">
        <f t="shared" si="27"/>
        <v>568406</v>
      </c>
      <c r="AQ289" s="101">
        <f t="shared" si="28"/>
        <v>503037</v>
      </c>
      <c r="AR289" s="104">
        <f t="shared" si="29"/>
        <v>409467</v>
      </c>
    </row>
    <row r="290" spans="1:44">
      <c r="A290" s="14" t="s">
        <v>954</v>
      </c>
      <c r="B290" s="15" t="s">
        <v>955</v>
      </c>
      <c r="C290" s="14" t="s">
        <v>1220</v>
      </c>
      <c r="D290" s="14">
        <v>65</v>
      </c>
      <c r="E290" s="15" t="s">
        <v>487</v>
      </c>
      <c r="F290" s="15" t="s">
        <v>488</v>
      </c>
      <c r="G290" s="14" t="s">
        <v>489</v>
      </c>
      <c r="H290" s="14"/>
      <c r="I290" s="14"/>
      <c r="J290" s="16">
        <v>542.05999999999995</v>
      </c>
      <c r="K290" s="66">
        <v>512102</v>
      </c>
      <c r="L290" s="66">
        <v>273591</v>
      </c>
      <c r="M290" s="28">
        <v>785693</v>
      </c>
      <c r="N290" s="64">
        <v>3896011</v>
      </c>
      <c r="O290" s="64">
        <v>281364</v>
      </c>
      <c r="P290" s="64">
        <v>41372</v>
      </c>
      <c r="Q290" s="28">
        <v>4218747</v>
      </c>
      <c r="R290" s="62">
        <v>188000</v>
      </c>
      <c r="S290" s="28">
        <v>5192440</v>
      </c>
      <c r="T290" s="81">
        <v>241591</v>
      </c>
      <c r="U290" s="81">
        <v>123593</v>
      </c>
      <c r="V290" s="81">
        <v>0</v>
      </c>
      <c r="W290" s="81">
        <v>0</v>
      </c>
      <c r="X290" s="28">
        <v>5557624</v>
      </c>
      <c r="Y290" s="28">
        <v>549150</v>
      </c>
      <c r="Z290" s="28">
        <v>482945</v>
      </c>
      <c r="AA290" s="28">
        <v>4244803</v>
      </c>
      <c r="AB290" s="28">
        <v>280726</v>
      </c>
      <c r="AC290" s="40" t="s">
        <v>184</v>
      </c>
      <c r="AD290" s="41">
        <v>2159</v>
      </c>
      <c r="AE290" s="42">
        <v>1</v>
      </c>
      <c r="AF290" s="40" t="s">
        <v>488</v>
      </c>
      <c r="AG290" s="68">
        <v>42121.83</v>
      </c>
      <c r="AH290" s="42">
        <v>1</v>
      </c>
      <c r="AI290" s="40" t="s">
        <v>488</v>
      </c>
      <c r="AJ290" s="70">
        <v>0</v>
      </c>
      <c r="AK290" s="72">
        <f t="shared" si="24"/>
        <v>-42121.83</v>
      </c>
      <c r="AL290" s="72">
        <f t="shared" si="25"/>
        <v>0</v>
      </c>
      <c r="AM290">
        <v>-1</v>
      </c>
      <c r="AO290" s="102">
        <f t="shared" si="26"/>
        <v>37048</v>
      </c>
      <c r="AP290" s="103">
        <f t="shared" si="27"/>
        <v>209354</v>
      </c>
      <c r="AQ290" s="101">
        <f t="shared" si="28"/>
        <v>26056</v>
      </c>
      <c r="AR290" s="104">
        <f t="shared" si="29"/>
        <v>92726</v>
      </c>
    </row>
    <row r="291" spans="1:44">
      <c r="A291" s="14" t="s">
        <v>1249</v>
      </c>
      <c r="B291" s="15" t="s">
        <v>1250</v>
      </c>
      <c r="C291" s="14" t="s">
        <v>1220</v>
      </c>
      <c r="D291" s="14">
        <v>14</v>
      </c>
      <c r="E291" s="15" t="s">
        <v>1153</v>
      </c>
      <c r="F291" s="15" t="s">
        <v>490</v>
      </c>
      <c r="G291" s="14" t="s">
        <v>491</v>
      </c>
      <c r="H291" s="14"/>
      <c r="I291" s="14"/>
      <c r="J291" s="16">
        <v>1314.55</v>
      </c>
      <c r="K291" s="66">
        <v>209995</v>
      </c>
      <c r="L291" s="66">
        <v>257927</v>
      </c>
      <c r="M291" s="28">
        <v>467922</v>
      </c>
      <c r="N291" s="64">
        <v>8377424</v>
      </c>
      <c r="O291" s="64">
        <v>492955</v>
      </c>
      <c r="P291" s="64">
        <v>53888</v>
      </c>
      <c r="Q291" s="28">
        <v>8924267</v>
      </c>
      <c r="R291" s="62">
        <v>452585</v>
      </c>
      <c r="S291" s="28">
        <v>9844774</v>
      </c>
      <c r="T291" s="81">
        <v>518051</v>
      </c>
      <c r="U291" s="81">
        <v>334669</v>
      </c>
      <c r="V291" s="81">
        <v>0</v>
      </c>
      <c r="W291" s="81">
        <v>1001617</v>
      </c>
      <c r="X291" s="28">
        <v>11699109</v>
      </c>
      <c r="Y291" s="28">
        <v>1036858</v>
      </c>
      <c r="Z291" s="28">
        <v>752656</v>
      </c>
      <c r="AA291" s="28">
        <v>9249252</v>
      </c>
      <c r="AB291" s="28">
        <v>660343</v>
      </c>
      <c r="AC291" s="40" t="s">
        <v>184</v>
      </c>
      <c r="AD291" s="41">
        <v>2164</v>
      </c>
      <c r="AE291" s="42">
        <v>1</v>
      </c>
      <c r="AF291" s="40" t="s">
        <v>490</v>
      </c>
      <c r="AG291" s="68">
        <v>129726.99</v>
      </c>
      <c r="AH291" s="42">
        <v>1</v>
      </c>
      <c r="AI291" s="40" t="s">
        <v>490</v>
      </c>
      <c r="AJ291" s="70">
        <v>0</v>
      </c>
      <c r="AK291" s="72">
        <f t="shared" si="24"/>
        <v>-129726.99</v>
      </c>
      <c r="AL291" s="72">
        <f t="shared" si="25"/>
        <v>0</v>
      </c>
      <c r="AM291">
        <v>-1</v>
      </c>
      <c r="AO291" s="102">
        <f t="shared" si="26"/>
        <v>826863</v>
      </c>
      <c r="AP291" s="103">
        <f t="shared" si="27"/>
        <v>494729</v>
      </c>
      <c r="AQ291" s="101">
        <f t="shared" si="28"/>
        <v>324985</v>
      </c>
      <c r="AR291" s="104">
        <f t="shared" si="29"/>
        <v>207758</v>
      </c>
    </row>
    <row r="292" spans="1:44">
      <c r="A292" s="14" t="s">
        <v>1146</v>
      </c>
      <c r="B292" s="15" t="s">
        <v>1147</v>
      </c>
      <c r="C292" s="14" t="s">
        <v>1220</v>
      </c>
      <c r="D292" s="14">
        <v>58</v>
      </c>
      <c r="E292" s="15" t="s">
        <v>761</v>
      </c>
      <c r="F292" s="15" t="s">
        <v>492</v>
      </c>
      <c r="G292" s="14" t="s">
        <v>493</v>
      </c>
      <c r="H292" s="14"/>
      <c r="I292" s="14"/>
      <c r="J292" s="16">
        <v>1047.75</v>
      </c>
      <c r="K292" s="66">
        <v>503315</v>
      </c>
      <c r="L292" s="66">
        <v>689893</v>
      </c>
      <c r="M292" s="28">
        <v>1193208</v>
      </c>
      <c r="N292" s="64">
        <v>6936766</v>
      </c>
      <c r="O292" s="64">
        <v>405122</v>
      </c>
      <c r="P292" s="64">
        <v>28023</v>
      </c>
      <c r="Q292" s="28">
        <v>7369911</v>
      </c>
      <c r="R292" s="62">
        <v>502230</v>
      </c>
      <c r="S292" s="28">
        <v>9065349</v>
      </c>
      <c r="T292" s="81">
        <v>390049</v>
      </c>
      <c r="U292" s="81">
        <v>157728</v>
      </c>
      <c r="V292" s="81">
        <v>0</v>
      </c>
      <c r="W292" s="81">
        <v>444310</v>
      </c>
      <c r="X292" s="28">
        <v>10057435</v>
      </c>
      <c r="Y292" s="28">
        <v>929664</v>
      </c>
      <c r="Z292" s="28">
        <v>907903</v>
      </c>
      <c r="AA292" s="28">
        <v>7499007</v>
      </c>
      <c r="AB292" s="28">
        <v>720861</v>
      </c>
      <c r="AC292" s="40" t="s">
        <v>184</v>
      </c>
      <c r="AD292" s="41">
        <v>2165</v>
      </c>
      <c r="AE292" s="42">
        <v>1</v>
      </c>
      <c r="AF292" s="40" t="s">
        <v>492</v>
      </c>
      <c r="AG292" s="68">
        <v>62335.03</v>
      </c>
      <c r="AH292" s="42">
        <v>1</v>
      </c>
      <c r="AI292" s="40" t="s">
        <v>492</v>
      </c>
      <c r="AJ292" s="70">
        <v>3554.82</v>
      </c>
      <c r="AK292" s="72">
        <f t="shared" si="24"/>
        <v>-62335.03</v>
      </c>
      <c r="AL292" s="72">
        <f t="shared" si="25"/>
        <v>-3554.82</v>
      </c>
      <c r="AM292">
        <v>-1</v>
      </c>
      <c r="AO292" s="102">
        <f t="shared" si="26"/>
        <v>426349</v>
      </c>
      <c r="AP292" s="103">
        <f t="shared" si="27"/>
        <v>218010</v>
      </c>
      <c r="AQ292" s="101">
        <f t="shared" si="28"/>
        <v>129096</v>
      </c>
      <c r="AR292" s="104">
        <f t="shared" si="29"/>
        <v>218631</v>
      </c>
    </row>
    <row r="293" spans="1:44">
      <c r="A293" s="14" t="s">
        <v>1166</v>
      </c>
      <c r="B293" s="15" t="s">
        <v>1167</v>
      </c>
      <c r="C293" s="14" t="s">
        <v>1220</v>
      </c>
      <c r="D293" s="14">
        <v>42</v>
      </c>
      <c r="E293" s="15" t="s">
        <v>821</v>
      </c>
      <c r="F293" s="15" t="s">
        <v>494</v>
      </c>
      <c r="G293" s="14" t="s">
        <v>495</v>
      </c>
      <c r="H293" s="14"/>
      <c r="I293" s="14"/>
      <c r="J293" s="16">
        <v>580.51</v>
      </c>
      <c r="K293" s="66">
        <v>471158</v>
      </c>
      <c r="L293" s="66">
        <v>166357</v>
      </c>
      <c r="M293" s="28">
        <v>637515</v>
      </c>
      <c r="N293" s="64">
        <v>3908883</v>
      </c>
      <c r="O293" s="64">
        <v>232961</v>
      </c>
      <c r="P293" s="64">
        <v>27930</v>
      </c>
      <c r="Q293" s="28">
        <v>4169774</v>
      </c>
      <c r="R293" s="62">
        <v>206935</v>
      </c>
      <c r="S293" s="28">
        <v>5014224</v>
      </c>
      <c r="T293" s="81">
        <v>283850</v>
      </c>
      <c r="U293" s="81">
        <v>164443</v>
      </c>
      <c r="V293" s="81">
        <v>7010</v>
      </c>
      <c r="W293" s="81">
        <v>924316</v>
      </c>
      <c r="X293" s="28">
        <v>6393845</v>
      </c>
      <c r="Y293" s="28">
        <v>1293185</v>
      </c>
      <c r="Z293" s="28">
        <v>468132</v>
      </c>
      <c r="AA293" s="28">
        <v>4331651</v>
      </c>
      <c r="AB293" s="28">
        <v>300877</v>
      </c>
      <c r="AC293" s="40" t="s">
        <v>184</v>
      </c>
      <c r="AD293" s="41">
        <v>2167</v>
      </c>
      <c r="AE293" s="42">
        <v>1</v>
      </c>
      <c r="AF293" s="40" t="s">
        <v>494</v>
      </c>
      <c r="AG293" s="68">
        <v>74464.12</v>
      </c>
      <c r="AH293" s="42">
        <v>1</v>
      </c>
      <c r="AI293" s="40" t="s">
        <v>494</v>
      </c>
      <c r="AJ293" s="70">
        <v>0</v>
      </c>
      <c r="AK293" s="72">
        <f t="shared" si="24"/>
        <v>-74464.12</v>
      </c>
      <c r="AL293" s="72">
        <f t="shared" si="25"/>
        <v>0</v>
      </c>
      <c r="AM293">
        <v>-1</v>
      </c>
      <c r="AO293" s="102">
        <f t="shared" si="26"/>
        <v>822027</v>
      </c>
      <c r="AP293" s="103">
        <f t="shared" si="27"/>
        <v>301775</v>
      </c>
      <c r="AQ293" s="101">
        <f t="shared" si="28"/>
        <v>161877</v>
      </c>
      <c r="AR293" s="104">
        <f t="shared" si="29"/>
        <v>93942</v>
      </c>
    </row>
    <row r="294" spans="1:44">
      <c r="A294" s="14" t="s">
        <v>1092</v>
      </c>
      <c r="B294" s="15" t="s">
        <v>1093</v>
      </c>
      <c r="C294" s="14" t="s">
        <v>1220</v>
      </c>
      <c r="D294" s="14">
        <v>81</v>
      </c>
      <c r="E294" s="15" t="s">
        <v>580</v>
      </c>
      <c r="F294" s="15" t="s">
        <v>496</v>
      </c>
      <c r="G294" s="14" t="s">
        <v>497</v>
      </c>
      <c r="H294" s="14"/>
      <c r="I294" s="14"/>
      <c r="J294" s="16">
        <v>978.36</v>
      </c>
      <c r="K294" s="66">
        <v>239150</v>
      </c>
      <c r="L294" s="66">
        <v>694983</v>
      </c>
      <c r="M294" s="28">
        <v>934133</v>
      </c>
      <c r="N294" s="64">
        <v>6166081</v>
      </c>
      <c r="O294" s="64">
        <v>651672</v>
      </c>
      <c r="P294" s="64">
        <v>18574</v>
      </c>
      <c r="Q294" s="28">
        <v>6836327</v>
      </c>
      <c r="R294" s="62">
        <v>119844</v>
      </c>
      <c r="S294" s="28">
        <v>7890304</v>
      </c>
      <c r="T294" s="81">
        <v>368642</v>
      </c>
      <c r="U294" s="81">
        <v>148883</v>
      </c>
      <c r="V294" s="81">
        <v>0</v>
      </c>
      <c r="W294" s="81">
        <v>598458</v>
      </c>
      <c r="X294" s="28">
        <v>9006286</v>
      </c>
      <c r="Y294" s="28">
        <v>822071</v>
      </c>
      <c r="Z294" s="28">
        <v>959271</v>
      </c>
      <c r="AA294" s="28">
        <v>6949911</v>
      </c>
      <c r="AB294" s="28">
        <v>275033</v>
      </c>
      <c r="AC294" s="40" t="s">
        <v>184</v>
      </c>
      <c r="AD294" s="41">
        <v>2168</v>
      </c>
      <c r="AE294" s="42">
        <v>1</v>
      </c>
      <c r="AF294" s="40" t="s">
        <v>496</v>
      </c>
      <c r="AG294" s="68">
        <v>35928.9</v>
      </c>
      <c r="AH294" s="42">
        <v>1</v>
      </c>
      <c r="AI294" s="40" t="s">
        <v>496</v>
      </c>
      <c r="AJ294" s="70">
        <v>0</v>
      </c>
      <c r="AK294" s="72">
        <f t="shared" si="24"/>
        <v>-35928.9</v>
      </c>
      <c r="AL294" s="72">
        <f t="shared" si="25"/>
        <v>0</v>
      </c>
      <c r="AM294">
        <v>-1</v>
      </c>
      <c r="AO294" s="102">
        <f t="shared" si="26"/>
        <v>582921</v>
      </c>
      <c r="AP294" s="103">
        <f t="shared" si="27"/>
        <v>264288</v>
      </c>
      <c r="AQ294" s="101">
        <f t="shared" si="28"/>
        <v>113584</v>
      </c>
      <c r="AR294" s="104">
        <f t="shared" si="29"/>
        <v>155189</v>
      </c>
    </row>
    <row r="295" spans="1:44">
      <c r="A295" s="14" t="s">
        <v>1166</v>
      </c>
      <c r="B295" s="15" t="s">
        <v>1167</v>
      </c>
      <c r="C295" s="14" t="s">
        <v>1220</v>
      </c>
      <c r="D295" s="14">
        <v>51</v>
      </c>
      <c r="E295" s="15" t="s">
        <v>886</v>
      </c>
      <c r="F295" s="15" t="s">
        <v>498</v>
      </c>
      <c r="G295" s="14" t="s">
        <v>499</v>
      </c>
      <c r="H295" s="14"/>
      <c r="I295" s="14"/>
      <c r="J295" s="16">
        <v>757</v>
      </c>
      <c r="K295" s="66">
        <v>460523</v>
      </c>
      <c r="L295" s="66">
        <v>338999</v>
      </c>
      <c r="M295" s="28">
        <v>799522</v>
      </c>
      <c r="N295" s="64">
        <v>5259125</v>
      </c>
      <c r="O295" s="64">
        <v>412421</v>
      </c>
      <c r="P295" s="64">
        <v>145296</v>
      </c>
      <c r="Q295" s="28">
        <v>5816842</v>
      </c>
      <c r="R295" s="62">
        <v>202849</v>
      </c>
      <c r="S295" s="28">
        <v>6819213</v>
      </c>
      <c r="T295" s="81">
        <v>351672</v>
      </c>
      <c r="U295" s="81">
        <v>206694</v>
      </c>
      <c r="V295" s="81">
        <v>97323</v>
      </c>
      <c r="W295" s="81">
        <v>764322</v>
      </c>
      <c r="X295" s="28">
        <v>8239224</v>
      </c>
      <c r="Y295" s="28">
        <v>1185865</v>
      </c>
      <c r="Z295" s="28">
        <v>710522</v>
      </c>
      <c r="AA295" s="28">
        <v>5995117</v>
      </c>
      <c r="AB295" s="28">
        <v>347720</v>
      </c>
      <c r="AC295" s="40" t="s">
        <v>184</v>
      </c>
      <c r="AD295" s="41">
        <v>2169</v>
      </c>
      <c r="AE295" s="42">
        <v>1</v>
      </c>
      <c r="AF295" s="40" t="s">
        <v>498</v>
      </c>
      <c r="AG295" s="68">
        <v>122360.88</v>
      </c>
      <c r="AH295" s="42">
        <v>1</v>
      </c>
      <c r="AI295" s="40" t="s">
        <v>498</v>
      </c>
      <c r="AJ295" s="70">
        <v>0</v>
      </c>
      <c r="AK295" s="72">
        <f t="shared" si="24"/>
        <v>-122360.88</v>
      </c>
      <c r="AL295" s="72">
        <f t="shared" si="25"/>
        <v>0</v>
      </c>
      <c r="AM295">
        <v>-1</v>
      </c>
      <c r="AO295" s="102">
        <f t="shared" si="26"/>
        <v>725342</v>
      </c>
      <c r="AP295" s="103">
        <f t="shared" si="27"/>
        <v>371523</v>
      </c>
      <c r="AQ295" s="101">
        <f t="shared" si="28"/>
        <v>178275</v>
      </c>
      <c r="AR295" s="104">
        <f t="shared" si="29"/>
        <v>144871</v>
      </c>
    </row>
    <row r="296" spans="1:44">
      <c r="A296" s="14" t="s">
        <v>1132</v>
      </c>
      <c r="B296" s="15" t="s">
        <v>1133</v>
      </c>
      <c r="C296" s="14" t="s">
        <v>1220</v>
      </c>
      <c r="D296" s="14">
        <v>77</v>
      </c>
      <c r="E296" s="15" t="s">
        <v>728</v>
      </c>
      <c r="F296" s="15" t="s">
        <v>500</v>
      </c>
      <c r="G296" s="14" t="s">
        <v>501</v>
      </c>
      <c r="H296" s="14"/>
      <c r="I296" s="14"/>
      <c r="J296" s="16">
        <v>1437.14</v>
      </c>
      <c r="K296" s="66">
        <v>471830</v>
      </c>
      <c r="L296" s="66">
        <v>1318226</v>
      </c>
      <c r="M296" s="28">
        <v>1790056</v>
      </c>
      <c r="N296" s="64">
        <v>10063390</v>
      </c>
      <c r="O296" s="64">
        <v>484026</v>
      </c>
      <c r="P296" s="64">
        <v>457997</v>
      </c>
      <c r="Q296" s="28">
        <v>11005413</v>
      </c>
      <c r="R296" s="62">
        <v>522726</v>
      </c>
      <c r="S296" s="28">
        <v>13318195</v>
      </c>
      <c r="T296" s="81">
        <v>703179</v>
      </c>
      <c r="U296" s="81">
        <v>333500</v>
      </c>
      <c r="V296" s="81">
        <v>23168</v>
      </c>
      <c r="W296" s="81">
        <v>613653</v>
      </c>
      <c r="X296" s="28">
        <v>14991694</v>
      </c>
      <c r="Y296" s="28">
        <v>1114727</v>
      </c>
      <c r="Z296" s="28">
        <v>1727034</v>
      </c>
      <c r="AA296" s="28">
        <v>11232148</v>
      </c>
      <c r="AB296" s="28">
        <v>917786</v>
      </c>
      <c r="AC296" s="40" t="s">
        <v>184</v>
      </c>
      <c r="AD296" s="41">
        <v>2170</v>
      </c>
      <c r="AE296" s="42">
        <v>1</v>
      </c>
      <c r="AF296" s="40" t="s">
        <v>500</v>
      </c>
      <c r="AG296" s="68">
        <v>92495.7</v>
      </c>
      <c r="AH296" s="42">
        <v>1</v>
      </c>
      <c r="AI296" s="40" t="s">
        <v>500</v>
      </c>
      <c r="AJ296" s="70">
        <v>42254.52</v>
      </c>
      <c r="AK296" s="72">
        <f t="shared" si="24"/>
        <v>-92495.7</v>
      </c>
      <c r="AL296" s="72">
        <f t="shared" si="25"/>
        <v>-42254.52</v>
      </c>
      <c r="AM296">
        <v>-1</v>
      </c>
      <c r="AO296" s="102">
        <f t="shared" si="26"/>
        <v>642897</v>
      </c>
      <c r="AP296" s="103">
        <f t="shared" si="27"/>
        <v>408808</v>
      </c>
      <c r="AQ296" s="101">
        <f t="shared" si="28"/>
        <v>226735</v>
      </c>
      <c r="AR296" s="104">
        <f t="shared" si="29"/>
        <v>395060</v>
      </c>
    </row>
    <row r="297" spans="1:44">
      <c r="A297" s="14" t="s">
        <v>961</v>
      </c>
      <c r="B297" s="15" t="s">
        <v>962</v>
      </c>
      <c r="C297" s="14" t="s">
        <v>1220</v>
      </c>
      <c r="D297" s="14">
        <v>35</v>
      </c>
      <c r="E297" s="15" t="s">
        <v>963</v>
      </c>
      <c r="F297" s="15" t="s">
        <v>502</v>
      </c>
      <c r="G297" s="14" t="s">
        <v>503</v>
      </c>
      <c r="H297" s="14"/>
      <c r="I297" s="14"/>
      <c r="J297" s="16">
        <v>336.44</v>
      </c>
      <c r="K297" s="66">
        <v>648105</v>
      </c>
      <c r="L297" s="66">
        <v>407565</v>
      </c>
      <c r="M297" s="28">
        <v>1055670</v>
      </c>
      <c r="N297" s="64">
        <v>2851096</v>
      </c>
      <c r="O297" s="64">
        <v>222689</v>
      </c>
      <c r="P297" s="64">
        <v>22735</v>
      </c>
      <c r="Q297" s="28">
        <v>3096520</v>
      </c>
      <c r="R297" s="62">
        <v>97892</v>
      </c>
      <c r="S297" s="28">
        <v>4250082</v>
      </c>
      <c r="T297" s="81">
        <v>114953</v>
      </c>
      <c r="U297" s="81">
        <v>61706</v>
      </c>
      <c r="V297" s="81">
        <v>0</v>
      </c>
      <c r="W297" s="81">
        <v>127542</v>
      </c>
      <c r="X297" s="28">
        <v>4554283</v>
      </c>
      <c r="Y297" s="28">
        <v>782467</v>
      </c>
      <c r="Z297" s="28">
        <v>500920</v>
      </c>
      <c r="AA297" s="28">
        <v>3123463</v>
      </c>
      <c r="AB297" s="28">
        <v>147433</v>
      </c>
      <c r="AC297" s="40" t="s">
        <v>184</v>
      </c>
      <c r="AD297" s="41">
        <v>2171</v>
      </c>
      <c r="AE297" s="42">
        <v>1</v>
      </c>
      <c r="AF297" s="40" t="s">
        <v>502</v>
      </c>
      <c r="AG297" s="68">
        <v>16834.080000000002</v>
      </c>
      <c r="AH297" s="42">
        <v>1</v>
      </c>
      <c r="AI297" s="40" t="s">
        <v>502</v>
      </c>
      <c r="AJ297" s="70">
        <v>0</v>
      </c>
      <c r="AK297" s="72">
        <f t="shared" si="24"/>
        <v>-16834.080000000002</v>
      </c>
      <c r="AL297" s="72">
        <f t="shared" si="25"/>
        <v>0</v>
      </c>
      <c r="AM297">
        <v>-1</v>
      </c>
      <c r="AO297" s="102">
        <f t="shared" si="26"/>
        <v>134362</v>
      </c>
      <c r="AP297" s="103">
        <f t="shared" si="27"/>
        <v>93355</v>
      </c>
      <c r="AQ297" s="101">
        <f t="shared" si="28"/>
        <v>26943</v>
      </c>
      <c r="AR297" s="104">
        <f t="shared" si="29"/>
        <v>49541</v>
      </c>
    </row>
    <row r="298" spans="1:44">
      <c r="A298" s="14" t="s">
        <v>1017</v>
      </c>
      <c r="B298" s="15" t="s">
        <v>1018</v>
      </c>
      <c r="C298" s="14" t="s">
        <v>1220</v>
      </c>
      <c r="D298" s="14">
        <v>25</v>
      </c>
      <c r="E298" s="15" t="s">
        <v>1048</v>
      </c>
      <c r="F298" s="15" t="s">
        <v>504</v>
      </c>
      <c r="G298" s="14" t="s">
        <v>505</v>
      </c>
      <c r="H298" s="14"/>
      <c r="I298" s="14"/>
      <c r="J298" s="16">
        <v>899.56</v>
      </c>
      <c r="K298" s="66">
        <v>615643</v>
      </c>
      <c r="L298" s="66">
        <v>674894</v>
      </c>
      <c r="M298" s="28">
        <v>1290537</v>
      </c>
      <c r="N298" s="64">
        <v>5591667</v>
      </c>
      <c r="O298" s="64">
        <v>373183</v>
      </c>
      <c r="P298" s="64">
        <v>62926</v>
      </c>
      <c r="Q298" s="28">
        <v>6027776</v>
      </c>
      <c r="R298" s="62">
        <v>110968</v>
      </c>
      <c r="S298" s="28">
        <v>7429281</v>
      </c>
      <c r="T298" s="81">
        <v>409621</v>
      </c>
      <c r="U298" s="81">
        <v>417884</v>
      </c>
      <c r="V298" s="81">
        <v>0</v>
      </c>
      <c r="W298" s="81">
        <v>1036210</v>
      </c>
      <c r="X298" s="28">
        <v>9292997</v>
      </c>
      <c r="Y298" s="28">
        <v>1642785</v>
      </c>
      <c r="Z298" s="28">
        <v>1235692</v>
      </c>
      <c r="AA298" s="28">
        <v>6179092</v>
      </c>
      <c r="AB298" s="28">
        <v>235428</v>
      </c>
      <c r="AC298" s="40" t="s">
        <v>184</v>
      </c>
      <c r="AD298" s="41">
        <v>2172</v>
      </c>
      <c r="AE298" s="42">
        <v>1</v>
      </c>
      <c r="AF298" s="40" t="s">
        <v>504</v>
      </c>
      <c r="AG298" s="68">
        <v>61630.51</v>
      </c>
      <c r="AH298" s="42">
        <v>1</v>
      </c>
      <c r="AI298" s="40" t="s">
        <v>504</v>
      </c>
      <c r="AJ298" s="70">
        <v>0</v>
      </c>
      <c r="AK298" s="72">
        <f t="shared" si="24"/>
        <v>-61630.51</v>
      </c>
      <c r="AL298" s="72">
        <f t="shared" si="25"/>
        <v>0</v>
      </c>
      <c r="AM298">
        <v>-1</v>
      </c>
      <c r="AO298" s="102">
        <f t="shared" si="26"/>
        <v>1027142</v>
      </c>
      <c r="AP298" s="103">
        <f t="shared" si="27"/>
        <v>560798</v>
      </c>
      <c r="AQ298" s="101">
        <f t="shared" si="28"/>
        <v>151316</v>
      </c>
      <c r="AR298" s="104">
        <f t="shared" si="29"/>
        <v>124460</v>
      </c>
    </row>
    <row r="299" spans="1:44">
      <c r="A299" s="14" t="s">
        <v>1132</v>
      </c>
      <c r="B299" s="15" t="s">
        <v>1133</v>
      </c>
      <c r="C299" s="14" t="s">
        <v>1220</v>
      </c>
      <c r="D299" s="14">
        <v>11</v>
      </c>
      <c r="E299" s="15" t="s">
        <v>1134</v>
      </c>
      <c r="F299" s="15" t="s">
        <v>506</v>
      </c>
      <c r="G299" s="14" t="s">
        <v>507</v>
      </c>
      <c r="H299" s="14"/>
      <c r="I299" s="14"/>
      <c r="J299" s="16">
        <v>1028.78</v>
      </c>
      <c r="K299" s="66">
        <v>539898</v>
      </c>
      <c r="L299" s="66">
        <v>774366</v>
      </c>
      <c r="M299" s="28">
        <v>1314264</v>
      </c>
      <c r="N299" s="64">
        <v>7206820</v>
      </c>
      <c r="O299" s="64">
        <v>704668</v>
      </c>
      <c r="P299" s="64">
        <v>51903</v>
      </c>
      <c r="Q299" s="28">
        <v>7963391</v>
      </c>
      <c r="R299" s="62">
        <v>377343</v>
      </c>
      <c r="S299" s="28">
        <v>9654998</v>
      </c>
      <c r="T299" s="81">
        <v>439458</v>
      </c>
      <c r="U299" s="81">
        <v>212419</v>
      </c>
      <c r="V299" s="81">
        <v>50649</v>
      </c>
      <c r="W299" s="81">
        <v>333461</v>
      </c>
      <c r="X299" s="28">
        <v>10690984</v>
      </c>
      <c r="Y299" s="28">
        <v>935784</v>
      </c>
      <c r="Z299" s="28">
        <v>1069043</v>
      </c>
      <c r="AA299" s="28">
        <v>8053326</v>
      </c>
      <c r="AB299" s="28">
        <v>632831</v>
      </c>
      <c r="AC299" s="40" t="s">
        <v>184</v>
      </c>
      <c r="AD299" s="41">
        <v>2174</v>
      </c>
      <c r="AE299" s="42">
        <v>1</v>
      </c>
      <c r="AF299" s="40" t="s">
        <v>506</v>
      </c>
      <c r="AG299" s="68">
        <v>75287.53</v>
      </c>
      <c r="AH299" s="42">
        <v>1</v>
      </c>
      <c r="AI299" s="40" t="s">
        <v>506</v>
      </c>
      <c r="AJ299" s="70">
        <v>7000.3</v>
      </c>
      <c r="AK299" s="72">
        <f t="shared" si="24"/>
        <v>-75287.53</v>
      </c>
      <c r="AL299" s="72">
        <f t="shared" si="25"/>
        <v>-7000.3</v>
      </c>
      <c r="AM299">
        <v>-1</v>
      </c>
      <c r="AO299" s="102">
        <f t="shared" si="26"/>
        <v>395886</v>
      </c>
      <c r="AP299" s="103">
        <f t="shared" si="27"/>
        <v>294677</v>
      </c>
      <c r="AQ299" s="101">
        <f t="shared" si="28"/>
        <v>89935</v>
      </c>
      <c r="AR299" s="104">
        <f t="shared" si="29"/>
        <v>255488</v>
      </c>
    </row>
    <row r="300" spans="1:44">
      <c r="A300" s="14" t="s">
        <v>961</v>
      </c>
      <c r="B300" s="15" t="s">
        <v>962</v>
      </c>
      <c r="C300" s="14" t="s">
        <v>1220</v>
      </c>
      <c r="D300" s="14">
        <v>45</v>
      </c>
      <c r="E300" s="15" t="s">
        <v>842</v>
      </c>
      <c r="F300" s="15" t="s">
        <v>508</v>
      </c>
      <c r="G300" s="14" t="s">
        <v>509</v>
      </c>
      <c r="H300" s="14"/>
      <c r="I300" s="14"/>
      <c r="J300" s="16">
        <v>472.46</v>
      </c>
      <c r="K300" s="66">
        <v>484905</v>
      </c>
      <c r="L300" s="66">
        <v>334396</v>
      </c>
      <c r="M300" s="28">
        <v>819301</v>
      </c>
      <c r="N300" s="64">
        <v>4221867</v>
      </c>
      <c r="O300" s="64">
        <v>242870</v>
      </c>
      <c r="P300" s="64">
        <v>38545</v>
      </c>
      <c r="Q300" s="28">
        <v>4503282</v>
      </c>
      <c r="R300" s="62">
        <v>209383</v>
      </c>
      <c r="S300" s="28">
        <v>5531966</v>
      </c>
      <c r="T300" s="81">
        <v>218382</v>
      </c>
      <c r="U300" s="81">
        <v>106336</v>
      </c>
      <c r="V300" s="81">
        <v>0</v>
      </c>
      <c r="W300" s="81">
        <v>47155</v>
      </c>
      <c r="X300" s="28">
        <v>5903838</v>
      </c>
      <c r="Y300" s="28">
        <v>563694</v>
      </c>
      <c r="Z300" s="28">
        <v>465627</v>
      </c>
      <c r="AA300" s="28">
        <v>4555470</v>
      </c>
      <c r="AB300" s="28">
        <v>319047</v>
      </c>
      <c r="AC300" s="40" t="s">
        <v>184</v>
      </c>
      <c r="AD300" s="41">
        <v>2176</v>
      </c>
      <c r="AE300" s="42">
        <v>1</v>
      </c>
      <c r="AF300" s="40" t="s">
        <v>508</v>
      </c>
      <c r="AG300" s="68">
        <v>38105.68</v>
      </c>
      <c r="AH300" s="42">
        <v>1</v>
      </c>
      <c r="AI300" s="40" t="s">
        <v>508</v>
      </c>
      <c r="AJ300" s="70">
        <v>0</v>
      </c>
      <c r="AK300" s="72">
        <f t="shared" si="24"/>
        <v>-38105.68</v>
      </c>
      <c r="AL300" s="72">
        <f t="shared" si="25"/>
        <v>0</v>
      </c>
      <c r="AM300">
        <v>-1</v>
      </c>
      <c r="AO300" s="102">
        <f t="shared" si="26"/>
        <v>78789</v>
      </c>
      <c r="AP300" s="103">
        <f t="shared" si="27"/>
        <v>131231</v>
      </c>
      <c r="AQ300" s="101">
        <f t="shared" si="28"/>
        <v>52188</v>
      </c>
      <c r="AR300" s="104">
        <f t="shared" si="29"/>
        <v>109664</v>
      </c>
    </row>
    <row r="301" spans="1:44">
      <c r="A301" s="14" t="s">
        <v>1087</v>
      </c>
      <c r="B301" s="15" t="s">
        <v>1088</v>
      </c>
      <c r="C301" s="14" t="s">
        <v>1220</v>
      </c>
      <c r="D301" s="14">
        <v>12</v>
      </c>
      <c r="E301" s="15" t="s">
        <v>1143</v>
      </c>
      <c r="F301" s="15" t="s">
        <v>510</v>
      </c>
      <c r="G301" s="14" t="s">
        <v>511</v>
      </c>
      <c r="H301" s="14"/>
      <c r="I301" s="14"/>
      <c r="J301" s="16">
        <v>740.8</v>
      </c>
      <c r="K301" s="66">
        <v>563416</v>
      </c>
      <c r="L301" s="66">
        <v>183963</v>
      </c>
      <c r="M301" s="28">
        <v>747379</v>
      </c>
      <c r="N301" s="64">
        <v>5270451</v>
      </c>
      <c r="O301" s="64">
        <v>532389</v>
      </c>
      <c r="P301" s="64">
        <v>122638</v>
      </c>
      <c r="Q301" s="28">
        <v>5925478</v>
      </c>
      <c r="R301" s="62">
        <v>96871</v>
      </c>
      <c r="S301" s="28">
        <v>6769728</v>
      </c>
      <c r="T301" s="81">
        <v>343413</v>
      </c>
      <c r="U301" s="81">
        <v>93187</v>
      </c>
      <c r="V301" s="81">
        <v>0</v>
      </c>
      <c r="W301" s="81">
        <v>598042</v>
      </c>
      <c r="X301" s="28">
        <v>7804371</v>
      </c>
      <c r="Y301" s="28">
        <v>1134992</v>
      </c>
      <c r="Z301" s="28">
        <v>406994</v>
      </c>
      <c r="AA301" s="28">
        <v>6027336</v>
      </c>
      <c r="AB301" s="28">
        <v>235049</v>
      </c>
      <c r="AC301" s="40" t="s">
        <v>184</v>
      </c>
      <c r="AD301" s="41">
        <v>2180</v>
      </c>
      <c r="AE301" s="42">
        <v>1</v>
      </c>
      <c r="AF301" s="40" t="s">
        <v>510</v>
      </c>
      <c r="AG301" s="68">
        <v>16924.71</v>
      </c>
      <c r="AH301" s="42">
        <v>1</v>
      </c>
      <c r="AI301" s="40" t="s">
        <v>510</v>
      </c>
      <c r="AJ301" s="70">
        <v>0</v>
      </c>
      <c r="AK301" s="72">
        <f t="shared" si="24"/>
        <v>-16924.71</v>
      </c>
      <c r="AL301" s="72">
        <f t="shared" si="25"/>
        <v>0</v>
      </c>
      <c r="AM301">
        <v>-1</v>
      </c>
      <c r="AO301" s="102">
        <f t="shared" si="26"/>
        <v>571576</v>
      </c>
      <c r="AP301" s="103">
        <f t="shared" si="27"/>
        <v>223031</v>
      </c>
      <c r="AQ301" s="101">
        <f t="shared" si="28"/>
        <v>101858</v>
      </c>
      <c r="AR301" s="104">
        <f t="shared" si="29"/>
        <v>138178</v>
      </c>
    </row>
    <row r="302" spans="1:44">
      <c r="A302" s="14" t="s">
        <v>1166</v>
      </c>
      <c r="B302" s="15" t="s">
        <v>1167</v>
      </c>
      <c r="C302" s="14" t="s">
        <v>1220</v>
      </c>
      <c r="D302" s="14">
        <v>67</v>
      </c>
      <c r="E302" s="15" t="s">
        <v>813</v>
      </c>
      <c r="F302" s="15" t="s">
        <v>512</v>
      </c>
      <c r="G302" s="14" t="s">
        <v>513</v>
      </c>
      <c r="H302" s="14"/>
      <c r="I302" s="14"/>
      <c r="J302" s="16">
        <v>1244.56</v>
      </c>
      <c r="K302" s="66">
        <v>852287</v>
      </c>
      <c r="L302" s="66">
        <v>485413</v>
      </c>
      <c r="M302" s="28">
        <v>1337700</v>
      </c>
      <c r="N302" s="64">
        <v>8589915</v>
      </c>
      <c r="O302" s="64">
        <v>643488</v>
      </c>
      <c r="P302" s="64">
        <v>39358</v>
      </c>
      <c r="Q302" s="28">
        <v>9272761</v>
      </c>
      <c r="R302" s="62">
        <v>328444</v>
      </c>
      <c r="S302" s="28">
        <v>10938905</v>
      </c>
      <c r="T302" s="81">
        <v>462866</v>
      </c>
      <c r="U302" s="81">
        <v>406444</v>
      </c>
      <c r="V302" s="81">
        <v>0</v>
      </c>
      <c r="W302" s="81">
        <v>1164191</v>
      </c>
      <c r="X302" s="28">
        <v>12972407</v>
      </c>
      <c r="Y302" s="28">
        <v>1730176</v>
      </c>
      <c r="Z302" s="28">
        <v>1220734</v>
      </c>
      <c r="AA302" s="28">
        <v>9493331</v>
      </c>
      <c r="AB302" s="28">
        <v>528166</v>
      </c>
      <c r="AC302" s="40" t="s">
        <v>184</v>
      </c>
      <c r="AD302" s="41">
        <v>2184</v>
      </c>
      <c r="AE302" s="42">
        <v>1</v>
      </c>
      <c r="AF302" s="40" t="s">
        <v>512</v>
      </c>
      <c r="AG302" s="68">
        <v>96569.99</v>
      </c>
      <c r="AH302" s="42">
        <v>1</v>
      </c>
      <c r="AI302" s="40" t="s">
        <v>512</v>
      </c>
      <c r="AJ302" s="70">
        <v>0</v>
      </c>
      <c r="AK302" s="72">
        <f t="shared" si="24"/>
        <v>-96569.99</v>
      </c>
      <c r="AL302" s="72">
        <f t="shared" si="25"/>
        <v>0</v>
      </c>
      <c r="AM302">
        <v>-1</v>
      </c>
      <c r="AO302" s="102">
        <f t="shared" si="26"/>
        <v>877889</v>
      </c>
      <c r="AP302" s="103">
        <f t="shared" si="27"/>
        <v>735321</v>
      </c>
      <c r="AQ302" s="101">
        <f t="shared" si="28"/>
        <v>220570</v>
      </c>
      <c r="AR302" s="104">
        <f t="shared" si="29"/>
        <v>199722</v>
      </c>
    </row>
    <row r="303" spans="1:44">
      <c r="A303" s="14" t="s">
        <v>1087</v>
      </c>
      <c r="B303" s="15" t="s">
        <v>1088</v>
      </c>
      <c r="C303" s="14" t="s">
        <v>1220</v>
      </c>
      <c r="D303" s="14">
        <v>87</v>
      </c>
      <c r="E303" s="15" t="s">
        <v>628</v>
      </c>
      <c r="F303" s="15" t="s">
        <v>514</v>
      </c>
      <c r="G303" s="14" t="s">
        <v>515</v>
      </c>
      <c r="H303" s="14"/>
      <c r="I303" s="14"/>
      <c r="J303" s="16">
        <v>1052.07</v>
      </c>
      <c r="K303" s="66">
        <v>529047</v>
      </c>
      <c r="L303" s="66">
        <v>534105</v>
      </c>
      <c r="M303" s="28">
        <v>1063152</v>
      </c>
      <c r="N303" s="64">
        <v>7319222</v>
      </c>
      <c r="O303" s="64">
        <v>710680</v>
      </c>
      <c r="P303" s="64">
        <v>49246</v>
      </c>
      <c r="Q303" s="28">
        <v>8079148</v>
      </c>
      <c r="R303" s="62">
        <v>459337</v>
      </c>
      <c r="S303" s="28">
        <v>9601637</v>
      </c>
      <c r="T303" s="81">
        <v>442900</v>
      </c>
      <c r="U303" s="81">
        <v>331074</v>
      </c>
      <c r="V303" s="81">
        <v>0</v>
      </c>
      <c r="W303" s="81">
        <v>95746</v>
      </c>
      <c r="X303" s="28">
        <v>10471356</v>
      </c>
      <c r="Y303" s="28">
        <v>730801</v>
      </c>
      <c r="Z303" s="28">
        <v>883173</v>
      </c>
      <c r="AA303" s="28">
        <v>8170668</v>
      </c>
      <c r="AB303" s="28">
        <v>686713</v>
      </c>
      <c r="AC303" s="40" t="s">
        <v>184</v>
      </c>
      <c r="AD303" s="41">
        <v>2190</v>
      </c>
      <c r="AE303" s="42">
        <v>1</v>
      </c>
      <c r="AF303" s="40" t="s">
        <v>514</v>
      </c>
      <c r="AG303" s="68">
        <v>74996.759999999995</v>
      </c>
      <c r="AH303" s="42">
        <v>1</v>
      </c>
      <c r="AI303" s="40" t="s">
        <v>514</v>
      </c>
      <c r="AJ303" s="70">
        <v>0</v>
      </c>
      <c r="AK303" s="72">
        <f t="shared" si="24"/>
        <v>-74996.759999999995</v>
      </c>
      <c r="AL303" s="72">
        <f t="shared" si="25"/>
        <v>0</v>
      </c>
      <c r="AM303">
        <v>-1</v>
      </c>
      <c r="AO303" s="102">
        <f t="shared" si="26"/>
        <v>201754</v>
      </c>
      <c r="AP303" s="103">
        <f t="shared" si="27"/>
        <v>349068</v>
      </c>
      <c r="AQ303" s="101">
        <f t="shared" si="28"/>
        <v>91520</v>
      </c>
      <c r="AR303" s="104">
        <f t="shared" si="29"/>
        <v>227376</v>
      </c>
    </row>
    <row r="304" spans="1:44">
      <c r="A304" s="14" t="s">
        <v>1017</v>
      </c>
      <c r="B304" s="15" t="s">
        <v>1018</v>
      </c>
      <c r="C304" s="14" t="s">
        <v>1220</v>
      </c>
      <c r="D304" s="14">
        <v>23</v>
      </c>
      <c r="E304" s="15" t="s">
        <v>1036</v>
      </c>
      <c r="F304" s="15" t="s">
        <v>516</v>
      </c>
      <c r="G304" s="14" t="s">
        <v>517</v>
      </c>
      <c r="H304" s="14"/>
      <c r="I304" s="14"/>
      <c r="J304" s="16">
        <v>609.58000000000004</v>
      </c>
      <c r="K304" s="66">
        <v>677440</v>
      </c>
      <c r="L304" s="66">
        <v>511170</v>
      </c>
      <c r="M304" s="28">
        <v>1188610</v>
      </c>
      <c r="N304" s="64">
        <v>4175016</v>
      </c>
      <c r="O304" s="64">
        <v>260393</v>
      </c>
      <c r="P304" s="64">
        <v>64315</v>
      </c>
      <c r="Q304" s="28">
        <v>4499724</v>
      </c>
      <c r="R304" s="62">
        <v>291055</v>
      </c>
      <c r="S304" s="28">
        <v>5979389</v>
      </c>
      <c r="T304" s="81">
        <v>310076</v>
      </c>
      <c r="U304" s="81">
        <v>333614</v>
      </c>
      <c r="V304" s="81">
        <v>23372</v>
      </c>
      <c r="W304" s="81">
        <v>270628</v>
      </c>
      <c r="X304" s="28">
        <v>6917079</v>
      </c>
      <c r="Y304" s="28">
        <v>945110</v>
      </c>
      <c r="Z304" s="28">
        <v>974766</v>
      </c>
      <c r="AA304" s="28">
        <v>4610875</v>
      </c>
      <c r="AB304" s="28">
        <v>386328</v>
      </c>
      <c r="AC304" s="40" t="s">
        <v>184</v>
      </c>
      <c r="AD304" s="41">
        <v>2198</v>
      </c>
      <c r="AE304" s="42">
        <v>1</v>
      </c>
      <c r="AF304" s="40" t="s">
        <v>516</v>
      </c>
      <c r="AG304" s="68">
        <v>65989.25</v>
      </c>
      <c r="AH304" s="42">
        <v>1</v>
      </c>
      <c r="AI304" s="40" t="s">
        <v>516</v>
      </c>
      <c r="AJ304" s="70">
        <v>0</v>
      </c>
      <c r="AK304" s="72">
        <f t="shared" si="24"/>
        <v>-65989.25</v>
      </c>
      <c r="AL304" s="72">
        <f t="shared" si="25"/>
        <v>0</v>
      </c>
      <c r="AM304">
        <v>-1</v>
      </c>
      <c r="AO304" s="102">
        <f t="shared" si="26"/>
        <v>267670</v>
      </c>
      <c r="AP304" s="103">
        <f t="shared" si="27"/>
        <v>463596</v>
      </c>
      <c r="AQ304" s="101">
        <f t="shared" si="28"/>
        <v>111151</v>
      </c>
      <c r="AR304" s="104">
        <f t="shared" si="29"/>
        <v>95273</v>
      </c>
    </row>
    <row r="305" spans="1:44">
      <c r="A305" s="14" t="s">
        <v>961</v>
      </c>
      <c r="B305" s="15" t="s">
        <v>962</v>
      </c>
      <c r="C305" s="14" t="s">
        <v>1220</v>
      </c>
      <c r="D305" s="14">
        <v>54</v>
      </c>
      <c r="E305" s="15" t="s">
        <v>518</v>
      </c>
      <c r="F305" s="15" t="s">
        <v>519</v>
      </c>
      <c r="G305" s="14" t="s">
        <v>520</v>
      </c>
      <c r="H305" s="14"/>
      <c r="I305" s="14"/>
      <c r="J305" s="16">
        <v>350.2</v>
      </c>
      <c r="K305" s="66">
        <v>49892</v>
      </c>
      <c r="L305" s="66">
        <v>205661</v>
      </c>
      <c r="M305" s="28">
        <v>255553</v>
      </c>
      <c r="N305" s="64">
        <v>2791875</v>
      </c>
      <c r="O305" s="64">
        <v>169783</v>
      </c>
      <c r="P305" s="64">
        <v>12325</v>
      </c>
      <c r="Q305" s="28">
        <v>2973983</v>
      </c>
      <c r="R305" s="62">
        <v>131602</v>
      </c>
      <c r="S305" s="28">
        <v>3361138</v>
      </c>
      <c r="T305" s="81">
        <v>167545</v>
      </c>
      <c r="U305" s="81">
        <v>33067</v>
      </c>
      <c r="V305" s="81">
        <v>0</v>
      </c>
      <c r="W305" s="81">
        <v>315896</v>
      </c>
      <c r="X305" s="28">
        <v>3877647</v>
      </c>
      <c r="Y305" s="28">
        <v>315648</v>
      </c>
      <c r="Z305" s="28">
        <v>264935</v>
      </c>
      <c r="AA305" s="28">
        <v>3061316</v>
      </c>
      <c r="AB305" s="28">
        <v>235748</v>
      </c>
      <c r="AC305" s="40" t="s">
        <v>184</v>
      </c>
      <c r="AD305" s="41">
        <v>2215</v>
      </c>
      <c r="AE305" s="42">
        <v>1</v>
      </c>
      <c r="AF305" s="40" t="s">
        <v>519</v>
      </c>
      <c r="AG305" s="68">
        <v>23538.67</v>
      </c>
      <c r="AH305" s="42">
        <v>1</v>
      </c>
      <c r="AI305" s="40" t="s">
        <v>519</v>
      </c>
      <c r="AJ305" s="70">
        <v>1245.3399999999999</v>
      </c>
      <c r="AK305" s="72">
        <f t="shared" si="24"/>
        <v>-23538.67</v>
      </c>
      <c r="AL305" s="72">
        <f t="shared" si="25"/>
        <v>-1245.3399999999999</v>
      </c>
      <c r="AM305">
        <v>-1</v>
      </c>
      <c r="AO305" s="102">
        <f t="shared" si="26"/>
        <v>265756</v>
      </c>
      <c r="AP305" s="103">
        <f t="shared" si="27"/>
        <v>59274</v>
      </c>
      <c r="AQ305" s="101">
        <f t="shared" si="28"/>
        <v>87333</v>
      </c>
      <c r="AR305" s="104">
        <f t="shared" si="29"/>
        <v>104146</v>
      </c>
    </row>
    <row r="306" spans="1:44">
      <c r="A306" s="14" t="s">
        <v>1092</v>
      </c>
      <c r="B306" s="15" t="s">
        <v>1093</v>
      </c>
      <c r="C306" s="14" t="s">
        <v>1220</v>
      </c>
      <c r="D306" s="14">
        <v>72</v>
      </c>
      <c r="E306" s="15" t="s">
        <v>521</v>
      </c>
      <c r="F306" s="15" t="s">
        <v>522</v>
      </c>
      <c r="G306" s="14" t="s">
        <v>523</v>
      </c>
      <c r="H306" s="14"/>
      <c r="I306" s="14"/>
      <c r="J306" s="16">
        <v>1259.68</v>
      </c>
      <c r="K306" s="66">
        <v>747751</v>
      </c>
      <c r="L306" s="66">
        <v>984961</v>
      </c>
      <c r="M306" s="28">
        <v>1732712</v>
      </c>
      <c r="N306" s="64">
        <v>8776400</v>
      </c>
      <c r="O306" s="64">
        <v>374607</v>
      </c>
      <c r="P306" s="64">
        <v>169544</v>
      </c>
      <c r="Q306" s="28">
        <v>9320551</v>
      </c>
      <c r="R306" s="62">
        <v>237306</v>
      </c>
      <c r="S306" s="28">
        <v>11290569</v>
      </c>
      <c r="T306" s="81">
        <v>510933</v>
      </c>
      <c r="U306" s="81">
        <v>303880</v>
      </c>
      <c r="V306" s="81">
        <v>0</v>
      </c>
      <c r="W306" s="81">
        <v>0</v>
      </c>
      <c r="X306" s="28">
        <v>12105382</v>
      </c>
      <c r="Y306" s="28">
        <v>819596</v>
      </c>
      <c r="Z306" s="28">
        <v>1373102</v>
      </c>
      <c r="AA306" s="28">
        <v>9446898</v>
      </c>
      <c r="AB306" s="28">
        <v>465786</v>
      </c>
      <c r="AC306" s="40" t="s">
        <v>184</v>
      </c>
      <c r="AD306" s="41">
        <v>2310</v>
      </c>
      <c r="AE306" s="42">
        <v>1</v>
      </c>
      <c r="AF306" s="40" t="s">
        <v>522</v>
      </c>
      <c r="AG306" s="68">
        <v>148442.01</v>
      </c>
      <c r="AH306" s="42">
        <v>1</v>
      </c>
      <c r="AI306" s="40" t="s">
        <v>522</v>
      </c>
      <c r="AJ306" s="70">
        <v>0</v>
      </c>
      <c r="AK306" s="72">
        <f t="shared" si="24"/>
        <v>-148442.01</v>
      </c>
      <c r="AL306" s="72">
        <f t="shared" si="25"/>
        <v>0</v>
      </c>
      <c r="AM306">
        <v>-1</v>
      </c>
      <c r="AO306" s="102">
        <f t="shared" si="26"/>
        <v>71845</v>
      </c>
      <c r="AP306" s="103">
        <f t="shared" si="27"/>
        <v>388141</v>
      </c>
      <c r="AQ306" s="101">
        <f t="shared" si="28"/>
        <v>126347</v>
      </c>
      <c r="AR306" s="104">
        <f t="shared" si="29"/>
        <v>228480</v>
      </c>
    </row>
    <row r="307" spans="1:44">
      <c r="A307" s="14" t="s">
        <v>1258</v>
      </c>
      <c r="B307" s="15" t="s">
        <v>1259</v>
      </c>
      <c r="C307" s="14" t="s">
        <v>1220</v>
      </c>
      <c r="D307" s="14">
        <v>15</v>
      </c>
      <c r="E307" s="15" t="s">
        <v>1160</v>
      </c>
      <c r="F307" s="15" t="s">
        <v>524</v>
      </c>
      <c r="G307" s="14" t="s">
        <v>525</v>
      </c>
      <c r="H307" s="14"/>
      <c r="I307" s="14"/>
      <c r="J307" s="16">
        <v>487.08</v>
      </c>
      <c r="K307" s="66">
        <v>286651</v>
      </c>
      <c r="L307" s="66">
        <v>292386</v>
      </c>
      <c r="M307" s="28">
        <v>579037</v>
      </c>
      <c r="N307" s="64">
        <v>3594106</v>
      </c>
      <c r="O307" s="64">
        <v>307772</v>
      </c>
      <c r="P307" s="64">
        <v>11838</v>
      </c>
      <c r="Q307" s="28">
        <v>3913716</v>
      </c>
      <c r="R307" s="62">
        <v>329404</v>
      </c>
      <c r="S307" s="28">
        <v>4822157</v>
      </c>
      <c r="T307" s="81">
        <v>198276</v>
      </c>
      <c r="U307" s="81">
        <v>122675</v>
      </c>
      <c r="V307" s="81">
        <v>6486</v>
      </c>
      <c r="W307" s="81">
        <v>879211</v>
      </c>
      <c r="X307" s="28">
        <v>6028802</v>
      </c>
      <c r="Y307" s="28">
        <v>1125105</v>
      </c>
      <c r="Z307" s="28">
        <v>431101</v>
      </c>
      <c r="AA307" s="28">
        <v>4023482</v>
      </c>
      <c r="AB307" s="28">
        <v>449115</v>
      </c>
      <c r="AC307" s="40" t="s">
        <v>184</v>
      </c>
      <c r="AD307" s="41">
        <v>2311</v>
      </c>
      <c r="AE307" s="42">
        <v>1</v>
      </c>
      <c r="AF307" s="40" t="s">
        <v>524</v>
      </c>
      <c r="AG307" s="68">
        <v>44574.86</v>
      </c>
      <c r="AH307" s="42">
        <v>1</v>
      </c>
      <c r="AI307" s="40" t="s">
        <v>524</v>
      </c>
      <c r="AJ307" s="70">
        <v>283.39999999999998</v>
      </c>
      <c r="AK307" s="72">
        <f t="shared" si="24"/>
        <v>-44574.86</v>
      </c>
      <c r="AL307" s="72">
        <f t="shared" si="25"/>
        <v>-283.39999999999998</v>
      </c>
      <c r="AM307">
        <v>-1</v>
      </c>
      <c r="AO307" s="102">
        <f t="shared" si="26"/>
        <v>838454</v>
      </c>
      <c r="AP307" s="103">
        <f t="shared" si="27"/>
        <v>138715</v>
      </c>
      <c r="AQ307" s="101">
        <f t="shared" si="28"/>
        <v>109766</v>
      </c>
      <c r="AR307" s="104">
        <f t="shared" si="29"/>
        <v>119711</v>
      </c>
    </row>
    <row r="308" spans="1:44">
      <c r="A308" s="14" t="s">
        <v>1249</v>
      </c>
      <c r="B308" s="15" t="s">
        <v>1250</v>
      </c>
      <c r="C308" s="14" t="s">
        <v>1220</v>
      </c>
      <c r="D308" s="14">
        <v>26</v>
      </c>
      <c r="E308" s="15" t="s">
        <v>1057</v>
      </c>
      <c r="F308" s="15" t="s">
        <v>526</v>
      </c>
      <c r="G308" s="14" t="s">
        <v>527</v>
      </c>
      <c r="H308" s="14"/>
      <c r="I308" s="14"/>
      <c r="J308" s="16">
        <v>792.99</v>
      </c>
      <c r="K308" s="66">
        <v>366309</v>
      </c>
      <c r="L308" s="66">
        <v>371675</v>
      </c>
      <c r="M308" s="28">
        <v>737984</v>
      </c>
      <c r="N308" s="64">
        <v>5468014</v>
      </c>
      <c r="O308" s="64">
        <v>350909</v>
      </c>
      <c r="P308" s="64">
        <v>21081</v>
      </c>
      <c r="Q308" s="28">
        <v>5840004</v>
      </c>
      <c r="R308" s="62">
        <v>169299</v>
      </c>
      <c r="S308" s="28">
        <v>6747287</v>
      </c>
      <c r="T308" s="81">
        <v>357820</v>
      </c>
      <c r="U308" s="81">
        <v>202507</v>
      </c>
      <c r="V308" s="81">
        <v>0</v>
      </c>
      <c r="W308" s="81">
        <v>481438</v>
      </c>
      <c r="X308" s="28">
        <v>7789052</v>
      </c>
      <c r="Y308" s="28">
        <v>855081</v>
      </c>
      <c r="Z308" s="28">
        <v>643533</v>
      </c>
      <c r="AA308" s="28">
        <v>5952425</v>
      </c>
      <c r="AB308" s="28">
        <v>338013</v>
      </c>
      <c r="AC308" s="40" t="s">
        <v>184</v>
      </c>
      <c r="AD308" s="41">
        <v>2342</v>
      </c>
      <c r="AE308" s="42">
        <v>1</v>
      </c>
      <c r="AF308" s="40" t="s">
        <v>526</v>
      </c>
      <c r="AG308" s="68">
        <v>61398.6</v>
      </c>
      <c r="AH308" s="42">
        <v>1</v>
      </c>
      <c r="AI308" s="40" t="s">
        <v>526</v>
      </c>
      <c r="AJ308" s="70">
        <v>0</v>
      </c>
      <c r="AK308" s="72">
        <f t="shared" si="24"/>
        <v>-61398.6</v>
      </c>
      <c r="AL308" s="72">
        <f t="shared" si="25"/>
        <v>0</v>
      </c>
      <c r="AM308">
        <v>-1</v>
      </c>
      <c r="AO308" s="102">
        <f t="shared" si="26"/>
        <v>488772</v>
      </c>
      <c r="AP308" s="103">
        <f t="shared" si="27"/>
        <v>271858</v>
      </c>
      <c r="AQ308" s="101">
        <f t="shared" si="28"/>
        <v>112421</v>
      </c>
      <c r="AR308" s="104">
        <f t="shared" si="29"/>
        <v>168714</v>
      </c>
    </row>
    <row r="309" spans="1:44">
      <c r="A309" s="14" t="s">
        <v>961</v>
      </c>
      <c r="B309" s="15" t="s">
        <v>962</v>
      </c>
      <c r="C309" s="14" t="s">
        <v>1220</v>
      </c>
      <c r="D309" s="14">
        <v>35</v>
      </c>
      <c r="E309" s="15" t="s">
        <v>963</v>
      </c>
      <c r="F309" s="15" t="s">
        <v>528</v>
      </c>
      <c r="G309" s="14" t="s">
        <v>529</v>
      </c>
      <c r="H309" s="14"/>
      <c r="I309" s="14"/>
      <c r="J309" s="16">
        <v>247.87</v>
      </c>
      <c r="K309" s="66">
        <v>95107</v>
      </c>
      <c r="L309" s="66">
        <v>309310</v>
      </c>
      <c r="M309" s="28">
        <v>404417</v>
      </c>
      <c r="N309" s="64">
        <v>2298171</v>
      </c>
      <c r="O309" s="64">
        <v>120695</v>
      </c>
      <c r="P309" s="64">
        <v>31039</v>
      </c>
      <c r="Q309" s="28">
        <v>2449905</v>
      </c>
      <c r="R309" s="62">
        <v>124420</v>
      </c>
      <c r="S309" s="28">
        <v>2978742</v>
      </c>
      <c r="T309" s="81">
        <v>121696</v>
      </c>
      <c r="U309" s="81">
        <v>67636</v>
      </c>
      <c r="V309" s="81">
        <v>0</v>
      </c>
      <c r="W309" s="81">
        <v>0</v>
      </c>
      <c r="X309" s="28">
        <v>3168074</v>
      </c>
      <c r="Y309" s="28">
        <v>109881</v>
      </c>
      <c r="Z309" s="28">
        <v>391893</v>
      </c>
      <c r="AA309" s="28">
        <v>2475771</v>
      </c>
      <c r="AB309" s="28">
        <v>190529</v>
      </c>
      <c r="AC309" s="40" t="s">
        <v>184</v>
      </c>
      <c r="AD309" s="41">
        <v>2358</v>
      </c>
      <c r="AE309" s="42">
        <v>1</v>
      </c>
      <c r="AF309" s="40" t="s">
        <v>528</v>
      </c>
      <c r="AG309" s="68">
        <v>21345.08</v>
      </c>
      <c r="AH309" s="42">
        <v>1</v>
      </c>
      <c r="AI309" s="40" t="s">
        <v>528</v>
      </c>
      <c r="AJ309" s="70">
        <v>0</v>
      </c>
      <c r="AK309" s="72">
        <f t="shared" si="24"/>
        <v>-21345.08</v>
      </c>
      <c r="AL309" s="72">
        <f t="shared" si="25"/>
        <v>0</v>
      </c>
      <c r="AM309">
        <v>-1</v>
      </c>
      <c r="AO309" s="102">
        <f t="shared" si="26"/>
        <v>14774</v>
      </c>
      <c r="AP309" s="103">
        <f t="shared" si="27"/>
        <v>82583</v>
      </c>
      <c r="AQ309" s="101">
        <f t="shared" si="28"/>
        <v>25866</v>
      </c>
      <c r="AR309" s="104">
        <f t="shared" si="29"/>
        <v>66109</v>
      </c>
    </row>
    <row r="310" spans="1:44">
      <c r="A310" s="14" t="s">
        <v>1080</v>
      </c>
      <c r="B310" s="15" t="s">
        <v>1081</v>
      </c>
      <c r="C310" s="14" t="s">
        <v>1220</v>
      </c>
      <c r="D310" s="14">
        <v>73</v>
      </c>
      <c r="E310" s="15" t="s">
        <v>690</v>
      </c>
      <c r="F310" s="15" t="s">
        <v>530</v>
      </c>
      <c r="G310" s="14" t="s">
        <v>531</v>
      </c>
      <c r="H310" s="14"/>
      <c r="I310" s="14"/>
      <c r="J310" s="16">
        <v>710.05</v>
      </c>
      <c r="K310" s="66">
        <v>212725</v>
      </c>
      <c r="L310" s="66">
        <v>287546</v>
      </c>
      <c r="M310" s="28">
        <v>500271</v>
      </c>
      <c r="N310" s="64">
        <v>5198790</v>
      </c>
      <c r="O310" s="64">
        <v>199802</v>
      </c>
      <c r="P310" s="64">
        <v>20848</v>
      </c>
      <c r="Q310" s="28">
        <v>5419440</v>
      </c>
      <c r="R310" s="62">
        <v>405100</v>
      </c>
      <c r="S310" s="28">
        <v>6324811</v>
      </c>
      <c r="T310" s="81">
        <v>353824</v>
      </c>
      <c r="U310" s="81">
        <v>346510</v>
      </c>
      <c r="V310" s="81">
        <v>0</v>
      </c>
      <c r="W310" s="81">
        <v>907119</v>
      </c>
      <c r="X310" s="28">
        <v>7932262</v>
      </c>
      <c r="Y310" s="28">
        <v>1011062</v>
      </c>
      <c r="Z310" s="28">
        <v>773486</v>
      </c>
      <c r="AA310" s="28">
        <v>5589729</v>
      </c>
      <c r="AB310" s="28">
        <v>557986</v>
      </c>
      <c r="AC310" s="40" t="s">
        <v>184</v>
      </c>
      <c r="AD310" s="41">
        <v>2364</v>
      </c>
      <c r="AE310" s="42">
        <v>1</v>
      </c>
      <c r="AF310" s="40" t="s">
        <v>530</v>
      </c>
      <c r="AG310" s="68">
        <v>43655.22</v>
      </c>
      <c r="AH310" s="42">
        <v>1</v>
      </c>
      <c r="AI310" s="40" t="s">
        <v>530</v>
      </c>
      <c r="AJ310" s="70">
        <v>51447.07</v>
      </c>
      <c r="AK310" s="72">
        <f t="shared" si="24"/>
        <v>-43655.22</v>
      </c>
      <c r="AL310" s="72">
        <f t="shared" si="25"/>
        <v>-51447.07</v>
      </c>
      <c r="AM310">
        <v>-1</v>
      </c>
      <c r="AO310" s="102">
        <f t="shared" si="26"/>
        <v>798337</v>
      </c>
      <c r="AP310" s="103">
        <f t="shared" si="27"/>
        <v>485940</v>
      </c>
      <c r="AQ310" s="101">
        <f t="shared" si="28"/>
        <v>170289</v>
      </c>
      <c r="AR310" s="104">
        <f t="shared" si="29"/>
        <v>152886</v>
      </c>
    </row>
    <row r="311" spans="1:44">
      <c r="A311" s="14" t="s">
        <v>1092</v>
      </c>
      <c r="B311" s="15" t="s">
        <v>1093</v>
      </c>
      <c r="C311" s="14" t="s">
        <v>1220</v>
      </c>
      <c r="D311" s="14">
        <v>72</v>
      </c>
      <c r="E311" s="15" t="s">
        <v>521</v>
      </c>
      <c r="F311" s="15" t="s">
        <v>532</v>
      </c>
      <c r="G311" s="14" t="s">
        <v>533</v>
      </c>
      <c r="H311" s="14"/>
      <c r="I311" s="14"/>
      <c r="J311" s="16">
        <v>839.71</v>
      </c>
      <c r="K311" s="66">
        <v>625080</v>
      </c>
      <c r="L311" s="66">
        <v>610898</v>
      </c>
      <c r="M311" s="28">
        <v>1235978</v>
      </c>
      <c r="N311" s="64">
        <v>5550872</v>
      </c>
      <c r="O311" s="64">
        <v>455554</v>
      </c>
      <c r="P311" s="64">
        <v>177273</v>
      </c>
      <c r="Q311" s="28">
        <v>6183699</v>
      </c>
      <c r="R311" s="62">
        <v>273475</v>
      </c>
      <c r="S311" s="28">
        <v>7693152</v>
      </c>
      <c r="T311" s="81">
        <v>336744</v>
      </c>
      <c r="U311" s="81">
        <v>244809</v>
      </c>
      <c r="V311" s="81">
        <v>0</v>
      </c>
      <c r="W311" s="81">
        <v>406258</v>
      </c>
      <c r="X311" s="28">
        <v>8680965</v>
      </c>
      <c r="Y311" s="28">
        <v>1039085</v>
      </c>
      <c r="Z311" s="28">
        <v>897756</v>
      </c>
      <c r="AA311" s="28">
        <v>6324842</v>
      </c>
      <c r="AB311" s="28">
        <v>419282</v>
      </c>
      <c r="AC311" s="40" t="s">
        <v>184</v>
      </c>
      <c r="AD311" s="41">
        <v>2365</v>
      </c>
      <c r="AE311" s="42">
        <v>1</v>
      </c>
      <c r="AF311" s="40" t="s">
        <v>532</v>
      </c>
      <c r="AG311" s="68">
        <v>118466.04</v>
      </c>
      <c r="AH311" s="42">
        <v>1</v>
      </c>
      <c r="AI311" s="40" t="s">
        <v>532</v>
      </c>
      <c r="AJ311" s="70">
        <v>0</v>
      </c>
      <c r="AK311" s="72">
        <f t="shared" si="24"/>
        <v>-118466.04</v>
      </c>
      <c r="AL311" s="72">
        <f t="shared" si="25"/>
        <v>0</v>
      </c>
      <c r="AM311">
        <v>-1</v>
      </c>
      <c r="AO311" s="102">
        <f t="shared" si="26"/>
        <v>414005</v>
      </c>
      <c r="AP311" s="103">
        <f t="shared" si="27"/>
        <v>286858</v>
      </c>
      <c r="AQ311" s="101">
        <f t="shared" si="28"/>
        <v>141143</v>
      </c>
      <c r="AR311" s="104">
        <f t="shared" si="29"/>
        <v>145807</v>
      </c>
    </row>
    <row r="312" spans="1:44">
      <c r="A312" s="14" t="s">
        <v>954</v>
      </c>
      <c r="B312" s="15" t="s">
        <v>955</v>
      </c>
      <c r="C312" s="14" t="s">
        <v>1220</v>
      </c>
      <c r="D312" s="14">
        <v>47</v>
      </c>
      <c r="E312" s="15" t="s">
        <v>850</v>
      </c>
      <c r="F312" s="15" t="s">
        <v>534</v>
      </c>
      <c r="G312" s="14" t="s">
        <v>535</v>
      </c>
      <c r="H312" s="14"/>
      <c r="I312" s="14"/>
      <c r="J312" s="16">
        <v>847.07</v>
      </c>
      <c r="K312" s="66">
        <v>698595</v>
      </c>
      <c r="L312" s="66">
        <v>428751</v>
      </c>
      <c r="M312" s="28">
        <v>1127346</v>
      </c>
      <c r="N312" s="64">
        <v>5701216</v>
      </c>
      <c r="O312" s="64">
        <v>548125</v>
      </c>
      <c r="P312" s="64">
        <v>112306</v>
      </c>
      <c r="Q312" s="28">
        <v>6361647</v>
      </c>
      <c r="R312" s="62">
        <v>370570</v>
      </c>
      <c r="S312" s="28">
        <v>7859563</v>
      </c>
      <c r="T312" s="81">
        <v>430232</v>
      </c>
      <c r="U312" s="81">
        <v>343188</v>
      </c>
      <c r="V312" s="81">
        <v>0</v>
      </c>
      <c r="W312" s="81">
        <v>907724</v>
      </c>
      <c r="X312" s="28">
        <v>9540706</v>
      </c>
      <c r="Y312" s="28">
        <v>1536803</v>
      </c>
      <c r="Z312" s="28">
        <v>914308</v>
      </c>
      <c r="AA312" s="28">
        <v>6525944</v>
      </c>
      <c r="AB312" s="28">
        <v>563652</v>
      </c>
      <c r="AC312" s="40" t="s">
        <v>184</v>
      </c>
      <c r="AD312" s="41">
        <v>2396</v>
      </c>
      <c r="AE312" s="42">
        <v>1</v>
      </c>
      <c r="AF312" s="40" t="s">
        <v>534</v>
      </c>
      <c r="AG312" s="68">
        <v>139213.82</v>
      </c>
      <c r="AH312" s="42">
        <v>1</v>
      </c>
      <c r="AI312" s="40" t="s">
        <v>534</v>
      </c>
      <c r="AJ312" s="70">
        <v>3836.46</v>
      </c>
      <c r="AK312" s="72">
        <f t="shared" si="24"/>
        <v>-139213.82</v>
      </c>
      <c r="AL312" s="72">
        <f t="shared" si="25"/>
        <v>-3836.46</v>
      </c>
      <c r="AM312">
        <v>-1</v>
      </c>
      <c r="AO312" s="102">
        <f t="shared" si="26"/>
        <v>838208</v>
      </c>
      <c r="AP312" s="103">
        <f t="shared" si="27"/>
        <v>485557</v>
      </c>
      <c r="AQ312" s="101">
        <f t="shared" si="28"/>
        <v>164297</v>
      </c>
      <c r="AR312" s="104">
        <f t="shared" si="29"/>
        <v>193082</v>
      </c>
    </row>
    <row r="313" spans="1:44">
      <c r="A313" s="14" t="s">
        <v>1092</v>
      </c>
      <c r="B313" s="15" t="s">
        <v>1093</v>
      </c>
      <c r="C313" s="14" t="s">
        <v>1220</v>
      </c>
      <c r="D313" s="14">
        <v>40</v>
      </c>
      <c r="E313" s="15" t="s">
        <v>984</v>
      </c>
      <c r="F313" s="15" t="s">
        <v>536</v>
      </c>
      <c r="G313" s="14" t="s">
        <v>537</v>
      </c>
      <c r="H313" s="14"/>
      <c r="I313" s="14"/>
      <c r="J313" s="16">
        <v>1227.02</v>
      </c>
      <c r="K313" s="66">
        <v>878403</v>
      </c>
      <c r="L313" s="66">
        <v>699304</v>
      </c>
      <c r="M313" s="28">
        <v>1577707</v>
      </c>
      <c r="N313" s="64">
        <v>7930559</v>
      </c>
      <c r="O313" s="64">
        <v>585276</v>
      </c>
      <c r="P313" s="64">
        <v>105853</v>
      </c>
      <c r="Q313" s="28">
        <v>8621688</v>
      </c>
      <c r="R313" s="62">
        <v>241861</v>
      </c>
      <c r="S313" s="28">
        <v>10441256</v>
      </c>
      <c r="T313" s="81">
        <v>470697</v>
      </c>
      <c r="U313" s="81">
        <v>540216</v>
      </c>
      <c r="V313" s="81">
        <v>659749</v>
      </c>
      <c r="W313" s="81">
        <v>1882285</v>
      </c>
      <c r="X313" s="28">
        <v>13994201</v>
      </c>
      <c r="Y313" s="28">
        <v>2627441</v>
      </c>
      <c r="Z313" s="28">
        <v>1788388</v>
      </c>
      <c r="AA313" s="28">
        <v>9140615</v>
      </c>
      <c r="AB313" s="28">
        <v>437757</v>
      </c>
      <c r="AC313" s="40" t="s">
        <v>184</v>
      </c>
      <c r="AD313" s="41">
        <v>2397</v>
      </c>
      <c r="AE313" s="42">
        <v>1</v>
      </c>
      <c r="AF313" s="40" t="s">
        <v>536</v>
      </c>
      <c r="AG313" s="68">
        <v>86869.82</v>
      </c>
      <c r="AH313" s="42">
        <v>1</v>
      </c>
      <c r="AI313" s="40" t="s">
        <v>536</v>
      </c>
      <c r="AJ313" s="70">
        <v>257336.62</v>
      </c>
      <c r="AK313" s="72">
        <f t="shared" si="24"/>
        <v>-86869.82</v>
      </c>
      <c r="AL313" s="72">
        <f t="shared" si="25"/>
        <v>-257336.62</v>
      </c>
      <c r="AM313">
        <v>-1</v>
      </c>
      <c r="AO313" s="102">
        <f t="shared" si="26"/>
        <v>1749038</v>
      </c>
      <c r="AP313" s="103">
        <f t="shared" si="27"/>
        <v>1089084</v>
      </c>
      <c r="AQ313" s="101">
        <f t="shared" si="28"/>
        <v>518927</v>
      </c>
      <c r="AR313" s="104">
        <f t="shared" si="29"/>
        <v>195896</v>
      </c>
    </row>
    <row r="314" spans="1:44">
      <c r="A314" s="14" t="s">
        <v>1092</v>
      </c>
      <c r="B314" s="15" t="s">
        <v>1093</v>
      </c>
      <c r="C314" s="14" t="s">
        <v>1220</v>
      </c>
      <c r="D314" s="14">
        <v>46</v>
      </c>
      <c r="E314" s="15" t="s">
        <v>847</v>
      </c>
      <c r="F314" s="15" t="s">
        <v>538</v>
      </c>
      <c r="G314" s="14" t="s">
        <v>539</v>
      </c>
      <c r="H314" s="14"/>
      <c r="I314" s="14"/>
      <c r="J314" s="16">
        <v>828.4</v>
      </c>
      <c r="K314" s="66">
        <v>594221</v>
      </c>
      <c r="L314" s="66">
        <v>722453</v>
      </c>
      <c r="M314" s="28">
        <v>1316674</v>
      </c>
      <c r="N314" s="64">
        <v>5472983</v>
      </c>
      <c r="O314" s="64">
        <v>577524</v>
      </c>
      <c r="P314" s="64">
        <v>412349</v>
      </c>
      <c r="Q314" s="28">
        <v>6462856</v>
      </c>
      <c r="R314" s="62">
        <v>176140</v>
      </c>
      <c r="S314" s="28">
        <v>7955670</v>
      </c>
      <c r="T314" s="81">
        <v>364523</v>
      </c>
      <c r="U314" s="81">
        <v>191385</v>
      </c>
      <c r="V314" s="81">
        <v>0</v>
      </c>
      <c r="W314" s="81">
        <v>140577</v>
      </c>
      <c r="X314" s="28">
        <v>8652154</v>
      </c>
      <c r="Y314" s="28">
        <v>781064</v>
      </c>
      <c r="Z314" s="28">
        <v>1008550</v>
      </c>
      <c r="AA314" s="28">
        <v>6537693</v>
      </c>
      <c r="AB314" s="28">
        <v>324848</v>
      </c>
      <c r="AC314" s="40" t="s">
        <v>184</v>
      </c>
      <c r="AD314" s="41">
        <v>2448</v>
      </c>
      <c r="AE314" s="42">
        <v>1</v>
      </c>
      <c r="AF314" s="40" t="s">
        <v>538</v>
      </c>
      <c r="AG314" s="68">
        <v>80870.460000000006</v>
      </c>
      <c r="AH314" s="42">
        <v>1</v>
      </c>
      <c r="AI314" s="40" t="s">
        <v>538</v>
      </c>
      <c r="AJ314" s="70">
        <v>0</v>
      </c>
      <c r="AK314" s="72">
        <f t="shared" si="24"/>
        <v>-80870.460000000006</v>
      </c>
      <c r="AL314" s="72">
        <f t="shared" si="25"/>
        <v>0</v>
      </c>
      <c r="AM314">
        <v>-1</v>
      </c>
      <c r="AO314" s="102">
        <f t="shared" si="26"/>
        <v>186843</v>
      </c>
      <c r="AP314" s="103">
        <f t="shared" si="27"/>
        <v>286097</v>
      </c>
      <c r="AQ314" s="101">
        <f t="shared" si="28"/>
        <v>74837</v>
      </c>
      <c r="AR314" s="104">
        <f t="shared" si="29"/>
        <v>148708</v>
      </c>
    </row>
    <row r="315" spans="1:44">
      <c r="A315" s="14" t="s">
        <v>961</v>
      </c>
      <c r="B315" s="15" t="s">
        <v>962</v>
      </c>
      <c r="C315" s="14" t="s">
        <v>1220</v>
      </c>
      <c r="D315" s="14">
        <v>54</v>
      </c>
      <c r="E315" s="15" t="s">
        <v>518</v>
      </c>
      <c r="F315" s="15" t="s">
        <v>540</v>
      </c>
      <c r="G315" s="14" t="s">
        <v>541</v>
      </c>
      <c r="H315" s="14"/>
      <c r="I315" s="14"/>
      <c r="J315" s="16">
        <v>300.08</v>
      </c>
      <c r="K315" s="66">
        <v>204559</v>
      </c>
      <c r="L315" s="66">
        <v>309212</v>
      </c>
      <c r="M315" s="28">
        <v>513771</v>
      </c>
      <c r="N315" s="64">
        <v>2515531</v>
      </c>
      <c r="O315" s="64">
        <v>177169</v>
      </c>
      <c r="P315" s="64">
        <v>4141</v>
      </c>
      <c r="Q315" s="28">
        <v>2696841</v>
      </c>
      <c r="R315" s="62">
        <v>138028</v>
      </c>
      <c r="S315" s="28">
        <v>3348640</v>
      </c>
      <c r="T315" s="81">
        <v>144778</v>
      </c>
      <c r="U315" s="81">
        <v>40297</v>
      </c>
      <c r="V315" s="81">
        <v>0</v>
      </c>
      <c r="W315" s="81">
        <v>41045</v>
      </c>
      <c r="X315" s="28">
        <v>3574761</v>
      </c>
      <c r="Y315" s="28">
        <v>258887</v>
      </c>
      <c r="Z315" s="28">
        <v>380491</v>
      </c>
      <c r="AA315" s="28">
        <v>2728597</v>
      </c>
      <c r="AB315" s="28">
        <v>206786</v>
      </c>
      <c r="AC315" s="40" t="s">
        <v>184</v>
      </c>
      <c r="AD315" s="41">
        <v>2527</v>
      </c>
      <c r="AE315" s="42">
        <v>1</v>
      </c>
      <c r="AF315" s="40" t="s">
        <v>540</v>
      </c>
      <c r="AG315" s="68">
        <v>21629.58</v>
      </c>
      <c r="AH315" s="42">
        <v>1</v>
      </c>
      <c r="AI315" s="40" t="s">
        <v>540</v>
      </c>
      <c r="AJ315" s="70">
        <v>0</v>
      </c>
      <c r="AK315" s="72">
        <f t="shared" si="24"/>
        <v>-21629.58</v>
      </c>
      <c r="AL315" s="72">
        <f t="shared" si="25"/>
        <v>0</v>
      </c>
      <c r="AM315">
        <v>-1</v>
      </c>
      <c r="AO315" s="102">
        <f t="shared" si="26"/>
        <v>54328</v>
      </c>
      <c r="AP315" s="103">
        <f t="shared" si="27"/>
        <v>71279</v>
      </c>
      <c r="AQ315" s="101">
        <f t="shared" si="28"/>
        <v>31756</v>
      </c>
      <c r="AR315" s="104">
        <f t="shared" si="29"/>
        <v>68758</v>
      </c>
    </row>
    <row r="316" spans="1:44">
      <c r="A316" s="14" t="s">
        <v>954</v>
      </c>
      <c r="B316" s="15" t="s">
        <v>955</v>
      </c>
      <c r="C316" s="14" t="s">
        <v>1220</v>
      </c>
      <c r="D316" s="14">
        <v>65</v>
      </c>
      <c r="E316" s="15" t="s">
        <v>487</v>
      </c>
      <c r="F316" s="15" t="s">
        <v>542</v>
      </c>
      <c r="G316" s="14" t="s">
        <v>543</v>
      </c>
      <c r="H316" s="14"/>
      <c r="I316" s="14"/>
      <c r="J316" s="16">
        <v>816.89</v>
      </c>
      <c r="K316" s="66">
        <v>430498</v>
      </c>
      <c r="L316" s="66">
        <v>557697</v>
      </c>
      <c r="M316" s="28">
        <v>988195</v>
      </c>
      <c r="N316" s="64">
        <v>5635181</v>
      </c>
      <c r="O316" s="64">
        <v>422695</v>
      </c>
      <c r="P316" s="64">
        <v>150292</v>
      </c>
      <c r="Q316" s="28">
        <v>6208168</v>
      </c>
      <c r="R316" s="62">
        <v>371697</v>
      </c>
      <c r="S316" s="28">
        <v>7568060</v>
      </c>
      <c r="T316" s="81">
        <v>386032</v>
      </c>
      <c r="U316" s="81">
        <v>200236</v>
      </c>
      <c r="V316" s="81">
        <v>0</v>
      </c>
      <c r="W316" s="81">
        <v>289584</v>
      </c>
      <c r="X316" s="28">
        <v>8443913</v>
      </c>
      <c r="Y316" s="28">
        <v>715713</v>
      </c>
      <c r="Z316" s="28">
        <v>871958</v>
      </c>
      <c r="AA316" s="28">
        <v>6321696</v>
      </c>
      <c r="AB316" s="28">
        <v>534546</v>
      </c>
      <c r="AC316" s="40" t="s">
        <v>184</v>
      </c>
      <c r="AD316" s="41">
        <v>2534</v>
      </c>
      <c r="AE316" s="42">
        <v>1</v>
      </c>
      <c r="AF316" s="40" t="s">
        <v>542</v>
      </c>
      <c r="AG316" s="68">
        <v>64739.360000000001</v>
      </c>
      <c r="AH316" s="42">
        <v>1</v>
      </c>
      <c r="AI316" s="40" t="s">
        <v>542</v>
      </c>
      <c r="AJ316" s="70">
        <v>1423.24</v>
      </c>
      <c r="AK316" s="72">
        <f t="shared" si="24"/>
        <v>-64739.360000000001</v>
      </c>
      <c r="AL316" s="72">
        <f t="shared" si="25"/>
        <v>-1423.24</v>
      </c>
      <c r="AM316">
        <v>-1</v>
      </c>
      <c r="AO316" s="102">
        <f t="shared" si="26"/>
        <v>285215</v>
      </c>
      <c r="AP316" s="103">
        <f t="shared" si="27"/>
        <v>314261</v>
      </c>
      <c r="AQ316" s="101">
        <f t="shared" si="28"/>
        <v>113528</v>
      </c>
      <c r="AR316" s="104">
        <f t="shared" si="29"/>
        <v>162849</v>
      </c>
    </row>
    <row r="317" spans="1:44">
      <c r="A317" s="14" t="s">
        <v>1092</v>
      </c>
      <c r="B317" s="15" t="s">
        <v>1093</v>
      </c>
      <c r="C317" s="14" t="s">
        <v>1220</v>
      </c>
      <c r="D317" s="14">
        <v>46</v>
      </c>
      <c r="E317" s="15" t="s">
        <v>847</v>
      </c>
      <c r="F317" s="15" t="s">
        <v>544</v>
      </c>
      <c r="G317" s="14" t="s">
        <v>545</v>
      </c>
      <c r="H317" s="14"/>
      <c r="I317" s="14"/>
      <c r="J317" s="16">
        <v>281.33</v>
      </c>
      <c r="K317" s="66">
        <v>147907</v>
      </c>
      <c r="L317" s="66">
        <v>299642</v>
      </c>
      <c r="M317" s="28">
        <v>447549</v>
      </c>
      <c r="N317" s="64">
        <v>2202056</v>
      </c>
      <c r="O317" s="64">
        <v>260766</v>
      </c>
      <c r="P317" s="64">
        <v>49297</v>
      </c>
      <c r="Q317" s="28">
        <v>2512119</v>
      </c>
      <c r="R317" s="62">
        <v>96949</v>
      </c>
      <c r="S317" s="28">
        <v>3056617</v>
      </c>
      <c r="T317" s="81">
        <v>131812</v>
      </c>
      <c r="U317" s="81">
        <v>49496</v>
      </c>
      <c r="V317" s="81">
        <v>213045</v>
      </c>
      <c r="W317" s="81">
        <v>0</v>
      </c>
      <c r="X317" s="28">
        <v>3450970</v>
      </c>
      <c r="Y317" s="28">
        <v>388684</v>
      </c>
      <c r="Z317" s="28">
        <v>372736</v>
      </c>
      <c r="AA317" s="28">
        <v>2528976</v>
      </c>
      <c r="AB317" s="28">
        <v>160574</v>
      </c>
      <c r="AC317" s="40" t="s">
        <v>184</v>
      </c>
      <c r="AD317" s="41">
        <v>2536</v>
      </c>
      <c r="AE317" s="42">
        <v>1</v>
      </c>
      <c r="AF317" s="40" t="s">
        <v>185</v>
      </c>
      <c r="AG317" s="68">
        <v>27632.18</v>
      </c>
      <c r="AH317" s="42">
        <v>1</v>
      </c>
      <c r="AI317" s="40" t="s">
        <v>185</v>
      </c>
      <c r="AJ317" s="70">
        <v>0</v>
      </c>
      <c r="AK317" s="72">
        <f t="shared" si="24"/>
        <v>-27632.18</v>
      </c>
      <c r="AL317" s="72">
        <f t="shared" si="25"/>
        <v>0</v>
      </c>
      <c r="AM317">
        <v>-1</v>
      </c>
      <c r="AO317" s="102">
        <f t="shared" si="26"/>
        <v>240777</v>
      </c>
      <c r="AP317" s="103">
        <f t="shared" si="27"/>
        <v>73094</v>
      </c>
      <c r="AQ317" s="101">
        <f t="shared" si="28"/>
        <v>16857</v>
      </c>
      <c r="AR317" s="104">
        <f t="shared" si="29"/>
        <v>63625</v>
      </c>
    </row>
    <row r="318" spans="1:44">
      <c r="A318" s="14" t="s">
        <v>1146</v>
      </c>
      <c r="B318" s="15" t="s">
        <v>1147</v>
      </c>
      <c r="C318" s="14" t="s">
        <v>1220</v>
      </c>
      <c r="D318" s="14">
        <v>58</v>
      </c>
      <c r="E318" s="15" t="s">
        <v>761</v>
      </c>
      <c r="F318" s="15" t="s">
        <v>546</v>
      </c>
      <c r="G318" s="14" t="s">
        <v>547</v>
      </c>
      <c r="H318" s="14"/>
      <c r="I318" s="14"/>
      <c r="J318" s="16">
        <v>833.98</v>
      </c>
      <c r="K318" s="66">
        <v>380947</v>
      </c>
      <c r="L318" s="66">
        <v>346799</v>
      </c>
      <c r="M318" s="28">
        <v>727746</v>
      </c>
      <c r="N318" s="64">
        <v>5990170</v>
      </c>
      <c r="O318" s="64">
        <v>768964</v>
      </c>
      <c r="P318" s="64">
        <v>69100</v>
      </c>
      <c r="Q318" s="28">
        <v>6828234</v>
      </c>
      <c r="R318" s="62">
        <v>430170</v>
      </c>
      <c r="S318" s="28">
        <v>7986150</v>
      </c>
      <c r="T318" s="81">
        <v>370901</v>
      </c>
      <c r="U318" s="81">
        <v>216954</v>
      </c>
      <c r="V318" s="81">
        <v>16431</v>
      </c>
      <c r="W318" s="81">
        <v>1640761</v>
      </c>
      <c r="X318" s="28">
        <v>10231197</v>
      </c>
      <c r="Y318" s="28">
        <v>1849487</v>
      </c>
      <c r="Z318" s="28">
        <v>650013</v>
      </c>
      <c r="AA318" s="28">
        <v>7105107</v>
      </c>
      <c r="AB318" s="28">
        <v>626590</v>
      </c>
      <c r="AC318" s="40" t="s">
        <v>184</v>
      </c>
      <c r="AD318" s="41">
        <v>2580</v>
      </c>
      <c r="AE318" s="42">
        <v>1</v>
      </c>
      <c r="AF318" s="40" t="s">
        <v>546</v>
      </c>
      <c r="AG318" s="68">
        <v>31065.29</v>
      </c>
      <c r="AH318" s="42">
        <v>1</v>
      </c>
      <c r="AI318" s="40" t="s">
        <v>546</v>
      </c>
      <c r="AJ318" s="70">
        <v>22640.65</v>
      </c>
      <c r="AK318" s="72">
        <f t="shared" si="24"/>
        <v>-31065.29</v>
      </c>
      <c r="AL318" s="72">
        <f t="shared" si="25"/>
        <v>-22640.65</v>
      </c>
      <c r="AM318">
        <v>-1</v>
      </c>
      <c r="AO318" s="102">
        <f t="shared" si="26"/>
        <v>1468540</v>
      </c>
      <c r="AP318" s="103">
        <f t="shared" si="27"/>
        <v>303214</v>
      </c>
      <c r="AQ318" s="101">
        <f t="shared" si="28"/>
        <v>276873</v>
      </c>
      <c r="AR318" s="104">
        <f t="shared" si="29"/>
        <v>196420</v>
      </c>
    </row>
    <row r="319" spans="1:44">
      <c r="A319" s="14" t="s">
        <v>961</v>
      </c>
      <c r="B319" s="15" t="s">
        <v>962</v>
      </c>
      <c r="C319" s="14" t="s">
        <v>1220</v>
      </c>
      <c r="D319" s="14">
        <v>60</v>
      </c>
      <c r="E319" s="15" t="s">
        <v>769</v>
      </c>
      <c r="F319" s="15" t="s">
        <v>548</v>
      </c>
      <c r="G319" s="14" t="s">
        <v>549</v>
      </c>
      <c r="H319" s="14"/>
      <c r="I319" s="14"/>
      <c r="J319" s="16">
        <v>507.85</v>
      </c>
      <c r="K319" s="66">
        <v>260776</v>
      </c>
      <c r="L319" s="66">
        <v>245896</v>
      </c>
      <c r="M319" s="28">
        <v>506672</v>
      </c>
      <c r="N319" s="64">
        <v>3381695</v>
      </c>
      <c r="O319" s="64">
        <v>122437</v>
      </c>
      <c r="P319" s="64">
        <v>75533</v>
      </c>
      <c r="Q319" s="28">
        <v>3579665</v>
      </c>
      <c r="R319" s="62">
        <v>174683</v>
      </c>
      <c r="S319" s="28">
        <v>4261020</v>
      </c>
      <c r="T319" s="81">
        <v>179005</v>
      </c>
      <c r="U319" s="81">
        <v>64387</v>
      </c>
      <c r="V319" s="81">
        <v>0</v>
      </c>
      <c r="W319" s="81">
        <v>677929</v>
      </c>
      <c r="X319" s="28">
        <v>5182341</v>
      </c>
      <c r="Y319" s="28">
        <v>731208</v>
      </c>
      <c r="Z319" s="28">
        <v>467551</v>
      </c>
      <c r="AA319" s="28">
        <v>3710864</v>
      </c>
      <c r="AB319" s="28">
        <v>272718</v>
      </c>
      <c r="AC319" s="40" t="s">
        <v>184</v>
      </c>
      <c r="AD319" s="41">
        <v>2609</v>
      </c>
      <c r="AE319" s="42">
        <v>1</v>
      </c>
      <c r="AF319" s="40" t="s">
        <v>548</v>
      </c>
      <c r="AG319" s="68">
        <v>24017.97</v>
      </c>
      <c r="AH319" s="42">
        <v>1</v>
      </c>
      <c r="AI319" s="40" t="s">
        <v>548</v>
      </c>
      <c r="AJ319" s="70">
        <v>0</v>
      </c>
      <c r="AK319" s="72">
        <f t="shared" si="24"/>
        <v>-24017.97</v>
      </c>
      <c r="AL319" s="72">
        <f t="shared" si="25"/>
        <v>0</v>
      </c>
      <c r="AM319">
        <v>-1</v>
      </c>
      <c r="AO319" s="102">
        <f t="shared" si="26"/>
        <v>470432</v>
      </c>
      <c r="AP319" s="103">
        <f t="shared" si="27"/>
        <v>221655</v>
      </c>
      <c r="AQ319" s="101">
        <f t="shared" si="28"/>
        <v>131199</v>
      </c>
      <c r="AR319" s="104">
        <f t="shared" si="29"/>
        <v>98035</v>
      </c>
    </row>
    <row r="320" spans="1:44">
      <c r="A320" s="14" t="s">
        <v>961</v>
      </c>
      <c r="B320" s="15" t="s">
        <v>962</v>
      </c>
      <c r="C320" s="14" t="s">
        <v>1220</v>
      </c>
      <c r="D320" s="14">
        <v>68</v>
      </c>
      <c r="E320" s="15" t="s">
        <v>644</v>
      </c>
      <c r="F320" s="15" t="s">
        <v>550</v>
      </c>
      <c r="G320" s="14" t="s">
        <v>551</v>
      </c>
      <c r="H320" s="14"/>
      <c r="I320" s="14"/>
      <c r="J320" s="16">
        <v>474.65</v>
      </c>
      <c r="K320" s="66">
        <v>148725</v>
      </c>
      <c r="L320" s="66">
        <v>250042</v>
      </c>
      <c r="M320" s="28">
        <v>398767</v>
      </c>
      <c r="N320" s="64">
        <v>4144870</v>
      </c>
      <c r="O320" s="64">
        <v>310628</v>
      </c>
      <c r="P320" s="64">
        <v>28087</v>
      </c>
      <c r="Q320" s="28">
        <v>4483585</v>
      </c>
      <c r="R320" s="62">
        <v>156017</v>
      </c>
      <c r="S320" s="28">
        <v>5038369</v>
      </c>
      <c r="T320" s="81">
        <v>251752</v>
      </c>
      <c r="U320" s="81">
        <v>102487</v>
      </c>
      <c r="V320" s="81">
        <v>0</v>
      </c>
      <c r="W320" s="81">
        <v>73715</v>
      </c>
      <c r="X320" s="28">
        <v>5466323</v>
      </c>
      <c r="Y320" s="28">
        <v>227977</v>
      </c>
      <c r="Z320" s="28">
        <v>402191</v>
      </c>
      <c r="AA320" s="28">
        <v>4551493</v>
      </c>
      <c r="AB320" s="28">
        <v>284662</v>
      </c>
      <c r="AC320" s="40" t="s">
        <v>184</v>
      </c>
      <c r="AD320" s="41">
        <v>2683</v>
      </c>
      <c r="AE320" s="42">
        <v>1</v>
      </c>
      <c r="AF320" s="40" t="s">
        <v>550</v>
      </c>
      <c r="AG320" s="68">
        <v>31537.54</v>
      </c>
      <c r="AH320" s="42">
        <v>1</v>
      </c>
      <c r="AI320" s="40" t="s">
        <v>550</v>
      </c>
      <c r="AJ320" s="70">
        <v>0</v>
      </c>
      <c r="AK320" s="72">
        <f t="shared" si="24"/>
        <v>-31537.54</v>
      </c>
      <c r="AL320" s="72">
        <f t="shared" si="25"/>
        <v>0</v>
      </c>
      <c r="AM320">
        <v>-1</v>
      </c>
      <c r="AO320" s="102">
        <f t="shared" si="26"/>
        <v>79252</v>
      </c>
      <c r="AP320" s="103">
        <f t="shared" si="27"/>
        <v>152149</v>
      </c>
      <c r="AQ320" s="101">
        <f t="shared" si="28"/>
        <v>67908</v>
      </c>
      <c r="AR320" s="104">
        <f t="shared" si="29"/>
        <v>128645</v>
      </c>
    </row>
    <row r="321" spans="1:44">
      <c r="A321" s="14" t="s">
        <v>1080</v>
      </c>
      <c r="B321" s="15" t="s">
        <v>1081</v>
      </c>
      <c r="C321" s="14" t="s">
        <v>1220</v>
      </c>
      <c r="D321" s="14">
        <v>86</v>
      </c>
      <c r="E321" s="15" t="s">
        <v>613</v>
      </c>
      <c r="F321" s="15" t="s">
        <v>552</v>
      </c>
      <c r="G321" s="14" t="s">
        <v>553</v>
      </c>
      <c r="H321" s="14"/>
      <c r="I321" s="14"/>
      <c r="J321" s="16">
        <v>1036.3699999999999</v>
      </c>
      <c r="K321" s="66">
        <v>1197990</v>
      </c>
      <c r="L321" s="66">
        <v>335585</v>
      </c>
      <c r="M321" s="28">
        <v>1533575</v>
      </c>
      <c r="N321" s="64">
        <v>6544129</v>
      </c>
      <c r="O321" s="64">
        <v>449475</v>
      </c>
      <c r="P321" s="64">
        <v>190896</v>
      </c>
      <c r="Q321" s="28">
        <v>7184500</v>
      </c>
      <c r="R321" s="62">
        <v>235604</v>
      </c>
      <c r="S321" s="28">
        <v>8953679</v>
      </c>
      <c r="T321" s="81">
        <v>361518</v>
      </c>
      <c r="U321" s="81">
        <v>478076</v>
      </c>
      <c r="V321" s="81">
        <v>807238</v>
      </c>
      <c r="W321" s="81">
        <v>0</v>
      </c>
      <c r="X321" s="28">
        <v>10600510</v>
      </c>
      <c r="Y321" s="28">
        <v>1292496</v>
      </c>
      <c r="Z321" s="28">
        <v>1594313</v>
      </c>
      <c r="AA321" s="28">
        <v>7330438</v>
      </c>
      <c r="AB321" s="28">
        <v>383264</v>
      </c>
      <c r="AC321" s="40" t="s">
        <v>184</v>
      </c>
      <c r="AD321" s="41">
        <v>2687</v>
      </c>
      <c r="AE321" s="42">
        <v>1</v>
      </c>
      <c r="AF321" s="40" t="s">
        <v>552</v>
      </c>
      <c r="AG321" s="68">
        <v>92267.12</v>
      </c>
      <c r="AH321" s="42">
        <v>1</v>
      </c>
      <c r="AI321" s="40" t="s">
        <v>552</v>
      </c>
      <c r="AJ321" s="70">
        <v>0</v>
      </c>
      <c r="AK321" s="72">
        <f t="shared" si="24"/>
        <v>-92267.12</v>
      </c>
      <c r="AL321" s="72">
        <f t="shared" si="25"/>
        <v>0</v>
      </c>
      <c r="AM321">
        <v>-1</v>
      </c>
      <c r="AO321" s="102">
        <f t="shared" si="26"/>
        <v>94506</v>
      </c>
      <c r="AP321" s="103">
        <f t="shared" si="27"/>
        <v>1258728</v>
      </c>
      <c r="AQ321" s="101">
        <f t="shared" si="28"/>
        <v>145938</v>
      </c>
      <c r="AR321" s="104">
        <f t="shared" si="29"/>
        <v>147660</v>
      </c>
    </row>
    <row r="322" spans="1:44">
      <c r="A322" s="14" t="s">
        <v>1166</v>
      </c>
      <c r="B322" s="15" t="s">
        <v>1167</v>
      </c>
      <c r="C322" s="14" t="s">
        <v>1220</v>
      </c>
      <c r="D322" s="14">
        <v>59</v>
      </c>
      <c r="E322" s="15" t="s">
        <v>766</v>
      </c>
      <c r="F322" s="15" t="s">
        <v>554</v>
      </c>
      <c r="G322" s="14" t="s">
        <v>555</v>
      </c>
      <c r="H322" s="14"/>
      <c r="I322" s="14"/>
      <c r="J322" s="16">
        <v>1229.0899999999999</v>
      </c>
      <c r="K322" s="66">
        <v>458323</v>
      </c>
      <c r="L322" s="66">
        <v>698400</v>
      </c>
      <c r="M322" s="28">
        <v>1156723</v>
      </c>
      <c r="N322" s="64">
        <v>8421557</v>
      </c>
      <c r="O322" s="64">
        <v>594484</v>
      </c>
      <c r="P322" s="64">
        <v>48563</v>
      </c>
      <c r="Q322" s="28">
        <v>9064604</v>
      </c>
      <c r="R322" s="62">
        <v>280801</v>
      </c>
      <c r="S322" s="28">
        <v>10502128</v>
      </c>
      <c r="T322" s="81">
        <v>654248</v>
      </c>
      <c r="U322" s="81">
        <v>283167</v>
      </c>
      <c r="V322" s="81">
        <v>19692</v>
      </c>
      <c r="W322" s="81">
        <v>1886316</v>
      </c>
      <c r="X322" s="28">
        <v>13345551</v>
      </c>
      <c r="Y322" s="28">
        <v>2056317</v>
      </c>
      <c r="Z322" s="28">
        <v>1223179</v>
      </c>
      <c r="AA322" s="28">
        <v>9506723</v>
      </c>
      <c r="AB322" s="28">
        <v>559332</v>
      </c>
      <c r="AC322" s="40" t="s">
        <v>184</v>
      </c>
      <c r="AD322" s="41">
        <v>2689</v>
      </c>
      <c r="AE322" s="42">
        <v>1</v>
      </c>
      <c r="AF322" s="40" t="s">
        <v>554</v>
      </c>
      <c r="AG322" s="68">
        <v>71531.179999999993</v>
      </c>
      <c r="AH322" s="42">
        <v>1</v>
      </c>
      <c r="AI322" s="40" t="s">
        <v>554</v>
      </c>
      <c r="AJ322" s="70">
        <v>1530</v>
      </c>
      <c r="AK322" s="72">
        <f t="shared" si="24"/>
        <v>-71531.179999999993</v>
      </c>
      <c r="AL322" s="72">
        <f t="shared" si="25"/>
        <v>-1530</v>
      </c>
      <c r="AM322">
        <v>-1</v>
      </c>
      <c r="AO322" s="102">
        <f t="shared" si="26"/>
        <v>1597994</v>
      </c>
      <c r="AP322" s="103">
        <f t="shared" si="27"/>
        <v>524779</v>
      </c>
      <c r="AQ322" s="101">
        <f t="shared" si="28"/>
        <v>442119</v>
      </c>
      <c r="AR322" s="104">
        <f t="shared" si="29"/>
        <v>278531</v>
      </c>
    </row>
    <row r="323" spans="1:44">
      <c r="A323" s="14" t="s">
        <v>1218</v>
      </c>
      <c r="B323" s="15" t="s">
        <v>1219</v>
      </c>
      <c r="C323" s="14" t="s">
        <v>1220</v>
      </c>
      <c r="D323" s="14">
        <v>69</v>
      </c>
      <c r="E323" s="15" t="s">
        <v>651</v>
      </c>
      <c r="F323" s="15" t="s">
        <v>556</v>
      </c>
      <c r="G323" s="14" t="s">
        <v>379</v>
      </c>
      <c r="H323" s="14"/>
      <c r="I323" s="14"/>
      <c r="J323" s="16">
        <v>892.08</v>
      </c>
      <c r="K323" s="66">
        <v>229207</v>
      </c>
      <c r="L323" s="66">
        <v>5586304</v>
      </c>
      <c r="M323" s="28">
        <v>5815511</v>
      </c>
      <c r="N323" s="64">
        <v>5819799</v>
      </c>
      <c r="O323" s="64">
        <v>475750</v>
      </c>
      <c r="P323" s="64">
        <v>49795</v>
      </c>
      <c r="Q323" s="28">
        <v>6345344</v>
      </c>
      <c r="R323" s="62">
        <v>510371</v>
      </c>
      <c r="S323" s="28">
        <v>12671226</v>
      </c>
      <c r="T323" s="81">
        <v>276094</v>
      </c>
      <c r="U323" s="81">
        <v>149344</v>
      </c>
      <c r="V323" s="81">
        <v>442657</v>
      </c>
      <c r="W323" s="81">
        <v>172738</v>
      </c>
      <c r="X323" s="28">
        <v>13712060</v>
      </c>
      <c r="Y323" s="28">
        <v>210405</v>
      </c>
      <c r="Z323" s="28">
        <v>6381646</v>
      </c>
      <c r="AA323" s="28">
        <v>6467209</v>
      </c>
      <c r="AB323" s="28">
        <v>652800</v>
      </c>
      <c r="AC323" s="40" t="s">
        <v>184</v>
      </c>
      <c r="AD323" s="41">
        <v>2711</v>
      </c>
      <c r="AE323" s="42">
        <v>1</v>
      </c>
      <c r="AF323" s="40" t="s">
        <v>556</v>
      </c>
      <c r="AG323" s="68">
        <v>79000.570000000007</v>
      </c>
      <c r="AH323" s="42">
        <v>1</v>
      </c>
      <c r="AI323" s="40" t="s">
        <v>556</v>
      </c>
      <c r="AJ323" s="70">
        <v>0</v>
      </c>
      <c r="AK323" s="72">
        <f t="shared" si="24"/>
        <v>-79000.570000000007</v>
      </c>
      <c r="AL323" s="72">
        <f t="shared" si="25"/>
        <v>0</v>
      </c>
      <c r="AM323">
        <v>-1</v>
      </c>
      <c r="AO323" s="102">
        <f t="shared" si="26"/>
        <v>-18802</v>
      </c>
      <c r="AP323" s="103">
        <f t="shared" si="27"/>
        <v>795342</v>
      </c>
      <c r="AQ323" s="101">
        <f t="shared" si="28"/>
        <v>121865</v>
      </c>
      <c r="AR323" s="104">
        <f t="shared" si="29"/>
        <v>142429</v>
      </c>
    </row>
    <row r="324" spans="1:44">
      <c r="A324" s="14" t="s">
        <v>1092</v>
      </c>
      <c r="B324" s="15" t="s">
        <v>1093</v>
      </c>
      <c r="C324" s="14" t="s">
        <v>1220</v>
      </c>
      <c r="D324" s="14">
        <v>46</v>
      </c>
      <c r="E324" s="15" t="s">
        <v>847</v>
      </c>
      <c r="F324" s="15" t="s">
        <v>380</v>
      </c>
      <c r="G324" s="14" t="s">
        <v>381</v>
      </c>
      <c r="H324" s="14"/>
      <c r="I324" s="14"/>
      <c r="J324" s="16">
        <v>1846.72</v>
      </c>
      <c r="K324" s="66">
        <v>1384914</v>
      </c>
      <c r="L324" s="66">
        <v>1115675</v>
      </c>
      <c r="M324" s="28">
        <v>2500589</v>
      </c>
      <c r="N324" s="64">
        <v>12609640</v>
      </c>
      <c r="O324" s="64">
        <v>1286226</v>
      </c>
      <c r="P324" s="64">
        <v>248006</v>
      </c>
      <c r="Q324" s="28">
        <v>14143872</v>
      </c>
      <c r="R324" s="62">
        <v>876194</v>
      </c>
      <c r="S324" s="28">
        <v>17520655</v>
      </c>
      <c r="T324" s="81">
        <v>925533</v>
      </c>
      <c r="U324" s="81">
        <v>490587</v>
      </c>
      <c r="V324" s="81">
        <v>0</v>
      </c>
      <c r="W324" s="81">
        <v>795785</v>
      </c>
      <c r="X324" s="28">
        <v>19732559</v>
      </c>
      <c r="Y324" s="28">
        <v>1988392</v>
      </c>
      <c r="Z324" s="28">
        <v>2041561</v>
      </c>
      <c r="AA324" s="28">
        <v>14467810</v>
      </c>
      <c r="AB324" s="28">
        <v>1234796</v>
      </c>
      <c r="AC324" s="40" t="s">
        <v>184</v>
      </c>
      <c r="AD324" s="41">
        <v>2752</v>
      </c>
      <c r="AE324" s="42">
        <v>1</v>
      </c>
      <c r="AF324" s="40" t="s">
        <v>380</v>
      </c>
      <c r="AG324" s="68">
        <v>177846.11</v>
      </c>
      <c r="AH324" s="42">
        <v>1</v>
      </c>
      <c r="AI324" s="40" t="s">
        <v>380</v>
      </c>
      <c r="AJ324" s="70">
        <v>27991.71</v>
      </c>
      <c r="AK324" s="72">
        <f t="shared" si="24"/>
        <v>-177846.11</v>
      </c>
      <c r="AL324" s="72">
        <f t="shared" si="25"/>
        <v>-27991.71</v>
      </c>
      <c r="AM324">
        <v>-1</v>
      </c>
      <c r="AO324" s="102">
        <f t="shared" si="26"/>
        <v>603478</v>
      </c>
      <c r="AP324" s="103">
        <f t="shared" si="27"/>
        <v>925886</v>
      </c>
      <c r="AQ324" s="101">
        <f t="shared" si="28"/>
        <v>323938</v>
      </c>
      <c r="AR324" s="104">
        <f t="shared" si="29"/>
        <v>358602</v>
      </c>
    </row>
    <row r="325" spans="1:44">
      <c r="A325" s="14" t="s">
        <v>1132</v>
      </c>
      <c r="B325" s="15" t="s">
        <v>1133</v>
      </c>
      <c r="C325" s="14" t="s">
        <v>1220</v>
      </c>
      <c r="D325" s="14">
        <v>77</v>
      </c>
      <c r="E325" s="15" t="s">
        <v>728</v>
      </c>
      <c r="F325" s="15" t="s">
        <v>382</v>
      </c>
      <c r="G325" s="14" t="s">
        <v>383</v>
      </c>
      <c r="H325" s="14"/>
      <c r="I325" s="14"/>
      <c r="J325" s="16">
        <v>1286.07</v>
      </c>
      <c r="K325" s="66">
        <v>801452</v>
      </c>
      <c r="L325" s="66">
        <v>740874</v>
      </c>
      <c r="M325" s="28">
        <v>1542326</v>
      </c>
      <c r="N325" s="64">
        <v>9067612</v>
      </c>
      <c r="O325" s="64">
        <v>630268</v>
      </c>
      <c r="P325" s="64">
        <v>205347</v>
      </c>
      <c r="Q325" s="28">
        <v>9903227</v>
      </c>
      <c r="R325" s="62">
        <v>430204</v>
      </c>
      <c r="S325" s="28">
        <v>11875757</v>
      </c>
      <c r="T325" s="81">
        <v>608484</v>
      </c>
      <c r="U325" s="81">
        <v>373941</v>
      </c>
      <c r="V325" s="81">
        <v>0</v>
      </c>
      <c r="W325" s="81">
        <v>1291730</v>
      </c>
      <c r="X325" s="28">
        <v>14149913</v>
      </c>
      <c r="Y325" s="28">
        <v>2020385</v>
      </c>
      <c r="Z325" s="28">
        <v>1196101</v>
      </c>
      <c r="AA325" s="28">
        <v>10191733</v>
      </c>
      <c r="AB325" s="28">
        <v>741694</v>
      </c>
      <c r="AC325" s="40" t="s">
        <v>184</v>
      </c>
      <c r="AD325" s="41">
        <v>2753</v>
      </c>
      <c r="AE325" s="42">
        <v>1</v>
      </c>
      <c r="AF325" s="40" t="s">
        <v>382</v>
      </c>
      <c r="AG325" s="68">
        <v>106564.73</v>
      </c>
      <c r="AH325" s="42">
        <v>1</v>
      </c>
      <c r="AI325" s="40" t="s">
        <v>382</v>
      </c>
      <c r="AJ325" s="70">
        <v>1929</v>
      </c>
      <c r="AK325" s="72">
        <f t="shared" si="24"/>
        <v>-106564.73</v>
      </c>
      <c r="AL325" s="72">
        <f t="shared" si="25"/>
        <v>-1929</v>
      </c>
      <c r="AM325">
        <v>-1</v>
      </c>
      <c r="AO325" s="102">
        <f t="shared" si="26"/>
        <v>1218933</v>
      </c>
      <c r="AP325" s="103">
        <f t="shared" si="27"/>
        <v>455227</v>
      </c>
      <c r="AQ325" s="101">
        <f t="shared" si="28"/>
        <v>288506</v>
      </c>
      <c r="AR325" s="104">
        <f t="shared" si="29"/>
        <v>311490</v>
      </c>
    </row>
    <row r="326" spans="1:44">
      <c r="A326" s="14" t="s">
        <v>1166</v>
      </c>
      <c r="B326" s="15" t="s">
        <v>1167</v>
      </c>
      <c r="C326" s="14" t="s">
        <v>1220</v>
      </c>
      <c r="D326" s="14">
        <v>64</v>
      </c>
      <c r="E326" s="15" t="s">
        <v>803</v>
      </c>
      <c r="F326" s="15" t="s">
        <v>384</v>
      </c>
      <c r="G326" s="14" t="s">
        <v>385</v>
      </c>
      <c r="H326" s="14"/>
      <c r="I326" s="14"/>
      <c r="J326" s="16">
        <v>424.55</v>
      </c>
      <c r="K326" s="66">
        <v>148013</v>
      </c>
      <c r="L326" s="66">
        <v>345582</v>
      </c>
      <c r="M326" s="28">
        <v>493595</v>
      </c>
      <c r="N326" s="64">
        <v>2924630</v>
      </c>
      <c r="O326" s="64">
        <v>287444</v>
      </c>
      <c r="P326" s="64">
        <v>58977</v>
      </c>
      <c r="Q326" s="28">
        <v>3271051</v>
      </c>
      <c r="R326" s="62">
        <v>168816</v>
      </c>
      <c r="S326" s="28">
        <v>3933462</v>
      </c>
      <c r="T326" s="81">
        <v>226912</v>
      </c>
      <c r="U326" s="81">
        <v>94513</v>
      </c>
      <c r="V326" s="81">
        <v>0</v>
      </c>
      <c r="W326" s="81">
        <v>231606</v>
      </c>
      <c r="X326" s="28">
        <v>4486492</v>
      </c>
      <c r="Y326" s="28">
        <v>363362</v>
      </c>
      <c r="Z326" s="28">
        <v>504426</v>
      </c>
      <c r="AA326" s="28">
        <v>3346095</v>
      </c>
      <c r="AB326" s="28">
        <v>272608</v>
      </c>
      <c r="AC326" s="40" t="s">
        <v>184</v>
      </c>
      <c r="AD326" s="41">
        <v>2754</v>
      </c>
      <c r="AE326" s="42">
        <v>1</v>
      </c>
      <c r="AF326" s="40" t="s">
        <v>384</v>
      </c>
      <c r="AG326" s="68">
        <v>48136.71</v>
      </c>
      <c r="AH326" s="42">
        <v>1</v>
      </c>
      <c r="AI326" s="40" t="s">
        <v>384</v>
      </c>
      <c r="AJ326" s="70">
        <v>0</v>
      </c>
      <c r="AK326" s="72">
        <f t="shared" si="24"/>
        <v>-48136.71</v>
      </c>
      <c r="AL326" s="72">
        <f t="shared" si="25"/>
        <v>0</v>
      </c>
      <c r="AM326">
        <v>-1</v>
      </c>
      <c r="AO326" s="102">
        <f t="shared" si="26"/>
        <v>215349</v>
      </c>
      <c r="AP326" s="103">
        <f t="shared" si="27"/>
        <v>158844</v>
      </c>
      <c r="AQ326" s="101">
        <f t="shared" si="28"/>
        <v>75044</v>
      </c>
      <c r="AR326" s="104">
        <f t="shared" si="29"/>
        <v>103792</v>
      </c>
    </row>
    <row r="327" spans="1:44">
      <c r="A327" s="14" t="s">
        <v>1132</v>
      </c>
      <c r="B327" s="15" t="s">
        <v>1133</v>
      </c>
      <c r="C327" s="14" t="s">
        <v>1220</v>
      </c>
      <c r="D327" s="14">
        <v>77</v>
      </c>
      <c r="E327" s="15" t="s">
        <v>728</v>
      </c>
      <c r="F327" s="15" t="s">
        <v>386</v>
      </c>
      <c r="G327" s="14" t="s">
        <v>387</v>
      </c>
      <c r="H327" s="14"/>
      <c r="I327" s="14"/>
      <c r="J327" s="16">
        <v>344.84</v>
      </c>
      <c r="K327" s="66">
        <v>204237</v>
      </c>
      <c r="L327" s="66">
        <v>194996</v>
      </c>
      <c r="M327" s="28">
        <v>399233</v>
      </c>
      <c r="N327" s="64">
        <v>2678227</v>
      </c>
      <c r="O327" s="64">
        <v>3630</v>
      </c>
      <c r="P327" s="64">
        <v>35902</v>
      </c>
      <c r="Q327" s="28">
        <v>2717759</v>
      </c>
      <c r="R327" s="62">
        <v>151993</v>
      </c>
      <c r="S327" s="28">
        <v>3268985</v>
      </c>
      <c r="T327" s="81">
        <v>150605</v>
      </c>
      <c r="U327" s="81">
        <v>58668</v>
      </c>
      <c r="V327" s="81">
        <v>0</v>
      </c>
      <c r="W327" s="81">
        <v>147657</v>
      </c>
      <c r="X327" s="28">
        <v>3625916</v>
      </c>
      <c r="Y327" s="28">
        <v>309314</v>
      </c>
      <c r="Z327" s="28">
        <v>266642</v>
      </c>
      <c r="AA327" s="28">
        <v>2800814</v>
      </c>
      <c r="AB327" s="28">
        <v>249145</v>
      </c>
      <c r="AC327" s="40" t="s">
        <v>184</v>
      </c>
      <c r="AD327" s="41">
        <v>2759</v>
      </c>
      <c r="AE327" s="42">
        <v>1</v>
      </c>
      <c r="AF327" s="40" t="s">
        <v>386</v>
      </c>
      <c r="AG327" s="68">
        <v>22651.77</v>
      </c>
      <c r="AH327" s="42">
        <v>1</v>
      </c>
      <c r="AI327" s="40" t="s">
        <v>386</v>
      </c>
      <c r="AJ327" s="70">
        <v>0</v>
      </c>
      <c r="AK327" s="72">
        <f t="shared" ref="AK327:AK390" si="30">AG327*AM327</f>
        <v>-22651.77</v>
      </c>
      <c r="AL327" s="72">
        <f t="shared" ref="AL327:AL390" si="31">AJ327*AM327</f>
        <v>0</v>
      </c>
      <c r="AM327">
        <v>-1</v>
      </c>
      <c r="AO327" s="102">
        <f t="shared" ref="AO327:AO390" si="32">Y327-K327</f>
        <v>105077</v>
      </c>
      <c r="AP327" s="103">
        <f t="shared" ref="AP327:AP390" si="33">Z327-L327</f>
        <v>71646</v>
      </c>
      <c r="AQ327" s="101">
        <f t="shared" ref="AQ327:AQ390" si="34">AA327-Q327</f>
        <v>83055</v>
      </c>
      <c r="AR327" s="104">
        <f t="shared" ref="AR327:AR390" si="35">AB327-R327</f>
        <v>97152</v>
      </c>
    </row>
    <row r="328" spans="1:44">
      <c r="A328" s="14" t="s">
        <v>1017</v>
      </c>
      <c r="B328" s="15" t="s">
        <v>1018</v>
      </c>
      <c r="C328" s="14" t="s">
        <v>1220</v>
      </c>
      <c r="D328" s="14">
        <v>79</v>
      </c>
      <c r="E328" s="15" t="s">
        <v>566</v>
      </c>
      <c r="F328" s="15" t="s">
        <v>388</v>
      </c>
      <c r="G328" s="14" t="s">
        <v>389</v>
      </c>
      <c r="H328" s="14"/>
      <c r="I328" s="14"/>
      <c r="J328" s="16">
        <v>1136.04</v>
      </c>
      <c r="K328" s="66">
        <v>948903</v>
      </c>
      <c r="L328" s="66">
        <v>705264</v>
      </c>
      <c r="M328" s="28">
        <v>1654167</v>
      </c>
      <c r="N328" s="64">
        <v>7400469</v>
      </c>
      <c r="O328" s="64">
        <v>697473</v>
      </c>
      <c r="P328" s="64">
        <v>96992</v>
      </c>
      <c r="Q328" s="28">
        <v>8194934</v>
      </c>
      <c r="R328" s="62">
        <v>144870</v>
      </c>
      <c r="S328" s="28">
        <v>9993971</v>
      </c>
      <c r="T328" s="81">
        <v>484645</v>
      </c>
      <c r="U328" s="81">
        <v>464862</v>
      </c>
      <c r="V328" s="81">
        <v>0</v>
      </c>
      <c r="W328" s="81">
        <v>432157</v>
      </c>
      <c r="X328" s="28">
        <v>11375635</v>
      </c>
      <c r="Y328" s="28">
        <v>1403668</v>
      </c>
      <c r="Z328" s="28">
        <v>1390213</v>
      </c>
      <c r="AA328" s="28">
        <v>8307668</v>
      </c>
      <c r="AB328" s="28">
        <v>274085</v>
      </c>
      <c r="AC328" s="40" t="s">
        <v>184</v>
      </c>
      <c r="AD328" s="41">
        <v>2805</v>
      </c>
      <c r="AE328" s="42">
        <v>1</v>
      </c>
      <c r="AF328" s="40" t="s">
        <v>388</v>
      </c>
      <c r="AG328" s="68">
        <v>89116.82</v>
      </c>
      <c r="AH328" s="42">
        <v>1</v>
      </c>
      <c r="AI328" s="40" t="s">
        <v>388</v>
      </c>
      <c r="AJ328" s="70">
        <v>0</v>
      </c>
      <c r="AK328" s="72">
        <f t="shared" si="30"/>
        <v>-89116.82</v>
      </c>
      <c r="AL328" s="72">
        <f t="shared" si="31"/>
        <v>0</v>
      </c>
      <c r="AM328">
        <v>-1</v>
      </c>
      <c r="AO328" s="102">
        <f t="shared" si="32"/>
        <v>454765</v>
      </c>
      <c r="AP328" s="103">
        <f t="shared" si="33"/>
        <v>684949</v>
      </c>
      <c r="AQ328" s="101">
        <f t="shared" si="34"/>
        <v>112734</v>
      </c>
      <c r="AR328" s="104">
        <f t="shared" si="35"/>
        <v>129215</v>
      </c>
    </row>
    <row r="329" spans="1:44">
      <c r="A329" s="14" t="s">
        <v>1092</v>
      </c>
      <c r="B329" s="15" t="s">
        <v>1093</v>
      </c>
      <c r="C329" s="14" t="s">
        <v>1220</v>
      </c>
      <c r="D329" s="14">
        <v>81</v>
      </c>
      <c r="E329" s="15" t="s">
        <v>580</v>
      </c>
      <c r="F329" s="15" t="s">
        <v>390</v>
      </c>
      <c r="G329" s="14" t="s">
        <v>391</v>
      </c>
      <c r="H329" s="14"/>
      <c r="I329" s="14"/>
      <c r="J329" s="16">
        <v>549.86</v>
      </c>
      <c r="K329" s="66">
        <v>664991</v>
      </c>
      <c r="L329" s="66">
        <v>417408</v>
      </c>
      <c r="M329" s="28">
        <v>1082399</v>
      </c>
      <c r="N329" s="64">
        <v>3633165</v>
      </c>
      <c r="O329" s="64">
        <v>388198</v>
      </c>
      <c r="P329" s="64">
        <v>66769</v>
      </c>
      <c r="Q329" s="28">
        <v>4088132</v>
      </c>
      <c r="R329" s="62">
        <v>165555</v>
      </c>
      <c r="S329" s="28">
        <v>5336086</v>
      </c>
      <c r="T329" s="81">
        <v>222305</v>
      </c>
      <c r="U329" s="81">
        <v>132361</v>
      </c>
      <c r="V329" s="81">
        <v>0</v>
      </c>
      <c r="W329" s="81">
        <v>1104940</v>
      </c>
      <c r="X329" s="28">
        <v>6795691</v>
      </c>
      <c r="Y329" s="28">
        <v>1459276</v>
      </c>
      <c r="Z329" s="28">
        <v>860985</v>
      </c>
      <c r="AA329" s="28">
        <v>4235462</v>
      </c>
      <c r="AB329" s="28">
        <v>239968</v>
      </c>
      <c r="AC329" s="40" t="s">
        <v>184</v>
      </c>
      <c r="AD329" s="41">
        <v>2835</v>
      </c>
      <c r="AE329" s="42">
        <v>1</v>
      </c>
      <c r="AF329" s="40" t="s">
        <v>390</v>
      </c>
      <c r="AG329" s="68">
        <v>73534.929999999993</v>
      </c>
      <c r="AH329" s="42">
        <v>1</v>
      </c>
      <c r="AI329" s="40" t="s">
        <v>390</v>
      </c>
      <c r="AJ329" s="70">
        <v>0</v>
      </c>
      <c r="AK329" s="72">
        <f t="shared" si="30"/>
        <v>-73534.929999999993</v>
      </c>
      <c r="AL329" s="72">
        <f t="shared" si="31"/>
        <v>0</v>
      </c>
      <c r="AM329">
        <v>-1</v>
      </c>
      <c r="AO329" s="102">
        <f t="shared" si="32"/>
        <v>794285</v>
      </c>
      <c r="AP329" s="103">
        <f t="shared" si="33"/>
        <v>443577</v>
      </c>
      <c r="AQ329" s="101">
        <f t="shared" si="34"/>
        <v>147330</v>
      </c>
      <c r="AR329" s="104">
        <f t="shared" si="35"/>
        <v>74413</v>
      </c>
    </row>
    <row r="330" spans="1:44">
      <c r="A330" s="14" t="s">
        <v>1087</v>
      </c>
      <c r="B330" s="15" t="s">
        <v>1088</v>
      </c>
      <c r="C330" s="14" t="s">
        <v>1220</v>
      </c>
      <c r="D330" s="14">
        <v>37</v>
      </c>
      <c r="E330" s="15" t="s">
        <v>973</v>
      </c>
      <c r="F330" s="15" t="s">
        <v>392</v>
      </c>
      <c r="G330" s="14" t="s">
        <v>393</v>
      </c>
      <c r="H330" s="14"/>
      <c r="I330" s="14"/>
      <c r="J330" s="16">
        <v>990.15</v>
      </c>
      <c r="K330" s="66">
        <v>755839</v>
      </c>
      <c r="L330" s="66">
        <v>769581</v>
      </c>
      <c r="M330" s="28">
        <v>1525420</v>
      </c>
      <c r="N330" s="64">
        <v>7445579</v>
      </c>
      <c r="O330" s="64">
        <v>532110</v>
      </c>
      <c r="P330" s="64">
        <v>89082</v>
      </c>
      <c r="Q330" s="28">
        <v>8066771</v>
      </c>
      <c r="R330" s="62">
        <v>366163</v>
      </c>
      <c r="S330" s="28">
        <v>9958354</v>
      </c>
      <c r="T330" s="81">
        <v>517163</v>
      </c>
      <c r="U330" s="81">
        <v>353041</v>
      </c>
      <c r="V330" s="81">
        <v>0</v>
      </c>
      <c r="W330" s="81">
        <v>283478</v>
      </c>
      <c r="X330" s="28">
        <v>11112034</v>
      </c>
      <c r="Y330" s="28">
        <v>1056218</v>
      </c>
      <c r="Z330" s="28">
        <v>1251858</v>
      </c>
      <c r="AA330" s="28">
        <v>8225513</v>
      </c>
      <c r="AB330" s="28">
        <v>578445</v>
      </c>
      <c r="AC330" s="40" t="s">
        <v>184</v>
      </c>
      <c r="AD330" s="41">
        <v>2853</v>
      </c>
      <c r="AE330" s="42">
        <v>1</v>
      </c>
      <c r="AF330" s="40" t="s">
        <v>392</v>
      </c>
      <c r="AG330" s="68">
        <v>94554.65</v>
      </c>
      <c r="AH330" s="42">
        <v>1</v>
      </c>
      <c r="AI330" s="40" t="s">
        <v>392</v>
      </c>
      <c r="AJ330" s="70">
        <v>3500</v>
      </c>
      <c r="AK330" s="72">
        <f t="shared" si="30"/>
        <v>-94554.65</v>
      </c>
      <c r="AL330" s="72">
        <f t="shared" si="31"/>
        <v>-3500</v>
      </c>
      <c r="AM330">
        <v>-1</v>
      </c>
      <c r="AO330" s="102">
        <f t="shared" si="32"/>
        <v>300379</v>
      </c>
      <c r="AP330" s="103">
        <f t="shared" si="33"/>
        <v>482277</v>
      </c>
      <c r="AQ330" s="101">
        <f t="shared" si="34"/>
        <v>158742</v>
      </c>
      <c r="AR330" s="104">
        <f t="shared" si="35"/>
        <v>212282</v>
      </c>
    </row>
    <row r="331" spans="1:44">
      <c r="A331" s="14" t="s">
        <v>961</v>
      </c>
      <c r="B331" s="15" t="s">
        <v>962</v>
      </c>
      <c r="C331" s="14" t="s">
        <v>1220</v>
      </c>
      <c r="D331" s="14">
        <v>54</v>
      </c>
      <c r="E331" s="15" t="s">
        <v>518</v>
      </c>
      <c r="F331" s="15" t="s">
        <v>394</v>
      </c>
      <c r="G331" s="14" t="s">
        <v>395</v>
      </c>
      <c r="H331" s="14"/>
      <c r="I331" s="14"/>
      <c r="J331" s="16">
        <v>549.59</v>
      </c>
      <c r="K331" s="66">
        <v>159193</v>
      </c>
      <c r="L331" s="66">
        <v>453730</v>
      </c>
      <c r="M331" s="28">
        <v>612923</v>
      </c>
      <c r="N331" s="64">
        <v>4162794</v>
      </c>
      <c r="O331" s="64">
        <v>443367</v>
      </c>
      <c r="P331" s="64">
        <v>10136</v>
      </c>
      <c r="Q331" s="28">
        <v>4616297</v>
      </c>
      <c r="R331" s="62">
        <v>103966</v>
      </c>
      <c r="S331" s="28">
        <v>5333186</v>
      </c>
      <c r="T331" s="81">
        <v>267251</v>
      </c>
      <c r="U331" s="81">
        <v>115092</v>
      </c>
      <c r="V331" s="81">
        <v>0</v>
      </c>
      <c r="W331" s="81">
        <v>0</v>
      </c>
      <c r="X331" s="28">
        <v>5715529</v>
      </c>
      <c r="Y331" s="28">
        <v>166615</v>
      </c>
      <c r="Z331" s="28">
        <v>650999</v>
      </c>
      <c r="AA331" s="28">
        <v>4653258</v>
      </c>
      <c r="AB331" s="28">
        <v>244657</v>
      </c>
      <c r="AC331" s="40" t="s">
        <v>184</v>
      </c>
      <c r="AD331" s="41">
        <v>2854</v>
      </c>
      <c r="AE331" s="42">
        <v>1</v>
      </c>
      <c r="AF331" s="40" t="s">
        <v>394</v>
      </c>
      <c r="AG331" s="68">
        <v>41875.9</v>
      </c>
      <c r="AH331" s="42">
        <v>1</v>
      </c>
      <c r="AI331" s="40" t="s">
        <v>394</v>
      </c>
      <c r="AJ331" s="70">
        <v>0</v>
      </c>
      <c r="AK331" s="72">
        <f t="shared" si="30"/>
        <v>-41875.9</v>
      </c>
      <c r="AL331" s="72">
        <f t="shared" si="31"/>
        <v>0</v>
      </c>
      <c r="AM331">
        <v>-1</v>
      </c>
      <c r="AO331" s="102">
        <f t="shared" si="32"/>
        <v>7422</v>
      </c>
      <c r="AP331" s="103">
        <f t="shared" si="33"/>
        <v>197269</v>
      </c>
      <c r="AQ331" s="101">
        <f t="shared" si="34"/>
        <v>36961</v>
      </c>
      <c r="AR331" s="104">
        <f t="shared" si="35"/>
        <v>140691</v>
      </c>
    </row>
    <row r="332" spans="1:44">
      <c r="A332" s="14" t="s">
        <v>961</v>
      </c>
      <c r="B332" s="15" t="s">
        <v>962</v>
      </c>
      <c r="C332" s="14" t="s">
        <v>1220</v>
      </c>
      <c r="D332" s="14">
        <v>45</v>
      </c>
      <c r="E332" s="15" t="s">
        <v>842</v>
      </c>
      <c r="F332" s="15" t="s">
        <v>396</v>
      </c>
      <c r="G332" s="14" t="s">
        <v>397</v>
      </c>
      <c r="H332" s="14"/>
      <c r="I332" s="14"/>
      <c r="J332" s="16">
        <v>356.83</v>
      </c>
      <c r="K332" s="66">
        <v>300840</v>
      </c>
      <c r="L332" s="66">
        <v>339616</v>
      </c>
      <c r="M332" s="28">
        <v>640456</v>
      </c>
      <c r="N332" s="64">
        <v>3120974</v>
      </c>
      <c r="O332" s="64">
        <v>140228</v>
      </c>
      <c r="P332" s="64">
        <v>7483</v>
      </c>
      <c r="Q332" s="28">
        <v>3268685</v>
      </c>
      <c r="R332" s="62">
        <v>1168892</v>
      </c>
      <c r="S332" s="28">
        <v>5078033</v>
      </c>
      <c r="T332" s="81">
        <v>177880</v>
      </c>
      <c r="U332" s="81">
        <v>77506</v>
      </c>
      <c r="V332" s="81">
        <v>0</v>
      </c>
      <c r="W332" s="81">
        <v>0</v>
      </c>
      <c r="X332" s="28">
        <v>5333418</v>
      </c>
      <c r="Y332" s="28">
        <v>334427</v>
      </c>
      <c r="Z332" s="28">
        <v>452796</v>
      </c>
      <c r="AA332" s="28">
        <v>3295863</v>
      </c>
      <c r="AB332" s="28">
        <v>1250332</v>
      </c>
      <c r="AC332" s="40" t="s">
        <v>184</v>
      </c>
      <c r="AD332" s="41">
        <v>2856</v>
      </c>
      <c r="AE332" s="42">
        <v>1</v>
      </c>
      <c r="AF332" s="40" t="s">
        <v>396</v>
      </c>
      <c r="AG332" s="68">
        <v>37008.69</v>
      </c>
      <c r="AH332" s="42">
        <v>1</v>
      </c>
      <c r="AI332" s="40" t="s">
        <v>396</v>
      </c>
      <c r="AJ332" s="70">
        <v>0</v>
      </c>
      <c r="AK332" s="72">
        <f t="shared" si="30"/>
        <v>-37008.69</v>
      </c>
      <c r="AL332" s="72">
        <f t="shared" si="31"/>
        <v>0</v>
      </c>
      <c r="AM332">
        <v>-1</v>
      </c>
      <c r="AO332" s="102">
        <f t="shared" si="32"/>
        <v>33587</v>
      </c>
      <c r="AP332" s="103">
        <f t="shared" si="33"/>
        <v>113180</v>
      </c>
      <c r="AQ332" s="101">
        <f t="shared" si="34"/>
        <v>27178</v>
      </c>
      <c r="AR332" s="104">
        <f t="shared" si="35"/>
        <v>81440</v>
      </c>
    </row>
    <row r="333" spans="1:44">
      <c r="A333" s="14" t="s">
        <v>954</v>
      </c>
      <c r="B333" s="15" t="s">
        <v>955</v>
      </c>
      <c r="C333" s="14" t="s">
        <v>1220</v>
      </c>
      <c r="D333" s="14">
        <v>43</v>
      </c>
      <c r="E333" s="15" t="s">
        <v>832</v>
      </c>
      <c r="F333" s="15" t="s">
        <v>398</v>
      </c>
      <c r="G333" s="14" t="s">
        <v>399</v>
      </c>
      <c r="H333" s="14"/>
      <c r="I333" s="14"/>
      <c r="J333" s="16">
        <v>1655.62</v>
      </c>
      <c r="K333" s="66">
        <v>1096340</v>
      </c>
      <c r="L333" s="66">
        <v>1159336</v>
      </c>
      <c r="M333" s="28">
        <v>2255676</v>
      </c>
      <c r="N333" s="64">
        <v>11224350</v>
      </c>
      <c r="O333" s="64">
        <v>850992</v>
      </c>
      <c r="P333" s="64">
        <v>126040</v>
      </c>
      <c r="Q333" s="28">
        <v>12201382</v>
      </c>
      <c r="R333" s="62">
        <v>307231</v>
      </c>
      <c r="S333" s="28">
        <v>14764289</v>
      </c>
      <c r="T333" s="81">
        <v>824680</v>
      </c>
      <c r="U333" s="81">
        <v>546791</v>
      </c>
      <c r="V333" s="81">
        <v>0</v>
      </c>
      <c r="W333" s="81">
        <v>261767</v>
      </c>
      <c r="X333" s="28">
        <v>16397528</v>
      </c>
      <c r="Y333" s="28">
        <v>1409024</v>
      </c>
      <c r="Z333" s="28">
        <v>1950870</v>
      </c>
      <c r="AA333" s="28">
        <v>12446025</v>
      </c>
      <c r="AB333" s="28">
        <v>591609</v>
      </c>
      <c r="AC333" s="40" t="s">
        <v>184</v>
      </c>
      <c r="AD333" s="41">
        <v>2859</v>
      </c>
      <c r="AE333" s="42">
        <v>1</v>
      </c>
      <c r="AF333" s="40" t="s">
        <v>398</v>
      </c>
      <c r="AG333" s="68">
        <v>163663.07999999999</v>
      </c>
      <c r="AH333" s="42">
        <v>1</v>
      </c>
      <c r="AI333" s="40" t="s">
        <v>398</v>
      </c>
      <c r="AJ333" s="70">
        <v>0</v>
      </c>
      <c r="AK333" s="72">
        <f t="shared" si="30"/>
        <v>-163663.07999999999</v>
      </c>
      <c r="AL333" s="72">
        <f t="shared" si="31"/>
        <v>0</v>
      </c>
      <c r="AM333">
        <v>-1</v>
      </c>
      <c r="AO333" s="102">
        <f t="shared" si="32"/>
        <v>312684</v>
      </c>
      <c r="AP333" s="103">
        <f t="shared" si="33"/>
        <v>791534</v>
      </c>
      <c r="AQ333" s="101">
        <f t="shared" si="34"/>
        <v>244643</v>
      </c>
      <c r="AR333" s="104">
        <f t="shared" si="35"/>
        <v>284378</v>
      </c>
    </row>
    <row r="334" spans="1:44">
      <c r="A334" s="14" t="s">
        <v>1092</v>
      </c>
      <c r="B334" s="15" t="s">
        <v>1093</v>
      </c>
      <c r="C334" s="14" t="s">
        <v>1220</v>
      </c>
      <c r="D334" s="14">
        <v>22</v>
      </c>
      <c r="E334" s="15" t="s">
        <v>641</v>
      </c>
      <c r="F334" s="15" t="s">
        <v>400</v>
      </c>
      <c r="G334" s="14" t="s">
        <v>401</v>
      </c>
      <c r="H334" s="14"/>
      <c r="I334" s="14"/>
      <c r="J334" s="16">
        <v>1264.28</v>
      </c>
      <c r="K334" s="66">
        <v>656704</v>
      </c>
      <c r="L334" s="66">
        <v>942642</v>
      </c>
      <c r="M334" s="28">
        <v>1599346</v>
      </c>
      <c r="N334" s="64">
        <v>8952691</v>
      </c>
      <c r="O334" s="64">
        <v>1002897</v>
      </c>
      <c r="P334" s="64">
        <v>66805</v>
      </c>
      <c r="Q334" s="28">
        <v>10022393</v>
      </c>
      <c r="R334" s="62">
        <v>417762</v>
      </c>
      <c r="S334" s="28">
        <v>12039501</v>
      </c>
      <c r="T334" s="81">
        <v>522206</v>
      </c>
      <c r="U334" s="81">
        <v>643087</v>
      </c>
      <c r="V334" s="81">
        <v>0</v>
      </c>
      <c r="W334" s="81">
        <v>270302</v>
      </c>
      <c r="X334" s="28">
        <v>13475096</v>
      </c>
      <c r="Y334" s="28">
        <v>953200</v>
      </c>
      <c r="Z334" s="28">
        <v>1594455</v>
      </c>
      <c r="AA334" s="28">
        <v>10262669</v>
      </c>
      <c r="AB334" s="28">
        <v>664772</v>
      </c>
      <c r="AC334" s="40" t="s">
        <v>184</v>
      </c>
      <c r="AD334" s="41">
        <v>2860</v>
      </c>
      <c r="AE334" s="42">
        <v>1</v>
      </c>
      <c r="AF334" s="40" t="s">
        <v>400</v>
      </c>
      <c r="AG334" s="68">
        <v>82777.14</v>
      </c>
      <c r="AH334" s="42">
        <v>1</v>
      </c>
      <c r="AI334" s="40" t="s">
        <v>400</v>
      </c>
      <c r="AJ334" s="70">
        <v>103700.84</v>
      </c>
      <c r="AK334" s="72">
        <f t="shared" si="30"/>
        <v>-82777.14</v>
      </c>
      <c r="AL334" s="72">
        <f t="shared" si="31"/>
        <v>-103700.84</v>
      </c>
      <c r="AM334">
        <v>-1</v>
      </c>
      <c r="AO334" s="102">
        <f t="shared" si="32"/>
        <v>296496</v>
      </c>
      <c r="AP334" s="103">
        <f t="shared" si="33"/>
        <v>651813</v>
      </c>
      <c r="AQ334" s="101">
        <f t="shared" si="34"/>
        <v>240276</v>
      </c>
      <c r="AR334" s="104">
        <f t="shared" si="35"/>
        <v>247010</v>
      </c>
    </row>
    <row r="335" spans="1:44">
      <c r="A335" s="14" t="s">
        <v>1166</v>
      </c>
      <c r="B335" s="15" t="s">
        <v>1167</v>
      </c>
      <c r="C335" s="14" t="s">
        <v>1220</v>
      </c>
      <c r="D335" s="14">
        <v>17</v>
      </c>
      <c r="E335" s="15" t="s">
        <v>1168</v>
      </c>
      <c r="F335" s="15" t="s">
        <v>402</v>
      </c>
      <c r="G335" s="14" t="s">
        <v>403</v>
      </c>
      <c r="H335" s="14"/>
      <c r="I335" s="14"/>
      <c r="J335" s="16">
        <v>491.85</v>
      </c>
      <c r="K335" s="66">
        <v>379062</v>
      </c>
      <c r="L335" s="66">
        <v>227778</v>
      </c>
      <c r="M335" s="28">
        <v>606840</v>
      </c>
      <c r="N335" s="64">
        <v>3830601</v>
      </c>
      <c r="O335" s="64">
        <v>-16614</v>
      </c>
      <c r="P335" s="64">
        <v>50067</v>
      </c>
      <c r="Q335" s="28">
        <v>3864054</v>
      </c>
      <c r="R335" s="62">
        <v>160576</v>
      </c>
      <c r="S335" s="28">
        <v>4631470</v>
      </c>
      <c r="T335" s="81">
        <v>237475</v>
      </c>
      <c r="U335" s="81">
        <v>281660</v>
      </c>
      <c r="V335" s="81">
        <v>0</v>
      </c>
      <c r="W335" s="81">
        <v>0</v>
      </c>
      <c r="X335" s="28">
        <v>5150603</v>
      </c>
      <c r="Y335" s="28">
        <v>400307</v>
      </c>
      <c r="Z335" s="28">
        <v>576532</v>
      </c>
      <c r="AA335" s="28">
        <v>3886808</v>
      </c>
      <c r="AB335" s="28">
        <v>286956</v>
      </c>
      <c r="AC335" s="40" t="s">
        <v>184</v>
      </c>
      <c r="AD335" s="41">
        <v>2884</v>
      </c>
      <c r="AE335" s="42">
        <v>1</v>
      </c>
      <c r="AF335" s="40" t="s">
        <v>402</v>
      </c>
      <c r="AG335" s="68">
        <v>-3280.38</v>
      </c>
      <c r="AH335" s="42">
        <v>1</v>
      </c>
      <c r="AI335" s="40" t="s">
        <v>402</v>
      </c>
      <c r="AJ335" s="70">
        <v>0</v>
      </c>
      <c r="AK335" s="72">
        <f t="shared" si="30"/>
        <v>3280.38</v>
      </c>
      <c r="AL335" s="72">
        <f t="shared" si="31"/>
        <v>0</v>
      </c>
      <c r="AM335">
        <v>-1</v>
      </c>
      <c r="AO335" s="102">
        <f t="shared" si="32"/>
        <v>21245</v>
      </c>
      <c r="AP335" s="103">
        <f t="shared" si="33"/>
        <v>348754</v>
      </c>
      <c r="AQ335" s="101">
        <f t="shared" si="34"/>
        <v>22754</v>
      </c>
      <c r="AR335" s="104">
        <f t="shared" si="35"/>
        <v>126380</v>
      </c>
    </row>
    <row r="336" spans="1:44">
      <c r="A336" s="14" t="s">
        <v>1017</v>
      </c>
      <c r="B336" s="15" t="s">
        <v>1018</v>
      </c>
      <c r="C336" s="14" t="s">
        <v>1220</v>
      </c>
      <c r="D336" s="14">
        <v>24</v>
      </c>
      <c r="E336" s="15" t="s">
        <v>1043</v>
      </c>
      <c r="F336" s="15" t="s">
        <v>404</v>
      </c>
      <c r="G336" s="14" t="s">
        <v>405</v>
      </c>
      <c r="H336" s="14"/>
      <c r="I336" s="14"/>
      <c r="J336" s="16">
        <v>429.91</v>
      </c>
      <c r="K336" s="66">
        <v>223831</v>
      </c>
      <c r="L336" s="66">
        <v>108352</v>
      </c>
      <c r="M336" s="28">
        <v>332183</v>
      </c>
      <c r="N336" s="64">
        <v>2931735</v>
      </c>
      <c r="O336" s="64">
        <v>142966</v>
      </c>
      <c r="P336" s="64">
        <v>6633</v>
      </c>
      <c r="Q336" s="28">
        <v>3081334</v>
      </c>
      <c r="R336" s="62">
        <v>301119</v>
      </c>
      <c r="S336" s="28">
        <v>3714636</v>
      </c>
      <c r="T336" s="81">
        <v>151555</v>
      </c>
      <c r="U336" s="81">
        <v>40399</v>
      </c>
      <c r="V336" s="81">
        <v>0</v>
      </c>
      <c r="W336" s="81">
        <v>0</v>
      </c>
      <c r="X336" s="28">
        <v>3906589</v>
      </c>
      <c r="Y336" s="28">
        <v>240066</v>
      </c>
      <c r="Z336" s="28">
        <v>189026</v>
      </c>
      <c r="AA336" s="28">
        <v>3105143</v>
      </c>
      <c r="AB336" s="28">
        <v>372354</v>
      </c>
      <c r="AC336" s="40" t="s">
        <v>184</v>
      </c>
      <c r="AD336" s="41">
        <v>2886</v>
      </c>
      <c r="AE336" s="42">
        <v>1</v>
      </c>
      <c r="AF336" s="40" t="s">
        <v>404</v>
      </c>
      <c r="AG336" s="68">
        <v>22986.22</v>
      </c>
      <c r="AH336" s="42">
        <v>1</v>
      </c>
      <c r="AI336" s="40" t="s">
        <v>404</v>
      </c>
      <c r="AJ336" s="70">
        <v>0</v>
      </c>
      <c r="AK336" s="72">
        <f t="shared" si="30"/>
        <v>-22986.22</v>
      </c>
      <c r="AL336" s="72">
        <f t="shared" si="31"/>
        <v>0</v>
      </c>
      <c r="AM336">
        <v>-1</v>
      </c>
      <c r="AO336" s="102">
        <f t="shared" si="32"/>
        <v>16235</v>
      </c>
      <c r="AP336" s="103">
        <f t="shared" si="33"/>
        <v>80674</v>
      </c>
      <c r="AQ336" s="101">
        <f t="shared" si="34"/>
        <v>23809</v>
      </c>
      <c r="AR336" s="104">
        <f t="shared" si="35"/>
        <v>71235</v>
      </c>
    </row>
    <row r="337" spans="1:44">
      <c r="A337" s="14" t="s">
        <v>954</v>
      </c>
      <c r="B337" s="15" t="s">
        <v>955</v>
      </c>
      <c r="C337" s="14" t="s">
        <v>1220</v>
      </c>
      <c r="D337" s="14">
        <v>43</v>
      </c>
      <c r="E337" s="15" t="s">
        <v>832</v>
      </c>
      <c r="F337" s="15" t="s">
        <v>406</v>
      </c>
      <c r="G337" s="14" t="s">
        <v>407</v>
      </c>
      <c r="H337" s="14"/>
      <c r="I337" s="14"/>
      <c r="J337" s="16">
        <v>406.09</v>
      </c>
      <c r="K337" s="66">
        <v>321375</v>
      </c>
      <c r="L337" s="66">
        <v>334925</v>
      </c>
      <c r="M337" s="28">
        <v>656300</v>
      </c>
      <c r="N337" s="64">
        <v>2743040</v>
      </c>
      <c r="O337" s="64">
        <v>110116</v>
      </c>
      <c r="P337" s="64">
        <v>46142</v>
      </c>
      <c r="Q337" s="28">
        <v>2899298</v>
      </c>
      <c r="R337" s="62">
        <v>104839</v>
      </c>
      <c r="S337" s="28">
        <v>3660437</v>
      </c>
      <c r="T337" s="81">
        <v>160706</v>
      </c>
      <c r="U337" s="81">
        <v>85182</v>
      </c>
      <c r="V337" s="81">
        <v>0</v>
      </c>
      <c r="W337" s="81">
        <v>0</v>
      </c>
      <c r="X337" s="28">
        <v>3906326</v>
      </c>
      <c r="Y337" s="28">
        <v>353675</v>
      </c>
      <c r="Z337" s="28">
        <v>461151</v>
      </c>
      <c r="AA337" s="28">
        <v>2933575</v>
      </c>
      <c r="AB337" s="28">
        <v>157925</v>
      </c>
      <c r="AC337" s="40" t="s">
        <v>184</v>
      </c>
      <c r="AD337" s="41">
        <v>2887</v>
      </c>
      <c r="AE337" s="42">
        <v>1</v>
      </c>
      <c r="AF337" s="40" t="s">
        <v>406</v>
      </c>
      <c r="AG337" s="68">
        <v>31031.87</v>
      </c>
      <c r="AH337" s="42">
        <v>1</v>
      </c>
      <c r="AI337" s="40" t="s">
        <v>406</v>
      </c>
      <c r="AJ337" s="70">
        <v>0</v>
      </c>
      <c r="AK337" s="72">
        <f t="shared" si="30"/>
        <v>-31031.87</v>
      </c>
      <c r="AL337" s="72">
        <f t="shared" si="31"/>
        <v>0</v>
      </c>
      <c r="AM337">
        <v>-1</v>
      </c>
      <c r="AO337" s="102">
        <f t="shared" si="32"/>
        <v>32300</v>
      </c>
      <c r="AP337" s="103">
        <f t="shared" si="33"/>
        <v>126226</v>
      </c>
      <c r="AQ337" s="101">
        <f t="shared" si="34"/>
        <v>34277</v>
      </c>
      <c r="AR337" s="104">
        <f t="shared" si="35"/>
        <v>53086</v>
      </c>
    </row>
    <row r="338" spans="1:44">
      <c r="A338" s="14" t="s">
        <v>1087</v>
      </c>
      <c r="B338" s="15" t="s">
        <v>1088</v>
      </c>
      <c r="C338" s="14" t="s">
        <v>1220</v>
      </c>
      <c r="D338" s="14">
        <v>6</v>
      </c>
      <c r="E338" s="15" t="s">
        <v>1089</v>
      </c>
      <c r="F338" s="15" t="s">
        <v>408</v>
      </c>
      <c r="G338" s="14" t="s">
        <v>409</v>
      </c>
      <c r="H338" s="14"/>
      <c r="I338" s="14"/>
      <c r="J338" s="16">
        <v>408.68</v>
      </c>
      <c r="K338" s="66">
        <v>216183</v>
      </c>
      <c r="L338" s="66">
        <v>203858</v>
      </c>
      <c r="M338" s="28">
        <v>420041</v>
      </c>
      <c r="N338" s="64">
        <v>3209780</v>
      </c>
      <c r="O338" s="64">
        <v>136013</v>
      </c>
      <c r="P338" s="64">
        <v>4</v>
      </c>
      <c r="Q338" s="28">
        <v>3345797</v>
      </c>
      <c r="R338" s="62">
        <v>179709</v>
      </c>
      <c r="S338" s="28">
        <v>3945547</v>
      </c>
      <c r="T338" s="81">
        <v>198800</v>
      </c>
      <c r="U338" s="81">
        <v>58761</v>
      </c>
      <c r="V338" s="81">
        <v>22600</v>
      </c>
      <c r="W338" s="81">
        <v>201918</v>
      </c>
      <c r="X338" s="28">
        <v>4427627</v>
      </c>
      <c r="Y338" s="28">
        <v>406503</v>
      </c>
      <c r="Z338" s="28">
        <v>359299</v>
      </c>
      <c r="AA338" s="28">
        <v>3389784</v>
      </c>
      <c r="AB338" s="28">
        <v>272041</v>
      </c>
      <c r="AC338" s="40" t="s">
        <v>184</v>
      </c>
      <c r="AD338" s="41">
        <v>2888</v>
      </c>
      <c r="AE338" s="42">
        <v>1</v>
      </c>
      <c r="AF338" s="40" t="s">
        <v>408</v>
      </c>
      <c r="AG338" s="68">
        <v>32227.55</v>
      </c>
      <c r="AH338" s="42">
        <v>1</v>
      </c>
      <c r="AI338" s="40" t="s">
        <v>408</v>
      </c>
      <c r="AJ338" s="70">
        <v>0</v>
      </c>
      <c r="AK338" s="72">
        <f t="shared" si="30"/>
        <v>-32227.55</v>
      </c>
      <c r="AL338" s="72">
        <f t="shared" si="31"/>
        <v>0</v>
      </c>
      <c r="AM338">
        <v>-1</v>
      </c>
      <c r="AO338" s="102">
        <f t="shared" si="32"/>
        <v>190320</v>
      </c>
      <c r="AP338" s="103">
        <f t="shared" si="33"/>
        <v>155441</v>
      </c>
      <c r="AQ338" s="101">
        <f t="shared" si="34"/>
        <v>43987</v>
      </c>
      <c r="AR338" s="104">
        <f t="shared" si="35"/>
        <v>92332</v>
      </c>
    </row>
    <row r="339" spans="1:44">
      <c r="A339" s="14" t="s">
        <v>1249</v>
      </c>
      <c r="B339" s="15" t="s">
        <v>1250</v>
      </c>
      <c r="C339" s="14" t="s">
        <v>1220</v>
      </c>
      <c r="D339" s="14">
        <v>3</v>
      </c>
      <c r="E339" s="15" t="s">
        <v>1251</v>
      </c>
      <c r="F339" s="15" t="s">
        <v>410</v>
      </c>
      <c r="G339" s="14" t="s">
        <v>411</v>
      </c>
      <c r="H339" s="14"/>
      <c r="I339" s="14"/>
      <c r="J339" s="16">
        <v>645.01</v>
      </c>
      <c r="K339" s="66">
        <v>691730</v>
      </c>
      <c r="L339" s="66">
        <v>445195</v>
      </c>
      <c r="M339" s="28">
        <v>1136925</v>
      </c>
      <c r="N339" s="64">
        <v>4124114</v>
      </c>
      <c r="O339" s="64">
        <v>213899</v>
      </c>
      <c r="P339" s="64">
        <v>177743</v>
      </c>
      <c r="Q339" s="28">
        <v>4515756</v>
      </c>
      <c r="R339" s="62">
        <v>157949</v>
      </c>
      <c r="S339" s="28">
        <v>5810630</v>
      </c>
      <c r="T339" s="81">
        <v>267858</v>
      </c>
      <c r="U339" s="81">
        <v>147022</v>
      </c>
      <c r="V339" s="81">
        <v>0</v>
      </c>
      <c r="W339" s="81">
        <v>0</v>
      </c>
      <c r="X339" s="28">
        <v>6225509</v>
      </c>
      <c r="Y339" s="28">
        <v>753808</v>
      </c>
      <c r="Z339" s="28">
        <v>649854</v>
      </c>
      <c r="AA339" s="28">
        <v>4550495</v>
      </c>
      <c r="AB339" s="28">
        <v>271352</v>
      </c>
      <c r="AC339" s="40" t="s">
        <v>184</v>
      </c>
      <c r="AD339" s="41">
        <v>2889</v>
      </c>
      <c r="AE339" s="42">
        <v>1</v>
      </c>
      <c r="AF339" s="40" t="s">
        <v>410</v>
      </c>
      <c r="AG339" s="68">
        <v>58736.27</v>
      </c>
      <c r="AH339" s="42">
        <v>1</v>
      </c>
      <c r="AI339" s="40" t="s">
        <v>410</v>
      </c>
      <c r="AJ339" s="70">
        <v>0</v>
      </c>
      <c r="AK339" s="72">
        <f t="shared" si="30"/>
        <v>-58736.27</v>
      </c>
      <c r="AL339" s="72">
        <f t="shared" si="31"/>
        <v>0</v>
      </c>
      <c r="AM339">
        <v>-1</v>
      </c>
      <c r="AO339" s="102">
        <f t="shared" si="32"/>
        <v>62078</v>
      </c>
      <c r="AP339" s="103">
        <f t="shared" si="33"/>
        <v>204659</v>
      </c>
      <c r="AQ339" s="101">
        <f t="shared" si="34"/>
        <v>34739</v>
      </c>
      <c r="AR339" s="104">
        <f t="shared" si="35"/>
        <v>113403</v>
      </c>
    </row>
    <row r="340" spans="1:44">
      <c r="A340" s="14" t="s">
        <v>954</v>
      </c>
      <c r="B340" s="15" t="s">
        <v>955</v>
      </c>
      <c r="C340" s="14" t="s">
        <v>1220</v>
      </c>
      <c r="D340" s="14">
        <v>65</v>
      </c>
      <c r="E340" s="15" t="s">
        <v>487</v>
      </c>
      <c r="F340" s="15" t="s">
        <v>412</v>
      </c>
      <c r="G340" s="14" t="s">
        <v>413</v>
      </c>
      <c r="H340" s="14"/>
      <c r="I340" s="14"/>
      <c r="J340" s="16">
        <v>607.63</v>
      </c>
      <c r="K340" s="66">
        <v>434272</v>
      </c>
      <c r="L340" s="66">
        <v>215287</v>
      </c>
      <c r="M340" s="28">
        <v>649559</v>
      </c>
      <c r="N340" s="64">
        <v>4524384</v>
      </c>
      <c r="O340" s="64">
        <v>177053</v>
      </c>
      <c r="P340" s="64">
        <v>46004</v>
      </c>
      <c r="Q340" s="28">
        <v>4747441</v>
      </c>
      <c r="R340" s="62">
        <v>459501</v>
      </c>
      <c r="S340" s="28">
        <v>5856501</v>
      </c>
      <c r="T340" s="81">
        <v>270031</v>
      </c>
      <c r="U340" s="81">
        <v>161425</v>
      </c>
      <c r="V340" s="81">
        <v>0</v>
      </c>
      <c r="W340" s="81">
        <v>0</v>
      </c>
      <c r="X340" s="28">
        <v>6287957</v>
      </c>
      <c r="Y340" s="28">
        <v>483449</v>
      </c>
      <c r="Z340" s="28">
        <v>424310</v>
      </c>
      <c r="AA340" s="28">
        <v>4790816</v>
      </c>
      <c r="AB340" s="28">
        <v>589383</v>
      </c>
      <c r="AC340" s="40" t="s">
        <v>184</v>
      </c>
      <c r="AD340" s="41">
        <v>2890</v>
      </c>
      <c r="AE340" s="42">
        <v>1</v>
      </c>
      <c r="AF340" s="40" t="s">
        <v>412</v>
      </c>
      <c r="AG340" s="68">
        <v>49495.18</v>
      </c>
      <c r="AH340" s="42">
        <v>1</v>
      </c>
      <c r="AI340" s="40" t="s">
        <v>412</v>
      </c>
      <c r="AJ340" s="70">
        <v>0</v>
      </c>
      <c r="AK340" s="72">
        <f t="shared" si="30"/>
        <v>-49495.18</v>
      </c>
      <c r="AL340" s="72">
        <f t="shared" si="31"/>
        <v>0</v>
      </c>
      <c r="AM340">
        <v>-1</v>
      </c>
      <c r="AO340" s="102">
        <f t="shared" si="32"/>
        <v>49177</v>
      </c>
      <c r="AP340" s="103">
        <f t="shared" si="33"/>
        <v>209023</v>
      </c>
      <c r="AQ340" s="101">
        <f t="shared" si="34"/>
        <v>43375</v>
      </c>
      <c r="AR340" s="104">
        <f t="shared" si="35"/>
        <v>129882</v>
      </c>
    </row>
    <row r="341" spans="1:44">
      <c r="A341" s="14" t="s">
        <v>1166</v>
      </c>
      <c r="B341" s="15" t="s">
        <v>1167</v>
      </c>
      <c r="C341" s="14" t="s">
        <v>1220</v>
      </c>
      <c r="D341" s="14">
        <v>32</v>
      </c>
      <c r="E341" s="15" t="s">
        <v>946</v>
      </c>
      <c r="F341" s="15" t="s">
        <v>414</v>
      </c>
      <c r="G341" s="14" t="s">
        <v>415</v>
      </c>
      <c r="H341" s="14"/>
      <c r="I341" s="14"/>
      <c r="J341" s="16">
        <v>1210.6500000000001</v>
      </c>
      <c r="K341" s="66">
        <v>437711</v>
      </c>
      <c r="L341" s="66">
        <v>537634</v>
      </c>
      <c r="M341" s="28">
        <v>975345</v>
      </c>
      <c r="N341" s="64">
        <v>7872261</v>
      </c>
      <c r="O341" s="64">
        <v>449208</v>
      </c>
      <c r="P341" s="64">
        <v>157482</v>
      </c>
      <c r="Q341" s="28">
        <v>8478951</v>
      </c>
      <c r="R341" s="62">
        <v>242700</v>
      </c>
      <c r="S341" s="28">
        <v>9696996</v>
      </c>
      <c r="T341" s="81">
        <v>520490</v>
      </c>
      <c r="U341" s="81">
        <v>417877</v>
      </c>
      <c r="V341" s="81">
        <v>4700</v>
      </c>
      <c r="W341" s="81">
        <v>2000385</v>
      </c>
      <c r="X341" s="28">
        <v>12640449</v>
      </c>
      <c r="Y341" s="28">
        <v>1996419</v>
      </c>
      <c r="Z341" s="28">
        <v>1429525</v>
      </c>
      <c r="AA341" s="28">
        <v>8760838</v>
      </c>
      <c r="AB341" s="28">
        <v>453667</v>
      </c>
      <c r="AC341" s="40" t="s">
        <v>184</v>
      </c>
      <c r="AD341" s="41">
        <v>2895</v>
      </c>
      <c r="AE341" s="42">
        <v>1</v>
      </c>
      <c r="AF341" s="40" t="s">
        <v>414</v>
      </c>
      <c r="AG341" s="68">
        <v>83593.97</v>
      </c>
      <c r="AH341" s="42">
        <v>1</v>
      </c>
      <c r="AI341" s="40" t="s">
        <v>414</v>
      </c>
      <c r="AJ341" s="70">
        <v>0</v>
      </c>
      <c r="AK341" s="72">
        <f t="shared" si="30"/>
        <v>-83593.97</v>
      </c>
      <c r="AL341" s="72">
        <f t="shared" si="31"/>
        <v>0</v>
      </c>
      <c r="AM341">
        <v>-1</v>
      </c>
      <c r="AO341" s="102">
        <f t="shared" si="32"/>
        <v>1558708</v>
      </c>
      <c r="AP341" s="103">
        <f t="shared" si="33"/>
        <v>891891</v>
      </c>
      <c r="AQ341" s="101">
        <f t="shared" si="34"/>
        <v>281887</v>
      </c>
      <c r="AR341" s="104">
        <f t="shared" si="35"/>
        <v>210967</v>
      </c>
    </row>
    <row r="342" spans="1:44">
      <c r="A342" s="14" t="s">
        <v>1166</v>
      </c>
      <c r="B342" s="15" t="s">
        <v>1167</v>
      </c>
      <c r="C342" s="14" t="s">
        <v>1220</v>
      </c>
      <c r="D342" s="14">
        <v>64</v>
      </c>
      <c r="E342" s="15" t="s">
        <v>803</v>
      </c>
      <c r="F342" s="15" t="s">
        <v>416</v>
      </c>
      <c r="G342" s="14" t="s">
        <v>417</v>
      </c>
      <c r="H342" s="14"/>
      <c r="I342" s="14"/>
      <c r="J342" s="16">
        <v>1284.2</v>
      </c>
      <c r="K342" s="66">
        <v>391311</v>
      </c>
      <c r="L342" s="66">
        <v>650854</v>
      </c>
      <c r="M342" s="28">
        <v>1042165</v>
      </c>
      <c r="N342" s="64">
        <v>8595613</v>
      </c>
      <c r="O342" s="64">
        <v>642447</v>
      </c>
      <c r="P342" s="64">
        <v>115136</v>
      </c>
      <c r="Q342" s="28">
        <v>9353196</v>
      </c>
      <c r="R342" s="62">
        <v>594767</v>
      </c>
      <c r="S342" s="28">
        <v>10990128</v>
      </c>
      <c r="T342" s="81">
        <v>604990</v>
      </c>
      <c r="U342" s="81">
        <v>278706</v>
      </c>
      <c r="V342" s="81">
        <v>1943</v>
      </c>
      <c r="W342" s="81">
        <v>1333938</v>
      </c>
      <c r="X342" s="28">
        <v>13209705</v>
      </c>
      <c r="Y342" s="28">
        <v>1581725</v>
      </c>
      <c r="Z342" s="28">
        <v>1121451</v>
      </c>
      <c r="AA342" s="28">
        <v>9692532</v>
      </c>
      <c r="AB342" s="28">
        <v>813997</v>
      </c>
      <c r="AC342" s="40" t="s">
        <v>184</v>
      </c>
      <c r="AD342" s="41">
        <v>2897</v>
      </c>
      <c r="AE342" s="42">
        <v>1</v>
      </c>
      <c r="AF342" s="40" t="s">
        <v>416</v>
      </c>
      <c r="AG342" s="68">
        <v>134682.20000000001</v>
      </c>
      <c r="AH342" s="42">
        <v>1</v>
      </c>
      <c r="AI342" s="40" t="s">
        <v>416</v>
      </c>
      <c r="AJ342" s="70">
        <v>10000</v>
      </c>
      <c r="AK342" s="72">
        <f t="shared" si="30"/>
        <v>-134682.20000000001</v>
      </c>
      <c r="AL342" s="72">
        <f t="shared" si="31"/>
        <v>-10000</v>
      </c>
      <c r="AM342">
        <v>-1</v>
      </c>
      <c r="AO342" s="102">
        <f t="shared" si="32"/>
        <v>1190414</v>
      </c>
      <c r="AP342" s="103">
        <f t="shared" si="33"/>
        <v>470597</v>
      </c>
      <c r="AQ342" s="101">
        <f t="shared" si="34"/>
        <v>339336</v>
      </c>
      <c r="AR342" s="104">
        <f t="shared" si="35"/>
        <v>219230</v>
      </c>
    </row>
    <row r="343" spans="1:44">
      <c r="A343" s="14" t="s">
        <v>1166</v>
      </c>
      <c r="B343" s="15" t="s">
        <v>1167</v>
      </c>
      <c r="C343" s="14" t="s">
        <v>1220</v>
      </c>
      <c r="D343" s="14">
        <v>17</v>
      </c>
      <c r="E343" s="15" t="s">
        <v>1168</v>
      </c>
      <c r="F343" s="15" t="s">
        <v>418</v>
      </c>
      <c r="G343" s="14" t="s">
        <v>419</v>
      </c>
      <c r="H343" s="14"/>
      <c r="I343" s="14"/>
      <c r="J343" s="16">
        <v>563.48</v>
      </c>
      <c r="K343" s="66">
        <v>263689</v>
      </c>
      <c r="L343" s="66">
        <v>326543</v>
      </c>
      <c r="M343" s="28">
        <v>590232</v>
      </c>
      <c r="N343" s="64">
        <v>4500476</v>
      </c>
      <c r="O343" s="64">
        <v>78955</v>
      </c>
      <c r="P343" s="64">
        <v>89216</v>
      </c>
      <c r="Q343" s="28">
        <v>4668647</v>
      </c>
      <c r="R343" s="62">
        <v>132174</v>
      </c>
      <c r="S343" s="28">
        <v>5391053</v>
      </c>
      <c r="T343" s="81">
        <v>274630</v>
      </c>
      <c r="U343" s="81">
        <v>94730</v>
      </c>
      <c r="V343" s="81">
        <v>0</v>
      </c>
      <c r="W343" s="81">
        <v>0</v>
      </c>
      <c r="X343" s="28">
        <v>5760413</v>
      </c>
      <c r="Y343" s="28">
        <v>292751</v>
      </c>
      <c r="Z343" s="28">
        <v>473453</v>
      </c>
      <c r="AA343" s="28">
        <v>4697101</v>
      </c>
      <c r="AB343" s="28">
        <v>297108</v>
      </c>
      <c r="AC343" s="40" t="s">
        <v>184</v>
      </c>
      <c r="AD343" s="41">
        <v>2898</v>
      </c>
      <c r="AE343" s="42">
        <v>1</v>
      </c>
      <c r="AF343" s="40" t="s">
        <v>418</v>
      </c>
      <c r="AG343" s="68">
        <v>27431.8</v>
      </c>
      <c r="AH343" s="42">
        <v>1</v>
      </c>
      <c r="AI343" s="40" t="s">
        <v>418</v>
      </c>
      <c r="AJ343" s="70">
        <v>0</v>
      </c>
      <c r="AK343" s="72">
        <f t="shared" si="30"/>
        <v>-27431.8</v>
      </c>
      <c r="AL343" s="72">
        <f t="shared" si="31"/>
        <v>0</v>
      </c>
      <c r="AM343">
        <v>-1</v>
      </c>
      <c r="AO343" s="102">
        <f t="shared" si="32"/>
        <v>29062</v>
      </c>
      <c r="AP343" s="103">
        <f t="shared" si="33"/>
        <v>146910</v>
      </c>
      <c r="AQ343" s="101">
        <f t="shared" si="34"/>
        <v>28454</v>
      </c>
      <c r="AR343" s="104">
        <f t="shared" si="35"/>
        <v>164934</v>
      </c>
    </row>
    <row r="344" spans="1:44">
      <c r="A344" s="14" t="s">
        <v>1017</v>
      </c>
      <c r="B344" s="15" t="s">
        <v>1018</v>
      </c>
      <c r="C344" s="14" t="s">
        <v>1220</v>
      </c>
      <c r="D344" s="14">
        <v>79</v>
      </c>
      <c r="E344" s="15" t="s">
        <v>566</v>
      </c>
      <c r="F344" s="15" t="s">
        <v>420</v>
      </c>
      <c r="G344" s="14" t="s">
        <v>421</v>
      </c>
      <c r="H344" s="14"/>
      <c r="I344" s="14"/>
      <c r="J344" s="16">
        <v>1569.31</v>
      </c>
      <c r="K344" s="66">
        <v>662401</v>
      </c>
      <c r="L344" s="66">
        <v>705077</v>
      </c>
      <c r="M344" s="28">
        <v>1367478</v>
      </c>
      <c r="N344" s="64">
        <v>10099329</v>
      </c>
      <c r="O344" s="64">
        <v>613792</v>
      </c>
      <c r="P344" s="64">
        <v>348668</v>
      </c>
      <c r="Q344" s="28">
        <v>11061789</v>
      </c>
      <c r="R344" s="62">
        <v>163837</v>
      </c>
      <c r="S344" s="28">
        <v>12593104</v>
      </c>
      <c r="T344" s="81">
        <v>583901</v>
      </c>
      <c r="U344" s="81">
        <v>419660</v>
      </c>
      <c r="V344" s="81">
        <v>196451</v>
      </c>
      <c r="W344" s="81">
        <v>1605819</v>
      </c>
      <c r="X344" s="28">
        <v>15398935</v>
      </c>
      <c r="Y344" s="28">
        <v>2024368</v>
      </c>
      <c r="Z344" s="28">
        <v>1749111</v>
      </c>
      <c r="AA344" s="28">
        <v>11298057</v>
      </c>
      <c r="AB344" s="28">
        <v>327399</v>
      </c>
      <c r="AC344" s="40" t="s">
        <v>184</v>
      </c>
      <c r="AD344" s="41">
        <v>2899</v>
      </c>
      <c r="AE344" s="42">
        <v>1</v>
      </c>
      <c r="AF344" s="40" t="s">
        <v>420</v>
      </c>
      <c r="AG344" s="68">
        <v>122235.56</v>
      </c>
      <c r="AH344" s="42">
        <v>1</v>
      </c>
      <c r="AI344" s="40" t="s">
        <v>420</v>
      </c>
      <c r="AJ344" s="70">
        <v>6138.37</v>
      </c>
      <c r="AK344" s="72">
        <f t="shared" si="30"/>
        <v>-122235.56</v>
      </c>
      <c r="AL344" s="72">
        <f t="shared" si="31"/>
        <v>-6138.37</v>
      </c>
      <c r="AM344">
        <v>-1</v>
      </c>
      <c r="AO344" s="102">
        <f t="shared" si="32"/>
        <v>1361967</v>
      </c>
      <c r="AP344" s="103">
        <f t="shared" si="33"/>
        <v>1044034</v>
      </c>
      <c r="AQ344" s="101">
        <f t="shared" si="34"/>
        <v>236268</v>
      </c>
      <c r="AR344" s="104">
        <f t="shared" si="35"/>
        <v>163562</v>
      </c>
    </row>
    <row r="345" spans="1:44">
      <c r="A345" s="14" t="s">
        <v>1166</v>
      </c>
      <c r="B345" s="15" t="s">
        <v>1167</v>
      </c>
      <c r="C345" s="14" t="s">
        <v>1220</v>
      </c>
      <c r="D345" s="14">
        <v>41</v>
      </c>
      <c r="E345" s="15" t="s">
        <v>814</v>
      </c>
      <c r="F345" s="15" t="s">
        <v>422</v>
      </c>
      <c r="G345" s="14" t="s">
        <v>423</v>
      </c>
      <c r="H345" s="14"/>
      <c r="I345" s="14"/>
      <c r="J345" s="16">
        <v>564.36</v>
      </c>
      <c r="K345" s="66">
        <v>406449</v>
      </c>
      <c r="L345" s="66">
        <v>300075</v>
      </c>
      <c r="M345" s="28">
        <v>706524</v>
      </c>
      <c r="N345" s="64">
        <v>3790735</v>
      </c>
      <c r="O345" s="64">
        <v>148612</v>
      </c>
      <c r="P345" s="64">
        <v>338771</v>
      </c>
      <c r="Q345" s="28">
        <v>4278118</v>
      </c>
      <c r="R345" s="62">
        <v>388758</v>
      </c>
      <c r="S345" s="28">
        <v>5373400</v>
      </c>
      <c r="T345" s="81">
        <v>281159</v>
      </c>
      <c r="U345" s="81">
        <v>97801</v>
      </c>
      <c r="V345" s="81">
        <v>0</v>
      </c>
      <c r="W345" s="81">
        <v>62577</v>
      </c>
      <c r="X345" s="28">
        <v>5814939</v>
      </c>
      <c r="Y345" s="28">
        <v>503607</v>
      </c>
      <c r="Z345" s="28">
        <v>480585</v>
      </c>
      <c r="AA345" s="28">
        <v>4329076</v>
      </c>
      <c r="AB345" s="28">
        <v>501671</v>
      </c>
      <c r="AC345" s="40" t="s">
        <v>184</v>
      </c>
      <c r="AD345" s="41">
        <v>2902</v>
      </c>
      <c r="AE345" s="42">
        <v>1</v>
      </c>
      <c r="AF345" s="40" t="s">
        <v>422</v>
      </c>
      <c r="AG345" s="68">
        <v>46641.83</v>
      </c>
      <c r="AH345" s="42">
        <v>1</v>
      </c>
      <c r="AI345" s="40" t="s">
        <v>422</v>
      </c>
      <c r="AJ345" s="70">
        <v>0</v>
      </c>
      <c r="AK345" s="72">
        <f t="shared" si="30"/>
        <v>-46641.83</v>
      </c>
      <c r="AL345" s="72">
        <f t="shared" si="31"/>
        <v>0</v>
      </c>
      <c r="AM345">
        <v>-1</v>
      </c>
      <c r="AO345" s="102">
        <f t="shared" si="32"/>
        <v>97158</v>
      </c>
      <c r="AP345" s="103">
        <f t="shared" si="33"/>
        <v>180510</v>
      </c>
      <c r="AQ345" s="101">
        <f t="shared" si="34"/>
        <v>50958</v>
      </c>
      <c r="AR345" s="104">
        <f t="shared" si="35"/>
        <v>112913</v>
      </c>
    </row>
    <row r="346" spans="1:44">
      <c r="A346" s="50" t="s">
        <v>1224</v>
      </c>
      <c r="B346" s="51" t="s">
        <v>1225</v>
      </c>
      <c r="C346" s="50" t="s">
        <v>424</v>
      </c>
      <c r="D346" s="50">
        <v>62</v>
      </c>
      <c r="E346" s="51" t="s">
        <v>785</v>
      </c>
      <c r="F346" s="51" t="s">
        <v>346</v>
      </c>
      <c r="G346" s="50" t="s">
        <v>347</v>
      </c>
      <c r="H346" s="52" t="s">
        <v>178</v>
      </c>
      <c r="I346" s="52" t="s">
        <v>190</v>
      </c>
      <c r="J346" s="53">
        <v>262.75</v>
      </c>
      <c r="K346" s="66">
        <v>0</v>
      </c>
      <c r="L346" s="66">
        <v>47885</v>
      </c>
      <c r="M346" s="54">
        <v>47885</v>
      </c>
      <c r="N346" s="64">
        <v>2086879</v>
      </c>
      <c r="O346" s="64">
        <v>198549</v>
      </c>
      <c r="P346" s="64">
        <v>270454</v>
      </c>
      <c r="Q346" s="54">
        <v>2555882</v>
      </c>
      <c r="R346" s="62">
        <v>184592</v>
      </c>
      <c r="S346" s="54">
        <v>2788359</v>
      </c>
      <c r="T346" s="81">
        <v>146884</v>
      </c>
      <c r="U346" s="81">
        <v>0</v>
      </c>
      <c r="V346" s="81">
        <v>0</v>
      </c>
      <c r="W346" s="81">
        <v>0</v>
      </c>
      <c r="X346" s="54">
        <v>2935244</v>
      </c>
      <c r="Y346" s="54">
        <v>0</v>
      </c>
      <c r="Z346" s="54">
        <v>51947</v>
      </c>
      <c r="AA346" s="54">
        <v>2564036</v>
      </c>
      <c r="AB346" s="54">
        <v>319261</v>
      </c>
      <c r="AC346" s="55" t="s">
        <v>184</v>
      </c>
      <c r="AD346" s="56">
        <v>4073</v>
      </c>
      <c r="AE346" s="57">
        <v>7</v>
      </c>
      <c r="AF346" s="55" t="s">
        <v>346</v>
      </c>
      <c r="AG346" s="69">
        <v>0</v>
      </c>
      <c r="AH346" s="57">
        <v>7</v>
      </c>
      <c r="AI346" s="55" t="s">
        <v>346</v>
      </c>
      <c r="AJ346" s="71">
        <v>0</v>
      </c>
      <c r="AK346" s="72">
        <f t="shared" si="30"/>
        <v>0</v>
      </c>
      <c r="AL346" s="72">
        <f t="shared" si="31"/>
        <v>0</v>
      </c>
      <c r="AM346">
        <v>-1</v>
      </c>
      <c r="AO346" s="102">
        <f t="shared" si="32"/>
        <v>0</v>
      </c>
      <c r="AP346" s="103">
        <f t="shared" si="33"/>
        <v>4062</v>
      </c>
      <c r="AQ346" s="101">
        <f t="shared" si="34"/>
        <v>8154</v>
      </c>
      <c r="AR346" s="104">
        <f t="shared" si="35"/>
        <v>134669</v>
      </c>
    </row>
    <row r="347" spans="1:44">
      <c r="A347" s="50" t="s">
        <v>1017</v>
      </c>
      <c r="B347" s="51" t="s">
        <v>1018</v>
      </c>
      <c r="C347" s="50" t="s">
        <v>424</v>
      </c>
      <c r="D347" s="50">
        <v>85</v>
      </c>
      <c r="E347" s="51" t="s">
        <v>606</v>
      </c>
      <c r="F347" s="51" t="s">
        <v>110</v>
      </c>
      <c r="G347" s="50" t="s">
        <v>111</v>
      </c>
      <c r="H347" s="52" t="s">
        <v>178</v>
      </c>
      <c r="I347" s="52" t="s">
        <v>191</v>
      </c>
      <c r="J347" s="53">
        <v>157.75</v>
      </c>
      <c r="K347" s="66">
        <v>0</v>
      </c>
      <c r="L347" s="66">
        <v>17595</v>
      </c>
      <c r="M347" s="54">
        <v>17595</v>
      </c>
      <c r="N347" s="64">
        <v>1119571</v>
      </c>
      <c r="O347" s="64">
        <v>81301</v>
      </c>
      <c r="P347" s="64">
        <v>330392</v>
      </c>
      <c r="Q347" s="54">
        <v>1531264</v>
      </c>
      <c r="R347" s="62">
        <v>233166</v>
      </c>
      <c r="S347" s="54">
        <v>1782025</v>
      </c>
      <c r="T347" s="81">
        <v>62354</v>
      </c>
      <c r="U347" s="81">
        <v>0</v>
      </c>
      <c r="V347" s="81">
        <v>0</v>
      </c>
      <c r="W347" s="81">
        <v>0</v>
      </c>
      <c r="X347" s="54">
        <v>1844380</v>
      </c>
      <c r="Y347" s="54">
        <v>0</v>
      </c>
      <c r="Z347" s="54">
        <v>42665</v>
      </c>
      <c r="AA347" s="54">
        <v>1534220</v>
      </c>
      <c r="AB347" s="54">
        <v>267495</v>
      </c>
      <c r="AC347" s="55" t="s">
        <v>184</v>
      </c>
      <c r="AD347" s="56">
        <v>4148</v>
      </c>
      <c r="AE347" s="57">
        <v>7</v>
      </c>
      <c r="AF347" s="55" t="s">
        <v>110</v>
      </c>
      <c r="AG347" s="69">
        <v>0</v>
      </c>
      <c r="AH347" s="57">
        <v>7</v>
      </c>
      <c r="AI347" s="55" t="s">
        <v>110</v>
      </c>
      <c r="AJ347" s="71">
        <v>0</v>
      </c>
      <c r="AK347" s="72">
        <f t="shared" si="30"/>
        <v>0</v>
      </c>
      <c r="AL347" s="72">
        <f t="shared" si="31"/>
        <v>0</v>
      </c>
      <c r="AM347">
        <v>-1</v>
      </c>
      <c r="AO347" s="102">
        <f t="shared" si="32"/>
        <v>0</v>
      </c>
      <c r="AP347" s="103">
        <f t="shared" si="33"/>
        <v>25070</v>
      </c>
      <c r="AQ347" s="101">
        <f t="shared" si="34"/>
        <v>2956</v>
      </c>
      <c r="AR347" s="104">
        <f t="shared" si="35"/>
        <v>34329</v>
      </c>
    </row>
    <row r="348" spans="1:44">
      <c r="A348" s="50" t="s">
        <v>1224</v>
      </c>
      <c r="B348" s="51" t="s">
        <v>1225</v>
      </c>
      <c r="C348" s="50" t="s">
        <v>424</v>
      </c>
      <c r="D348" s="50">
        <v>82</v>
      </c>
      <c r="E348" s="51" t="s">
        <v>583</v>
      </c>
      <c r="F348" s="51" t="s">
        <v>451</v>
      </c>
      <c r="G348" s="50" t="s">
        <v>452</v>
      </c>
      <c r="H348" s="52" t="s">
        <v>178</v>
      </c>
      <c r="I348" s="52" t="s">
        <v>190</v>
      </c>
      <c r="J348" s="53">
        <v>409.08</v>
      </c>
      <c r="K348" s="66">
        <v>0</v>
      </c>
      <c r="L348" s="66">
        <v>89030</v>
      </c>
      <c r="M348" s="54">
        <v>89030</v>
      </c>
      <c r="N348" s="64">
        <v>3228896</v>
      </c>
      <c r="O348" s="64">
        <v>182561</v>
      </c>
      <c r="P348" s="64">
        <v>598530</v>
      </c>
      <c r="Q348" s="54">
        <v>4009987</v>
      </c>
      <c r="R348" s="62">
        <v>227280</v>
      </c>
      <c r="S348" s="54">
        <v>4326297</v>
      </c>
      <c r="T348" s="81">
        <v>0</v>
      </c>
      <c r="U348" s="81">
        <v>24975</v>
      </c>
      <c r="V348" s="81">
        <v>0</v>
      </c>
      <c r="W348" s="81">
        <v>0</v>
      </c>
      <c r="X348" s="54">
        <v>4351272</v>
      </c>
      <c r="Y348" s="54">
        <v>0</v>
      </c>
      <c r="Z348" s="54">
        <v>114005</v>
      </c>
      <c r="AA348" s="54">
        <v>4009987</v>
      </c>
      <c r="AB348" s="54">
        <v>227280</v>
      </c>
      <c r="AC348" s="55" t="s">
        <v>184</v>
      </c>
      <c r="AD348" s="56">
        <v>4018</v>
      </c>
      <c r="AE348" s="57">
        <v>7</v>
      </c>
      <c r="AF348" s="55" t="s">
        <v>451</v>
      </c>
      <c r="AG348" s="69">
        <v>0</v>
      </c>
      <c r="AH348" s="57">
        <v>7</v>
      </c>
      <c r="AI348" s="55" t="s">
        <v>451</v>
      </c>
      <c r="AJ348" s="71">
        <v>0</v>
      </c>
      <c r="AK348" s="72">
        <f t="shared" si="30"/>
        <v>0</v>
      </c>
      <c r="AL348" s="72">
        <f t="shared" si="31"/>
        <v>0</v>
      </c>
      <c r="AM348">
        <v>-1</v>
      </c>
      <c r="AO348" s="102">
        <f t="shared" si="32"/>
        <v>0</v>
      </c>
      <c r="AP348" s="103">
        <f t="shared" si="33"/>
        <v>24975</v>
      </c>
      <c r="AQ348" s="101">
        <f t="shared" si="34"/>
        <v>0</v>
      </c>
      <c r="AR348" s="104">
        <f t="shared" si="35"/>
        <v>0</v>
      </c>
    </row>
    <row r="349" spans="1:44">
      <c r="A349" s="50" t="s">
        <v>1224</v>
      </c>
      <c r="B349" s="51" t="s">
        <v>1225</v>
      </c>
      <c r="C349" s="50" t="s">
        <v>424</v>
      </c>
      <c r="D349" s="50">
        <v>27</v>
      </c>
      <c r="E349" s="51" t="s">
        <v>1227</v>
      </c>
      <c r="F349" s="51" t="s">
        <v>272</v>
      </c>
      <c r="G349" s="50" t="s">
        <v>273</v>
      </c>
      <c r="H349" s="52" t="s">
        <v>178</v>
      </c>
      <c r="I349" s="50" t="s">
        <v>191</v>
      </c>
      <c r="J349" s="53">
        <v>112.29</v>
      </c>
      <c r="K349" s="66">
        <v>0</v>
      </c>
      <c r="L349" s="66">
        <v>1278</v>
      </c>
      <c r="M349" s="54">
        <v>1278</v>
      </c>
      <c r="N349" s="64">
        <v>1080750</v>
      </c>
      <c r="O349" s="64">
        <v>19392</v>
      </c>
      <c r="P349" s="64">
        <v>266690</v>
      </c>
      <c r="Q349" s="54">
        <v>1366832</v>
      </c>
      <c r="R349" s="62">
        <v>176006</v>
      </c>
      <c r="S349" s="54">
        <v>1544116</v>
      </c>
      <c r="T349" s="81">
        <v>67570</v>
      </c>
      <c r="U349" s="81">
        <v>0</v>
      </c>
      <c r="V349" s="81">
        <v>0</v>
      </c>
      <c r="W349" s="81">
        <v>0</v>
      </c>
      <c r="X349" s="54">
        <v>1611686</v>
      </c>
      <c r="Y349" s="54">
        <v>0</v>
      </c>
      <c r="Z349" s="54">
        <v>1278</v>
      </c>
      <c r="AA349" s="54">
        <v>1368860</v>
      </c>
      <c r="AB349" s="54">
        <v>241548</v>
      </c>
      <c r="AC349" s="55" t="s">
        <v>184</v>
      </c>
      <c r="AD349" s="56">
        <v>4135</v>
      </c>
      <c r="AE349" s="57">
        <v>7</v>
      </c>
      <c r="AF349" s="55" t="s">
        <v>272</v>
      </c>
      <c r="AG349" s="69">
        <v>0</v>
      </c>
      <c r="AH349" s="57">
        <v>7</v>
      </c>
      <c r="AI349" s="55" t="s">
        <v>272</v>
      </c>
      <c r="AJ349" s="71">
        <v>0</v>
      </c>
      <c r="AK349" s="72">
        <f t="shared" si="30"/>
        <v>0</v>
      </c>
      <c r="AL349" s="72">
        <f t="shared" si="31"/>
        <v>0</v>
      </c>
      <c r="AM349">
        <v>-1</v>
      </c>
      <c r="AO349" s="102">
        <f t="shared" si="32"/>
        <v>0</v>
      </c>
      <c r="AP349" s="103">
        <f t="shared" si="33"/>
        <v>0</v>
      </c>
      <c r="AQ349" s="101">
        <f t="shared" si="34"/>
        <v>2028</v>
      </c>
      <c r="AR349" s="104">
        <f t="shared" si="35"/>
        <v>65542</v>
      </c>
    </row>
    <row r="350" spans="1:44">
      <c r="A350" s="50" t="s">
        <v>1224</v>
      </c>
      <c r="B350" s="51" t="s">
        <v>1225</v>
      </c>
      <c r="C350" s="50" t="s">
        <v>424</v>
      </c>
      <c r="D350" s="50">
        <v>62</v>
      </c>
      <c r="E350" s="51" t="s">
        <v>785</v>
      </c>
      <c r="F350" s="51" t="s">
        <v>348</v>
      </c>
      <c r="G350" s="50" t="s">
        <v>349</v>
      </c>
      <c r="H350" s="52" t="s">
        <v>178</v>
      </c>
      <c r="I350" s="50" t="s">
        <v>191</v>
      </c>
      <c r="J350" s="53">
        <v>203.87</v>
      </c>
      <c r="K350" s="66">
        <v>0</v>
      </c>
      <c r="L350" s="66">
        <v>271848</v>
      </c>
      <c r="M350" s="54">
        <v>271848</v>
      </c>
      <c r="N350" s="64">
        <v>1439440</v>
      </c>
      <c r="O350" s="64">
        <v>376937</v>
      </c>
      <c r="P350" s="64">
        <v>366283</v>
      </c>
      <c r="Q350" s="54">
        <v>2182660</v>
      </c>
      <c r="R350" s="62">
        <v>69454</v>
      </c>
      <c r="S350" s="54">
        <v>2523962</v>
      </c>
      <c r="T350" s="81">
        <v>38080</v>
      </c>
      <c r="U350" s="81">
        <v>0</v>
      </c>
      <c r="V350" s="81">
        <v>0</v>
      </c>
      <c r="W350" s="81">
        <v>0</v>
      </c>
      <c r="X350" s="54">
        <v>2562042</v>
      </c>
      <c r="Y350" s="54">
        <v>0</v>
      </c>
      <c r="Z350" s="54">
        <v>288268</v>
      </c>
      <c r="AA350" s="54">
        <v>2184563</v>
      </c>
      <c r="AB350" s="54">
        <v>89211</v>
      </c>
      <c r="AC350" s="55" t="s">
        <v>184</v>
      </c>
      <c r="AD350" s="56">
        <v>4074</v>
      </c>
      <c r="AE350" s="57">
        <v>7</v>
      </c>
      <c r="AF350" s="55" t="s">
        <v>348</v>
      </c>
      <c r="AG350" s="69">
        <v>0</v>
      </c>
      <c r="AH350" s="57">
        <v>7</v>
      </c>
      <c r="AI350" s="55" t="s">
        <v>348</v>
      </c>
      <c r="AJ350" s="71">
        <v>0</v>
      </c>
      <c r="AK350" s="72">
        <f t="shared" si="30"/>
        <v>0</v>
      </c>
      <c r="AL350" s="72">
        <f t="shared" si="31"/>
        <v>0</v>
      </c>
      <c r="AM350">
        <v>-1</v>
      </c>
      <c r="AO350" s="102">
        <f t="shared" si="32"/>
        <v>0</v>
      </c>
      <c r="AP350" s="103">
        <f t="shared" si="33"/>
        <v>16420</v>
      </c>
      <c r="AQ350" s="101">
        <f t="shared" si="34"/>
        <v>1903</v>
      </c>
      <c r="AR350" s="104">
        <f t="shared" si="35"/>
        <v>19757</v>
      </c>
    </row>
    <row r="351" spans="1:44">
      <c r="A351" s="50" t="s">
        <v>1224</v>
      </c>
      <c r="B351" s="51" t="s">
        <v>1225</v>
      </c>
      <c r="C351" s="50" t="s">
        <v>424</v>
      </c>
      <c r="D351" s="50">
        <v>62</v>
      </c>
      <c r="E351" s="51" t="s">
        <v>785</v>
      </c>
      <c r="F351" s="51" t="s">
        <v>198</v>
      </c>
      <c r="G351" s="50" t="s">
        <v>199</v>
      </c>
      <c r="H351" s="52" t="s">
        <v>178</v>
      </c>
      <c r="I351" s="52" t="s">
        <v>191</v>
      </c>
      <c r="J351" s="53">
        <v>122.6</v>
      </c>
      <c r="K351" s="66">
        <v>0</v>
      </c>
      <c r="L351" s="66">
        <v>16752</v>
      </c>
      <c r="M351" s="54">
        <v>16752</v>
      </c>
      <c r="N351" s="64">
        <v>854895</v>
      </c>
      <c r="O351" s="64">
        <v>203462</v>
      </c>
      <c r="P351" s="64">
        <v>178658</v>
      </c>
      <c r="Q351" s="54">
        <v>1237015</v>
      </c>
      <c r="R351" s="62">
        <v>32280</v>
      </c>
      <c r="S351" s="54">
        <v>1286047</v>
      </c>
      <c r="T351" s="81">
        <v>15134</v>
      </c>
      <c r="U351" s="81">
        <v>0</v>
      </c>
      <c r="V351" s="81">
        <v>0</v>
      </c>
      <c r="W351" s="81">
        <v>0</v>
      </c>
      <c r="X351" s="54">
        <v>1301181</v>
      </c>
      <c r="Y351" s="54">
        <v>0</v>
      </c>
      <c r="Z351" s="54">
        <v>27878</v>
      </c>
      <c r="AA351" s="54">
        <v>1237462</v>
      </c>
      <c r="AB351" s="54">
        <v>35841</v>
      </c>
      <c r="AC351" s="55" t="s">
        <v>184</v>
      </c>
      <c r="AD351" s="56">
        <v>4091</v>
      </c>
      <c r="AE351" s="57">
        <v>7</v>
      </c>
      <c r="AF351" s="55" t="s">
        <v>198</v>
      </c>
      <c r="AG351" s="69">
        <v>0</v>
      </c>
      <c r="AH351" s="57">
        <v>7</v>
      </c>
      <c r="AI351" s="55" t="s">
        <v>198</v>
      </c>
      <c r="AJ351" s="71">
        <v>0</v>
      </c>
      <c r="AK351" s="72">
        <f t="shared" si="30"/>
        <v>0</v>
      </c>
      <c r="AL351" s="72">
        <f t="shared" si="31"/>
        <v>0</v>
      </c>
      <c r="AM351">
        <v>-1</v>
      </c>
      <c r="AO351" s="102">
        <f t="shared" si="32"/>
        <v>0</v>
      </c>
      <c r="AP351" s="103">
        <f t="shared" si="33"/>
        <v>11126</v>
      </c>
      <c r="AQ351" s="101">
        <f t="shared" si="34"/>
        <v>447</v>
      </c>
      <c r="AR351" s="104">
        <f t="shared" si="35"/>
        <v>3561</v>
      </c>
    </row>
    <row r="352" spans="1:44">
      <c r="A352" s="50" t="s">
        <v>1092</v>
      </c>
      <c r="B352" s="51" t="s">
        <v>1093</v>
      </c>
      <c r="C352" s="50" t="s">
        <v>424</v>
      </c>
      <c r="D352" s="50">
        <v>72</v>
      </c>
      <c r="E352" s="51" t="s">
        <v>521</v>
      </c>
      <c r="F352" s="51" t="s">
        <v>240</v>
      </c>
      <c r="G352" s="50" t="s">
        <v>241</v>
      </c>
      <c r="H352" s="52" t="s">
        <v>178</v>
      </c>
      <c r="I352" s="95" t="s">
        <v>192</v>
      </c>
      <c r="J352" s="53">
        <v>87.16</v>
      </c>
      <c r="K352" s="66">
        <v>0</v>
      </c>
      <c r="L352" s="66">
        <v>62267</v>
      </c>
      <c r="M352" s="54">
        <v>62267</v>
      </c>
      <c r="N352" s="64">
        <v>718200</v>
      </c>
      <c r="O352" s="64">
        <v>15027</v>
      </c>
      <c r="P352" s="64">
        <v>134815</v>
      </c>
      <c r="Q352" s="54">
        <v>868042</v>
      </c>
      <c r="R352" s="62">
        <v>157517</v>
      </c>
      <c r="S352" s="54">
        <v>1087826</v>
      </c>
      <c r="T352" s="81">
        <v>27405</v>
      </c>
      <c r="U352" s="81">
        <v>0</v>
      </c>
      <c r="V352" s="81">
        <v>0</v>
      </c>
      <c r="W352" s="81">
        <v>0</v>
      </c>
      <c r="X352" s="54">
        <v>1115230</v>
      </c>
      <c r="Y352" s="54">
        <v>0</v>
      </c>
      <c r="Z352" s="54">
        <v>63766</v>
      </c>
      <c r="AA352" s="54">
        <v>869385</v>
      </c>
      <c r="AB352" s="54">
        <v>182079</v>
      </c>
      <c r="AC352" s="55" t="s">
        <v>184</v>
      </c>
      <c r="AD352" s="56">
        <v>4114</v>
      </c>
      <c r="AE352" s="57">
        <v>7</v>
      </c>
      <c r="AF352" s="55" t="s">
        <v>240</v>
      </c>
      <c r="AG352" s="69">
        <v>0</v>
      </c>
      <c r="AH352" s="57">
        <v>7</v>
      </c>
      <c r="AI352" s="55" t="s">
        <v>240</v>
      </c>
      <c r="AJ352" s="71">
        <v>0</v>
      </c>
      <c r="AK352" s="72">
        <f t="shared" si="30"/>
        <v>0</v>
      </c>
      <c r="AL352" s="72">
        <f t="shared" si="31"/>
        <v>0</v>
      </c>
      <c r="AM352">
        <v>-1</v>
      </c>
      <c r="AO352" s="102">
        <f t="shared" si="32"/>
        <v>0</v>
      </c>
      <c r="AP352" s="103">
        <f t="shared" si="33"/>
        <v>1499</v>
      </c>
      <c r="AQ352" s="101">
        <f t="shared" si="34"/>
        <v>1343</v>
      </c>
      <c r="AR352" s="104">
        <f t="shared" si="35"/>
        <v>24562</v>
      </c>
    </row>
    <row r="353" spans="1:44">
      <c r="A353" s="50" t="s">
        <v>1224</v>
      </c>
      <c r="B353" s="51" t="s">
        <v>1225</v>
      </c>
      <c r="C353" s="50" t="s">
        <v>424</v>
      </c>
      <c r="D353" s="50">
        <v>2</v>
      </c>
      <c r="E353" s="51" t="s">
        <v>1236</v>
      </c>
      <c r="F353" s="51" t="s">
        <v>234</v>
      </c>
      <c r="G353" s="50" t="s">
        <v>235</v>
      </c>
      <c r="H353" s="52" t="s">
        <v>178</v>
      </c>
      <c r="I353" s="50" t="s">
        <v>192</v>
      </c>
      <c r="J353" s="53">
        <v>70.7</v>
      </c>
      <c r="K353" s="66">
        <v>0</v>
      </c>
      <c r="L353" s="66">
        <v>13027</v>
      </c>
      <c r="M353" s="54">
        <v>13027</v>
      </c>
      <c r="N353" s="64">
        <v>599649</v>
      </c>
      <c r="O353" s="64">
        <v>53838</v>
      </c>
      <c r="P353" s="64">
        <v>144839</v>
      </c>
      <c r="Q353" s="54">
        <v>798326</v>
      </c>
      <c r="R353" s="62">
        <v>183653</v>
      </c>
      <c r="S353" s="54">
        <v>995006</v>
      </c>
      <c r="T353" s="81">
        <v>16419</v>
      </c>
      <c r="U353" s="81">
        <v>0</v>
      </c>
      <c r="V353" s="81">
        <v>0</v>
      </c>
      <c r="W353" s="81">
        <v>0</v>
      </c>
      <c r="X353" s="54">
        <v>1011426</v>
      </c>
      <c r="Y353" s="54">
        <v>0</v>
      </c>
      <c r="Z353" s="54">
        <v>14100</v>
      </c>
      <c r="AA353" s="54">
        <v>798965</v>
      </c>
      <c r="AB353" s="54">
        <v>198361</v>
      </c>
      <c r="AC353" s="55" t="s">
        <v>184</v>
      </c>
      <c r="AD353" s="56">
        <v>4111</v>
      </c>
      <c r="AE353" s="57">
        <v>7</v>
      </c>
      <c r="AF353" s="55" t="s">
        <v>234</v>
      </c>
      <c r="AG353" s="69">
        <v>0</v>
      </c>
      <c r="AH353" s="57">
        <v>7</v>
      </c>
      <c r="AI353" s="55" t="s">
        <v>234</v>
      </c>
      <c r="AJ353" s="71">
        <v>0</v>
      </c>
      <c r="AK353" s="72">
        <f t="shared" si="30"/>
        <v>0</v>
      </c>
      <c r="AL353" s="72">
        <f t="shared" si="31"/>
        <v>0</v>
      </c>
      <c r="AM353">
        <v>-1</v>
      </c>
      <c r="AO353" s="102">
        <f t="shared" si="32"/>
        <v>0</v>
      </c>
      <c r="AP353" s="103">
        <f t="shared" si="33"/>
        <v>1073</v>
      </c>
      <c r="AQ353" s="101">
        <f t="shared" si="34"/>
        <v>639</v>
      </c>
      <c r="AR353" s="104">
        <f t="shared" si="35"/>
        <v>14708</v>
      </c>
    </row>
    <row r="354" spans="1:44">
      <c r="A354" s="50" t="s">
        <v>1224</v>
      </c>
      <c r="B354" s="51" t="s">
        <v>1225</v>
      </c>
      <c r="C354" s="50" t="s">
        <v>424</v>
      </c>
      <c r="D354" s="50">
        <v>27</v>
      </c>
      <c r="E354" s="51" t="s">
        <v>1227</v>
      </c>
      <c r="F354" s="51" t="s">
        <v>338</v>
      </c>
      <c r="G354" s="50" t="s">
        <v>339</v>
      </c>
      <c r="H354" s="52" t="s">
        <v>178</v>
      </c>
      <c r="I354" s="52" t="s">
        <v>192</v>
      </c>
      <c r="J354" s="53">
        <v>231.57</v>
      </c>
      <c r="K354" s="66">
        <v>0</v>
      </c>
      <c r="L354" s="66">
        <v>2320</v>
      </c>
      <c r="M354" s="54">
        <v>2320</v>
      </c>
      <c r="N354" s="64">
        <v>1781024</v>
      </c>
      <c r="O354" s="64">
        <v>28680</v>
      </c>
      <c r="P354" s="64">
        <v>128902</v>
      </c>
      <c r="Q354" s="54">
        <v>1938606</v>
      </c>
      <c r="R354" s="62">
        <v>120732</v>
      </c>
      <c r="S354" s="54">
        <v>2061658</v>
      </c>
      <c r="T354" s="81">
        <v>117369</v>
      </c>
      <c r="U354" s="81">
        <v>5702</v>
      </c>
      <c r="V354" s="81">
        <v>0</v>
      </c>
      <c r="W354" s="81">
        <v>0</v>
      </c>
      <c r="X354" s="54">
        <v>2184730</v>
      </c>
      <c r="Y354" s="54">
        <v>0</v>
      </c>
      <c r="Z354" s="54">
        <v>24414</v>
      </c>
      <c r="AA354" s="54">
        <v>1943071</v>
      </c>
      <c r="AB354" s="54">
        <v>217245</v>
      </c>
      <c r="AC354" s="55" t="s">
        <v>184</v>
      </c>
      <c r="AD354" s="56">
        <v>4067</v>
      </c>
      <c r="AE354" s="57">
        <v>7</v>
      </c>
      <c r="AF354" s="55" t="s">
        <v>338</v>
      </c>
      <c r="AG354" s="69">
        <v>2653.05</v>
      </c>
      <c r="AH354" s="57">
        <v>7</v>
      </c>
      <c r="AI354" s="55" t="s">
        <v>338</v>
      </c>
      <c r="AJ354" s="71">
        <v>0</v>
      </c>
      <c r="AK354" s="72">
        <f t="shared" si="30"/>
        <v>-2653.05</v>
      </c>
      <c r="AL354" s="72">
        <f t="shared" si="31"/>
        <v>0</v>
      </c>
      <c r="AM354">
        <v>-1</v>
      </c>
      <c r="AO354" s="102">
        <f t="shared" si="32"/>
        <v>0</v>
      </c>
      <c r="AP354" s="103">
        <f t="shared" si="33"/>
        <v>22094</v>
      </c>
      <c r="AQ354" s="101">
        <f t="shared" si="34"/>
        <v>4465</v>
      </c>
      <c r="AR354" s="104">
        <f t="shared" si="35"/>
        <v>96513</v>
      </c>
    </row>
    <row r="355" spans="1:44">
      <c r="A355" s="50" t="s">
        <v>1132</v>
      </c>
      <c r="B355" s="51" t="s">
        <v>1133</v>
      </c>
      <c r="C355" s="50" t="s">
        <v>424</v>
      </c>
      <c r="D355" s="50">
        <v>18</v>
      </c>
      <c r="E355" s="51" t="s">
        <v>994</v>
      </c>
      <c r="F355" s="51" t="s">
        <v>350</v>
      </c>
      <c r="G355" s="50" t="s">
        <v>351</v>
      </c>
      <c r="H355" s="52" t="s">
        <v>178</v>
      </c>
      <c r="I355" s="52" t="s">
        <v>190</v>
      </c>
      <c r="J355" s="53">
        <v>154.51</v>
      </c>
      <c r="K355" s="66">
        <v>0</v>
      </c>
      <c r="L355" s="66">
        <v>88885</v>
      </c>
      <c r="M355" s="54">
        <v>88885</v>
      </c>
      <c r="N355" s="64">
        <v>1115713</v>
      </c>
      <c r="O355" s="64">
        <v>191219</v>
      </c>
      <c r="P355" s="64">
        <v>242377</v>
      </c>
      <c r="Q355" s="54">
        <v>1549309</v>
      </c>
      <c r="R355" s="62">
        <v>9127</v>
      </c>
      <c r="S355" s="54">
        <v>1647321</v>
      </c>
      <c r="T355" s="81">
        <v>9987</v>
      </c>
      <c r="U355" s="81">
        <v>0</v>
      </c>
      <c r="V355" s="81">
        <v>0</v>
      </c>
      <c r="W355" s="81">
        <v>0</v>
      </c>
      <c r="X355" s="54">
        <v>1657307</v>
      </c>
      <c r="Y355" s="54">
        <v>0</v>
      </c>
      <c r="Z355" s="54">
        <v>91540</v>
      </c>
      <c r="AA355" s="54">
        <v>1549680</v>
      </c>
      <c r="AB355" s="54">
        <v>16087</v>
      </c>
      <c r="AC355" s="55" t="s">
        <v>184</v>
      </c>
      <c r="AD355" s="56">
        <v>4075</v>
      </c>
      <c r="AE355" s="57">
        <v>7</v>
      </c>
      <c r="AF355" s="55" t="s">
        <v>350</v>
      </c>
      <c r="AG355" s="69">
        <v>0</v>
      </c>
      <c r="AH355" s="57">
        <v>7</v>
      </c>
      <c r="AI355" s="55" t="s">
        <v>350</v>
      </c>
      <c r="AJ355" s="71">
        <v>0</v>
      </c>
      <c r="AK355" s="72">
        <f t="shared" si="30"/>
        <v>0</v>
      </c>
      <c r="AL355" s="72">
        <f t="shared" si="31"/>
        <v>0</v>
      </c>
      <c r="AM355">
        <v>-1</v>
      </c>
      <c r="AO355" s="102">
        <f t="shared" si="32"/>
        <v>0</v>
      </c>
      <c r="AP355" s="103">
        <f t="shared" si="33"/>
        <v>2655</v>
      </c>
      <c r="AQ355" s="101">
        <f t="shared" si="34"/>
        <v>371</v>
      </c>
      <c r="AR355" s="104">
        <f t="shared" si="35"/>
        <v>6960</v>
      </c>
    </row>
    <row r="356" spans="1:44">
      <c r="A356" s="50" t="s">
        <v>1224</v>
      </c>
      <c r="B356" s="51" t="s">
        <v>1225</v>
      </c>
      <c r="C356" s="50" t="s">
        <v>424</v>
      </c>
      <c r="D356" s="50">
        <v>62</v>
      </c>
      <c r="E356" s="51" t="s">
        <v>785</v>
      </c>
      <c r="F356" s="51" t="s">
        <v>258</v>
      </c>
      <c r="G356" s="50" t="s">
        <v>259</v>
      </c>
      <c r="H356" s="52" t="s">
        <v>178</v>
      </c>
      <c r="I356" s="52" t="s">
        <v>191</v>
      </c>
      <c r="J356" s="53">
        <v>253.08</v>
      </c>
      <c r="K356" s="66">
        <v>0</v>
      </c>
      <c r="L356" s="66">
        <v>203659</v>
      </c>
      <c r="M356" s="54">
        <v>203659</v>
      </c>
      <c r="N356" s="64">
        <v>1447572</v>
      </c>
      <c r="O356" s="64">
        <v>138333</v>
      </c>
      <c r="P356" s="64">
        <v>305412</v>
      </c>
      <c r="Q356" s="54">
        <v>1891317</v>
      </c>
      <c r="R356" s="62">
        <v>191318</v>
      </c>
      <c r="S356" s="54">
        <v>2286294</v>
      </c>
      <c r="T356" s="81">
        <v>58912</v>
      </c>
      <c r="U356" s="81">
        <v>0</v>
      </c>
      <c r="V356" s="81">
        <v>0</v>
      </c>
      <c r="W356" s="81">
        <v>0</v>
      </c>
      <c r="X356" s="54">
        <v>2345206</v>
      </c>
      <c r="Y356" s="54">
        <v>0</v>
      </c>
      <c r="Z356" s="54">
        <v>244792</v>
      </c>
      <c r="AA356" s="54">
        <v>1893381</v>
      </c>
      <c r="AB356" s="54">
        <v>207033</v>
      </c>
      <c r="AC356" s="55" t="s">
        <v>184</v>
      </c>
      <c r="AD356" s="56">
        <v>4124</v>
      </c>
      <c r="AE356" s="57">
        <v>7</v>
      </c>
      <c r="AF356" s="55" t="s">
        <v>258</v>
      </c>
      <c r="AG356" s="69">
        <v>0</v>
      </c>
      <c r="AH356" s="57">
        <v>7</v>
      </c>
      <c r="AI356" s="55" t="s">
        <v>258</v>
      </c>
      <c r="AJ356" s="71">
        <v>0</v>
      </c>
      <c r="AK356" s="72">
        <f t="shared" si="30"/>
        <v>0</v>
      </c>
      <c r="AL356" s="72">
        <f t="shared" si="31"/>
        <v>0</v>
      </c>
      <c r="AM356">
        <v>-1</v>
      </c>
      <c r="AO356" s="102">
        <f t="shared" si="32"/>
        <v>0</v>
      </c>
      <c r="AP356" s="103">
        <f t="shared" si="33"/>
        <v>41133</v>
      </c>
      <c r="AQ356" s="101">
        <f t="shared" si="34"/>
        <v>2064</v>
      </c>
      <c r="AR356" s="104">
        <f t="shared" si="35"/>
        <v>15715</v>
      </c>
    </row>
    <row r="357" spans="1:44">
      <c r="A357" s="50" t="s">
        <v>1224</v>
      </c>
      <c r="B357" s="51" t="s">
        <v>1225</v>
      </c>
      <c r="C357" s="50" t="s">
        <v>424</v>
      </c>
      <c r="D357" s="50">
        <v>10</v>
      </c>
      <c r="E357" s="51" t="s">
        <v>1123</v>
      </c>
      <c r="F357" s="51" t="s">
        <v>270</v>
      </c>
      <c r="G357" s="50" t="s">
        <v>271</v>
      </c>
      <c r="H357" s="52" t="s">
        <v>178</v>
      </c>
      <c r="I357" s="52" t="s">
        <v>191</v>
      </c>
      <c r="J357" s="53">
        <v>29.97</v>
      </c>
      <c r="K357" s="66">
        <v>0</v>
      </c>
      <c r="L357" s="66">
        <v>56117</v>
      </c>
      <c r="M357" s="54">
        <v>56117</v>
      </c>
      <c r="N357" s="64">
        <v>174451</v>
      </c>
      <c r="O357" s="64">
        <v>20096</v>
      </c>
      <c r="P357" s="64">
        <v>88124</v>
      </c>
      <c r="Q357" s="54">
        <v>282671</v>
      </c>
      <c r="R357" s="62">
        <v>171909</v>
      </c>
      <c r="S357" s="54">
        <v>510697</v>
      </c>
      <c r="T357" s="81">
        <v>3631</v>
      </c>
      <c r="U357" s="81">
        <v>0</v>
      </c>
      <c r="V357" s="81">
        <v>0</v>
      </c>
      <c r="W357" s="81">
        <v>0</v>
      </c>
      <c r="X357" s="54">
        <v>514327</v>
      </c>
      <c r="Y357" s="54">
        <v>0</v>
      </c>
      <c r="Z357" s="54">
        <v>59748</v>
      </c>
      <c r="AA357" s="54">
        <v>282670</v>
      </c>
      <c r="AB357" s="54">
        <v>171909</v>
      </c>
      <c r="AC357" s="55" t="s">
        <v>184</v>
      </c>
      <c r="AD357" s="56">
        <v>4133</v>
      </c>
      <c r="AE357" s="57">
        <v>7</v>
      </c>
      <c r="AF357" s="55" t="s">
        <v>270</v>
      </c>
      <c r="AG357" s="69">
        <v>0</v>
      </c>
      <c r="AH357" s="57">
        <v>7</v>
      </c>
      <c r="AI357" s="55" t="s">
        <v>270</v>
      </c>
      <c r="AJ357" s="71">
        <v>0</v>
      </c>
      <c r="AK357" s="72">
        <f t="shared" si="30"/>
        <v>0</v>
      </c>
      <c r="AL357" s="72">
        <f t="shared" si="31"/>
        <v>0</v>
      </c>
      <c r="AM357">
        <v>-1</v>
      </c>
      <c r="AO357" s="102">
        <f t="shared" si="32"/>
        <v>0</v>
      </c>
      <c r="AP357" s="103">
        <f t="shared" si="33"/>
        <v>3631</v>
      </c>
      <c r="AQ357" s="101">
        <f t="shared" si="34"/>
        <v>-1</v>
      </c>
      <c r="AR357" s="104">
        <f t="shared" si="35"/>
        <v>0</v>
      </c>
    </row>
    <row r="358" spans="1:44">
      <c r="A358" s="50" t="s">
        <v>1224</v>
      </c>
      <c r="B358" s="51" t="s">
        <v>1225</v>
      </c>
      <c r="C358" s="50" t="s">
        <v>424</v>
      </c>
      <c r="D358" s="50">
        <v>27</v>
      </c>
      <c r="E358" s="51" t="s">
        <v>1227</v>
      </c>
      <c r="F358" s="51" t="s">
        <v>106</v>
      </c>
      <c r="G358" s="50" t="s">
        <v>107</v>
      </c>
      <c r="H358" s="52" t="s">
        <v>178</v>
      </c>
      <c r="I358" s="52" t="s">
        <v>191</v>
      </c>
      <c r="J358" s="53">
        <v>44.88</v>
      </c>
      <c r="K358" s="66">
        <v>0</v>
      </c>
      <c r="L358" s="66">
        <v>9677</v>
      </c>
      <c r="M358" s="54">
        <v>9677</v>
      </c>
      <c r="N358" s="64">
        <v>226742</v>
      </c>
      <c r="O358" s="64">
        <v>40623</v>
      </c>
      <c r="P358" s="64">
        <v>100375</v>
      </c>
      <c r="Q358" s="54">
        <v>367740</v>
      </c>
      <c r="R358" s="62">
        <v>184740</v>
      </c>
      <c r="S358" s="54">
        <v>562157</v>
      </c>
      <c r="T358" s="81">
        <v>4541</v>
      </c>
      <c r="U358" s="81">
        <v>12530</v>
      </c>
      <c r="V358" s="81">
        <v>0</v>
      </c>
      <c r="W358" s="81">
        <v>0</v>
      </c>
      <c r="X358" s="54">
        <v>579229</v>
      </c>
      <c r="Y358" s="54">
        <v>0</v>
      </c>
      <c r="Z358" s="54">
        <v>24804</v>
      </c>
      <c r="AA358" s="54">
        <v>367954</v>
      </c>
      <c r="AB358" s="54">
        <v>186471</v>
      </c>
      <c r="AC358" s="55" t="s">
        <v>184</v>
      </c>
      <c r="AD358" s="56">
        <v>4145</v>
      </c>
      <c r="AE358" s="57">
        <v>7</v>
      </c>
      <c r="AF358" s="55" t="s">
        <v>106</v>
      </c>
      <c r="AG358" s="69">
        <v>12530</v>
      </c>
      <c r="AH358" s="57">
        <v>7</v>
      </c>
      <c r="AI358" s="55" t="s">
        <v>106</v>
      </c>
      <c r="AJ358" s="71">
        <v>0</v>
      </c>
      <c r="AK358" s="72">
        <f t="shared" si="30"/>
        <v>-12530</v>
      </c>
      <c r="AL358" s="72">
        <f t="shared" si="31"/>
        <v>0</v>
      </c>
      <c r="AM358">
        <v>-1</v>
      </c>
      <c r="AO358" s="102">
        <f t="shared" si="32"/>
        <v>0</v>
      </c>
      <c r="AP358" s="103">
        <f t="shared" si="33"/>
        <v>15127</v>
      </c>
      <c r="AQ358" s="101">
        <f t="shared" si="34"/>
        <v>214</v>
      </c>
      <c r="AR358" s="104">
        <f t="shared" si="35"/>
        <v>1731</v>
      </c>
    </row>
    <row r="359" spans="1:44">
      <c r="A359" s="50" t="s">
        <v>1224</v>
      </c>
      <c r="B359" s="51" t="s">
        <v>1225</v>
      </c>
      <c r="C359" s="50" t="s">
        <v>424</v>
      </c>
      <c r="D359" s="50">
        <v>62</v>
      </c>
      <c r="E359" s="51" t="s">
        <v>785</v>
      </c>
      <c r="F359" s="51" t="s">
        <v>362</v>
      </c>
      <c r="G359" s="50" t="s">
        <v>363</v>
      </c>
      <c r="H359" s="52" t="s">
        <v>178</v>
      </c>
      <c r="I359" s="52" t="s">
        <v>191</v>
      </c>
      <c r="J359" s="53">
        <v>388.26</v>
      </c>
      <c r="K359" s="66">
        <v>0</v>
      </c>
      <c r="L359" s="66">
        <v>29198</v>
      </c>
      <c r="M359" s="54">
        <v>29198</v>
      </c>
      <c r="N359" s="64">
        <v>2727979</v>
      </c>
      <c r="O359" s="64">
        <v>77217</v>
      </c>
      <c r="P359" s="64">
        <v>51188</v>
      </c>
      <c r="Q359" s="54">
        <v>2856384</v>
      </c>
      <c r="R359" s="62">
        <v>20008</v>
      </c>
      <c r="S359" s="54">
        <v>2905590</v>
      </c>
      <c r="T359" s="81">
        <v>0</v>
      </c>
      <c r="U359" s="81">
        <v>0</v>
      </c>
      <c r="V359" s="81">
        <v>0</v>
      </c>
      <c r="W359" s="81">
        <v>0</v>
      </c>
      <c r="X359" s="54">
        <v>2905590</v>
      </c>
      <c r="Y359" s="54">
        <v>0</v>
      </c>
      <c r="Z359" s="54">
        <v>29198</v>
      </c>
      <c r="AA359" s="54">
        <v>2856384</v>
      </c>
      <c r="AB359" s="54">
        <v>20008</v>
      </c>
      <c r="AC359" s="55" t="s">
        <v>184</v>
      </c>
      <c r="AD359" s="56">
        <v>4082</v>
      </c>
      <c r="AE359" s="57">
        <v>7</v>
      </c>
      <c r="AF359" s="55" t="s">
        <v>362</v>
      </c>
      <c r="AG359" s="69">
        <v>0</v>
      </c>
      <c r="AH359" s="57">
        <v>7</v>
      </c>
      <c r="AI359" s="55" t="s">
        <v>362</v>
      </c>
      <c r="AJ359" s="71">
        <v>0</v>
      </c>
      <c r="AK359" s="72">
        <f t="shared" si="30"/>
        <v>0</v>
      </c>
      <c r="AL359" s="72">
        <f t="shared" si="31"/>
        <v>0</v>
      </c>
      <c r="AM359">
        <v>-1</v>
      </c>
      <c r="AO359" s="102">
        <f t="shared" si="32"/>
        <v>0</v>
      </c>
      <c r="AP359" s="103">
        <f t="shared" si="33"/>
        <v>0</v>
      </c>
      <c r="AQ359" s="101">
        <f t="shared" si="34"/>
        <v>0</v>
      </c>
      <c r="AR359" s="104">
        <f t="shared" si="35"/>
        <v>0</v>
      </c>
    </row>
    <row r="360" spans="1:44">
      <c r="A360" s="50" t="s">
        <v>1218</v>
      </c>
      <c r="B360" s="51" t="s">
        <v>1219</v>
      </c>
      <c r="C360" s="50" t="s">
        <v>424</v>
      </c>
      <c r="D360" s="50">
        <v>69</v>
      </c>
      <c r="E360" s="51" t="s">
        <v>651</v>
      </c>
      <c r="F360" s="51" t="s">
        <v>427</v>
      </c>
      <c r="G360" s="50" t="s">
        <v>428</v>
      </c>
      <c r="H360" s="52" t="s">
        <v>178</v>
      </c>
      <c r="I360" s="52" t="s">
        <v>191</v>
      </c>
      <c r="J360" s="53">
        <v>199.57</v>
      </c>
      <c r="K360" s="66">
        <v>0</v>
      </c>
      <c r="L360" s="66">
        <v>140484</v>
      </c>
      <c r="M360" s="54">
        <v>140484</v>
      </c>
      <c r="N360" s="64">
        <v>1100064</v>
      </c>
      <c r="O360" s="64">
        <v>135440</v>
      </c>
      <c r="P360" s="64">
        <v>274791</v>
      </c>
      <c r="Q360" s="54">
        <v>1510295</v>
      </c>
      <c r="R360" s="62">
        <v>12818</v>
      </c>
      <c r="S360" s="54">
        <v>1663597</v>
      </c>
      <c r="T360" s="81">
        <v>51200</v>
      </c>
      <c r="U360" s="81">
        <v>215067</v>
      </c>
      <c r="V360" s="81">
        <v>0</v>
      </c>
      <c r="W360" s="81">
        <v>0</v>
      </c>
      <c r="X360" s="54">
        <v>1929864</v>
      </c>
      <c r="Y360" s="54">
        <v>0</v>
      </c>
      <c r="Z360" s="54">
        <v>390863</v>
      </c>
      <c r="AA360" s="54">
        <v>1512118</v>
      </c>
      <c r="AB360" s="54">
        <v>26883</v>
      </c>
      <c r="AC360" s="55" t="s">
        <v>184</v>
      </c>
      <c r="AD360" s="56">
        <v>4001</v>
      </c>
      <c r="AE360" s="57">
        <v>7</v>
      </c>
      <c r="AF360" s="55" t="s">
        <v>427</v>
      </c>
      <c r="AG360" s="69">
        <v>0</v>
      </c>
      <c r="AH360" s="57">
        <v>7</v>
      </c>
      <c r="AI360" s="55" t="s">
        <v>427</v>
      </c>
      <c r="AJ360" s="71">
        <v>0</v>
      </c>
      <c r="AK360" s="72">
        <f t="shared" si="30"/>
        <v>0</v>
      </c>
      <c r="AL360" s="72">
        <f t="shared" si="31"/>
        <v>0</v>
      </c>
      <c r="AM360">
        <v>-1</v>
      </c>
      <c r="AO360" s="102">
        <f t="shared" si="32"/>
        <v>0</v>
      </c>
      <c r="AP360" s="103">
        <f t="shared" si="33"/>
        <v>250379</v>
      </c>
      <c r="AQ360" s="101">
        <f t="shared" si="34"/>
        <v>1823</v>
      </c>
      <c r="AR360" s="104">
        <f t="shared" si="35"/>
        <v>14065</v>
      </c>
    </row>
    <row r="361" spans="1:44">
      <c r="A361" s="50" t="s">
        <v>1224</v>
      </c>
      <c r="B361" s="51" t="s">
        <v>1225</v>
      </c>
      <c r="C361" s="50" t="s">
        <v>424</v>
      </c>
      <c r="D361" s="50">
        <v>62</v>
      </c>
      <c r="E361" s="51" t="s">
        <v>785</v>
      </c>
      <c r="F361" s="51" t="s">
        <v>431</v>
      </c>
      <c r="G361" s="50" t="s">
        <v>432</v>
      </c>
      <c r="H361" s="52" t="s">
        <v>178</v>
      </c>
      <c r="I361" s="52" t="s">
        <v>192</v>
      </c>
      <c r="J361" s="53">
        <v>110.46</v>
      </c>
      <c r="K361" s="66">
        <v>0</v>
      </c>
      <c r="L361" s="66">
        <v>31615</v>
      </c>
      <c r="M361" s="54">
        <v>31615</v>
      </c>
      <c r="N361" s="64">
        <v>977382</v>
      </c>
      <c r="O361" s="64">
        <v>40608</v>
      </c>
      <c r="P361" s="64">
        <v>39720</v>
      </c>
      <c r="Q361" s="54">
        <v>1057710</v>
      </c>
      <c r="R361" s="62">
        <v>203272</v>
      </c>
      <c r="S361" s="54">
        <v>1292597</v>
      </c>
      <c r="T361" s="81">
        <v>70222</v>
      </c>
      <c r="U361" s="81">
        <v>0</v>
      </c>
      <c r="V361" s="81">
        <v>0</v>
      </c>
      <c r="W361" s="81">
        <v>0</v>
      </c>
      <c r="X361" s="54">
        <v>1362820</v>
      </c>
      <c r="Y361" s="54">
        <v>0</v>
      </c>
      <c r="Z361" s="54">
        <v>32616</v>
      </c>
      <c r="AA361" s="54">
        <v>1060165</v>
      </c>
      <c r="AB361" s="54">
        <v>270039</v>
      </c>
      <c r="AC361" s="55" t="s">
        <v>184</v>
      </c>
      <c r="AD361" s="56">
        <v>4004</v>
      </c>
      <c r="AE361" s="57">
        <v>7</v>
      </c>
      <c r="AF361" s="55" t="s">
        <v>431</v>
      </c>
      <c r="AG361" s="69">
        <v>0</v>
      </c>
      <c r="AH361" s="57">
        <v>7</v>
      </c>
      <c r="AI361" s="55" t="s">
        <v>431</v>
      </c>
      <c r="AJ361" s="71">
        <v>0</v>
      </c>
      <c r="AK361" s="72">
        <f t="shared" si="30"/>
        <v>0</v>
      </c>
      <c r="AL361" s="72">
        <f t="shared" si="31"/>
        <v>0</v>
      </c>
      <c r="AM361">
        <v>-1</v>
      </c>
      <c r="AO361" s="102">
        <f t="shared" si="32"/>
        <v>0</v>
      </c>
      <c r="AP361" s="103">
        <f t="shared" si="33"/>
        <v>1001</v>
      </c>
      <c r="AQ361" s="101">
        <f t="shared" si="34"/>
        <v>2455</v>
      </c>
      <c r="AR361" s="104">
        <f t="shared" si="35"/>
        <v>66767</v>
      </c>
    </row>
    <row r="362" spans="1:44">
      <c r="A362" s="50" t="s">
        <v>1087</v>
      </c>
      <c r="B362" s="51" t="s">
        <v>1088</v>
      </c>
      <c r="C362" s="50" t="s">
        <v>424</v>
      </c>
      <c r="D362" s="50">
        <v>87</v>
      </c>
      <c r="E362" s="51" t="s">
        <v>628</v>
      </c>
      <c r="F362" s="51" t="s">
        <v>425</v>
      </c>
      <c r="G362" s="50" t="s">
        <v>426</v>
      </c>
      <c r="H362" s="52" t="s">
        <v>178</v>
      </c>
      <c r="I362" s="52" t="s">
        <v>190</v>
      </c>
      <c r="J362" s="53">
        <v>117.19</v>
      </c>
      <c r="K362" s="66">
        <v>0</v>
      </c>
      <c r="L362" s="66">
        <v>62266</v>
      </c>
      <c r="M362" s="54">
        <v>62266</v>
      </c>
      <c r="N362" s="64">
        <v>1083305</v>
      </c>
      <c r="O362" s="64">
        <v>0</v>
      </c>
      <c r="P362" s="64">
        <v>143110</v>
      </c>
      <c r="Q362" s="54">
        <v>1226415</v>
      </c>
      <c r="R362" s="62">
        <v>0</v>
      </c>
      <c r="S362" s="54">
        <v>1288681</v>
      </c>
      <c r="T362" s="81">
        <v>0</v>
      </c>
      <c r="U362" s="81">
        <v>0</v>
      </c>
      <c r="V362" s="81">
        <v>0</v>
      </c>
      <c r="W362" s="81">
        <v>0</v>
      </c>
      <c r="X362" s="54">
        <v>1288681</v>
      </c>
      <c r="Y362" s="54">
        <v>0</v>
      </c>
      <c r="Z362" s="54">
        <v>62266</v>
      </c>
      <c r="AA362" s="54">
        <v>1226415</v>
      </c>
      <c r="AB362" s="54">
        <v>0</v>
      </c>
      <c r="AC362" s="55" t="s">
        <v>184</v>
      </c>
      <c r="AD362" s="56">
        <v>4000</v>
      </c>
      <c r="AE362" s="57">
        <v>7</v>
      </c>
      <c r="AF362" s="55" t="s">
        <v>425</v>
      </c>
      <c r="AG362" s="69">
        <v>0</v>
      </c>
      <c r="AH362" s="57">
        <v>7</v>
      </c>
      <c r="AI362" s="55" t="s">
        <v>425</v>
      </c>
      <c r="AJ362" s="71">
        <v>0</v>
      </c>
      <c r="AK362" s="72">
        <f t="shared" si="30"/>
        <v>0</v>
      </c>
      <c r="AL362" s="72">
        <f t="shared" si="31"/>
        <v>0</v>
      </c>
      <c r="AM362">
        <v>-1</v>
      </c>
      <c r="AO362" s="102">
        <f t="shared" si="32"/>
        <v>0</v>
      </c>
      <c r="AP362" s="103">
        <f t="shared" si="33"/>
        <v>0</v>
      </c>
      <c r="AQ362" s="101">
        <f t="shared" si="34"/>
        <v>0</v>
      </c>
      <c r="AR362" s="104">
        <f t="shared" si="35"/>
        <v>0</v>
      </c>
    </row>
    <row r="363" spans="1:44" s="93" customFormat="1">
      <c r="A363" s="83" t="s">
        <v>1224</v>
      </c>
      <c r="B363" s="84" t="s">
        <v>1225</v>
      </c>
      <c r="C363" s="83" t="s">
        <v>424</v>
      </c>
      <c r="D363" s="83">
        <v>62</v>
      </c>
      <c r="E363" s="84" t="s">
        <v>785</v>
      </c>
      <c r="F363" s="84" t="s">
        <v>156</v>
      </c>
      <c r="G363" s="83" t="s">
        <v>157</v>
      </c>
      <c r="H363" s="85" t="s">
        <v>178</v>
      </c>
      <c r="I363" s="85"/>
      <c r="J363" s="86">
        <v>0</v>
      </c>
      <c r="K363" s="86">
        <v>0</v>
      </c>
      <c r="L363" s="86">
        <v>8819</v>
      </c>
      <c r="M363" s="87">
        <v>8819</v>
      </c>
      <c r="N363" s="86">
        <v>0</v>
      </c>
      <c r="O363" s="86">
        <v>0</v>
      </c>
      <c r="P363" s="86">
        <v>0</v>
      </c>
      <c r="Q363" s="87">
        <v>0</v>
      </c>
      <c r="R363" s="86">
        <v>45600</v>
      </c>
      <c r="S363" s="87">
        <v>54419</v>
      </c>
      <c r="T363" s="81">
        <v>0</v>
      </c>
      <c r="U363" s="81">
        <v>0</v>
      </c>
      <c r="V363" s="81">
        <v>0</v>
      </c>
      <c r="W363" s="81">
        <v>0</v>
      </c>
      <c r="X363" s="87">
        <v>54419</v>
      </c>
      <c r="Y363" s="87">
        <v>0</v>
      </c>
      <c r="Z363" s="87">
        <v>8819</v>
      </c>
      <c r="AA363" s="87">
        <v>0</v>
      </c>
      <c r="AB363" s="87">
        <v>45600</v>
      </c>
      <c r="AC363" s="88" t="s">
        <v>184</v>
      </c>
      <c r="AD363" s="89">
        <v>4172</v>
      </c>
      <c r="AE363" s="90">
        <v>7</v>
      </c>
      <c r="AF363" s="90" t="s">
        <v>156</v>
      </c>
      <c r="AG363" s="91">
        <v>0</v>
      </c>
      <c r="AH363" s="90">
        <v>7</v>
      </c>
      <c r="AI363" s="90" t="s">
        <v>156</v>
      </c>
      <c r="AJ363" s="92">
        <v>0</v>
      </c>
      <c r="AK363" s="93">
        <f t="shared" si="30"/>
        <v>0</v>
      </c>
      <c r="AL363" s="93">
        <f t="shared" si="31"/>
        <v>0</v>
      </c>
      <c r="AM363" s="93">
        <v>-1</v>
      </c>
      <c r="AO363" s="102">
        <f t="shared" si="32"/>
        <v>0</v>
      </c>
      <c r="AP363" s="103">
        <f t="shared" si="33"/>
        <v>0</v>
      </c>
      <c r="AQ363" s="101">
        <f t="shared" si="34"/>
        <v>0</v>
      </c>
      <c r="AR363" s="104">
        <f t="shared" si="35"/>
        <v>0</v>
      </c>
    </row>
    <row r="364" spans="1:44">
      <c r="A364" s="50" t="s">
        <v>1166</v>
      </c>
      <c r="B364" s="51" t="s">
        <v>1167</v>
      </c>
      <c r="C364" s="50" t="s">
        <v>424</v>
      </c>
      <c r="D364" s="50">
        <v>64</v>
      </c>
      <c r="E364" s="51" t="s">
        <v>803</v>
      </c>
      <c r="F364" s="51" t="s">
        <v>445</v>
      </c>
      <c r="G364" s="50" t="s">
        <v>446</v>
      </c>
      <c r="H364" s="52" t="s">
        <v>178</v>
      </c>
      <c r="I364" s="52" t="s">
        <v>190</v>
      </c>
      <c r="J364" s="53">
        <v>590.4</v>
      </c>
      <c r="K364" s="66">
        <v>0</v>
      </c>
      <c r="L364" s="66">
        <v>87237</v>
      </c>
      <c r="M364" s="54">
        <v>87237</v>
      </c>
      <c r="N364" s="64">
        <v>4920091</v>
      </c>
      <c r="O364" s="64">
        <v>627865</v>
      </c>
      <c r="P364" s="64">
        <v>1024715</v>
      </c>
      <c r="Q364" s="54">
        <v>6572671</v>
      </c>
      <c r="R364" s="62">
        <v>438125</v>
      </c>
      <c r="S364" s="54">
        <v>7098033</v>
      </c>
      <c r="T364" s="81">
        <v>0</v>
      </c>
      <c r="U364" s="81">
        <v>0</v>
      </c>
      <c r="V364" s="81">
        <v>0</v>
      </c>
      <c r="W364" s="81">
        <v>0</v>
      </c>
      <c r="X364" s="54">
        <v>7098033</v>
      </c>
      <c r="Y364" s="54">
        <v>0</v>
      </c>
      <c r="Z364" s="54">
        <v>87237</v>
      </c>
      <c r="AA364" s="54">
        <v>6572671</v>
      </c>
      <c r="AB364" s="54">
        <v>438125</v>
      </c>
      <c r="AC364" s="55" t="s">
        <v>184</v>
      </c>
      <c r="AD364" s="56">
        <v>4015</v>
      </c>
      <c r="AE364" s="57">
        <v>7</v>
      </c>
      <c r="AF364" s="55" t="s">
        <v>445</v>
      </c>
      <c r="AG364" s="69">
        <v>0</v>
      </c>
      <c r="AH364" s="57">
        <v>7</v>
      </c>
      <c r="AI364" s="55" t="s">
        <v>445</v>
      </c>
      <c r="AJ364" s="71">
        <v>0</v>
      </c>
      <c r="AK364" s="72">
        <f t="shared" si="30"/>
        <v>0</v>
      </c>
      <c r="AL364" s="72">
        <f t="shared" si="31"/>
        <v>0</v>
      </c>
      <c r="AM364">
        <v>-1</v>
      </c>
      <c r="AO364" s="102">
        <f t="shared" si="32"/>
        <v>0</v>
      </c>
      <c r="AP364" s="103">
        <f t="shared" si="33"/>
        <v>0</v>
      </c>
      <c r="AQ364" s="101">
        <f t="shared" si="34"/>
        <v>0</v>
      </c>
      <c r="AR364" s="104">
        <f t="shared" si="35"/>
        <v>0</v>
      </c>
    </row>
    <row r="365" spans="1:44" s="93" customFormat="1">
      <c r="A365" s="83" t="s">
        <v>1224</v>
      </c>
      <c r="B365" s="84" t="s">
        <v>1225</v>
      </c>
      <c r="C365" s="83" t="s">
        <v>424</v>
      </c>
      <c r="D365" s="83">
        <v>62</v>
      </c>
      <c r="E365" s="84" t="s">
        <v>785</v>
      </c>
      <c r="F365" s="84" t="s">
        <v>172</v>
      </c>
      <c r="G365" s="83" t="s">
        <v>173</v>
      </c>
      <c r="H365" s="85" t="s">
        <v>178</v>
      </c>
      <c r="I365" s="85" t="s">
        <v>190</v>
      </c>
      <c r="J365" s="86">
        <v>0</v>
      </c>
      <c r="K365" s="86">
        <v>0</v>
      </c>
      <c r="L365" s="86">
        <v>1000</v>
      </c>
      <c r="M365" s="87">
        <v>1000</v>
      </c>
      <c r="N365" s="86">
        <v>0</v>
      </c>
      <c r="O365" s="86">
        <v>0</v>
      </c>
      <c r="P365" s="86">
        <v>0</v>
      </c>
      <c r="Q365" s="87">
        <v>0</v>
      </c>
      <c r="R365" s="86">
        <v>69269</v>
      </c>
      <c r="S365" s="87">
        <v>70269</v>
      </c>
      <c r="T365" s="81">
        <v>0</v>
      </c>
      <c r="U365" s="81">
        <v>0</v>
      </c>
      <c r="V365" s="81">
        <v>0</v>
      </c>
      <c r="W365" s="81">
        <v>0</v>
      </c>
      <c r="X365" s="87">
        <v>70269</v>
      </c>
      <c r="Y365" s="87">
        <v>0</v>
      </c>
      <c r="Z365" s="87">
        <v>1000</v>
      </c>
      <c r="AA365" s="87">
        <v>0</v>
      </c>
      <c r="AB365" s="87">
        <v>69269</v>
      </c>
      <c r="AC365" s="88" t="s">
        <v>184</v>
      </c>
      <c r="AD365" s="89">
        <v>4181</v>
      </c>
      <c r="AE365" s="90">
        <v>7</v>
      </c>
      <c r="AF365" s="90" t="s">
        <v>172</v>
      </c>
      <c r="AG365" s="91">
        <v>0</v>
      </c>
      <c r="AH365" s="90">
        <v>7</v>
      </c>
      <c r="AI365" s="90" t="s">
        <v>172</v>
      </c>
      <c r="AJ365" s="92">
        <v>0</v>
      </c>
      <c r="AK365" s="93">
        <f t="shared" si="30"/>
        <v>0</v>
      </c>
      <c r="AL365" s="93">
        <f t="shared" si="31"/>
        <v>0</v>
      </c>
      <c r="AM365" s="93">
        <v>-1</v>
      </c>
      <c r="AO365" s="102">
        <f t="shared" si="32"/>
        <v>0</v>
      </c>
      <c r="AP365" s="103">
        <f t="shared" si="33"/>
        <v>0</v>
      </c>
      <c r="AQ365" s="101">
        <f t="shared" si="34"/>
        <v>0</v>
      </c>
      <c r="AR365" s="104">
        <f t="shared" si="35"/>
        <v>0</v>
      </c>
    </row>
    <row r="366" spans="1:44">
      <c r="A366" s="50" t="s">
        <v>1224</v>
      </c>
      <c r="B366" s="51" t="s">
        <v>1225</v>
      </c>
      <c r="C366" s="50" t="s">
        <v>424</v>
      </c>
      <c r="D366" s="50">
        <v>27</v>
      </c>
      <c r="E366" s="51" t="s">
        <v>1227</v>
      </c>
      <c r="F366" s="51" t="s">
        <v>292</v>
      </c>
      <c r="G366" s="50" t="s">
        <v>293</v>
      </c>
      <c r="H366" s="52" t="s">
        <v>178</v>
      </c>
      <c r="I366" s="52" t="s">
        <v>190</v>
      </c>
      <c r="J366" s="53">
        <v>161.97</v>
      </c>
      <c r="K366" s="66">
        <v>0</v>
      </c>
      <c r="L366" s="66">
        <v>37122</v>
      </c>
      <c r="M366" s="54">
        <v>37122</v>
      </c>
      <c r="N366" s="64">
        <v>1129769</v>
      </c>
      <c r="O366" s="64">
        <v>214488</v>
      </c>
      <c r="P366" s="64">
        <v>210634</v>
      </c>
      <c r="Q366" s="54">
        <v>1554891</v>
      </c>
      <c r="R366" s="62">
        <v>106947</v>
      </c>
      <c r="S366" s="54">
        <v>1698960</v>
      </c>
      <c r="T366" s="81">
        <v>80539</v>
      </c>
      <c r="U366" s="81">
        <v>9433</v>
      </c>
      <c r="V366" s="81">
        <v>0</v>
      </c>
      <c r="W366" s="81">
        <v>0</v>
      </c>
      <c r="X366" s="54">
        <v>1788932</v>
      </c>
      <c r="Y366" s="54">
        <v>0</v>
      </c>
      <c r="Z366" s="54">
        <v>48679</v>
      </c>
      <c r="AA366" s="54">
        <v>1558149</v>
      </c>
      <c r="AB366" s="54">
        <v>182104</v>
      </c>
      <c r="AC366" s="55" t="s">
        <v>184</v>
      </c>
      <c r="AD366" s="56">
        <v>4035</v>
      </c>
      <c r="AE366" s="57">
        <v>7</v>
      </c>
      <c r="AF366" s="55" t="s">
        <v>292</v>
      </c>
      <c r="AG366" s="69">
        <v>0</v>
      </c>
      <c r="AH366" s="57">
        <v>7</v>
      </c>
      <c r="AI366" s="55" t="s">
        <v>292</v>
      </c>
      <c r="AJ366" s="71">
        <v>0</v>
      </c>
      <c r="AK366" s="72">
        <f t="shared" si="30"/>
        <v>0</v>
      </c>
      <c r="AL366" s="72">
        <f t="shared" si="31"/>
        <v>0</v>
      </c>
      <c r="AM366">
        <v>-1</v>
      </c>
      <c r="AO366" s="102">
        <f t="shared" si="32"/>
        <v>0</v>
      </c>
      <c r="AP366" s="103">
        <f t="shared" si="33"/>
        <v>11557</v>
      </c>
      <c r="AQ366" s="101">
        <f t="shared" si="34"/>
        <v>3258</v>
      </c>
      <c r="AR366" s="104">
        <f t="shared" si="35"/>
        <v>75157</v>
      </c>
    </row>
    <row r="367" spans="1:44">
      <c r="A367" s="50" t="s">
        <v>1224</v>
      </c>
      <c r="B367" s="51" t="s">
        <v>1225</v>
      </c>
      <c r="C367" s="50" t="s">
        <v>424</v>
      </c>
      <c r="D367" s="50">
        <v>62</v>
      </c>
      <c r="E367" s="51" t="s">
        <v>785</v>
      </c>
      <c r="F367" s="51" t="s">
        <v>330</v>
      </c>
      <c r="G367" s="50" t="s">
        <v>331</v>
      </c>
      <c r="H367" s="52" t="s">
        <v>178</v>
      </c>
      <c r="I367" s="52" t="s">
        <v>191</v>
      </c>
      <c r="J367" s="53">
        <v>110.76</v>
      </c>
      <c r="K367" s="66">
        <v>0</v>
      </c>
      <c r="L367" s="66">
        <v>27089</v>
      </c>
      <c r="M367" s="54">
        <v>27089</v>
      </c>
      <c r="N367" s="64">
        <v>713918</v>
      </c>
      <c r="O367" s="64">
        <v>183951</v>
      </c>
      <c r="P367" s="64">
        <v>137379</v>
      </c>
      <c r="Q367" s="54">
        <v>1035248</v>
      </c>
      <c r="R367" s="62">
        <v>33111</v>
      </c>
      <c r="S367" s="54">
        <v>1095448</v>
      </c>
      <c r="T367" s="81">
        <v>40276</v>
      </c>
      <c r="U367" s="81">
        <v>0</v>
      </c>
      <c r="V367" s="81">
        <v>0</v>
      </c>
      <c r="W367" s="81">
        <v>0</v>
      </c>
      <c r="X367" s="54">
        <v>1135723</v>
      </c>
      <c r="Y367" s="54">
        <v>0</v>
      </c>
      <c r="Z367" s="54">
        <v>48368</v>
      </c>
      <c r="AA367" s="54">
        <v>1036839</v>
      </c>
      <c r="AB367" s="54">
        <v>50516</v>
      </c>
      <c r="AC367" s="55" t="s">
        <v>184</v>
      </c>
      <c r="AD367" s="56">
        <v>4059</v>
      </c>
      <c r="AE367" s="57">
        <v>7</v>
      </c>
      <c r="AF367" s="55" t="s">
        <v>330</v>
      </c>
      <c r="AG367" s="69">
        <v>0</v>
      </c>
      <c r="AH367" s="57">
        <v>7</v>
      </c>
      <c r="AI367" s="55" t="s">
        <v>330</v>
      </c>
      <c r="AJ367" s="71">
        <v>0</v>
      </c>
      <c r="AK367" s="72">
        <f t="shared" si="30"/>
        <v>0</v>
      </c>
      <c r="AL367" s="72">
        <f t="shared" si="31"/>
        <v>0</v>
      </c>
      <c r="AM367">
        <v>-1</v>
      </c>
      <c r="AO367" s="102">
        <f t="shared" si="32"/>
        <v>0</v>
      </c>
      <c r="AP367" s="103">
        <f t="shared" si="33"/>
        <v>21279</v>
      </c>
      <c r="AQ367" s="101">
        <f t="shared" si="34"/>
        <v>1591</v>
      </c>
      <c r="AR367" s="104">
        <f t="shared" si="35"/>
        <v>17405</v>
      </c>
    </row>
    <row r="368" spans="1:44">
      <c r="A368" s="50" t="s">
        <v>1224</v>
      </c>
      <c r="B368" s="51" t="s">
        <v>1225</v>
      </c>
      <c r="C368" s="50" t="s">
        <v>424</v>
      </c>
      <c r="D368" s="50">
        <v>27</v>
      </c>
      <c r="E368" s="51" t="s">
        <v>1227</v>
      </c>
      <c r="F368" s="51" t="s">
        <v>455</v>
      </c>
      <c r="G368" s="50" t="s">
        <v>456</v>
      </c>
      <c r="H368" s="52" t="s">
        <v>178</v>
      </c>
      <c r="I368" s="52" t="s">
        <v>190</v>
      </c>
      <c r="J368" s="53">
        <v>119.5</v>
      </c>
      <c r="K368" s="66">
        <v>0</v>
      </c>
      <c r="L368" s="66">
        <v>99413</v>
      </c>
      <c r="M368" s="54">
        <v>99413</v>
      </c>
      <c r="N368" s="64">
        <v>751760</v>
      </c>
      <c r="O368" s="64">
        <v>45959</v>
      </c>
      <c r="P368" s="64">
        <v>213038</v>
      </c>
      <c r="Q368" s="54">
        <v>1010757</v>
      </c>
      <c r="R368" s="62">
        <v>53944</v>
      </c>
      <c r="S368" s="54">
        <v>1164114</v>
      </c>
      <c r="T368" s="81">
        <v>0</v>
      </c>
      <c r="U368" s="81">
        <v>0</v>
      </c>
      <c r="V368" s="81">
        <v>0</v>
      </c>
      <c r="W368" s="81">
        <v>0</v>
      </c>
      <c r="X368" s="54">
        <v>1164114</v>
      </c>
      <c r="Y368" s="54">
        <v>0</v>
      </c>
      <c r="Z368" s="54">
        <v>99413</v>
      </c>
      <c r="AA368" s="54">
        <v>1010757</v>
      </c>
      <c r="AB368" s="54">
        <v>53944</v>
      </c>
      <c r="AC368" s="55" t="s">
        <v>184</v>
      </c>
      <c r="AD368" s="56">
        <v>4025</v>
      </c>
      <c r="AE368" s="57">
        <v>7</v>
      </c>
      <c r="AF368" s="55" t="s">
        <v>455</v>
      </c>
      <c r="AG368" s="69">
        <v>0</v>
      </c>
      <c r="AH368" s="57">
        <v>7</v>
      </c>
      <c r="AI368" s="55" t="s">
        <v>455</v>
      </c>
      <c r="AJ368" s="71">
        <v>0</v>
      </c>
      <c r="AK368" s="72">
        <f t="shared" si="30"/>
        <v>0</v>
      </c>
      <c r="AL368" s="72">
        <f t="shared" si="31"/>
        <v>0</v>
      </c>
      <c r="AM368">
        <v>-1</v>
      </c>
      <c r="AO368" s="102">
        <f t="shared" si="32"/>
        <v>0</v>
      </c>
      <c r="AP368" s="103">
        <f t="shared" si="33"/>
        <v>0</v>
      </c>
      <c r="AQ368" s="101">
        <f t="shared" si="34"/>
        <v>0</v>
      </c>
      <c r="AR368" s="104">
        <f t="shared" si="35"/>
        <v>0</v>
      </c>
    </row>
    <row r="369" spans="1:44">
      <c r="A369" s="50" t="s">
        <v>1224</v>
      </c>
      <c r="B369" s="51" t="s">
        <v>1225</v>
      </c>
      <c r="C369" s="50" t="s">
        <v>424</v>
      </c>
      <c r="D369" s="50">
        <v>62</v>
      </c>
      <c r="E369" s="51" t="s">
        <v>785</v>
      </c>
      <c r="F369" s="51" t="s">
        <v>112</v>
      </c>
      <c r="G369" s="50" t="s">
        <v>113</v>
      </c>
      <c r="H369" s="52" t="s">
        <v>178</v>
      </c>
      <c r="I369" s="52" t="s">
        <v>191</v>
      </c>
      <c r="J369" s="53">
        <v>87.38</v>
      </c>
      <c r="K369" s="66">
        <v>0</v>
      </c>
      <c r="L369" s="66">
        <v>24590</v>
      </c>
      <c r="M369" s="54">
        <v>24590</v>
      </c>
      <c r="N369" s="64">
        <v>537417</v>
      </c>
      <c r="O369" s="64">
        <v>72690</v>
      </c>
      <c r="P369" s="64">
        <v>148575</v>
      </c>
      <c r="Q369" s="54">
        <v>758682</v>
      </c>
      <c r="R369" s="62">
        <v>189256</v>
      </c>
      <c r="S369" s="54">
        <v>972528</v>
      </c>
      <c r="T369" s="81">
        <v>22717</v>
      </c>
      <c r="U369" s="81">
        <v>0</v>
      </c>
      <c r="V369" s="81">
        <v>0</v>
      </c>
      <c r="W369" s="81">
        <v>0</v>
      </c>
      <c r="X369" s="54">
        <v>995245</v>
      </c>
      <c r="Y369" s="54">
        <v>0</v>
      </c>
      <c r="Z369" s="54">
        <v>41389</v>
      </c>
      <c r="AA369" s="54">
        <v>760234</v>
      </c>
      <c r="AB369" s="54">
        <v>193622</v>
      </c>
      <c r="AC369" s="55" t="s">
        <v>184</v>
      </c>
      <c r="AD369" s="56">
        <v>4149</v>
      </c>
      <c r="AE369" s="57">
        <v>7</v>
      </c>
      <c r="AF369" s="55" t="s">
        <v>112</v>
      </c>
      <c r="AG369" s="69">
        <v>0</v>
      </c>
      <c r="AH369" s="57">
        <v>7</v>
      </c>
      <c r="AI369" s="55" t="s">
        <v>112</v>
      </c>
      <c r="AJ369" s="71">
        <v>0</v>
      </c>
      <c r="AK369" s="72">
        <f t="shared" si="30"/>
        <v>0</v>
      </c>
      <c r="AL369" s="72">
        <f t="shared" si="31"/>
        <v>0</v>
      </c>
      <c r="AM369">
        <v>-1</v>
      </c>
      <c r="AO369" s="102">
        <f t="shared" si="32"/>
        <v>0</v>
      </c>
      <c r="AP369" s="103">
        <f t="shared" si="33"/>
        <v>16799</v>
      </c>
      <c r="AQ369" s="101">
        <f t="shared" si="34"/>
        <v>1552</v>
      </c>
      <c r="AR369" s="104">
        <f t="shared" si="35"/>
        <v>4366</v>
      </c>
    </row>
    <row r="370" spans="1:44">
      <c r="A370" s="50" t="s">
        <v>1224</v>
      </c>
      <c r="B370" s="51" t="s">
        <v>1225</v>
      </c>
      <c r="C370" s="50" t="s">
        <v>424</v>
      </c>
      <c r="D370" s="50">
        <v>62</v>
      </c>
      <c r="E370" s="51" t="s">
        <v>785</v>
      </c>
      <c r="F370" s="51" t="s">
        <v>128</v>
      </c>
      <c r="G370" s="50" t="s">
        <v>129</v>
      </c>
      <c r="H370" s="52" t="s">
        <v>178</v>
      </c>
      <c r="I370" s="95" t="s">
        <v>191</v>
      </c>
      <c r="J370" s="53">
        <v>95.93</v>
      </c>
      <c r="K370" s="66">
        <v>0</v>
      </c>
      <c r="L370" s="66">
        <v>37905</v>
      </c>
      <c r="M370" s="54">
        <v>37905</v>
      </c>
      <c r="N370" s="64">
        <v>608235</v>
      </c>
      <c r="O370" s="64">
        <v>162561</v>
      </c>
      <c r="P370" s="64">
        <v>165099</v>
      </c>
      <c r="Q370" s="54">
        <v>935895</v>
      </c>
      <c r="R370" s="62">
        <v>127465</v>
      </c>
      <c r="S370" s="54">
        <v>1101265</v>
      </c>
      <c r="T370" s="81">
        <v>21323</v>
      </c>
      <c r="U370" s="81">
        <v>0</v>
      </c>
      <c r="V370" s="81">
        <v>0</v>
      </c>
      <c r="W370" s="81">
        <v>0</v>
      </c>
      <c r="X370" s="54">
        <v>1122588</v>
      </c>
      <c r="Y370" s="54">
        <v>0</v>
      </c>
      <c r="Z370" s="54">
        <v>55405</v>
      </c>
      <c r="AA370" s="54">
        <v>936141</v>
      </c>
      <c r="AB370" s="54">
        <v>131042</v>
      </c>
      <c r="AC370" s="55" t="s">
        <v>184</v>
      </c>
      <c r="AD370" s="56">
        <v>4158</v>
      </c>
      <c r="AE370" s="57">
        <v>7</v>
      </c>
      <c r="AF370" s="55" t="s">
        <v>128</v>
      </c>
      <c r="AG370" s="69">
        <v>0</v>
      </c>
      <c r="AH370" s="57">
        <v>7</v>
      </c>
      <c r="AI370" s="55" t="s">
        <v>128</v>
      </c>
      <c r="AJ370" s="71">
        <v>0</v>
      </c>
      <c r="AK370" s="72">
        <f t="shared" si="30"/>
        <v>0</v>
      </c>
      <c r="AL370" s="72">
        <f t="shared" si="31"/>
        <v>0</v>
      </c>
      <c r="AM370">
        <v>-1</v>
      </c>
      <c r="AO370" s="102">
        <f t="shared" si="32"/>
        <v>0</v>
      </c>
      <c r="AP370" s="103">
        <f t="shared" si="33"/>
        <v>17500</v>
      </c>
      <c r="AQ370" s="101">
        <f t="shared" si="34"/>
        <v>246</v>
      </c>
      <c r="AR370" s="104">
        <f t="shared" si="35"/>
        <v>3577</v>
      </c>
    </row>
    <row r="371" spans="1:44">
      <c r="A371" s="50" t="s">
        <v>1224</v>
      </c>
      <c r="B371" s="51" t="s">
        <v>1225</v>
      </c>
      <c r="C371" s="50" t="s">
        <v>424</v>
      </c>
      <c r="D371" s="50">
        <v>27</v>
      </c>
      <c r="E371" s="51" t="s">
        <v>1227</v>
      </c>
      <c r="F371" s="51" t="s">
        <v>256</v>
      </c>
      <c r="G371" s="50" t="s">
        <v>257</v>
      </c>
      <c r="H371" s="52" t="s">
        <v>178</v>
      </c>
      <c r="I371" s="52" t="s">
        <v>191</v>
      </c>
      <c r="J371" s="53">
        <v>52</v>
      </c>
      <c r="K371" s="66">
        <v>0</v>
      </c>
      <c r="L371" s="66">
        <v>3406</v>
      </c>
      <c r="M371" s="54">
        <v>3406</v>
      </c>
      <c r="N371" s="64">
        <v>293378</v>
      </c>
      <c r="O371" s="64">
        <v>52639</v>
      </c>
      <c r="P371" s="64">
        <v>66408</v>
      </c>
      <c r="Q371" s="54">
        <v>412425</v>
      </c>
      <c r="R371" s="62">
        <v>185044</v>
      </c>
      <c r="S371" s="54">
        <v>600875</v>
      </c>
      <c r="T371" s="81">
        <v>20459</v>
      </c>
      <c r="U371" s="81">
        <v>21279</v>
      </c>
      <c r="V371" s="81">
        <v>0</v>
      </c>
      <c r="W371" s="81">
        <v>0</v>
      </c>
      <c r="X371" s="54">
        <v>642612</v>
      </c>
      <c r="Y371" s="54">
        <v>0</v>
      </c>
      <c r="Z371" s="54">
        <v>41906</v>
      </c>
      <c r="AA371" s="54">
        <v>412924</v>
      </c>
      <c r="AB371" s="54">
        <v>187782</v>
      </c>
      <c r="AC371" s="55" t="s">
        <v>184</v>
      </c>
      <c r="AD371" s="56">
        <v>4123</v>
      </c>
      <c r="AE371" s="57">
        <v>7</v>
      </c>
      <c r="AF371" s="55" t="s">
        <v>256</v>
      </c>
      <c r="AG371" s="69">
        <v>8992.6299999999992</v>
      </c>
      <c r="AH371" s="57">
        <v>7</v>
      </c>
      <c r="AI371" s="55" t="s">
        <v>256</v>
      </c>
      <c r="AJ371" s="71">
        <v>0</v>
      </c>
      <c r="AK371" s="72">
        <f t="shared" si="30"/>
        <v>-8992.6299999999992</v>
      </c>
      <c r="AL371" s="72">
        <f t="shared" si="31"/>
        <v>0</v>
      </c>
      <c r="AM371">
        <v>-1</v>
      </c>
      <c r="AO371" s="102">
        <f t="shared" si="32"/>
        <v>0</v>
      </c>
      <c r="AP371" s="103">
        <f t="shared" si="33"/>
        <v>38500</v>
      </c>
      <c r="AQ371" s="101">
        <f t="shared" si="34"/>
        <v>499</v>
      </c>
      <c r="AR371" s="104">
        <f t="shared" si="35"/>
        <v>2738</v>
      </c>
    </row>
    <row r="372" spans="1:44">
      <c r="A372" s="50" t="s">
        <v>1224</v>
      </c>
      <c r="B372" s="51" t="s">
        <v>1225</v>
      </c>
      <c r="C372" s="50" t="s">
        <v>424</v>
      </c>
      <c r="D372" s="50">
        <v>62</v>
      </c>
      <c r="E372" s="51" t="s">
        <v>785</v>
      </c>
      <c r="F372" s="51" t="s">
        <v>360</v>
      </c>
      <c r="G372" s="50" t="s">
        <v>361</v>
      </c>
      <c r="H372" s="52" t="s">
        <v>178</v>
      </c>
      <c r="I372" s="52" t="s">
        <v>191</v>
      </c>
      <c r="J372" s="53">
        <v>53.41</v>
      </c>
      <c r="K372" s="66">
        <v>0</v>
      </c>
      <c r="L372" s="66">
        <v>18702</v>
      </c>
      <c r="M372" s="54">
        <v>18702</v>
      </c>
      <c r="N372" s="64">
        <v>393131</v>
      </c>
      <c r="O372" s="64">
        <v>51975</v>
      </c>
      <c r="P372" s="64">
        <v>75615</v>
      </c>
      <c r="Q372" s="54">
        <v>520721</v>
      </c>
      <c r="R372" s="62">
        <v>41534</v>
      </c>
      <c r="S372" s="54">
        <v>580957</v>
      </c>
      <c r="T372" s="81">
        <v>16528</v>
      </c>
      <c r="U372" s="81">
        <v>0</v>
      </c>
      <c r="V372" s="81">
        <v>0</v>
      </c>
      <c r="W372" s="81">
        <v>0</v>
      </c>
      <c r="X372" s="54">
        <v>597485</v>
      </c>
      <c r="Y372" s="54">
        <v>0</v>
      </c>
      <c r="Z372" s="54">
        <v>21721</v>
      </c>
      <c r="AA372" s="54">
        <v>521708</v>
      </c>
      <c r="AB372" s="54">
        <v>54056</v>
      </c>
      <c r="AC372" s="55" t="s">
        <v>184</v>
      </c>
      <c r="AD372" s="56">
        <v>4081</v>
      </c>
      <c r="AE372" s="57">
        <v>7</v>
      </c>
      <c r="AF372" s="55" t="s">
        <v>360</v>
      </c>
      <c r="AG372" s="69">
        <v>0</v>
      </c>
      <c r="AH372" s="57">
        <v>7</v>
      </c>
      <c r="AI372" s="55" t="s">
        <v>360</v>
      </c>
      <c r="AJ372" s="71">
        <v>0</v>
      </c>
      <c r="AK372" s="72">
        <f t="shared" si="30"/>
        <v>0</v>
      </c>
      <c r="AL372" s="72">
        <f t="shared" si="31"/>
        <v>0</v>
      </c>
      <c r="AM372">
        <v>-1</v>
      </c>
      <c r="AO372" s="102">
        <f t="shared" si="32"/>
        <v>0</v>
      </c>
      <c r="AP372" s="103">
        <f t="shared" si="33"/>
        <v>3019</v>
      </c>
      <c r="AQ372" s="101">
        <f t="shared" si="34"/>
        <v>987</v>
      </c>
      <c r="AR372" s="104">
        <f t="shared" si="35"/>
        <v>12522</v>
      </c>
    </row>
    <row r="373" spans="1:44">
      <c r="A373" s="50" t="s">
        <v>1224</v>
      </c>
      <c r="B373" s="51" t="s">
        <v>1225</v>
      </c>
      <c r="C373" s="50" t="s">
        <v>424</v>
      </c>
      <c r="D373" s="50">
        <v>62</v>
      </c>
      <c r="E373" s="51" t="s">
        <v>785</v>
      </c>
      <c r="F373" s="51" t="s">
        <v>120</v>
      </c>
      <c r="G373" s="50" t="s">
        <v>121</v>
      </c>
      <c r="H373" s="52" t="s">
        <v>178</v>
      </c>
      <c r="I373" s="52" t="s">
        <v>190</v>
      </c>
      <c r="J373" s="53">
        <v>184.66</v>
      </c>
      <c r="K373" s="66">
        <v>0</v>
      </c>
      <c r="L373" s="66">
        <v>4041</v>
      </c>
      <c r="M373" s="54">
        <v>4041</v>
      </c>
      <c r="N373" s="64">
        <v>1509922</v>
      </c>
      <c r="O373" s="64">
        <v>12079</v>
      </c>
      <c r="P373" s="64">
        <v>352879</v>
      </c>
      <c r="Q373" s="54">
        <v>1874880</v>
      </c>
      <c r="R373" s="62">
        <v>291058</v>
      </c>
      <c r="S373" s="54">
        <v>2169979</v>
      </c>
      <c r="T373" s="81">
        <v>109837</v>
      </c>
      <c r="U373" s="81">
        <v>0</v>
      </c>
      <c r="V373" s="81">
        <v>0</v>
      </c>
      <c r="W373" s="81">
        <v>0</v>
      </c>
      <c r="X373" s="54">
        <v>2279817</v>
      </c>
      <c r="Y373" s="54">
        <v>0</v>
      </c>
      <c r="Z373" s="54">
        <v>4173</v>
      </c>
      <c r="AA373" s="54">
        <v>1878865</v>
      </c>
      <c r="AB373" s="54">
        <v>396779</v>
      </c>
      <c r="AC373" s="55" t="s">
        <v>184</v>
      </c>
      <c r="AD373" s="56">
        <v>4153</v>
      </c>
      <c r="AE373" s="57">
        <v>7</v>
      </c>
      <c r="AF373" s="55" t="s">
        <v>120</v>
      </c>
      <c r="AG373" s="69">
        <v>0</v>
      </c>
      <c r="AH373" s="57">
        <v>7</v>
      </c>
      <c r="AI373" s="55" t="s">
        <v>120</v>
      </c>
      <c r="AJ373" s="71">
        <v>0</v>
      </c>
      <c r="AK373" s="72">
        <f t="shared" si="30"/>
        <v>0</v>
      </c>
      <c r="AL373" s="72">
        <f t="shared" si="31"/>
        <v>0</v>
      </c>
      <c r="AM373">
        <v>-1</v>
      </c>
      <c r="AO373" s="102">
        <f t="shared" si="32"/>
        <v>0</v>
      </c>
      <c r="AP373" s="103">
        <f t="shared" si="33"/>
        <v>132</v>
      </c>
      <c r="AQ373" s="101">
        <f t="shared" si="34"/>
        <v>3985</v>
      </c>
      <c r="AR373" s="104">
        <f t="shared" si="35"/>
        <v>105721</v>
      </c>
    </row>
    <row r="374" spans="1:44">
      <c r="A374" s="50" t="s">
        <v>1224</v>
      </c>
      <c r="B374" s="51" t="s">
        <v>1225</v>
      </c>
      <c r="C374" s="50" t="s">
        <v>424</v>
      </c>
      <c r="D374" s="50">
        <v>82</v>
      </c>
      <c r="E374" s="51" t="s">
        <v>583</v>
      </c>
      <c r="F374" s="51" t="s">
        <v>453</v>
      </c>
      <c r="G374" s="50" t="s">
        <v>454</v>
      </c>
      <c r="H374" s="52" t="s">
        <v>178</v>
      </c>
      <c r="I374" s="52" t="s">
        <v>191</v>
      </c>
      <c r="J374" s="53">
        <v>789.96</v>
      </c>
      <c r="K374" s="66">
        <v>0</v>
      </c>
      <c r="L374" s="66">
        <v>66804</v>
      </c>
      <c r="M374" s="54">
        <v>66804</v>
      </c>
      <c r="N374" s="64">
        <v>6064093</v>
      </c>
      <c r="O374" s="64">
        <v>610437</v>
      </c>
      <c r="P374" s="64">
        <v>531820</v>
      </c>
      <c r="Q374" s="54">
        <v>7206350</v>
      </c>
      <c r="R374" s="62">
        <v>515930</v>
      </c>
      <c r="S374" s="54">
        <v>7789084</v>
      </c>
      <c r="T374" s="81">
        <v>298689</v>
      </c>
      <c r="U374" s="81">
        <v>72349</v>
      </c>
      <c r="V374" s="81">
        <v>0</v>
      </c>
      <c r="W374" s="81">
        <v>0</v>
      </c>
      <c r="X374" s="54">
        <v>8160121</v>
      </c>
      <c r="Y374" s="54">
        <v>0</v>
      </c>
      <c r="Z374" s="54">
        <v>224352</v>
      </c>
      <c r="AA374" s="54">
        <v>7227568</v>
      </c>
      <c r="AB374" s="54">
        <v>708201</v>
      </c>
      <c r="AC374" s="55" t="s">
        <v>184</v>
      </c>
      <c r="AD374" s="56">
        <v>4020</v>
      </c>
      <c r="AE374" s="57">
        <v>7</v>
      </c>
      <c r="AF374" s="55" t="s">
        <v>453</v>
      </c>
      <c r="AG374" s="69">
        <v>0</v>
      </c>
      <c r="AH374" s="57">
        <v>7</v>
      </c>
      <c r="AI374" s="55" t="s">
        <v>453</v>
      </c>
      <c r="AJ374" s="71">
        <v>0</v>
      </c>
      <c r="AK374" s="72">
        <f t="shared" si="30"/>
        <v>0</v>
      </c>
      <c r="AL374" s="72">
        <f t="shared" si="31"/>
        <v>0</v>
      </c>
      <c r="AM374">
        <v>-1</v>
      </c>
      <c r="AO374" s="102">
        <f t="shared" si="32"/>
        <v>0</v>
      </c>
      <c r="AP374" s="103">
        <f t="shared" si="33"/>
        <v>157548</v>
      </c>
      <c r="AQ374" s="101">
        <f t="shared" si="34"/>
        <v>21218</v>
      </c>
      <c r="AR374" s="104">
        <f t="shared" si="35"/>
        <v>192271</v>
      </c>
    </row>
    <row r="375" spans="1:44" s="93" customFormat="1">
      <c r="A375" s="83" t="s">
        <v>1224</v>
      </c>
      <c r="B375" s="84" t="s">
        <v>1225</v>
      </c>
      <c r="C375" s="83" t="s">
        <v>424</v>
      </c>
      <c r="D375" s="83">
        <v>27</v>
      </c>
      <c r="E375" s="84" t="s">
        <v>1227</v>
      </c>
      <c r="F375" s="84" t="s">
        <v>158</v>
      </c>
      <c r="G375" s="83" t="s">
        <v>159</v>
      </c>
      <c r="H375" s="85" t="s">
        <v>178</v>
      </c>
      <c r="I375" s="85"/>
      <c r="J375" s="86">
        <v>0</v>
      </c>
      <c r="K375" s="86">
        <v>0</v>
      </c>
      <c r="L375" s="86">
        <v>492201</v>
      </c>
      <c r="M375" s="87">
        <v>492201</v>
      </c>
      <c r="N375" s="86">
        <v>0</v>
      </c>
      <c r="O375" s="86">
        <v>0</v>
      </c>
      <c r="P375" s="86">
        <v>0</v>
      </c>
      <c r="Q375" s="87">
        <v>0</v>
      </c>
      <c r="R375" s="86">
        <v>104495</v>
      </c>
      <c r="S375" s="87">
        <v>596696</v>
      </c>
      <c r="T375" s="81">
        <v>0</v>
      </c>
      <c r="U375" s="81">
        <v>0</v>
      </c>
      <c r="V375" s="81">
        <v>0</v>
      </c>
      <c r="W375" s="81">
        <v>0</v>
      </c>
      <c r="X375" s="87">
        <v>596696</v>
      </c>
      <c r="Y375" s="87">
        <v>0</v>
      </c>
      <c r="Z375" s="87">
        <v>492201</v>
      </c>
      <c r="AA375" s="87">
        <v>0</v>
      </c>
      <c r="AB375" s="87">
        <v>104495</v>
      </c>
      <c r="AC375" s="88" t="s">
        <v>184</v>
      </c>
      <c r="AD375" s="89">
        <v>4173</v>
      </c>
      <c r="AE375" s="90">
        <v>7</v>
      </c>
      <c r="AF375" s="90" t="s">
        <v>158</v>
      </c>
      <c r="AG375" s="91">
        <v>0</v>
      </c>
      <c r="AH375" s="90">
        <v>7</v>
      </c>
      <c r="AI375" s="90" t="s">
        <v>158</v>
      </c>
      <c r="AJ375" s="92">
        <v>0</v>
      </c>
      <c r="AK375" s="93">
        <f t="shared" si="30"/>
        <v>0</v>
      </c>
      <c r="AL375" s="93">
        <f t="shared" si="31"/>
        <v>0</v>
      </c>
      <c r="AM375" s="93">
        <v>-1</v>
      </c>
      <c r="AO375" s="102">
        <f t="shared" si="32"/>
        <v>0</v>
      </c>
      <c r="AP375" s="103">
        <f t="shared" si="33"/>
        <v>0</v>
      </c>
      <c r="AQ375" s="101">
        <f t="shared" si="34"/>
        <v>0</v>
      </c>
      <c r="AR375" s="104">
        <f t="shared" si="35"/>
        <v>0</v>
      </c>
    </row>
    <row r="376" spans="1:44">
      <c r="A376" s="50" t="s">
        <v>1249</v>
      </c>
      <c r="B376" s="51" t="s">
        <v>1250</v>
      </c>
      <c r="C376" s="50" t="s">
        <v>424</v>
      </c>
      <c r="D376" s="50">
        <v>21</v>
      </c>
      <c r="E376" s="51" t="s">
        <v>1024</v>
      </c>
      <c r="F376" s="51" t="s">
        <v>457</v>
      </c>
      <c r="G376" s="50" t="s">
        <v>458</v>
      </c>
      <c r="H376" s="52" t="s">
        <v>178</v>
      </c>
      <c r="I376" s="52" t="s">
        <v>191</v>
      </c>
      <c r="J376" s="53">
        <v>170.21</v>
      </c>
      <c r="K376" s="66">
        <v>0</v>
      </c>
      <c r="L376" s="66">
        <v>115377</v>
      </c>
      <c r="M376" s="54">
        <v>115377</v>
      </c>
      <c r="N376" s="64">
        <v>1247994</v>
      </c>
      <c r="O376" s="64">
        <v>159083</v>
      </c>
      <c r="P376" s="64">
        <v>216144</v>
      </c>
      <c r="Q376" s="54">
        <v>1623221</v>
      </c>
      <c r="R376" s="62">
        <v>65373</v>
      </c>
      <c r="S376" s="54">
        <v>1803971</v>
      </c>
      <c r="T376" s="81">
        <v>74573</v>
      </c>
      <c r="U376" s="81">
        <v>0</v>
      </c>
      <c r="V376" s="81">
        <v>0</v>
      </c>
      <c r="W376" s="81">
        <v>0</v>
      </c>
      <c r="X376" s="54">
        <v>1878545</v>
      </c>
      <c r="Y376" s="54">
        <v>0</v>
      </c>
      <c r="Z376" s="54">
        <v>147640</v>
      </c>
      <c r="AA376" s="54">
        <v>1628713</v>
      </c>
      <c r="AB376" s="54">
        <v>102192</v>
      </c>
      <c r="AC376" s="55" t="s">
        <v>184</v>
      </c>
      <c r="AD376" s="56">
        <v>4026</v>
      </c>
      <c r="AE376" s="57">
        <v>7</v>
      </c>
      <c r="AF376" s="55" t="s">
        <v>457</v>
      </c>
      <c r="AG376" s="69">
        <v>0</v>
      </c>
      <c r="AH376" s="57">
        <v>7</v>
      </c>
      <c r="AI376" s="55" t="s">
        <v>457</v>
      </c>
      <c r="AJ376" s="71">
        <v>0</v>
      </c>
      <c r="AK376" s="72">
        <f t="shared" si="30"/>
        <v>0</v>
      </c>
      <c r="AL376" s="72">
        <f t="shared" si="31"/>
        <v>0</v>
      </c>
      <c r="AM376">
        <v>-1</v>
      </c>
      <c r="AO376" s="102">
        <f t="shared" si="32"/>
        <v>0</v>
      </c>
      <c r="AP376" s="103">
        <f t="shared" si="33"/>
        <v>32263</v>
      </c>
      <c r="AQ376" s="101">
        <f t="shared" si="34"/>
        <v>5492</v>
      </c>
      <c r="AR376" s="104">
        <f t="shared" si="35"/>
        <v>36819</v>
      </c>
    </row>
    <row r="377" spans="1:44">
      <c r="A377" s="50" t="s">
        <v>1218</v>
      </c>
      <c r="B377" s="51" t="s">
        <v>1219</v>
      </c>
      <c r="C377" s="50" t="s">
        <v>424</v>
      </c>
      <c r="D377" s="50">
        <v>69</v>
      </c>
      <c r="E377" s="51" t="s">
        <v>651</v>
      </c>
      <c r="F377" s="51" t="s">
        <v>254</v>
      </c>
      <c r="G377" s="50" t="s">
        <v>255</v>
      </c>
      <c r="H377" s="52" t="s">
        <v>178</v>
      </c>
      <c r="I377" s="52" t="s">
        <v>191</v>
      </c>
      <c r="J377" s="53">
        <v>196.02</v>
      </c>
      <c r="K377" s="66">
        <v>0</v>
      </c>
      <c r="L377" s="66">
        <v>50882</v>
      </c>
      <c r="M377" s="54">
        <v>50882</v>
      </c>
      <c r="N377" s="64">
        <v>1305478</v>
      </c>
      <c r="O377" s="64">
        <v>66183</v>
      </c>
      <c r="P377" s="64">
        <v>296893</v>
      </c>
      <c r="Q377" s="54">
        <v>1668554</v>
      </c>
      <c r="R377" s="62">
        <v>112022</v>
      </c>
      <c r="S377" s="54">
        <v>1831458</v>
      </c>
      <c r="T377" s="81">
        <v>0</v>
      </c>
      <c r="U377" s="81">
        <v>0</v>
      </c>
      <c r="V377" s="81">
        <v>0</v>
      </c>
      <c r="W377" s="81">
        <v>0</v>
      </c>
      <c r="X377" s="54">
        <v>1831458</v>
      </c>
      <c r="Y377" s="54">
        <v>0</v>
      </c>
      <c r="Z377" s="54">
        <v>50882</v>
      </c>
      <c r="AA377" s="54">
        <v>1668554</v>
      </c>
      <c r="AB377" s="54">
        <v>112022</v>
      </c>
      <c r="AC377" s="55" t="s">
        <v>184</v>
      </c>
      <c r="AD377" s="56">
        <v>4122</v>
      </c>
      <c r="AE377" s="57">
        <v>7</v>
      </c>
      <c r="AF377" s="55" t="s">
        <v>254</v>
      </c>
      <c r="AG377" s="69">
        <v>0</v>
      </c>
      <c r="AH377" s="57">
        <v>7</v>
      </c>
      <c r="AI377" s="55" t="s">
        <v>254</v>
      </c>
      <c r="AJ377" s="71">
        <v>0</v>
      </c>
      <c r="AK377" s="72">
        <f t="shared" si="30"/>
        <v>0</v>
      </c>
      <c r="AL377" s="72">
        <f t="shared" si="31"/>
        <v>0</v>
      </c>
      <c r="AM377">
        <v>-1</v>
      </c>
      <c r="AO377" s="102">
        <f t="shared" si="32"/>
        <v>0</v>
      </c>
      <c r="AP377" s="103">
        <f t="shared" si="33"/>
        <v>0</v>
      </c>
      <c r="AQ377" s="101">
        <f t="shared" si="34"/>
        <v>0</v>
      </c>
      <c r="AR377" s="104">
        <f t="shared" si="35"/>
        <v>0</v>
      </c>
    </row>
    <row r="378" spans="1:44" s="93" customFormat="1">
      <c r="A378" s="83" t="s">
        <v>1080</v>
      </c>
      <c r="B378" s="84" t="s">
        <v>1081</v>
      </c>
      <c r="C378" s="83" t="s">
        <v>424</v>
      </c>
      <c r="D378" s="83">
        <v>73</v>
      </c>
      <c r="E378" s="84" t="s">
        <v>690</v>
      </c>
      <c r="F378" s="84" t="s">
        <v>144</v>
      </c>
      <c r="G378" s="83" t="s">
        <v>145</v>
      </c>
      <c r="H378" s="85" t="s">
        <v>178</v>
      </c>
      <c r="I378" s="85"/>
      <c r="J378" s="86">
        <v>0</v>
      </c>
      <c r="K378" s="86">
        <v>0</v>
      </c>
      <c r="L378" s="86">
        <v>1484</v>
      </c>
      <c r="M378" s="87">
        <v>1484</v>
      </c>
      <c r="N378" s="86">
        <v>0</v>
      </c>
      <c r="O378" s="86">
        <v>0</v>
      </c>
      <c r="P378" s="86">
        <v>0</v>
      </c>
      <c r="Q378" s="87">
        <v>0</v>
      </c>
      <c r="R378" s="86">
        <v>41719</v>
      </c>
      <c r="S378" s="87">
        <v>43203</v>
      </c>
      <c r="T378" s="81">
        <v>0</v>
      </c>
      <c r="U378" s="81">
        <v>0</v>
      </c>
      <c r="V378" s="81">
        <v>0</v>
      </c>
      <c r="W378" s="81">
        <v>0</v>
      </c>
      <c r="X378" s="87">
        <v>43203</v>
      </c>
      <c r="Y378" s="87">
        <v>0</v>
      </c>
      <c r="Z378" s="87">
        <v>1484</v>
      </c>
      <c r="AA378" s="87">
        <v>0</v>
      </c>
      <c r="AB378" s="87">
        <v>41719</v>
      </c>
      <c r="AC378" s="88" t="s">
        <v>184</v>
      </c>
      <c r="AD378" s="89">
        <v>4166</v>
      </c>
      <c r="AE378" s="90">
        <v>7</v>
      </c>
      <c r="AF378" s="90" t="s">
        <v>144</v>
      </c>
      <c r="AG378" s="91">
        <v>0</v>
      </c>
      <c r="AH378" s="90">
        <v>7</v>
      </c>
      <c r="AI378" s="90" t="s">
        <v>144</v>
      </c>
      <c r="AJ378" s="92">
        <v>0</v>
      </c>
      <c r="AK378" s="93">
        <f t="shared" si="30"/>
        <v>0</v>
      </c>
      <c r="AL378" s="93">
        <f t="shared" si="31"/>
        <v>0</v>
      </c>
      <c r="AM378" s="93">
        <v>-1</v>
      </c>
      <c r="AO378" s="102">
        <f t="shared" si="32"/>
        <v>0</v>
      </c>
      <c r="AP378" s="103">
        <f t="shared" si="33"/>
        <v>0</v>
      </c>
      <c r="AQ378" s="101">
        <f t="shared" si="34"/>
        <v>0</v>
      </c>
      <c r="AR378" s="104">
        <f t="shared" si="35"/>
        <v>0</v>
      </c>
    </row>
    <row r="379" spans="1:44">
      <c r="A379" s="50" t="s">
        <v>1224</v>
      </c>
      <c r="B379" s="51" t="s">
        <v>1225</v>
      </c>
      <c r="C379" s="50" t="s">
        <v>424</v>
      </c>
      <c r="D379" s="50">
        <v>2</v>
      </c>
      <c r="E379" s="51" t="s">
        <v>1236</v>
      </c>
      <c r="F379" s="51" t="s">
        <v>461</v>
      </c>
      <c r="G379" s="50" t="s">
        <v>462</v>
      </c>
      <c r="H379" s="52" t="s">
        <v>178</v>
      </c>
      <c r="I379" s="52" t="s">
        <v>191</v>
      </c>
      <c r="J379" s="53">
        <v>27.21</v>
      </c>
      <c r="K379" s="66">
        <v>0</v>
      </c>
      <c r="L379" s="66">
        <v>10661</v>
      </c>
      <c r="M379" s="54">
        <v>10661</v>
      </c>
      <c r="N379" s="64">
        <v>212788</v>
      </c>
      <c r="O379" s="64">
        <v>108700</v>
      </c>
      <c r="P379" s="64">
        <v>75006</v>
      </c>
      <c r="Q379" s="54">
        <v>396494</v>
      </c>
      <c r="R379" s="62">
        <v>149628</v>
      </c>
      <c r="S379" s="54">
        <v>556783</v>
      </c>
      <c r="T379" s="81">
        <v>6649</v>
      </c>
      <c r="U379" s="81">
        <v>0</v>
      </c>
      <c r="V379" s="81">
        <v>0</v>
      </c>
      <c r="W379" s="81">
        <v>0</v>
      </c>
      <c r="X379" s="54">
        <v>563433</v>
      </c>
      <c r="Y379" s="54">
        <v>0</v>
      </c>
      <c r="Z379" s="54">
        <v>17310</v>
      </c>
      <c r="AA379" s="54">
        <v>396495</v>
      </c>
      <c r="AB379" s="54">
        <v>149628</v>
      </c>
      <c r="AC379" s="55" t="s">
        <v>184</v>
      </c>
      <c r="AD379" s="56">
        <v>4028</v>
      </c>
      <c r="AE379" s="57">
        <v>7</v>
      </c>
      <c r="AF379" s="55" t="s">
        <v>461</v>
      </c>
      <c r="AG379" s="69">
        <v>0</v>
      </c>
      <c r="AH379" s="57">
        <v>7</v>
      </c>
      <c r="AI379" s="55" t="s">
        <v>461</v>
      </c>
      <c r="AJ379" s="71">
        <v>0</v>
      </c>
      <c r="AK379" s="72">
        <f t="shared" si="30"/>
        <v>0</v>
      </c>
      <c r="AL379" s="72">
        <f t="shared" si="31"/>
        <v>0</v>
      </c>
      <c r="AM379">
        <v>-1</v>
      </c>
      <c r="AO379" s="102">
        <f t="shared" si="32"/>
        <v>0</v>
      </c>
      <c r="AP379" s="103">
        <f t="shared" si="33"/>
        <v>6649</v>
      </c>
      <c r="AQ379" s="101">
        <f t="shared" si="34"/>
        <v>1</v>
      </c>
      <c r="AR379" s="104">
        <f t="shared" si="35"/>
        <v>0</v>
      </c>
    </row>
    <row r="380" spans="1:44">
      <c r="A380" s="50" t="s">
        <v>1092</v>
      </c>
      <c r="B380" s="51" t="s">
        <v>1093</v>
      </c>
      <c r="C380" s="50" t="s">
        <v>424</v>
      </c>
      <c r="D380" s="50">
        <v>52</v>
      </c>
      <c r="E380" s="51" t="s">
        <v>889</v>
      </c>
      <c r="F380" s="51" t="s">
        <v>116</v>
      </c>
      <c r="G380" s="50" t="s">
        <v>117</v>
      </c>
      <c r="H380" s="52" t="s">
        <v>178</v>
      </c>
      <c r="I380" s="52" t="s">
        <v>192</v>
      </c>
      <c r="J380" s="53">
        <v>65.33</v>
      </c>
      <c r="K380" s="66">
        <v>0</v>
      </c>
      <c r="L380" s="66">
        <v>12235</v>
      </c>
      <c r="M380" s="54">
        <v>12235</v>
      </c>
      <c r="N380" s="64">
        <v>488689</v>
      </c>
      <c r="O380" s="64">
        <v>22708</v>
      </c>
      <c r="P380" s="64">
        <v>50241</v>
      </c>
      <c r="Q380" s="54">
        <v>561638</v>
      </c>
      <c r="R380" s="62">
        <v>195901</v>
      </c>
      <c r="S380" s="54">
        <v>769774</v>
      </c>
      <c r="T380" s="81">
        <v>0</v>
      </c>
      <c r="U380" s="81">
        <v>0</v>
      </c>
      <c r="V380" s="81">
        <v>0</v>
      </c>
      <c r="W380" s="81">
        <v>0</v>
      </c>
      <c r="X380" s="54">
        <v>769774</v>
      </c>
      <c r="Y380" s="54">
        <v>0</v>
      </c>
      <c r="Z380" s="54">
        <v>12235</v>
      </c>
      <c r="AA380" s="54">
        <v>561638</v>
      </c>
      <c r="AB380" s="54">
        <v>195901</v>
      </c>
      <c r="AC380" s="55" t="s">
        <v>184</v>
      </c>
      <c r="AD380" s="56">
        <v>4151</v>
      </c>
      <c r="AE380" s="57">
        <v>7</v>
      </c>
      <c r="AF380" s="55" t="s">
        <v>116</v>
      </c>
      <c r="AG380" s="69">
        <v>0</v>
      </c>
      <c r="AH380" s="57">
        <v>7</v>
      </c>
      <c r="AI380" s="55" t="s">
        <v>116</v>
      </c>
      <c r="AJ380" s="71">
        <v>0</v>
      </c>
      <c r="AK380" s="72">
        <f t="shared" si="30"/>
        <v>0</v>
      </c>
      <c r="AL380" s="72">
        <f t="shared" si="31"/>
        <v>0</v>
      </c>
      <c r="AM380">
        <v>-1</v>
      </c>
      <c r="AO380" s="102">
        <f t="shared" si="32"/>
        <v>0</v>
      </c>
      <c r="AP380" s="103">
        <f t="shared" si="33"/>
        <v>0</v>
      </c>
      <c r="AQ380" s="101">
        <f t="shared" si="34"/>
        <v>0</v>
      </c>
      <c r="AR380" s="104">
        <f t="shared" si="35"/>
        <v>0</v>
      </c>
    </row>
    <row r="381" spans="1:44">
      <c r="A381" s="50" t="s">
        <v>1224</v>
      </c>
      <c r="B381" s="51" t="s">
        <v>1225</v>
      </c>
      <c r="C381" s="50" t="s">
        <v>424</v>
      </c>
      <c r="D381" s="50">
        <v>27</v>
      </c>
      <c r="E381" s="51" t="s">
        <v>1227</v>
      </c>
      <c r="F381" s="51" t="s">
        <v>326</v>
      </c>
      <c r="G381" s="50" t="s">
        <v>327</v>
      </c>
      <c r="H381" s="52" t="s">
        <v>178</v>
      </c>
      <c r="I381" s="52" t="s">
        <v>192</v>
      </c>
      <c r="J381" s="53">
        <v>91.39</v>
      </c>
      <c r="K381" s="66">
        <v>0</v>
      </c>
      <c r="L381" s="66">
        <v>99168</v>
      </c>
      <c r="M381" s="54">
        <v>99168</v>
      </c>
      <c r="N381" s="64">
        <v>762669</v>
      </c>
      <c r="O381" s="64">
        <v>88581</v>
      </c>
      <c r="P381" s="64">
        <v>175256</v>
      </c>
      <c r="Q381" s="54">
        <v>1026506</v>
      </c>
      <c r="R381" s="62">
        <v>61727</v>
      </c>
      <c r="S381" s="54">
        <v>1187401</v>
      </c>
      <c r="T381" s="81">
        <v>36802</v>
      </c>
      <c r="U381" s="81">
        <v>0</v>
      </c>
      <c r="V381" s="81">
        <v>0</v>
      </c>
      <c r="W381" s="81">
        <v>0</v>
      </c>
      <c r="X381" s="54">
        <v>1224204</v>
      </c>
      <c r="Y381" s="54">
        <v>0</v>
      </c>
      <c r="Z381" s="54">
        <v>99460</v>
      </c>
      <c r="AA381" s="54">
        <v>1028080</v>
      </c>
      <c r="AB381" s="54">
        <v>96664</v>
      </c>
      <c r="AC381" s="55" t="s">
        <v>184</v>
      </c>
      <c r="AD381" s="56">
        <v>4057</v>
      </c>
      <c r="AE381" s="57">
        <v>7</v>
      </c>
      <c r="AF381" s="55" t="s">
        <v>326</v>
      </c>
      <c r="AG381" s="69">
        <v>0</v>
      </c>
      <c r="AH381" s="57">
        <v>7</v>
      </c>
      <c r="AI381" s="55" t="s">
        <v>326</v>
      </c>
      <c r="AJ381" s="71">
        <v>0</v>
      </c>
      <c r="AK381" s="72">
        <f t="shared" si="30"/>
        <v>0</v>
      </c>
      <c r="AL381" s="72">
        <f t="shared" si="31"/>
        <v>0</v>
      </c>
      <c r="AM381">
        <v>-1</v>
      </c>
      <c r="AO381" s="102">
        <f t="shared" si="32"/>
        <v>0</v>
      </c>
      <c r="AP381" s="103">
        <f t="shared" si="33"/>
        <v>292</v>
      </c>
      <c r="AQ381" s="101">
        <f t="shared" si="34"/>
        <v>1574</v>
      </c>
      <c r="AR381" s="104">
        <f t="shared" si="35"/>
        <v>34937</v>
      </c>
    </row>
    <row r="382" spans="1:44" s="93" customFormat="1">
      <c r="A382" s="83" t="s">
        <v>1224</v>
      </c>
      <c r="B382" s="84" t="s">
        <v>1225</v>
      </c>
      <c r="C382" s="83" t="s">
        <v>424</v>
      </c>
      <c r="D382" s="83">
        <v>82</v>
      </c>
      <c r="E382" s="84" t="s">
        <v>583</v>
      </c>
      <c r="F382" s="84" t="s">
        <v>142</v>
      </c>
      <c r="G382" s="83" t="s">
        <v>143</v>
      </c>
      <c r="H382" s="85" t="s">
        <v>178</v>
      </c>
      <c r="I382" s="83"/>
      <c r="J382" s="86">
        <v>0</v>
      </c>
      <c r="K382" s="86">
        <v>0</v>
      </c>
      <c r="L382" s="86">
        <v>208116</v>
      </c>
      <c r="M382" s="87">
        <v>208116</v>
      </c>
      <c r="N382" s="86">
        <v>0</v>
      </c>
      <c r="O382" s="86">
        <v>0</v>
      </c>
      <c r="P382" s="86">
        <v>0</v>
      </c>
      <c r="Q382" s="87">
        <v>0</v>
      </c>
      <c r="R382" s="86">
        <v>115204</v>
      </c>
      <c r="S382" s="87">
        <v>323320</v>
      </c>
      <c r="T382" s="81">
        <v>0</v>
      </c>
      <c r="U382" s="81">
        <v>0</v>
      </c>
      <c r="V382" s="81">
        <v>0</v>
      </c>
      <c r="W382" s="81">
        <v>0</v>
      </c>
      <c r="X382" s="87">
        <v>323320</v>
      </c>
      <c r="Y382" s="87">
        <v>0</v>
      </c>
      <c r="Z382" s="87">
        <v>208116</v>
      </c>
      <c r="AA382" s="87">
        <v>0</v>
      </c>
      <c r="AB382" s="87">
        <v>115204</v>
      </c>
      <c r="AC382" s="88" t="s">
        <v>184</v>
      </c>
      <c r="AD382" s="89">
        <v>4165</v>
      </c>
      <c r="AE382" s="90">
        <v>7</v>
      </c>
      <c r="AF382" s="90" t="s">
        <v>142</v>
      </c>
      <c r="AG382" s="91">
        <v>0</v>
      </c>
      <c r="AH382" s="90">
        <v>7</v>
      </c>
      <c r="AI382" s="90" t="s">
        <v>142</v>
      </c>
      <c r="AJ382" s="92">
        <v>0</v>
      </c>
      <c r="AK382" s="93">
        <f t="shared" si="30"/>
        <v>0</v>
      </c>
      <c r="AL382" s="93">
        <f t="shared" si="31"/>
        <v>0</v>
      </c>
      <c r="AM382" s="93">
        <v>-1</v>
      </c>
      <c r="AO382" s="102">
        <f t="shared" si="32"/>
        <v>0</v>
      </c>
      <c r="AP382" s="103">
        <f t="shared" si="33"/>
        <v>0</v>
      </c>
      <c r="AQ382" s="101">
        <f t="shared" si="34"/>
        <v>0</v>
      </c>
      <c r="AR382" s="104">
        <f t="shared" si="35"/>
        <v>0</v>
      </c>
    </row>
    <row r="383" spans="1:44">
      <c r="A383" s="50" t="s">
        <v>1017</v>
      </c>
      <c r="B383" s="51" t="s">
        <v>1018</v>
      </c>
      <c r="C383" s="50" t="s">
        <v>424</v>
      </c>
      <c r="D383" s="50">
        <v>28</v>
      </c>
      <c r="E383" s="51" t="s">
        <v>915</v>
      </c>
      <c r="F383" s="51" t="s">
        <v>443</v>
      </c>
      <c r="G383" s="50" t="s">
        <v>444</v>
      </c>
      <c r="H383" s="52" t="s">
        <v>178</v>
      </c>
      <c r="I383" s="52" t="s">
        <v>191</v>
      </c>
      <c r="J383" s="53">
        <v>59.72</v>
      </c>
      <c r="K383" s="66">
        <v>0</v>
      </c>
      <c r="L383" s="66">
        <v>28645</v>
      </c>
      <c r="M383" s="54">
        <v>28645</v>
      </c>
      <c r="N383" s="64">
        <v>400216</v>
      </c>
      <c r="O383" s="64">
        <v>54359</v>
      </c>
      <c r="P383" s="64">
        <v>71254</v>
      </c>
      <c r="Q383" s="54">
        <v>525829</v>
      </c>
      <c r="R383" s="62">
        <v>34368</v>
      </c>
      <c r="S383" s="54">
        <v>588842</v>
      </c>
      <c r="T383" s="81">
        <v>28923</v>
      </c>
      <c r="U383" s="81">
        <v>6503</v>
      </c>
      <c r="V383" s="81">
        <v>0</v>
      </c>
      <c r="W383" s="81">
        <v>0</v>
      </c>
      <c r="X383" s="54">
        <v>624268</v>
      </c>
      <c r="Y383" s="54">
        <v>0</v>
      </c>
      <c r="Z383" s="54">
        <v>42505</v>
      </c>
      <c r="AA383" s="54">
        <v>533917</v>
      </c>
      <c r="AB383" s="54">
        <v>47846</v>
      </c>
      <c r="AC383" s="55" t="s">
        <v>184</v>
      </c>
      <c r="AD383" s="56">
        <v>4012</v>
      </c>
      <c r="AE383" s="57">
        <v>7</v>
      </c>
      <c r="AF383" s="55" t="s">
        <v>443</v>
      </c>
      <c r="AG383" s="69">
        <v>270</v>
      </c>
      <c r="AH383" s="57">
        <v>7</v>
      </c>
      <c r="AI383" s="55" t="s">
        <v>443</v>
      </c>
      <c r="AJ383" s="71">
        <v>0</v>
      </c>
      <c r="AK383" s="72">
        <f t="shared" si="30"/>
        <v>-270</v>
      </c>
      <c r="AL383" s="72">
        <f t="shared" si="31"/>
        <v>0</v>
      </c>
      <c r="AM383">
        <v>-1</v>
      </c>
      <c r="AO383" s="102">
        <f t="shared" si="32"/>
        <v>0</v>
      </c>
      <c r="AP383" s="103">
        <f t="shared" si="33"/>
        <v>13860</v>
      </c>
      <c r="AQ383" s="101">
        <f t="shared" si="34"/>
        <v>8088</v>
      </c>
      <c r="AR383" s="104">
        <f t="shared" si="35"/>
        <v>13478</v>
      </c>
    </row>
    <row r="384" spans="1:44" s="93" customFormat="1">
      <c r="A384" s="83" t="s">
        <v>1017</v>
      </c>
      <c r="B384" s="84" t="s">
        <v>1018</v>
      </c>
      <c r="C384" s="83" t="s">
        <v>424</v>
      </c>
      <c r="D384" s="83">
        <v>66</v>
      </c>
      <c r="E384" s="84" t="s">
        <v>808</v>
      </c>
      <c r="F384" s="84" t="s">
        <v>170</v>
      </c>
      <c r="G384" s="83" t="s">
        <v>171</v>
      </c>
      <c r="H384" s="85" t="s">
        <v>178</v>
      </c>
      <c r="I384" s="85" t="s">
        <v>192</v>
      </c>
      <c r="J384" s="86">
        <v>0</v>
      </c>
      <c r="K384" s="86">
        <v>0</v>
      </c>
      <c r="L384" s="86">
        <v>168</v>
      </c>
      <c r="M384" s="87">
        <v>168</v>
      </c>
      <c r="N384" s="86">
        <v>0</v>
      </c>
      <c r="O384" s="86">
        <v>0</v>
      </c>
      <c r="P384" s="86">
        <v>0</v>
      </c>
      <c r="Q384" s="87">
        <v>0</v>
      </c>
      <c r="R384" s="86">
        <v>51752</v>
      </c>
      <c r="S384" s="87">
        <v>51920</v>
      </c>
      <c r="T384" s="81">
        <v>0</v>
      </c>
      <c r="U384" s="81">
        <v>0</v>
      </c>
      <c r="V384" s="81">
        <v>0</v>
      </c>
      <c r="W384" s="81">
        <v>0</v>
      </c>
      <c r="X384" s="87">
        <v>51920</v>
      </c>
      <c r="Y384" s="87">
        <v>0</v>
      </c>
      <c r="Z384" s="87">
        <v>168</v>
      </c>
      <c r="AA384" s="87">
        <v>0</v>
      </c>
      <c r="AB384" s="87">
        <v>51752</v>
      </c>
      <c r="AC384" s="88" t="s">
        <v>184</v>
      </c>
      <c r="AD384" s="89">
        <v>4180</v>
      </c>
      <c r="AE384" s="90">
        <v>7</v>
      </c>
      <c r="AF384" s="90" t="s">
        <v>170</v>
      </c>
      <c r="AG384" s="91">
        <v>0</v>
      </c>
      <c r="AH384" s="90">
        <v>7</v>
      </c>
      <c r="AI384" s="90" t="s">
        <v>170</v>
      </c>
      <c r="AJ384" s="92">
        <v>0</v>
      </c>
      <c r="AK384" s="93">
        <f t="shared" si="30"/>
        <v>0</v>
      </c>
      <c r="AL384" s="93">
        <f t="shared" si="31"/>
        <v>0</v>
      </c>
      <c r="AM384" s="93">
        <v>-1</v>
      </c>
      <c r="AO384" s="102">
        <f t="shared" si="32"/>
        <v>0</v>
      </c>
      <c r="AP384" s="103">
        <f t="shared" si="33"/>
        <v>0</v>
      </c>
      <c r="AQ384" s="101">
        <f t="shared" si="34"/>
        <v>0</v>
      </c>
      <c r="AR384" s="104">
        <f t="shared" si="35"/>
        <v>0</v>
      </c>
    </row>
    <row r="385" spans="1:44">
      <c r="A385" s="50" t="s">
        <v>1017</v>
      </c>
      <c r="B385" s="51" t="s">
        <v>1018</v>
      </c>
      <c r="C385" s="50" t="s">
        <v>424</v>
      </c>
      <c r="D385" s="50">
        <v>55</v>
      </c>
      <c r="E385" s="51" t="s">
        <v>1033</v>
      </c>
      <c r="F385" s="51" t="s">
        <v>340</v>
      </c>
      <c r="G385" s="50" t="s">
        <v>341</v>
      </c>
      <c r="H385" s="52" t="s">
        <v>178</v>
      </c>
      <c r="I385" s="52" t="s">
        <v>191</v>
      </c>
      <c r="J385" s="53">
        <v>290.64999999999998</v>
      </c>
      <c r="K385" s="66">
        <v>0</v>
      </c>
      <c r="L385" s="66">
        <v>56030</v>
      </c>
      <c r="M385" s="54">
        <v>56030</v>
      </c>
      <c r="N385" s="64">
        <v>1920598</v>
      </c>
      <c r="O385" s="64">
        <v>213513</v>
      </c>
      <c r="P385" s="64">
        <v>430880</v>
      </c>
      <c r="Q385" s="54">
        <v>2564991</v>
      </c>
      <c r="R385" s="62">
        <v>127638</v>
      </c>
      <c r="S385" s="54">
        <v>2748659</v>
      </c>
      <c r="T385" s="81">
        <v>174887</v>
      </c>
      <c r="U385" s="81">
        <v>219659</v>
      </c>
      <c r="V385" s="81">
        <v>0</v>
      </c>
      <c r="W385" s="81">
        <v>0</v>
      </c>
      <c r="X385" s="54">
        <v>3143206</v>
      </c>
      <c r="Y385" s="54">
        <v>0</v>
      </c>
      <c r="Z385" s="54">
        <v>287309</v>
      </c>
      <c r="AA385" s="54">
        <v>2579538</v>
      </c>
      <c r="AB385" s="54">
        <v>276359</v>
      </c>
      <c r="AC385" s="55" t="s">
        <v>184</v>
      </c>
      <c r="AD385" s="56">
        <v>4068</v>
      </c>
      <c r="AE385" s="57">
        <v>7</v>
      </c>
      <c r="AF385" s="55" t="s">
        <v>340</v>
      </c>
      <c r="AG385" s="69">
        <v>5121.6000000000004</v>
      </c>
      <c r="AH385" s="57">
        <v>7</v>
      </c>
      <c r="AI385" s="55" t="s">
        <v>340</v>
      </c>
      <c r="AJ385" s="71">
        <v>0</v>
      </c>
      <c r="AK385" s="72">
        <f t="shared" si="30"/>
        <v>-5121.6000000000004</v>
      </c>
      <c r="AL385" s="72">
        <f t="shared" si="31"/>
        <v>0</v>
      </c>
      <c r="AM385">
        <v>-1</v>
      </c>
      <c r="AO385" s="102">
        <f t="shared" si="32"/>
        <v>0</v>
      </c>
      <c r="AP385" s="103">
        <f t="shared" si="33"/>
        <v>231279</v>
      </c>
      <c r="AQ385" s="101">
        <f t="shared" si="34"/>
        <v>14547</v>
      </c>
      <c r="AR385" s="104">
        <f t="shared" si="35"/>
        <v>148721</v>
      </c>
    </row>
    <row r="386" spans="1:44">
      <c r="A386" s="50" t="s">
        <v>1224</v>
      </c>
      <c r="B386" s="51" t="s">
        <v>1225</v>
      </c>
      <c r="C386" s="50" t="s">
        <v>424</v>
      </c>
      <c r="D386" s="50">
        <v>27</v>
      </c>
      <c r="E386" s="51" t="s">
        <v>1227</v>
      </c>
      <c r="F386" s="51" t="s">
        <v>294</v>
      </c>
      <c r="G386" s="50" t="s">
        <v>295</v>
      </c>
      <c r="H386" s="52" t="s">
        <v>178</v>
      </c>
      <c r="I386" s="52" t="s">
        <v>190</v>
      </c>
      <c r="J386" s="53">
        <v>61.6</v>
      </c>
      <c r="K386" s="66">
        <v>0</v>
      </c>
      <c r="L386" s="66">
        <v>53067</v>
      </c>
      <c r="M386" s="54">
        <v>53067</v>
      </c>
      <c r="N386" s="64">
        <v>473940</v>
      </c>
      <c r="O386" s="64">
        <v>53888</v>
      </c>
      <c r="P386" s="64">
        <v>96001</v>
      </c>
      <c r="Q386" s="54">
        <v>623829</v>
      </c>
      <c r="R386" s="62">
        <v>42681</v>
      </c>
      <c r="S386" s="54">
        <v>719577</v>
      </c>
      <c r="T386" s="81">
        <v>13048</v>
      </c>
      <c r="U386" s="81">
        <v>0</v>
      </c>
      <c r="V386" s="81">
        <v>0</v>
      </c>
      <c r="W386" s="81">
        <v>0</v>
      </c>
      <c r="X386" s="54">
        <v>732624</v>
      </c>
      <c r="Y386" s="54">
        <v>0</v>
      </c>
      <c r="Z386" s="54">
        <v>53067</v>
      </c>
      <c r="AA386" s="54">
        <v>624698</v>
      </c>
      <c r="AB386" s="54">
        <v>54859</v>
      </c>
      <c r="AC386" s="55" t="s">
        <v>184</v>
      </c>
      <c r="AD386" s="56">
        <v>4036</v>
      </c>
      <c r="AE386" s="57">
        <v>7</v>
      </c>
      <c r="AF386" s="55" t="s">
        <v>294</v>
      </c>
      <c r="AG386" s="69">
        <v>0</v>
      </c>
      <c r="AH386" s="57">
        <v>7</v>
      </c>
      <c r="AI386" s="55" t="s">
        <v>294</v>
      </c>
      <c r="AJ386" s="71">
        <v>0</v>
      </c>
      <c r="AK386" s="72">
        <f t="shared" si="30"/>
        <v>0</v>
      </c>
      <c r="AL386" s="72">
        <f t="shared" si="31"/>
        <v>0</v>
      </c>
      <c r="AM386">
        <v>-1</v>
      </c>
      <c r="AO386" s="102">
        <f t="shared" si="32"/>
        <v>0</v>
      </c>
      <c r="AP386" s="103">
        <f t="shared" si="33"/>
        <v>0</v>
      </c>
      <c r="AQ386" s="101">
        <f t="shared" si="34"/>
        <v>869</v>
      </c>
      <c r="AR386" s="104">
        <f t="shared" si="35"/>
        <v>12178</v>
      </c>
    </row>
    <row r="387" spans="1:44">
      <c r="A387" s="50" t="s">
        <v>1258</v>
      </c>
      <c r="B387" s="51" t="s">
        <v>1259</v>
      </c>
      <c r="C387" s="50" t="s">
        <v>424</v>
      </c>
      <c r="D387" s="50">
        <v>4</v>
      </c>
      <c r="E387" s="51" t="s">
        <v>1260</v>
      </c>
      <c r="F387" s="51" t="s">
        <v>316</v>
      </c>
      <c r="G387" s="50" t="s">
        <v>317</v>
      </c>
      <c r="H387" s="52" t="s">
        <v>178</v>
      </c>
      <c r="I387" s="52" t="s">
        <v>192</v>
      </c>
      <c r="J387" s="53">
        <v>98.74</v>
      </c>
      <c r="K387" s="66">
        <v>0</v>
      </c>
      <c r="L387" s="66">
        <v>10035</v>
      </c>
      <c r="M387" s="54">
        <v>10035</v>
      </c>
      <c r="N387" s="64">
        <v>907045</v>
      </c>
      <c r="O387" s="64">
        <v>179048</v>
      </c>
      <c r="P387" s="64">
        <v>107383</v>
      </c>
      <c r="Q387" s="54">
        <v>1193476</v>
      </c>
      <c r="R387" s="62">
        <v>94532</v>
      </c>
      <c r="S387" s="54">
        <v>1298043</v>
      </c>
      <c r="T387" s="81">
        <v>3614</v>
      </c>
      <c r="U387" s="81">
        <v>0</v>
      </c>
      <c r="V387" s="81">
        <v>0</v>
      </c>
      <c r="W387" s="81">
        <v>0</v>
      </c>
      <c r="X387" s="54">
        <v>1301656</v>
      </c>
      <c r="Y387" s="54">
        <v>0</v>
      </c>
      <c r="Z387" s="54">
        <v>13649</v>
      </c>
      <c r="AA387" s="54">
        <v>1193475</v>
      </c>
      <c r="AB387" s="54">
        <v>94532</v>
      </c>
      <c r="AC387" s="55" t="s">
        <v>184</v>
      </c>
      <c r="AD387" s="56">
        <v>4052</v>
      </c>
      <c r="AE387" s="57">
        <v>7</v>
      </c>
      <c r="AF387" s="55" t="s">
        <v>316</v>
      </c>
      <c r="AG387" s="69">
        <v>0</v>
      </c>
      <c r="AH387" s="57">
        <v>7</v>
      </c>
      <c r="AI387" s="55" t="s">
        <v>316</v>
      </c>
      <c r="AJ387" s="71">
        <v>0</v>
      </c>
      <c r="AK387" s="72">
        <f t="shared" si="30"/>
        <v>0</v>
      </c>
      <c r="AL387" s="72">
        <f t="shared" si="31"/>
        <v>0</v>
      </c>
      <c r="AM387">
        <v>-1</v>
      </c>
      <c r="AO387" s="102">
        <f t="shared" si="32"/>
        <v>0</v>
      </c>
      <c r="AP387" s="103">
        <f t="shared" si="33"/>
        <v>3614</v>
      </c>
      <c r="AQ387" s="101">
        <f t="shared" si="34"/>
        <v>-1</v>
      </c>
      <c r="AR387" s="104">
        <f t="shared" si="35"/>
        <v>0</v>
      </c>
    </row>
    <row r="388" spans="1:44">
      <c r="A388" s="50" t="s">
        <v>1132</v>
      </c>
      <c r="B388" s="51" t="s">
        <v>1133</v>
      </c>
      <c r="C388" s="50" t="s">
        <v>424</v>
      </c>
      <c r="D388" s="50">
        <v>18</v>
      </c>
      <c r="E388" s="51" t="s">
        <v>994</v>
      </c>
      <c r="F388" s="51" t="s">
        <v>238</v>
      </c>
      <c r="G388" s="50" t="s">
        <v>239</v>
      </c>
      <c r="H388" s="52" t="s">
        <v>178</v>
      </c>
      <c r="I388" s="52" t="s">
        <v>192</v>
      </c>
      <c r="J388" s="53">
        <v>69.95</v>
      </c>
      <c r="K388" s="66">
        <v>0</v>
      </c>
      <c r="L388" s="66">
        <v>86982</v>
      </c>
      <c r="M388" s="54">
        <v>86982</v>
      </c>
      <c r="N388" s="64">
        <v>405697</v>
      </c>
      <c r="O388" s="64">
        <v>1498269</v>
      </c>
      <c r="P388" s="64">
        <v>91524</v>
      </c>
      <c r="Q388" s="54">
        <v>1995490</v>
      </c>
      <c r="R388" s="62">
        <v>116718</v>
      </c>
      <c r="S388" s="54">
        <v>2199190</v>
      </c>
      <c r="T388" s="81">
        <v>756</v>
      </c>
      <c r="U388" s="81">
        <v>0</v>
      </c>
      <c r="V388" s="81">
        <v>0</v>
      </c>
      <c r="W388" s="81">
        <v>0</v>
      </c>
      <c r="X388" s="54">
        <v>2199946</v>
      </c>
      <c r="Y388" s="54">
        <v>0</v>
      </c>
      <c r="Z388" s="54">
        <v>86982</v>
      </c>
      <c r="AA388" s="54">
        <v>1995505</v>
      </c>
      <c r="AB388" s="54">
        <v>117459</v>
      </c>
      <c r="AC388" s="55" t="s">
        <v>184</v>
      </c>
      <c r="AD388" s="56">
        <v>4113</v>
      </c>
      <c r="AE388" s="57">
        <v>7</v>
      </c>
      <c r="AF388" s="55" t="s">
        <v>238</v>
      </c>
      <c r="AG388" s="69">
        <v>0</v>
      </c>
      <c r="AH388" s="57">
        <v>7</v>
      </c>
      <c r="AI388" s="55" t="s">
        <v>238</v>
      </c>
      <c r="AJ388" s="71">
        <v>0</v>
      </c>
      <c r="AK388" s="72">
        <f t="shared" si="30"/>
        <v>0</v>
      </c>
      <c r="AL388" s="72">
        <f t="shared" si="31"/>
        <v>0</v>
      </c>
      <c r="AM388">
        <v>-1</v>
      </c>
      <c r="AO388" s="102">
        <f t="shared" si="32"/>
        <v>0</v>
      </c>
      <c r="AP388" s="103">
        <f t="shared" si="33"/>
        <v>0</v>
      </c>
      <c r="AQ388" s="101">
        <f t="shared" si="34"/>
        <v>15</v>
      </c>
      <c r="AR388" s="104">
        <f t="shared" si="35"/>
        <v>741</v>
      </c>
    </row>
    <row r="389" spans="1:44">
      <c r="A389" s="50" t="s">
        <v>1017</v>
      </c>
      <c r="B389" s="51" t="s">
        <v>1018</v>
      </c>
      <c r="C389" s="50" t="s">
        <v>424</v>
      </c>
      <c r="D389" s="50">
        <v>55</v>
      </c>
      <c r="E389" s="51" t="s">
        <v>1033</v>
      </c>
      <c r="F389" s="51" t="s">
        <v>356</v>
      </c>
      <c r="G389" s="50" t="s">
        <v>357</v>
      </c>
      <c r="H389" s="52" t="s">
        <v>178</v>
      </c>
      <c r="I389" s="52" t="s">
        <v>192</v>
      </c>
      <c r="J389" s="53">
        <v>94.53</v>
      </c>
      <c r="K389" s="66">
        <v>0</v>
      </c>
      <c r="L389" s="66">
        <v>44942</v>
      </c>
      <c r="M389" s="54">
        <v>44942</v>
      </c>
      <c r="N389" s="64">
        <v>664325</v>
      </c>
      <c r="O389" s="64">
        <v>18177</v>
      </c>
      <c r="P389" s="64">
        <v>81381</v>
      </c>
      <c r="Q389" s="54">
        <v>763883</v>
      </c>
      <c r="R389" s="62">
        <v>73086</v>
      </c>
      <c r="S389" s="54">
        <v>881911</v>
      </c>
      <c r="T389" s="81">
        <v>59200</v>
      </c>
      <c r="U389" s="81">
        <v>0</v>
      </c>
      <c r="V389" s="81">
        <v>0</v>
      </c>
      <c r="W389" s="81">
        <v>0</v>
      </c>
      <c r="X389" s="54">
        <v>941110</v>
      </c>
      <c r="Y389" s="54">
        <v>0</v>
      </c>
      <c r="Z389" s="54">
        <v>45614</v>
      </c>
      <c r="AA389" s="54">
        <v>764940</v>
      </c>
      <c r="AB389" s="54">
        <v>130556</v>
      </c>
      <c r="AC389" s="55" t="s">
        <v>184</v>
      </c>
      <c r="AD389" s="56">
        <v>4079</v>
      </c>
      <c r="AE389" s="57">
        <v>7</v>
      </c>
      <c r="AF389" s="55" t="s">
        <v>356</v>
      </c>
      <c r="AG389" s="69">
        <v>0</v>
      </c>
      <c r="AH389" s="57">
        <v>7</v>
      </c>
      <c r="AI389" s="55" t="s">
        <v>356</v>
      </c>
      <c r="AJ389" s="71">
        <v>0</v>
      </c>
      <c r="AK389" s="72">
        <f t="shared" si="30"/>
        <v>0</v>
      </c>
      <c r="AL389" s="72">
        <f t="shared" si="31"/>
        <v>0</v>
      </c>
      <c r="AM389">
        <v>-1</v>
      </c>
      <c r="AO389" s="102">
        <f t="shared" si="32"/>
        <v>0</v>
      </c>
      <c r="AP389" s="103">
        <f t="shared" si="33"/>
        <v>672</v>
      </c>
      <c r="AQ389" s="101">
        <f t="shared" si="34"/>
        <v>1057</v>
      </c>
      <c r="AR389" s="104">
        <f t="shared" si="35"/>
        <v>57470</v>
      </c>
    </row>
    <row r="390" spans="1:44">
      <c r="A390" s="50" t="s">
        <v>1017</v>
      </c>
      <c r="B390" s="51" t="s">
        <v>1018</v>
      </c>
      <c r="C390" s="50" t="s">
        <v>424</v>
      </c>
      <c r="D390" s="50">
        <v>85</v>
      </c>
      <c r="E390" s="51" t="s">
        <v>606</v>
      </c>
      <c r="F390" s="51" t="s">
        <v>228</v>
      </c>
      <c r="G390" s="50" t="s">
        <v>229</v>
      </c>
      <c r="H390" s="52" t="s">
        <v>178</v>
      </c>
      <c r="I390" s="52" t="s">
        <v>191</v>
      </c>
      <c r="J390" s="53">
        <v>107.81</v>
      </c>
      <c r="K390" s="66">
        <v>0</v>
      </c>
      <c r="L390" s="66">
        <v>53395</v>
      </c>
      <c r="M390" s="54">
        <v>53395</v>
      </c>
      <c r="N390" s="64">
        <v>886372</v>
      </c>
      <c r="O390" s="64">
        <v>60135</v>
      </c>
      <c r="P390" s="64">
        <v>152899</v>
      </c>
      <c r="Q390" s="54">
        <v>1099406</v>
      </c>
      <c r="R390" s="62">
        <v>164401</v>
      </c>
      <c r="S390" s="54">
        <v>1317202</v>
      </c>
      <c r="T390" s="81">
        <v>32534</v>
      </c>
      <c r="U390" s="81">
        <v>0</v>
      </c>
      <c r="V390" s="81">
        <v>0</v>
      </c>
      <c r="W390" s="81">
        <v>0</v>
      </c>
      <c r="X390" s="54">
        <v>1349737</v>
      </c>
      <c r="Y390" s="54">
        <v>0</v>
      </c>
      <c r="Z390" s="54">
        <v>64897</v>
      </c>
      <c r="AA390" s="54">
        <v>1100941</v>
      </c>
      <c r="AB390" s="54">
        <v>183899</v>
      </c>
      <c r="AC390" s="55" t="s">
        <v>184</v>
      </c>
      <c r="AD390" s="56">
        <v>4108</v>
      </c>
      <c r="AE390" s="57">
        <v>7</v>
      </c>
      <c r="AF390" s="55" t="s">
        <v>228</v>
      </c>
      <c r="AG390" s="69">
        <v>0</v>
      </c>
      <c r="AH390" s="57">
        <v>7</v>
      </c>
      <c r="AI390" s="55" t="s">
        <v>228</v>
      </c>
      <c r="AJ390" s="71">
        <v>0</v>
      </c>
      <c r="AK390" s="72">
        <f t="shared" si="30"/>
        <v>0</v>
      </c>
      <c r="AL390" s="72">
        <f t="shared" si="31"/>
        <v>0</v>
      </c>
      <c r="AM390">
        <v>-1</v>
      </c>
      <c r="AO390" s="102">
        <f t="shared" si="32"/>
        <v>0</v>
      </c>
      <c r="AP390" s="103">
        <f t="shared" si="33"/>
        <v>11502</v>
      </c>
      <c r="AQ390" s="101">
        <f t="shared" si="34"/>
        <v>1535</v>
      </c>
      <c r="AR390" s="104">
        <f t="shared" si="35"/>
        <v>19498</v>
      </c>
    </row>
    <row r="391" spans="1:44" s="93" customFormat="1">
      <c r="A391" s="83" t="s">
        <v>1092</v>
      </c>
      <c r="B391" s="84" t="s">
        <v>1093</v>
      </c>
      <c r="C391" s="83" t="s">
        <v>424</v>
      </c>
      <c r="D391" s="83">
        <v>7</v>
      </c>
      <c r="E391" s="84" t="s">
        <v>1094</v>
      </c>
      <c r="F391" s="84" t="s">
        <v>148</v>
      </c>
      <c r="G391" s="83" t="s">
        <v>149</v>
      </c>
      <c r="H391" s="85" t="s">
        <v>178</v>
      </c>
      <c r="I391" s="85" t="s">
        <v>191</v>
      </c>
      <c r="J391" s="86">
        <v>0</v>
      </c>
      <c r="K391" s="86">
        <v>0</v>
      </c>
      <c r="L391" s="86">
        <v>34273</v>
      </c>
      <c r="M391" s="87">
        <v>34273</v>
      </c>
      <c r="N391" s="86">
        <v>0</v>
      </c>
      <c r="O391" s="86">
        <v>0</v>
      </c>
      <c r="P391" s="86">
        <v>0</v>
      </c>
      <c r="Q391" s="87">
        <v>0</v>
      </c>
      <c r="R391" s="86">
        <v>72000</v>
      </c>
      <c r="S391" s="87">
        <v>106273</v>
      </c>
      <c r="T391" s="81">
        <v>0</v>
      </c>
      <c r="U391" s="81">
        <v>0</v>
      </c>
      <c r="V391" s="81">
        <v>0</v>
      </c>
      <c r="W391" s="81">
        <v>0</v>
      </c>
      <c r="X391" s="87">
        <v>106273</v>
      </c>
      <c r="Y391" s="87">
        <v>0</v>
      </c>
      <c r="Z391" s="87">
        <v>34273</v>
      </c>
      <c r="AA391" s="87">
        <v>0</v>
      </c>
      <c r="AB391" s="87">
        <v>72000</v>
      </c>
      <c r="AC391" s="88" t="s">
        <v>184</v>
      </c>
      <c r="AD391" s="89">
        <v>4168</v>
      </c>
      <c r="AE391" s="90">
        <v>7</v>
      </c>
      <c r="AF391" s="90" t="s">
        <v>148</v>
      </c>
      <c r="AG391" s="91">
        <v>0</v>
      </c>
      <c r="AH391" s="90">
        <v>7</v>
      </c>
      <c r="AI391" s="90" t="s">
        <v>148</v>
      </c>
      <c r="AJ391" s="92">
        <v>0</v>
      </c>
      <c r="AK391" s="93">
        <f t="shared" ref="AK391:AK454" si="36">AG391*AM391</f>
        <v>0</v>
      </c>
      <c r="AL391" s="93">
        <f t="shared" ref="AL391:AL454" si="37">AJ391*AM391</f>
        <v>0</v>
      </c>
      <c r="AM391" s="93">
        <v>-1</v>
      </c>
      <c r="AO391" s="102">
        <f t="shared" ref="AO391:AO454" si="38">Y391-K391</f>
        <v>0</v>
      </c>
      <c r="AP391" s="103">
        <f t="shared" ref="AP391:AP454" si="39">Z391-L391</f>
        <v>0</v>
      </c>
      <c r="AQ391" s="101">
        <f t="shared" ref="AQ391:AQ454" si="40">AA391-Q391</f>
        <v>0</v>
      </c>
      <c r="AR391" s="104">
        <f t="shared" ref="AR391:AR454" si="41">AB391-R391</f>
        <v>0</v>
      </c>
    </row>
    <row r="392" spans="1:44">
      <c r="A392" s="50" t="s">
        <v>1224</v>
      </c>
      <c r="B392" s="51" t="s">
        <v>1225</v>
      </c>
      <c r="C392" s="50" t="s">
        <v>424</v>
      </c>
      <c r="D392" s="50">
        <v>27</v>
      </c>
      <c r="E392" s="51" t="s">
        <v>1227</v>
      </c>
      <c r="F392" s="51" t="s">
        <v>212</v>
      </c>
      <c r="G392" s="50" t="s">
        <v>213</v>
      </c>
      <c r="H392" s="52" t="s">
        <v>178</v>
      </c>
      <c r="I392" s="52" t="s">
        <v>191</v>
      </c>
      <c r="J392" s="53">
        <v>40.46</v>
      </c>
      <c r="K392" s="66">
        <v>0</v>
      </c>
      <c r="L392" s="66">
        <v>12167</v>
      </c>
      <c r="M392" s="54">
        <v>12167</v>
      </c>
      <c r="N392" s="64">
        <v>229095</v>
      </c>
      <c r="O392" s="64">
        <v>91935</v>
      </c>
      <c r="P392" s="64">
        <v>51325</v>
      </c>
      <c r="Q392" s="54">
        <v>372355</v>
      </c>
      <c r="R392" s="62">
        <v>191836</v>
      </c>
      <c r="S392" s="54">
        <v>576358</v>
      </c>
      <c r="T392" s="81">
        <v>771</v>
      </c>
      <c r="U392" s="81">
        <v>0</v>
      </c>
      <c r="V392" s="81">
        <v>0</v>
      </c>
      <c r="W392" s="81">
        <v>0</v>
      </c>
      <c r="X392" s="54">
        <v>577128</v>
      </c>
      <c r="Y392" s="54">
        <v>0</v>
      </c>
      <c r="Z392" s="54">
        <v>12167</v>
      </c>
      <c r="AA392" s="54">
        <v>372388</v>
      </c>
      <c r="AB392" s="54">
        <v>192573</v>
      </c>
      <c r="AC392" s="55" t="s">
        <v>184</v>
      </c>
      <c r="AD392" s="56">
        <v>4100</v>
      </c>
      <c r="AE392" s="57">
        <v>7</v>
      </c>
      <c r="AF392" s="55" t="s">
        <v>212</v>
      </c>
      <c r="AG392" s="69">
        <v>0</v>
      </c>
      <c r="AH392" s="57">
        <v>7</v>
      </c>
      <c r="AI392" s="55" t="s">
        <v>212</v>
      </c>
      <c r="AJ392" s="71">
        <v>0</v>
      </c>
      <c r="AK392" s="72">
        <f t="shared" si="36"/>
        <v>0</v>
      </c>
      <c r="AL392" s="72">
        <f t="shared" si="37"/>
        <v>0</v>
      </c>
      <c r="AM392">
        <v>-1</v>
      </c>
      <c r="AO392" s="102">
        <f t="shared" si="38"/>
        <v>0</v>
      </c>
      <c r="AP392" s="103">
        <f t="shared" si="39"/>
        <v>0</v>
      </c>
      <c r="AQ392" s="101">
        <f t="shared" si="40"/>
        <v>33</v>
      </c>
      <c r="AR392" s="104">
        <f t="shared" si="41"/>
        <v>737</v>
      </c>
    </row>
    <row r="393" spans="1:44">
      <c r="A393" s="50" t="s">
        <v>1224</v>
      </c>
      <c r="B393" s="51" t="s">
        <v>1225</v>
      </c>
      <c r="C393" s="50" t="s">
        <v>424</v>
      </c>
      <c r="D393" s="50">
        <v>27</v>
      </c>
      <c r="E393" s="51" t="s">
        <v>1227</v>
      </c>
      <c r="F393" s="51" t="s">
        <v>310</v>
      </c>
      <c r="G393" s="50" t="s">
        <v>311</v>
      </c>
      <c r="H393" s="52" t="s">
        <v>178</v>
      </c>
      <c r="I393" s="52" t="s">
        <v>191</v>
      </c>
      <c r="J393" s="53">
        <v>29.15</v>
      </c>
      <c r="K393" s="66">
        <v>0</v>
      </c>
      <c r="L393" s="66">
        <v>4911</v>
      </c>
      <c r="M393" s="54">
        <v>4911</v>
      </c>
      <c r="N393" s="64">
        <v>229433</v>
      </c>
      <c r="O393" s="64">
        <v>50497</v>
      </c>
      <c r="P393" s="64">
        <v>43860</v>
      </c>
      <c r="Q393" s="54">
        <v>323790</v>
      </c>
      <c r="R393" s="62">
        <v>15365</v>
      </c>
      <c r="S393" s="54">
        <v>344066</v>
      </c>
      <c r="T393" s="81">
        <v>0</v>
      </c>
      <c r="U393" s="81">
        <v>0</v>
      </c>
      <c r="V393" s="81">
        <v>0</v>
      </c>
      <c r="W393" s="81">
        <v>0</v>
      </c>
      <c r="X393" s="54">
        <v>344066</v>
      </c>
      <c r="Y393" s="54">
        <v>0</v>
      </c>
      <c r="Z393" s="54">
        <v>4911</v>
      </c>
      <c r="AA393" s="54">
        <v>323790</v>
      </c>
      <c r="AB393" s="54">
        <v>15365</v>
      </c>
      <c r="AC393" s="55" t="s">
        <v>184</v>
      </c>
      <c r="AD393" s="56">
        <v>4048</v>
      </c>
      <c r="AE393" s="57">
        <v>7</v>
      </c>
      <c r="AF393" s="55" t="s">
        <v>310</v>
      </c>
      <c r="AG393" s="69">
        <v>0</v>
      </c>
      <c r="AH393" s="57">
        <v>7</v>
      </c>
      <c r="AI393" s="55" t="s">
        <v>310</v>
      </c>
      <c r="AJ393" s="71">
        <v>0</v>
      </c>
      <c r="AK393" s="72">
        <f t="shared" si="36"/>
        <v>0</v>
      </c>
      <c r="AL393" s="72">
        <f t="shared" si="37"/>
        <v>0</v>
      </c>
      <c r="AM393">
        <v>-1</v>
      </c>
      <c r="AO393" s="102">
        <f t="shared" si="38"/>
        <v>0</v>
      </c>
      <c r="AP393" s="103">
        <f t="shared" si="39"/>
        <v>0</v>
      </c>
      <c r="AQ393" s="101">
        <f t="shared" si="40"/>
        <v>0</v>
      </c>
      <c r="AR393" s="104">
        <f t="shared" si="41"/>
        <v>0</v>
      </c>
    </row>
    <row r="394" spans="1:44">
      <c r="A394" s="50" t="s">
        <v>1224</v>
      </c>
      <c r="B394" s="51" t="s">
        <v>1225</v>
      </c>
      <c r="C394" s="50" t="s">
        <v>424</v>
      </c>
      <c r="D394" s="50">
        <v>62</v>
      </c>
      <c r="E394" s="51" t="s">
        <v>785</v>
      </c>
      <c r="F394" s="51" t="s">
        <v>222</v>
      </c>
      <c r="G394" s="50" t="s">
        <v>223</v>
      </c>
      <c r="H394" s="52" t="s">
        <v>178</v>
      </c>
      <c r="I394" s="52" t="s">
        <v>190</v>
      </c>
      <c r="J394" s="53">
        <v>174.46</v>
      </c>
      <c r="K394" s="66">
        <v>0</v>
      </c>
      <c r="L394" s="66">
        <v>145654</v>
      </c>
      <c r="M394" s="54">
        <v>145654</v>
      </c>
      <c r="N394" s="64">
        <v>1215108</v>
      </c>
      <c r="O394" s="64">
        <v>169535</v>
      </c>
      <c r="P394" s="64">
        <v>258913</v>
      </c>
      <c r="Q394" s="54">
        <v>1643556</v>
      </c>
      <c r="R394" s="62">
        <v>92763</v>
      </c>
      <c r="S394" s="54">
        <v>1881973</v>
      </c>
      <c r="T394" s="81">
        <v>0</v>
      </c>
      <c r="U394" s="81">
        <v>0</v>
      </c>
      <c r="V394" s="81">
        <v>0</v>
      </c>
      <c r="W394" s="81">
        <v>0</v>
      </c>
      <c r="X394" s="54">
        <v>1881973</v>
      </c>
      <c r="Y394" s="54">
        <v>0</v>
      </c>
      <c r="Z394" s="54">
        <v>145654</v>
      </c>
      <c r="AA394" s="54">
        <v>1643556</v>
      </c>
      <c r="AB394" s="54">
        <v>92763</v>
      </c>
      <c r="AC394" s="55" t="s">
        <v>184</v>
      </c>
      <c r="AD394" s="56">
        <v>4105</v>
      </c>
      <c r="AE394" s="57">
        <v>7</v>
      </c>
      <c r="AF394" s="55" t="s">
        <v>222</v>
      </c>
      <c r="AG394" s="69">
        <v>0</v>
      </c>
      <c r="AH394" s="57">
        <v>7</v>
      </c>
      <c r="AI394" s="55" t="s">
        <v>222</v>
      </c>
      <c r="AJ394" s="71">
        <v>0</v>
      </c>
      <c r="AK394" s="72">
        <f t="shared" si="36"/>
        <v>0</v>
      </c>
      <c r="AL394" s="72">
        <f t="shared" si="37"/>
        <v>0</v>
      </c>
      <c r="AM394">
        <v>-1</v>
      </c>
      <c r="AO394" s="102">
        <f t="shared" si="38"/>
        <v>0</v>
      </c>
      <c r="AP394" s="103">
        <f t="shared" si="39"/>
        <v>0</v>
      </c>
      <c r="AQ394" s="101">
        <f t="shared" si="40"/>
        <v>0</v>
      </c>
      <c r="AR394" s="104">
        <f t="shared" si="41"/>
        <v>0</v>
      </c>
    </row>
    <row r="395" spans="1:44">
      <c r="A395" s="50" t="s">
        <v>1166</v>
      </c>
      <c r="B395" s="51" t="s">
        <v>1167</v>
      </c>
      <c r="C395" s="50" t="s">
        <v>424</v>
      </c>
      <c r="D395" s="50">
        <v>42</v>
      </c>
      <c r="E395" s="51" t="s">
        <v>821</v>
      </c>
      <c r="F395" s="51" t="s">
        <v>104</v>
      </c>
      <c r="G395" s="50" t="s">
        <v>105</v>
      </c>
      <c r="H395" s="52" t="s">
        <v>178</v>
      </c>
      <c r="I395" s="52" t="s">
        <v>191</v>
      </c>
      <c r="J395" s="53">
        <v>67.83</v>
      </c>
      <c r="K395" s="66">
        <v>0</v>
      </c>
      <c r="L395" s="66">
        <v>33965</v>
      </c>
      <c r="M395" s="54">
        <v>33965</v>
      </c>
      <c r="N395" s="64">
        <v>382040</v>
      </c>
      <c r="O395" s="64">
        <v>61918</v>
      </c>
      <c r="P395" s="64">
        <v>131716</v>
      </c>
      <c r="Q395" s="54">
        <v>575674</v>
      </c>
      <c r="R395" s="62">
        <v>102874</v>
      </c>
      <c r="S395" s="54">
        <v>712513</v>
      </c>
      <c r="T395" s="81">
        <v>13194</v>
      </c>
      <c r="U395" s="81">
        <v>10712</v>
      </c>
      <c r="V395" s="81">
        <v>0</v>
      </c>
      <c r="W395" s="81">
        <v>0</v>
      </c>
      <c r="X395" s="54">
        <v>736419</v>
      </c>
      <c r="Y395" s="54">
        <v>0</v>
      </c>
      <c r="Z395" s="54">
        <v>57871</v>
      </c>
      <c r="AA395" s="54">
        <v>575674</v>
      </c>
      <c r="AB395" s="54">
        <v>102874</v>
      </c>
      <c r="AC395" s="55" t="s">
        <v>184</v>
      </c>
      <c r="AD395" s="56">
        <v>4144</v>
      </c>
      <c r="AE395" s="57">
        <v>7</v>
      </c>
      <c r="AF395" s="55" t="s">
        <v>104</v>
      </c>
      <c r="AG395" s="69">
        <v>0</v>
      </c>
      <c r="AH395" s="57">
        <v>7</v>
      </c>
      <c r="AI395" s="55" t="s">
        <v>104</v>
      </c>
      <c r="AJ395" s="71">
        <v>0</v>
      </c>
      <c r="AK395" s="72">
        <f t="shared" si="36"/>
        <v>0</v>
      </c>
      <c r="AL395" s="72">
        <f t="shared" si="37"/>
        <v>0</v>
      </c>
      <c r="AM395">
        <v>-1</v>
      </c>
      <c r="AO395" s="102">
        <f t="shared" si="38"/>
        <v>0</v>
      </c>
      <c r="AP395" s="103">
        <f t="shared" si="39"/>
        <v>23906</v>
      </c>
      <c r="AQ395" s="101">
        <f t="shared" si="40"/>
        <v>0</v>
      </c>
      <c r="AR395" s="104">
        <f t="shared" si="41"/>
        <v>0</v>
      </c>
    </row>
    <row r="396" spans="1:44">
      <c r="A396" s="50" t="s">
        <v>1224</v>
      </c>
      <c r="B396" s="51" t="s">
        <v>1225</v>
      </c>
      <c r="C396" s="50" t="s">
        <v>424</v>
      </c>
      <c r="D396" s="50">
        <v>62</v>
      </c>
      <c r="E396" s="51" t="s">
        <v>785</v>
      </c>
      <c r="F396" s="51" t="s">
        <v>368</v>
      </c>
      <c r="G396" s="50" t="s">
        <v>369</v>
      </c>
      <c r="H396" s="52" t="s">
        <v>178</v>
      </c>
      <c r="I396" s="52" t="s">
        <v>191</v>
      </c>
      <c r="J396" s="53">
        <v>200.81</v>
      </c>
      <c r="K396" s="66">
        <v>0</v>
      </c>
      <c r="L396" s="66">
        <v>26545</v>
      </c>
      <c r="M396" s="54">
        <v>26545</v>
      </c>
      <c r="N396" s="64">
        <v>1508060</v>
      </c>
      <c r="O396" s="64">
        <v>202826</v>
      </c>
      <c r="P396" s="64">
        <v>299005</v>
      </c>
      <c r="Q396" s="54">
        <v>2009891</v>
      </c>
      <c r="R396" s="62">
        <v>94865</v>
      </c>
      <c r="S396" s="54">
        <v>2131301</v>
      </c>
      <c r="T396" s="81">
        <v>40813</v>
      </c>
      <c r="U396" s="81">
        <v>0</v>
      </c>
      <c r="V396" s="81">
        <v>0</v>
      </c>
      <c r="W396" s="81">
        <v>0</v>
      </c>
      <c r="X396" s="54">
        <v>2172112</v>
      </c>
      <c r="Y396" s="54">
        <v>0</v>
      </c>
      <c r="Z396" s="54">
        <v>44330</v>
      </c>
      <c r="AA396" s="54">
        <v>2011967</v>
      </c>
      <c r="AB396" s="54">
        <v>115815</v>
      </c>
      <c r="AC396" s="55" t="s">
        <v>184</v>
      </c>
      <c r="AD396" s="56">
        <v>4085</v>
      </c>
      <c r="AE396" s="57">
        <v>7</v>
      </c>
      <c r="AF396" s="55" t="s">
        <v>368</v>
      </c>
      <c r="AG396" s="69">
        <v>0</v>
      </c>
      <c r="AH396" s="57">
        <v>7</v>
      </c>
      <c r="AI396" s="55" t="s">
        <v>368</v>
      </c>
      <c r="AJ396" s="71">
        <v>0</v>
      </c>
      <c r="AK396" s="72">
        <f t="shared" si="36"/>
        <v>0</v>
      </c>
      <c r="AL396" s="72">
        <f t="shared" si="37"/>
        <v>0</v>
      </c>
      <c r="AM396">
        <v>-1</v>
      </c>
      <c r="AO396" s="102">
        <f t="shared" si="38"/>
        <v>0</v>
      </c>
      <c r="AP396" s="103">
        <f t="shared" si="39"/>
        <v>17785</v>
      </c>
      <c r="AQ396" s="101">
        <f t="shared" si="40"/>
        <v>2076</v>
      </c>
      <c r="AR396" s="104">
        <f t="shared" si="41"/>
        <v>20950</v>
      </c>
    </row>
    <row r="397" spans="1:44">
      <c r="A397" s="50" t="s">
        <v>1224</v>
      </c>
      <c r="B397" s="51" t="s">
        <v>1225</v>
      </c>
      <c r="C397" s="50" t="s">
        <v>424</v>
      </c>
      <c r="D397" s="50">
        <v>62</v>
      </c>
      <c r="E397" s="51" t="s">
        <v>785</v>
      </c>
      <c r="F397" s="51" t="s">
        <v>290</v>
      </c>
      <c r="G397" s="50" t="s">
        <v>291</v>
      </c>
      <c r="H397" s="52" t="s">
        <v>178</v>
      </c>
      <c r="I397" s="52" t="s">
        <v>192</v>
      </c>
      <c r="J397" s="53">
        <v>486.14</v>
      </c>
      <c r="K397" s="66">
        <v>0</v>
      </c>
      <c r="L397" s="66">
        <v>864437</v>
      </c>
      <c r="M397" s="54">
        <v>864437</v>
      </c>
      <c r="N397" s="64">
        <v>2928319</v>
      </c>
      <c r="O397" s="64">
        <v>171005</v>
      </c>
      <c r="P397" s="64">
        <v>807159</v>
      </c>
      <c r="Q397" s="54">
        <v>3906483</v>
      </c>
      <c r="R397" s="62">
        <v>207337</v>
      </c>
      <c r="S397" s="54">
        <v>4978257</v>
      </c>
      <c r="T397" s="81">
        <v>160480</v>
      </c>
      <c r="U397" s="81">
        <v>67471</v>
      </c>
      <c r="V397" s="81">
        <v>0</v>
      </c>
      <c r="W397" s="81">
        <v>0</v>
      </c>
      <c r="X397" s="54">
        <v>5206208</v>
      </c>
      <c r="Y397" s="54">
        <v>0</v>
      </c>
      <c r="Z397" s="54">
        <v>937338</v>
      </c>
      <c r="AA397" s="54">
        <v>3919011</v>
      </c>
      <c r="AB397" s="54">
        <v>349859</v>
      </c>
      <c r="AC397" s="55" t="s">
        <v>184</v>
      </c>
      <c r="AD397" s="56">
        <v>4032</v>
      </c>
      <c r="AE397" s="57">
        <v>7</v>
      </c>
      <c r="AF397" s="55" t="s">
        <v>290</v>
      </c>
      <c r="AG397" s="69">
        <v>0</v>
      </c>
      <c r="AH397" s="57">
        <v>7</v>
      </c>
      <c r="AI397" s="55" t="s">
        <v>290</v>
      </c>
      <c r="AJ397" s="71">
        <v>0</v>
      </c>
      <c r="AK397" s="72">
        <f t="shared" si="36"/>
        <v>0</v>
      </c>
      <c r="AL397" s="72">
        <f t="shared" si="37"/>
        <v>0</v>
      </c>
      <c r="AM397">
        <v>-1</v>
      </c>
      <c r="AO397" s="102">
        <f t="shared" si="38"/>
        <v>0</v>
      </c>
      <c r="AP397" s="103">
        <f t="shared" si="39"/>
        <v>72901</v>
      </c>
      <c r="AQ397" s="101">
        <f t="shared" si="40"/>
        <v>12528</v>
      </c>
      <c r="AR397" s="104">
        <f t="shared" si="41"/>
        <v>142522</v>
      </c>
    </row>
    <row r="398" spans="1:44">
      <c r="A398" s="50" t="s">
        <v>1224</v>
      </c>
      <c r="B398" s="51" t="s">
        <v>1225</v>
      </c>
      <c r="C398" s="50" t="s">
        <v>424</v>
      </c>
      <c r="D398" s="50">
        <v>62</v>
      </c>
      <c r="E398" s="51" t="s">
        <v>785</v>
      </c>
      <c r="F398" s="51" t="s">
        <v>304</v>
      </c>
      <c r="G398" s="50" t="s">
        <v>305</v>
      </c>
      <c r="H398" s="52" t="s">
        <v>178</v>
      </c>
      <c r="I398" s="95" t="s">
        <v>192</v>
      </c>
      <c r="J398" s="53">
        <v>223.32</v>
      </c>
      <c r="K398" s="66">
        <v>0</v>
      </c>
      <c r="L398" s="66">
        <v>119210</v>
      </c>
      <c r="M398" s="54">
        <v>119210</v>
      </c>
      <c r="N398" s="64">
        <v>1886683</v>
      </c>
      <c r="O398" s="64">
        <v>117237</v>
      </c>
      <c r="P398" s="64">
        <v>300745</v>
      </c>
      <c r="Q398" s="54">
        <v>2304665</v>
      </c>
      <c r="R398" s="62">
        <v>240509</v>
      </c>
      <c r="S398" s="54">
        <v>2664384</v>
      </c>
      <c r="T398" s="81">
        <v>87220</v>
      </c>
      <c r="U398" s="81">
        <v>0</v>
      </c>
      <c r="V398" s="81">
        <v>0</v>
      </c>
      <c r="W398" s="81">
        <v>0</v>
      </c>
      <c r="X398" s="54">
        <v>2751604</v>
      </c>
      <c r="Y398" s="54">
        <v>0</v>
      </c>
      <c r="Z398" s="54">
        <v>119210</v>
      </c>
      <c r="AA398" s="54">
        <v>2309154</v>
      </c>
      <c r="AB398" s="54">
        <v>323240</v>
      </c>
      <c r="AC398" s="55" t="s">
        <v>184</v>
      </c>
      <c r="AD398" s="56">
        <v>4044</v>
      </c>
      <c r="AE398" s="57">
        <v>7</v>
      </c>
      <c r="AF398" s="55" t="s">
        <v>304</v>
      </c>
      <c r="AG398" s="69">
        <v>0</v>
      </c>
      <c r="AH398" s="57">
        <v>7</v>
      </c>
      <c r="AI398" s="55" t="s">
        <v>304</v>
      </c>
      <c r="AJ398" s="71">
        <v>0</v>
      </c>
      <c r="AK398" s="72">
        <f t="shared" si="36"/>
        <v>0</v>
      </c>
      <c r="AL398" s="72">
        <f t="shared" si="37"/>
        <v>0</v>
      </c>
      <c r="AM398">
        <v>-1</v>
      </c>
      <c r="AO398" s="102">
        <f t="shared" si="38"/>
        <v>0</v>
      </c>
      <c r="AP398" s="103">
        <f t="shared" si="39"/>
        <v>0</v>
      </c>
      <c r="AQ398" s="101">
        <f t="shared" si="40"/>
        <v>4489</v>
      </c>
      <c r="AR398" s="104">
        <f t="shared" si="41"/>
        <v>82731</v>
      </c>
    </row>
    <row r="399" spans="1:44" s="93" customFormat="1">
      <c r="A399" s="83" t="s">
        <v>1224</v>
      </c>
      <c r="B399" s="84" t="s">
        <v>1225</v>
      </c>
      <c r="C399" s="83" t="s">
        <v>424</v>
      </c>
      <c r="D399" s="83">
        <v>27</v>
      </c>
      <c r="E399" s="84" t="s">
        <v>1227</v>
      </c>
      <c r="F399" s="84" t="s">
        <v>152</v>
      </c>
      <c r="G399" s="83" t="s">
        <v>153</v>
      </c>
      <c r="H399" s="85" t="s">
        <v>178</v>
      </c>
      <c r="I399" s="85" t="s">
        <v>192</v>
      </c>
      <c r="J399" s="86">
        <v>0</v>
      </c>
      <c r="K399" s="86">
        <v>0</v>
      </c>
      <c r="L399" s="86">
        <v>165667</v>
      </c>
      <c r="M399" s="87">
        <v>165667</v>
      </c>
      <c r="N399" s="86">
        <v>0</v>
      </c>
      <c r="O399" s="86">
        <v>0</v>
      </c>
      <c r="P399" s="86">
        <v>0</v>
      </c>
      <c r="Q399" s="87">
        <v>0</v>
      </c>
      <c r="R399" s="86">
        <v>104094</v>
      </c>
      <c r="S399" s="87">
        <v>269761</v>
      </c>
      <c r="T399" s="81">
        <v>0</v>
      </c>
      <c r="U399" s="81">
        <v>0</v>
      </c>
      <c r="V399" s="81">
        <v>0</v>
      </c>
      <c r="W399" s="81">
        <v>0</v>
      </c>
      <c r="X399" s="87">
        <v>269761</v>
      </c>
      <c r="Y399" s="87">
        <v>0</v>
      </c>
      <c r="Z399" s="87">
        <v>165667</v>
      </c>
      <c r="AA399" s="87">
        <v>0</v>
      </c>
      <c r="AB399" s="87">
        <v>104094</v>
      </c>
      <c r="AC399" s="88" t="s">
        <v>184</v>
      </c>
      <c r="AD399" s="89">
        <v>4170</v>
      </c>
      <c r="AE399" s="90">
        <v>7</v>
      </c>
      <c r="AF399" s="90" t="s">
        <v>152</v>
      </c>
      <c r="AG399" s="91">
        <v>0</v>
      </c>
      <c r="AH399" s="90">
        <v>7</v>
      </c>
      <c r="AI399" s="90" t="s">
        <v>152</v>
      </c>
      <c r="AJ399" s="92">
        <v>0</v>
      </c>
      <c r="AK399" s="93">
        <f t="shared" si="36"/>
        <v>0</v>
      </c>
      <c r="AL399" s="93">
        <f t="shared" si="37"/>
        <v>0</v>
      </c>
      <c r="AM399" s="93">
        <v>-1</v>
      </c>
      <c r="AO399" s="102">
        <f t="shared" si="38"/>
        <v>0</v>
      </c>
      <c r="AP399" s="103">
        <f t="shared" si="39"/>
        <v>0</v>
      </c>
      <c r="AQ399" s="101">
        <f t="shared" si="40"/>
        <v>0</v>
      </c>
      <c r="AR399" s="104">
        <f t="shared" si="41"/>
        <v>0</v>
      </c>
    </row>
    <row r="400" spans="1:44">
      <c r="A400" s="50" t="s">
        <v>1224</v>
      </c>
      <c r="B400" s="51" t="s">
        <v>1225</v>
      </c>
      <c r="C400" s="50" t="s">
        <v>424</v>
      </c>
      <c r="D400" s="50">
        <v>27</v>
      </c>
      <c r="E400" s="51" t="s">
        <v>1227</v>
      </c>
      <c r="F400" s="51" t="s">
        <v>298</v>
      </c>
      <c r="G400" s="50" t="s">
        <v>299</v>
      </c>
      <c r="H400" s="52" t="s">
        <v>178</v>
      </c>
      <c r="I400" s="52" t="s">
        <v>190</v>
      </c>
      <c r="J400" s="53">
        <v>201.25</v>
      </c>
      <c r="K400" s="66">
        <v>0</v>
      </c>
      <c r="L400" s="66">
        <v>91331</v>
      </c>
      <c r="M400" s="54">
        <v>91331</v>
      </c>
      <c r="N400" s="64">
        <v>1887375</v>
      </c>
      <c r="O400" s="64">
        <v>219439</v>
      </c>
      <c r="P400" s="64">
        <v>227151</v>
      </c>
      <c r="Q400" s="54">
        <v>2333965</v>
      </c>
      <c r="R400" s="62">
        <v>120847</v>
      </c>
      <c r="S400" s="54">
        <v>2546143</v>
      </c>
      <c r="T400" s="81">
        <v>78981</v>
      </c>
      <c r="U400" s="81">
        <v>0</v>
      </c>
      <c r="V400" s="81">
        <v>0</v>
      </c>
      <c r="W400" s="81">
        <v>0</v>
      </c>
      <c r="X400" s="54">
        <v>2625125</v>
      </c>
      <c r="Y400" s="54">
        <v>0</v>
      </c>
      <c r="Z400" s="54">
        <v>91331</v>
      </c>
      <c r="AA400" s="54">
        <v>2337228</v>
      </c>
      <c r="AB400" s="54">
        <v>196566</v>
      </c>
      <c r="AC400" s="55" t="s">
        <v>184</v>
      </c>
      <c r="AD400" s="56">
        <v>4039</v>
      </c>
      <c r="AE400" s="57">
        <v>7</v>
      </c>
      <c r="AF400" s="55" t="s">
        <v>298</v>
      </c>
      <c r="AG400" s="69">
        <v>0</v>
      </c>
      <c r="AH400" s="57">
        <v>7</v>
      </c>
      <c r="AI400" s="55" t="s">
        <v>298</v>
      </c>
      <c r="AJ400" s="71">
        <v>0</v>
      </c>
      <c r="AK400" s="72">
        <f t="shared" si="36"/>
        <v>0</v>
      </c>
      <c r="AL400" s="72">
        <f t="shared" si="37"/>
        <v>0</v>
      </c>
      <c r="AM400">
        <v>-1</v>
      </c>
      <c r="AO400" s="102">
        <f t="shared" si="38"/>
        <v>0</v>
      </c>
      <c r="AP400" s="103">
        <f t="shared" si="39"/>
        <v>0</v>
      </c>
      <c r="AQ400" s="101">
        <f t="shared" si="40"/>
        <v>3263</v>
      </c>
      <c r="AR400" s="104">
        <f t="shared" si="41"/>
        <v>75719</v>
      </c>
    </row>
    <row r="401" spans="1:44">
      <c r="A401" s="50" t="s">
        <v>1224</v>
      </c>
      <c r="B401" s="51" t="s">
        <v>1225</v>
      </c>
      <c r="C401" s="50" t="s">
        <v>424</v>
      </c>
      <c r="D401" s="50">
        <v>27</v>
      </c>
      <c r="E401" s="51" t="s">
        <v>1227</v>
      </c>
      <c r="F401" s="51" t="s">
        <v>459</v>
      </c>
      <c r="G401" s="50" t="s">
        <v>460</v>
      </c>
      <c r="H401" s="52" t="s">
        <v>178</v>
      </c>
      <c r="I401" s="52" t="s">
        <v>190</v>
      </c>
      <c r="J401" s="53">
        <v>512.75</v>
      </c>
      <c r="K401" s="66">
        <v>0</v>
      </c>
      <c r="L401" s="66">
        <v>122843</v>
      </c>
      <c r="M401" s="54">
        <v>122843</v>
      </c>
      <c r="N401" s="64">
        <v>4291060</v>
      </c>
      <c r="O401" s="64">
        <v>159015</v>
      </c>
      <c r="P401" s="64">
        <v>662619</v>
      </c>
      <c r="Q401" s="54">
        <v>5112694</v>
      </c>
      <c r="R401" s="62">
        <v>232478</v>
      </c>
      <c r="S401" s="54">
        <v>5468015</v>
      </c>
      <c r="T401" s="81">
        <v>314842</v>
      </c>
      <c r="U401" s="81">
        <v>0</v>
      </c>
      <c r="V401" s="81">
        <v>0</v>
      </c>
      <c r="W401" s="81">
        <v>0</v>
      </c>
      <c r="X401" s="54">
        <v>5782858</v>
      </c>
      <c r="Y401" s="54">
        <v>0</v>
      </c>
      <c r="Z401" s="54">
        <v>124200</v>
      </c>
      <c r="AA401" s="54">
        <v>5122222</v>
      </c>
      <c r="AB401" s="54">
        <v>536436</v>
      </c>
      <c r="AC401" s="55" t="s">
        <v>184</v>
      </c>
      <c r="AD401" s="56">
        <v>4027</v>
      </c>
      <c r="AE401" s="57">
        <v>7</v>
      </c>
      <c r="AF401" s="55" t="s">
        <v>459</v>
      </c>
      <c r="AG401" s="69">
        <v>0</v>
      </c>
      <c r="AH401" s="57">
        <v>7</v>
      </c>
      <c r="AI401" s="55" t="s">
        <v>459</v>
      </c>
      <c r="AJ401" s="71">
        <v>0</v>
      </c>
      <c r="AK401" s="72">
        <f t="shared" si="36"/>
        <v>0</v>
      </c>
      <c r="AL401" s="72">
        <f t="shared" si="37"/>
        <v>0</v>
      </c>
      <c r="AM401">
        <v>-1</v>
      </c>
      <c r="AO401" s="102">
        <f t="shared" si="38"/>
        <v>0</v>
      </c>
      <c r="AP401" s="103">
        <f t="shared" si="39"/>
        <v>1357</v>
      </c>
      <c r="AQ401" s="101">
        <f t="shared" si="40"/>
        <v>9528</v>
      </c>
      <c r="AR401" s="104">
        <f t="shared" si="41"/>
        <v>303958</v>
      </c>
    </row>
    <row r="402" spans="1:44">
      <c r="A402" s="50" t="s">
        <v>1132</v>
      </c>
      <c r="B402" s="51" t="s">
        <v>1133</v>
      </c>
      <c r="C402" s="50" t="s">
        <v>424</v>
      </c>
      <c r="D402" s="50">
        <v>11</v>
      </c>
      <c r="E402" s="51" t="s">
        <v>1134</v>
      </c>
      <c r="F402" s="51" t="s">
        <v>218</v>
      </c>
      <c r="G402" s="50" t="s">
        <v>219</v>
      </c>
      <c r="H402" s="52" t="s">
        <v>178</v>
      </c>
      <c r="I402" s="52" t="s">
        <v>190</v>
      </c>
      <c r="J402" s="53">
        <v>383.46</v>
      </c>
      <c r="K402" s="66">
        <v>0</v>
      </c>
      <c r="L402" s="66">
        <v>101985</v>
      </c>
      <c r="M402" s="54">
        <v>101985</v>
      </c>
      <c r="N402" s="64">
        <v>3288908</v>
      </c>
      <c r="O402" s="64">
        <v>77933</v>
      </c>
      <c r="P402" s="64">
        <v>478551</v>
      </c>
      <c r="Q402" s="54">
        <v>3845392</v>
      </c>
      <c r="R402" s="62">
        <v>358707</v>
      </c>
      <c r="S402" s="54">
        <v>4306084</v>
      </c>
      <c r="T402" s="81">
        <v>234238</v>
      </c>
      <c r="U402" s="81">
        <v>0</v>
      </c>
      <c r="V402" s="81">
        <v>0</v>
      </c>
      <c r="W402" s="81">
        <v>0</v>
      </c>
      <c r="X402" s="54">
        <v>4540322</v>
      </c>
      <c r="Y402" s="54">
        <v>0</v>
      </c>
      <c r="Z402" s="54">
        <v>109180</v>
      </c>
      <c r="AA402" s="54">
        <v>3852729</v>
      </c>
      <c r="AB402" s="54">
        <v>578413</v>
      </c>
      <c r="AC402" s="55" t="s">
        <v>184</v>
      </c>
      <c r="AD402" s="56">
        <v>4103</v>
      </c>
      <c r="AE402" s="57">
        <v>7</v>
      </c>
      <c r="AF402" s="55" t="s">
        <v>218</v>
      </c>
      <c r="AG402" s="69">
        <v>0</v>
      </c>
      <c r="AH402" s="57">
        <v>7</v>
      </c>
      <c r="AI402" s="55" t="s">
        <v>218</v>
      </c>
      <c r="AJ402" s="71">
        <v>0</v>
      </c>
      <c r="AK402" s="72">
        <f t="shared" si="36"/>
        <v>0</v>
      </c>
      <c r="AL402" s="72">
        <f t="shared" si="37"/>
        <v>0</v>
      </c>
      <c r="AM402">
        <v>-1</v>
      </c>
      <c r="AO402" s="102">
        <f t="shared" si="38"/>
        <v>0</v>
      </c>
      <c r="AP402" s="103">
        <f t="shared" si="39"/>
        <v>7195</v>
      </c>
      <c r="AQ402" s="101">
        <f t="shared" si="40"/>
        <v>7337</v>
      </c>
      <c r="AR402" s="104">
        <f t="shared" si="41"/>
        <v>219706</v>
      </c>
    </row>
    <row r="403" spans="1:44">
      <c r="A403" s="50" t="s">
        <v>1017</v>
      </c>
      <c r="B403" s="51" t="s">
        <v>1018</v>
      </c>
      <c r="C403" s="50" t="s">
        <v>424</v>
      </c>
      <c r="D403" s="50">
        <v>66</v>
      </c>
      <c r="E403" s="51" t="s">
        <v>808</v>
      </c>
      <c r="F403" s="51" t="s">
        <v>342</v>
      </c>
      <c r="G403" s="50" t="s">
        <v>343</v>
      </c>
      <c r="H403" s="52" t="s">
        <v>178</v>
      </c>
      <c r="I403" s="52" t="s">
        <v>190</v>
      </c>
      <c r="J403" s="53">
        <v>522.32000000000005</v>
      </c>
      <c r="K403" s="66">
        <v>0</v>
      </c>
      <c r="L403" s="66">
        <v>150017</v>
      </c>
      <c r="M403" s="54">
        <v>150017</v>
      </c>
      <c r="N403" s="64">
        <v>4456183</v>
      </c>
      <c r="O403" s="64">
        <v>121858</v>
      </c>
      <c r="P403" s="64">
        <v>756867</v>
      </c>
      <c r="Q403" s="54">
        <v>5334908</v>
      </c>
      <c r="R403" s="62">
        <v>304569</v>
      </c>
      <c r="S403" s="54">
        <v>5789494</v>
      </c>
      <c r="T403" s="81">
        <v>353098</v>
      </c>
      <c r="U403" s="81">
        <v>8905</v>
      </c>
      <c r="V403" s="81">
        <v>0</v>
      </c>
      <c r="W403" s="81">
        <v>0</v>
      </c>
      <c r="X403" s="54">
        <v>6151497</v>
      </c>
      <c r="Y403" s="54">
        <v>0</v>
      </c>
      <c r="Z403" s="54">
        <v>179628</v>
      </c>
      <c r="AA403" s="54">
        <v>5349170</v>
      </c>
      <c r="AB403" s="54">
        <v>622699</v>
      </c>
      <c r="AC403" s="55" t="s">
        <v>184</v>
      </c>
      <c r="AD403" s="56">
        <v>4070</v>
      </c>
      <c r="AE403" s="57">
        <v>7</v>
      </c>
      <c r="AF403" s="55" t="s">
        <v>342</v>
      </c>
      <c r="AG403" s="69">
        <v>0</v>
      </c>
      <c r="AH403" s="57">
        <v>7</v>
      </c>
      <c r="AI403" s="55" t="s">
        <v>342</v>
      </c>
      <c r="AJ403" s="71">
        <v>0</v>
      </c>
      <c r="AK403" s="72">
        <f t="shared" si="36"/>
        <v>0</v>
      </c>
      <c r="AL403" s="72">
        <f t="shared" si="37"/>
        <v>0</v>
      </c>
      <c r="AM403">
        <v>-1</v>
      </c>
      <c r="AO403" s="102">
        <f t="shared" si="38"/>
        <v>0</v>
      </c>
      <c r="AP403" s="103">
        <f t="shared" si="39"/>
        <v>29611</v>
      </c>
      <c r="AQ403" s="101">
        <f t="shared" si="40"/>
        <v>14262</v>
      </c>
      <c r="AR403" s="104">
        <f t="shared" si="41"/>
        <v>318130</v>
      </c>
    </row>
    <row r="404" spans="1:44" s="93" customFormat="1">
      <c r="A404" s="83" t="s">
        <v>1224</v>
      </c>
      <c r="B404" s="84" t="s">
        <v>1225</v>
      </c>
      <c r="C404" s="83" t="s">
        <v>424</v>
      </c>
      <c r="D404" s="83">
        <v>62</v>
      </c>
      <c r="E404" s="84" t="s">
        <v>785</v>
      </c>
      <c r="F404" s="84" t="s">
        <v>146</v>
      </c>
      <c r="G404" s="83" t="s">
        <v>147</v>
      </c>
      <c r="H404" s="85" t="s">
        <v>178</v>
      </c>
      <c r="I404" s="85" t="s">
        <v>191</v>
      </c>
      <c r="J404" s="86">
        <v>0</v>
      </c>
      <c r="K404" s="86">
        <v>0</v>
      </c>
      <c r="L404" s="86">
        <v>25</v>
      </c>
      <c r="M404" s="87">
        <v>25</v>
      </c>
      <c r="N404" s="86">
        <v>0</v>
      </c>
      <c r="O404" s="86">
        <v>0</v>
      </c>
      <c r="P404" s="86">
        <v>0</v>
      </c>
      <c r="Q404" s="87">
        <v>0</v>
      </c>
      <c r="R404" s="86">
        <v>61678</v>
      </c>
      <c r="S404" s="87">
        <v>61703</v>
      </c>
      <c r="T404" s="81">
        <v>0</v>
      </c>
      <c r="U404" s="81">
        <v>0</v>
      </c>
      <c r="V404" s="81">
        <v>0</v>
      </c>
      <c r="W404" s="81">
        <v>0</v>
      </c>
      <c r="X404" s="87">
        <v>61703</v>
      </c>
      <c r="Y404" s="87">
        <v>0</v>
      </c>
      <c r="Z404" s="87">
        <v>25</v>
      </c>
      <c r="AA404" s="87">
        <v>0</v>
      </c>
      <c r="AB404" s="87">
        <v>61678</v>
      </c>
      <c r="AC404" s="88" t="s">
        <v>184</v>
      </c>
      <c r="AD404" s="89">
        <v>4167</v>
      </c>
      <c r="AE404" s="90">
        <v>7</v>
      </c>
      <c r="AF404" s="90" t="s">
        <v>146</v>
      </c>
      <c r="AG404" s="91">
        <v>0</v>
      </c>
      <c r="AH404" s="90">
        <v>7</v>
      </c>
      <c r="AI404" s="90" t="s">
        <v>146</v>
      </c>
      <c r="AJ404" s="92">
        <v>0</v>
      </c>
      <c r="AK404" s="93">
        <f t="shared" si="36"/>
        <v>0</v>
      </c>
      <c r="AL404" s="93">
        <f t="shared" si="37"/>
        <v>0</v>
      </c>
      <c r="AM404" s="93">
        <v>-1</v>
      </c>
      <c r="AO404" s="102">
        <f t="shared" si="38"/>
        <v>0</v>
      </c>
      <c r="AP404" s="103">
        <f t="shared" si="39"/>
        <v>0</v>
      </c>
      <c r="AQ404" s="101">
        <f t="shared" si="40"/>
        <v>0</v>
      </c>
      <c r="AR404" s="104">
        <f t="shared" si="41"/>
        <v>0</v>
      </c>
    </row>
    <row r="405" spans="1:44">
      <c r="A405" s="50" t="s">
        <v>1017</v>
      </c>
      <c r="B405" s="51" t="s">
        <v>1018</v>
      </c>
      <c r="C405" s="50" t="s">
        <v>424</v>
      </c>
      <c r="D405" s="50">
        <v>85</v>
      </c>
      <c r="E405" s="51" t="s">
        <v>606</v>
      </c>
      <c r="F405" s="51" t="s">
        <v>467</v>
      </c>
      <c r="G405" s="50" t="s">
        <v>468</v>
      </c>
      <c r="H405" s="52" t="s">
        <v>178</v>
      </c>
      <c r="I405" s="95" t="s">
        <v>190</v>
      </c>
      <c r="J405" s="53">
        <v>63.41</v>
      </c>
      <c r="K405" s="66">
        <v>0</v>
      </c>
      <c r="L405" s="66">
        <v>10624</v>
      </c>
      <c r="M405" s="54">
        <v>10624</v>
      </c>
      <c r="N405" s="64">
        <v>500197</v>
      </c>
      <c r="O405" s="64">
        <v>76757</v>
      </c>
      <c r="P405" s="64">
        <v>41954</v>
      </c>
      <c r="Q405" s="54">
        <v>618908</v>
      </c>
      <c r="R405" s="62">
        <v>13406</v>
      </c>
      <c r="S405" s="54">
        <v>642938</v>
      </c>
      <c r="T405" s="81">
        <v>4477</v>
      </c>
      <c r="U405" s="81">
        <v>0</v>
      </c>
      <c r="V405" s="81">
        <v>0</v>
      </c>
      <c r="W405" s="81">
        <v>0</v>
      </c>
      <c r="X405" s="54">
        <v>647413</v>
      </c>
      <c r="Y405" s="54">
        <v>0</v>
      </c>
      <c r="Z405" s="54">
        <v>11171</v>
      </c>
      <c r="AA405" s="54">
        <v>619259</v>
      </c>
      <c r="AB405" s="54">
        <v>16983</v>
      </c>
      <c r="AC405" s="55" t="s">
        <v>184</v>
      </c>
      <c r="AD405" s="56">
        <v>4031</v>
      </c>
      <c r="AE405" s="57">
        <v>7</v>
      </c>
      <c r="AF405" s="55" t="s">
        <v>467</v>
      </c>
      <c r="AG405" s="69">
        <v>0</v>
      </c>
      <c r="AH405" s="57">
        <v>7</v>
      </c>
      <c r="AI405" s="55" t="s">
        <v>467</v>
      </c>
      <c r="AJ405" s="71">
        <v>0</v>
      </c>
      <c r="AK405" s="72">
        <f t="shared" si="36"/>
        <v>0</v>
      </c>
      <c r="AL405" s="72">
        <f t="shared" si="37"/>
        <v>0</v>
      </c>
      <c r="AM405">
        <v>-1</v>
      </c>
      <c r="AO405" s="102">
        <f t="shared" si="38"/>
        <v>0</v>
      </c>
      <c r="AP405" s="103">
        <f t="shared" si="39"/>
        <v>547</v>
      </c>
      <c r="AQ405" s="101">
        <f t="shared" si="40"/>
        <v>351</v>
      </c>
      <c r="AR405" s="104">
        <f t="shared" si="41"/>
        <v>3577</v>
      </c>
    </row>
    <row r="406" spans="1:44">
      <c r="A406" s="50" t="s">
        <v>1218</v>
      </c>
      <c r="B406" s="51" t="s">
        <v>1219</v>
      </c>
      <c r="C406" s="50" t="s">
        <v>424</v>
      </c>
      <c r="D406" s="50">
        <v>69</v>
      </c>
      <c r="E406" s="51" t="s">
        <v>651</v>
      </c>
      <c r="F406" s="51" t="s">
        <v>246</v>
      </c>
      <c r="G406" s="50" t="s">
        <v>247</v>
      </c>
      <c r="H406" s="52" t="s">
        <v>178</v>
      </c>
      <c r="I406" s="52" t="s">
        <v>191</v>
      </c>
      <c r="J406" s="53">
        <v>231.48</v>
      </c>
      <c r="K406" s="66">
        <v>0</v>
      </c>
      <c r="L406" s="66">
        <v>33067</v>
      </c>
      <c r="M406" s="54">
        <v>33067</v>
      </c>
      <c r="N406" s="64">
        <v>1273465</v>
      </c>
      <c r="O406" s="64">
        <v>225438</v>
      </c>
      <c r="P406" s="64">
        <v>274721</v>
      </c>
      <c r="Q406" s="54">
        <v>1773624</v>
      </c>
      <c r="R406" s="62">
        <v>31063</v>
      </c>
      <c r="S406" s="54">
        <v>1837754</v>
      </c>
      <c r="T406" s="81">
        <v>34466</v>
      </c>
      <c r="U406" s="81">
        <v>0</v>
      </c>
      <c r="V406" s="81">
        <v>0</v>
      </c>
      <c r="W406" s="81">
        <v>0</v>
      </c>
      <c r="X406" s="54">
        <v>1872220</v>
      </c>
      <c r="Y406" s="54">
        <v>0</v>
      </c>
      <c r="Z406" s="54">
        <v>67533</v>
      </c>
      <c r="AA406" s="54">
        <v>1773624</v>
      </c>
      <c r="AB406" s="54">
        <v>31063</v>
      </c>
      <c r="AC406" s="55" t="s">
        <v>184</v>
      </c>
      <c r="AD406" s="56">
        <v>4118</v>
      </c>
      <c r="AE406" s="57">
        <v>7</v>
      </c>
      <c r="AF406" s="55" t="s">
        <v>246</v>
      </c>
      <c r="AG406" s="69">
        <v>0</v>
      </c>
      <c r="AH406" s="57">
        <v>7</v>
      </c>
      <c r="AI406" s="55" t="s">
        <v>246</v>
      </c>
      <c r="AJ406" s="71">
        <v>0</v>
      </c>
      <c r="AK406" s="72">
        <f t="shared" si="36"/>
        <v>0</v>
      </c>
      <c r="AL406" s="72">
        <f t="shared" si="37"/>
        <v>0</v>
      </c>
      <c r="AM406">
        <v>-1</v>
      </c>
      <c r="AO406" s="102">
        <f t="shared" si="38"/>
        <v>0</v>
      </c>
      <c r="AP406" s="103">
        <f t="shared" si="39"/>
        <v>34466</v>
      </c>
      <c r="AQ406" s="101">
        <f t="shared" si="40"/>
        <v>0</v>
      </c>
      <c r="AR406" s="104">
        <f t="shared" si="41"/>
        <v>0</v>
      </c>
    </row>
    <row r="407" spans="1:44">
      <c r="A407" s="50" t="s">
        <v>1218</v>
      </c>
      <c r="B407" s="51" t="s">
        <v>1219</v>
      </c>
      <c r="C407" s="50" t="s">
        <v>424</v>
      </c>
      <c r="D407" s="50">
        <v>69</v>
      </c>
      <c r="E407" s="51" t="s">
        <v>651</v>
      </c>
      <c r="F407" s="51" t="s">
        <v>320</v>
      </c>
      <c r="G407" s="50" t="s">
        <v>321</v>
      </c>
      <c r="H407" s="52" t="s">
        <v>178</v>
      </c>
      <c r="I407" s="52" t="s">
        <v>191</v>
      </c>
      <c r="J407" s="53">
        <v>55.78</v>
      </c>
      <c r="K407" s="66">
        <v>0</v>
      </c>
      <c r="L407" s="66">
        <v>21161</v>
      </c>
      <c r="M407" s="54">
        <v>21161</v>
      </c>
      <c r="N407" s="64">
        <v>305109</v>
      </c>
      <c r="O407" s="64">
        <v>3402</v>
      </c>
      <c r="P407" s="64">
        <v>85874</v>
      </c>
      <c r="Q407" s="54">
        <v>394385</v>
      </c>
      <c r="R407" s="62">
        <v>0</v>
      </c>
      <c r="S407" s="54">
        <v>415546</v>
      </c>
      <c r="T407" s="81">
        <v>2465</v>
      </c>
      <c r="U407" s="81">
        <v>34779</v>
      </c>
      <c r="V407" s="81">
        <v>0</v>
      </c>
      <c r="W407" s="81">
        <v>0</v>
      </c>
      <c r="X407" s="54">
        <v>452790</v>
      </c>
      <c r="Y407" s="54">
        <v>0</v>
      </c>
      <c r="Z407" s="54">
        <v>57031</v>
      </c>
      <c r="AA407" s="54">
        <v>394729</v>
      </c>
      <c r="AB407" s="54">
        <v>1030</v>
      </c>
      <c r="AC407" s="55" t="s">
        <v>184</v>
      </c>
      <c r="AD407" s="56">
        <v>4054</v>
      </c>
      <c r="AE407" s="57">
        <v>7</v>
      </c>
      <c r="AF407" s="55" t="s">
        <v>320</v>
      </c>
      <c r="AG407" s="69">
        <v>0</v>
      </c>
      <c r="AH407" s="57">
        <v>7</v>
      </c>
      <c r="AI407" s="55" t="s">
        <v>320</v>
      </c>
      <c r="AJ407" s="71">
        <v>0</v>
      </c>
      <c r="AK407" s="72">
        <f t="shared" si="36"/>
        <v>0</v>
      </c>
      <c r="AL407" s="72">
        <f t="shared" si="37"/>
        <v>0</v>
      </c>
      <c r="AM407">
        <v>-1</v>
      </c>
      <c r="AO407" s="102">
        <f t="shared" si="38"/>
        <v>0</v>
      </c>
      <c r="AP407" s="103">
        <f t="shared" si="39"/>
        <v>35870</v>
      </c>
      <c r="AQ407" s="101">
        <f t="shared" si="40"/>
        <v>344</v>
      </c>
      <c r="AR407" s="104">
        <f t="shared" si="41"/>
        <v>1030</v>
      </c>
    </row>
    <row r="408" spans="1:44">
      <c r="A408" s="50" t="s">
        <v>1224</v>
      </c>
      <c r="B408" s="51" t="s">
        <v>1225</v>
      </c>
      <c r="C408" s="50" t="s">
        <v>424</v>
      </c>
      <c r="D408" s="50">
        <v>27</v>
      </c>
      <c r="E408" s="51" t="s">
        <v>1227</v>
      </c>
      <c r="F408" s="51" t="s">
        <v>314</v>
      </c>
      <c r="G408" s="50" t="s">
        <v>315</v>
      </c>
      <c r="H408" s="52" t="s">
        <v>178</v>
      </c>
      <c r="I408" s="52" t="s">
        <v>191</v>
      </c>
      <c r="J408" s="53">
        <v>82.84</v>
      </c>
      <c r="K408" s="66">
        <v>0</v>
      </c>
      <c r="L408" s="66">
        <v>47603</v>
      </c>
      <c r="M408" s="54">
        <v>47603</v>
      </c>
      <c r="N408" s="64">
        <v>550009</v>
      </c>
      <c r="O408" s="64">
        <v>53718</v>
      </c>
      <c r="P408" s="64">
        <v>101607</v>
      </c>
      <c r="Q408" s="54">
        <v>705334</v>
      </c>
      <c r="R408" s="62">
        <v>59497</v>
      </c>
      <c r="S408" s="54">
        <v>812434</v>
      </c>
      <c r="T408" s="81">
        <v>31696</v>
      </c>
      <c r="U408" s="81">
        <v>0</v>
      </c>
      <c r="V408" s="81">
        <v>0</v>
      </c>
      <c r="W408" s="81">
        <v>0</v>
      </c>
      <c r="X408" s="54">
        <v>844130</v>
      </c>
      <c r="Y408" s="54">
        <v>0</v>
      </c>
      <c r="Z408" s="54">
        <v>62364</v>
      </c>
      <c r="AA408" s="54">
        <v>706643</v>
      </c>
      <c r="AB408" s="54">
        <v>75123</v>
      </c>
      <c r="AC408" s="55" t="s">
        <v>184</v>
      </c>
      <c r="AD408" s="56">
        <v>4050</v>
      </c>
      <c r="AE408" s="57">
        <v>7</v>
      </c>
      <c r="AF408" s="55" t="s">
        <v>314</v>
      </c>
      <c r="AG408" s="69">
        <v>0</v>
      </c>
      <c r="AH408" s="57">
        <v>7</v>
      </c>
      <c r="AI408" s="55" t="s">
        <v>314</v>
      </c>
      <c r="AJ408" s="71">
        <v>0</v>
      </c>
      <c r="AK408" s="72">
        <f t="shared" si="36"/>
        <v>0</v>
      </c>
      <c r="AL408" s="72">
        <f t="shared" si="37"/>
        <v>0</v>
      </c>
      <c r="AM408">
        <v>-1</v>
      </c>
      <c r="AO408" s="102">
        <f t="shared" si="38"/>
        <v>0</v>
      </c>
      <c r="AP408" s="103">
        <f t="shared" si="39"/>
        <v>14761</v>
      </c>
      <c r="AQ408" s="101">
        <f t="shared" si="40"/>
        <v>1309</v>
      </c>
      <c r="AR408" s="104">
        <f t="shared" si="41"/>
        <v>15626</v>
      </c>
    </row>
    <row r="409" spans="1:44">
      <c r="A409" s="50" t="s">
        <v>1224</v>
      </c>
      <c r="B409" s="51" t="s">
        <v>1225</v>
      </c>
      <c r="C409" s="50" t="s">
        <v>424</v>
      </c>
      <c r="D409" s="50">
        <v>27</v>
      </c>
      <c r="E409" s="51" t="s">
        <v>1227</v>
      </c>
      <c r="F409" s="51" t="s">
        <v>308</v>
      </c>
      <c r="G409" s="50" t="s">
        <v>309</v>
      </c>
      <c r="H409" s="52" t="s">
        <v>178</v>
      </c>
      <c r="I409" s="52" t="s">
        <v>191</v>
      </c>
      <c r="J409" s="53">
        <v>75.14</v>
      </c>
      <c r="K409" s="66">
        <v>0</v>
      </c>
      <c r="L409" s="66">
        <v>9097</v>
      </c>
      <c r="M409" s="54">
        <v>9097</v>
      </c>
      <c r="N409" s="64">
        <v>616680</v>
      </c>
      <c r="O409" s="64">
        <v>54215</v>
      </c>
      <c r="P409" s="64">
        <v>81600</v>
      </c>
      <c r="Q409" s="54">
        <v>752495</v>
      </c>
      <c r="R409" s="62">
        <v>100454</v>
      </c>
      <c r="S409" s="54">
        <v>862046</v>
      </c>
      <c r="T409" s="81">
        <v>12791</v>
      </c>
      <c r="U409" s="81">
        <v>0</v>
      </c>
      <c r="V409" s="81">
        <v>0</v>
      </c>
      <c r="W409" s="81">
        <v>0</v>
      </c>
      <c r="X409" s="54">
        <v>874837</v>
      </c>
      <c r="Y409" s="54">
        <v>0</v>
      </c>
      <c r="Z409" s="54">
        <v>10459</v>
      </c>
      <c r="AA409" s="54">
        <v>752990</v>
      </c>
      <c r="AB409" s="54">
        <v>111388</v>
      </c>
      <c r="AC409" s="55" t="s">
        <v>184</v>
      </c>
      <c r="AD409" s="56">
        <v>4046</v>
      </c>
      <c r="AE409" s="57">
        <v>7</v>
      </c>
      <c r="AF409" s="55" t="s">
        <v>308</v>
      </c>
      <c r="AG409" s="69">
        <v>0</v>
      </c>
      <c r="AH409" s="57">
        <v>7</v>
      </c>
      <c r="AI409" s="55" t="s">
        <v>308</v>
      </c>
      <c r="AJ409" s="71">
        <v>0</v>
      </c>
      <c r="AK409" s="72">
        <f t="shared" si="36"/>
        <v>0</v>
      </c>
      <c r="AL409" s="72">
        <f t="shared" si="37"/>
        <v>0</v>
      </c>
      <c r="AM409">
        <v>-1</v>
      </c>
      <c r="AO409" s="102">
        <f t="shared" si="38"/>
        <v>0</v>
      </c>
      <c r="AP409" s="103">
        <f t="shared" si="39"/>
        <v>1362</v>
      </c>
      <c r="AQ409" s="101">
        <f t="shared" si="40"/>
        <v>495</v>
      </c>
      <c r="AR409" s="104">
        <f t="shared" si="41"/>
        <v>10934</v>
      </c>
    </row>
    <row r="410" spans="1:44">
      <c r="A410" s="50" t="s">
        <v>1224</v>
      </c>
      <c r="B410" s="51" t="s">
        <v>1225</v>
      </c>
      <c r="C410" s="50" t="s">
        <v>424</v>
      </c>
      <c r="D410" s="50">
        <v>62</v>
      </c>
      <c r="E410" s="51" t="s">
        <v>785</v>
      </c>
      <c r="F410" s="51" t="s">
        <v>306</v>
      </c>
      <c r="G410" s="50" t="s">
        <v>307</v>
      </c>
      <c r="H410" s="52" t="s">
        <v>178</v>
      </c>
      <c r="I410" s="52" t="s">
        <v>191</v>
      </c>
      <c r="J410" s="53">
        <v>64.17</v>
      </c>
      <c r="K410" s="66">
        <v>0</v>
      </c>
      <c r="L410" s="66">
        <v>30400</v>
      </c>
      <c r="M410" s="54">
        <v>30400</v>
      </c>
      <c r="N410" s="64">
        <v>504703</v>
      </c>
      <c r="O410" s="64">
        <v>90107</v>
      </c>
      <c r="P410" s="64">
        <v>71295</v>
      </c>
      <c r="Q410" s="54">
        <v>666105</v>
      </c>
      <c r="R410" s="62">
        <v>50214</v>
      </c>
      <c r="S410" s="54">
        <v>746719</v>
      </c>
      <c r="T410" s="81">
        <v>0</v>
      </c>
      <c r="U410" s="81">
        <v>0</v>
      </c>
      <c r="V410" s="81">
        <v>0</v>
      </c>
      <c r="W410" s="81">
        <v>0</v>
      </c>
      <c r="X410" s="54">
        <v>746720</v>
      </c>
      <c r="Y410" s="54">
        <v>0</v>
      </c>
      <c r="Z410" s="54">
        <v>30400</v>
      </c>
      <c r="AA410" s="54">
        <v>666106</v>
      </c>
      <c r="AB410" s="54">
        <v>50214</v>
      </c>
      <c r="AC410" s="55" t="s">
        <v>184</v>
      </c>
      <c r="AD410" s="56">
        <v>4045</v>
      </c>
      <c r="AE410" s="57">
        <v>7</v>
      </c>
      <c r="AF410" s="55" t="s">
        <v>306</v>
      </c>
      <c r="AG410" s="69">
        <v>0</v>
      </c>
      <c r="AH410" s="57">
        <v>7</v>
      </c>
      <c r="AI410" s="55" t="s">
        <v>306</v>
      </c>
      <c r="AJ410" s="71">
        <v>0</v>
      </c>
      <c r="AK410" s="72">
        <f t="shared" si="36"/>
        <v>0</v>
      </c>
      <c r="AL410" s="72">
        <f t="shared" si="37"/>
        <v>0</v>
      </c>
      <c r="AM410">
        <v>-1</v>
      </c>
      <c r="AO410" s="102">
        <f t="shared" si="38"/>
        <v>0</v>
      </c>
      <c r="AP410" s="103">
        <f t="shared" si="39"/>
        <v>0</v>
      </c>
      <c r="AQ410" s="101">
        <f t="shared" si="40"/>
        <v>1</v>
      </c>
      <c r="AR410" s="104">
        <f t="shared" si="41"/>
        <v>0</v>
      </c>
    </row>
    <row r="411" spans="1:44">
      <c r="A411" s="50" t="s">
        <v>1224</v>
      </c>
      <c r="B411" s="51" t="s">
        <v>1225</v>
      </c>
      <c r="C411" s="50" t="s">
        <v>424</v>
      </c>
      <c r="D411" s="50">
        <v>27</v>
      </c>
      <c r="E411" s="51" t="s">
        <v>1227</v>
      </c>
      <c r="F411" s="51" t="s">
        <v>244</v>
      </c>
      <c r="G411" s="50" t="s">
        <v>245</v>
      </c>
      <c r="H411" s="52" t="s">
        <v>178</v>
      </c>
      <c r="I411" s="52" t="s">
        <v>191</v>
      </c>
      <c r="J411" s="53">
        <v>361.24</v>
      </c>
      <c r="K411" s="66">
        <v>0</v>
      </c>
      <c r="L411" s="66">
        <v>46393</v>
      </c>
      <c r="M411" s="54">
        <v>46393</v>
      </c>
      <c r="N411" s="64">
        <v>1760469</v>
      </c>
      <c r="O411" s="64">
        <v>0</v>
      </c>
      <c r="P411" s="64">
        <v>401280</v>
      </c>
      <c r="Q411" s="54">
        <v>2161749</v>
      </c>
      <c r="R411" s="62">
        <v>133263</v>
      </c>
      <c r="S411" s="54">
        <v>2341405</v>
      </c>
      <c r="T411" s="81">
        <v>0</v>
      </c>
      <c r="U411" s="81">
        <v>227451</v>
      </c>
      <c r="V411" s="81">
        <v>0</v>
      </c>
      <c r="W411" s="81">
        <v>0</v>
      </c>
      <c r="X411" s="54">
        <v>2568854</v>
      </c>
      <c r="Y411" s="54">
        <v>0</v>
      </c>
      <c r="Z411" s="54">
        <v>273843</v>
      </c>
      <c r="AA411" s="54">
        <v>2161748</v>
      </c>
      <c r="AB411" s="54">
        <v>133263</v>
      </c>
      <c r="AC411" s="55" t="s">
        <v>184</v>
      </c>
      <c r="AD411" s="56">
        <v>4116</v>
      </c>
      <c r="AE411" s="57">
        <v>7</v>
      </c>
      <c r="AF411" s="55" t="s">
        <v>244</v>
      </c>
      <c r="AG411" s="69">
        <v>0</v>
      </c>
      <c r="AH411" s="57">
        <v>7</v>
      </c>
      <c r="AI411" s="55" t="s">
        <v>244</v>
      </c>
      <c r="AJ411" s="71">
        <v>0</v>
      </c>
      <c r="AK411" s="72">
        <f t="shared" si="36"/>
        <v>0</v>
      </c>
      <c r="AL411" s="72">
        <f t="shared" si="37"/>
        <v>0</v>
      </c>
      <c r="AM411">
        <v>-1</v>
      </c>
      <c r="AO411" s="102">
        <f t="shared" si="38"/>
        <v>0</v>
      </c>
      <c r="AP411" s="103">
        <f t="shared" si="39"/>
        <v>227450</v>
      </c>
      <c r="AQ411" s="101">
        <f t="shared" si="40"/>
        <v>-1</v>
      </c>
      <c r="AR411" s="104">
        <f t="shared" si="41"/>
        <v>0</v>
      </c>
    </row>
    <row r="412" spans="1:44" s="93" customFormat="1">
      <c r="A412" s="83" t="s">
        <v>1224</v>
      </c>
      <c r="B412" s="84" t="s">
        <v>1225</v>
      </c>
      <c r="C412" s="83" t="s">
        <v>424</v>
      </c>
      <c r="D412" s="83">
        <v>19</v>
      </c>
      <c r="E412" s="84" t="s">
        <v>1233</v>
      </c>
      <c r="F412" s="84" t="s">
        <v>140</v>
      </c>
      <c r="G412" s="83" t="s">
        <v>141</v>
      </c>
      <c r="H412" s="85" t="s">
        <v>178</v>
      </c>
      <c r="I412" s="85" t="s">
        <v>190</v>
      </c>
      <c r="J412" s="86">
        <v>0</v>
      </c>
      <c r="K412" s="86">
        <v>0</v>
      </c>
      <c r="L412" s="86">
        <v>4682</v>
      </c>
      <c r="M412" s="87">
        <v>4682</v>
      </c>
      <c r="N412" s="86">
        <v>0</v>
      </c>
      <c r="O412" s="86">
        <v>0</v>
      </c>
      <c r="P412" s="86">
        <v>0</v>
      </c>
      <c r="Q412" s="87">
        <v>0</v>
      </c>
      <c r="R412" s="86">
        <v>82374</v>
      </c>
      <c r="S412" s="87">
        <v>87056</v>
      </c>
      <c r="T412" s="81">
        <v>0</v>
      </c>
      <c r="U412" s="81">
        <v>0</v>
      </c>
      <c r="V412" s="81">
        <v>0</v>
      </c>
      <c r="W412" s="81">
        <v>0</v>
      </c>
      <c r="X412" s="87">
        <v>87056</v>
      </c>
      <c r="Y412" s="87">
        <v>0</v>
      </c>
      <c r="Z412" s="87">
        <v>4682</v>
      </c>
      <c r="AA412" s="87">
        <v>0</v>
      </c>
      <c r="AB412" s="87">
        <v>82374</v>
      </c>
      <c r="AC412" s="88" t="s">
        <v>184</v>
      </c>
      <c r="AD412" s="89">
        <v>4164</v>
      </c>
      <c r="AE412" s="90">
        <v>7</v>
      </c>
      <c r="AF412" s="90" t="s">
        <v>140</v>
      </c>
      <c r="AG412" s="91">
        <v>0</v>
      </c>
      <c r="AH412" s="90">
        <v>7</v>
      </c>
      <c r="AI412" s="90" t="s">
        <v>140</v>
      </c>
      <c r="AJ412" s="92">
        <v>0</v>
      </c>
      <c r="AK412" s="93">
        <f t="shared" si="36"/>
        <v>0</v>
      </c>
      <c r="AL412" s="93">
        <f t="shared" si="37"/>
        <v>0</v>
      </c>
      <c r="AM412" s="93">
        <v>-1</v>
      </c>
      <c r="AO412" s="102">
        <f t="shared" si="38"/>
        <v>0</v>
      </c>
      <c r="AP412" s="103">
        <f t="shared" si="39"/>
        <v>0</v>
      </c>
      <c r="AQ412" s="101">
        <f t="shared" si="40"/>
        <v>0</v>
      </c>
      <c r="AR412" s="104">
        <f t="shared" si="41"/>
        <v>0</v>
      </c>
    </row>
    <row r="413" spans="1:44">
      <c r="A413" s="50" t="s">
        <v>1017</v>
      </c>
      <c r="B413" s="51" t="s">
        <v>1018</v>
      </c>
      <c r="C413" s="50" t="s">
        <v>424</v>
      </c>
      <c r="D413" s="50">
        <v>66</v>
      </c>
      <c r="E413" s="51" t="s">
        <v>808</v>
      </c>
      <c r="F413" s="51" t="s">
        <v>138</v>
      </c>
      <c r="G413" s="50" t="s">
        <v>139</v>
      </c>
      <c r="H413" s="52" t="s">
        <v>178</v>
      </c>
      <c r="I413" s="52" t="s">
        <v>192</v>
      </c>
      <c r="J413" s="53">
        <v>147.69999999999999</v>
      </c>
      <c r="K413" s="66">
        <v>0</v>
      </c>
      <c r="L413" s="66">
        <v>4725</v>
      </c>
      <c r="M413" s="54">
        <v>4725</v>
      </c>
      <c r="N413" s="64">
        <v>1232154</v>
      </c>
      <c r="O413" s="64">
        <v>151537</v>
      </c>
      <c r="P413" s="64">
        <v>282863</v>
      </c>
      <c r="Q413" s="54">
        <v>1666554</v>
      </c>
      <c r="R413" s="62">
        <v>189544</v>
      </c>
      <c r="S413" s="54">
        <v>1860823</v>
      </c>
      <c r="T413" s="81">
        <v>68459</v>
      </c>
      <c r="U413" s="81">
        <v>0</v>
      </c>
      <c r="V413" s="81">
        <v>0</v>
      </c>
      <c r="W413" s="81">
        <v>0</v>
      </c>
      <c r="X413" s="54">
        <v>1929282</v>
      </c>
      <c r="Y413" s="54">
        <v>0</v>
      </c>
      <c r="Z413" s="54">
        <v>5301</v>
      </c>
      <c r="AA413" s="54">
        <v>1669744</v>
      </c>
      <c r="AB413" s="54">
        <v>254237</v>
      </c>
      <c r="AC413" s="55" t="s">
        <v>184</v>
      </c>
      <c r="AD413" s="56">
        <v>4163</v>
      </c>
      <c r="AE413" s="57">
        <v>7</v>
      </c>
      <c r="AF413" s="55" t="s">
        <v>138</v>
      </c>
      <c r="AG413" s="69">
        <v>0</v>
      </c>
      <c r="AH413" s="57">
        <v>7</v>
      </c>
      <c r="AI413" s="55" t="s">
        <v>138</v>
      </c>
      <c r="AJ413" s="71">
        <v>0</v>
      </c>
      <c r="AK413" s="72">
        <f t="shared" si="36"/>
        <v>0</v>
      </c>
      <c r="AL413" s="72">
        <f t="shared" si="37"/>
        <v>0</v>
      </c>
      <c r="AM413">
        <v>-1</v>
      </c>
      <c r="AO413" s="102">
        <f t="shared" si="38"/>
        <v>0</v>
      </c>
      <c r="AP413" s="103">
        <f t="shared" si="39"/>
        <v>576</v>
      </c>
      <c r="AQ413" s="101">
        <f t="shared" si="40"/>
        <v>3190</v>
      </c>
      <c r="AR413" s="104">
        <f t="shared" si="41"/>
        <v>64693</v>
      </c>
    </row>
    <row r="414" spans="1:44">
      <c r="A414" s="50" t="s">
        <v>1224</v>
      </c>
      <c r="B414" s="51" t="s">
        <v>1225</v>
      </c>
      <c r="C414" s="50" t="s">
        <v>424</v>
      </c>
      <c r="D414" s="50">
        <v>27</v>
      </c>
      <c r="E414" s="51" t="s">
        <v>1227</v>
      </c>
      <c r="F414" s="51" t="s">
        <v>220</v>
      </c>
      <c r="G414" s="50" t="s">
        <v>221</v>
      </c>
      <c r="H414" s="52" t="s">
        <v>178</v>
      </c>
      <c r="I414" s="52" t="s">
        <v>191</v>
      </c>
      <c r="J414" s="53">
        <v>165.6</v>
      </c>
      <c r="K414" s="66">
        <v>0</v>
      </c>
      <c r="L414" s="66">
        <v>117852</v>
      </c>
      <c r="M414" s="54">
        <v>117852</v>
      </c>
      <c r="N414" s="64">
        <v>1159767</v>
      </c>
      <c r="O414" s="64">
        <v>112207</v>
      </c>
      <c r="P414" s="64">
        <v>141364</v>
      </c>
      <c r="Q414" s="54">
        <v>1413338</v>
      </c>
      <c r="R414" s="62">
        <v>25204</v>
      </c>
      <c r="S414" s="54">
        <v>1556394</v>
      </c>
      <c r="T414" s="81">
        <v>0</v>
      </c>
      <c r="U414" s="81">
        <v>0</v>
      </c>
      <c r="V414" s="81">
        <v>0</v>
      </c>
      <c r="W414" s="81">
        <v>0</v>
      </c>
      <c r="X414" s="54">
        <v>1556394</v>
      </c>
      <c r="Y414" s="54">
        <v>0</v>
      </c>
      <c r="Z414" s="54">
        <v>117852</v>
      </c>
      <c r="AA414" s="54">
        <v>1413338</v>
      </c>
      <c r="AB414" s="54">
        <v>25204</v>
      </c>
      <c r="AC414" s="55" t="s">
        <v>184</v>
      </c>
      <c r="AD414" s="56">
        <v>4104</v>
      </c>
      <c r="AE414" s="57">
        <v>7</v>
      </c>
      <c r="AF414" s="55" t="s">
        <v>220</v>
      </c>
      <c r="AG414" s="69">
        <v>0</v>
      </c>
      <c r="AH414" s="57">
        <v>7</v>
      </c>
      <c r="AI414" s="55" t="s">
        <v>220</v>
      </c>
      <c r="AJ414" s="71">
        <v>0</v>
      </c>
      <c r="AK414" s="72">
        <f t="shared" si="36"/>
        <v>0</v>
      </c>
      <c r="AL414" s="72">
        <f t="shared" si="37"/>
        <v>0</v>
      </c>
      <c r="AM414">
        <v>-1</v>
      </c>
      <c r="AO414" s="102">
        <f t="shared" si="38"/>
        <v>0</v>
      </c>
      <c r="AP414" s="103">
        <f t="shared" si="39"/>
        <v>0</v>
      </c>
      <c r="AQ414" s="101">
        <f t="shared" si="40"/>
        <v>0</v>
      </c>
      <c r="AR414" s="104">
        <f t="shared" si="41"/>
        <v>0</v>
      </c>
    </row>
    <row r="415" spans="1:44">
      <c r="A415" s="50" t="s">
        <v>954</v>
      </c>
      <c r="B415" s="51" t="s">
        <v>955</v>
      </c>
      <c r="C415" s="50" t="s">
        <v>424</v>
      </c>
      <c r="D415" s="50">
        <v>43</v>
      </c>
      <c r="E415" s="51" t="s">
        <v>832</v>
      </c>
      <c r="F415" s="51" t="s">
        <v>266</v>
      </c>
      <c r="G415" s="50" t="s">
        <v>267</v>
      </c>
      <c r="H415" s="52" t="s">
        <v>178</v>
      </c>
      <c r="I415" s="52" t="s">
        <v>192</v>
      </c>
      <c r="J415" s="53">
        <v>130.93</v>
      </c>
      <c r="K415" s="66">
        <v>0</v>
      </c>
      <c r="L415" s="66">
        <v>47902</v>
      </c>
      <c r="M415" s="54">
        <v>47902</v>
      </c>
      <c r="N415" s="64">
        <v>1242956</v>
      </c>
      <c r="O415" s="64">
        <v>6043</v>
      </c>
      <c r="P415" s="64">
        <v>286662</v>
      </c>
      <c r="Q415" s="54">
        <v>1535661</v>
      </c>
      <c r="R415" s="62">
        <v>202808</v>
      </c>
      <c r="S415" s="54">
        <v>1786371</v>
      </c>
      <c r="T415" s="81">
        <v>52055</v>
      </c>
      <c r="U415" s="81">
        <v>0</v>
      </c>
      <c r="V415" s="81">
        <v>0</v>
      </c>
      <c r="W415" s="81">
        <v>0</v>
      </c>
      <c r="X415" s="54">
        <v>1838427</v>
      </c>
      <c r="Y415" s="54">
        <v>0</v>
      </c>
      <c r="Z415" s="54">
        <v>47902</v>
      </c>
      <c r="AA415" s="54">
        <v>1537190</v>
      </c>
      <c r="AB415" s="54">
        <v>253335</v>
      </c>
      <c r="AC415" s="55" t="s">
        <v>184</v>
      </c>
      <c r="AD415" s="56">
        <v>4131</v>
      </c>
      <c r="AE415" s="57">
        <v>7</v>
      </c>
      <c r="AF415" s="55" t="s">
        <v>266</v>
      </c>
      <c r="AG415" s="69">
        <v>0</v>
      </c>
      <c r="AH415" s="57">
        <v>7</v>
      </c>
      <c r="AI415" s="55" t="s">
        <v>266</v>
      </c>
      <c r="AJ415" s="71">
        <v>0</v>
      </c>
      <c r="AK415" s="72">
        <f t="shared" si="36"/>
        <v>0</v>
      </c>
      <c r="AL415" s="72">
        <f t="shared" si="37"/>
        <v>0</v>
      </c>
      <c r="AM415">
        <v>-1</v>
      </c>
      <c r="AO415" s="102">
        <f t="shared" si="38"/>
        <v>0</v>
      </c>
      <c r="AP415" s="103">
        <f t="shared" si="39"/>
        <v>0</v>
      </c>
      <c r="AQ415" s="101">
        <f t="shared" si="40"/>
        <v>1529</v>
      </c>
      <c r="AR415" s="104">
        <f t="shared" si="41"/>
        <v>50527</v>
      </c>
    </row>
    <row r="416" spans="1:44" s="93" customFormat="1">
      <c r="A416" s="83" t="s">
        <v>1146</v>
      </c>
      <c r="B416" s="84" t="s">
        <v>1147</v>
      </c>
      <c r="C416" s="83" t="s">
        <v>424</v>
      </c>
      <c r="D416" s="83">
        <v>13</v>
      </c>
      <c r="E416" s="84" t="s">
        <v>1148</v>
      </c>
      <c r="F416" s="84" t="s">
        <v>168</v>
      </c>
      <c r="G416" s="83" t="s">
        <v>169</v>
      </c>
      <c r="H416" s="85" t="s">
        <v>178</v>
      </c>
      <c r="I416" s="85"/>
      <c r="J416" s="86">
        <v>0</v>
      </c>
      <c r="K416" s="86">
        <v>0</v>
      </c>
      <c r="L416" s="86">
        <v>0</v>
      </c>
      <c r="M416" s="87">
        <v>0</v>
      </c>
      <c r="N416" s="86">
        <v>0</v>
      </c>
      <c r="O416" s="86">
        <v>0</v>
      </c>
      <c r="P416" s="86">
        <v>0</v>
      </c>
      <c r="Q416" s="87">
        <v>0</v>
      </c>
      <c r="R416" s="86">
        <v>41518</v>
      </c>
      <c r="S416" s="87">
        <v>41518</v>
      </c>
      <c r="T416" s="81">
        <v>0</v>
      </c>
      <c r="U416" s="81">
        <v>0</v>
      </c>
      <c r="V416" s="81">
        <v>0</v>
      </c>
      <c r="W416" s="81">
        <v>0</v>
      </c>
      <c r="X416" s="87">
        <v>41518</v>
      </c>
      <c r="Y416" s="87">
        <v>0</v>
      </c>
      <c r="Z416" s="87">
        <v>0</v>
      </c>
      <c r="AA416" s="87">
        <v>0</v>
      </c>
      <c r="AB416" s="87">
        <v>41518</v>
      </c>
      <c r="AC416" s="88" t="s">
        <v>184</v>
      </c>
      <c r="AD416" s="89">
        <v>4178</v>
      </c>
      <c r="AE416" s="90">
        <v>7</v>
      </c>
      <c r="AF416" s="90" t="s">
        <v>168</v>
      </c>
      <c r="AG416" s="91">
        <v>0</v>
      </c>
      <c r="AH416" s="90">
        <v>7</v>
      </c>
      <c r="AI416" s="90" t="s">
        <v>168</v>
      </c>
      <c r="AJ416" s="92">
        <v>0</v>
      </c>
      <c r="AK416" s="93">
        <f t="shared" si="36"/>
        <v>0</v>
      </c>
      <c r="AL416" s="93">
        <f t="shared" si="37"/>
        <v>0</v>
      </c>
      <c r="AM416" s="93">
        <v>-1</v>
      </c>
      <c r="AO416" s="102">
        <f t="shared" si="38"/>
        <v>0</v>
      </c>
      <c r="AP416" s="103">
        <f t="shared" si="39"/>
        <v>0</v>
      </c>
      <c r="AQ416" s="101">
        <f t="shared" si="40"/>
        <v>0</v>
      </c>
      <c r="AR416" s="104">
        <f t="shared" si="41"/>
        <v>0</v>
      </c>
    </row>
    <row r="417" spans="1:44" s="93" customFormat="1">
      <c r="A417" s="83" t="s">
        <v>1224</v>
      </c>
      <c r="B417" s="84" t="s">
        <v>1225</v>
      </c>
      <c r="C417" s="83" t="s">
        <v>424</v>
      </c>
      <c r="D417" s="83">
        <v>27</v>
      </c>
      <c r="E417" s="84" t="s">
        <v>1227</v>
      </c>
      <c r="F417" s="84" t="s">
        <v>162</v>
      </c>
      <c r="G417" s="83" t="s">
        <v>163</v>
      </c>
      <c r="H417" s="85" t="s">
        <v>178</v>
      </c>
      <c r="I417" s="85"/>
      <c r="J417" s="86">
        <v>0</v>
      </c>
      <c r="K417" s="86">
        <v>0</v>
      </c>
      <c r="L417" s="86">
        <v>56232</v>
      </c>
      <c r="M417" s="87">
        <v>56232</v>
      </c>
      <c r="N417" s="86">
        <v>0</v>
      </c>
      <c r="O417" s="86">
        <v>0</v>
      </c>
      <c r="P417" s="86">
        <v>0</v>
      </c>
      <c r="Q417" s="87">
        <v>0</v>
      </c>
      <c r="R417" s="86">
        <v>1451</v>
      </c>
      <c r="S417" s="87">
        <v>57683</v>
      </c>
      <c r="T417" s="81">
        <v>0</v>
      </c>
      <c r="U417" s="81">
        <v>0</v>
      </c>
      <c r="V417" s="81">
        <v>0</v>
      </c>
      <c r="W417" s="81">
        <v>0</v>
      </c>
      <c r="X417" s="87">
        <v>57683</v>
      </c>
      <c r="Y417" s="87">
        <v>0</v>
      </c>
      <c r="Z417" s="87">
        <v>56232</v>
      </c>
      <c r="AA417" s="87">
        <v>0</v>
      </c>
      <c r="AB417" s="87">
        <v>1451</v>
      </c>
      <c r="AC417" s="88" t="s">
        <v>184</v>
      </c>
      <c r="AD417" s="89">
        <v>4175</v>
      </c>
      <c r="AE417" s="90">
        <v>7</v>
      </c>
      <c r="AF417" s="90" t="s">
        <v>162</v>
      </c>
      <c r="AG417" s="91">
        <v>0</v>
      </c>
      <c r="AH417" s="90">
        <v>7</v>
      </c>
      <c r="AI417" s="90" t="s">
        <v>162</v>
      </c>
      <c r="AJ417" s="92">
        <v>0</v>
      </c>
      <c r="AK417" s="93">
        <f t="shared" si="36"/>
        <v>0</v>
      </c>
      <c r="AL417" s="93">
        <f t="shared" si="37"/>
        <v>0</v>
      </c>
      <c r="AM417" s="93">
        <v>-1</v>
      </c>
      <c r="AO417" s="102">
        <f t="shared" si="38"/>
        <v>0</v>
      </c>
      <c r="AP417" s="103">
        <f t="shared" si="39"/>
        <v>0</v>
      </c>
      <c r="AQ417" s="101">
        <f t="shared" si="40"/>
        <v>0</v>
      </c>
      <c r="AR417" s="104">
        <f t="shared" si="41"/>
        <v>0</v>
      </c>
    </row>
    <row r="418" spans="1:44">
      <c r="A418" s="50" t="s">
        <v>1224</v>
      </c>
      <c r="B418" s="51" t="s">
        <v>1225</v>
      </c>
      <c r="C418" s="50" t="s">
        <v>424</v>
      </c>
      <c r="D418" s="50">
        <v>62</v>
      </c>
      <c r="E418" s="51" t="s">
        <v>785</v>
      </c>
      <c r="F418" s="51" t="s">
        <v>280</v>
      </c>
      <c r="G418" s="50" t="s">
        <v>281</v>
      </c>
      <c r="H418" s="52" t="s">
        <v>178</v>
      </c>
      <c r="I418" s="52" t="s">
        <v>191</v>
      </c>
      <c r="J418" s="53">
        <v>257.62</v>
      </c>
      <c r="K418" s="66">
        <v>0</v>
      </c>
      <c r="L418" s="66">
        <v>4000</v>
      </c>
      <c r="M418" s="54">
        <v>4000</v>
      </c>
      <c r="N418" s="64">
        <v>1520424</v>
      </c>
      <c r="O418" s="64">
        <v>64463</v>
      </c>
      <c r="P418" s="64">
        <v>413685</v>
      </c>
      <c r="Q418" s="54">
        <v>1998572</v>
      </c>
      <c r="R418" s="62">
        <v>250456</v>
      </c>
      <c r="S418" s="54">
        <v>2253028</v>
      </c>
      <c r="T418" s="81">
        <v>68216</v>
      </c>
      <c r="U418" s="81">
        <v>0</v>
      </c>
      <c r="V418" s="81">
        <v>0</v>
      </c>
      <c r="W418" s="81">
        <v>0</v>
      </c>
      <c r="X418" s="54">
        <v>2321242</v>
      </c>
      <c r="Y418" s="54">
        <v>0</v>
      </c>
      <c r="Z418" s="54">
        <v>15955</v>
      </c>
      <c r="AA418" s="54">
        <v>2003307</v>
      </c>
      <c r="AB418" s="54">
        <v>301980</v>
      </c>
      <c r="AC418" s="55" t="s">
        <v>184</v>
      </c>
      <c r="AD418" s="56">
        <v>4139</v>
      </c>
      <c r="AE418" s="57">
        <v>7</v>
      </c>
      <c r="AF418" s="55" t="s">
        <v>280</v>
      </c>
      <c r="AG418" s="69">
        <v>0</v>
      </c>
      <c r="AH418" s="57">
        <v>7</v>
      </c>
      <c r="AI418" s="55" t="s">
        <v>280</v>
      </c>
      <c r="AJ418" s="71">
        <v>0</v>
      </c>
      <c r="AK418" s="72">
        <f t="shared" si="36"/>
        <v>0</v>
      </c>
      <c r="AL418" s="72">
        <f t="shared" si="37"/>
        <v>0</v>
      </c>
      <c r="AM418">
        <v>-1</v>
      </c>
      <c r="AO418" s="102">
        <f t="shared" si="38"/>
        <v>0</v>
      </c>
      <c r="AP418" s="103">
        <f t="shared" si="39"/>
        <v>11955</v>
      </c>
      <c r="AQ418" s="101">
        <f t="shared" si="40"/>
        <v>4735</v>
      </c>
      <c r="AR418" s="104">
        <f t="shared" si="41"/>
        <v>51524</v>
      </c>
    </row>
    <row r="419" spans="1:44">
      <c r="A419" s="50" t="s">
        <v>1224</v>
      </c>
      <c r="B419" s="51" t="s">
        <v>1225</v>
      </c>
      <c r="C419" s="50" t="s">
        <v>424</v>
      </c>
      <c r="D419" s="50">
        <v>19</v>
      </c>
      <c r="E419" s="51" t="s">
        <v>1233</v>
      </c>
      <c r="F419" s="51" t="s">
        <v>232</v>
      </c>
      <c r="G419" s="50" t="s">
        <v>233</v>
      </c>
      <c r="H419" s="52" t="s">
        <v>178</v>
      </c>
      <c r="I419" s="52" t="s">
        <v>191</v>
      </c>
      <c r="J419" s="53">
        <v>191.5</v>
      </c>
      <c r="K419" s="66">
        <v>0</v>
      </c>
      <c r="L419" s="66">
        <v>310577</v>
      </c>
      <c r="M419" s="54">
        <v>310577</v>
      </c>
      <c r="N419" s="64">
        <v>1316715</v>
      </c>
      <c r="O419" s="64">
        <v>126805</v>
      </c>
      <c r="P419" s="64">
        <v>302182</v>
      </c>
      <c r="Q419" s="54">
        <v>1745702</v>
      </c>
      <c r="R419" s="62">
        <v>141754</v>
      </c>
      <c r="S419" s="54">
        <v>2198033</v>
      </c>
      <c r="T419" s="81">
        <v>0</v>
      </c>
      <c r="U419" s="81">
        <v>0</v>
      </c>
      <c r="V419" s="81">
        <v>0</v>
      </c>
      <c r="W419" s="81">
        <v>0</v>
      </c>
      <c r="X419" s="54">
        <v>2198033</v>
      </c>
      <c r="Y419" s="54">
        <v>0</v>
      </c>
      <c r="Z419" s="54">
        <v>310577</v>
      </c>
      <c r="AA419" s="54">
        <v>1745702</v>
      </c>
      <c r="AB419" s="54">
        <v>141754</v>
      </c>
      <c r="AC419" s="55" t="s">
        <v>184</v>
      </c>
      <c r="AD419" s="56">
        <v>4110</v>
      </c>
      <c r="AE419" s="57">
        <v>7</v>
      </c>
      <c r="AF419" s="55" t="s">
        <v>232</v>
      </c>
      <c r="AG419" s="69">
        <v>0</v>
      </c>
      <c r="AH419" s="57">
        <v>7</v>
      </c>
      <c r="AI419" s="55" t="s">
        <v>232</v>
      </c>
      <c r="AJ419" s="71">
        <v>0</v>
      </c>
      <c r="AK419" s="72">
        <f t="shared" si="36"/>
        <v>0</v>
      </c>
      <c r="AL419" s="72">
        <f t="shared" si="37"/>
        <v>0</v>
      </c>
      <c r="AM419">
        <v>-1</v>
      </c>
      <c r="AO419" s="102">
        <f t="shared" si="38"/>
        <v>0</v>
      </c>
      <c r="AP419" s="103">
        <f t="shared" si="39"/>
        <v>0</v>
      </c>
      <c r="AQ419" s="101">
        <f t="shared" si="40"/>
        <v>0</v>
      </c>
      <c r="AR419" s="104">
        <f t="shared" si="41"/>
        <v>0</v>
      </c>
    </row>
    <row r="420" spans="1:44">
      <c r="A420" s="50" t="s">
        <v>1218</v>
      </c>
      <c r="B420" s="51" t="s">
        <v>1219</v>
      </c>
      <c r="C420" s="50" t="s">
        <v>424</v>
      </c>
      <c r="D420" s="50">
        <v>16</v>
      </c>
      <c r="E420" s="51" t="s">
        <v>1163</v>
      </c>
      <c r="F420" s="51" t="s">
        <v>302</v>
      </c>
      <c r="G420" s="50" t="s">
        <v>303</v>
      </c>
      <c r="H420" s="52" t="s">
        <v>178</v>
      </c>
      <c r="I420" s="52" t="s">
        <v>191</v>
      </c>
      <c r="J420" s="53">
        <v>280.27999999999997</v>
      </c>
      <c r="K420" s="66">
        <v>0</v>
      </c>
      <c r="L420" s="66">
        <v>47313</v>
      </c>
      <c r="M420" s="54">
        <v>47313</v>
      </c>
      <c r="N420" s="64">
        <v>1797418</v>
      </c>
      <c r="O420" s="64">
        <v>148719</v>
      </c>
      <c r="P420" s="64">
        <v>422715</v>
      </c>
      <c r="Q420" s="54">
        <v>2368852</v>
      </c>
      <c r="R420" s="62">
        <v>65104</v>
      </c>
      <c r="S420" s="54">
        <v>2481269</v>
      </c>
      <c r="T420" s="81">
        <v>0</v>
      </c>
      <c r="U420" s="81">
        <v>0</v>
      </c>
      <c r="V420" s="81">
        <v>0</v>
      </c>
      <c r="W420" s="81">
        <v>0</v>
      </c>
      <c r="X420" s="54">
        <v>2481269</v>
      </c>
      <c r="Y420" s="54">
        <v>0</v>
      </c>
      <c r="Z420" s="54">
        <v>47313</v>
      </c>
      <c r="AA420" s="54">
        <v>2368852</v>
      </c>
      <c r="AB420" s="54">
        <v>65104</v>
      </c>
      <c r="AC420" s="55" t="s">
        <v>184</v>
      </c>
      <c r="AD420" s="56">
        <v>4043</v>
      </c>
      <c r="AE420" s="57">
        <v>7</v>
      </c>
      <c r="AF420" s="55" t="s">
        <v>302</v>
      </c>
      <c r="AG420" s="69">
        <v>0</v>
      </c>
      <c r="AH420" s="57">
        <v>7</v>
      </c>
      <c r="AI420" s="55" t="s">
        <v>302</v>
      </c>
      <c r="AJ420" s="71">
        <v>0</v>
      </c>
      <c r="AK420" s="72">
        <f t="shared" si="36"/>
        <v>0</v>
      </c>
      <c r="AL420" s="72">
        <f t="shared" si="37"/>
        <v>0</v>
      </c>
      <c r="AM420">
        <v>-1</v>
      </c>
      <c r="AO420" s="102">
        <f t="shared" si="38"/>
        <v>0</v>
      </c>
      <c r="AP420" s="103">
        <f t="shared" si="39"/>
        <v>0</v>
      </c>
      <c r="AQ420" s="101">
        <f t="shared" si="40"/>
        <v>0</v>
      </c>
      <c r="AR420" s="104">
        <f t="shared" si="41"/>
        <v>0</v>
      </c>
    </row>
    <row r="421" spans="1:44">
      <c r="A421" s="50" t="s">
        <v>1224</v>
      </c>
      <c r="B421" s="51" t="s">
        <v>1225</v>
      </c>
      <c r="C421" s="50" t="s">
        <v>424</v>
      </c>
      <c r="D421" s="50">
        <v>62</v>
      </c>
      <c r="E421" s="51" t="s">
        <v>785</v>
      </c>
      <c r="F421" s="51" t="s">
        <v>433</v>
      </c>
      <c r="G421" s="50" t="s">
        <v>434</v>
      </c>
      <c r="H421" s="52" t="s">
        <v>178</v>
      </c>
      <c r="I421" s="52" t="s">
        <v>190</v>
      </c>
      <c r="J421" s="53">
        <v>65.150000000000006</v>
      </c>
      <c r="K421" s="66">
        <v>0</v>
      </c>
      <c r="L421" s="66">
        <v>157746</v>
      </c>
      <c r="M421" s="54">
        <v>157746</v>
      </c>
      <c r="N421" s="64">
        <v>69773</v>
      </c>
      <c r="O421" s="64">
        <v>2173881</v>
      </c>
      <c r="P421" s="64">
        <v>105930</v>
      </c>
      <c r="Q421" s="54">
        <v>2349584</v>
      </c>
      <c r="R421" s="62">
        <v>106240</v>
      </c>
      <c r="S421" s="54">
        <v>2613570</v>
      </c>
      <c r="T421" s="81">
        <v>14954</v>
      </c>
      <c r="U421" s="81">
        <v>0</v>
      </c>
      <c r="V421" s="81">
        <v>0</v>
      </c>
      <c r="W421" s="81">
        <v>0</v>
      </c>
      <c r="X421" s="54">
        <v>2628525</v>
      </c>
      <c r="Y421" s="54">
        <v>0</v>
      </c>
      <c r="Z421" s="54">
        <v>165333</v>
      </c>
      <c r="AA421" s="54">
        <v>2350056</v>
      </c>
      <c r="AB421" s="54">
        <v>113136</v>
      </c>
      <c r="AC421" s="55" t="s">
        <v>184</v>
      </c>
      <c r="AD421" s="56">
        <v>4005</v>
      </c>
      <c r="AE421" s="57">
        <v>7</v>
      </c>
      <c r="AF421" s="55" t="s">
        <v>433</v>
      </c>
      <c r="AG421" s="69">
        <v>0</v>
      </c>
      <c r="AH421" s="57">
        <v>7</v>
      </c>
      <c r="AI421" s="55" t="s">
        <v>433</v>
      </c>
      <c r="AJ421" s="71">
        <v>0</v>
      </c>
      <c r="AK421" s="72">
        <f t="shared" si="36"/>
        <v>0</v>
      </c>
      <c r="AL421" s="72">
        <f t="shared" si="37"/>
        <v>0</v>
      </c>
      <c r="AM421">
        <v>-1</v>
      </c>
      <c r="AO421" s="102">
        <f t="shared" si="38"/>
        <v>0</v>
      </c>
      <c r="AP421" s="103">
        <f t="shared" si="39"/>
        <v>7587</v>
      </c>
      <c r="AQ421" s="101">
        <f t="shared" si="40"/>
        <v>472</v>
      </c>
      <c r="AR421" s="104">
        <f t="shared" si="41"/>
        <v>6896</v>
      </c>
    </row>
    <row r="422" spans="1:44">
      <c r="A422" s="50" t="s">
        <v>1224</v>
      </c>
      <c r="B422" s="51" t="s">
        <v>1225</v>
      </c>
      <c r="C422" s="50" t="s">
        <v>424</v>
      </c>
      <c r="D422" s="50">
        <v>27</v>
      </c>
      <c r="E422" s="51" t="s">
        <v>1227</v>
      </c>
      <c r="F422" s="51" t="s">
        <v>278</v>
      </c>
      <c r="G422" s="50" t="s">
        <v>279</v>
      </c>
      <c r="H422" s="52" t="s">
        <v>178</v>
      </c>
      <c r="I422" s="52" t="s">
        <v>191</v>
      </c>
      <c r="J422" s="53">
        <v>43.2</v>
      </c>
      <c r="K422" s="66">
        <v>0</v>
      </c>
      <c r="L422" s="66">
        <v>20604</v>
      </c>
      <c r="M422" s="54">
        <v>20604</v>
      </c>
      <c r="N422" s="64">
        <v>276673</v>
      </c>
      <c r="O422" s="64">
        <v>11446</v>
      </c>
      <c r="P422" s="64">
        <v>90331</v>
      </c>
      <c r="Q422" s="54">
        <v>378450</v>
      </c>
      <c r="R422" s="62">
        <v>184578</v>
      </c>
      <c r="S422" s="54">
        <v>583632</v>
      </c>
      <c r="T422" s="81">
        <v>0</v>
      </c>
      <c r="U422" s="81">
        <v>0</v>
      </c>
      <c r="V422" s="81">
        <v>0</v>
      </c>
      <c r="W422" s="81">
        <v>0</v>
      </c>
      <c r="X422" s="54">
        <v>583632</v>
      </c>
      <c r="Y422" s="54">
        <v>0</v>
      </c>
      <c r="Z422" s="54">
        <v>20604</v>
      </c>
      <c r="AA422" s="54">
        <v>378450</v>
      </c>
      <c r="AB422" s="54">
        <v>184578</v>
      </c>
      <c r="AC422" s="55" t="s">
        <v>184</v>
      </c>
      <c r="AD422" s="56">
        <v>4138</v>
      </c>
      <c r="AE422" s="57">
        <v>7</v>
      </c>
      <c r="AF422" s="55" t="s">
        <v>278</v>
      </c>
      <c r="AG422" s="69">
        <v>0</v>
      </c>
      <c r="AH422" s="57">
        <v>7</v>
      </c>
      <c r="AI422" s="55" t="s">
        <v>278</v>
      </c>
      <c r="AJ422" s="71">
        <v>0</v>
      </c>
      <c r="AK422" s="72">
        <f t="shared" si="36"/>
        <v>0</v>
      </c>
      <c r="AL422" s="72">
        <f t="shared" si="37"/>
        <v>0</v>
      </c>
      <c r="AM422">
        <v>-1</v>
      </c>
      <c r="AO422" s="102">
        <f t="shared" si="38"/>
        <v>0</v>
      </c>
      <c r="AP422" s="103">
        <f t="shared" si="39"/>
        <v>0</v>
      </c>
      <c r="AQ422" s="101">
        <f t="shared" si="40"/>
        <v>0</v>
      </c>
      <c r="AR422" s="104">
        <f t="shared" si="41"/>
        <v>0</v>
      </c>
    </row>
    <row r="423" spans="1:44" s="93" customFormat="1">
      <c r="A423" s="83" t="s">
        <v>1224</v>
      </c>
      <c r="B423" s="84" t="s">
        <v>1225</v>
      </c>
      <c r="C423" s="83" t="s">
        <v>424</v>
      </c>
      <c r="D423" s="83">
        <v>27</v>
      </c>
      <c r="E423" s="84" t="s">
        <v>1227</v>
      </c>
      <c r="F423" s="84" t="s">
        <v>166</v>
      </c>
      <c r="G423" s="83" t="s">
        <v>167</v>
      </c>
      <c r="H423" s="85" t="s">
        <v>178</v>
      </c>
      <c r="I423" s="85"/>
      <c r="J423" s="86">
        <v>0</v>
      </c>
      <c r="K423" s="86">
        <v>0</v>
      </c>
      <c r="L423" s="86">
        <v>26800</v>
      </c>
      <c r="M423" s="87">
        <v>26800</v>
      </c>
      <c r="N423" s="86">
        <v>0</v>
      </c>
      <c r="O423" s="86">
        <v>0</v>
      </c>
      <c r="P423" s="86">
        <v>0</v>
      </c>
      <c r="Q423" s="87">
        <v>0</v>
      </c>
      <c r="R423" s="86">
        <v>57774</v>
      </c>
      <c r="S423" s="87">
        <v>84574</v>
      </c>
      <c r="T423" s="81">
        <v>0</v>
      </c>
      <c r="U423" s="81">
        <v>0</v>
      </c>
      <c r="V423" s="81">
        <v>0</v>
      </c>
      <c r="W423" s="81">
        <v>0</v>
      </c>
      <c r="X423" s="87">
        <v>84574</v>
      </c>
      <c r="Y423" s="87">
        <v>0</v>
      </c>
      <c r="Z423" s="87">
        <v>26800</v>
      </c>
      <c r="AA423" s="87">
        <v>0</v>
      </c>
      <c r="AB423" s="87">
        <v>57774</v>
      </c>
      <c r="AC423" s="88" t="s">
        <v>184</v>
      </c>
      <c r="AD423" s="89">
        <v>4177</v>
      </c>
      <c r="AE423" s="90">
        <v>7</v>
      </c>
      <c r="AF423" s="90" t="s">
        <v>166</v>
      </c>
      <c r="AG423" s="91">
        <v>0</v>
      </c>
      <c r="AH423" s="90">
        <v>7</v>
      </c>
      <c r="AI423" s="90" t="s">
        <v>166</v>
      </c>
      <c r="AJ423" s="92">
        <v>0</v>
      </c>
      <c r="AK423" s="93">
        <f t="shared" si="36"/>
        <v>0</v>
      </c>
      <c r="AL423" s="93">
        <f t="shared" si="37"/>
        <v>0</v>
      </c>
      <c r="AM423" s="93">
        <v>-1</v>
      </c>
      <c r="AO423" s="102">
        <f t="shared" si="38"/>
        <v>0</v>
      </c>
      <c r="AP423" s="103">
        <f t="shared" si="39"/>
        <v>0</v>
      </c>
      <c r="AQ423" s="101">
        <f t="shared" si="40"/>
        <v>0</v>
      </c>
      <c r="AR423" s="104">
        <f t="shared" si="41"/>
        <v>0</v>
      </c>
    </row>
    <row r="424" spans="1:44">
      <c r="A424" s="50" t="s">
        <v>1224</v>
      </c>
      <c r="B424" s="51" t="s">
        <v>1225</v>
      </c>
      <c r="C424" s="50" t="s">
        <v>424</v>
      </c>
      <c r="D424" s="50">
        <v>2</v>
      </c>
      <c r="E424" s="51" t="s">
        <v>1236</v>
      </c>
      <c r="F424" s="51" t="s">
        <v>242</v>
      </c>
      <c r="G424" s="50" t="s">
        <v>243</v>
      </c>
      <c r="H424" s="52" t="s">
        <v>178</v>
      </c>
      <c r="I424" s="52" t="s">
        <v>192</v>
      </c>
      <c r="J424" s="53">
        <v>112.07</v>
      </c>
      <c r="K424" s="66">
        <v>0</v>
      </c>
      <c r="L424" s="66">
        <v>69020</v>
      </c>
      <c r="M424" s="54">
        <v>69020</v>
      </c>
      <c r="N424" s="64">
        <v>941101</v>
      </c>
      <c r="O424" s="64">
        <v>73419</v>
      </c>
      <c r="P424" s="64">
        <v>150550</v>
      </c>
      <c r="Q424" s="54">
        <v>1165070</v>
      </c>
      <c r="R424" s="62">
        <v>150033</v>
      </c>
      <c r="S424" s="54">
        <v>1384123</v>
      </c>
      <c r="T424" s="81">
        <v>60211</v>
      </c>
      <c r="U424" s="81">
        <v>0</v>
      </c>
      <c r="V424" s="81">
        <v>0</v>
      </c>
      <c r="W424" s="81">
        <v>0</v>
      </c>
      <c r="X424" s="54">
        <v>1444334</v>
      </c>
      <c r="Y424" s="54">
        <v>0</v>
      </c>
      <c r="Z424" s="54">
        <v>72445</v>
      </c>
      <c r="AA424" s="54">
        <v>1168972</v>
      </c>
      <c r="AB424" s="54">
        <v>202917</v>
      </c>
      <c r="AC424" s="55" t="s">
        <v>184</v>
      </c>
      <c r="AD424" s="56">
        <v>4115</v>
      </c>
      <c r="AE424" s="57">
        <v>7</v>
      </c>
      <c r="AF424" s="55" t="s">
        <v>242</v>
      </c>
      <c r="AG424" s="69">
        <v>0</v>
      </c>
      <c r="AH424" s="57">
        <v>7</v>
      </c>
      <c r="AI424" s="55" t="s">
        <v>242</v>
      </c>
      <c r="AJ424" s="71">
        <v>0</v>
      </c>
      <c r="AK424" s="72">
        <f t="shared" si="36"/>
        <v>0</v>
      </c>
      <c r="AL424" s="72">
        <f t="shared" si="37"/>
        <v>0</v>
      </c>
      <c r="AM424">
        <v>-1</v>
      </c>
      <c r="AO424" s="102">
        <f t="shared" si="38"/>
        <v>0</v>
      </c>
      <c r="AP424" s="103">
        <f t="shared" si="39"/>
        <v>3425</v>
      </c>
      <c r="AQ424" s="101">
        <f t="shared" si="40"/>
        <v>3902</v>
      </c>
      <c r="AR424" s="104">
        <f t="shared" si="41"/>
        <v>52884</v>
      </c>
    </row>
    <row r="425" spans="1:44">
      <c r="A425" s="50" t="s">
        <v>1224</v>
      </c>
      <c r="B425" s="51" t="s">
        <v>1225</v>
      </c>
      <c r="C425" s="50" t="s">
        <v>424</v>
      </c>
      <c r="D425" s="50">
        <v>27</v>
      </c>
      <c r="E425" s="51" t="s">
        <v>1227</v>
      </c>
      <c r="F425" s="51" t="s">
        <v>216</v>
      </c>
      <c r="G425" s="50" t="s">
        <v>217</v>
      </c>
      <c r="H425" s="52" t="s">
        <v>178</v>
      </c>
      <c r="I425" s="52" t="s">
        <v>192</v>
      </c>
      <c r="J425" s="53">
        <v>423.75</v>
      </c>
      <c r="K425" s="66">
        <v>0</v>
      </c>
      <c r="L425" s="66">
        <v>49959</v>
      </c>
      <c r="M425" s="54">
        <v>49959</v>
      </c>
      <c r="N425" s="64">
        <v>4176083</v>
      </c>
      <c r="O425" s="64">
        <v>192597</v>
      </c>
      <c r="P425" s="64">
        <v>275197</v>
      </c>
      <c r="Q425" s="54">
        <v>4643877</v>
      </c>
      <c r="R425" s="62">
        <v>279764</v>
      </c>
      <c r="S425" s="54">
        <v>4973600</v>
      </c>
      <c r="T425" s="81">
        <v>156935</v>
      </c>
      <c r="U425" s="81">
        <v>46338</v>
      </c>
      <c r="V425" s="81">
        <v>0</v>
      </c>
      <c r="W425" s="81">
        <v>0</v>
      </c>
      <c r="X425" s="54">
        <v>5176872</v>
      </c>
      <c r="Y425" s="54">
        <v>0</v>
      </c>
      <c r="Z425" s="54">
        <v>80651</v>
      </c>
      <c r="AA425" s="54">
        <v>4667264</v>
      </c>
      <c r="AB425" s="54">
        <v>428957</v>
      </c>
      <c r="AC425" s="55" t="s">
        <v>184</v>
      </c>
      <c r="AD425" s="56">
        <v>4102</v>
      </c>
      <c r="AE425" s="57">
        <v>7</v>
      </c>
      <c r="AF425" s="55" t="s">
        <v>216</v>
      </c>
      <c r="AG425" s="69">
        <v>0</v>
      </c>
      <c r="AH425" s="57">
        <v>7</v>
      </c>
      <c r="AI425" s="55" t="s">
        <v>216</v>
      </c>
      <c r="AJ425" s="71">
        <v>46337.59</v>
      </c>
      <c r="AK425" s="72">
        <f t="shared" si="36"/>
        <v>0</v>
      </c>
      <c r="AL425" s="72">
        <f t="shared" si="37"/>
        <v>-46337.59</v>
      </c>
      <c r="AM425">
        <v>-1</v>
      </c>
      <c r="AO425" s="102">
        <f t="shared" si="38"/>
        <v>0</v>
      </c>
      <c r="AP425" s="103">
        <f t="shared" si="39"/>
        <v>30692</v>
      </c>
      <c r="AQ425" s="101">
        <f t="shared" si="40"/>
        <v>23387</v>
      </c>
      <c r="AR425" s="104">
        <f t="shared" si="41"/>
        <v>149193</v>
      </c>
    </row>
    <row r="426" spans="1:44">
      <c r="A426" s="50" t="s">
        <v>1258</v>
      </c>
      <c r="B426" s="51" t="s">
        <v>1259</v>
      </c>
      <c r="C426" s="50" t="s">
        <v>424</v>
      </c>
      <c r="D426" s="50">
        <v>4</v>
      </c>
      <c r="E426" s="51" t="s">
        <v>1260</v>
      </c>
      <c r="F426" s="51" t="s">
        <v>437</v>
      </c>
      <c r="G426" s="50" t="s">
        <v>438</v>
      </c>
      <c r="H426" s="52" t="s">
        <v>178</v>
      </c>
      <c r="I426" s="52" t="s">
        <v>191</v>
      </c>
      <c r="J426" s="53">
        <v>103.42</v>
      </c>
      <c r="K426" s="66">
        <v>0</v>
      </c>
      <c r="L426" s="66">
        <v>39731</v>
      </c>
      <c r="M426" s="54">
        <v>39731</v>
      </c>
      <c r="N426" s="64">
        <v>757240</v>
      </c>
      <c r="O426" s="64">
        <v>117703</v>
      </c>
      <c r="P426" s="64">
        <v>144916</v>
      </c>
      <c r="Q426" s="54">
        <v>1019859</v>
      </c>
      <c r="R426" s="62">
        <v>32705</v>
      </c>
      <c r="S426" s="54">
        <v>1092295</v>
      </c>
      <c r="T426" s="81">
        <v>0</v>
      </c>
      <c r="U426" s="81">
        <v>0</v>
      </c>
      <c r="V426" s="81">
        <v>0</v>
      </c>
      <c r="W426" s="81">
        <v>0</v>
      </c>
      <c r="X426" s="54">
        <v>1092295</v>
      </c>
      <c r="Y426" s="54">
        <v>0</v>
      </c>
      <c r="Z426" s="54">
        <v>39731</v>
      </c>
      <c r="AA426" s="54">
        <v>1019859</v>
      </c>
      <c r="AB426" s="54">
        <v>32705</v>
      </c>
      <c r="AC426" s="55" t="s">
        <v>184</v>
      </c>
      <c r="AD426" s="56">
        <v>4007</v>
      </c>
      <c r="AE426" s="57">
        <v>7</v>
      </c>
      <c r="AF426" s="55" t="s">
        <v>437</v>
      </c>
      <c r="AG426" s="69">
        <v>0</v>
      </c>
      <c r="AH426" s="57">
        <v>7</v>
      </c>
      <c r="AI426" s="55" t="s">
        <v>437</v>
      </c>
      <c r="AJ426" s="71">
        <v>0</v>
      </c>
      <c r="AK426" s="72">
        <f t="shared" si="36"/>
        <v>0</v>
      </c>
      <c r="AL426" s="72">
        <f t="shared" si="37"/>
        <v>0</v>
      </c>
      <c r="AM426">
        <v>-1</v>
      </c>
      <c r="AO426" s="102">
        <f t="shared" si="38"/>
        <v>0</v>
      </c>
      <c r="AP426" s="103">
        <f t="shared" si="39"/>
        <v>0</v>
      </c>
      <c r="AQ426" s="101">
        <f t="shared" si="40"/>
        <v>0</v>
      </c>
      <c r="AR426" s="104">
        <f t="shared" si="41"/>
        <v>0</v>
      </c>
    </row>
    <row r="427" spans="1:44">
      <c r="A427" s="50" t="s">
        <v>1258</v>
      </c>
      <c r="B427" s="51" t="s">
        <v>1259</v>
      </c>
      <c r="C427" s="50" t="s">
        <v>424</v>
      </c>
      <c r="D427" s="50">
        <v>4</v>
      </c>
      <c r="E427" s="51" t="s">
        <v>1260</v>
      </c>
      <c r="F427" s="51" t="s">
        <v>214</v>
      </c>
      <c r="G427" s="50" t="s">
        <v>215</v>
      </c>
      <c r="H427" s="52" t="s">
        <v>178</v>
      </c>
      <c r="I427" s="52" t="s">
        <v>190</v>
      </c>
      <c r="J427" s="53">
        <v>23.5</v>
      </c>
      <c r="K427" s="66">
        <v>0</v>
      </c>
      <c r="L427" s="66">
        <v>112939</v>
      </c>
      <c r="M427" s="54">
        <v>112939</v>
      </c>
      <c r="N427" s="64">
        <v>34223</v>
      </c>
      <c r="O427" s="64">
        <v>523489</v>
      </c>
      <c r="P427" s="64">
        <v>29902</v>
      </c>
      <c r="Q427" s="54">
        <v>587614</v>
      </c>
      <c r="R427" s="62">
        <v>11253</v>
      </c>
      <c r="S427" s="54">
        <v>711806</v>
      </c>
      <c r="T427" s="81">
        <v>8120</v>
      </c>
      <c r="U427" s="81">
        <v>0</v>
      </c>
      <c r="V427" s="81">
        <v>0</v>
      </c>
      <c r="W427" s="81">
        <v>0</v>
      </c>
      <c r="X427" s="54">
        <v>719926</v>
      </c>
      <c r="Y427" s="54">
        <v>0</v>
      </c>
      <c r="Z427" s="54">
        <v>117390</v>
      </c>
      <c r="AA427" s="54">
        <v>587853</v>
      </c>
      <c r="AB427" s="54">
        <v>14683</v>
      </c>
      <c r="AC427" s="55" t="s">
        <v>184</v>
      </c>
      <c r="AD427" s="56">
        <v>4101</v>
      </c>
      <c r="AE427" s="57">
        <v>7</v>
      </c>
      <c r="AF427" s="55" t="s">
        <v>214</v>
      </c>
      <c r="AG427" s="69">
        <v>0</v>
      </c>
      <c r="AH427" s="57">
        <v>7</v>
      </c>
      <c r="AI427" s="55" t="s">
        <v>214</v>
      </c>
      <c r="AJ427" s="71">
        <v>0</v>
      </c>
      <c r="AK427" s="72">
        <f t="shared" si="36"/>
        <v>0</v>
      </c>
      <c r="AL427" s="72">
        <f t="shared" si="37"/>
        <v>0</v>
      </c>
      <c r="AM427">
        <v>-1</v>
      </c>
      <c r="AO427" s="102">
        <f t="shared" si="38"/>
        <v>0</v>
      </c>
      <c r="AP427" s="103">
        <f t="shared" si="39"/>
        <v>4451</v>
      </c>
      <c r="AQ427" s="101">
        <f t="shared" si="40"/>
        <v>239</v>
      </c>
      <c r="AR427" s="104">
        <f t="shared" si="41"/>
        <v>3430</v>
      </c>
    </row>
    <row r="428" spans="1:44">
      <c r="A428" s="50" t="s">
        <v>1224</v>
      </c>
      <c r="B428" s="51" t="s">
        <v>1225</v>
      </c>
      <c r="C428" s="50" t="s">
        <v>424</v>
      </c>
      <c r="D428" s="50">
        <v>62</v>
      </c>
      <c r="E428" s="51" t="s">
        <v>785</v>
      </c>
      <c r="F428" s="51" t="s">
        <v>114</v>
      </c>
      <c r="G428" s="50" t="s">
        <v>115</v>
      </c>
      <c r="H428" s="52" t="s">
        <v>178</v>
      </c>
      <c r="I428" s="52" t="s">
        <v>192</v>
      </c>
      <c r="J428" s="53">
        <v>93.84</v>
      </c>
      <c r="K428" s="66">
        <v>0</v>
      </c>
      <c r="L428" s="66">
        <v>10785</v>
      </c>
      <c r="M428" s="54">
        <v>10785</v>
      </c>
      <c r="N428" s="64">
        <v>675472</v>
      </c>
      <c r="O428" s="64">
        <v>9760</v>
      </c>
      <c r="P428" s="64">
        <v>72134</v>
      </c>
      <c r="Q428" s="54">
        <v>757366</v>
      </c>
      <c r="R428" s="62">
        <v>122772</v>
      </c>
      <c r="S428" s="54">
        <v>890923</v>
      </c>
      <c r="T428" s="81">
        <v>0</v>
      </c>
      <c r="U428" s="81">
        <v>0</v>
      </c>
      <c r="V428" s="81">
        <v>0</v>
      </c>
      <c r="W428" s="81">
        <v>0</v>
      </c>
      <c r="X428" s="54">
        <v>890922</v>
      </c>
      <c r="Y428" s="54">
        <v>0</v>
      </c>
      <c r="Z428" s="54">
        <v>10785</v>
      </c>
      <c r="AA428" s="54">
        <v>757365</v>
      </c>
      <c r="AB428" s="54">
        <v>122772</v>
      </c>
      <c r="AC428" s="55" t="s">
        <v>184</v>
      </c>
      <c r="AD428" s="56">
        <v>4150</v>
      </c>
      <c r="AE428" s="57">
        <v>7</v>
      </c>
      <c r="AF428" s="55" t="s">
        <v>114</v>
      </c>
      <c r="AG428" s="69">
        <v>0</v>
      </c>
      <c r="AH428" s="57">
        <v>7</v>
      </c>
      <c r="AI428" s="55" t="s">
        <v>114</v>
      </c>
      <c r="AJ428" s="71">
        <v>0</v>
      </c>
      <c r="AK428" s="72">
        <f t="shared" si="36"/>
        <v>0</v>
      </c>
      <c r="AL428" s="72">
        <f t="shared" si="37"/>
        <v>0</v>
      </c>
      <c r="AM428">
        <v>-1</v>
      </c>
      <c r="AO428" s="102">
        <f t="shared" si="38"/>
        <v>0</v>
      </c>
      <c r="AP428" s="103">
        <f t="shared" si="39"/>
        <v>0</v>
      </c>
      <c r="AQ428" s="101">
        <f t="shared" si="40"/>
        <v>-1</v>
      </c>
      <c r="AR428" s="104">
        <f t="shared" si="41"/>
        <v>0</v>
      </c>
    </row>
    <row r="429" spans="1:44">
      <c r="A429" s="50" t="s">
        <v>1224</v>
      </c>
      <c r="B429" s="51" t="s">
        <v>1225</v>
      </c>
      <c r="C429" s="50" t="s">
        <v>424</v>
      </c>
      <c r="D429" s="50">
        <v>62</v>
      </c>
      <c r="E429" s="51" t="s">
        <v>785</v>
      </c>
      <c r="F429" s="51" t="s">
        <v>449</v>
      </c>
      <c r="G429" s="50" t="s">
        <v>450</v>
      </c>
      <c r="H429" s="52" t="s">
        <v>178</v>
      </c>
      <c r="I429" s="52" t="s">
        <v>192</v>
      </c>
      <c r="J429" s="53">
        <v>1346.13</v>
      </c>
      <c r="K429" s="66">
        <v>0</v>
      </c>
      <c r="L429" s="66">
        <v>361509</v>
      </c>
      <c r="M429" s="54">
        <v>361509</v>
      </c>
      <c r="N429" s="64">
        <v>10472542</v>
      </c>
      <c r="O429" s="64">
        <v>456761</v>
      </c>
      <c r="P429" s="64">
        <v>1240160</v>
      </c>
      <c r="Q429" s="54">
        <v>12169463</v>
      </c>
      <c r="R429" s="62">
        <v>721653</v>
      </c>
      <c r="S429" s="54">
        <v>13252625</v>
      </c>
      <c r="T429" s="81">
        <v>276082</v>
      </c>
      <c r="U429" s="81">
        <v>0</v>
      </c>
      <c r="V429" s="81">
        <v>0</v>
      </c>
      <c r="W429" s="81">
        <v>0</v>
      </c>
      <c r="X429" s="54">
        <v>13528707</v>
      </c>
      <c r="Y429" s="54">
        <v>0</v>
      </c>
      <c r="Z429" s="54">
        <v>361509</v>
      </c>
      <c r="AA429" s="54">
        <v>12182842</v>
      </c>
      <c r="AB429" s="54">
        <v>984356</v>
      </c>
      <c r="AC429" s="55" t="s">
        <v>184</v>
      </c>
      <c r="AD429" s="56">
        <v>4017</v>
      </c>
      <c r="AE429" s="57">
        <v>7</v>
      </c>
      <c r="AF429" s="55" t="s">
        <v>449</v>
      </c>
      <c r="AG429" s="69">
        <v>0</v>
      </c>
      <c r="AH429" s="57">
        <v>7</v>
      </c>
      <c r="AI429" s="55" t="s">
        <v>449</v>
      </c>
      <c r="AJ429" s="71">
        <v>0</v>
      </c>
      <c r="AK429" s="72">
        <f t="shared" si="36"/>
        <v>0</v>
      </c>
      <c r="AL429" s="72">
        <f t="shared" si="37"/>
        <v>0</v>
      </c>
      <c r="AM429">
        <v>-1</v>
      </c>
      <c r="AO429" s="102">
        <f t="shared" si="38"/>
        <v>0</v>
      </c>
      <c r="AP429" s="103">
        <f t="shared" si="39"/>
        <v>0</v>
      </c>
      <c r="AQ429" s="101">
        <f t="shared" si="40"/>
        <v>13379</v>
      </c>
      <c r="AR429" s="104">
        <f t="shared" si="41"/>
        <v>262703</v>
      </c>
    </row>
    <row r="430" spans="1:44">
      <c r="A430" s="50" t="s">
        <v>1224</v>
      </c>
      <c r="B430" s="51" t="s">
        <v>1225</v>
      </c>
      <c r="C430" s="50" t="s">
        <v>424</v>
      </c>
      <c r="D430" s="50">
        <v>27</v>
      </c>
      <c r="E430" s="51" t="s">
        <v>1227</v>
      </c>
      <c r="F430" s="51" t="s">
        <v>354</v>
      </c>
      <c r="G430" s="50" t="s">
        <v>355</v>
      </c>
      <c r="H430" s="52" t="s">
        <v>178</v>
      </c>
      <c r="I430" s="52" t="s">
        <v>192</v>
      </c>
      <c r="J430" s="53">
        <v>291.36</v>
      </c>
      <c r="K430" s="66">
        <v>0</v>
      </c>
      <c r="L430" s="66">
        <v>140828</v>
      </c>
      <c r="M430" s="54">
        <v>140828</v>
      </c>
      <c r="N430" s="64">
        <v>2742385</v>
      </c>
      <c r="O430" s="64">
        <v>124375</v>
      </c>
      <c r="P430" s="64">
        <v>268218</v>
      </c>
      <c r="Q430" s="54">
        <v>3134978</v>
      </c>
      <c r="R430" s="62">
        <v>156952</v>
      </c>
      <c r="S430" s="54">
        <v>3432758</v>
      </c>
      <c r="T430" s="81">
        <v>162205</v>
      </c>
      <c r="U430" s="81">
        <v>0</v>
      </c>
      <c r="V430" s="81">
        <v>0</v>
      </c>
      <c r="W430" s="81">
        <v>0</v>
      </c>
      <c r="X430" s="54">
        <v>3594963</v>
      </c>
      <c r="Y430" s="54">
        <v>0</v>
      </c>
      <c r="Z430" s="54">
        <v>140828</v>
      </c>
      <c r="AA430" s="54">
        <v>3140218</v>
      </c>
      <c r="AB430" s="54">
        <v>313917</v>
      </c>
      <c r="AC430" s="55" t="s">
        <v>184</v>
      </c>
      <c r="AD430" s="56">
        <v>4078</v>
      </c>
      <c r="AE430" s="57">
        <v>7</v>
      </c>
      <c r="AF430" s="55" t="s">
        <v>354</v>
      </c>
      <c r="AG430" s="69">
        <v>0</v>
      </c>
      <c r="AH430" s="57">
        <v>7</v>
      </c>
      <c r="AI430" s="55" t="s">
        <v>354</v>
      </c>
      <c r="AJ430" s="71">
        <v>0</v>
      </c>
      <c r="AK430" s="72">
        <f t="shared" si="36"/>
        <v>0</v>
      </c>
      <c r="AL430" s="72">
        <f t="shared" si="37"/>
        <v>0</v>
      </c>
      <c r="AM430">
        <v>-1</v>
      </c>
      <c r="AO430" s="102">
        <f t="shared" si="38"/>
        <v>0</v>
      </c>
      <c r="AP430" s="103">
        <f t="shared" si="39"/>
        <v>0</v>
      </c>
      <c r="AQ430" s="101">
        <f t="shared" si="40"/>
        <v>5240</v>
      </c>
      <c r="AR430" s="104">
        <f t="shared" si="41"/>
        <v>156965</v>
      </c>
    </row>
    <row r="431" spans="1:44">
      <c r="A431" s="50" t="s">
        <v>1224</v>
      </c>
      <c r="B431" s="51" t="s">
        <v>1225</v>
      </c>
      <c r="C431" s="50" t="s">
        <v>424</v>
      </c>
      <c r="D431" s="50">
        <v>27</v>
      </c>
      <c r="E431" s="51" t="s">
        <v>1227</v>
      </c>
      <c r="F431" s="51" t="s">
        <v>124</v>
      </c>
      <c r="G431" s="50" t="s">
        <v>125</v>
      </c>
      <c r="H431" s="52" t="s">
        <v>178</v>
      </c>
      <c r="I431" s="52" t="s">
        <v>191</v>
      </c>
      <c r="J431" s="53">
        <v>92.32</v>
      </c>
      <c r="K431" s="66">
        <v>0</v>
      </c>
      <c r="L431" s="66">
        <v>26635</v>
      </c>
      <c r="M431" s="54">
        <v>26635</v>
      </c>
      <c r="N431" s="64">
        <v>643308</v>
      </c>
      <c r="O431" s="64">
        <v>50474</v>
      </c>
      <c r="P431" s="64">
        <v>149781</v>
      </c>
      <c r="Q431" s="54">
        <v>843563</v>
      </c>
      <c r="R431" s="62">
        <v>796358</v>
      </c>
      <c r="S431" s="54">
        <v>1666556</v>
      </c>
      <c r="T431" s="81">
        <v>49470</v>
      </c>
      <c r="U431" s="81">
        <v>0</v>
      </c>
      <c r="V431" s="81">
        <v>0</v>
      </c>
      <c r="W431" s="81">
        <v>0</v>
      </c>
      <c r="X431" s="54">
        <v>1716026</v>
      </c>
      <c r="Y431" s="54">
        <v>0</v>
      </c>
      <c r="Z431" s="54">
        <v>33811</v>
      </c>
      <c r="AA431" s="54">
        <v>845088</v>
      </c>
      <c r="AB431" s="54">
        <v>837127</v>
      </c>
      <c r="AC431" s="55" t="s">
        <v>184</v>
      </c>
      <c r="AD431" s="56">
        <v>4155</v>
      </c>
      <c r="AE431" s="57">
        <v>7</v>
      </c>
      <c r="AF431" s="55" t="s">
        <v>124</v>
      </c>
      <c r="AG431" s="69">
        <v>0</v>
      </c>
      <c r="AH431" s="57">
        <v>7</v>
      </c>
      <c r="AI431" s="55" t="s">
        <v>124</v>
      </c>
      <c r="AJ431" s="71">
        <v>0</v>
      </c>
      <c r="AK431" s="72">
        <f t="shared" si="36"/>
        <v>0</v>
      </c>
      <c r="AL431" s="72">
        <f t="shared" si="37"/>
        <v>0</v>
      </c>
      <c r="AM431">
        <v>-1</v>
      </c>
      <c r="AO431" s="102">
        <f t="shared" si="38"/>
        <v>0</v>
      </c>
      <c r="AP431" s="103">
        <f t="shared" si="39"/>
        <v>7176</v>
      </c>
      <c r="AQ431" s="101">
        <f t="shared" si="40"/>
        <v>1525</v>
      </c>
      <c r="AR431" s="104">
        <f t="shared" si="41"/>
        <v>40769</v>
      </c>
    </row>
    <row r="432" spans="1:44">
      <c r="A432" s="50" t="s">
        <v>1224</v>
      </c>
      <c r="B432" s="51" t="s">
        <v>1225</v>
      </c>
      <c r="C432" s="50" t="s">
        <v>424</v>
      </c>
      <c r="D432" s="50">
        <v>62</v>
      </c>
      <c r="E432" s="51" t="s">
        <v>785</v>
      </c>
      <c r="F432" s="51" t="s">
        <v>322</v>
      </c>
      <c r="G432" s="50" t="s">
        <v>323</v>
      </c>
      <c r="H432" s="52" t="s">
        <v>178</v>
      </c>
      <c r="I432" s="52" t="s">
        <v>191</v>
      </c>
      <c r="J432" s="53">
        <v>153.97999999999999</v>
      </c>
      <c r="K432" s="66">
        <v>0</v>
      </c>
      <c r="L432" s="66">
        <v>36999</v>
      </c>
      <c r="M432" s="54">
        <v>36999</v>
      </c>
      <c r="N432" s="64">
        <v>809548</v>
      </c>
      <c r="O432" s="64">
        <v>103865</v>
      </c>
      <c r="P432" s="64">
        <v>198983</v>
      </c>
      <c r="Q432" s="54">
        <v>1112396</v>
      </c>
      <c r="R432" s="62">
        <v>55550</v>
      </c>
      <c r="S432" s="54">
        <v>1204945</v>
      </c>
      <c r="T432" s="81">
        <v>0</v>
      </c>
      <c r="U432" s="81">
        <v>7011</v>
      </c>
      <c r="V432" s="81">
        <v>0</v>
      </c>
      <c r="W432" s="81">
        <v>0</v>
      </c>
      <c r="X432" s="54">
        <v>1211956</v>
      </c>
      <c r="Y432" s="54">
        <v>0</v>
      </c>
      <c r="Z432" s="54">
        <v>44010</v>
      </c>
      <c r="AA432" s="54">
        <v>1112396</v>
      </c>
      <c r="AB432" s="54">
        <v>55550</v>
      </c>
      <c r="AC432" s="55" t="s">
        <v>184</v>
      </c>
      <c r="AD432" s="56">
        <v>4055</v>
      </c>
      <c r="AE432" s="57">
        <v>7</v>
      </c>
      <c r="AF432" s="55" t="s">
        <v>322</v>
      </c>
      <c r="AG432" s="69">
        <v>0</v>
      </c>
      <c r="AH432" s="57">
        <v>7</v>
      </c>
      <c r="AI432" s="55" t="s">
        <v>322</v>
      </c>
      <c r="AJ432" s="71">
        <v>0</v>
      </c>
      <c r="AK432" s="72">
        <f t="shared" si="36"/>
        <v>0</v>
      </c>
      <c r="AL432" s="72">
        <f t="shared" si="37"/>
        <v>0</v>
      </c>
      <c r="AM432">
        <v>-1</v>
      </c>
      <c r="AO432" s="102">
        <f t="shared" si="38"/>
        <v>0</v>
      </c>
      <c r="AP432" s="103">
        <f t="shared" si="39"/>
        <v>7011</v>
      </c>
      <c r="AQ432" s="101">
        <f t="shared" si="40"/>
        <v>0</v>
      </c>
      <c r="AR432" s="104">
        <f t="shared" si="41"/>
        <v>0</v>
      </c>
    </row>
    <row r="433" spans="1:44">
      <c r="A433" s="50" t="s">
        <v>1224</v>
      </c>
      <c r="B433" s="51" t="s">
        <v>1225</v>
      </c>
      <c r="C433" s="50" t="s">
        <v>424</v>
      </c>
      <c r="D433" s="50">
        <v>27</v>
      </c>
      <c r="E433" s="51" t="s">
        <v>1227</v>
      </c>
      <c r="F433" s="51" t="s">
        <v>202</v>
      </c>
      <c r="G433" s="50" t="s">
        <v>203</v>
      </c>
      <c r="H433" s="52" t="s">
        <v>178</v>
      </c>
      <c r="I433" s="52" t="s">
        <v>191</v>
      </c>
      <c r="J433" s="53">
        <v>145.19</v>
      </c>
      <c r="K433" s="66">
        <v>0</v>
      </c>
      <c r="L433" s="66">
        <v>90261</v>
      </c>
      <c r="M433" s="54">
        <v>90261</v>
      </c>
      <c r="N433" s="64">
        <v>1058385</v>
      </c>
      <c r="O433" s="64">
        <v>87845</v>
      </c>
      <c r="P433" s="64">
        <v>140289</v>
      </c>
      <c r="Q433" s="54">
        <v>1286519</v>
      </c>
      <c r="R433" s="62">
        <v>50937</v>
      </c>
      <c r="S433" s="54">
        <v>1427717</v>
      </c>
      <c r="T433" s="81">
        <v>29243</v>
      </c>
      <c r="U433" s="81">
        <v>0</v>
      </c>
      <c r="V433" s="81">
        <v>0</v>
      </c>
      <c r="W433" s="81">
        <v>0</v>
      </c>
      <c r="X433" s="54">
        <v>1456958</v>
      </c>
      <c r="Y433" s="54">
        <v>0</v>
      </c>
      <c r="Z433" s="54">
        <v>107708</v>
      </c>
      <c r="AA433" s="54">
        <v>1287529</v>
      </c>
      <c r="AB433" s="54">
        <v>61721</v>
      </c>
      <c r="AC433" s="55" t="s">
        <v>184</v>
      </c>
      <c r="AD433" s="56">
        <v>4093</v>
      </c>
      <c r="AE433" s="57">
        <v>7</v>
      </c>
      <c r="AF433" s="55" t="s">
        <v>202</v>
      </c>
      <c r="AG433" s="69">
        <v>0</v>
      </c>
      <c r="AH433" s="57">
        <v>7</v>
      </c>
      <c r="AI433" s="55" t="s">
        <v>202</v>
      </c>
      <c r="AJ433" s="71">
        <v>0</v>
      </c>
      <c r="AK433" s="72">
        <f t="shared" si="36"/>
        <v>0</v>
      </c>
      <c r="AL433" s="72">
        <f t="shared" si="37"/>
        <v>0</v>
      </c>
      <c r="AM433">
        <v>-1</v>
      </c>
      <c r="AO433" s="102">
        <f t="shared" si="38"/>
        <v>0</v>
      </c>
      <c r="AP433" s="103">
        <f t="shared" si="39"/>
        <v>17447</v>
      </c>
      <c r="AQ433" s="101">
        <f t="shared" si="40"/>
        <v>1010</v>
      </c>
      <c r="AR433" s="104">
        <f t="shared" si="41"/>
        <v>10784</v>
      </c>
    </row>
    <row r="434" spans="1:44">
      <c r="A434" s="50" t="s">
        <v>1224</v>
      </c>
      <c r="B434" s="51" t="s">
        <v>1225</v>
      </c>
      <c r="C434" s="50" t="s">
        <v>424</v>
      </c>
      <c r="D434" s="50">
        <v>27</v>
      </c>
      <c r="E434" s="51" t="s">
        <v>1227</v>
      </c>
      <c r="F434" s="51" t="s">
        <v>376</v>
      </c>
      <c r="G434" s="50" t="s">
        <v>377</v>
      </c>
      <c r="H434" s="52" t="s">
        <v>178</v>
      </c>
      <c r="I434" s="52" t="s">
        <v>192</v>
      </c>
      <c r="J434" s="53">
        <v>125.09</v>
      </c>
      <c r="K434" s="66">
        <v>0</v>
      </c>
      <c r="L434" s="66">
        <v>7304</v>
      </c>
      <c r="M434" s="54">
        <v>7304</v>
      </c>
      <c r="N434" s="64">
        <v>790237</v>
      </c>
      <c r="O434" s="64">
        <v>108026</v>
      </c>
      <c r="P434" s="64">
        <v>75756</v>
      </c>
      <c r="Q434" s="54">
        <v>974019</v>
      </c>
      <c r="R434" s="62">
        <v>48777</v>
      </c>
      <c r="S434" s="54">
        <v>1030100</v>
      </c>
      <c r="T434" s="81">
        <v>44983</v>
      </c>
      <c r="U434" s="81">
        <v>0</v>
      </c>
      <c r="V434" s="81">
        <v>0</v>
      </c>
      <c r="W434" s="81">
        <v>0</v>
      </c>
      <c r="X434" s="54">
        <v>1075082</v>
      </c>
      <c r="Y434" s="54">
        <v>0</v>
      </c>
      <c r="Z434" s="54">
        <v>18692</v>
      </c>
      <c r="AA434" s="54">
        <v>976122</v>
      </c>
      <c r="AB434" s="54">
        <v>80268</v>
      </c>
      <c r="AC434" s="55" t="s">
        <v>184</v>
      </c>
      <c r="AD434" s="56">
        <v>4089</v>
      </c>
      <c r="AE434" s="57">
        <v>7</v>
      </c>
      <c r="AF434" s="55" t="s">
        <v>376</v>
      </c>
      <c r="AG434" s="69">
        <v>0</v>
      </c>
      <c r="AH434" s="57">
        <v>7</v>
      </c>
      <c r="AI434" s="55" t="s">
        <v>376</v>
      </c>
      <c r="AJ434" s="71">
        <v>0</v>
      </c>
      <c r="AK434" s="72">
        <f t="shared" si="36"/>
        <v>0</v>
      </c>
      <c r="AL434" s="72">
        <f t="shared" si="37"/>
        <v>0</v>
      </c>
      <c r="AM434">
        <v>-1</v>
      </c>
      <c r="AO434" s="102">
        <f t="shared" si="38"/>
        <v>0</v>
      </c>
      <c r="AP434" s="103">
        <f t="shared" si="39"/>
        <v>11388</v>
      </c>
      <c r="AQ434" s="101">
        <f t="shared" si="40"/>
        <v>2103</v>
      </c>
      <c r="AR434" s="104">
        <f t="shared" si="41"/>
        <v>31491</v>
      </c>
    </row>
    <row r="435" spans="1:44">
      <c r="A435" s="50" t="s">
        <v>1224</v>
      </c>
      <c r="B435" s="51" t="s">
        <v>1225</v>
      </c>
      <c r="C435" s="50" t="s">
        <v>424</v>
      </c>
      <c r="D435" s="50">
        <v>27</v>
      </c>
      <c r="E435" s="51" t="s">
        <v>1227</v>
      </c>
      <c r="F435" s="51" t="s">
        <v>134</v>
      </c>
      <c r="G435" s="50" t="s">
        <v>135</v>
      </c>
      <c r="H435" s="52" t="s">
        <v>178</v>
      </c>
      <c r="I435" s="95" t="s">
        <v>191</v>
      </c>
      <c r="J435" s="53">
        <v>79.739999999999995</v>
      </c>
      <c r="K435" s="66">
        <v>0</v>
      </c>
      <c r="L435" s="66">
        <v>12824</v>
      </c>
      <c r="M435" s="54">
        <v>12824</v>
      </c>
      <c r="N435" s="64">
        <v>414207</v>
      </c>
      <c r="O435" s="64">
        <v>50632</v>
      </c>
      <c r="P435" s="64">
        <v>139159</v>
      </c>
      <c r="Q435" s="54">
        <v>603998</v>
      </c>
      <c r="R435" s="62">
        <v>198058</v>
      </c>
      <c r="S435" s="54">
        <v>814880</v>
      </c>
      <c r="T435" s="81">
        <v>22922</v>
      </c>
      <c r="U435" s="81">
        <v>0</v>
      </c>
      <c r="V435" s="81">
        <v>0</v>
      </c>
      <c r="W435" s="81">
        <v>0</v>
      </c>
      <c r="X435" s="54">
        <v>837803</v>
      </c>
      <c r="Y435" s="54">
        <v>0</v>
      </c>
      <c r="Z435" s="54">
        <v>30451</v>
      </c>
      <c r="AA435" s="54">
        <v>604748</v>
      </c>
      <c r="AB435" s="54">
        <v>202604</v>
      </c>
      <c r="AC435" s="55" t="s">
        <v>184</v>
      </c>
      <c r="AD435" s="56">
        <v>4161</v>
      </c>
      <c r="AE435" s="57">
        <v>7</v>
      </c>
      <c r="AF435" s="55" t="s">
        <v>134</v>
      </c>
      <c r="AG435" s="69">
        <v>0</v>
      </c>
      <c r="AH435" s="57">
        <v>7</v>
      </c>
      <c r="AI435" s="55" t="s">
        <v>134</v>
      </c>
      <c r="AJ435" s="71">
        <v>0</v>
      </c>
      <c r="AK435" s="72">
        <f t="shared" si="36"/>
        <v>0</v>
      </c>
      <c r="AL435" s="72">
        <f t="shared" si="37"/>
        <v>0</v>
      </c>
      <c r="AM435">
        <v>-1</v>
      </c>
      <c r="AO435" s="102">
        <f t="shared" si="38"/>
        <v>0</v>
      </c>
      <c r="AP435" s="103">
        <f t="shared" si="39"/>
        <v>17627</v>
      </c>
      <c r="AQ435" s="101">
        <f t="shared" si="40"/>
        <v>750</v>
      </c>
      <c r="AR435" s="104">
        <f t="shared" si="41"/>
        <v>4546</v>
      </c>
    </row>
    <row r="436" spans="1:44">
      <c r="A436" s="50" t="s">
        <v>1224</v>
      </c>
      <c r="B436" s="51" t="s">
        <v>1225</v>
      </c>
      <c r="C436" s="50" t="s">
        <v>424</v>
      </c>
      <c r="D436" s="50">
        <v>82</v>
      </c>
      <c r="E436" s="51" t="s">
        <v>583</v>
      </c>
      <c r="F436" s="51" t="s">
        <v>429</v>
      </c>
      <c r="G436" s="50" t="s">
        <v>430</v>
      </c>
      <c r="H436" s="52" t="s">
        <v>178</v>
      </c>
      <c r="I436" s="52" t="s">
        <v>191</v>
      </c>
      <c r="J436" s="53">
        <v>120.68</v>
      </c>
      <c r="K436" s="66">
        <v>0</v>
      </c>
      <c r="L436" s="66">
        <v>27088</v>
      </c>
      <c r="M436" s="54">
        <v>27088</v>
      </c>
      <c r="N436" s="64">
        <v>811300</v>
      </c>
      <c r="O436" s="64">
        <v>149230</v>
      </c>
      <c r="P436" s="64">
        <v>182641</v>
      </c>
      <c r="Q436" s="54">
        <v>1143171</v>
      </c>
      <c r="R436" s="62">
        <v>58652</v>
      </c>
      <c r="S436" s="54">
        <v>1228911</v>
      </c>
      <c r="T436" s="81">
        <v>49238</v>
      </c>
      <c r="U436" s="81">
        <v>0</v>
      </c>
      <c r="V436" s="81">
        <v>0</v>
      </c>
      <c r="W436" s="81">
        <v>0</v>
      </c>
      <c r="X436" s="54">
        <v>1278149</v>
      </c>
      <c r="Y436" s="54">
        <v>0</v>
      </c>
      <c r="Z436" s="54">
        <v>48398</v>
      </c>
      <c r="AA436" s="54">
        <v>1145302</v>
      </c>
      <c r="AB436" s="54">
        <v>84449</v>
      </c>
      <c r="AC436" s="55" t="s">
        <v>184</v>
      </c>
      <c r="AD436" s="56">
        <v>4003</v>
      </c>
      <c r="AE436" s="57">
        <v>7</v>
      </c>
      <c r="AF436" s="55" t="s">
        <v>429</v>
      </c>
      <c r="AG436" s="69">
        <v>0</v>
      </c>
      <c r="AH436" s="57">
        <v>7</v>
      </c>
      <c r="AI436" s="55" t="s">
        <v>429</v>
      </c>
      <c r="AJ436" s="71">
        <v>0</v>
      </c>
      <c r="AK436" s="72">
        <f t="shared" si="36"/>
        <v>0</v>
      </c>
      <c r="AL436" s="72">
        <f t="shared" si="37"/>
        <v>0</v>
      </c>
      <c r="AM436">
        <v>-1</v>
      </c>
      <c r="AO436" s="102">
        <f t="shared" si="38"/>
        <v>0</v>
      </c>
      <c r="AP436" s="103">
        <f t="shared" si="39"/>
        <v>21310</v>
      </c>
      <c r="AQ436" s="101">
        <f t="shared" si="40"/>
        <v>2131</v>
      </c>
      <c r="AR436" s="104">
        <f t="shared" si="41"/>
        <v>25797</v>
      </c>
    </row>
    <row r="437" spans="1:44">
      <c r="A437" s="50" t="s">
        <v>1080</v>
      </c>
      <c r="B437" s="51" t="s">
        <v>1081</v>
      </c>
      <c r="C437" s="50" t="s">
        <v>424</v>
      </c>
      <c r="D437" s="50">
        <v>71</v>
      </c>
      <c r="E437" s="51" t="s">
        <v>683</v>
      </c>
      <c r="F437" s="51" t="s">
        <v>288</v>
      </c>
      <c r="G437" s="50" t="s">
        <v>289</v>
      </c>
      <c r="H437" s="52" t="s">
        <v>178</v>
      </c>
      <c r="I437" s="52" t="s">
        <v>192</v>
      </c>
      <c r="J437" s="53">
        <v>298.32</v>
      </c>
      <c r="K437" s="66">
        <v>0</v>
      </c>
      <c r="L437" s="66">
        <v>18327</v>
      </c>
      <c r="M437" s="54">
        <v>18327</v>
      </c>
      <c r="N437" s="64">
        <v>2267916</v>
      </c>
      <c r="O437" s="64">
        <v>93239</v>
      </c>
      <c r="P437" s="64">
        <v>475700</v>
      </c>
      <c r="Q437" s="54">
        <v>2836855</v>
      </c>
      <c r="R437" s="62">
        <v>207850</v>
      </c>
      <c r="S437" s="54">
        <v>3063032</v>
      </c>
      <c r="T437" s="81">
        <v>119641</v>
      </c>
      <c r="U437" s="81">
        <v>0</v>
      </c>
      <c r="V437" s="81">
        <v>0</v>
      </c>
      <c r="W437" s="81">
        <v>0</v>
      </c>
      <c r="X437" s="54">
        <v>3182674</v>
      </c>
      <c r="Y437" s="54">
        <v>0</v>
      </c>
      <c r="Z437" s="54">
        <v>19706</v>
      </c>
      <c r="AA437" s="54">
        <v>2845020</v>
      </c>
      <c r="AB437" s="54">
        <v>317948</v>
      </c>
      <c r="AC437" s="55" t="s">
        <v>184</v>
      </c>
      <c r="AD437" s="56">
        <v>4143</v>
      </c>
      <c r="AE437" s="57">
        <v>7</v>
      </c>
      <c r="AF437" s="55" t="s">
        <v>288</v>
      </c>
      <c r="AG437" s="69">
        <v>0</v>
      </c>
      <c r="AH437" s="57">
        <v>7</v>
      </c>
      <c r="AI437" s="55" t="s">
        <v>288</v>
      </c>
      <c r="AJ437" s="71">
        <v>0</v>
      </c>
      <c r="AK437" s="72">
        <f t="shared" si="36"/>
        <v>0</v>
      </c>
      <c r="AL437" s="72">
        <f t="shared" si="37"/>
        <v>0</v>
      </c>
      <c r="AM437">
        <v>-1</v>
      </c>
      <c r="AO437" s="102">
        <f t="shared" si="38"/>
        <v>0</v>
      </c>
      <c r="AP437" s="103">
        <f t="shared" si="39"/>
        <v>1379</v>
      </c>
      <c r="AQ437" s="101">
        <f t="shared" si="40"/>
        <v>8165</v>
      </c>
      <c r="AR437" s="104">
        <f t="shared" si="41"/>
        <v>110098</v>
      </c>
    </row>
    <row r="438" spans="1:44">
      <c r="A438" s="50" t="s">
        <v>1224</v>
      </c>
      <c r="B438" s="51" t="s">
        <v>1225</v>
      </c>
      <c r="C438" s="50" t="s">
        <v>424</v>
      </c>
      <c r="D438" s="50">
        <v>19</v>
      </c>
      <c r="E438" s="51" t="s">
        <v>1233</v>
      </c>
      <c r="F438" s="51" t="s">
        <v>126</v>
      </c>
      <c r="G438" s="50" t="s">
        <v>127</v>
      </c>
      <c r="H438" s="52" t="s">
        <v>178</v>
      </c>
      <c r="I438" s="95" t="s">
        <v>192</v>
      </c>
      <c r="J438" s="53">
        <v>77.25</v>
      </c>
      <c r="K438" s="66">
        <v>0</v>
      </c>
      <c r="L438" s="66">
        <v>238518</v>
      </c>
      <c r="M438" s="54">
        <v>238518</v>
      </c>
      <c r="N438" s="64">
        <v>413664</v>
      </c>
      <c r="O438" s="64">
        <v>40284</v>
      </c>
      <c r="P438" s="64">
        <v>114703</v>
      </c>
      <c r="Q438" s="54">
        <v>568651</v>
      </c>
      <c r="R438" s="62">
        <v>37856</v>
      </c>
      <c r="S438" s="54">
        <v>845025</v>
      </c>
      <c r="T438" s="81">
        <v>21995</v>
      </c>
      <c r="U438" s="81">
        <v>0</v>
      </c>
      <c r="V438" s="81">
        <v>0</v>
      </c>
      <c r="W438" s="81">
        <v>0</v>
      </c>
      <c r="X438" s="54">
        <v>867020</v>
      </c>
      <c r="Y438" s="54">
        <v>0</v>
      </c>
      <c r="Z438" s="54">
        <v>241033</v>
      </c>
      <c r="AA438" s="54">
        <v>570286</v>
      </c>
      <c r="AB438" s="54">
        <v>55701</v>
      </c>
      <c r="AC438" s="55" t="s">
        <v>184</v>
      </c>
      <c r="AD438" s="56">
        <v>4157</v>
      </c>
      <c r="AE438" s="57">
        <v>7</v>
      </c>
      <c r="AF438" s="55" t="s">
        <v>126</v>
      </c>
      <c r="AG438" s="69">
        <v>0</v>
      </c>
      <c r="AH438" s="57">
        <v>7</v>
      </c>
      <c r="AI438" s="55" t="s">
        <v>126</v>
      </c>
      <c r="AJ438" s="71">
        <v>0</v>
      </c>
      <c r="AK438" s="72">
        <f t="shared" si="36"/>
        <v>0</v>
      </c>
      <c r="AL438" s="72">
        <f t="shared" si="37"/>
        <v>0</v>
      </c>
      <c r="AM438">
        <v>-1</v>
      </c>
      <c r="AO438" s="102">
        <f t="shared" si="38"/>
        <v>0</v>
      </c>
      <c r="AP438" s="103">
        <f t="shared" si="39"/>
        <v>2515</v>
      </c>
      <c r="AQ438" s="101">
        <f t="shared" si="40"/>
        <v>1635</v>
      </c>
      <c r="AR438" s="104">
        <f t="shared" si="41"/>
        <v>17845</v>
      </c>
    </row>
    <row r="439" spans="1:44">
      <c r="A439" s="50" t="s">
        <v>1224</v>
      </c>
      <c r="B439" s="51" t="s">
        <v>1225</v>
      </c>
      <c r="C439" s="50" t="s">
        <v>424</v>
      </c>
      <c r="D439" s="50">
        <v>82</v>
      </c>
      <c r="E439" s="51" t="s">
        <v>583</v>
      </c>
      <c r="F439" s="51" t="s">
        <v>463</v>
      </c>
      <c r="G439" s="50" t="s">
        <v>464</v>
      </c>
      <c r="H439" s="52" t="s">
        <v>178</v>
      </c>
      <c r="I439" s="52" t="s">
        <v>190</v>
      </c>
      <c r="J439" s="53">
        <v>342.09</v>
      </c>
      <c r="K439" s="66">
        <v>0</v>
      </c>
      <c r="L439" s="66">
        <v>19581</v>
      </c>
      <c r="M439" s="54">
        <v>19581</v>
      </c>
      <c r="N439" s="64">
        <v>2800782</v>
      </c>
      <c r="O439" s="64">
        <v>249393</v>
      </c>
      <c r="P439" s="64">
        <v>648505</v>
      </c>
      <c r="Q439" s="54">
        <v>3698680</v>
      </c>
      <c r="R439" s="62">
        <v>244725</v>
      </c>
      <c r="S439" s="54">
        <v>3962986</v>
      </c>
      <c r="T439" s="81">
        <v>183024</v>
      </c>
      <c r="U439" s="81">
        <v>0</v>
      </c>
      <c r="V439" s="81">
        <v>0</v>
      </c>
      <c r="W439" s="81">
        <v>0</v>
      </c>
      <c r="X439" s="54">
        <v>4146011</v>
      </c>
      <c r="Y439" s="54">
        <v>0</v>
      </c>
      <c r="Z439" s="54">
        <v>25094</v>
      </c>
      <c r="AA439" s="54">
        <v>3707535</v>
      </c>
      <c r="AB439" s="54">
        <v>413382</v>
      </c>
      <c r="AC439" s="55" t="s">
        <v>184</v>
      </c>
      <c r="AD439" s="56">
        <v>4029</v>
      </c>
      <c r="AE439" s="57">
        <v>7</v>
      </c>
      <c r="AF439" s="55" t="s">
        <v>463</v>
      </c>
      <c r="AG439" s="69">
        <v>0</v>
      </c>
      <c r="AH439" s="57">
        <v>7</v>
      </c>
      <c r="AI439" s="55" t="s">
        <v>463</v>
      </c>
      <c r="AJ439" s="71">
        <v>0</v>
      </c>
      <c r="AK439" s="72">
        <f t="shared" si="36"/>
        <v>0</v>
      </c>
      <c r="AL439" s="72">
        <f t="shared" si="37"/>
        <v>0</v>
      </c>
      <c r="AM439">
        <v>-1</v>
      </c>
      <c r="AO439" s="102">
        <f t="shared" si="38"/>
        <v>0</v>
      </c>
      <c r="AP439" s="103">
        <f t="shared" si="39"/>
        <v>5513</v>
      </c>
      <c r="AQ439" s="101">
        <f t="shared" si="40"/>
        <v>8855</v>
      </c>
      <c r="AR439" s="104">
        <f t="shared" si="41"/>
        <v>168657</v>
      </c>
    </row>
    <row r="440" spans="1:44">
      <c r="A440" s="50" t="s">
        <v>1224</v>
      </c>
      <c r="B440" s="51" t="s">
        <v>1225</v>
      </c>
      <c r="C440" s="50" t="s">
        <v>424</v>
      </c>
      <c r="D440" s="50">
        <v>27</v>
      </c>
      <c r="E440" s="51" t="s">
        <v>1227</v>
      </c>
      <c r="F440" s="51" t="s">
        <v>441</v>
      </c>
      <c r="G440" s="50" t="s">
        <v>442</v>
      </c>
      <c r="H440" s="52" t="s">
        <v>178</v>
      </c>
      <c r="I440" s="52" t="s">
        <v>192</v>
      </c>
      <c r="J440" s="53">
        <v>248.26</v>
      </c>
      <c r="K440" s="66">
        <v>0</v>
      </c>
      <c r="L440" s="66">
        <v>1372264</v>
      </c>
      <c r="M440" s="54">
        <v>1372264</v>
      </c>
      <c r="N440" s="64">
        <v>1955894</v>
      </c>
      <c r="O440" s="64">
        <v>563076</v>
      </c>
      <c r="P440" s="64">
        <v>558280</v>
      </c>
      <c r="Q440" s="54">
        <v>3077250</v>
      </c>
      <c r="R440" s="62">
        <v>626576</v>
      </c>
      <c r="S440" s="54">
        <v>5076090</v>
      </c>
      <c r="T440" s="81">
        <v>219663</v>
      </c>
      <c r="U440" s="81">
        <v>0</v>
      </c>
      <c r="V440" s="81">
        <v>0</v>
      </c>
      <c r="W440" s="81">
        <v>0</v>
      </c>
      <c r="X440" s="54">
        <v>5295753</v>
      </c>
      <c r="Y440" s="54">
        <v>0</v>
      </c>
      <c r="Z440" s="54">
        <v>1426496</v>
      </c>
      <c r="AA440" s="54">
        <v>3086421</v>
      </c>
      <c r="AB440" s="54">
        <v>782836</v>
      </c>
      <c r="AC440" s="55" t="s">
        <v>184</v>
      </c>
      <c r="AD440" s="56">
        <v>4011</v>
      </c>
      <c r="AE440" s="57">
        <v>7</v>
      </c>
      <c r="AF440" s="55" t="s">
        <v>441</v>
      </c>
      <c r="AG440" s="69">
        <v>0</v>
      </c>
      <c r="AH440" s="57">
        <v>7</v>
      </c>
      <c r="AI440" s="55" t="s">
        <v>441</v>
      </c>
      <c r="AJ440" s="71">
        <v>0</v>
      </c>
      <c r="AK440" s="72">
        <f t="shared" si="36"/>
        <v>0</v>
      </c>
      <c r="AL440" s="72">
        <f t="shared" si="37"/>
        <v>0</v>
      </c>
      <c r="AM440">
        <v>-1</v>
      </c>
      <c r="AO440" s="102">
        <f t="shared" si="38"/>
        <v>0</v>
      </c>
      <c r="AP440" s="103">
        <f t="shared" si="39"/>
        <v>54232</v>
      </c>
      <c r="AQ440" s="101">
        <f t="shared" si="40"/>
        <v>9171</v>
      </c>
      <c r="AR440" s="104">
        <f t="shared" si="41"/>
        <v>156260</v>
      </c>
    </row>
    <row r="441" spans="1:44" s="93" customFormat="1">
      <c r="A441" s="83" t="s">
        <v>1224</v>
      </c>
      <c r="B441" s="84" t="s">
        <v>1225</v>
      </c>
      <c r="C441" s="83" t="s">
        <v>424</v>
      </c>
      <c r="D441" s="83">
        <v>27</v>
      </c>
      <c r="E441" s="84" t="s">
        <v>1227</v>
      </c>
      <c r="F441" s="84" t="s">
        <v>154</v>
      </c>
      <c r="G441" s="83" t="s">
        <v>155</v>
      </c>
      <c r="H441" s="85" t="s">
        <v>178</v>
      </c>
      <c r="I441" s="85"/>
      <c r="J441" s="86">
        <v>0</v>
      </c>
      <c r="K441" s="86">
        <v>0</v>
      </c>
      <c r="L441" s="86">
        <v>0</v>
      </c>
      <c r="M441" s="87">
        <v>0</v>
      </c>
      <c r="N441" s="86">
        <v>0</v>
      </c>
      <c r="O441" s="86">
        <v>0</v>
      </c>
      <c r="P441" s="86">
        <v>0</v>
      </c>
      <c r="Q441" s="87">
        <v>0</v>
      </c>
      <c r="R441" s="86">
        <v>82603</v>
      </c>
      <c r="S441" s="87">
        <v>82603</v>
      </c>
      <c r="T441" s="81">
        <v>0</v>
      </c>
      <c r="U441" s="81">
        <v>0</v>
      </c>
      <c r="V441" s="81">
        <v>0</v>
      </c>
      <c r="W441" s="81">
        <v>0</v>
      </c>
      <c r="X441" s="87">
        <v>82603</v>
      </c>
      <c r="Y441" s="87">
        <v>0</v>
      </c>
      <c r="Z441" s="87">
        <v>0</v>
      </c>
      <c r="AA441" s="87">
        <v>0</v>
      </c>
      <c r="AB441" s="87">
        <v>82603</v>
      </c>
      <c r="AC441" s="88" t="s">
        <v>184</v>
      </c>
      <c r="AD441" s="89">
        <v>4171</v>
      </c>
      <c r="AE441" s="90">
        <v>7</v>
      </c>
      <c r="AF441" s="90" t="s">
        <v>154</v>
      </c>
      <c r="AG441" s="91">
        <v>0</v>
      </c>
      <c r="AH441" s="90">
        <v>7</v>
      </c>
      <c r="AI441" s="90" t="s">
        <v>154</v>
      </c>
      <c r="AJ441" s="92">
        <v>0</v>
      </c>
      <c r="AK441" s="93">
        <f t="shared" si="36"/>
        <v>0</v>
      </c>
      <c r="AL441" s="93">
        <f t="shared" si="37"/>
        <v>0</v>
      </c>
      <c r="AM441" s="93">
        <v>-1</v>
      </c>
      <c r="AO441" s="102">
        <f t="shared" si="38"/>
        <v>0</v>
      </c>
      <c r="AP441" s="103">
        <f t="shared" si="39"/>
        <v>0</v>
      </c>
      <c r="AQ441" s="101">
        <f t="shared" si="40"/>
        <v>0</v>
      </c>
      <c r="AR441" s="104">
        <f t="shared" si="41"/>
        <v>0</v>
      </c>
    </row>
    <row r="442" spans="1:44">
      <c r="A442" s="50" t="s">
        <v>1017</v>
      </c>
      <c r="B442" s="51" t="s">
        <v>1018</v>
      </c>
      <c r="C442" s="50" t="s">
        <v>424</v>
      </c>
      <c r="D442" s="50">
        <v>85</v>
      </c>
      <c r="E442" s="51" t="s">
        <v>606</v>
      </c>
      <c r="F442" s="51" t="s">
        <v>318</v>
      </c>
      <c r="G442" s="50" t="s">
        <v>319</v>
      </c>
      <c r="H442" s="52" t="s">
        <v>178</v>
      </c>
      <c r="I442" s="52" t="s">
        <v>191</v>
      </c>
      <c r="J442" s="53">
        <v>178.69</v>
      </c>
      <c r="K442" s="66">
        <v>0</v>
      </c>
      <c r="L442" s="66">
        <v>133318</v>
      </c>
      <c r="M442" s="54">
        <v>133318</v>
      </c>
      <c r="N442" s="64">
        <v>1185295</v>
      </c>
      <c r="O442" s="64">
        <v>187250</v>
      </c>
      <c r="P442" s="64">
        <v>239760</v>
      </c>
      <c r="Q442" s="54">
        <v>1612305</v>
      </c>
      <c r="R442" s="62">
        <v>84837</v>
      </c>
      <c r="S442" s="54">
        <v>1830460</v>
      </c>
      <c r="T442" s="81">
        <v>39662</v>
      </c>
      <c r="U442" s="81">
        <v>0</v>
      </c>
      <c r="V442" s="81">
        <v>0</v>
      </c>
      <c r="W442" s="81">
        <v>0</v>
      </c>
      <c r="X442" s="54">
        <v>1870122</v>
      </c>
      <c r="Y442" s="54">
        <v>0</v>
      </c>
      <c r="Z442" s="54">
        <v>172980</v>
      </c>
      <c r="AA442" s="54">
        <v>1612305</v>
      </c>
      <c r="AB442" s="54">
        <v>84837</v>
      </c>
      <c r="AC442" s="55" t="s">
        <v>184</v>
      </c>
      <c r="AD442" s="56">
        <v>4053</v>
      </c>
      <c r="AE442" s="57">
        <v>7</v>
      </c>
      <c r="AF442" s="55" t="s">
        <v>318</v>
      </c>
      <c r="AG442" s="69">
        <v>0</v>
      </c>
      <c r="AH442" s="57">
        <v>7</v>
      </c>
      <c r="AI442" s="55" t="s">
        <v>318</v>
      </c>
      <c r="AJ442" s="71">
        <v>0</v>
      </c>
      <c r="AK442" s="72">
        <f t="shared" si="36"/>
        <v>0</v>
      </c>
      <c r="AL442" s="72">
        <f t="shared" si="37"/>
        <v>0</v>
      </c>
      <c r="AM442">
        <v>-1</v>
      </c>
      <c r="AO442" s="102">
        <f t="shared" si="38"/>
        <v>0</v>
      </c>
      <c r="AP442" s="103">
        <f t="shared" si="39"/>
        <v>39662</v>
      </c>
      <c r="AQ442" s="101">
        <f t="shared" si="40"/>
        <v>0</v>
      </c>
      <c r="AR442" s="104">
        <f t="shared" si="41"/>
        <v>0</v>
      </c>
    </row>
    <row r="443" spans="1:44">
      <c r="A443" s="50" t="s">
        <v>1224</v>
      </c>
      <c r="B443" s="51" t="s">
        <v>1225</v>
      </c>
      <c r="C443" s="50" t="s">
        <v>424</v>
      </c>
      <c r="D443" s="50">
        <v>27</v>
      </c>
      <c r="E443" s="51" t="s">
        <v>1227</v>
      </c>
      <c r="F443" s="51" t="s">
        <v>366</v>
      </c>
      <c r="G443" s="50" t="s">
        <v>367</v>
      </c>
      <c r="H443" s="52" t="s">
        <v>178</v>
      </c>
      <c r="I443" s="52" t="s">
        <v>191</v>
      </c>
      <c r="J443" s="53">
        <v>260.58999999999997</v>
      </c>
      <c r="K443" s="66">
        <v>0</v>
      </c>
      <c r="L443" s="66">
        <v>55342</v>
      </c>
      <c r="M443" s="54">
        <v>55342</v>
      </c>
      <c r="N443" s="64">
        <v>1410829</v>
      </c>
      <c r="O443" s="64">
        <v>184296</v>
      </c>
      <c r="P443" s="64">
        <v>333611</v>
      </c>
      <c r="Q443" s="54">
        <v>1928736</v>
      </c>
      <c r="R443" s="62">
        <v>134871</v>
      </c>
      <c r="S443" s="54">
        <v>2118949</v>
      </c>
      <c r="T443" s="81">
        <v>114877</v>
      </c>
      <c r="U443" s="81">
        <v>57448</v>
      </c>
      <c r="V443" s="81">
        <v>0</v>
      </c>
      <c r="W443" s="81">
        <v>0</v>
      </c>
      <c r="X443" s="54">
        <v>2291274</v>
      </c>
      <c r="Y443" s="54">
        <v>0</v>
      </c>
      <c r="Z443" s="54">
        <v>162283</v>
      </c>
      <c r="AA443" s="54">
        <v>1935617</v>
      </c>
      <c r="AB443" s="54">
        <v>193374</v>
      </c>
      <c r="AC443" s="55" t="s">
        <v>184</v>
      </c>
      <c r="AD443" s="56">
        <v>4084</v>
      </c>
      <c r="AE443" s="57">
        <v>7</v>
      </c>
      <c r="AF443" s="55" t="s">
        <v>366</v>
      </c>
      <c r="AG443" s="69">
        <v>0</v>
      </c>
      <c r="AH443" s="57">
        <v>7</v>
      </c>
      <c r="AI443" s="55" t="s">
        <v>366</v>
      </c>
      <c r="AJ443" s="71">
        <v>0</v>
      </c>
      <c r="AK443" s="72">
        <f t="shared" si="36"/>
        <v>0</v>
      </c>
      <c r="AL443" s="72">
        <f t="shared" si="37"/>
        <v>0</v>
      </c>
      <c r="AM443">
        <v>-1</v>
      </c>
      <c r="AO443" s="102">
        <f t="shared" si="38"/>
        <v>0</v>
      </c>
      <c r="AP443" s="103">
        <f t="shared" si="39"/>
        <v>106941</v>
      </c>
      <c r="AQ443" s="101">
        <f t="shared" si="40"/>
        <v>6881</v>
      </c>
      <c r="AR443" s="104">
        <f t="shared" si="41"/>
        <v>58503</v>
      </c>
    </row>
    <row r="444" spans="1:44">
      <c r="A444" s="50" t="s">
        <v>1166</v>
      </c>
      <c r="B444" s="51" t="s">
        <v>1167</v>
      </c>
      <c r="C444" s="50" t="s">
        <v>424</v>
      </c>
      <c r="D444" s="50">
        <v>53</v>
      </c>
      <c r="E444" s="51" t="s">
        <v>894</v>
      </c>
      <c r="F444" s="51" t="s">
        <v>108</v>
      </c>
      <c r="G444" s="50" t="s">
        <v>109</v>
      </c>
      <c r="H444" s="52" t="s">
        <v>178</v>
      </c>
      <c r="I444" s="50" t="s">
        <v>191</v>
      </c>
      <c r="J444" s="53">
        <v>106.86</v>
      </c>
      <c r="K444" s="66">
        <v>0</v>
      </c>
      <c r="L444" s="66">
        <v>29399</v>
      </c>
      <c r="M444" s="54">
        <v>29399</v>
      </c>
      <c r="N444" s="64">
        <v>737935</v>
      </c>
      <c r="O444" s="64">
        <v>121398</v>
      </c>
      <c r="P444" s="64">
        <v>187163</v>
      </c>
      <c r="Q444" s="54">
        <v>1046496</v>
      </c>
      <c r="R444" s="62">
        <v>236857</v>
      </c>
      <c r="S444" s="54">
        <v>1312752</v>
      </c>
      <c r="T444" s="81">
        <v>22645</v>
      </c>
      <c r="U444" s="81">
        <v>0</v>
      </c>
      <c r="V444" s="81">
        <v>0</v>
      </c>
      <c r="W444" s="81">
        <v>0</v>
      </c>
      <c r="X444" s="54">
        <v>1335397</v>
      </c>
      <c r="Y444" s="54">
        <v>0</v>
      </c>
      <c r="Z444" s="54">
        <v>36494</v>
      </c>
      <c r="AA444" s="54">
        <v>1047666</v>
      </c>
      <c r="AB444" s="54">
        <v>251237</v>
      </c>
      <c r="AC444" s="55" t="s">
        <v>184</v>
      </c>
      <c r="AD444" s="56">
        <v>4146</v>
      </c>
      <c r="AE444" s="57">
        <v>7</v>
      </c>
      <c r="AF444" s="55" t="s">
        <v>108</v>
      </c>
      <c r="AG444" s="69">
        <v>0</v>
      </c>
      <c r="AH444" s="57">
        <v>7</v>
      </c>
      <c r="AI444" s="55" t="s">
        <v>108</v>
      </c>
      <c r="AJ444" s="71">
        <v>0</v>
      </c>
      <c r="AK444" s="72">
        <f t="shared" si="36"/>
        <v>0</v>
      </c>
      <c r="AL444" s="72">
        <f t="shared" si="37"/>
        <v>0</v>
      </c>
      <c r="AM444">
        <v>-1</v>
      </c>
      <c r="AO444" s="102">
        <f t="shared" si="38"/>
        <v>0</v>
      </c>
      <c r="AP444" s="103">
        <f t="shared" si="39"/>
        <v>7095</v>
      </c>
      <c r="AQ444" s="101">
        <f t="shared" si="40"/>
        <v>1170</v>
      </c>
      <c r="AR444" s="104">
        <f t="shared" si="41"/>
        <v>14380</v>
      </c>
    </row>
    <row r="445" spans="1:44">
      <c r="A445" s="50" t="s">
        <v>1224</v>
      </c>
      <c r="B445" s="51" t="s">
        <v>1225</v>
      </c>
      <c r="C445" s="50" t="s">
        <v>424</v>
      </c>
      <c r="D445" s="50">
        <v>27</v>
      </c>
      <c r="E445" s="51" t="s">
        <v>1227</v>
      </c>
      <c r="F445" s="51" t="s">
        <v>312</v>
      </c>
      <c r="G445" s="50" t="s">
        <v>313</v>
      </c>
      <c r="H445" s="52" t="s">
        <v>178</v>
      </c>
      <c r="I445" s="52" t="s">
        <v>191</v>
      </c>
      <c r="J445" s="53">
        <v>153.72999999999999</v>
      </c>
      <c r="K445" s="66">
        <v>0</v>
      </c>
      <c r="L445" s="66">
        <v>18822</v>
      </c>
      <c r="M445" s="54">
        <v>18822</v>
      </c>
      <c r="N445" s="64">
        <v>1140672</v>
      </c>
      <c r="O445" s="64">
        <v>287624</v>
      </c>
      <c r="P445" s="64">
        <v>216707</v>
      </c>
      <c r="Q445" s="54">
        <v>1645003</v>
      </c>
      <c r="R445" s="62">
        <v>300772</v>
      </c>
      <c r="S445" s="54">
        <v>1964597</v>
      </c>
      <c r="T445" s="81">
        <v>0</v>
      </c>
      <c r="U445" s="81">
        <v>0</v>
      </c>
      <c r="V445" s="81">
        <v>0</v>
      </c>
      <c r="W445" s="81">
        <v>0</v>
      </c>
      <c r="X445" s="54">
        <v>1964597</v>
      </c>
      <c r="Y445" s="54">
        <v>0</v>
      </c>
      <c r="Z445" s="54">
        <v>18822</v>
      </c>
      <c r="AA445" s="54">
        <v>1645003</v>
      </c>
      <c r="AB445" s="54">
        <v>300772</v>
      </c>
      <c r="AC445" s="55" t="s">
        <v>184</v>
      </c>
      <c r="AD445" s="56">
        <v>4049</v>
      </c>
      <c r="AE445" s="57">
        <v>7</v>
      </c>
      <c r="AF445" s="55" t="s">
        <v>312</v>
      </c>
      <c r="AG445" s="69">
        <v>0</v>
      </c>
      <c r="AH445" s="57">
        <v>7</v>
      </c>
      <c r="AI445" s="55" t="s">
        <v>312</v>
      </c>
      <c r="AJ445" s="71">
        <v>0</v>
      </c>
      <c r="AK445" s="72">
        <f t="shared" si="36"/>
        <v>0</v>
      </c>
      <c r="AL445" s="72">
        <f t="shared" si="37"/>
        <v>0</v>
      </c>
      <c r="AM445">
        <v>-1</v>
      </c>
      <c r="AO445" s="102">
        <f t="shared" si="38"/>
        <v>0</v>
      </c>
      <c r="AP445" s="103">
        <f t="shared" si="39"/>
        <v>0</v>
      </c>
      <c r="AQ445" s="101">
        <f t="shared" si="40"/>
        <v>0</v>
      </c>
      <c r="AR445" s="104">
        <f t="shared" si="41"/>
        <v>0</v>
      </c>
    </row>
    <row r="446" spans="1:44">
      <c r="A446" s="50" t="s">
        <v>1092</v>
      </c>
      <c r="B446" s="51" t="s">
        <v>1093</v>
      </c>
      <c r="C446" s="50" t="s">
        <v>424</v>
      </c>
      <c r="D446" s="50">
        <v>81</v>
      </c>
      <c r="E446" s="51" t="s">
        <v>580</v>
      </c>
      <c r="F446" s="51" t="s">
        <v>208</v>
      </c>
      <c r="G446" s="50" t="s">
        <v>209</v>
      </c>
      <c r="H446" s="52" t="s">
        <v>178</v>
      </c>
      <c r="I446" s="52" t="s">
        <v>190</v>
      </c>
      <c r="J446" s="53">
        <v>307.42</v>
      </c>
      <c r="K446" s="66">
        <v>0</v>
      </c>
      <c r="L446" s="66">
        <v>74392</v>
      </c>
      <c r="M446" s="54">
        <v>74392</v>
      </c>
      <c r="N446" s="64">
        <v>1759118</v>
      </c>
      <c r="O446" s="64">
        <v>205612</v>
      </c>
      <c r="P446" s="64">
        <v>337895</v>
      </c>
      <c r="Q446" s="54">
        <v>2302625</v>
      </c>
      <c r="R446" s="62">
        <v>37377</v>
      </c>
      <c r="S446" s="54">
        <v>2414394</v>
      </c>
      <c r="T446" s="81">
        <v>72052</v>
      </c>
      <c r="U446" s="81">
        <v>54115</v>
      </c>
      <c r="V446" s="81">
        <v>0</v>
      </c>
      <c r="W446" s="81">
        <v>0</v>
      </c>
      <c r="X446" s="54">
        <v>2540559</v>
      </c>
      <c r="Y446" s="54">
        <v>0</v>
      </c>
      <c r="Z446" s="54">
        <v>184427</v>
      </c>
      <c r="AA446" s="54">
        <v>2304704</v>
      </c>
      <c r="AB446" s="54">
        <v>51428</v>
      </c>
      <c r="AC446" s="55" t="s">
        <v>184</v>
      </c>
      <c r="AD446" s="56">
        <v>4098</v>
      </c>
      <c r="AE446" s="57">
        <v>7</v>
      </c>
      <c r="AF446" s="55" t="s">
        <v>208</v>
      </c>
      <c r="AG446" s="69">
        <v>0</v>
      </c>
      <c r="AH446" s="57">
        <v>7</v>
      </c>
      <c r="AI446" s="55" t="s">
        <v>208</v>
      </c>
      <c r="AJ446" s="71">
        <v>0</v>
      </c>
      <c r="AK446" s="72">
        <f t="shared" si="36"/>
        <v>0</v>
      </c>
      <c r="AL446" s="72">
        <f t="shared" si="37"/>
        <v>0</v>
      </c>
      <c r="AM446">
        <v>-1</v>
      </c>
      <c r="AO446" s="102">
        <f t="shared" si="38"/>
        <v>0</v>
      </c>
      <c r="AP446" s="103">
        <f t="shared" si="39"/>
        <v>110035</v>
      </c>
      <c r="AQ446" s="101">
        <f t="shared" si="40"/>
        <v>2079</v>
      </c>
      <c r="AR446" s="104">
        <f t="shared" si="41"/>
        <v>14051</v>
      </c>
    </row>
    <row r="447" spans="1:44">
      <c r="A447" s="50" t="s">
        <v>1224</v>
      </c>
      <c r="B447" s="51" t="s">
        <v>1225</v>
      </c>
      <c r="C447" s="50" t="s">
        <v>424</v>
      </c>
      <c r="D447" s="50">
        <v>27</v>
      </c>
      <c r="E447" s="51" t="s">
        <v>1227</v>
      </c>
      <c r="F447" s="51" t="s">
        <v>465</v>
      </c>
      <c r="G447" s="50" t="s">
        <v>466</v>
      </c>
      <c r="H447" s="52" t="s">
        <v>178</v>
      </c>
      <c r="I447" s="52" t="s">
        <v>191</v>
      </c>
      <c r="J447" s="53">
        <v>191.5</v>
      </c>
      <c r="K447" s="66">
        <v>0</v>
      </c>
      <c r="L447" s="66">
        <v>46160</v>
      </c>
      <c r="M447" s="54">
        <v>46160</v>
      </c>
      <c r="N447" s="64">
        <v>1279070</v>
      </c>
      <c r="O447" s="64">
        <v>201967</v>
      </c>
      <c r="P447" s="64">
        <v>279417</v>
      </c>
      <c r="Q447" s="54">
        <v>1760454</v>
      </c>
      <c r="R447" s="62">
        <v>107716</v>
      </c>
      <c r="S447" s="54">
        <v>1914330</v>
      </c>
      <c r="T447" s="81">
        <v>96371</v>
      </c>
      <c r="U447" s="81">
        <v>0</v>
      </c>
      <c r="V447" s="81">
        <v>0</v>
      </c>
      <c r="W447" s="81">
        <v>0</v>
      </c>
      <c r="X447" s="54">
        <v>2010702</v>
      </c>
      <c r="Y447" s="54">
        <v>0</v>
      </c>
      <c r="Z447" s="54">
        <v>64678</v>
      </c>
      <c r="AA447" s="54">
        <v>1764813</v>
      </c>
      <c r="AB447" s="54">
        <v>181211</v>
      </c>
      <c r="AC447" s="55" t="s">
        <v>184</v>
      </c>
      <c r="AD447" s="56">
        <v>4030</v>
      </c>
      <c r="AE447" s="57">
        <v>7</v>
      </c>
      <c r="AF447" s="55" t="s">
        <v>465</v>
      </c>
      <c r="AG447" s="69">
        <v>0</v>
      </c>
      <c r="AH447" s="57">
        <v>7</v>
      </c>
      <c r="AI447" s="55" t="s">
        <v>465</v>
      </c>
      <c r="AJ447" s="71">
        <v>0</v>
      </c>
      <c r="AK447" s="72">
        <f t="shared" si="36"/>
        <v>0</v>
      </c>
      <c r="AL447" s="72">
        <f t="shared" si="37"/>
        <v>0</v>
      </c>
      <c r="AM447">
        <v>-1</v>
      </c>
      <c r="AO447" s="102">
        <f t="shared" si="38"/>
        <v>0</v>
      </c>
      <c r="AP447" s="103">
        <f t="shared" si="39"/>
        <v>18518</v>
      </c>
      <c r="AQ447" s="101">
        <f t="shared" si="40"/>
        <v>4359</v>
      </c>
      <c r="AR447" s="104">
        <f t="shared" si="41"/>
        <v>73495</v>
      </c>
    </row>
    <row r="448" spans="1:44">
      <c r="A448" s="50" t="s">
        <v>1224</v>
      </c>
      <c r="B448" s="51" t="s">
        <v>1225</v>
      </c>
      <c r="C448" s="50" t="s">
        <v>424</v>
      </c>
      <c r="D448" s="50">
        <v>62</v>
      </c>
      <c r="E448" s="51" t="s">
        <v>785</v>
      </c>
      <c r="F448" s="51" t="s">
        <v>439</v>
      </c>
      <c r="G448" s="50" t="s">
        <v>440</v>
      </c>
      <c r="H448" s="52" t="s">
        <v>178</v>
      </c>
      <c r="I448" s="52" t="s">
        <v>191</v>
      </c>
      <c r="J448" s="53">
        <v>537.41</v>
      </c>
      <c r="K448" s="66">
        <v>0</v>
      </c>
      <c r="L448" s="66">
        <v>260016</v>
      </c>
      <c r="M448" s="54">
        <v>260016</v>
      </c>
      <c r="N448" s="64">
        <v>3435962</v>
      </c>
      <c r="O448" s="64">
        <v>517935</v>
      </c>
      <c r="P448" s="64">
        <v>746494</v>
      </c>
      <c r="Q448" s="54">
        <v>4700391</v>
      </c>
      <c r="R448" s="62">
        <v>148067</v>
      </c>
      <c r="S448" s="54">
        <v>5108474</v>
      </c>
      <c r="T448" s="81">
        <v>90771</v>
      </c>
      <c r="U448" s="81">
        <v>0</v>
      </c>
      <c r="V448" s="81">
        <v>0</v>
      </c>
      <c r="W448" s="81">
        <v>0</v>
      </c>
      <c r="X448" s="54">
        <v>5199246</v>
      </c>
      <c r="Y448" s="54">
        <v>0</v>
      </c>
      <c r="Z448" s="54">
        <v>321426</v>
      </c>
      <c r="AA448" s="54">
        <v>4704242</v>
      </c>
      <c r="AB448" s="54">
        <v>173578</v>
      </c>
      <c r="AC448" s="55" t="s">
        <v>184</v>
      </c>
      <c r="AD448" s="56">
        <v>4008</v>
      </c>
      <c r="AE448" s="57">
        <v>7</v>
      </c>
      <c r="AF448" s="55" t="s">
        <v>439</v>
      </c>
      <c r="AG448" s="69">
        <v>0</v>
      </c>
      <c r="AH448" s="57">
        <v>7</v>
      </c>
      <c r="AI448" s="55" t="s">
        <v>439</v>
      </c>
      <c r="AJ448" s="71">
        <v>0</v>
      </c>
      <c r="AK448" s="72">
        <f t="shared" si="36"/>
        <v>0</v>
      </c>
      <c r="AL448" s="72">
        <f t="shared" si="37"/>
        <v>0</v>
      </c>
      <c r="AM448">
        <v>-1</v>
      </c>
      <c r="AO448" s="102">
        <f t="shared" si="38"/>
        <v>0</v>
      </c>
      <c r="AP448" s="103">
        <f t="shared" si="39"/>
        <v>61410</v>
      </c>
      <c r="AQ448" s="101">
        <f t="shared" si="40"/>
        <v>3851</v>
      </c>
      <c r="AR448" s="104">
        <f t="shared" si="41"/>
        <v>25511</v>
      </c>
    </row>
    <row r="449" spans="1:44">
      <c r="A449" s="50" t="s">
        <v>1224</v>
      </c>
      <c r="B449" s="51" t="s">
        <v>1225</v>
      </c>
      <c r="C449" s="50" t="s">
        <v>424</v>
      </c>
      <c r="D449" s="50">
        <v>27</v>
      </c>
      <c r="E449" s="51" t="s">
        <v>1227</v>
      </c>
      <c r="F449" s="51" t="s">
        <v>284</v>
      </c>
      <c r="G449" s="50" t="s">
        <v>285</v>
      </c>
      <c r="H449" s="52" t="s">
        <v>178</v>
      </c>
      <c r="I449" s="52" t="s">
        <v>191</v>
      </c>
      <c r="J449" s="53">
        <v>293.74</v>
      </c>
      <c r="K449" s="66">
        <v>0</v>
      </c>
      <c r="L449" s="66">
        <v>102287</v>
      </c>
      <c r="M449" s="54">
        <v>102287</v>
      </c>
      <c r="N449" s="64">
        <v>1635280</v>
      </c>
      <c r="O449" s="64">
        <v>162171</v>
      </c>
      <c r="P449" s="64">
        <v>509405</v>
      </c>
      <c r="Q449" s="54">
        <v>2306856</v>
      </c>
      <c r="R449" s="62">
        <v>214457</v>
      </c>
      <c r="S449" s="54">
        <v>2623600</v>
      </c>
      <c r="T449" s="81">
        <v>66198</v>
      </c>
      <c r="U449" s="81">
        <v>45358</v>
      </c>
      <c r="V449" s="81">
        <v>0</v>
      </c>
      <c r="W449" s="81">
        <v>0</v>
      </c>
      <c r="X449" s="54">
        <v>2735156</v>
      </c>
      <c r="Y449" s="54">
        <v>0</v>
      </c>
      <c r="Z449" s="54">
        <v>197665</v>
      </c>
      <c r="AA449" s="54">
        <v>2308693</v>
      </c>
      <c r="AB449" s="54">
        <v>228798</v>
      </c>
      <c r="AC449" s="55" t="s">
        <v>184</v>
      </c>
      <c r="AD449" s="56">
        <v>4141</v>
      </c>
      <c r="AE449" s="57">
        <v>7</v>
      </c>
      <c r="AF449" s="55" t="s">
        <v>284</v>
      </c>
      <c r="AG449" s="69">
        <v>0</v>
      </c>
      <c r="AH449" s="57">
        <v>7</v>
      </c>
      <c r="AI449" s="55" t="s">
        <v>284</v>
      </c>
      <c r="AJ449" s="71">
        <v>0</v>
      </c>
      <c r="AK449" s="72">
        <f t="shared" si="36"/>
        <v>0</v>
      </c>
      <c r="AL449" s="72">
        <f t="shared" si="37"/>
        <v>0</v>
      </c>
      <c r="AM449">
        <v>-1</v>
      </c>
      <c r="AO449" s="102">
        <f t="shared" si="38"/>
        <v>0</v>
      </c>
      <c r="AP449" s="103">
        <f t="shared" si="39"/>
        <v>95378</v>
      </c>
      <c r="AQ449" s="101">
        <f t="shared" si="40"/>
        <v>1837</v>
      </c>
      <c r="AR449" s="104">
        <f t="shared" si="41"/>
        <v>14341</v>
      </c>
    </row>
    <row r="450" spans="1:44">
      <c r="A450" s="50" t="s">
        <v>1017</v>
      </c>
      <c r="B450" s="51" t="s">
        <v>1018</v>
      </c>
      <c r="C450" s="50" t="s">
        <v>424</v>
      </c>
      <c r="D450" s="50">
        <v>55</v>
      </c>
      <c r="E450" s="51" t="s">
        <v>1033</v>
      </c>
      <c r="F450" s="51" t="s">
        <v>206</v>
      </c>
      <c r="G450" s="50" t="s">
        <v>207</v>
      </c>
      <c r="H450" s="52" t="s">
        <v>178</v>
      </c>
      <c r="I450" s="52" t="s">
        <v>191</v>
      </c>
      <c r="J450" s="53">
        <v>197.17</v>
      </c>
      <c r="K450" s="66">
        <v>0</v>
      </c>
      <c r="L450" s="66">
        <v>68845</v>
      </c>
      <c r="M450" s="54">
        <v>68845</v>
      </c>
      <c r="N450" s="64">
        <v>1665882</v>
      </c>
      <c r="O450" s="64">
        <v>79575</v>
      </c>
      <c r="P450" s="64">
        <v>219519</v>
      </c>
      <c r="Q450" s="54">
        <v>1964976</v>
      </c>
      <c r="R450" s="62">
        <v>122919</v>
      </c>
      <c r="S450" s="54">
        <v>2156740</v>
      </c>
      <c r="T450" s="81">
        <v>123986</v>
      </c>
      <c r="U450" s="81">
        <v>0</v>
      </c>
      <c r="V450" s="81">
        <v>0</v>
      </c>
      <c r="W450" s="81">
        <v>0</v>
      </c>
      <c r="X450" s="54">
        <v>2280727</v>
      </c>
      <c r="Y450" s="54">
        <v>0</v>
      </c>
      <c r="Z450" s="54">
        <v>71724</v>
      </c>
      <c r="AA450" s="54">
        <v>1969792</v>
      </c>
      <c r="AB450" s="54">
        <v>239211</v>
      </c>
      <c r="AC450" s="55" t="s">
        <v>184</v>
      </c>
      <c r="AD450" s="56">
        <v>4097</v>
      </c>
      <c r="AE450" s="57">
        <v>7</v>
      </c>
      <c r="AF450" s="55" t="s">
        <v>206</v>
      </c>
      <c r="AG450" s="69">
        <v>0</v>
      </c>
      <c r="AH450" s="57">
        <v>7</v>
      </c>
      <c r="AI450" s="55" t="s">
        <v>206</v>
      </c>
      <c r="AJ450" s="71">
        <v>0</v>
      </c>
      <c r="AK450" s="72">
        <f t="shared" si="36"/>
        <v>0</v>
      </c>
      <c r="AL450" s="72">
        <f t="shared" si="37"/>
        <v>0</v>
      </c>
      <c r="AM450">
        <v>-1</v>
      </c>
      <c r="AO450" s="102">
        <f t="shared" si="38"/>
        <v>0</v>
      </c>
      <c r="AP450" s="103">
        <f t="shared" si="39"/>
        <v>2879</v>
      </c>
      <c r="AQ450" s="101">
        <f t="shared" si="40"/>
        <v>4816</v>
      </c>
      <c r="AR450" s="104">
        <f t="shared" si="41"/>
        <v>116292</v>
      </c>
    </row>
    <row r="451" spans="1:44">
      <c r="A451" s="50" t="s">
        <v>1224</v>
      </c>
      <c r="B451" s="51" t="s">
        <v>1225</v>
      </c>
      <c r="C451" s="50" t="s">
        <v>424</v>
      </c>
      <c r="D451" s="50">
        <v>2</v>
      </c>
      <c r="E451" s="51" t="s">
        <v>1236</v>
      </c>
      <c r="F451" s="51" t="s">
        <v>358</v>
      </c>
      <c r="G451" s="50" t="s">
        <v>359</v>
      </c>
      <c r="H451" s="52" t="s">
        <v>178</v>
      </c>
      <c r="I451" s="52" t="s">
        <v>191</v>
      </c>
      <c r="J451" s="53">
        <v>42.19</v>
      </c>
      <c r="K451" s="66">
        <v>0</v>
      </c>
      <c r="L451" s="66">
        <v>10702</v>
      </c>
      <c r="M451" s="54">
        <v>10702</v>
      </c>
      <c r="N451" s="64">
        <v>376949</v>
      </c>
      <c r="O451" s="64">
        <v>177074</v>
      </c>
      <c r="P451" s="64">
        <v>39040</v>
      </c>
      <c r="Q451" s="54">
        <v>593063</v>
      </c>
      <c r="R451" s="62">
        <v>46109</v>
      </c>
      <c r="S451" s="54">
        <v>649874</v>
      </c>
      <c r="T451" s="81">
        <v>0</v>
      </c>
      <c r="U451" s="81">
        <v>0</v>
      </c>
      <c r="V451" s="81">
        <v>0</v>
      </c>
      <c r="W451" s="81">
        <v>0</v>
      </c>
      <c r="X451" s="54">
        <v>649874</v>
      </c>
      <c r="Y451" s="54">
        <v>0</v>
      </c>
      <c r="Z451" s="54">
        <v>10702</v>
      </c>
      <c r="AA451" s="54">
        <v>593063</v>
      </c>
      <c r="AB451" s="54">
        <v>46109</v>
      </c>
      <c r="AC451" s="55" t="s">
        <v>184</v>
      </c>
      <c r="AD451" s="56">
        <v>4080</v>
      </c>
      <c r="AE451" s="57">
        <v>7</v>
      </c>
      <c r="AF451" s="55" t="s">
        <v>358</v>
      </c>
      <c r="AG451" s="69">
        <v>0</v>
      </c>
      <c r="AH451" s="57">
        <v>7</v>
      </c>
      <c r="AI451" s="55" t="s">
        <v>358</v>
      </c>
      <c r="AJ451" s="71">
        <v>0</v>
      </c>
      <c r="AK451" s="72">
        <f t="shared" si="36"/>
        <v>0</v>
      </c>
      <c r="AL451" s="72">
        <f t="shared" si="37"/>
        <v>0</v>
      </c>
      <c r="AM451">
        <v>-1</v>
      </c>
      <c r="AO451" s="102">
        <f t="shared" si="38"/>
        <v>0</v>
      </c>
      <c r="AP451" s="103">
        <f t="shared" si="39"/>
        <v>0</v>
      </c>
      <c r="AQ451" s="101">
        <f t="shared" si="40"/>
        <v>0</v>
      </c>
      <c r="AR451" s="104">
        <f t="shared" si="41"/>
        <v>0</v>
      </c>
    </row>
    <row r="452" spans="1:44" s="93" customFormat="1">
      <c r="A452" s="83" t="s">
        <v>1080</v>
      </c>
      <c r="B452" s="84" t="s">
        <v>1081</v>
      </c>
      <c r="C452" s="83" t="s">
        <v>424</v>
      </c>
      <c r="D452" s="83">
        <v>86</v>
      </c>
      <c r="E452" s="84" t="s">
        <v>613</v>
      </c>
      <c r="F452" s="84" t="s">
        <v>160</v>
      </c>
      <c r="G452" s="83" t="s">
        <v>161</v>
      </c>
      <c r="H452" s="85" t="s">
        <v>178</v>
      </c>
      <c r="I452" s="85"/>
      <c r="J452" s="86">
        <v>0</v>
      </c>
      <c r="K452" s="86">
        <v>0</v>
      </c>
      <c r="L452" s="86">
        <v>0</v>
      </c>
      <c r="M452" s="87">
        <v>0</v>
      </c>
      <c r="N452" s="86">
        <v>0</v>
      </c>
      <c r="O452" s="86">
        <v>0</v>
      </c>
      <c r="P452" s="86">
        <v>0</v>
      </c>
      <c r="Q452" s="87">
        <v>0</v>
      </c>
      <c r="R452" s="86">
        <v>46966</v>
      </c>
      <c r="S452" s="87">
        <v>46966</v>
      </c>
      <c r="T452" s="81">
        <v>0</v>
      </c>
      <c r="U452" s="81">
        <v>0</v>
      </c>
      <c r="V452" s="81">
        <v>0</v>
      </c>
      <c r="W452" s="81">
        <v>0</v>
      </c>
      <c r="X452" s="87">
        <v>46966</v>
      </c>
      <c r="Y452" s="87">
        <v>0</v>
      </c>
      <c r="Z452" s="87">
        <v>0</v>
      </c>
      <c r="AA452" s="87">
        <v>0</v>
      </c>
      <c r="AB452" s="87">
        <v>46966</v>
      </c>
      <c r="AC452" s="88" t="s">
        <v>184</v>
      </c>
      <c r="AD452" s="89">
        <v>4174</v>
      </c>
      <c r="AE452" s="90">
        <v>7</v>
      </c>
      <c r="AF452" s="90" t="s">
        <v>160</v>
      </c>
      <c r="AG452" s="91">
        <v>0</v>
      </c>
      <c r="AH452" s="90">
        <v>7</v>
      </c>
      <c r="AI452" s="90" t="s">
        <v>160</v>
      </c>
      <c r="AJ452" s="92">
        <v>0</v>
      </c>
      <c r="AK452" s="93">
        <f t="shared" si="36"/>
        <v>0</v>
      </c>
      <c r="AL452" s="93">
        <f t="shared" si="37"/>
        <v>0</v>
      </c>
      <c r="AM452" s="93">
        <v>-1</v>
      </c>
      <c r="AO452" s="102">
        <f t="shared" si="38"/>
        <v>0</v>
      </c>
      <c r="AP452" s="103">
        <f t="shared" si="39"/>
        <v>0</v>
      </c>
      <c r="AQ452" s="101">
        <f t="shared" si="40"/>
        <v>0</v>
      </c>
      <c r="AR452" s="104">
        <f t="shared" si="41"/>
        <v>0</v>
      </c>
    </row>
    <row r="453" spans="1:44">
      <c r="A453" s="50" t="s">
        <v>1166</v>
      </c>
      <c r="B453" s="51" t="s">
        <v>1167</v>
      </c>
      <c r="C453" s="50" t="s">
        <v>424</v>
      </c>
      <c r="D453" s="50">
        <v>64</v>
      </c>
      <c r="E453" s="51" t="s">
        <v>803</v>
      </c>
      <c r="F453" s="51" t="s">
        <v>378</v>
      </c>
      <c r="G453" s="50" t="s">
        <v>197</v>
      </c>
      <c r="H453" s="52" t="s">
        <v>178</v>
      </c>
      <c r="I453" s="52" t="s">
        <v>191</v>
      </c>
      <c r="J453" s="53">
        <v>118.33</v>
      </c>
      <c r="K453" s="66">
        <v>0</v>
      </c>
      <c r="L453" s="66">
        <v>87207</v>
      </c>
      <c r="M453" s="54">
        <v>87207</v>
      </c>
      <c r="N453" s="64">
        <v>625643</v>
      </c>
      <c r="O453" s="64">
        <v>124650</v>
      </c>
      <c r="P453" s="64">
        <v>81000</v>
      </c>
      <c r="Q453" s="54">
        <v>831293</v>
      </c>
      <c r="R453" s="62">
        <v>40559</v>
      </c>
      <c r="S453" s="54">
        <v>959059</v>
      </c>
      <c r="T453" s="81">
        <v>30278</v>
      </c>
      <c r="U453" s="81">
        <v>62737</v>
      </c>
      <c r="V453" s="81">
        <v>0</v>
      </c>
      <c r="W453" s="81">
        <v>0</v>
      </c>
      <c r="X453" s="54">
        <v>1052073</v>
      </c>
      <c r="Y453" s="54">
        <v>0</v>
      </c>
      <c r="Z453" s="54">
        <v>174539</v>
      </c>
      <c r="AA453" s="54">
        <v>832386</v>
      </c>
      <c r="AB453" s="54">
        <v>45148</v>
      </c>
      <c r="AC453" s="55" t="s">
        <v>184</v>
      </c>
      <c r="AD453" s="56">
        <v>4090</v>
      </c>
      <c r="AE453" s="57">
        <v>7</v>
      </c>
      <c r="AF453" s="55" t="s">
        <v>378</v>
      </c>
      <c r="AG453" s="69">
        <v>39095.56</v>
      </c>
      <c r="AH453" s="57">
        <v>7</v>
      </c>
      <c r="AI453" s="55" t="s">
        <v>378</v>
      </c>
      <c r="AJ453" s="71">
        <v>0</v>
      </c>
      <c r="AK453" s="72">
        <f t="shared" si="36"/>
        <v>-39095.56</v>
      </c>
      <c r="AL453" s="72">
        <f t="shared" si="37"/>
        <v>0</v>
      </c>
      <c r="AM453">
        <v>-1</v>
      </c>
      <c r="AO453" s="102">
        <f t="shared" si="38"/>
        <v>0</v>
      </c>
      <c r="AP453" s="103">
        <f t="shared" si="39"/>
        <v>87332</v>
      </c>
      <c r="AQ453" s="101">
        <f t="shared" si="40"/>
        <v>1093</v>
      </c>
      <c r="AR453" s="104">
        <f t="shared" si="41"/>
        <v>4589</v>
      </c>
    </row>
    <row r="454" spans="1:44">
      <c r="A454" s="50" t="s">
        <v>1224</v>
      </c>
      <c r="B454" s="51" t="s">
        <v>1225</v>
      </c>
      <c r="C454" s="50" t="s">
        <v>424</v>
      </c>
      <c r="D454" s="50">
        <v>27</v>
      </c>
      <c r="E454" s="51" t="s">
        <v>1227</v>
      </c>
      <c r="F454" s="51" t="s">
        <v>262</v>
      </c>
      <c r="G454" s="50" t="s">
        <v>263</v>
      </c>
      <c r="H454" s="52" t="s">
        <v>178</v>
      </c>
      <c r="I454" s="52" t="s">
        <v>192</v>
      </c>
      <c r="J454" s="53">
        <v>269.58999999999997</v>
      </c>
      <c r="K454" s="66">
        <v>0</v>
      </c>
      <c r="L454" s="66">
        <v>54704</v>
      </c>
      <c r="M454" s="54">
        <v>54704</v>
      </c>
      <c r="N454" s="64">
        <v>2004430</v>
      </c>
      <c r="O454" s="64">
        <v>40564</v>
      </c>
      <c r="P454" s="64">
        <v>243000</v>
      </c>
      <c r="Q454" s="54">
        <v>2287994</v>
      </c>
      <c r="R454" s="62">
        <v>221854</v>
      </c>
      <c r="S454" s="54">
        <v>2564552</v>
      </c>
      <c r="T454" s="81">
        <v>154140</v>
      </c>
      <c r="U454" s="81">
        <v>0</v>
      </c>
      <c r="V454" s="81">
        <v>0</v>
      </c>
      <c r="W454" s="81">
        <v>0</v>
      </c>
      <c r="X454" s="54">
        <v>2718694</v>
      </c>
      <c r="Y454" s="54">
        <v>0</v>
      </c>
      <c r="Z454" s="54">
        <v>54704</v>
      </c>
      <c r="AA454" s="54">
        <v>2293750</v>
      </c>
      <c r="AB454" s="54">
        <v>370240</v>
      </c>
      <c r="AC454" s="55" t="s">
        <v>184</v>
      </c>
      <c r="AD454" s="56">
        <v>4126</v>
      </c>
      <c r="AE454" s="57">
        <v>7</v>
      </c>
      <c r="AF454" s="55" t="s">
        <v>262</v>
      </c>
      <c r="AG454" s="69">
        <v>0</v>
      </c>
      <c r="AH454" s="57">
        <v>7</v>
      </c>
      <c r="AI454" s="55" t="s">
        <v>262</v>
      </c>
      <c r="AJ454" s="71">
        <v>0</v>
      </c>
      <c r="AK454" s="72">
        <f t="shared" si="36"/>
        <v>0</v>
      </c>
      <c r="AL454" s="72">
        <f t="shared" si="37"/>
        <v>0</v>
      </c>
      <c r="AM454">
        <v>-1</v>
      </c>
      <c r="AO454" s="102">
        <f t="shared" si="38"/>
        <v>0</v>
      </c>
      <c r="AP454" s="103">
        <f t="shared" si="39"/>
        <v>0</v>
      </c>
      <c r="AQ454" s="101">
        <f t="shared" si="40"/>
        <v>5756</v>
      </c>
      <c r="AR454" s="104">
        <f t="shared" si="41"/>
        <v>148386</v>
      </c>
    </row>
    <row r="455" spans="1:44">
      <c r="A455" s="50" t="s">
        <v>1224</v>
      </c>
      <c r="B455" s="51" t="s">
        <v>1225</v>
      </c>
      <c r="C455" s="50" t="s">
        <v>424</v>
      </c>
      <c r="D455" s="50">
        <v>62</v>
      </c>
      <c r="E455" s="51" t="s">
        <v>785</v>
      </c>
      <c r="F455" s="51" t="s">
        <v>122</v>
      </c>
      <c r="G455" s="50" t="s">
        <v>123</v>
      </c>
      <c r="H455" s="52" t="s">
        <v>178</v>
      </c>
      <c r="I455" s="52" t="s">
        <v>191</v>
      </c>
      <c r="J455" s="53">
        <v>31.73</v>
      </c>
      <c r="K455" s="66">
        <v>0</v>
      </c>
      <c r="L455" s="66">
        <v>1886</v>
      </c>
      <c r="M455" s="54">
        <v>1886</v>
      </c>
      <c r="N455" s="64">
        <v>272377</v>
      </c>
      <c r="O455" s="64">
        <v>58224</v>
      </c>
      <c r="P455" s="64">
        <v>90183</v>
      </c>
      <c r="Q455" s="54">
        <v>420784</v>
      </c>
      <c r="R455" s="62">
        <v>122561</v>
      </c>
      <c r="S455" s="54">
        <v>545231</v>
      </c>
      <c r="T455" s="81">
        <v>5099</v>
      </c>
      <c r="U455" s="81">
        <v>0</v>
      </c>
      <c r="V455" s="81">
        <v>0</v>
      </c>
      <c r="W455" s="81">
        <v>0</v>
      </c>
      <c r="X455" s="54">
        <v>550329</v>
      </c>
      <c r="Y455" s="54">
        <v>0</v>
      </c>
      <c r="Z455" s="54">
        <v>2350</v>
      </c>
      <c r="AA455" s="54">
        <v>421140</v>
      </c>
      <c r="AB455" s="54">
        <v>126839</v>
      </c>
      <c r="AC455" s="55" t="s">
        <v>184</v>
      </c>
      <c r="AD455" s="56">
        <v>4154</v>
      </c>
      <c r="AE455" s="57">
        <v>7</v>
      </c>
      <c r="AF455" s="55" t="s">
        <v>122</v>
      </c>
      <c r="AG455" s="69">
        <v>0</v>
      </c>
      <c r="AH455" s="57">
        <v>7</v>
      </c>
      <c r="AI455" s="55" t="s">
        <v>122</v>
      </c>
      <c r="AJ455" s="71">
        <v>0</v>
      </c>
      <c r="AK455" s="72">
        <f t="shared" ref="AK455:AK493" si="42">AG455*AM455</f>
        <v>0</v>
      </c>
      <c r="AL455" s="72">
        <f t="shared" ref="AL455:AL493" si="43">AJ455*AM455</f>
        <v>0</v>
      </c>
      <c r="AM455">
        <v>-1</v>
      </c>
      <c r="AO455" s="102">
        <f t="shared" ref="AO455:AO493" si="44">Y455-K455</f>
        <v>0</v>
      </c>
      <c r="AP455" s="103">
        <f t="shared" ref="AP455:AP493" si="45">Z455-L455</f>
        <v>464</v>
      </c>
      <c r="AQ455" s="101">
        <f t="shared" ref="AQ455:AQ493" si="46">AA455-Q455</f>
        <v>356</v>
      </c>
      <c r="AR455" s="104">
        <f t="shared" ref="AR455:AR493" si="47">AB455-R455</f>
        <v>4278</v>
      </c>
    </row>
    <row r="456" spans="1:44">
      <c r="A456" s="50" t="s">
        <v>1224</v>
      </c>
      <c r="B456" s="51" t="s">
        <v>1225</v>
      </c>
      <c r="C456" s="50" t="s">
        <v>424</v>
      </c>
      <c r="D456" s="50">
        <v>19</v>
      </c>
      <c r="E456" s="51" t="s">
        <v>1233</v>
      </c>
      <c r="F456" s="51" t="s">
        <v>364</v>
      </c>
      <c r="G456" s="50" t="s">
        <v>365</v>
      </c>
      <c r="H456" s="52" t="s">
        <v>178</v>
      </c>
      <c r="I456" s="52" t="s">
        <v>191</v>
      </c>
      <c r="J456" s="53">
        <v>76.27</v>
      </c>
      <c r="K456" s="66">
        <v>0</v>
      </c>
      <c r="L456" s="66">
        <v>5446</v>
      </c>
      <c r="M456" s="54">
        <v>5446</v>
      </c>
      <c r="N456" s="64">
        <v>447682</v>
      </c>
      <c r="O456" s="64">
        <v>48428</v>
      </c>
      <c r="P456" s="64">
        <v>81000</v>
      </c>
      <c r="Q456" s="54">
        <v>577110</v>
      </c>
      <c r="R456" s="62">
        <v>31644</v>
      </c>
      <c r="S456" s="54">
        <v>614200</v>
      </c>
      <c r="T456" s="81">
        <v>27423</v>
      </c>
      <c r="U456" s="81">
        <v>16964</v>
      </c>
      <c r="V456" s="81">
        <v>0</v>
      </c>
      <c r="W456" s="81">
        <v>0</v>
      </c>
      <c r="X456" s="54">
        <v>658587</v>
      </c>
      <c r="Y456" s="54">
        <v>0</v>
      </c>
      <c r="Z456" s="54">
        <v>37654</v>
      </c>
      <c r="AA456" s="54">
        <v>578971</v>
      </c>
      <c r="AB456" s="54">
        <v>41962</v>
      </c>
      <c r="AC456" s="55" t="s">
        <v>184</v>
      </c>
      <c r="AD456" s="56">
        <v>4083</v>
      </c>
      <c r="AE456" s="57">
        <v>7</v>
      </c>
      <c r="AF456" s="55" t="s">
        <v>364</v>
      </c>
      <c r="AG456" s="69">
        <v>9335.52</v>
      </c>
      <c r="AH456" s="57">
        <v>7</v>
      </c>
      <c r="AI456" s="55" t="s">
        <v>364</v>
      </c>
      <c r="AJ456" s="71">
        <v>0</v>
      </c>
      <c r="AK456" s="72">
        <f t="shared" si="42"/>
        <v>-9335.52</v>
      </c>
      <c r="AL456" s="72">
        <f t="shared" si="43"/>
        <v>0</v>
      </c>
      <c r="AM456">
        <v>-1</v>
      </c>
      <c r="AO456" s="102">
        <f t="shared" si="44"/>
        <v>0</v>
      </c>
      <c r="AP456" s="103">
        <f t="shared" si="45"/>
        <v>32208</v>
      </c>
      <c r="AQ456" s="101">
        <f t="shared" si="46"/>
        <v>1861</v>
      </c>
      <c r="AR456" s="104">
        <f t="shared" si="47"/>
        <v>10318</v>
      </c>
    </row>
    <row r="457" spans="1:44">
      <c r="A457" s="50" t="s">
        <v>1080</v>
      </c>
      <c r="B457" s="51" t="s">
        <v>1081</v>
      </c>
      <c r="C457" s="50" t="s">
        <v>424</v>
      </c>
      <c r="D457" s="50">
        <v>73</v>
      </c>
      <c r="E457" s="51" t="s">
        <v>690</v>
      </c>
      <c r="F457" s="51" t="s">
        <v>248</v>
      </c>
      <c r="G457" s="50" t="s">
        <v>249</v>
      </c>
      <c r="H457" s="52" t="s">
        <v>178</v>
      </c>
      <c r="I457" s="52" t="s">
        <v>191</v>
      </c>
      <c r="J457" s="53">
        <v>48.69</v>
      </c>
      <c r="K457" s="66">
        <v>0</v>
      </c>
      <c r="L457" s="66">
        <v>11621</v>
      </c>
      <c r="M457" s="54">
        <v>11621</v>
      </c>
      <c r="N457" s="64">
        <v>401322</v>
      </c>
      <c r="O457" s="64">
        <v>56617</v>
      </c>
      <c r="P457" s="64">
        <v>78447</v>
      </c>
      <c r="Q457" s="54">
        <v>536386</v>
      </c>
      <c r="R457" s="62">
        <v>164175</v>
      </c>
      <c r="S457" s="54">
        <v>712182</v>
      </c>
      <c r="T457" s="81">
        <v>0</v>
      </c>
      <c r="U457" s="81">
        <v>0</v>
      </c>
      <c r="V457" s="81">
        <v>0</v>
      </c>
      <c r="W457" s="81">
        <v>0</v>
      </c>
      <c r="X457" s="54">
        <v>712182</v>
      </c>
      <c r="Y457" s="54">
        <v>0</v>
      </c>
      <c r="Z457" s="54">
        <v>11621</v>
      </c>
      <c r="AA457" s="54">
        <v>536386</v>
      </c>
      <c r="AB457" s="54">
        <v>164175</v>
      </c>
      <c r="AC457" s="55" t="s">
        <v>184</v>
      </c>
      <c r="AD457" s="56">
        <v>4119</v>
      </c>
      <c r="AE457" s="57">
        <v>7</v>
      </c>
      <c r="AF457" s="55" t="s">
        <v>248</v>
      </c>
      <c r="AG457" s="69">
        <v>0</v>
      </c>
      <c r="AH457" s="57">
        <v>7</v>
      </c>
      <c r="AI457" s="55" t="s">
        <v>248</v>
      </c>
      <c r="AJ457" s="71">
        <v>0</v>
      </c>
      <c r="AK457" s="72">
        <f t="shared" si="42"/>
        <v>0</v>
      </c>
      <c r="AL457" s="72">
        <f t="shared" si="43"/>
        <v>0</v>
      </c>
      <c r="AM457">
        <v>-1</v>
      </c>
      <c r="AO457" s="102">
        <f t="shared" si="44"/>
        <v>0</v>
      </c>
      <c r="AP457" s="103">
        <f t="shared" si="45"/>
        <v>0</v>
      </c>
      <c r="AQ457" s="101">
        <f t="shared" si="46"/>
        <v>0</v>
      </c>
      <c r="AR457" s="104">
        <f t="shared" si="47"/>
        <v>0</v>
      </c>
    </row>
    <row r="458" spans="1:44">
      <c r="A458" s="50" t="s">
        <v>1224</v>
      </c>
      <c r="B458" s="51" t="s">
        <v>1225</v>
      </c>
      <c r="C458" s="50" t="s">
        <v>424</v>
      </c>
      <c r="D458" s="50">
        <v>27</v>
      </c>
      <c r="E458" s="51" t="s">
        <v>1227</v>
      </c>
      <c r="F458" s="51" t="s">
        <v>336</v>
      </c>
      <c r="G458" s="50" t="s">
        <v>337</v>
      </c>
      <c r="H458" s="52" t="s">
        <v>178</v>
      </c>
      <c r="I458" s="52" t="s">
        <v>191</v>
      </c>
      <c r="J458" s="53">
        <v>98.1</v>
      </c>
      <c r="K458" s="66">
        <v>0</v>
      </c>
      <c r="L458" s="66">
        <v>7689</v>
      </c>
      <c r="M458" s="54">
        <v>7689</v>
      </c>
      <c r="N458" s="64">
        <v>809183</v>
      </c>
      <c r="O458" s="64">
        <v>140315</v>
      </c>
      <c r="P458" s="64">
        <v>170185</v>
      </c>
      <c r="Q458" s="54">
        <v>1119683</v>
      </c>
      <c r="R458" s="62">
        <v>84752</v>
      </c>
      <c r="S458" s="54">
        <v>1212124</v>
      </c>
      <c r="T458" s="81">
        <v>3004</v>
      </c>
      <c r="U458" s="81">
        <v>0</v>
      </c>
      <c r="V458" s="81">
        <v>0</v>
      </c>
      <c r="W458" s="81">
        <v>0</v>
      </c>
      <c r="X458" s="54">
        <v>1215127</v>
      </c>
      <c r="Y458" s="54">
        <v>0</v>
      </c>
      <c r="Z458" s="54">
        <v>8828</v>
      </c>
      <c r="AA458" s="54">
        <v>1119794</v>
      </c>
      <c r="AB458" s="54">
        <v>86505</v>
      </c>
      <c r="AC458" s="55" t="s">
        <v>184</v>
      </c>
      <c r="AD458" s="56">
        <v>4066</v>
      </c>
      <c r="AE458" s="57">
        <v>7</v>
      </c>
      <c r="AF458" s="55" t="s">
        <v>336</v>
      </c>
      <c r="AG458" s="69">
        <v>0</v>
      </c>
      <c r="AH458" s="57">
        <v>7</v>
      </c>
      <c r="AI458" s="55" t="s">
        <v>336</v>
      </c>
      <c r="AJ458" s="71">
        <v>0</v>
      </c>
      <c r="AK458" s="72">
        <f t="shared" si="42"/>
        <v>0</v>
      </c>
      <c r="AL458" s="72">
        <f t="shared" si="43"/>
        <v>0</v>
      </c>
      <c r="AM458">
        <v>-1</v>
      </c>
      <c r="AO458" s="102">
        <f t="shared" si="44"/>
        <v>0</v>
      </c>
      <c r="AP458" s="103">
        <f t="shared" si="45"/>
        <v>1139</v>
      </c>
      <c r="AQ458" s="101">
        <f t="shared" si="46"/>
        <v>111</v>
      </c>
      <c r="AR458" s="104">
        <f t="shared" si="47"/>
        <v>1753</v>
      </c>
    </row>
    <row r="459" spans="1:44">
      <c r="A459" s="50" t="s">
        <v>1092</v>
      </c>
      <c r="B459" s="51" t="s">
        <v>1093</v>
      </c>
      <c r="C459" s="50" t="s">
        <v>424</v>
      </c>
      <c r="D459" s="50">
        <v>72</v>
      </c>
      <c r="E459" s="51" t="s">
        <v>521</v>
      </c>
      <c r="F459" s="51" t="s">
        <v>334</v>
      </c>
      <c r="G459" s="50" t="s">
        <v>335</v>
      </c>
      <c r="H459" s="52" t="s">
        <v>178</v>
      </c>
      <c r="I459" s="52" t="s">
        <v>191</v>
      </c>
      <c r="J459" s="53">
        <v>76.62</v>
      </c>
      <c r="K459" s="66">
        <v>0</v>
      </c>
      <c r="L459" s="66">
        <v>4945</v>
      </c>
      <c r="M459" s="54">
        <v>4945</v>
      </c>
      <c r="N459" s="64">
        <v>564243</v>
      </c>
      <c r="O459" s="64">
        <v>130320</v>
      </c>
      <c r="P459" s="64">
        <v>116144</v>
      </c>
      <c r="Q459" s="54">
        <v>810707</v>
      </c>
      <c r="R459" s="62">
        <v>46912</v>
      </c>
      <c r="S459" s="54">
        <v>862564</v>
      </c>
      <c r="T459" s="81">
        <v>27326</v>
      </c>
      <c r="U459" s="81">
        <v>0</v>
      </c>
      <c r="V459" s="81">
        <v>0</v>
      </c>
      <c r="W459" s="81">
        <v>0</v>
      </c>
      <c r="X459" s="54">
        <v>889889</v>
      </c>
      <c r="Y459" s="54">
        <v>0</v>
      </c>
      <c r="Z459" s="54">
        <v>8929</v>
      </c>
      <c r="AA459" s="54">
        <v>812166</v>
      </c>
      <c r="AB459" s="54">
        <v>68794</v>
      </c>
      <c r="AC459" s="55" t="s">
        <v>184</v>
      </c>
      <c r="AD459" s="56">
        <v>4064</v>
      </c>
      <c r="AE459" s="57">
        <v>7</v>
      </c>
      <c r="AF459" s="55" t="s">
        <v>334</v>
      </c>
      <c r="AG459" s="69">
        <v>0</v>
      </c>
      <c r="AH459" s="57">
        <v>7</v>
      </c>
      <c r="AI459" s="55" t="s">
        <v>334</v>
      </c>
      <c r="AJ459" s="71">
        <v>0</v>
      </c>
      <c r="AK459" s="72">
        <f t="shared" si="42"/>
        <v>0</v>
      </c>
      <c r="AL459" s="72">
        <f t="shared" si="43"/>
        <v>0</v>
      </c>
      <c r="AM459">
        <v>-1</v>
      </c>
      <c r="AO459" s="102">
        <f t="shared" si="44"/>
        <v>0</v>
      </c>
      <c r="AP459" s="103">
        <f t="shared" si="45"/>
        <v>3984</v>
      </c>
      <c r="AQ459" s="101">
        <f t="shared" si="46"/>
        <v>1459</v>
      </c>
      <c r="AR459" s="104">
        <f t="shared" si="47"/>
        <v>21882</v>
      </c>
    </row>
    <row r="460" spans="1:44">
      <c r="A460" s="50" t="s">
        <v>1218</v>
      </c>
      <c r="B460" s="51" t="s">
        <v>1219</v>
      </c>
      <c r="C460" s="50" t="s">
        <v>424</v>
      </c>
      <c r="D460" s="50">
        <v>16</v>
      </c>
      <c r="E460" s="51" t="s">
        <v>1163</v>
      </c>
      <c r="F460" s="51" t="s">
        <v>324</v>
      </c>
      <c r="G460" s="50" t="s">
        <v>325</v>
      </c>
      <c r="H460" s="52" t="s">
        <v>178</v>
      </c>
      <c r="I460" s="52" t="s">
        <v>191</v>
      </c>
      <c r="J460" s="53">
        <v>110.37</v>
      </c>
      <c r="K460" s="66">
        <v>0</v>
      </c>
      <c r="L460" s="66">
        <v>64981</v>
      </c>
      <c r="M460" s="54">
        <v>64981</v>
      </c>
      <c r="N460" s="64">
        <v>931263</v>
      </c>
      <c r="O460" s="64">
        <v>159446</v>
      </c>
      <c r="P460" s="64">
        <v>180076</v>
      </c>
      <c r="Q460" s="54">
        <v>1270785</v>
      </c>
      <c r="R460" s="62">
        <v>64127</v>
      </c>
      <c r="S460" s="54">
        <v>1399893</v>
      </c>
      <c r="T460" s="81">
        <v>17221</v>
      </c>
      <c r="U460" s="81">
        <v>0</v>
      </c>
      <c r="V460" s="81">
        <v>0</v>
      </c>
      <c r="W460" s="81">
        <v>0</v>
      </c>
      <c r="X460" s="54">
        <v>1417114</v>
      </c>
      <c r="Y460" s="54">
        <v>0</v>
      </c>
      <c r="Z460" s="54">
        <v>70709</v>
      </c>
      <c r="AA460" s="54">
        <v>1271791</v>
      </c>
      <c r="AB460" s="54">
        <v>74614</v>
      </c>
      <c r="AC460" s="55" t="s">
        <v>184</v>
      </c>
      <c r="AD460" s="56">
        <v>4056</v>
      </c>
      <c r="AE460" s="57">
        <v>7</v>
      </c>
      <c r="AF460" s="55" t="s">
        <v>324</v>
      </c>
      <c r="AG460" s="69">
        <v>0</v>
      </c>
      <c r="AH460" s="57">
        <v>7</v>
      </c>
      <c r="AI460" s="55" t="s">
        <v>324</v>
      </c>
      <c r="AJ460" s="71">
        <v>0</v>
      </c>
      <c r="AK460" s="72">
        <f t="shared" si="42"/>
        <v>0</v>
      </c>
      <c r="AL460" s="72">
        <f t="shared" si="43"/>
        <v>0</v>
      </c>
      <c r="AM460">
        <v>-1</v>
      </c>
      <c r="AO460" s="102">
        <f t="shared" si="44"/>
        <v>0</v>
      </c>
      <c r="AP460" s="103">
        <f t="shared" si="45"/>
        <v>5728</v>
      </c>
      <c r="AQ460" s="101">
        <f t="shared" si="46"/>
        <v>1006</v>
      </c>
      <c r="AR460" s="104">
        <f t="shared" si="47"/>
        <v>10487</v>
      </c>
    </row>
    <row r="461" spans="1:44">
      <c r="A461" s="50" t="s">
        <v>1218</v>
      </c>
      <c r="B461" s="51" t="s">
        <v>1219</v>
      </c>
      <c r="C461" s="50" t="s">
        <v>424</v>
      </c>
      <c r="D461" s="50">
        <v>31</v>
      </c>
      <c r="E461" s="51" t="s">
        <v>934</v>
      </c>
      <c r="F461" s="51" t="s">
        <v>372</v>
      </c>
      <c r="G461" s="50" t="s">
        <v>373</v>
      </c>
      <c r="H461" s="52" t="s">
        <v>178</v>
      </c>
      <c r="I461" s="52" t="s">
        <v>191</v>
      </c>
      <c r="J461" s="53">
        <v>81.53</v>
      </c>
      <c r="K461" s="66">
        <v>0</v>
      </c>
      <c r="L461" s="66">
        <v>71476</v>
      </c>
      <c r="M461" s="54">
        <v>71476</v>
      </c>
      <c r="N461" s="64">
        <v>600593</v>
      </c>
      <c r="O461" s="64">
        <v>69909</v>
      </c>
      <c r="P461" s="64">
        <v>129044</v>
      </c>
      <c r="Q461" s="54">
        <v>799546</v>
      </c>
      <c r="R461" s="62">
        <v>24136</v>
      </c>
      <c r="S461" s="54">
        <v>895158</v>
      </c>
      <c r="T461" s="81">
        <v>17522</v>
      </c>
      <c r="U461" s="81">
        <v>0</v>
      </c>
      <c r="V461" s="81">
        <v>0</v>
      </c>
      <c r="W461" s="81">
        <v>0</v>
      </c>
      <c r="X461" s="54">
        <v>912680</v>
      </c>
      <c r="Y461" s="54">
        <v>0</v>
      </c>
      <c r="Z461" s="54">
        <v>80689</v>
      </c>
      <c r="AA461" s="54">
        <v>800194</v>
      </c>
      <c r="AB461" s="54">
        <v>31797</v>
      </c>
      <c r="AC461" s="55" t="s">
        <v>184</v>
      </c>
      <c r="AD461" s="56">
        <v>4087</v>
      </c>
      <c r="AE461" s="57">
        <v>7</v>
      </c>
      <c r="AF461" s="55" t="s">
        <v>372</v>
      </c>
      <c r="AG461" s="69">
        <v>0</v>
      </c>
      <c r="AH461" s="57">
        <v>7</v>
      </c>
      <c r="AI461" s="55" t="s">
        <v>372</v>
      </c>
      <c r="AJ461" s="71">
        <v>0</v>
      </c>
      <c r="AK461" s="72">
        <f t="shared" si="42"/>
        <v>0</v>
      </c>
      <c r="AL461" s="72">
        <f t="shared" si="43"/>
        <v>0</v>
      </c>
      <c r="AM461">
        <v>-1</v>
      </c>
      <c r="AO461" s="102">
        <f t="shared" si="44"/>
        <v>0</v>
      </c>
      <c r="AP461" s="103">
        <f t="shared" si="45"/>
        <v>9213</v>
      </c>
      <c r="AQ461" s="101">
        <f t="shared" si="46"/>
        <v>648</v>
      </c>
      <c r="AR461" s="104">
        <f t="shared" si="47"/>
        <v>7661</v>
      </c>
    </row>
    <row r="462" spans="1:44">
      <c r="A462" s="50" t="s">
        <v>1224</v>
      </c>
      <c r="B462" s="51" t="s">
        <v>1225</v>
      </c>
      <c r="C462" s="50" t="s">
        <v>424</v>
      </c>
      <c r="D462" s="50">
        <v>27</v>
      </c>
      <c r="E462" s="51" t="s">
        <v>1227</v>
      </c>
      <c r="F462" s="51" t="s">
        <v>328</v>
      </c>
      <c r="G462" s="50" t="s">
        <v>329</v>
      </c>
      <c r="H462" s="52" t="s">
        <v>178</v>
      </c>
      <c r="I462" s="52" t="s">
        <v>191</v>
      </c>
      <c r="J462" s="53">
        <v>159.06</v>
      </c>
      <c r="K462" s="66">
        <v>0</v>
      </c>
      <c r="L462" s="66">
        <v>22303</v>
      </c>
      <c r="M462" s="54">
        <v>22303</v>
      </c>
      <c r="N462" s="64">
        <v>1014015</v>
      </c>
      <c r="O462" s="64">
        <v>142786</v>
      </c>
      <c r="P462" s="64">
        <v>160956</v>
      </c>
      <c r="Q462" s="54">
        <v>1317757</v>
      </c>
      <c r="R462" s="62">
        <v>98354</v>
      </c>
      <c r="S462" s="54">
        <v>1438414</v>
      </c>
      <c r="T462" s="81">
        <v>90292</v>
      </c>
      <c r="U462" s="81">
        <v>0</v>
      </c>
      <c r="V462" s="81">
        <v>0</v>
      </c>
      <c r="W462" s="81">
        <v>0</v>
      </c>
      <c r="X462" s="54">
        <v>1528706</v>
      </c>
      <c r="Y462" s="54">
        <v>0</v>
      </c>
      <c r="Z462" s="54">
        <v>52787</v>
      </c>
      <c r="AA462" s="54">
        <v>1326525</v>
      </c>
      <c r="AB462" s="54">
        <v>149394</v>
      </c>
      <c r="AC462" s="55" t="s">
        <v>184</v>
      </c>
      <c r="AD462" s="56">
        <v>4058</v>
      </c>
      <c r="AE462" s="57">
        <v>7</v>
      </c>
      <c r="AF462" s="55" t="s">
        <v>328</v>
      </c>
      <c r="AG462" s="69">
        <v>0</v>
      </c>
      <c r="AH462" s="57">
        <v>7</v>
      </c>
      <c r="AI462" s="55" t="s">
        <v>328</v>
      </c>
      <c r="AJ462" s="71">
        <v>0</v>
      </c>
      <c r="AK462" s="72">
        <f t="shared" si="42"/>
        <v>0</v>
      </c>
      <c r="AL462" s="72">
        <f t="shared" si="43"/>
        <v>0</v>
      </c>
      <c r="AM462">
        <v>-1</v>
      </c>
      <c r="AO462" s="102">
        <f t="shared" si="44"/>
        <v>0</v>
      </c>
      <c r="AP462" s="103">
        <f t="shared" si="45"/>
        <v>30484</v>
      </c>
      <c r="AQ462" s="101">
        <f t="shared" si="46"/>
        <v>8768</v>
      </c>
      <c r="AR462" s="104">
        <f t="shared" si="47"/>
        <v>51040</v>
      </c>
    </row>
    <row r="463" spans="1:44">
      <c r="A463" s="50" t="s">
        <v>1224</v>
      </c>
      <c r="B463" s="51" t="s">
        <v>1225</v>
      </c>
      <c r="C463" s="50" t="s">
        <v>424</v>
      </c>
      <c r="D463" s="50">
        <v>2</v>
      </c>
      <c r="E463" s="51" t="s">
        <v>1236</v>
      </c>
      <c r="F463" s="51" t="s">
        <v>130</v>
      </c>
      <c r="G463" s="50" t="s">
        <v>131</v>
      </c>
      <c r="H463" s="52" t="s">
        <v>178</v>
      </c>
      <c r="I463" s="52" t="s">
        <v>191</v>
      </c>
      <c r="J463" s="53">
        <v>240.76</v>
      </c>
      <c r="K463" s="66">
        <v>0</v>
      </c>
      <c r="L463" s="66">
        <v>45580</v>
      </c>
      <c r="M463" s="54">
        <v>45580</v>
      </c>
      <c r="N463" s="64">
        <v>1257858</v>
      </c>
      <c r="O463" s="64">
        <v>168020</v>
      </c>
      <c r="P463" s="64">
        <v>328810</v>
      </c>
      <c r="Q463" s="54">
        <v>1754688</v>
      </c>
      <c r="R463" s="62">
        <v>236872</v>
      </c>
      <c r="S463" s="54">
        <v>2037140</v>
      </c>
      <c r="T463" s="81">
        <v>52552</v>
      </c>
      <c r="U463" s="81">
        <v>43153</v>
      </c>
      <c r="V463" s="81">
        <v>0</v>
      </c>
      <c r="W463" s="81">
        <v>0</v>
      </c>
      <c r="X463" s="54">
        <v>2132844</v>
      </c>
      <c r="Y463" s="54">
        <v>0</v>
      </c>
      <c r="Z463" s="54">
        <v>125242</v>
      </c>
      <c r="AA463" s="54">
        <v>1757393</v>
      </c>
      <c r="AB463" s="54">
        <v>250209</v>
      </c>
      <c r="AC463" s="55" t="s">
        <v>184</v>
      </c>
      <c r="AD463" s="56">
        <v>4159</v>
      </c>
      <c r="AE463" s="57">
        <v>7</v>
      </c>
      <c r="AF463" s="55" t="s">
        <v>130</v>
      </c>
      <c r="AG463" s="69">
        <v>0</v>
      </c>
      <c r="AH463" s="57">
        <v>7</v>
      </c>
      <c r="AI463" s="55" t="s">
        <v>130</v>
      </c>
      <c r="AJ463" s="71">
        <v>0</v>
      </c>
      <c r="AK463" s="72">
        <f t="shared" si="42"/>
        <v>0</v>
      </c>
      <c r="AL463" s="72">
        <f t="shared" si="43"/>
        <v>0</v>
      </c>
      <c r="AM463">
        <v>-1</v>
      </c>
      <c r="AO463" s="102">
        <f t="shared" si="44"/>
        <v>0</v>
      </c>
      <c r="AP463" s="103">
        <f t="shared" si="45"/>
        <v>79662</v>
      </c>
      <c r="AQ463" s="101">
        <f t="shared" si="46"/>
        <v>2705</v>
      </c>
      <c r="AR463" s="104">
        <f t="shared" si="47"/>
        <v>13337</v>
      </c>
    </row>
    <row r="464" spans="1:44">
      <c r="A464" s="50" t="s">
        <v>1224</v>
      </c>
      <c r="B464" s="51" t="s">
        <v>1225</v>
      </c>
      <c r="C464" s="50" t="s">
        <v>424</v>
      </c>
      <c r="D464" s="50">
        <v>27</v>
      </c>
      <c r="E464" s="51" t="s">
        <v>1227</v>
      </c>
      <c r="F464" s="51" t="s">
        <v>435</v>
      </c>
      <c r="G464" s="50" t="s">
        <v>436</v>
      </c>
      <c r="H464" s="52" t="s">
        <v>178</v>
      </c>
      <c r="I464" s="52" t="s">
        <v>190</v>
      </c>
      <c r="J464" s="53">
        <v>90.84</v>
      </c>
      <c r="K464" s="66">
        <v>0</v>
      </c>
      <c r="L464" s="66">
        <v>34237</v>
      </c>
      <c r="M464" s="54">
        <v>34237</v>
      </c>
      <c r="N464" s="64">
        <v>722838</v>
      </c>
      <c r="O464" s="64">
        <v>198838</v>
      </c>
      <c r="P464" s="64">
        <v>131067</v>
      </c>
      <c r="Q464" s="54">
        <v>1052743</v>
      </c>
      <c r="R464" s="62">
        <v>273956</v>
      </c>
      <c r="S464" s="54">
        <v>1360936</v>
      </c>
      <c r="T464" s="81">
        <v>13591</v>
      </c>
      <c r="U464" s="81">
        <v>0</v>
      </c>
      <c r="V464" s="81">
        <v>0</v>
      </c>
      <c r="W464" s="81">
        <v>0</v>
      </c>
      <c r="X464" s="54">
        <v>1374527</v>
      </c>
      <c r="Y464" s="54">
        <v>0</v>
      </c>
      <c r="Z464" s="54">
        <v>34723</v>
      </c>
      <c r="AA464" s="54">
        <v>1053335</v>
      </c>
      <c r="AB464" s="54">
        <v>286469</v>
      </c>
      <c r="AC464" s="55" t="s">
        <v>184</v>
      </c>
      <c r="AD464" s="56">
        <v>4006</v>
      </c>
      <c r="AE464" s="57">
        <v>7</v>
      </c>
      <c r="AF464" s="55" t="s">
        <v>435</v>
      </c>
      <c r="AG464" s="69">
        <v>0</v>
      </c>
      <c r="AH464" s="57">
        <v>7</v>
      </c>
      <c r="AI464" s="55" t="s">
        <v>435</v>
      </c>
      <c r="AJ464" s="71">
        <v>0</v>
      </c>
      <c r="AK464" s="72">
        <f t="shared" si="42"/>
        <v>0</v>
      </c>
      <c r="AL464" s="72">
        <f t="shared" si="43"/>
        <v>0</v>
      </c>
      <c r="AM464">
        <v>-1</v>
      </c>
      <c r="AO464" s="102">
        <f t="shared" si="44"/>
        <v>0</v>
      </c>
      <c r="AP464" s="103">
        <f t="shared" si="45"/>
        <v>486</v>
      </c>
      <c r="AQ464" s="101">
        <f t="shared" si="46"/>
        <v>592</v>
      </c>
      <c r="AR464" s="104">
        <f t="shared" si="47"/>
        <v>12513</v>
      </c>
    </row>
    <row r="465" spans="1:44">
      <c r="A465" s="50" t="s">
        <v>1092</v>
      </c>
      <c r="B465" s="51" t="s">
        <v>1093</v>
      </c>
      <c r="C465" s="50" t="s">
        <v>424</v>
      </c>
      <c r="D465" s="50">
        <v>40</v>
      </c>
      <c r="E465" s="51" t="s">
        <v>984</v>
      </c>
      <c r="F465" s="51" t="s">
        <v>230</v>
      </c>
      <c r="G465" s="50" t="s">
        <v>231</v>
      </c>
      <c r="H465" s="52" t="s">
        <v>178</v>
      </c>
      <c r="I465" s="52" t="s">
        <v>190</v>
      </c>
      <c r="J465" s="53">
        <v>186.56</v>
      </c>
      <c r="K465" s="66">
        <v>0</v>
      </c>
      <c r="L465" s="66">
        <v>423550</v>
      </c>
      <c r="M465" s="54">
        <v>423550</v>
      </c>
      <c r="N465" s="64">
        <v>1309739</v>
      </c>
      <c r="O465" s="64">
        <v>183736</v>
      </c>
      <c r="P465" s="64">
        <v>237246</v>
      </c>
      <c r="Q465" s="54">
        <v>1730721</v>
      </c>
      <c r="R465" s="62">
        <v>85961</v>
      </c>
      <c r="S465" s="54">
        <v>2240232</v>
      </c>
      <c r="T465" s="81">
        <v>0</v>
      </c>
      <c r="U465" s="81">
        <v>0</v>
      </c>
      <c r="V465" s="81">
        <v>0</v>
      </c>
      <c r="W465" s="81">
        <v>0</v>
      </c>
      <c r="X465" s="54">
        <v>2240232</v>
      </c>
      <c r="Y465" s="54">
        <v>0</v>
      </c>
      <c r="Z465" s="54">
        <v>423550</v>
      </c>
      <c r="AA465" s="54">
        <v>1730721</v>
      </c>
      <c r="AB465" s="54">
        <v>85961</v>
      </c>
      <c r="AC465" s="55" t="s">
        <v>184</v>
      </c>
      <c r="AD465" s="56">
        <v>4109</v>
      </c>
      <c r="AE465" s="57">
        <v>7</v>
      </c>
      <c r="AF465" s="55" t="s">
        <v>230</v>
      </c>
      <c r="AG465" s="69">
        <v>0</v>
      </c>
      <c r="AH465" s="57">
        <v>7</v>
      </c>
      <c r="AI465" s="55" t="s">
        <v>230</v>
      </c>
      <c r="AJ465" s="71">
        <v>0</v>
      </c>
      <c r="AK465" s="72">
        <f t="shared" si="42"/>
        <v>0</v>
      </c>
      <c r="AL465" s="72">
        <f t="shared" si="43"/>
        <v>0</v>
      </c>
      <c r="AM465">
        <v>-1</v>
      </c>
      <c r="AO465" s="102">
        <f t="shared" si="44"/>
        <v>0</v>
      </c>
      <c r="AP465" s="103">
        <f t="shared" si="45"/>
        <v>0</v>
      </c>
      <c r="AQ465" s="101">
        <f t="shared" si="46"/>
        <v>0</v>
      </c>
      <c r="AR465" s="104">
        <f t="shared" si="47"/>
        <v>0</v>
      </c>
    </row>
    <row r="466" spans="1:44">
      <c r="A466" s="50" t="s">
        <v>1224</v>
      </c>
      <c r="B466" s="51" t="s">
        <v>1225</v>
      </c>
      <c r="C466" s="50" t="s">
        <v>424</v>
      </c>
      <c r="D466" s="50">
        <v>62</v>
      </c>
      <c r="E466" s="51" t="s">
        <v>785</v>
      </c>
      <c r="F466" s="51" t="s">
        <v>296</v>
      </c>
      <c r="G466" s="50" t="s">
        <v>297</v>
      </c>
      <c r="H466" s="52" t="s">
        <v>178</v>
      </c>
      <c r="I466" s="52" t="s">
        <v>192</v>
      </c>
      <c r="J466" s="53">
        <v>259.36</v>
      </c>
      <c r="K466" s="66">
        <v>0</v>
      </c>
      <c r="L466" s="66">
        <v>50506</v>
      </c>
      <c r="M466" s="54">
        <v>50506</v>
      </c>
      <c r="N466" s="64">
        <v>1960318</v>
      </c>
      <c r="O466" s="64">
        <v>340501</v>
      </c>
      <c r="P466" s="64">
        <v>264728</v>
      </c>
      <c r="Q466" s="54">
        <v>2565547</v>
      </c>
      <c r="R466" s="62">
        <v>171362</v>
      </c>
      <c r="S466" s="54">
        <v>2787415</v>
      </c>
      <c r="T466" s="81">
        <v>96998</v>
      </c>
      <c r="U466" s="81">
        <v>0</v>
      </c>
      <c r="V466" s="81">
        <v>0</v>
      </c>
      <c r="W466" s="81">
        <v>0</v>
      </c>
      <c r="X466" s="54">
        <v>2884412</v>
      </c>
      <c r="Y466" s="54">
        <v>0</v>
      </c>
      <c r="Z466" s="54">
        <v>51615</v>
      </c>
      <c r="AA466" s="54">
        <v>2570291</v>
      </c>
      <c r="AB466" s="54">
        <v>262506</v>
      </c>
      <c r="AC466" s="55" t="s">
        <v>184</v>
      </c>
      <c r="AD466" s="56">
        <v>4038</v>
      </c>
      <c r="AE466" s="57">
        <v>7</v>
      </c>
      <c r="AF466" s="55" t="s">
        <v>296</v>
      </c>
      <c r="AG466" s="69">
        <v>0</v>
      </c>
      <c r="AH466" s="57">
        <v>7</v>
      </c>
      <c r="AI466" s="55" t="s">
        <v>296</v>
      </c>
      <c r="AJ466" s="71">
        <v>0</v>
      </c>
      <c r="AK466" s="72">
        <f t="shared" si="42"/>
        <v>0</v>
      </c>
      <c r="AL466" s="72">
        <f t="shared" si="43"/>
        <v>0</v>
      </c>
      <c r="AM466">
        <v>-1</v>
      </c>
      <c r="AO466" s="102">
        <f t="shared" si="44"/>
        <v>0</v>
      </c>
      <c r="AP466" s="103">
        <f t="shared" si="45"/>
        <v>1109</v>
      </c>
      <c r="AQ466" s="101">
        <f t="shared" si="46"/>
        <v>4744</v>
      </c>
      <c r="AR466" s="104">
        <f t="shared" si="47"/>
        <v>91144</v>
      </c>
    </row>
    <row r="467" spans="1:44" s="93" customFormat="1">
      <c r="A467" s="83" t="s">
        <v>1224</v>
      </c>
      <c r="B467" s="84" t="s">
        <v>1225</v>
      </c>
      <c r="C467" s="83" t="s">
        <v>424</v>
      </c>
      <c r="D467" s="83">
        <v>62</v>
      </c>
      <c r="E467" s="84" t="s">
        <v>785</v>
      </c>
      <c r="F467" s="84" t="s">
        <v>274</v>
      </c>
      <c r="G467" s="83" t="s">
        <v>275</v>
      </c>
      <c r="H467" s="85" t="s">
        <v>178</v>
      </c>
      <c r="I467" s="83" t="s">
        <v>192</v>
      </c>
      <c r="J467" s="86">
        <v>66.819999999999993</v>
      </c>
      <c r="K467" s="86">
        <v>0</v>
      </c>
      <c r="L467" s="86">
        <v>0</v>
      </c>
      <c r="M467" s="87">
        <v>0</v>
      </c>
      <c r="N467" s="86">
        <v>0</v>
      </c>
      <c r="O467" s="86">
        <v>0</v>
      </c>
      <c r="P467" s="86">
        <v>0</v>
      </c>
      <c r="Q467" s="87">
        <v>0</v>
      </c>
      <c r="R467" s="86">
        <v>0</v>
      </c>
      <c r="S467" s="87">
        <v>0</v>
      </c>
      <c r="T467" s="87">
        <v>0</v>
      </c>
      <c r="U467" s="87">
        <v>0</v>
      </c>
      <c r="V467" s="87">
        <v>0</v>
      </c>
      <c r="W467" s="87">
        <v>0</v>
      </c>
      <c r="X467" s="87">
        <v>0</v>
      </c>
      <c r="Y467" s="87">
        <v>0</v>
      </c>
      <c r="Z467" s="87">
        <v>0</v>
      </c>
      <c r="AA467" s="87">
        <v>0</v>
      </c>
      <c r="AB467" s="87">
        <v>0</v>
      </c>
      <c r="AC467" s="88" t="s">
        <v>184</v>
      </c>
      <c r="AD467" s="114">
        <v>4136</v>
      </c>
      <c r="AE467" s="115">
        <v>7</v>
      </c>
      <c r="AF467" s="88" t="s">
        <v>274</v>
      </c>
      <c r="AG467" s="91">
        <v>0</v>
      </c>
      <c r="AH467" s="115">
        <v>7</v>
      </c>
      <c r="AI467" s="88" t="s">
        <v>274</v>
      </c>
      <c r="AJ467" s="92">
        <v>0</v>
      </c>
      <c r="AK467" s="93">
        <f t="shared" si="42"/>
        <v>0</v>
      </c>
      <c r="AL467" s="93">
        <f t="shared" si="43"/>
        <v>0</v>
      </c>
      <c r="AM467" s="93">
        <v>-1</v>
      </c>
      <c r="AO467" s="116">
        <f t="shared" si="44"/>
        <v>0</v>
      </c>
      <c r="AP467" s="116">
        <f t="shared" si="45"/>
        <v>0</v>
      </c>
      <c r="AQ467" s="116">
        <f t="shared" si="46"/>
        <v>0</v>
      </c>
      <c r="AR467" s="116">
        <f t="shared" si="47"/>
        <v>0</v>
      </c>
    </row>
    <row r="468" spans="1:44">
      <c r="A468" s="50" t="s">
        <v>1017</v>
      </c>
      <c r="B468" s="51" t="s">
        <v>1018</v>
      </c>
      <c r="C468" s="50" t="s">
        <v>424</v>
      </c>
      <c r="D468" s="50">
        <v>74</v>
      </c>
      <c r="E468" s="51" t="s">
        <v>709</v>
      </c>
      <c r="F468" s="51" t="s">
        <v>136</v>
      </c>
      <c r="G468" s="50" t="s">
        <v>137</v>
      </c>
      <c r="H468" s="52" t="s">
        <v>178</v>
      </c>
      <c r="I468" s="50" t="s">
        <v>192</v>
      </c>
      <c r="J468" s="53">
        <v>89.3</v>
      </c>
      <c r="K468" s="66">
        <v>0</v>
      </c>
      <c r="L468" s="66">
        <v>532580</v>
      </c>
      <c r="M468" s="54">
        <v>532580</v>
      </c>
      <c r="N468" s="64">
        <v>571561</v>
      </c>
      <c r="O468" s="64">
        <v>23975</v>
      </c>
      <c r="P468" s="64">
        <v>155818</v>
      </c>
      <c r="Q468" s="54">
        <v>751354</v>
      </c>
      <c r="R468" s="62">
        <v>124834</v>
      </c>
      <c r="S468" s="54">
        <v>1408768</v>
      </c>
      <c r="T468" s="81">
        <v>35864</v>
      </c>
      <c r="U468" s="81">
        <v>0</v>
      </c>
      <c r="V468" s="81">
        <v>0</v>
      </c>
      <c r="W468" s="81">
        <v>0</v>
      </c>
      <c r="X468" s="54">
        <v>1444633</v>
      </c>
      <c r="Y468" s="54">
        <v>0</v>
      </c>
      <c r="Z468" s="54">
        <v>536732</v>
      </c>
      <c r="AA468" s="54">
        <v>755196</v>
      </c>
      <c r="AB468" s="54">
        <v>152705</v>
      </c>
      <c r="AC468" s="55" t="s">
        <v>184</v>
      </c>
      <c r="AD468" s="56">
        <v>4162</v>
      </c>
      <c r="AE468" s="57">
        <v>7</v>
      </c>
      <c r="AF468" s="55" t="s">
        <v>136</v>
      </c>
      <c r="AG468" s="69">
        <v>0</v>
      </c>
      <c r="AH468" s="57">
        <v>7</v>
      </c>
      <c r="AI468" s="55" t="s">
        <v>136</v>
      </c>
      <c r="AJ468" s="71">
        <v>0</v>
      </c>
      <c r="AK468" s="72">
        <f t="shared" si="42"/>
        <v>0</v>
      </c>
      <c r="AL468" s="72">
        <f t="shared" si="43"/>
        <v>0</v>
      </c>
      <c r="AM468">
        <v>-1</v>
      </c>
      <c r="AO468" s="102">
        <f t="shared" si="44"/>
        <v>0</v>
      </c>
      <c r="AP468" s="103">
        <f t="shared" si="45"/>
        <v>4152</v>
      </c>
      <c r="AQ468" s="101">
        <f t="shared" si="46"/>
        <v>3842</v>
      </c>
      <c r="AR468" s="104">
        <f t="shared" si="47"/>
        <v>27871</v>
      </c>
    </row>
    <row r="469" spans="1:44">
      <c r="A469" s="50" t="s">
        <v>1258</v>
      </c>
      <c r="B469" s="51" t="s">
        <v>1259</v>
      </c>
      <c r="C469" s="50" t="s">
        <v>424</v>
      </c>
      <c r="D469" s="50">
        <v>44</v>
      </c>
      <c r="E469" s="51" t="s">
        <v>837</v>
      </c>
      <c r="F469" s="51" t="s">
        <v>132</v>
      </c>
      <c r="G469" s="50" t="s">
        <v>133</v>
      </c>
      <c r="H469" s="52" t="s">
        <v>178</v>
      </c>
      <c r="I469" s="52" t="s">
        <v>191</v>
      </c>
      <c r="J469" s="53">
        <v>63.41</v>
      </c>
      <c r="K469" s="66">
        <v>0</v>
      </c>
      <c r="L469" s="66">
        <v>17377</v>
      </c>
      <c r="M469" s="54">
        <v>17377</v>
      </c>
      <c r="N469" s="64">
        <v>433916</v>
      </c>
      <c r="O469" s="64">
        <v>57276</v>
      </c>
      <c r="P469" s="64">
        <v>140000</v>
      </c>
      <c r="Q469" s="54">
        <v>631192</v>
      </c>
      <c r="R469" s="62">
        <v>241698</v>
      </c>
      <c r="S469" s="54">
        <v>890267</v>
      </c>
      <c r="T469" s="81">
        <v>25617</v>
      </c>
      <c r="U469" s="81">
        <v>0</v>
      </c>
      <c r="V469" s="81">
        <v>0</v>
      </c>
      <c r="W469" s="81">
        <v>0</v>
      </c>
      <c r="X469" s="54">
        <v>915884</v>
      </c>
      <c r="Y469" s="54">
        <v>0</v>
      </c>
      <c r="Z469" s="54">
        <v>37684</v>
      </c>
      <c r="AA469" s="54">
        <v>631784</v>
      </c>
      <c r="AB469" s="54">
        <v>246416</v>
      </c>
      <c r="AC469" s="55" t="s">
        <v>184</v>
      </c>
      <c r="AD469" s="56">
        <v>4160</v>
      </c>
      <c r="AE469" s="57">
        <v>7</v>
      </c>
      <c r="AF469" s="55" t="s">
        <v>132</v>
      </c>
      <c r="AG469" s="69">
        <v>0</v>
      </c>
      <c r="AH469" s="57">
        <v>7</v>
      </c>
      <c r="AI469" s="55" t="s">
        <v>132</v>
      </c>
      <c r="AJ469" s="71">
        <v>0</v>
      </c>
      <c r="AK469" s="72">
        <f t="shared" si="42"/>
        <v>0</v>
      </c>
      <c r="AL469" s="72">
        <f t="shared" si="43"/>
        <v>0</v>
      </c>
      <c r="AM469">
        <v>-1</v>
      </c>
      <c r="AO469" s="102">
        <f t="shared" si="44"/>
        <v>0</v>
      </c>
      <c r="AP469" s="103">
        <f t="shared" si="45"/>
        <v>20307</v>
      </c>
      <c r="AQ469" s="101">
        <f t="shared" si="46"/>
        <v>592</v>
      </c>
      <c r="AR469" s="104">
        <f t="shared" si="47"/>
        <v>4718</v>
      </c>
    </row>
    <row r="470" spans="1:44">
      <c r="A470" s="50" t="s">
        <v>1224</v>
      </c>
      <c r="B470" s="51" t="s">
        <v>1225</v>
      </c>
      <c r="C470" s="50" t="s">
        <v>424</v>
      </c>
      <c r="D470" s="50">
        <v>27</v>
      </c>
      <c r="E470" s="51" t="s">
        <v>1227</v>
      </c>
      <c r="F470" s="51" t="s">
        <v>236</v>
      </c>
      <c r="G470" s="50" t="s">
        <v>237</v>
      </c>
      <c r="H470" s="52" t="s">
        <v>178</v>
      </c>
      <c r="I470" s="52" t="s">
        <v>190</v>
      </c>
      <c r="J470" s="53">
        <v>291.16000000000003</v>
      </c>
      <c r="K470" s="66">
        <v>0</v>
      </c>
      <c r="L470" s="66">
        <v>185679</v>
      </c>
      <c r="M470" s="54">
        <v>185679</v>
      </c>
      <c r="N470" s="64">
        <v>1991205</v>
      </c>
      <c r="O470" s="64">
        <v>112181</v>
      </c>
      <c r="P470" s="64">
        <v>531328</v>
      </c>
      <c r="Q470" s="54">
        <v>2634714</v>
      </c>
      <c r="R470" s="62">
        <v>220554</v>
      </c>
      <c r="S470" s="54">
        <v>3040947</v>
      </c>
      <c r="T470" s="81">
        <v>0</v>
      </c>
      <c r="U470" s="81">
        <v>0</v>
      </c>
      <c r="V470" s="81">
        <v>0</v>
      </c>
      <c r="W470" s="81">
        <v>0</v>
      </c>
      <c r="X470" s="54">
        <v>3040947</v>
      </c>
      <c r="Y470" s="54">
        <v>0</v>
      </c>
      <c r="Z470" s="54">
        <v>185679</v>
      </c>
      <c r="AA470" s="54">
        <v>2634714</v>
      </c>
      <c r="AB470" s="54">
        <v>220554</v>
      </c>
      <c r="AC470" s="55" t="s">
        <v>184</v>
      </c>
      <c r="AD470" s="56">
        <v>4112</v>
      </c>
      <c r="AE470" s="57">
        <v>7</v>
      </c>
      <c r="AF470" s="55" t="s">
        <v>236</v>
      </c>
      <c r="AG470" s="69">
        <v>0</v>
      </c>
      <c r="AH470" s="57">
        <v>7</v>
      </c>
      <c r="AI470" s="55" t="s">
        <v>236</v>
      </c>
      <c r="AJ470" s="71">
        <v>0</v>
      </c>
      <c r="AK470" s="72">
        <f t="shared" si="42"/>
        <v>0</v>
      </c>
      <c r="AL470" s="72">
        <f t="shared" si="43"/>
        <v>0</v>
      </c>
      <c r="AM470">
        <v>-1</v>
      </c>
      <c r="AO470" s="102">
        <f t="shared" si="44"/>
        <v>0</v>
      </c>
      <c r="AP470" s="103">
        <f t="shared" si="45"/>
        <v>0</v>
      </c>
      <c r="AQ470" s="101">
        <f t="shared" si="46"/>
        <v>0</v>
      </c>
      <c r="AR470" s="104">
        <f t="shared" si="47"/>
        <v>0</v>
      </c>
    </row>
    <row r="471" spans="1:44">
      <c r="A471" s="50" t="s">
        <v>1224</v>
      </c>
      <c r="B471" s="51" t="s">
        <v>1225</v>
      </c>
      <c r="C471" s="50" t="s">
        <v>424</v>
      </c>
      <c r="D471" s="50">
        <v>27</v>
      </c>
      <c r="E471" s="51" t="s">
        <v>1227</v>
      </c>
      <c r="F471" s="51" t="s">
        <v>250</v>
      </c>
      <c r="G471" s="50" t="s">
        <v>251</v>
      </c>
      <c r="H471" s="52" t="s">
        <v>178</v>
      </c>
      <c r="I471" s="52" t="s">
        <v>191</v>
      </c>
      <c r="J471" s="53">
        <v>341.18</v>
      </c>
      <c r="K471" s="66">
        <v>0</v>
      </c>
      <c r="L471" s="66">
        <v>122971</v>
      </c>
      <c r="M471" s="54">
        <v>122971</v>
      </c>
      <c r="N471" s="64">
        <v>1879938</v>
      </c>
      <c r="O471" s="64">
        <v>91241</v>
      </c>
      <c r="P471" s="64">
        <v>380386</v>
      </c>
      <c r="Q471" s="54">
        <v>2351565</v>
      </c>
      <c r="R471" s="62">
        <v>164284</v>
      </c>
      <c r="S471" s="54">
        <v>2638820</v>
      </c>
      <c r="T471" s="81">
        <v>23152</v>
      </c>
      <c r="U471" s="81">
        <v>88457</v>
      </c>
      <c r="V471" s="81">
        <v>0</v>
      </c>
      <c r="W471" s="81">
        <v>0</v>
      </c>
      <c r="X471" s="54">
        <v>2750429</v>
      </c>
      <c r="Y471" s="54">
        <v>0</v>
      </c>
      <c r="Z471" s="54">
        <v>230556</v>
      </c>
      <c r="AA471" s="54">
        <v>2352562</v>
      </c>
      <c r="AB471" s="54">
        <v>167311</v>
      </c>
      <c r="AC471" s="55" t="s">
        <v>184</v>
      </c>
      <c r="AD471" s="56">
        <v>4120</v>
      </c>
      <c r="AE471" s="57">
        <v>7</v>
      </c>
      <c r="AF471" s="55" t="s">
        <v>250</v>
      </c>
      <c r="AG471" s="69">
        <v>0</v>
      </c>
      <c r="AH471" s="57">
        <v>7</v>
      </c>
      <c r="AI471" s="55" t="s">
        <v>250</v>
      </c>
      <c r="AJ471" s="71">
        <v>0</v>
      </c>
      <c r="AK471" s="72">
        <f t="shared" si="42"/>
        <v>0</v>
      </c>
      <c r="AL471" s="72">
        <f t="shared" si="43"/>
        <v>0</v>
      </c>
      <c r="AM471">
        <v>-1</v>
      </c>
      <c r="AO471" s="102">
        <f t="shared" si="44"/>
        <v>0</v>
      </c>
      <c r="AP471" s="103">
        <f t="shared" si="45"/>
        <v>107585</v>
      </c>
      <c r="AQ471" s="101">
        <f t="shared" si="46"/>
        <v>997</v>
      </c>
      <c r="AR471" s="104">
        <f t="shared" si="47"/>
        <v>3027</v>
      </c>
    </row>
    <row r="472" spans="1:44" s="93" customFormat="1">
      <c r="A472" s="83" t="s">
        <v>1224</v>
      </c>
      <c r="B472" s="84" t="s">
        <v>1225</v>
      </c>
      <c r="C472" s="83" t="s">
        <v>424</v>
      </c>
      <c r="D472" s="83">
        <v>62</v>
      </c>
      <c r="E472" s="84" t="s">
        <v>785</v>
      </c>
      <c r="F472" s="84" t="s">
        <v>150</v>
      </c>
      <c r="G472" s="83" t="s">
        <v>151</v>
      </c>
      <c r="H472" s="85" t="s">
        <v>178</v>
      </c>
      <c r="I472" s="85" t="s">
        <v>192</v>
      </c>
      <c r="J472" s="86">
        <v>0</v>
      </c>
      <c r="K472" s="86">
        <v>0</v>
      </c>
      <c r="L472" s="86">
        <v>0</v>
      </c>
      <c r="M472" s="87">
        <v>0</v>
      </c>
      <c r="N472" s="86">
        <v>0</v>
      </c>
      <c r="O472" s="86">
        <v>0</v>
      </c>
      <c r="P472" s="86">
        <v>0</v>
      </c>
      <c r="Q472" s="87">
        <v>0</v>
      </c>
      <c r="R472" s="86">
        <v>75626</v>
      </c>
      <c r="S472" s="87">
        <v>75626</v>
      </c>
      <c r="T472" s="81">
        <v>0</v>
      </c>
      <c r="U472" s="81">
        <v>0</v>
      </c>
      <c r="V472" s="81">
        <v>0</v>
      </c>
      <c r="W472" s="81">
        <v>0</v>
      </c>
      <c r="X472" s="87">
        <v>75626</v>
      </c>
      <c r="Y472" s="87">
        <v>0</v>
      </c>
      <c r="Z472" s="87">
        <v>0</v>
      </c>
      <c r="AA472" s="87">
        <v>0</v>
      </c>
      <c r="AB472" s="87">
        <v>75626</v>
      </c>
      <c r="AC472" s="88" t="s">
        <v>184</v>
      </c>
      <c r="AD472" s="89">
        <v>4169</v>
      </c>
      <c r="AE472" s="90">
        <v>7</v>
      </c>
      <c r="AF472" s="90" t="s">
        <v>150</v>
      </c>
      <c r="AG472" s="91">
        <v>0</v>
      </c>
      <c r="AH472" s="90">
        <v>7</v>
      </c>
      <c r="AI472" s="90" t="s">
        <v>150</v>
      </c>
      <c r="AJ472" s="92">
        <v>0</v>
      </c>
      <c r="AK472" s="93">
        <f t="shared" si="42"/>
        <v>0</v>
      </c>
      <c r="AL472" s="93">
        <f t="shared" si="43"/>
        <v>0</v>
      </c>
      <c r="AM472" s="93">
        <v>-1</v>
      </c>
      <c r="AO472" s="102">
        <f t="shared" si="44"/>
        <v>0</v>
      </c>
      <c r="AP472" s="103">
        <f t="shared" si="45"/>
        <v>0</v>
      </c>
      <c r="AQ472" s="101">
        <f t="shared" si="46"/>
        <v>0</v>
      </c>
      <c r="AR472" s="104">
        <f t="shared" si="47"/>
        <v>0</v>
      </c>
    </row>
    <row r="473" spans="1:44">
      <c r="A473" s="50" t="s">
        <v>1224</v>
      </c>
      <c r="B473" s="51" t="s">
        <v>1225</v>
      </c>
      <c r="C473" s="50" t="s">
        <v>424</v>
      </c>
      <c r="D473" s="50">
        <v>27</v>
      </c>
      <c r="E473" s="51" t="s">
        <v>1227</v>
      </c>
      <c r="F473" s="51" t="s">
        <v>286</v>
      </c>
      <c r="G473" s="50" t="s">
        <v>287</v>
      </c>
      <c r="H473" s="52" t="s">
        <v>178</v>
      </c>
      <c r="I473" s="52" t="s">
        <v>191</v>
      </c>
      <c r="J473" s="53">
        <v>226.21</v>
      </c>
      <c r="K473" s="66">
        <v>0</v>
      </c>
      <c r="L473" s="66">
        <v>31511</v>
      </c>
      <c r="M473" s="54">
        <v>31511</v>
      </c>
      <c r="N473" s="64">
        <v>1288607</v>
      </c>
      <c r="O473" s="64">
        <v>166648</v>
      </c>
      <c r="P473" s="64">
        <v>378776</v>
      </c>
      <c r="Q473" s="54">
        <v>1834031</v>
      </c>
      <c r="R473" s="62">
        <v>264275</v>
      </c>
      <c r="S473" s="54">
        <v>2129817</v>
      </c>
      <c r="T473" s="81">
        <v>71819</v>
      </c>
      <c r="U473" s="81">
        <v>26345</v>
      </c>
      <c r="V473" s="81">
        <v>0</v>
      </c>
      <c r="W473" s="81">
        <v>0</v>
      </c>
      <c r="X473" s="54">
        <v>2227980</v>
      </c>
      <c r="Y473" s="54">
        <v>0</v>
      </c>
      <c r="Z473" s="54">
        <v>82042</v>
      </c>
      <c r="AA473" s="54">
        <v>1837140</v>
      </c>
      <c r="AB473" s="54">
        <v>308798</v>
      </c>
      <c r="AC473" s="55" t="s">
        <v>184</v>
      </c>
      <c r="AD473" s="56">
        <v>4142</v>
      </c>
      <c r="AE473" s="57">
        <v>7</v>
      </c>
      <c r="AF473" s="55" t="s">
        <v>286</v>
      </c>
      <c r="AG473" s="69">
        <v>0</v>
      </c>
      <c r="AH473" s="57">
        <v>7</v>
      </c>
      <c r="AI473" s="55" t="s">
        <v>286</v>
      </c>
      <c r="AJ473" s="71">
        <v>0</v>
      </c>
      <c r="AK473" s="72">
        <f t="shared" si="42"/>
        <v>0</v>
      </c>
      <c r="AL473" s="72">
        <f t="shared" si="43"/>
        <v>0</v>
      </c>
      <c r="AM473">
        <v>-1</v>
      </c>
      <c r="AO473" s="102">
        <f t="shared" si="44"/>
        <v>0</v>
      </c>
      <c r="AP473" s="103">
        <f t="shared" si="45"/>
        <v>50531</v>
      </c>
      <c r="AQ473" s="101">
        <f t="shared" si="46"/>
        <v>3109</v>
      </c>
      <c r="AR473" s="104">
        <f t="shared" si="47"/>
        <v>44523</v>
      </c>
    </row>
    <row r="474" spans="1:44">
      <c r="A474" s="50" t="s">
        <v>954</v>
      </c>
      <c r="B474" s="51" t="s">
        <v>955</v>
      </c>
      <c r="C474" s="50" t="s">
        <v>424</v>
      </c>
      <c r="D474" s="50">
        <v>43</v>
      </c>
      <c r="E474" s="51" t="s">
        <v>832</v>
      </c>
      <c r="F474" s="51" t="s">
        <v>332</v>
      </c>
      <c r="G474" s="50" t="s">
        <v>333</v>
      </c>
      <c r="H474" s="52" t="s">
        <v>178</v>
      </c>
      <c r="I474" s="52" t="s">
        <v>191</v>
      </c>
      <c r="J474" s="53">
        <v>123.98</v>
      </c>
      <c r="K474" s="66">
        <v>0</v>
      </c>
      <c r="L474" s="66">
        <v>86763</v>
      </c>
      <c r="M474" s="54">
        <v>86763</v>
      </c>
      <c r="N474" s="64">
        <v>877520</v>
      </c>
      <c r="O474" s="64">
        <v>57696</v>
      </c>
      <c r="P474" s="64">
        <v>188656</v>
      </c>
      <c r="Q474" s="54">
        <v>1123872</v>
      </c>
      <c r="R474" s="62">
        <v>18695</v>
      </c>
      <c r="S474" s="54">
        <v>1229330</v>
      </c>
      <c r="T474" s="81">
        <v>0</v>
      </c>
      <c r="U474" s="81">
        <v>0</v>
      </c>
      <c r="V474" s="81">
        <v>0</v>
      </c>
      <c r="W474" s="81">
        <v>0</v>
      </c>
      <c r="X474" s="54">
        <v>1229330</v>
      </c>
      <c r="Y474" s="54">
        <v>0</v>
      </c>
      <c r="Z474" s="54">
        <v>86763</v>
      </c>
      <c r="AA474" s="54">
        <v>1123872</v>
      </c>
      <c r="AB474" s="54">
        <v>18695</v>
      </c>
      <c r="AC474" s="55" t="s">
        <v>184</v>
      </c>
      <c r="AD474" s="56">
        <v>4061</v>
      </c>
      <c r="AE474" s="57">
        <v>7</v>
      </c>
      <c r="AF474" s="55" t="s">
        <v>332</v>
      </c>
      <c r="AG474" s="69">
        <v>0</v>
      </c>
      <c r="AH474" s="57">
        <v>7</v>
      </c>
      <c r="AI474" s="55" t="s">
        <v>332</v>
      </c>
      <c r="AJ474" s="71">
        <v>0</v>
      </c>
      <c r="AK474" s="72">
        <f t="shared" si="42"/>
        <v>0</v>
      </c>
      <c r="AL474" s="72">
        <f t="shared" si="43"/>
        <v>0</v>
      </c>
      <c r="AM474">
        <v>-1</v>
      </c>
      <c r="AO474" s="102">
        <f t="shared" si="44"/>
        <v>0</v>
      </c>
      <c r="AP474" s="103">
        <f t="shared" si="45"/>
        <v>0</v>
      </c>
      <c r="AQ474" s="101">
        <f t="shared" si="46"/>
        <v>0</v>
      </c>
      <c r="AR474" s="104">
        <f t="shared" si="47"/>
        <v>0</v>
      </c>
    </row>
    <row r="475" spans="1:44">
      <c r="A475" s="50" t="s">
        <v>1224</v>
      </c>
      <c r="B475" s="51" t="s">
        <v>1225</v>
      </c>
      <c r="C475" s="50" t="s">
        <v>424</v>
      </c>
      <c r="D475" s="50">
        <v>27</v>
      </c>
      <c r="E475" s="51" t="s">
        <v>1227</v>
      </c>
      <c r="F475" s="51" t="s">
        <v>276</v>
      </c>
      <c r="G475" s="50" t="s">
        <v>277</v>
      </c>
      <c r="H475" s="52" t="s">
        <v>178</v>
      </c>
      <c r="I475" s="52" t="s">
        <v>191</v>
      </c>
      <c r="J475" s="53">
        <v>106.62</v>
      </c>
      <c r="K475" s="66">
        <v>0</v>
      </c>
      <c r="L475" s="66">
        <v>11897</v>
      </c>
      <c r="M475" s="54">
        <v>11897</v>
      </c>
      <c r="N475" s="64">
        <v>551089</v>
      </c>
      <c r="O475" s="64">
        <v>81011</v>
      </c>
      <c r="P475" s="64">
        <v>184150</v>
      </c>
      <c r="Q475" s="54">
        <v>816250</v>
      </c>
      <c r="R475" s="62">
        <v>128299</v>
      </c>
      <c r="S475" s="54">
        <v>956446</v>
      </c>
      <c r="T475" s="81">
        <v>39243</v>
      </c>
      <c r="U475" s="81">
        <v>248337</v>
      </c>
      <c r="V475" s="81">
        <v>0</v>
      </c>
      <c r="W475" s="81">
        <v>0</v>
      </c>
      <c r="X475" s="54">
        <v>1244026</v>
      </c>
      <c r="Y475" s="54">
        <v>0</v>
      </c>
      <c r="Z475" s="54">
        <v>292032</v>
      </c>
      <c r="AA475" s="54">
        <v>817738</v>
      </c>
      <c r="AB475" s="54">
        <v>134256</v>
      </c>
      <c r="AC475" s="55" t="s">
        <v>184</v>
      </c>
      <c r="AD475" s="56">
        <v>4137</v>
      </c>
      <c r="AE475" s="57">
        <v>7</v>
      </c>
      <c r="AF475" s="55" t="s">
        <v>276</v>
      </c>
      <c r="AG475" s="69">
        <v>0</v>
      </c>
      <c r="AH475" s="57">
        <v>7</v>
      </c>
      <c r="AI475" s="55" t="s">
        <v>276</v>
      </c>
      <c r="AJ475" s="71">
        <v>0</v>
      </c>
      <c r="AK475" s="72">
        <f t="shared" si="42"/>
        <v>0</v>
      </c>
      <c r="AL475" s="72">
        <f t="shared" si="43"/>
        <v>0</v>
      </c>
      <c r="AM475">
        <v>-1</v>
      </c>
      <c r="AO475" s="102">
        <f t="shared" si="44"/>
        <v>0</v>
      </c>
      <c r="AP475" s="103">
        <f t="shared" si="45"/>
        <v>280135</v>
      </c>
      <c r="AQ475" s="101">
        <f t="shared" si="46"/>
        <v>1488</v>
      </c>
      <c r="AR475" s="104">
        <f t="shared" si="47"/>
        <v>5957</v>
      </c>
    </row>
    <row r="476" spans="1:44">
      <c r="A476" s="50" t="s">
        <v>1224</v>
      </c>
      <c r="B476" s="51" t="s">
        <v>1225</v>
      </c>
      <c r="C476" s="50" t="s">
        <v>424</v>
      </c>
      <c r="D476" s="50">
        <v>62</v>
      </c>
      <c r="E476" s="51" t="s">
        <v>785</v>
      </c>
      <c r="F476" s="51" t="s">
        <v>210</v>
      </c>
      <c r="G476" s="50" t="s">
        <v>211</v>
      </c>
      <c r="H476" s="52" t="s">
        <v>178</v>
      </c>
      <c r="I476" s="52" t="s">
        <v>191</v>
      </c>
      <c r="J476" s="53">
        <v>323.75</v>
      </c>
      <c r="K476" s="66">
        <v>0</v>
      </c>
      <c r="L476" s="66">
        <v>59412</v>
      </c>
      <c r="M476" s="54">
        <v>59412</v>
      </c>
      <c r="N476" s="64">
        <v>2533240</v>
      </c>
      <c r="O476" s="64">
        <v>65126</v>
      </c>
      <c r="P476" s="64">
        <v>374016</v>
      </c>
      <c r="Q476" s="54">
        <v>2972382</v>
      </c>
      <c r="R476" s="62">
        <v>202442</v>
      </c>
      <c r="S476" s="54">
        <v>3234236</v>
      </c>
      <c r="T476" s="81">
        <v>197593</v>
      </c>
      <c r="U476" s="81">
        <v>0</v>
      </c>
      <c r="V476" s="81">
        <v>0</v>
      </c>
      <c r="W476" s="81">
        <v>0</v>
      </c>
      <c r="X476" s="54">
        <v>3431828</v>
      </c>
      <c r="Y476" s="54">
        <v>0</v>
      </c>
      <c r="Z476" s="54">
        <v>74173</v>
      </c>
      <c r="AA476" s="54">
        <v>2979013</v>
      </c>
      <c r="AB476" s="54">
        <v>378642</v>
      </c>
      <c r="AC476" s="55" t="s">
        <v>184</v>
      </c>
      <c r="AD476" s="56">
        <v>4099</v>
      </c>
      <c r="AE476" s="57">
        <v>7</v>
      </c>
      <c r="AF476" s="55" t="s">
        <v>210</v>
      </c>
      <c r="AG476" s="69">
        <v>0</v>
      </c>
      <c r="AH476" s="57">
        <v>7</v>
      </c>
      <c r="AI476" s="55" t="s">
        <v>210</v>
      </c>
      <c r="AJ476" s="71">
        <v>0</v>
      </c>
      <c r="AK476" s="72">
        <f t="shared" si="42"/>
        <v>0</v>
      </c>
      <c r="AL476" s="72">
        <f t="shared" si="43"/>
        <v>0</v>
      </c>
      <c r="AM476">
        <v>-1</v>
      </c>
      <c r="AO476" s="102">
        <f t="shared" si="44"/>
        <v>0</v>
      </c>
      <c r="AP476" s="103">
        <f t="shared" si="45"/>
        <v>14761</v>
      </c>
      <c r="AQ476" s="101">
        <f t="shared" si="46"/>
        <v>6631</v>
      </c>
      <c r="AR476" s="104">
        <f t="shared" si="47"/>
        <v>176200</v>
      </c>
    </row>
    <row r="477" spans="1:44">
      <c r="A477" s="50" t="s">
        <v>1224</v>
      </c>
      <c r="B477" s="51" t="s">
        <v>1225</v>
      </c>
      <c r="C477" s="50" t="s">
        <v>424</v>
      </c>
      <c r="D477" s="50">
        <v>27</v>
      </c>
      <c r="E477" s="51" t="s">
        <v>1227</v>
      </c>
      <c r="F477" s="51" t="s">
        <v>264</v>
      </c>
      <c r="G477" s="50" t="s">
        <v>265</v>
      </c>
      <c r="H477" s="52" t="s">
        <v>178</v>
      </c>
      <c r="I477" s="52" t="s">
        <v>191</v>
      </c>
      <c r="J477" s="53">
        <v>119.96</v>
      </c>
      <c r="K477" s="66">
        <v>0</v>
      </c>
      <c r="L477" s="66">
        <v>15724</v>
      </c>
      <c r="M477" s="54">
        <v>15724</v>
      </c>
      <c r="N477" s="64">
        <v>664977</v>
      </c>
      <c r="O477" s="64">
        <v>35604</v>
      </c>
      <c r="P477" s="64">
        <v>101520</v>
      </c>
      <c r="Q477" s="54">
        <v>802101</v>
      </c>
      <c r="R477" s="62">
        <v>172275</v>
      </c>
      <c r="S477" s="54">
        <v>990100</v>
      </c>
      <c r="T477" s="81">
        <v>0</v>
      </c>
      <c r="U477" s="81">
        <v>0</v>
      </c>
      <c r="V477" s="81">
        <v>0</v>
      </c>
      <c r="W477" s="81">
        <v>0</v>
      </c>
      <c r="X477" s="54">
        <v>990100</v>
      </c>
      <c r="Y477" s="54">
        <v>0</v>
      </c>
      <c r="Z477" s="54">
        <v>15724</v>
      </c>
      <c r="AA477" s="54">
        <v>802101</v>
      </c>
      <c r="AB477" s="54">
        <v>172275</v>
      </c>
      <c r="AC477" s="55" t="s">
        <v>184</v>
      </c>
      <c r="AD477" s="56">
        <v>4127</v>
      </c>
      <c r="AE477" s="57">
        <v>7</v>
      </c>
      <c r="AF477" s="55" t="s">
        <v>264</v>
      </c>
      <c r="AG477" s="69">
        <v>0</v>
      </c>
      <c r="AH477" s="57">
        <v>7</v>
      </c>
      <c r="AI477" s="55" t="s">
        <v>264</v>
      </c>
      <c r="AJ477" s="71">
        <v>0</v>
      </c>
      <c r="AK477" s="72">
        <f t="shared" si="42"/>
        <v>0</v>
      </c>
      <c r="AL477" s="72">
        <f t="shared" si="43"/>
        <v>0</v>
      </c>
      <c r="AM477">
        <v>-1</v>
      </c>
      <c r="AO477" s="102">
        <f t="shared" si="44"/>
        <v>0</v>
      </c>
      <c r="AP477" s="103">
        <f t="shared" si="45"/>
        <v>0</v>
      </c>
      <c r="AQ477" s="101">
        <f t="shared" si="46"/>
        <v>0</v>
      </c>
      <c r="AR477" s="104">
        <f t="shared" si="47"/>
        <v>0</v>
      </c>
    </row>
    <row r="478" spans="1:44">
      <c r="A478" s="50" t="s">
        <v>1132</v>
      </c>
      <c r="B478" s="51" t="s">
        <v>1133</v>
      </c>
      <c r="C478" s="50" t="s">
        <v>424</v>
      </c>
      <c r="D478" s="50">
        <v>11</v>
      </c>
      <c r="E478" s="51" t="s">
        <v>1134</v>
      </c>
      <c r="F478" s="51" t="s">
        <v>224</v>
      </c>
      <c r="G478" s="50" t="s">
        <v>225</v>
      </c>
      <c r="H478" s="52" t="s">
        <v>178</v>
      </c>
      <c r="I478" s="52" t="s">
        <v>191</v>
      </c>
      <c r="J478" s="53">
        <v>165.94</v>
      </c>
      <c r="K478" s="66">
        <v>0</v>
      </c>
      <c r="L478" s="66">
        <v>32845</v>
      </c>
      <c r="M478" s="54">
        <v>32845</v>
      </c>
      <c r="N478" s="64">
        <v>1199406</v>
      </c>
      <c r="O478" s="64">
        <v>179245</v>
      </c>
      <c r="P478" s="64">
        <v>268738</v>
      </c>
      <c r="Q478" s="54">
        <v>1647389</v>
      </c>
      <c r="R478" s="62">
        <v>56438</v>
      </c>
      <c r="S478" s="54">
        <v>1736672</v>
      </c>
      <c r="T478" s="81">
        <v>30167</v>
      </c>
      <c r="U478" s="81">
        <v>0</v>
      </c>
      <c r="V478" s="81">
        <v>0</v>
      </c>
      <c r="W478" s="81">
        <v>0</v>
      </c>
      <c r="X478" s="54">
        <v>1766839</v>
      </c>
      <c r="Y478" s="54">
        <v>0</v>
      </c>
      <c r="Z478" s="54">
        <v>44028</v>
      </c>
      <c r="AA478" s="54">
        <v>1648502</v>
      </c>
      <c r="AB478" s="54">
        <v>74309</v>
      </c>
      <c r="AC478" s="55" t="s">
        <v>184</v>
      </c>
      <c r="AD478" s="56">
        <v>4106</v>
      </c>
      <c r="AE478" s="57">
        <v>7</v>
      </c>
      <c r="AF478" s="55" t="s">
        <v>224</v>
      </c>
      <c r="AG478" s="69">
        <v>0</v>
      </c>
      <c r="AH478" s="57">
        <v>7</v>
      </c>
      <c r="AI478" s="55" t="s">
        <v>224</v>
      </c>
      <c r="AJ478" s="71">
        <v>0</v>
      </c>
      <c r="AK478" s="72">
        <f t="shared" si="42"/>
        <v>0</v>
      </c>
      <c r="AL478" s="72">
        <f t="shared" si="43"/>
        <v>0</v>
      </c>
      <c r="AM478">
        <v>-1</v>
      </c>
      <c r="AO478" s="102">
        <f t="shared" si="44"/>
        <v>0</v>
      </c>
      <c r="AP478" s="103">
        <f t="shared" si="45"/>
        <v>11183</v>
      </c>
      <c r="AQ478" s="101">
        <f t="shared" si="46"/>
        <v>1113</v>
      </c>
      <c r="AR478" s="104">
        <f t="shared" si="47"/>
        <v>17871</v>
      </c>
    </row>
    <row r="479" spans="1:44">
      <c r="A479" s="50" t="s">
        <v>1218</v>
      </c>
      <c r="B479" s="51" t="s">
        <v>1219</v>
      </c>
      <c r="C479" s="50" t="s">
        <v>424</v>
      </c>
      <c r="D479" s="50">
        <v>69</v>
      </c>
      <c r="E479" s="51" t="s">
        <v>651</v>
      </c>
      <c r="F479" s="51" t="s">
        <v>204</v>
      </c>
      <c r="G479" s="50" t="s">
        <v>205</v>
      </c>
      <c r="H479" s="52" t="s">
        <v>178</v>
      </c>
      <c r="I479" s="52" t="s">
        <v>191</v>
      </c>
      <c r="J479" s="53">
        <v>117.95</v>
      </c>
      <c r="K479" s="66">
        <v>0</v>
      </c>
      <c r="L479" s="66">
        <v>20451</v>
      </c>
      <c r="M479" s="54">
        <v>20451</v>
      </c>
      <c r="N479" s="64">
        <v>838900</v>
      </c>
      <c r="O479" s="64">
        <v>40791</v>
      </c>
      <c r="P479" s="64">
        <v>90808</v>
      </c>
      <c r="Q479" s="54">
        <v>970499</v>
      </c>
      <c r="R479" s="62">
        <v>11726</v>
      </c>
      <c r="S479" s="54">
        <v>1002676</v>
      </c>
      <c r="T479" s="81">
        <v>0</v>
      </c>
      <c r="U479" s="81">
        <v>0</v>
      </c>
      <c r="V479" s="81">
        <v>0</v>
      </c>
      <c r="W479" s="81">
        <v>0</v>
      </c>
      <c r="X479" s="54">
        <v>1002675</v>
      </c>
      <c r="Y479" s="54">
        <v>0</v>
      </c>
      <c r="Z479" s="54">
        <v>20451</v>
      </c>
      <c r="AA479" s="54">
        <v>970498</v>
      </c>
      <c r="AB479" s="54">
        <v>11726</v>
      </c>
      <c r="AC479" s="55" t="s">
        <v>184</v>
      </c>
      <c r="AD479" s="56">
        <v>4095</v>
      </c>
      <c r="AE479" s="57">
        <v>7</v>
      </c>
      <c r="AF479" s="55" t="s">
        <v>204</v>
      </c>
      <c r="AG479" s="69">
        <v>0</v>
      </c>
      <c r="AH479" s="57">
        <v>7</v>
      </c>
      <c r="AI479" s="55" t="s">
        <v>204</v>
      </c>
      <c r="AJ479" s="71">
        <v>0</v>
      </c>
      <c r="AK479" s="72">
        <f t="shared" si="42"/>
        <v>0</v>
      </c>
      <c r="AL479" s="72">
        <f t="shared" si="43"/>
        <v>0</v>
      </c>
      <c r="AM479">
        <v>-1</v>
      </c>
      <c r="AO479" s="102">
        <f t="shared" si="44"/>
        <v>0</v>
      </c>
      <c r="AP479" s="103">
        <f t="shared" si="45"/>
        <v>0</v>
      </c>
      <c r="AQ479" s="101">
        <f t="shared" si="46"/>
        <v>-1</v>
      </c>
      <c r="AR479" s="104">
        <f t="shared" si="47"/>
        <v>0</v>
      </c>
    </row>
    <row r="480" spans="1:44">
      <c r="A480" s="50" t="s">
        <v>1224</v>
      </c>
      <c r="B480" s="51" t="s">
        <v>1225</v>
      </c>
      <c r="C480" s="50" t="s">
        <v>424</v>
      </c>
      <c r="D480" s="50">
        <v>27</v>
      </c>
      <c r="E480" s="51" t="s">
        <v>1227</v>
      </c>
      <c r="F480" s="51" t="s">
        <v>300</v>
      </c>
      <c r="G480" s="50" t="s">
        <v>301</v>
      </c>
      <c r="H480" s="52" t="s">
        <v>178</v>
      </c>
      <c r="I480" s="52" t="s">
        <v>190</v>
      </c>
      <c r="J480" s="53">
        <v>181.51</v>
      </c>
      <c r="K480" s="66">
        <v>0</v>
      </c>
      <c r="L480" s="66">
        <v>117399</v>
      </c>
      <c r="M480" s="54">
        <v>117399</v>
      </c>
      <c r="N480" s="64">
        <v>1232479</v>
      </c>
      <c r="O480" s="64">
        <v>37257</v>
      </c>
      <c r="P480" s="64">
        <v>268356</v>
      </c>
      <c r="Q480" s="54">
        <v>1538092</v>
      </c>
      <c r="R480" s="62">
        <v>30787</v>
      </c>
      <c r="S480" s="54">
        <v>1686278</v>
      </c>
      <c r="T480" s="81">
        <v>28110</v>
      </c>
      <c r="U480" s="81">
        <v>0</v>
      </c>
      <c r="V480" s="81">
        <v>0</v>
      </c>
      <c r="W480" s="81">
        <v>0</v>
      </c>
      <c r="X480" s="54">
        <v>1714387</v>
      </c>
      <c r="Y480" s="54">
        <v>0</v>
      </c>
      <c r="Z480" s="54">
        <v>140382</v>
      </c>
      <c r="AA480" s="54">
        <v>1539745</v>
      </c>
      <c r="AB480" s="54">
        <v>34260</v>
      </c>
      <c r="AC480" s="55" t="s">
        <v>184</v>
      </c>
      <c r="AD480" s="56">
        <v>4042</v>
      </c>
      <c r="AE480" s="57">
        <v>7</v>
      </c>
      <c r="AF480" s="55" t="s">
        <v>300</v>
      </c>
      <c r="AG480" s="69">
        <v>0</v>
      </c>
      <c r="AH480" s="57">
        <v>7</v>
      </c>
      <c r="AI480" s="55" t="s">
        <v>300</v>
      </c>
      <c r="AJ480" s="71">
        <v>0</v>
      </c>
      <c r="AK480" s="72">
        <f t="shared" si="42"/>
        <v>0</v>
      </c>
      <c r="AL480" s="72">
        <f t="shared" si="43"/>
        <v>0</v>
      </c>
      <c r="AM480">
        <v>-1</v>
      </c>
      <c r="AO480" s="102">
        <f t="shared" si="44"/>
        <v>0</v>
      </c>
      <c r="AP480" s="103">
        <f t="shared" si="45"/>
        <v>22983</v>
      </c>
      <c r="AQ480" s="101">
        <f t="shared" si="46"/>
        <v>1653</v>
      </c>
      <c r="AR480" s="104">
        <f t="shared" si="47"/>
        <v>3473</v>
      </c>
    </row>
    <row r="481" spans="1:44">
      <c r="A481" s="50" t="s">
        <v>1249</v>
      </c>
      <c r="B481" s="51" t="s">
        <v>1250</v>
      </c>
      <c r="C481" s="50" t="s">
        <v>424</v>
      </c>
      <c r="D481" s="50">
        <v>61</v>
      </c>
      <c r="E481" s="51" t="s">
        <v>782</v>
      </c>
      <c r="F481" s="51" t="s">
        <v>268</v>
      </c>
      <c r="G481" s="50" t="s">
        <v>269</v>
      </c>
      <c r="H481" s="52" t="s">
        <v>178</v>
      </c>
      <c r="I481" s="52" t="s">
        <v>190</v>
      </c>
      <c r="J481" s="53">
        <v>60.38</v>
      </c>
      <c r="K481" s="66">
        <v>0</v>
      </c>
      <c r="L481" s="66">
        <v>79202</v>
      </c>
      <c r="M481" s="54">
        <v>79202</v>
      </c>
      <c r="N481" s="64">
        <v>427033</v>
      </c>
      <c r="O481" s="64">
        <v>25808</v>
      </c>
      <c r="P481" s="64">
        <v>136076</v>
      </c>
      <c r="Q481" s="54">
        <v>588917</v>
      </c>
      <c r="R481" s="62">
        <v>143098</v>
      </c>
      <c r="S481" s="54">
        <v>811217</v>
      </c>
      <c r="T481" s="81">
        <v>15020</v>
      </c>
      <c r="U481" s="81">
        <v>0</v>
      </c>
      <c r="V481" s="81">
        <v>0</v>
      </c>
      <c r="W481" s="81">
        <v>0</v>
      </c>
      <c r="X481" s="54">
        <v>826239</v>
      </c>
      <c r="Y481" s="54">
        <v>0</v>
      </c>
      <c r="Z481" s="54">
        <v>86810</v>
      </c>
      <c r="AA481" s="54">
        <v>588918</v>
      </c>
      <c r="AB481" s="54">
        <v>150511</v>
      </c>
      <c r="AC481" s="55" t="s">
        <v>184</v>
      </c>
      <c r="AD481" s="56">
        <v>4132</v>
      </c>
      <c r="AE481" s="57">
        <v>7</v>
      </c>
      <c r="AF481" s="55" t="s">
        <v>268</v>
      </c>
      <c r="AG481" s="69">
        <v>0</v>
      </c>
      <c r="AH481" s="57">
        <v>7</v>
      </c>
      <c r="AI481" s="55" t="s">
        <v>268</v>
      </c>
      <c r="AJ481" s="71">
        <v>0</v>
      </c>
      <c r="AK481" s="72">
        <f t="shared" si="42"/>
        <v>0</v>
      </c>
      <c r="AL481" s="72">
        <f t="shared" si="43"/>
        <v>0</v>
      </c>
      <c r="AM481">
        <v>-1</v>
      </c>
      <c r="AO481" s="102">
        <f t="shared" si="44"/>
        <v>0</v>
      </c>
      <c r="AP481" s="103">
        <f t="shared" si="45"/>
        <v>7608</v>
      </c>
      <c r="AQ481" s="101">
        <f t="shared" si="46"/>
        <v>1</v>
      </c>
      <c r="AR481" s="104">
        <f t="shared" si="47"/>
        <v>7413</v>
      </c>
    </row>
    <row r="482" spans="1:44">
      <c r="A482" s="50" t="s">
        <v>1224</v>
      </c>
      <c r="B482" s="51" t="s">
        <v>1225</v>
      </c>
      <c r="C482" s="50" t="s">
        <v>424</v>
      </c>
      <c r="D482" s="50">
        <v>27</v>
      </c>
      <c r="E482" s="51" t="s">
        <v>1227</v>
      </c>
      <c r="F482" s="51" t="s">
        <v>118</v>
      </c>
      <c r="G482" s="50" t="s">
        <v>119</v>
      </c>
      <c r="H482" s="52" t="s">
        <v>178</v>
      </c>
      <c r="I482" s="52" t="s">
        <v>190</v>
      </c>
      <c r="J482" s="53">
        <v>80.36</v>
      </c>
      <c r="K482" s="66">
        <v>0</v>
      </c>
      <c r="L482" s="66">
        <v>127867</v>
      </c>
      <c r="M482" s="54">
        <v>127867</v>
      </c>
      <c r="N482" s="64">
        <v>388626</v>
      </c>
      <c r="O482" s="64">
        <v>49644</v>
      </c>
      <c r="P482" s="64">
        <v>139370</v>
      </c>
      <c r="Q482" s="54">
        <v>577640</v>
      </c>
      <c r="R482" s="62">
        <v>146477</v>
      </c>
      <c r="S482" s="54">
        <v>851984</v>
      </c>
      <c r="T482" s="81">
        <v>2370</v>
      </c>
      <c r="U482" s="81">
        <v>0</v>
      </c>
      <c r="V482" s="81">
        <v>0</v>
      </c>
      <c r="W482" s="81">
        <v>0</v>
      </c>
      <c r="X482" s="54">
        <v>854355</v>
      </c>
      <c r="Y482" s="54">
        <v>0</v>
      </c>
      <c r="Z482" s="54">
        <v>128454</v>
      </c>
      <c r="AA482" s="54">
        <v>578255</v>
      </c>
      <c r="AB482" s="54">
        <v>147646</v>
      </c>
      <c r="AC482" s="55" t="s">
        <v>184</v>
      </c>
      <c r="AD482" s="56">
        <v>4152</v>
      </c>
      <c r="AE482" s="57">
        <v>7</v>
      </c>
      <c r="AF482" s="55" t="s">
        <v>118</v>
      </c>
      <c r="AG482" s="69">
        <v>0</v>
      </c>
      <c r="AH482" s="57">
        <v>7</v>
      </c>
      <c r="AI482" s="55" t="s">
        <v>118</v>
      </c>
      <c r="AJ482" s="71">
        <v>0</v>
      </c>
      <c r="AK482" s="72">
        <f t="shared" si="42"/>
        <v>0</v>
      </c>
      <c r="AL482" s="72">
        <f t="shared" si="43"/>
        <v>0</v>
      </c>
      <c r="AM482">
        <v>-1</v>
      </c>
      <c r="AO482" s="102">
        <f t="shared" si="44"/>
        <v>0</v>
      </c>
      <c r="AP482" s="103">
        <f t="shared" si="45"/>
        <v>587</v>
      </c>
      <c r="AQ482" s="101">
        <f t="shared" si="46"/>
        <v>615</v>
      </c>
      <c r="AR482" s="104">
        <f t="shared" si="47"/>
        <v>1169</v>
      </c>
    </row>
    <row r="483" spans="1:44">
      <c r="A483" s="50" t="s">
        <v>1224</v>
      </c>
      <c r="B483" s="51" t="s">
        <v>1225</v>
      </c>
      <c r="C483" s="50" t="s">
        <v>424</v>
      </c>
      <c r="D483" s="50">
        <v>27</v>
      </c>
      <c r="E483" s="51" t="s">
        <v>1227</v>
      </c>
      <c r="F483" s="51" t="s">
        <v>352</v>
      </c>
      <c r="G483" s="50" t="s">
        <v>353</v>
      </c>
      <c r="H483" s="52" t="s">
        <v>178</v>
      </c>
      <c r="I483" s="52" t="s">
        <v>192</v>
      </c>
      <c r="J483" s="53">
        <v>527.77</v>
      </c>
      <c r="K483" s="66">
        <v>0</v>
      </c>
      <c r="L483" s="66">
        <v>118894</v>
      </c>
      <c r="M483" s="54">
        <v>118894</v>
      </c>
      <c r="N483" s="64">
        <v>4523400</v>
      </c>
      <c r="O483" s="64">
        <v>311162</v>
      </c>
      <c r="P483" s="64">
        <v>734515</v>
      </c>
      <c r="Q483" s="54">
        <v>5569077</v>
      </c>
      <c r="R483" s="62">
        <v>325945</v>
      </c>
      <c r="S483" s="54">
        <v>6013916</v>
      </c>
      <c r="T483" s="81">
        <v>333743</v>
      </c>
      <c r="U483" s="81">
        <v>0</v>
      </c>
      <c r="V483" s="81">
        <v>0</v>
      </c>
      <c r="W483" s="81">
        <v>0</v>
      </c>
      <c r="X483" s="54">
        <v>6347659</v>
      </c>
      <c r="Y483" s="54">
        <v>0</v>
      </c>
      <c r="Z483" s="54">
        <v>118894</v>
      </c>
      <c r="AA483" s="54">
        <v>5582215</v>
      </c>
      <c r="AB483" s="54">
        <v>646550</v>
      </c>
      <c r="AC483" s="55" t="s">
        <v>184</v>
      </c>
      <c r="AD483" s="56">
        <v>4077</v>
      </c>
      <c r="AE483" s="57">
        <v>7</v>
      </c>
      <c r="AF483" s="55" t="s">
        <v>352</v>
      </c>
      <c r="AG483" s="69">
        <v>0</v>
      </c>
      <c r="AH483" s="57">
        <v>7</v>
      </c>
      <c r="AI483" s="55" t="s">
        <v>352</v>
      </c>
      <c r="AJ483" s="71">
        <v>0</v>
      </c>
      <c r="AK483" s="72">
        <f t="shared" si="42"/>
        <v>0</v>
      </c>
      <c r="AL483" s="72">
        <f t="shared" si="43"/>
        <v>0</v>
      </c>
      <c r="AM483">
        <v>-1</v>
      </c>
      <c r="AO483" s="102">
        <f t="shared" si="44"/>
        <v>0</v>
      </c>
      <c r="AP483" s="103">
        <f t="shared" si="45"/>
        <v>0</v>
      </c>
      <c r="AQ483" s="101">
        <f t="shared" si="46"/>
        <v>13138</v>
      </c>
      <c r="AR483" s="104">
        <f t="shared" si="47"/>
        <v>320605</v>
      </c>
    </row>
    <row r="484" spans="1:44">
      <c r="A484" s="50" t="s">
        <v>1224</v>
      </c>
      <c r="B484" s="51" t="s">
        <v>1225</v>
      </c>
      <c r="C484" s="50" t="s">
        <v>424</v>
      </c>
      <c r="D484" s="50">
        <v>27</v>
      </c>
      <c r="E484" s="51" t="s">
        <v>1227</v>
      </c>
      <c r="F484" s="51" t="s">
        <v>252</v>
      </c>
      <c r="G484" s="50" t="s">
        <v>253</v>
      </c>
      <c r="H484" s="52" t="s">
        <v>178</v>
      </c>
      <c r="I484" s="52" t="s">
        <v>192</v>
      </c>
      <c r="J484" s="53">
        <v>215.92</v>
      </c>
      <c r="K484" s="66">
        <v>0</v>
      </c>
      <c r="L484" s="66">
        <v>23193</v>
      </c>
      <c r="M484" s="54">
        <v>23193</v>
      </c>
      <c r="N484" s="64">
        <v>2095308</v>
      </c>
      <c r="O484" s="64">
        <v>29616</v>
      </c>
      <c r="P484" s="64">
        <v>212664</v>
      </c>
      <c r="Q484" s="54">
        <v>2337588</v>
      </c>
      <c r="R484" s="62">
        <v>235241</v>
      </c>
      <c r="S484" s="54">
        <v>2596022</v>
      </c>
      <c r="T484" s="81">
        <v>97337</v>
      </c>
      <c r="U484" s="81">
        <v>0</v>
      </c>
      <c r="V484" s="81">
        <v>0</v>
      </c>
      <c r="W484" s="81">
        <v>0</v>
      </c>
      <c r="X484" s="54">
        <v>2693359</v>
      </c>
      <c r="Y484" s="54">
        <v>0</v>
      </c>
      <c r="Z484" s="54">
        <v>23193</v>
      </c>
      <c r="AA484" s="54">
        <v>2341233</v>
      </c>
      <c r="AB484" s="54">
        <v>328933</v>
      </c>
      <c r="AC484" s="55" t="s">
        <v>184</v>
      </c>
      <c r="AD484" s="56">
        <v>4121</v>
      </c>
      <c r="AE484" s="57">
        <v>7</v>
      </c>
      <c r="AF484" s="55" t="s">
        <v>252</v>
      </c>
      <c r="AG484" s="69">
        <v>0</v>
      </c>
      <c r="AH484" s="57">
        <v>7</v>
      </c>
      <c r="AI484" s="55" t="s">
        <v>252</v>
      </c>
      <c r="AJ484" s="71">
        <v>0</v>
      </c>
      <c r="AK484" s="72">
        <f t="shared" si="42"/>
        <v>0</v>
      </c>
      <c r="AL484" s="72">
        <f t="shared" si="43"/>
        <v>0</v>
      </c>
      <c r="AM484">
        <v>-1</v>
      </c>
      <c r="AO484" s="102">
        <f t="shared" si="44"/>
        <v>0</v>
      </c>
      <c r="AP484" s="103">
        <f t="shared" si="45"/>
        <v>0</v>
      </c>
      <c r="AQ484" s="101">
        <f t="shared" si="46"/>
        <v>3645</v>
      </c>
      <c r="AR484" s="104">
        <f t="shared" si="47"/>
        <v>93692</v>
      </c>
    </row>
    <row r="485" spans="1:44">
      <c r="A485" s="50" t="s">
        <v>1087</v>
      </c>
      <c r="B485" s="51" t="s">
        <v>1088</v>
      </c>
      <c r="C485" s="50" t="s">
        <v>424</v>
      </c>
      <c r="D485" s="50">
        <v>87</v>
      </c>
      <c r="E485" s="51" t="s">
        <v>628</v>
      </c>
      <c r="F485" s="51" t="s">
        <v>374</v>
      </c>
      <c r="G485" s="50" t="s">
        <v>375</v>
      </c>
      <c r="H485" s="52" t="s">
        <v>178</v>
      </c>
      <c r="I485" s="52" t="s">
        <v>190</v>
      </c>
      <c r="J485" s="53">
        <v>201.25</v>
      </c>
      <c r="K485" s="66">
        <v>0</v>
      </c>
      <c r="L485" s="66">
        <v>-5208</v>
      </c>
      <c r="M485" s="54">
        <v>-5208</v>
      </c>
      <c r="N485" s="64">
        <v>1657857</v>
      </c>
      <c r="O485" s="64">
        <v>128786</v>
      </c>
      <c r="P485" s="64">
        <v>242167</v>
      </c>
      <c r="Q485" s="54">
        <v>2028810</v>
      </c>
      <c r="R485" s="62">
        <v>123157</v>
      </c>
      <c r="S485" s="54">
        <v>2146759</v>
      </c>
      <c r="T485" s="81">
        <v>132978</v>
      </c>
      <c r="U485" s="81">
        <v>0</v>
      </c>
      <c r="V485" s="81">
        <v>0</v>
      </c>
      <c r="W485" s="81">
        <v>0</v>
      </c>
      <c r="X485" s="54">
        <v>2279736</v>
      </c>
      <c r="Y485" s="54">
        <v>0</v>
      </c>
      <c r="Z485" s="54">
        <v>-4330</v>
      </c>
      <c r="AA485" s="54">
        <v>2032170</v>
      </c>
      <c r="AB485" s="54">
        <v>251896</v>
      </c>
      <c r="AC485" s="55" t="s">
        <v>184</v>
      </c>
      <c r="AD485" s="56">
        <v>4088</v>
      </c>
      <c r="AE485" s="57">
        <v>7</v>
      </c>
      <c r="AF485" s="55" t="s">
        <v>374</v>
      </c>
      <c r="AG485" s="69">
        <v>0</v>
      </c>
      <c r="AH485" s="57">
        <v>7</v>
      </c>
      <c r="AI485" s="55" t="s">
        <v>374</v>
      </c>
      <c r="AJ485" s="71">
        <v>0</v>
      </c>
      <c r="AK485" s="72">
        <f t="shared" si="42"/>
        <v>0</v>
      </c>
      <c r="AL485" s="72">
        <f t="shared" si="43"/>
        <v>0</v>
      </c>
      <c r="AM485">
        <v>-1</v>
      </c>
      <c r="AO485" s="102">
        <f t="shared" si="44"/>
        <v>0</v>
      </c>
      <c r="AP485" s="103">
        <f t="shared" si="45"/>
        <v>878</v>
      </c>
      <c r="AQ485" s="101">
        <f t="shared" si="46"/>
        <v>3360</v>
      </c>
      <c r="AR485" s="104">
        <f t="shared" si="47"/>
        <v>128739</v>
      </c>
    </row>
    <row r="486" spans="1:44">
      <c r="A486" s="50" t="s">
        <v>1224</v>
      </c>
      <c r="B486" s="51" t="s">
        <v>1225</v>
      </c>
      <c r="C486" s="50" t="s">
        <v>424</v>
      </c>
      <c r="D486" s="50">
        <v>27</v>
      </c>
      <c r="E486" s="51" t="s">
        <v>1227</v>
      </c>
      <c r="F486" s="51" t="s">
        <v>226</v>
      </c>
      <c r="G486" s="50" t="s">
        <v>227</v>
      </c>
      <c r="H486" s="52" t="s">
        <v>178</v>
      </c>
      <c r="I486" s="52" t="s">
        <v>191</v>
      </c>
      <c r="J486" s="53">
        <v>71.94</v>
      </c>
      <c r="K486" s="66">
        <v>0</v>
      </c>
      <c r="L486" s="66">
        <v>13517</v>
      </c>
      <c r="M486" s="54">
        <v>13517</v>
      </c>
      <c r="N486" s="64">
        <v>557624</v>
      </c>
      <c r="O486" s="64">
        <v>82312</v>
      </c>
      <c r="P486" s="64">
        <v>108284</v>
      </c>
      <c r="Q486" s="54">
        <v>748220</v>
      </c>
      <c r="R486" s="62">
        <v>55230</v>
      </c>
      <c r="S486" s="54">
        <v>816967</v>
      </c>
      <c r="T486" s="81">
        <v>24332</v>
      </c>
      <c r="U486" s="81">
        <v>0</v>
      </c>
      <c r="V486" s="81">
        <v>0</v>
      </c>
      <c r="W486" s="81">
        <v>0</v>
      </c>
      <c r="X486" s="54">
        <v>841299</v>
      </c>
      <c r="Y486" s="54">
        <v>0</v>
      </c>
      <c r="Z486" s="54">
        <v>20356</v>
      </c>
      <c r="AA486" s="54">
        <v>749806</v>
      </c>
      <c r="AB486" s="54">
        <v>71137</v>
      </c>
      <c r="AC486" s="55" t="s">
        <v>184</v>
      </c>
      <c r="AD486" s="56">
        <v>4107</v>
      </c>
      <c r="AE486" s="57">
        <v>7</v>
      </c>
      <c r="AF486" s="55" t="s">
        <v>226</v>
      </c>
      <c r="AG486" s="69">
        <v>0</v>
      </c>
      <c r="AH486" s="57">
        <v>7</v>
      </c>
      <c r="AI486" s="55" t="s">
        <v>226</v>
      </c>
      <c r="AJ486" s="71">
        <v>0</v>
      </c>
      <c r="AK486" s="72">
        <f t="shared" si="42"/>
        <v>0</v>
      </c>
      <c r="AL486" s="72">
        <f t="shared" si="43"/>
        <v>0</v>
      </c>
      <c r="AM486">
        <v>-1</v>
      </c>
      <c r="AO486" s="102">
        <f t="shared" si="44"/>
        <v>0</v>
      </c>
      <c r="AP486" s="103">
        <f t="shared" si="45"/>
        <v>6839</v>
      </c>
      <c r="AQ486" s="101">
        <f t="shared" si="46"/>
        <v>1586</v>
      </c>
      <c r="AR486" s="104">
        <f t="shared" si="47"/>
        <v>15907</v>
      </c>
    </row>
    <row r="487" spans="1:44">
      <c r="A487" s="50" t="s">
        <v>1146</v>
      </c>
      <c r="B487" s="51" t="s">
        <v>1147</v>
      </c>
      <c r="C487" s="50" t="s">
        <v>424</v>
      </c>
      <c r="D487" s="50">
        <v>58</v>
      </c>
      <c r="E487" s="51" t="s">
        <v>761</v>
      </c>
      <c r="F487" s="51" t="s">
        <v>200</v>
      </c>
      <c r="G487" s="50" t="s">
        <v>201</v>
      </c>
      <c r="H487" s="52" t="s">
        <v>178</v>
      </c>
      <c r="I487" s="52" t="s">
        <v>192</v>
      </c>
      <c r="J487" s="53">
        <v>109.13</v>
      </c>
      <c r="K487" s="66">
        <v>0</v>
      </c>
      <c r="L487" s="66">
        <v>93069</v>
      </c>
      <c r="M487" s="54">
        <v>93069</v>
      </c>
      <c r="N487" s="64">
        <v>755035</v>
      </c>
      <c r="O487" s="64">
        <v>13715</v>
      </c>
      <c r="P487" s="64">
        <v>158396</v>
      </c>
      <c r="Q487" s="54">
        <v>927146</v>
      </c>
      <c r="R487" s="62">
        <v>15207</v>
      </c>
      <c r="S487" s="54">
        <v>1035422</v>
      </c>
      <c r="T487" s="81">
        <v>2829</v>
      </c>
      <c r="U487" s="81">
        <v>0</v>
      </c>
      <c r="V487" s="81">
        <v>0</v>
      </c>
      <c r="W487" s="81">
        <v>0</v>
      </c>
      <c r="X487" s="54">
        <v>1038250</v>
      </c>
      <c r="Y487" s="54">
        <v>0</v>
      </c>
      <c r="Z487" s="54">
        <v>95897</v>
      </c>
      <c r="AA487" s="54">
        <v>927146</v>
      </c>
      <c r="AB487" s="54">
        <v>15207</v>
      </c>
      <c r="AC487" s="55" t="s">
        <v>184</v>
      </c>
      <c r="AD487" s="56">
        <v>4092</v>
      </c>
      <c r="AE487" s="57">
        <v>7</v>
      </c>
      <c r="AF487" s="55" t="s">
        <v>200</v>
      </c>
      <c r="AG487" s="69">
        <v>0</v>
      </c>
      <c r="AH487" s="57">
        <v>7</v>
      </c>
      <c r="AI487" s="55" t="s">
        <v>200</v>
      </c>
      <c r="AJ487" s="71">
        <v>0</v>
      </c>
      <c r="AK487" s="72">
        <f t="shared" si="42"/>
        <v>0</v>
      </c>
      <c r="AL487" s="72">
        <f t="shared" si="43"/>
        <v>0</v>
      </c>
      <c r="AM487">
        <v>-1</v>
      </c>
      <c r="AO487" s="102">
        <f t="shared" si="44"/>
        <v>0</v>
      </c>
      <c r="AP487" s="103">
        <f t="shared" si="45"/>
        <v>2828</v>
      </c>
      <c r="AQ487" s="101">
        <f t="shared" si="46"/>
        <v>0</v>
      </c>
      <c r="AR487" s="104">
        <f t="shared" si="47"/>
        <v>0</v>
      </c>
    </row>
    <row r="488" spans="1:44" s="93" customFormat="1">
      <c r="A488" s="83" t="s">
        <v>1224</v>
      </c>
      <c r="B488" s="84" t="s">
        <v>1225</v>
      </c>
      <c r="C488" s="83" t="s">
        <v>424</v>
      </c>
      <c r="D488" s="83">
        <v>27</v>
      </c>
      <c r="E488" s="84" t="s">
        <v>1227</v>
      </c>
      <c r="F488" s="94" t="s">
        <v>164</v>
      </c>
      <c r="G488" s="83" t="s">
        <v>165</v>
      </c>
      <c r="H488" s="85" t="s">
        <v>178</v>
      </c>
      <c r="I488" s="85"/>
      <c r="J488" s="86">
        <v>0</v>
      </c>
      <c r="K488" s="86">
        <v>0</v>
      </c>
      <c r="L488" s="86">
        <v>225</v>
      </c>
      <c r="M488" s="87">
        <v>225</v>
      </c>
      <c r="N488" s="86">
        <v>0</v>
      </c>
      <c r="O488" s="86">
        <v>0</v>
      </c>
      <c r="P488" s="86">
        <v>0</v>
      </c>
      <c r="Q488" s="87">
        <v>0</v>
      </c>
      <c r="R488" s="86">
        <v>31952</v>
      </c>
      <c r="S488" s="87">
        <v>32177</v>
      </c>
      <c r="T488" s="81">
        <v>0</v>
      </c>
      <c r="U488" s="81">
        <v>0</v>
      </c>
      <c r="V488" s="81">
        <v>0</v>
      </c>
      <c r="W488" s="81">
        <v>0</v>
      </c>
      <c r="X488" s="87">
        <v>32177</v>
      </c>
      <c r="Y488" s="87">
        <v>0</v>
      </c>
      <c r="Z488" s="87">
        <v>225</v>
      </c>
      <c r="AA488" s="87">
        <v>0</v>
      </c>
      <c r="AB488" s="87">
        <v>31952</v>
      </c>
      <c r="AC488" s="88" t="s">
        <v>184</v>
      </c>
      <c r="AD488" s="89">
        <v>4176</v>
      </c>
      <c r="AE488" s="90">
        <v>7</v>
      </c>
      <c r="AF488" s="90" t="s">
        <v>164</v>
      </c>
      <c r="AG488" s="91">
        <v>0</v>
      </c>
      <c r="AH488" s="90">
        <v>7</v>
      </c>
      <c r="AI488" s="90" t="s">
        <v>164</v>
      </c>
      <c r="AJ488" s="92">
        <v>0</v>
      </c>
      <c r="AK488" s="93">
        <f t="shared" si="42"/>
        <v>0</v>
      </c>
      <c r="AL488" s="93">
        <f t="shared" si="43"/>
        <v>0</v>
      </c>
      <c r="AM488" s="93">
        <v>-1</v>
      </c>
      <c r="AO488" s="102">
        <f t="shared" si="44"/>
        <v>0</v>
      </c>
      <c r="AP488" s="103">
        <f t="shared" si="45"/>
        <v>0</v>
      </c>
      <c r="AQ488" s="101">
        <f t="shared" si="46"/>
        <v>0</v>
      </c>
      <c r="AR488" s="104">
        <f t="shared" si="47"/>
        <v>0</v>
      </c>
    </row>
    <row r="489" spans="1:44">
      <c r="A489" s="50" t="s">
        <v>1224</v>
      </c>
      <c r="B489" s="51" t="s">
        <v>1225</v>
      </c>
      <c r="C489" s="50" t="s">
        <v>424</v>
      </c>
      <c r="D489" s="50">
        <v>82</v>
      </c>
      <c r="E489" s="51" t="s">
        <v>583</v>
      </c>
      <c r="F489" s="51" t="s">
        <v>370</v>
      </c>
      <c r="G489" s="50" t="s">
        <v>371</v>
      </c>
      <c r="H489" s="52" t="s">
        <v>178</v>
      </c>
      <c r="I489" s="95" t="s">
        <v>192</v>
      </c>
      <c r="J489" s="53">
        <v>244.16</v>
      </c>
      <c r="K489" s="66">
        <v>0</v>
      </c>
      <c r="L489" s="66">
        <v>644556</v>
      </c>
      <c r="M489" s="54">
        <v>644556</v>
      </c>
      <c r="N489" s="64">
        <v>1837119</v>
      </c>
      <c r="O489" s="64">
        <v>74495</v>
      </c>
      <c r="P489" s="64">
        <v>369273</v>
      </c>
      <c r="Q489" s="54">
        <v>2280887</v>
      </c>
      <c r="R489" s="62">
        <v>145764</v>
      </c>
      <c r="S489" s="54">
        <v>3071207</v>
      </c>
      <c r="T489" s="81">
        <v>163817</v>
      </c>
      <c r="U489" s="81">
        <v>0</v>
      </c>
      <c r="V489" s="81">
        <v>0</v>
      </c>
      <c r="W489" s="81">
        <v>0</v>
      </c>
      <c r="X489" s="54">
        <v>3235025</v>
      </c>
      <c r="Y489" s="54">
        <v>0</v>
      </c>
      <c r="Z489" s="54">
        <v>656491</v>
      </c>
      <c r="AA489" s="54">
        <v>2284733</v>
      </c>
      <c r="AB489" s="54">
        <v>293801</v>
      </c>
      <c r="AC489" s="55" t="s">
        <v>184</v>
      </c>
      <c r="AD489" s="56">
        <v>4086</v>
      </c>
      <c r="AE489" s="57">
        <v>7</v>
      </c>
      <c r="AF489" s="55" t="s">
        <v>370</v>
      </c>
      <c r="AG489" s="69">
        <v>0</v>
      </c>
      <c r="AH489" s="57">
        <v>7</v>
      </c>
      <c r="AI489" s="55" t="s">
        <v>370</v>
      </c>
      <c r="AJ489" s="71">
        <v>0</v>
      </c>
      <c r="AK489" s="72">
        <f t="shared" si="42"/>
        <v>0</v>
      </c>
      <c r="AL489" s="72">
        <f t="shared" si="43"/>
        <v>0</v>
      </c>
      <c r="AM489">
        <v>-1</v>
      </c>
      <c r="AO489" s="102">
        <f t="shared" si="44"/>
        <v>0</v>
      </c>
      <c r="AP489" s="103">
        <f t="shared" si="45"/>
        <v>11935</v>
      </c>
      <c r="AQ489" s="101">
        <f t="shared" si="46"/>
        <v>3846</v>
      </c>
      <c r="AR489" s="104">
        <f t="shared" si="47"/>
        <v>148037</v>
      </c>
    </row>
    <row r="490" spans="1:44">
      <c r="A490" s="50" t="s">
        <v>1218</v>
      </c>
      <c r="B490" s="51" t="s">
        <v>1219</v>
      </c>
      <c r="C490" s="50" t="s">
        <v>424</v>
      </c>
      <c r="D490" s="50">
        <v>1</v>
      </c>
      <c r="E490" s="51" t="s">
        <v>1221</v>
      </c>
      <c r="F490" s="51" t="s">
        <v>447</v>
      </c>
      <c r="G490" s="50" t="s">
        <v>448</v>
      </c>
      <c r="H490" s="52" t="s">
        <v>178</v>
      </c>
      <c r="I490" s="95" t="s">
        <v>191</v>
      </c>
      <c r="J490" s="53">
        <v>150.44</v>
      </c>
      <c r="K490" s="66">
        <v>0</v>
      </c>
      <c r="L490" s="66">
        <v>89422</v>
      </c>
      <c r="M490" s="54">
        <v>89422</v>
      </c>
      <c r="N490" s="64">
        <v>854852</v>
      </c>
      <c r="O490" s="64">
        <v>134775</v>
      </c>
      <c r="P490" s="64">
        <v>170826</v>
      </c>
      <c r="Q490" s="54">
        <v>1160453</v>
      </c>
      <c r="R490" s="62">
        <v>20515</v>
      </c>
      <c r="S490" s="54">
        <v>1270390</v>
      </c>
      <c r="T490" s="81">
        <v>21358</v>
      </c>
      <c r="U490" s="81">
        <v>60513</v>
      </c>
      <c r="V490" s="81">
        <v>0</v>
      </c>
      <c r="W490" s="81">
        <v>0</v>
      </c>
      <c r="X490" s="54">
        <v>1352260</v>
      </c>
      <c r="Y490" s="54">
        <v>0</v>
      </c>
      <c r="Z490" s="54">
        <v>169969</v>
      </c>
      <c r="AA490" s="54">
        <v>1161776</v>
      </c>
      <c r="AB490" s="54">
        <v>20515</v>
      </c>
      <c r="AC490" s="55" t="s">
        <v>184</v>
      </c>
      <c r="AD490" s="56">
        <v>4016</v>
      </c>
      <c r="AE490" s="57">
        <v>7</v>
      </c>
      <c r="AF490" s="55" t="s">
        <v>447</v>
      </c>
      <c r="AG490" s="69">
        <v>60</v>
      </c>
      <c r="AH490" s="57">
        <v>7</v>
      </c>
      <c r="AI490" s="55" t="s">
        <v>447</v>
      </c>
      <c r="AJ490" s="71">
        <v>0</v>
      </c>
      <c r="AK490" s="72">
        <f t="shared" si="42"/>
        <v>-60</v>
      </c>
      <c r="AL490" s="72">
        <f t="shared" si="43"/>
        <v>0</v>
      </c>
      <c r="AM490">
        <v>-1</v>
      </c>
      <c r="AO490" s="102">
        <f t="shared" si="44"/>
        <v>0</v>
      </c>
      <c r="AP490" s="103">
        <f t="shared" si="45"/>
        <v>80547</v>
      </c>
      <c r="AQ490" s="101">
        <f t="shared" si="46"/>
        <v>1323</v>
      </c>
      <c r="AR490" s="104">
        <f t="shared" si="47"/>
        <v>0</v>
      </c>
    </row>
    <row r="491" spans="1:44">
      <c r="A491" s="50" t="s">
        <v>1224</v>
      </c>
      <c r="B491" s="51" t="s">
        <v>1225</v>
      </c>
      <c r="C491" s="50" t="s">
        <v>424</v>
      </c>
      <c r="D491" s="50">
        <v>27</v>
      </c>
      <c r="E491" s="51" t="s">
        <v>1227</v>
      </c>
      <c r="F491" s="51" t="s">
        <v>260</v>
      </c>
      <c r="G491" s="50" t="s">
        <v>261</v>
      </c>
      <c r="H491" s="52" t="s">
        <v>178</v>
      </c>
      <c r="I491" s="52" t="s">
        <v>191</v>
      </c>
      <c r="J491" s="53">
        <v>106.31</v>
      </c>
      <c r="K491" s="66">
        <v>0</v>
      </c>
      <c r="L491" s="66">
        <v>19539</v>
      </c>
      <c r="M491" s="54">
        <v>19539</v>
      </c>
      <c r="N491" s="64">
        <v>869532</v>
      </c>
      <c r="O491" s="64">
        <v>52380</v>
      </c>
      <c r="P491" s="64">
        <v>177506</v>
      </c>
      <c r="Q491" s="54">
        <v>1099418</v>
      </c>
      <c r="R491" s="62">
        <v>330207</v>
      </c>
      <c r="S491" s="54">
        <v>1449164</v>
      </c>
      <c r="T491" s="81">
        <v>51600</v>
      </c>
      <c r="U491" s="81">
        <v>5300</v>
      </c>
      <c r="V491" s="81">
        <v>0</v>
      </c>
      <c r="W491" s="81">
        <v>0</v>
      </c>
      <c r="X491" s="54">
        <v>1506063</v>
      </c>
      <c r="Y491" s="54">
        <v>0</v>
      </c>
      <c r="Z491" s="54">
        <v>29110</v>
      </c>
      <c r="AA491" s="54">
        <v>1102350</v>
      </c>
      <c r="AB491" s="54">
        <v>374603</v>
      </c>
      <c r="AC491" s="55" t="s">
        <v>184</v>
      </c>
      <c r="AD491" s="56">
        <v>4125</v>
      </c>
      <c r="AE491" s="57">
        <v>7</v>
      </c>
      <c r="AF491" s="55" t="s">
        <v>260</v>
      </c>
      <c r="AG491" s="69">
        <v>0</v>
      </c>
      <c r="AH491" s="57">
        <v>7</v>
      </c>
      <c r="AI491" s="55" t="s">
        <v>260</v>
      </c>
      <c r="AJ491" s="71">
        <v>0</v>
      </c>
      <c r="AK491" s="72">
        <f t="shared" si="42"/>
        <v>0</v>
      </c>
      <c r="AL491" s="72">
        <f t="shared" si="43"/>
        <v>0</v>
      </c>
      <c r="AM491">
        <v>-1</v>
      </c>
      <c r="AO491" s="102">
        <f t="shared" si="44"/>
        <v>0</v>
      </c>
      <c r="AP491" s="103">
        <f t="shared" si="45"/>
        <v>9571</v>
      </c>
      <c r="AQ491" s="101">
        <f t="shared" si="46"/>
        <v>2932</v>
      </c>
      <c r="AR491" s="104">
        <f t="shared" si="47"/>
        <v>44396</v>
      </c>
    </row>
    <row r="492" spans="1:44">
      <c r="A492" s="50" t="s">
        <v>1224</v>
      </c>
      <c r="B492" s="51" t="s">
        <v>1225</v>
      </c>
      <c r="C492" s="50" t="s">
        <v>424</v>
      </c>
      <c r="D492" s="50">
        <v>27</v>
      </c>
      <c r="E492" s="51" t="s">
        <v>1227</v>
      </c>
      <c r="F492" s="51" t="s">
        <v>344</v>
      </c>
      <c r="G492" s="50" t="s">
        <v>345</v>
      </c>
      <c r="H492" s="52" t="s">
        <v>178</v>
      </c>
      <c r="I492" s="52" t="s">
        <v>191</v>
      </c>
      <c r="J492" s="53">
        <v>28.91</v>
      </c>
      <c r="K492" s="66">
        <v>0</v>
      </c>
      <c r="L492" s="66">
        <v>1022</v>
      </c>
      <c r="M492" s="54">
        <v>1022</v>
      </c>
      <c r="N492" s="64">
        <v>215975</v>
      </c>
      <c r="O492" s="64">
        <v>33969</v>
      </c>
      <c r="P492" s="64">
        <v>43973</v>
      </c>
      <c r="Q492" s="54">
        <v>293917</v>
      </c>
      <c r="R492" s="62">
        <v>37672</v>
      </c>
      <c r="S492" s="54">
        <v>332611</v>
      </c>
      <c r="T492" s="81">
        <v>0</v>
      </c>
      <c r="U492" s="81">
        <v>0</v>
      </c>
      <c r="V492" s="81">
        <v>0</v>
      </c>
      <c r="W492" s="81">
        <v>0</v>
      </c>
      <c r="X492" s="54">
        <v>332611</v>
      </c>
      <c r="Y492" s="54">
        <v>0</v>
      </c>
      <c r="Z492" s="54">
        <v>1022</v>
      </c>
      <c r="AA492" s="54">
        <v>293917</v>
      </c>
      <c r="AB492" s="54">
        <v>37672</v>
      </c>
      <c r="AC492" s="55" t="s">
        <v>184</v>
      </c>
      <c r="AD492" s="56">
        <v>4072</v>
      </c>
      <c r="AE492" s="57">
        <v>7</v>
      </c>
      <c r="AF492" s="55" t="s">
        <v>344</v>
      </c>
      <c r="AG492" s="69">
        <v>0</v>
      </c>
      <c r="AH492" s="57">
        <v>7</v>
      </c>
      <c r="AI492" s="55" t="s">
        <v>344</v>
      </c>
      <c r="AJ492" s="71">
        <v>0</v>
      </c>
      <c r="AK492" s="72">
        <f t="shared" si="42"/>
        <v>0</v>
      </c>
      <c r="AL492" s="72">
        <f t="shared" si="43"/>
        <v>0</v>
      </c>
      <c r="AM492">
        <v>-1</v>
      </c>
      <c r="AO492" s="102">
        <f t="shared" si="44"/>
        <v>0</v>
      </c>
      <c r="AP492" s="103">
        <f t="shared" si="45"/>
        <v>0</v>
      </c>
      <c r="AQ492" s="101">
        <f t="shared" si="46"/>
        <v>0</v>
      </c>
      <c r="AR492" s="104">
        <f t="shared" si="47"/>
        <v>0</v>
      </c>
    </row>
    <row r="493" spans="1:44">
      <c r="A493" s="50" t="s">
        <v>1224</v>
      </c>
      <c r="B493" s="51" t="s">
        <v>1225</v>
      </c>
      <c r="C493" s="50" t="s">
        <v>424</v>
      </c>
      <c r="D493" s="50">
        <v>82</v>
      </c>
      <c r="E493" s="51" t="s">
        <v>583</v>
      </c>
      <c r="F493" s="51" t="s">
        <v>282</v>
      </c>
      <c r="G493" s="50" t="s">
        <v>283</v>
      </c>
      <c r="H493" s="52" t="s">
        <v>178</v>
      </c>
      <c r="I493" s="52" t="s">
        <v>190</v>
      </c>
      <c r="J493" s="53">
        <v>81.73</v>
      </c>
      <c r="K493" s="66">
        <v>0</v>
      </c>
      <c r="L493" s="66">
        <v>123084</v>
      </c>
      <c r="M493" s="54">
        <v>123084</v>
      </c>
      <c r="N493" s="64">
        <v>399191</v>
      </c>
      <c r="O493" s="64">
        <v>6818</v>
      </c>
      <c r="P493" s="64">
        <v>138457</v>
      </c>
      <c r="Q493" s="54">
        <v>544466</v>
      </c>
      <c r="R493" s="62">
        <v>185491</v>
      </c>
      <c r="S493" s="54">
        <v>853041</v>
      </c>
      <c r="T493" s="81">
        <v>23346</v>
      </c>
      <c r="U493" s="81">
        <v>59432</v>
      </c>
      <c r="V493" s="81">
        <v>0</v>
      </c>
      <c r="W493" s="81">
        <v>0</v>
      </c>
      <c r="X493" s="54">
        <v>935818</v>
      </c>
      <c r="Y493" s="54">
        <v>0</v>
      </c>
      <c r="Z493" s="54">
        <v>204684</v>
      </c>
      <c r="AA493" s="54">
        <v>544831</v>
      </c>
      <c r="AB493" s="54">
        <v>186303</v>
      </c>
      <c r="AC493" s="55" t="s">
        <v>184</v>
      </c>
      <c r="AD493" s="56">
        <v>4140</v>
      </c>
      <c r="AE493" s="57">
        <v>7</v>
      </c>
      <c r="AF493" s="55" t="s">
        <v>282</v>
      </c>
      <c r="AG493" s="69">
        <v>0</v>
      </c>
      <c r="AH493" s="57">
        <v>7</v>
      </c>
      <c r="AI493" s="55" t="s">
        <v>282</v>
      </c>
      <c r="AJ493" s="71">
        <v>0</v>
      </c>
      <c r="AK493" s="72">
        <f t="shared" si="42"/>
        <v>0</v>
      </c>
      <c r="AL493" s="72">
        <f t="shared" si="43"/>
        <v>0</v>
      </c>
      <c r="AM493">
        <v>-1</v>
      </c>
      <c r="AO493" s="102">
        <f t="shared" si="44"/>
        <v>0</v>
      </c>
      <c r="AP493" s="103">
        <f t="shared" si="45"/>
        <v>81600</v>
      </c>
      <c r="AQ493" s="101">
        <f t="shared" si="46"/>
        <v>365</v>
      </c>
      <c r="AR493" s="104">
        <f t="shared" si="47"/>
        <v>812</v>
      </c>
    </row>
    <row r="494" spans="1:44">
      <c r="A494" s="14"/>
      <c r="B494" s="15"/>
      <c r="C494" s="14"/>
      <c r="D494" s="14"/>
      <c r="E494" s="15"/>
      <c r="F494" s="15" t="s">
        <v>174</v>
      </c>
      <c r="G494" s="14" t="s">
        <v>175</v>
      </c>
      <c r="H494" s="14"/>
      <c r="I494" s="14"/>
      <c r="J494" s="16">
        <v>838616.22</v>
      </c>
      <c r="K494" s="16">
        <v>855760925</v>
      </c>
      <c r="L494" s="16">
        <v>422759480</v>
      </c>
      <c r="M494" s="28">
        <v>1278520405</v>
      </c>
      <c r="N494" s="16">
        <v>5478268886</v>
      </c>
      <c r="O494" s="16">
        <v>619049949</v>
      </c>
      <c r="P494" s="16">
        <v>183553581</v>
      </c>
      <c r="Q494" s="28">
        <v>6280872416</v>
      </c>
      <c r="R494" s="16">
        <v>372439494</v>
      </c>
      <c r="S494" s="28">
        <v>7931832315</v>
      </c>
      <c r="T494" s="81">
        <v>348211015</v>
      </c>
      <c r="U494" s="81">
        <v>373001329</v>
      </c>
      <c r="V494" s="81">
        <v>114149161</v>
      </c>
      <c r="W494" s="81">
        <v>786778319</v>
      </c>
      <c r="X494" s="28">
        <v>9553972119</v>
      </c>
      <c r="Y494" s="28">
        <v>1600115494</v>
      </c>
      <c r="Z494" s="28">
        <v>962172131</v>
      </c>
      <c r="AA494" s="28">
        <v>6462916006</v>
      </c>
      <c r="AB494" s="28">
        <v>528768473</v>
      </c>
      <c r="AC494" s="40"/>
      <c r="AD494" s="41"/>
      <c r="AE494" s="42"/>
      <c r="AF494" s="40"/>
      <c r="AG494" s="43"/>
    </row>
    <row r="495" spans="1:44">
      <c r="AC495" s="40" t="s">
        <v>184</v>
      </c>
      <c r="AD495" s="45">
        <v>9999</v>
      </c>
      <c r="AE495" s="44"/>
      <c r="AF495" s="40" t="s">
        <v>186</v>
      </c>
      <c r="AG495" s="46">
        <v>75296314.829999998</v>
      </c>
      <c r="AI495" s="44" t="s">
        <v>186</v>
      </c>
      <c r="AJ495" s="46">
        <f>SUM(AJ6:AJ493)</f>
        <v>46549305.989999995</v>
      </c>
    </row>
  </sheetData>
  <sheetCalcPr fullCalcOnLoad="1"/>
  <autoFilter ref="A1:AB495"/>
  <sortState ref="A7:Z494">
    <sortCondition ref="F7:F494"/>
    <sortCondition ref="G7:G494"/>
  </sortState>
  <mergeCells count="19">
    <mergeCell ref="T3:W3"/>
    <mergeCell ref="AA3:AA4"/>
    <mergeCell ref="AB3:AB4"/>
    <mergeCell ref="E2:E5"/>
    <mergeCell ref="Y3:Z3"/>
    <mergeCell ref="K2:S2"/>
    <mergeCell ref="T2:W2"/>
    <mergeCell ref="G2:G5"/>
    <mergeCell ref="J2:J5"/>
    <mergeCell ref="X2:X4"/>
    <mergeCell ref="Y2:AB2"/>
    <mergeCell ref="K3:M3"/>
    <mergeCell ref="N3:Q3"/>
    <mergeCell ref="S3:S4"/>
    <mergeCell ref="A2:A5"/>
    <mergeCell ref="B2:B5"/>
    <mergeCell ref="C2:C5"/>
    <mergeCell ref="D2:D5"/>
    <mergeCell ref="F2:F4"/>
  </mergeCells>
  <phoneticPr fontId="1" type="noConversion"/>
  <hyperlinks>
    <hyperlink ref="F1" r:id="rId1"/>
  </hyperlinks>
  <pageMargins left="0.59" right="0.42" top="0.52" bottom="0.56000000000000005" header="0.28999999999999998" footer="0.28000000000000003"/>
  <headerFooter alignWithMargins="0">
    <oddFooter>&amp;CPage &amp;P</oddFooter>
  </headerFooter>
  <legacyDrawing r:id="rId2"/>
  <extLst>
    <ext xmlns:mx="http://schemas.microsoft.com/office/mac/excel/2008/main" uri="http://schemas.microsoft.com/office/mac/excel/2008/main">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W348"/>
  <sheetViews>
    <sheetView topLeftCell="F1" workbookViewId="0">
      <selection activeCell="F197" sqref="F197"/>
    </sheetView>
  </sheetViews>
  <sheetFormatPr baseColWidth="10" defaultColWidth="8.83203125" defaultRowHeight="12"/>
  <cols>
    <col min="1" max="1" width="8.5" style="8" hidden="1" customWidth="1"/>
    <col min="2" max="2" width="25.6640625" hidden="1" customWidth="1"/>
    <col min="3" max="3" width="4.33203125" style="8" hidden="1" customWidth="1"/>
    <col min="4" max="4" width="4.5" style="8" hidden="1" customWidth="1"/>
    <col min="5" max="5" width="15.5" hidden="1" customWidth="1"/>
    <col min="6" max="6" width="44.5" customWidth="1"/>
    <col min="7" max="7" width="9.33203125" style="8" customWidth="1"/>
    <col min="8" max="8" width="8.1640625" style="8" customWidth="1"/>
    <col min="9" max="9" width="9.33203125" style="8" customWidth="1"/>
    <col min="10" max="10" width="9.33203125" customWidth="1"/>
    <col min="11" max="12" width="10.83203125" customWidth="1"/>
    <col min="13" max="13" width="12.6640625" customWidth="1"/>
    <col min="14" max="14" width="10.83203125" customWidth="1"/>
    <col min="15" max="15" width="13.33203125" customWidth="1"/>
    <col min="16" max="16" width="10.83203125" customWidth="1"/>
    <col min="17" max="17" width="13.83203125" customWidth="1"/>
    <col min="18" max="21" width="10.83203125" customWidth="1"/>
    <col min="22" max="22" width="11.6640625" bestFit="1" customWidth="1"/>
    <col min="23" max="23" width="15.83203125" customWidth="1"/>
  </cols>
  <sheetData>
    <row r="1" spans="1:22" ht="13" thickBot="1">
      <c r="F1" s="17" t="s">
        <v>177</v>
      </c>
    </row>
    <row r="2" spans="1:22" ht="18.75" customHeight="1" thickBot="1">
      <c r="A2" s="220" t="s">
        <v>1215</v>
      </c>
      <c r="B2" s="220" t="s">
        <v>1173</v>
      </c>
      <c r="C2" s="220" t="s">
        <v>1216</v>
      </c>
      <c r="D2" s="220" t="s">
        <v>1172</v>
      </c>
      <c r="E2" s="231" t="s">
        <v>1214</v>
      </c>
      <c r="F2" s="224" t="s">
        <v>176</v>
      </c>
      <c r="G2" s="241" t="s">
        <v>1170</v>
      </c>
      <c r="H2" s="32"/>
      <c r="I2" s="32"/>
      <c r="J2" s="244" t="s">
        <v>1213</v>
      </c>
      <c r="K2" s="19" t="s">
        <v>1201</v>
      </c>
      <c r="L2" s="19"/>
      <c r="M2" s="19"/>
      <c r="O2" s="20"/>
      <c r="P2" s="20"/>
      <c r="Q2" s="20"/>
      <c r="R2" s="20"/>
    </row>
    <row r="3" spans="1:22" ht="29.25" customHeight="1" thickBot="1">
      <c r="A3" s="221"/>
      <c r="B3" s="221"/>
      <c r="C3" s="221"/>
      <c r="D3" s="221"/>
      <c r="E3" s="232"/>
      <c r="F3" s="225"/>
      <c r="G3" s="242"/>
      <c r="H3" s="33"/>
      <c r="I3" s="33"/>
      <c r="J3" s="245"/>
      <c r="K3" s="21" t="s">
        <v>1192</v>
      </c>
      <c r="L3" s="21"/>
      <c r="M3" s="21"/>
      <c r="O3" s="21" t="s">
        <v>1194</v>
      </c>
      <c r="P3" s="22"/>
      <c r="Q3" s="22"/>
      <c r="R3" s="2" t="s">
        <v>1196</v>
      </c>
    </row>
    <row r="4" spans="1:22" ht="51.75" customHeight="1" thickBot="1">
      <c r="A4" s="221"/>
      <c r="B4" s="221"/>
      <c r="C4" s="221"/>
      <c r="D4" s="221"/>
      <c r="E4" s="232"/>
      <c r="F4" s="226"/>
      <c r="G4" s="242"/>
      <c r="H4" s="34" t="s">
        <v>178</v>
      </c>
      <c r="I4" s="34" t="s">
        <v>189</v>
      </c>
      <c r="J4" s="245"/>
      <c r="K4" s="9" t="s">
        <v>1191</v>
      </c>
      <c r="L4" s="9" t="s">
        <v>75</v>
      </c>
      <c r="M4" s="9" t="s">
        <v>1193</v>
      </c>
      <c r="O4" s="9" t="s">
        <v>1195</v>
      </c>
      <c r="P4" s="9" t="s">
        <v>1212</v>
      </c>
      <c r="Q4" s="9" t="s">
        <v>1199</v>
      </c>
      <c r="R4" s="5" t="s">
        <v>1211</v>
      </c>
      <c r="S4" s="67" t="s">
        <v>1211</v>
      </c>
      <c r="T4" s="67" t="s">
        <v>1193</v>
      </c>
    </row>
    <row r="5" spans="1:22" s="3" customFormat="1" ht="13" thickBot="1">
      <c r="A5" s="222"/>
      <c r="B5" s="223"/>
      <c r="C5" s="222"/>
      <c r="D5" s="222"/>
      <c r="E5" s="233"/>
      <c r="F5" s="4" t="s">
        <v>1171</v>
      </c>
      <c r="G5" s="243"/>
      <c r="H5" s="22"/>
      <c r="I5" s="49"/>
      <c r="J5" s="246"/>
      <c r="K5" s="6" t="s">
        <v>1174</v>
      </c>
      <c r="L5" s="6" t="s">
        <v>57</v>
      </c>
      <c r="M5" s="6" t="s">
        <v>1175</v>
      </c>
      <c r="N5" s="67" t="s">
        <v>174</v>
      </c>
      <c r="O5" s="7" t="s">
        <v>1177</v>
      </c>
      <c r="P5" s="7" t="s">
        <v>1178</v>
      </c>
      <c r="Q5" s="7" t="s">
        <v>1179</v>
      </c>
      <c r="R5" s="7" t="s">
        <v>1181</v>
      </c>
      <c r="S5" s="67"/>
      <c r="T5" s="67"/>
      <c r="U5" s="67" t="s">
        <v>193</v>
      </c>
      <c r="V5" s="67" t="s">
        <v>194</v>
      </c>
    </row>
    <row r="6" spans="1:22">
      <c r="A6" s="11" t="s">
        <v>1218</v>
      </c>
      <c r="B6" s="12" t="s">
        <v>1219</v>
      </c>
      <c r="C6" s="11" t="s">
        <v>1220</v>
      </c>
      <c r="D6" s="11">
        <v>1</v>
      </c>
      <c r="E6" s="12" t="s">
        <v>1221</v>
      </c>
      <c r="F6" s="12" t="s">
        <v>1222</v>
      </c>
      <c r="G6" s="11" t="s">
        <v>1223</v>
      </c>
      <c r="H6" s="11"/>
      <c r="I6" s="11"/>
      <c r="J6" s="13">
        <v>1322.2</v>
      </c>
      <c r="K6" s="65">
        <v>613626</v>
      </c>
      <c r="L6" s="65">
        <v>183370</v>
      </c>
      <c r="M6" s="65">
        <v>1325974</v>
      </c>
      <c r="N6" s="101">
        <v>78700</v>
      </c>
      <c r="O6" s="63">
        <v>8539952</v>
      </c>
      <c r="P6" s="63">
        <v>679449</v>
      </c>
      <c r="Q6" s="63">
        <v>52813</v>
      </c>
      <c r="R6" s="61">
        <v>255760</v>
      </c>
      <c r="S6" s="104">
        <v>259551</v>
      </c>
      <c r="T6" s="103">
        <v>569450</v>
      </c>
      <c r="U6" s="72">
        <v>-98691.4</v>
      </c>
      <c r="V6" s="72">
        <v>-109867.98</v>
      </c>
    </row>
    <row r="7" spans="1:22">
      <c r="A7" s="14" t="s">
        <v>1224</v>
      </c>
      <c r="B7" s="15" t="s">
        <v>1225</v>
      </c>
      <c r="C7" s="14" t="s">
        <v>1226</v>
      </c>
      <c r="D7" s="14">
        <v>27</v>
      </c>
      <c r="E7" s="15" t="s">
        <v>1227</v>
      </c>
      <c r="F7" s="182" t="s">
        <v>1228</v>
      </c>
      <c r="G7" s="183" t="s">
        <v>1223</v>
      </c>
      <c r="H7" s="184" t="s">
        <v>52</v>
      </c>
      <c r="I7" s="184" t="s">
        <v>192</v>
      </c>
      <c r="J7" s="185">
        <v>39479.31</v>
      </c>
      <c r="K7" s="66">
        <v>58005565</v>
      </c>
      <c r="L7" s="66">
        <v>58143868</v>
      </c>
      <c r="M7" s="66">
        <v>20520348</v>
      </c>
      <c r="N7" s="101">
        <v>23620461</v>
      </c>
      <c r="O7" s="64">
        <v>293589390</v>
      </c>
      <c r="P7" s="64">
        <v>49228337</v>
      </c>
      <c r="Q7" s="64">
        <v>18490543</v>
      </c>
      <c r="R7" s="62">
        <v>52989194</v>
      </c>
      <c r="S7" s="104">
        <v>15279332</v>
      </c>
      <c r="T7" s="103">
        <v>18756992</v>
      </c>
      <c r="U7" s="72">
        <v>-4444620.9400000004</v>
      </c>
      <c r="V7" s="72">
        <v>-7342147.7400000012</v>
      </c>
    </row>
    <row r="8" spans="1:22">
      <c r="A8" s="14" t="s">
        <v>1218</v>
      </c>
      <c r="B8" s="15" t="s">
        <v>1219</v>
      </c>
      <c r="C8" s="14" t="s">
        <v>1220</v>
      </c>
      <c r="D8" s="14">
        <v>1</v>
      </c>
      <c r="E8" s="15" t="s">
        <v>1221</v>
      </c>
      <c r="F8" s="15" t="s">
        <v>1229</v>
      </c>
      <c r="G8" s="14" t="s">
        <v>1230</v>
      </c>
      <c r="H8" s="14"/>
      <c r="I8" s="14"/>
      <c r="J8" s="16">
        <v>314.26</v>
      </c>
      <c r="K8" s="66">
        <v>59861</v>
      </c>
      <c r="L8" s="66">
        <v>281927</v>
      </c>
      <c r="M8" s="66">
        <v>422365</v>
      </c>
      <c r="N8" s="101">
        <v>116087</v>
      </c>
      <c r="O8" s="64">
        <v>2659597</v>
      </c>
      <c r="P8" s="64">
        <v>182721</v>
      </c>
      <c r="Q8" s="64">
        <v>6745</v>
      </c>
      <c r="R8" s="62">
        <v>145220</v>
      </c>
      <c r="S8" s="104">
        <v>86554</v>
      </c>
      <c r="T8" s="103">
        <v>85299</v>
      </c>
      <c r="U8" s="72">
        <v>-24582.720000000001</v>
      </c>
      <c r="V8" s="72">
        <v>0</v>
      </c>
    </row>
    <row r="9" spans="1:22">
      <c r="A9" s="14" t="s">
        <v>1218</v>
      </c>
      <c r="B9" s="15" t="s">
        <v>1219</v>
      </c>
      <c r="C9" s="14" t="s">
        <v>1220</v>
      </c>
      <c r="D9" s="14">
        <v>1</v>
      </c>
      <c r="E9" s="15" t="s">
        <v>1221</v>
      </c>
      <c r="F9" s="15" t="s">
        <v>1231</v>
      </c>
      <c r="G9" s="14" t="s">
        <v>1232</v>
      </c>
      <c r="H9" s="14"/>
      <c r="I9" s="14"/>
      <c r="J9" s="16">
        <v>421.83</v>
      </c>
      <c r="K9" s="66">
        <v>362632</v>
      </c>
      <c r="L9" s="66">
        <v>731243</v>
      </c>
      <c r="M9" s="66">
        <v>571834</v>
      </c>
      <c r="N9" s="101">
        <v>110328</v>
      </c>
      <c r="O9" s="64">
        <v>3626076</v>
      </c>
      <c r="P9" s="64">
        <v>220535</v>
      </c>
      <c r="Q9" s="64">
        <v>90345</v>
      </c>
      <c r="R9" s="62">
        <v>400799</v>
      </c>
      <c r="S9" s="104">
        <v>124256</v>
      </c>
      <c r="T9" s="103">
        <v>169693</v>
      </c>
      <c r="U9" s="72">
        <v>-33513.61</v>
      </c>
      <c r="V9" s="72">
        <v>0</v>
      </c>
    </row>
    <row r="10" spans="1:22">
      <c r="A10" s="14" t="s">
        <v>1224</v>
      </c>
      <c r="B10" s="15" t="s">
        <v>1225</v>
      </c>
      <c r="C10" s="14" t="s">
        <v>1226</v>
      </c>
      <c r="D10" s="14">
        <v>19</v>
      </c>
      <c r="E10" s="15" t="s">
        <v>1233</v>
      </c>
      <c r="F10" s="15" t="s">
        <v>1234</v>
      </c>
      <c r="G10" s="14" t="s">
        <v>1235</v>
      </c>
      <c r="H10" s="14"/>
      <c r="I10" s="14"/>
      <c r="J10" s="16">
        <v>3331.77</v>
      </c>
      <c r="K10" s="66">
        <v>4375528</v>
      </c>
      <c r="L10" s="66">
        <v>2292847</v>
      </c>
      <c r="M10" s="66">
        <v>1428160</v>
      </c>
      <c r="N10" s="101">
        <v>766903</v>
      </c>
      <c r="O10" s="64">
        <v>21969776</v>
      </c>
      <c r="P10" s="64">
        <v>2395108</v>
      </c>
      <c r="Q10" s="64">
        <v>590260</v>
      </c>
      <c r="R10" s="62">
        <v>1212734</v>
      </c>
      <c r="S10" s="104">
        <v>684860</v>
      </c>
      <c r="T10" s="103">
        <v>2391489</v>
      </c>
      <c r="U10" s="72">
        <v>-529225.97</v>
      </c>
      <c r="V10" s="72">
        <v>-429155.35</v>
      </c>
    </row>
    <row r="11" spans="1:22">
      <c r="A11" s="14" t="s">
        <v>1224</v>
      </c>
      <c r="B11" s="15" t="s">
        <v>1225</v>
      </c>
      <c r="C11" s="14" t="s">
        <v>1220</v>
      </c>
      <c r="D11" s="14">
        <v>2</v>
      </c>
      <c r="E11" s="15" t="s">
        <v>1236</v>
      </c>
      <c r="F11" s="15" t="s">
        <v>1237</v>
      </c>
      <c r="G11" s="14" t="s">
        <v>1238</v>
      </c>
      <c r="H11" s="14"/>
      <c r="I11" s="14"/>
      <c r="J11" s="16">
        <v>41062.22</v>
      </c>
      <c r="K11" s="66">
        <v>43956546</v>
      </c>
      <c r="L11" s="66">
        <v>23666083</v>
      </c>
      <c r="M11" s="66">
        <v>16656073</v>
      </c>
      <c r="N11" s="101">
        <v>6546203</v>
      </c>
      <c r="O11" s="64">
        <v>261189813</v>
      </c>
      <c r="P11" s="64">
        <v>32332020</v>
      </c>
      <c r="Q11" s="64">
        <v>8770426</v>
      </c>
      <c r="R11" s="62">
        <v>12194021</v>
      </c>
      <c r="S11" s="104">
        <v>5505682</v>
      </c>
      <c r="T11" s="103">
        <v>23866656</v>
      </c>
      <c r="U11" s="72">
        <v>-3155425.08</v>
      </c>
      <c r="V11" s="72">
        <v>-2883706.4</v>
      </c>
    </row>
    <row r="12" spans="1:22">
      <c r="A12" s="14" t="s">
        <v>1224</v>
      </c>
      <c r="B12" s="15" t="s">
        <v>1225</v>
      </c>
      <c r="C12" s="14" t="s">
        <v>1220</v>
      </c>
      <c r="D12" s="14">
        <v>2</v>
      </c>
      <c r="E12" s="15" t="s">
        <v>1236</v>
      </c>
      <c r="F12" s="15" t="s">
        <v>1239</v>
      </c>
      <c r="G12" s="14" t="s">
        <v>1240</v>
      </c>
      <c r="H12" s="14"/>
      <c r="I12" s="14"/>
      <c r="J12" s="16">
        <v>6985.42</v>
      </c>
      <c r="K12" s="66">
        <v>5921669</v>
      </c>
      <c r="L12" s="66">
        <v>8193172</v>
      </c>
      <c r="M12" s="66">
        <v>2129295</v>
      </c>
      <c r="N12" s="101">
        <v>2338371</v>
      </c>
      <c r="O12" s="64">
        <v>45247529</v>
      </c>
      <c r="P12" s="64">
        <v>6124782</v>
      </c>
      <c r="Q12" s="64">
        <v>162398</v>
      </c>
      <c r="R12" s="62">
        <v>1658177</v>
      </c>
      <c r="S12" s="104">
        <v>573391</v>
      </c>
      <c r="T12" s="103">
        <v>5541619</v>
      </c>
      <c r="U12" s="72">
        <v>-399860.9</v>
      </c>
      <c r="V12" s="72">
        <v>-46184.74</v>
      </c>
    </row>
    <row r="13" spans="1:22">
      <c r="A13" s="14" t="s">
        <v>1224</v>
      </c>
      <c r="B13" s="15" t="s">
        <v>1225</v>
      </c>
      <c r="C13" s="14" t="s">
        <v>1220</v>
      </c>
      <c r="D13" s="14">
        <v>2</v>
      </c>
      <c r="E13" s="15" t="s">
        <v>1236</v>
      </c>
      <c r="F13" s="15" t="s">
        <v>1241</v>
      </c>
      <c r="G13" s="14" t="s">
        <v>1242</v>
      </c>
      <c r="H13" s="14"/>
      <c r="I13" s="14"/>
      <c r="J13" s="16">
        <v>3007.27</v>
      </c>
      <c r="K13" s="66">
        <v>4364222</v>
      </c>
      <c r="L13" s="66">
        <v>2582653</v>
      </c>
      <c r="M13" s="66">
        <v>1241359</v>
      </c>
      <c r="N13" s="101">
        <v>416231</v>
      </c>
      <c r="O13" s="64">
        <v>21076189</v>
      </c>
      <c r="P13" s="64">
        <v>2419271</v>
      </c>
      <c r="Q13" s="64">
        <v>1225006</v>
      </c>
      <c r="R13" s="62">
        <v>1588601</v>
      </c>
      <c r="S13" s="104">
        <v>879424</v>
      </c>
      <c r="T13" s="103">
        <v>2029965</v>
      </c>
      <c r="U13" s="72">
        <v>-295832.13</v>
      </c>
      <c r="V13" s="72">
        <v>-6533.52</v>
      </c>
    </row>
    <row r="14" spans="1:22">
      <c r="A14" s="14" t="s">
        <v>1224</v>
      </c>
      <c r="B14" s="15" t="s">
        <v>1225</v>
      </c>
      <c r="C14" s="14" t="s">
        <v>1220</v>
      </c>
      <c r="D14" s="14">
        <v>2</v>
      </c>
      <c r="E14" s="15" t="s">
        <v>1236</v>
      </c>
      <c r="F14" s="15" t="s">
        <v>1243</v>
      </c>
      <c r="G14" s="14" t="s">
        <v>1244</v>
      </c>
      <c r="H14" s="14"/>
      <c r="I14" s="14"/>
      <c r="J14" s="16">
        <v>2617.16</v>
      </c>
      <c r="K14" s="66">
        <v>4032545</v>
      </c>
      <c r="L14" s="66">
        <v>1226719</v>
      </c>
      <c r="M14" s="66">
        <v>901577</v>
      </c>
      <c r="N14" s="101">
        <v>576523</v>
      </c>
      <c r="O14" s="64">
        <v>17240811</v>
      </c>
      <c r="P14" s="64">
        <v>2748286</v>
      </c>
      <c r="Q14" s="64">
        <v>512181</v>
      </c>
      <c r="R14" s="62">
        <v>1622095</v>
      </c>
      <c r="S14" s="104">
        <v>586581</v>
      </c>
      <c r="T14" s="103">
        <v>1558596</v>
      </c>
      <c r="U14" s="72">
        <v>-197003.37</v>
      </c>
      <c r="V14" s="72">
        <v>-45764</v>
      </c>
    </row>
    <row r="15" spans="1:22">
      <c r="A15" s="14" t="s">
        <v>1224</v>
      </c>
      <c r="B15" s="15" t="s">
        <v>1225</v>
      </c>
      <c r="C15" s="14" t="s">
        <v>1220</v>
      </c>
      <c r="D15" s="14">
        <v>2</v>
      </c>
      <c r="E15" s="15" t="s">
        <v>1236</v>
      </c>
      <c r="F15" s="15" t="s">
        <v>1245</v>
      </c>
      <c r="G15" s="14" t="s">
        <v>1246</v>
      </c>
      <c r="H15" s="14"/>
      <c r="I15" s="14"/>
      <c r="J15" s="16">
        <v>5879.67</v>
      </c>
      <c r="K15" s="66">
        <v>4143303</v>
      </c>
      <c r="L15" s="66">
        <v>4198029</v>
      </c>
      <c r="M15" s="66">
        <v>3622109</v>
      </c>
      <c r="N15" s="101">
        <v>715678</v>
      </c>
      <c r="O15" s="64">
        <v>37742931</v>
      </c>
      <c r="P15" s="64">
        <v>2948520</v>
      </c>
      <c r="Q15" s="64">
        <v>212446</v>
      </c>
      <c r="R15" s="62">
        <v>1663583</v>
      </c>
      <c r="S15" s="104">
        <v>737762</v>
      </c>
      <c r="T15" s="103">
        <v>3745422</v>
      </c>
      <c r="U15" s="72">
        <v>-357035.83</v>
      </c>
      <c r="V15" s="72">
        <v>-77119.78</v>
      </c>
    </row>
    <row r="16" spans="1:22">
      <c r="A16" s="14" t="s">
        <v>1224</v>
      </c>
      <c r="B16" s="15" t="s">
        <v>1225</v>
      </c>
      <c r="C16" s="14" t="s">
        <v>1220</v>
      </c>
      <c r="D16" s="14">
        <v>2</v>
      </c>
      <c r="E16" s="15" t="s">
        <v>1236</v>
      </c>
      <c r="F16" s="15" t="s">
        <v>1247</v>
      </c>
      <c r="G16" s="14" t="s">
        <v>1248</v>
      </c>
      <c r="H16" s="14"/>
      <c r="I16" s="14"/>
      <c r="J16" s="16">
        <v>4712.17</v>
      </c>
      <c r="K16" s="66">
        <v>5727758</v>
      </c>
      <c r="L16" s="66">
        <v>4649537</v>
      </c>
      <c r="M16" s="66">
        <v>1753294</v>
      </c>
      <c r="N16" s="101">
        <v>376322</v>
      </c>
      <c r="O16" s="64">
        <v>28313376</v>
      </c>
      <c r="P16" s="64">
        <v>2695964</v>
      </c>
      <c r="Q16" s="64">
        <v>215791</v>
      </c>
      <c r="R16" s="62">
        <v>1646160</v>
      </c>
      <c r="S16" s="104">
        <v>841192</v>
      </c>
      <c r="T16" s="103">
        <v>5166465</v>
      </c>
      <c r="U16" s="72">
        <v>-251104.86</v>
      </c>
      <c r="V16" s="72">
        <v>0</v>
      </c>
    </row>
    <row r="17" spans="1:22">
      <c r="A17" s="14" t="s">
        <v>1249</v>
      </c>
      <c r="B17" s="15" t="s">
        <v>1250</v>
      </c>
      <c r="C17" s="14" t="s">
        <v>1220</v>
      </c>
      <c r="D17" s="14">
        <v>3</v>
      </c>
      <c r="E17" s="15" t="s">
        <v>1251</v>
      </c>
      <c r="F17" s="15" t="s">
        <v>1252</v>
      </c>
      <c r="G17" s="14" t="s">
        <v>1253</v>
      </c>
      <c r="H17" s="14"/>
      <c r="I17" s="14"/>
      <c r="J17" s="16">
        <v>2740.58</v>
      </c>
      <c r="K17" s="66">
        <v>1347341</v>
      </c>
      <c r="L17" s="66">
        <v>1314771</v>
      </c>
      <c r="M17" s="66">
        <v>1331261</v>
      </c>
      <c r="N17" s="101">
        <v>406387</v>
      </c>
      <c r="O17" s="64">
        <v>17848049</v>
      </c>
      <c r="P17" s="64">
        <v>1881048</v>
      </c>
      <c r="Q17" s="64">
        <v>282182</v>
      </c>
      <c r="R17" s="62">
        <v>1499213</v>
      </c>
      <c r="S17" s="104">
        <v>414588</v>
      </c>
      <c r="T17" s="103">
        <v>891087</v>
      </c>
      <c r="U17" s="72">
        <v>-184375.54</v>
      </c>
      <c r="V17" s="72">
        <v>-124309.58</v>
      </c>
    </row>
    <row r="18" spans="1:22">
      <c r="A18" s="14" t="s">
        <v>1249</v>
      </c>
      <c r="B18" s="15" t="s">
        <v>1250</v>
      </c>
      <c r="C18" s="14" t="s">
        <v>1220</v>
      </c>
      <c r="D18" s="14">
        <v>3</v>
      </c>
      <c r="E18" s="15" t="s">
        <v>1251</v>
      </c>
      <c r="F18" s="15" t="s">
        <v>1254</v>
      </c>
      <c r="G18" s="14" t="s">
        <v>1255</v>
      </c>
      <c r="H18" s="14"/>
      <c r="I18" s="14"/>
      <c r="J18" s="16">
        <v>1019.77</v>
      </c>
      <c r="K18" s="66">
        <v>324335</v>
      </c>
      <c r="L18" s="66">
        <v>919946</v>
      </c>
      <c r="M18" s="66">
        <v>529269</v>
      </c>
      <c r="N18" s="101">
        <v>222052</v>
      </c>
      <c r="O18" s="64">
        <v>6959062</v>
      </c>
      <c r="P18" s="64">
        <v>573577</v>
      </c>
      <c r="Q18" s="64">
        <v>28893</v>
      </c>
      <c r="R18" s="62">
        <v>579931</v>
      </c>
      <c r="S18" s="104">
        <v>231843</v>
      </c>
      <c r="T18" s="103">
        <v>264713</v>
      </c>
      <c r="U18" s="72">
        <v>-92910.66</v>
      </c>
      <c r="V18" s="72">
        <v>0</v>
      </c>
    </row>
    <row r="19" spans="1:22">
      <c r="A19" s="14" t="s">
        <v>1249</v>
      </c>
      <c r="B19" s="15" t="s">
        <v>1250</v>
      </c>
      <c r="C19" s="14" t="s">
        <v>1220</v>
      </c>
      <c r="D19" s="14">
        <v>3</v>
      </c>
      <c r="E19" s="15" t="s">
        <v>1251</v>
      </c>
      <c r="F19" s="15" t="s">
        <v>1256</v>
      </c>
      <c r="G19" s="14" t="s">
        <v>1257</v>
      </c>
      <c r="H19" s="14"/>
      <c r="I19" s="14"/>
      <c r="J19" s="16">
        <v>63.82</v>
      </c>
      <c r="K19" s="66">
        <v>0</v>
      </c>
      <c r="L19" s="66">
        <v>0</v>
      </c>
      <c r="M19" s="66">
        <v>201650</v>
      </c>
      <c r="N19" s="101">
        <v>31522</v>
      </c>
      <c r="O19" s="64">
        <v>534471</v>
      </c>
      <c r="P19" s="64">
        <v>77184</v>
      </c>
      <c r="Q19" s="64">
        <v>112998</v>
      </c>
      <c r="R19" s="62">
        <v>447403</v>
      </c>
      <c r="S19" s="104">
        <v>660394</v>
      </c>
      <c r="T19" s="103">
        <v>56299</v>
      </c>
      <c r="U19" s="72">
        <v>-41869.19</v>
      </c>
      <c r="V19" s="72">
        <v>0</v>
      </c>
    </row>
    <row r="20" spans="1:22">
      <c r="A20" s="14" t="s">
        <v>1258</v>
      </c>
      <c r="B20" s="15" t="s">
        <v>1259</v>
      </c>
      <c r="C20" s="14" t="s">
        <v>1220</v>
      </c>
      <c r="D20" s="14">
        <v>4</v>
      </c>
      <c r="E20" s="15" t="s">
        <v>1260</v>
      </c>
      <c r="F20" s="15" t="s">
        <v>1261</v>
      </c>
      <c r="G20" s="14" t="s">
        <v>1262</v>
      </c>
      <c r="H20" s="14"/>
      <c r="I20" s="14"/>
      <c r="J20" s="16">
        <v>4793.82</v>
      </c>
      <c r="K20" s="66">
        <v>2717815</v>
      </c>
      <c r="L20" s="66">
        <v>4444397</v>
      </c>
      <c r="M20" s="66">
        <v>2744722</v>
      </c>
      <c r="N20" s="101">
        <v>1014191</v>
      </c>
      <c r="O20" s="64">
        <v>32726662</v>
      </c>
      <c r="P20" s="64">
        <v>4858457</v>
      </c>
      <c r="Q20" s="64">
        <v>508379</v>
      </c>
      <c r="R20" s="62">
        <v>3126461</v>
      </c>
      <c r="S20" s="104">
        <v>1123675</v>
      </c>
      <c r="T20" s="103">
        <v>3059017</v>
      </c>
      <c r="U20" s="72">
        <v>-388068.43</v>
      </c>
      <c r="V20" s="72">
        <v>-171901.9</v>
      </c>
    </row>
    <row r="21" spans="1:22">
      <c r="A21" s="14" t="s">
        <v>1258</v>
      </c>
      <c r="B21" s="15" t="s">
        <v>1259</v>
      </c>
      <c r="C21" s="14" t="s">
        <v>1220</v>
      </c>
      <c r="D21" s="14">
        <v>4</v>
      </c>
      <c r="E21" s="15" t="s">
        <v>1260</v>
      </c>
      <c r="F21" s="15" t="s">
        <v>1263</v>
      </c>
      <c r="G21" s="14" t="s">
        <v>1264</v>
      </c>
      <c r="H21" s="14"/>
      <c r="I21" s="14"/>
      <c r="J21" s="16">
        <v>709.19</v>
      </c>
      <c r="K21" s="66">
        <v>188848</v>
      </c>
      <c r="L21" s="66">
        <v>458472</v>
      </c>
      <c r="M21" s="66">
        <v>315703</v>
      </c>
      <c r="N21" s="101">
        <v>131664</v>
      </c>
      <c r="O21" s="64">
        <v>5087238</v>
      </c>
      <c r="P21" s="64">
        <v>785232</v>
      </c>
      <c r="Q21" s="64">
        <v>17453</v>
      </c>
      <c r="R21" s="62">
        <v>231803</v>
      </c>
      <c r="S21" s="104">
        <v>163677</v>
      </c>
      <c r="T21" s="103">
        <v>237101</v>
      </c>
      <c r="U21" s="72">
        <v>-36780.58</v>
      </c>
      <c r="V21" s="72">
        <v>-37059.480000000003</v>
      </c>
    </row>
    <row r="22" spans="1:22">
      <c r="A22" s="14" t="s">
        <v>1258</v>
      </c>
      <c r="B22" s="15" t="s">
        <v>1259</v>
      </c>
      <c r="C22" s="14" t="s">
        <v>1220</v>
      </c>
      <c r="D22" s="14">
        <v>4</v>
      </c>
      <c r="E22" s="15" t="s">
        <v>1260</v>
      </c>
      <c r="F22" s="15" t="s">
        <v>1265</v>
      </c>
      <c r="G22" s="14" t="s">
        <v>1266</v>
      </c>
      <c r="H22" s="14"/>
      <c r="I22" s="14"/>
      <c r="J22" s="16">
        <v>263.67</v>
      </c>
      <c r="K22" s="66">
        <v>28372</v>
      </c>
      <c r="L22" s="66">
        <v>216161</v>
      </c>
      <c r="M22" s="66">
        <v>431910</v>
      </c>
      <c r="N22" s="101">
        <v>87671</v>
      </c>
      <c r="O22" s="64">
        <v>2727556</v>
      </c>
      <c r="P22" s="64">
        <v>176962</v>
      </c>
      <c r="Q22" s="64">
        <v>29631</v>
      </c>
      <c r="R22" s="62">
        <v>411985</v>
      </c>
      <c r="S22" s="104">
        <v>118280</v>
      </c>
      <c r="T22" s="103">
        <v>43260</v>
      </c>
      <c r="U22" s="72">
        <v>-20697.46</v>
      </c>
      <c r="V22" s="72">
        <v>0</v>
      </c>
    </row>
    <row r="23" spans="1:22">
      <c r="A23" s="14" t="s">
        <v>1258</v>
      </c>
      <c r="B23" s="15" t="s">
        <v>1259</v>
      </c>
      <c r="C23" s="14" t="s">
        <v>1220</v>
      </c>
      <c r="D23" s="14">
        <v>4</v>
      </c>
      <c r="E23" s="15" t="s">
        <v>1260</v>
      </c>
      <c r="F23" s="15" t="s">
        <v>1078</v>
      </c>
      <c r="G23" s="14" t="s">
        <v>1079</v>
      </c>
      <c r="H23" s="14"/>
      <c r="I23" s="14"/>
      <c r="J23" s="16">
        <v>1272.78</v>
      </c>
      <c r="K23" s="66">
        <v>3083</v>
      </c>
      <c r="L23" s="66">
        <v>3690</v>
      </c>
      <c r="M23" s="66">
        <v>1356249</v>
      </c>
      <c r="N23" s="101">
        <v>192749</v>
      </c>
      <c r="O23" s="64">
        <v>14172415</v>
      </c>
      <c r="P23" s="64">
        <v>265936</v>
      </c>
      <c r="Q23" s="64">
        <v>448172</v>
      </c>
      <c r="R23" s="62">
        <v>9619565</v>
      </c>
      <c r="S23" s="104">
        <v>432939</v>
      </c>
      <c r="T23" s="103">
        <v>11455</v>
      </c>
      <c r="U23" s="72">
        <v>-122963.86</v>
      </c>
      <c r="V23" s="72">
        <v>0</v>
      </c>
    </row>
    <row r="24" spans="1:22">
      <c r="A24" s="14" t="s">
        <v>1080</v>
      </c>
      <c r="B24" s="15" t="s">
        <v>1081</v>
      </c>
      <c r="C24" s="14" t="s">
        <v>1220</v>
      </c>
      <c r="D24" s="14">
        <v>5</v>
      </c>
      <c r="E24" s="15" t="s">
        <v>1082</v>
      </c>
      <c r="F24" s="15" t="s">
        <v>1083</v>
      </c>
      <c r="G24" s="14" t="s">
        <v>1084</v>
      </c>
      <c r="H24" s="14"/>
      <c r="I24" s="14"/>
      <c r="J24" s="16">
        <v>3755.01</v>
      </c>
      <c r="K24" s="66">
        <v>718058</v>
      </c>
      <c r="L24" s="66">
        <v>4475906</v>
      </c>
      <c r="M24" s="66">
        <v>2896408</v>
      </c>
      <c r="N24" s="101">
        <v>1517521</v>
      </c>
      <c r="O24" s="64">
        <v>22931407</v>
      </c>
      <c r="P24" s="64">
        <v>2818972</v>
      </c>
      <c r="Q24" s="64">
        <v>182698</v>
      </c>
      <c r="R24" s="62">
        <v>422206</v>
      </c>
      <c r="S24" s="104">
        <v>653050</v>
      </c>
      <c r="T24" s="103">
        <v>5058007</v>
      </c>
      <c r="U24" s="72">
        <v>-402217.42</v>
      </c>
      <c r="V24" s="72">
        <v>-74396.070000000007</v>
      </c>
    </row>
    <row r="25" spans="1:22">
      <c r="A25" s="14" t="s">
        <v>1080</v>
      </c>
      <c r="B25" s="15" t="s">
        <v>1081</v>
      </c>
      <c r="C25" s="14" t="s">
        <v>1220</v>
      </c>
      <c r="D25" s="14">
        <v>5</v>
      </c>
      <c r="E25" s="15" t="s">
        <v>1082</v>
      </c>
      <c r="F25" s="15" t="s">
        <v>1085</v>
      </c>
      <c r="G25" s="14" t="s">
        <v>1086</v>
      </c>
      <c r="H25" s="14"/>
      <c r="I25" s="14"/>
      <c r="J25" s="16">
        <v>1699.9</v>
      </c>
      <c r="K25" s="66">
        <v>477380</v>
      </c>
      <c r="L25" s="66">
        <v>1758438</v>
      </c>
      <c r="M25" s="66">
        <v>867815</v>
      </c>
      <c r="N25" s="101">
        <v>506708</v>
      </c>
      <c r="O25" s="64">
        <v>10736887</v>
      </c>
      <c r="P25" s="64">
        <v>802153</v>
      </c>
      <c r="Q25" s="64">
        <v>63672</v>
      </c>
      <c r="R25" s="62">
        <v>489139</v>
      </c>
      <c r="S25" s="104">
        <v>240676</v>
      </c>
      <c r="T25" s="103">
        <v>1086954</v>
      </c>
      <c r="U25" s="72">
        <v>-118254.74</v>
      </c>
      <c r="V25" s="72">
        <v>-6490.56</v>
      </c>
    </row>
    <row r="26" spans="1:22">
      <c r="A26" s="14" t="s">
        <v>1087</v>
      </c>
      <c r="B26" s="15" t="s">
        <v>1088</v>
      </c>
      <c r="C26" s="14" t="s">
        <v>1220</v>
      </c>
      <c r="D26" s="14">
        <v>6</v>
      </c>
      <c r="E26" s="15" t="s">
        <v>1089</v>
      </c>
      <c r="F26" s="15" t="s">
        <v>1090</v>
      </c>
      <c r="G26" s="14" t="s">
        <v>1091</v>
      </c>
      <c r="H26" s="14"/>
      <c r="I26" s="14"/>
      <c r="J26" s="16">
        <v>544.71</v>
      </c>
      <c r="K26" s="66">
        <v>246591</v>
      </c>
      <c r="L26" s="66">
        <v>562020</v>
      </c>
      <c r="M26" s="66">
        <v>803119</v>
      </c>
      <c r="N26" s="101">
        <v>301073</v>
      </c>
      <c r="O26" s="64">
        <v>3400302</v>
      </c>
      <c r="P26" s="64">
        <v>426712</v>
      </c>
      <c r="Q26" s="64">
        <v>143211</v>
      </c>
      <c r="R26" s="62">
        <v>209220</v>
      </c>
      <c r="S26" s="104">
        <v>124058</v>
      </c>
      <c r="T26" s="103">
        <v>215658</v>
      </c>
      <c r="U26" s="72">
        <v>-19883.59</v>
      </c>
      <c r="V26" s="72">
        <v>0</v>
      </c>
    </row>
    <row r="27" spans="1:22">
      <c r="A27" s="14" t="s">
        <v>1092</v>
      </c>
      <c r="B27" s="15" t="s">
        <v>1093</v>
      </c>
      <c r="C27" s="14" t="s">
        <v>1220</v>
      </c>
      <c r="D27" s="14">
        <v>7</v>
      </c>
      <c r="E27" s="15" t="s">
        <v>1094</v>
      </c>
      <c r="F27" s="15" t="s">
        <v>1095</v>
      </c>
      <c r="G27" s="14" t="s">
        <v>1096</v>
      </c>
      <c r="H27" s="14"/>
      <c r="I27" s="14"/>
      <c r="J27" s="16">
        <v>632.77</v>
      </c>
      <c r="K27" s="66">
        <v>153007</v>
      </c>
      <c r="L27" s="66">
        <v>770831</v>
      </c>
      <c r="M27" s="66">
        <v>361847</v>
      </c>
      <c r="N27" s="101">
        <v>312858</v>
      </c>
      <c r="O27" s="64">
        <v>3840028</v>
      </c>
      <c r="P27" s="64">
        <v>227357</v>
      </c>
      <c r="Q27" s="64">
        <v>15633</v>
      </c>
      <c r="R27" s="62">
        <v>39795</v>
      </c>
      <c r="S27" s="104">
        <v>73292</v>
      </c>
      <c r="T27" s="103">
        <v>718565</v>
      </c>
      <c r="U27" s="72">
        <v>-24151.72</v>
      </c>
      <c r="V27" s="72">
        <v>0</v>
      </c>
    </row>
    <row r="28" spans="1:22">
      <c r="A28" s="14" t="s">
        <v>1092</v>
      </c>
      <c r="B28" s="15" t="s">
        <v>1093</v>
      </c>
      <c r="C28" s="14" t="s">
        <v>1220</v>
      </c>
      <c r="D28" s="14">
        <v>7</v>
      </c>
      <c r="E28" s="15" t="s">
        <v>1094</v>
      </c>
      <c r="F28" s="15" t="s">
        <v>1097</v>
      </c>
      <c r="G28" s="14" t="s">
        <v>1098</v>
      </c>
      <c r="H28" s="14"/>
      <c r="I28" s="14"/>
      <c r="J28" s="16">
        <v>7180.59</v>
      </c>
      <c r="K28" s="66">
        <v>7618970</v>
      </c>
      <c r="L28" s="66">
        <v>3125436</v>
      </c>
      <c r="M28" s="66">
        <v>2347729</v>
      </c>
      <c r="N28" s="101">
        <v>1480425</v>
      </c>
      <c r="O28" s="64">
        <v>43800436</v>
      </c>
      <c r="P28" s="64">
        <v>5355023</v>
      </c>
      <c r="Q28" s="64">
        <v>762363</v>
      </c>
      <c r="R28" s="62">
        <v>2749176</v>
      </c>
      <c r="S28" s="104">
        <v>1441841</v>
      </c>
      <c r="T28" s="103">
        <v>2636253</v>
      </c>
      <c r="U28" s="72">
        <v>-542029.18999999994</v>
      </c>
      <c r="V28" s="72">
        <v>-855236.23</v>
      </c>
    </row>
    <row r="29" spans="1:22">
      <c r="A29" s="14" t="s">
        <v>1092</v>
      </c>
      <c r="B29" s="15" t="s">
        <v>1093</v>
      </c>
      <c r="C29" s="14" t="s">
        <v>1220</v>
      </c>
      <c r="D29" s="14">
        <v>8</v>
      </c>
      <c r="E29" s="15" t="s">
        <v>1099</v>
      </c>
      <c r="F29" s="15" t="s">
        <v>1100</v>
      </c>
      <c r="G29" s="14" t="s">
        <v>1101</v>
      </c>
      <c r="H29" s="14"/>
      <c r="I29" s="14"/>
      <c r="J29" s="16">
        <v>155.46</v>
      </c>
      <c r="K29" s="66">
        <v>159895</v>
      </c>
      <c r="L29" s="66">
        <v>13707</v>
      </c>
      <c r="M29" s="66">
        <v>138882</v>
      </c>
      <c r="N29" s="101">
        <v>18682</v>
      </c>
      <c r="O29" s="64">
        <v>1086531</v>
      </c>
      <c r="P29" s="64">
        <v>66100</v>
      </c>
      <c r="Q29" s="64">
        <v>26754</v>
      </c>
      <c r="R29" s="62">
        <v>70503</v>
      </c>
      <c r="S29" s="104">
        <v>29120</v>
      </c>
      <c r="T29" s="103">
        <v>163031</v>
      </c>
      <c r="U29" s="72">
        <v>-21675.56</v>
      </c>
      <c r="V29" s="72">
        <v>0</v>
      </c>
    </row>
    <row r="30" spans="1:22">
      <c r="A30" s="14" t="s">
        <v>1092</v>
      </c>
      <c r="B30" s="15" t="s">
        <v>1093</v>
      </c>
      <c r="C30" s="14" t="s">
        <v>1220</v>
      </c>
      <c r="D30" s="14">
        <v>8</v>
      </c>
      <c r="E30" s="15" t="s">
        <v>1099</v>
      </c>
      <c r="F30" s="15" t="s">
        <v>1102</v>
      </c>
      <c r="G30" s="14" t="s">
        <v>1103</v>
      </c>
      <c r="H30" s="14"/>
      <c r="I30" s="14"/>
      <c r="J30" s="16">
        <v>656.3</v>
      </c>
      <c r="K30" s="66">
        <v>341775</v>
      </c>
      <c r="L30" s="66">
        <v>283126</v>
      </c>
      <c r="M30" s="66">
        <v>590091</v>
      </c>
      <c r="N30" s="101">
        <v>204807</v>
      </c>
      <c r="O30" s="64">
        <v>4638256</v>
      </c>
      <c r="P30" s="64">
        <v>384587</v>
      </c>
      <c r="Q30" s="64">
        <v>278305</v>
      </c>
      <c r="R30" s="62">
        <v>323002</v>
      </c>
      <c r="S30" s="104">
        <v>141633</v>
      </c>
      <c r="T30" s="103">
        <v>197480</v>
      </c>
      <c r="U30" s="72">
        <v>-65694.960000000006</v>
      </c>
      <c r="V30" s="72">
        <v>0</v>
      </c>
    </row>
    <row r="31" spans="1:22">
      <c r="A31" s="14" t="s">
        <v>1092</v>
      </c>
      <c r="B31" s="15" t="s">
        <v>1093</v>
      </c>
      <c r="C31" s="14" t="s">
        <v>1220</v>
      </c>
      <c r="D31" s="14">
        <v>8</v>
      </c>
      <c r="E31" s="15" t="s">
        <v>1099</v>
      </c>
      <c r="F31" s="15" t="s">
        <v>1104</v>
      </c>
      <c r="G31" s="14" t="s">
        <v>1105</v>
      </c>
      <c r="H31" s="14"/>
      <c r="I31" s="14"/>
      <c r="J31" s="16">
        <v>607.30999999999995</v>
      </c>
      <c r="K31" s="66">
        <v>248791</v>
      </c>
      <c r="L31" s="66">
        <v>453217</v>
      </c>
      <c r="M31" s="66">
        <v>588645</v>
      </c>
      <c r="N31" s="101">
        <v>91144</v>
      </c>
      <c r="O31" s="64">
        <v>4256313</v>
      </c>
      <c r="P31" s="64">
        <v>212305</v>
      </c>
      <c r="Q31" s="64">
        <v>79981</v>
      </c>
      <c r="R31" s="62">
        <v>55996</v>
      </c>
      <c r="S31" s="104">
        <v>111621</v>
      </c>
      <c r="T31" s="103">
        <v>185499</v>
      </c>
      <c r="U31" s="72">
        <v>-25027</v>
      </c>
      <c r="V31" s="72">
        <v>-4461.5</v>
      </c>
    </row>
    <row r="32" spans="1:22">
      <c r="A32" s="14" t="s">
        <v>1092</v>
      </c>
      <c r="B32" s="15" t="s">
        <v>1093</v>
      </c>
      <c r="C32" s="14" t="s">
        <v>1220</v>
      </c>
      <c r="D32" s="14">
        <v>8</v>
      </c>
      <c r="E32" s="15" t="s">
        <v>1099</v>
      </c>
      <c r="F32" s="15" t="s">
        <v>1106</v>
      </c>
      <c r="G32" s="14" t="s">
        <v>1107</v>
      </c>
      <c r="H32" s="14"/>
      <c r="I32" s="14"/>
      <c r="J32" s="16">
        <v>2159.34</v>
      </c>
      <c r="K32" s="66">
        <v>2074925</v>
      </c>
      <c r="L32" s="66">
        <v>1481274</v>
      </c>
      <c r="M32" s="66">
        <v>1114331</v>
      </c>
      <c r="N32" s="101">
        <v>532081</v>
      </c>
      <c r="O32" s="64">
        <v>13714849</v>
      </c>
      <c r="P32" s="64">
        <v>1352258</v>
      </c>
      <c r="Q32" s="64">
        <v>518964</v>
      </c>
      <c r="R32" s="62">
        <v>354948</v>
      </c>
      <c r="S32" s="104">
        <v>218390</v>
      </c>
      <c r="T32" s="103">
        <v>889082</v>
      </c>
      <c r="U32" s="72">
        <v>-218269.59</v>
      </c>
      <c r="V32" s="72">
        <v>0</v>
      </c>
    </row>
    <row r="33" spans="1:22">
      <c r="A33" s="14" t="s">
        <v>1218</v>
      </c>
      <c r="B33" s="15" t="s">
        <v>1219</v>
      </c>
      <c r="C33" s="14" t="s">
        <v>1220</v>
      </c>
      <c r="D33" s="14">
        <v>9</v>
      </c>
      <c r="E33" s="15" t="s">
        <v>1108</v>
      </c>
      <c r="F33" s="15" t="s">
        <v>1109</v>
      </c>
      <c r="G33" s="14" t="s">
        <v>1110</v>
      </c>
      <c r="H33" s="14"/>
      <c r="I33" s="14"/>
      <c r="J33" s="16">
        <v>706.29</v>
      </c>
      <c r="K33" s="66">
        <v>200029</v>
      </c>
      <c r="L33" s="66">
        <v>711212</v>
      </c>
      <c r="M33" s="66">
        <v>400735</v>
      </c>
      <c r="N33" s="101">
        <v>181055</v>
      </c>
      <c r="O33" s="64">
        <v>4454643</v>
      </c>
      <c r="P33" s="64">
        <v>433922</v>
      </c>
      <c r="Q33" s="64">
        <v>98539</v>
      </c>
      <c r="R33" s="62">
        <v>249472</v>
      </c>
      <c r="S33" s="104">
        <v>190547</v>
      </c>
      <c r="T33" s="103">
        <v>269928</v>
      </c>
      <c r="U33" s="72">
        <v>-58532.32</v>
      </c>
      <c r="V33" s="72">
        <v>0</v>
      </c>
    </row>
    <row r="34" spans="1:22">
      <c r="A34" s="14" t="s">
        <v>1218</v>
      </c>
      <c r="B34" s="15" t="s">
        <v>1219</v>
      </c>
      <c r="C34" s="14" t="s">
        <v>1220</v>
      </c>
      <c r="D34" s="14">
        <v>9</v>
      </c>
      <c r="E34" s="15" t="s">
        <v>1108</v>
      </c>
      <c r="F34" s="15" t="s">
        <v>1111</v>
      </c>
      <c r="G34" s="14" t="s">
        <v>1112</v>
      </c>
      <c r="H34" s="14"/>
      <c r="I34" s="14"/>
      <c r="J34" s="16">
        <v>603.08000000000004</v>
      </c>
      <c r="K34" s="66">
        <v>506315</v>
      </c>
      <c r="L34" s="66">
        <v>36958</v>
      </c>
      <c r="M34" s="66">
        <v>406708</v>
      </c>
      <c r="N34" s="101">
        <v>34485</v>
      </c>
      <c r="O34" s="64">
        <v>3982805</v>
      </c>
      <c r="P34" s="64">
        <v>175702</v>
      </c>
      <c r="Q34" s="64">
        <v>126126</v>
      </c>
      <c r="R34" s="62">
        <v>488823</v>
      </c>
      <c r="S34" s="104">
        <v>85341</v>
      </c>
      <c r="T34" s="103">
        <v>189925</v>
      </c>
      <c r="U34" s="72">
        <v>-66502.28</v>
      </c>
      <c r="V34" s="72">
        <v>0</v>
      </c>
    </row>
    <row r="35" spans="1:22">
      <c r="A35" s="14" t="s">
        <v>1218</v>
      </c>
      <c r="B35" s="15" t="s">
        <v>1219</v>
      </c>
      <c r="C35" s="14" t="s">
        <v>1220</v>
      </c>
      <c r="D35" s="14">
        <v>9</v>
      </c>
      <c r="E35" s="15" t="s">
        <v>1108</v>
      </c>
      <c r="F35" s="15" t="s">
        <v>1113</v>
      </c>
      <c r="G35" s="14" t="s">
        <v>1114</v>
      </c>
      <c r="H35" s="14"/>
      <c r="I35" s="14"/>
      <c r="J35" s="16">
        <v>2603.34</v>
      </c>
      <c r="K35" s="66">
        <v>1027233</v>
      </c>
      <c r="L35" s="66">
        <v>1443731</v>
      </c>
      <c r="M35" s="66">
        <v>1363252</v>
      </c>
      <c r="N35" s="101">
        <v>470575</v>
      </c>
      <c r="O35" s="64">
        <v>16885126</v>
      </c>
      <c r="P35" s="64">
        <v>1832331</v>
      </c>
      <c r="Q35" s="64">
        <v>203547</v>
      </c>
      <c r="R35" s="62">
        <v>3643269</v>
      </c>
      <c r="S35" s="104">
        <v>328356</v>
      </c>
      <c r="T35" s="103">
        <v>1264704</v>
      </c>
      <c r="U35" s="72">
        <v>-267287.13</v>
      </c>
      <c r="V35" s="72">
        <v>-57531</v>
      </c>
    </row>
    <row r="36" spans="1:22">
      <c r="A36" s="14" t="s">
        <v>1218</v>
      </c>
      <c r="B36" s="15" t="s">
        <v>1219</v>
      </c>
      <c r="C36" s="14" t="s">
        <v>1220</v>
      </c>
      <c r="D36" s="14">
        <v>9</v>
      </c>
      <c r="E36" s="15" t="s">
        <v>1108</v>
      </c>
      <c r="F36" s="15" t="s">
        <v>1115</v>
      </c>
      <c r="G36" s="14" t="s">
        <v>1116</v>
      </c>
      <c r="H36" s="14"/>
      <c r="I36" s="14"/>
      <c r="J36" s="16">
        <v>310.06</v>
      </c>
      <c r="K36" s="66">
        <v>80469</v>
      </c>
      <c r="L36" s="66">
        <v>442734</v>
      </c>
      <c r="M36" s="66">
        <v>185170</v>
      </c>
      <c r="N36" s="101">
        <v>97951</v>
      </c>
      <c r="O36" s="64">
        <v>2382716</v>
      </c>
      <c r="P36" s="64">
        <v>99592</v>
      </c>
      <c r="Q36" s="64">
        <v>6548</v>
      </c>
      <c r="R36" s="62">
        <v>201198</v>
      </c>
      <c r="S36" s="104">
        <v>73366</v>
      </c>
      <c r="T36" s="103">
        <v>104108</v>
      </c>
      <c r="U36" s="72">
        <v>-23687.97</v>
      </c>
      <c r="V36" s="72">
        <v>0</v>
      </c>
    </row>
    <row r="37" spans="1:22">
      <c r="A37" s="14" t="s">
        <v>1218</v>
      </c>
      <c r="B37" s="15" t="s">
        <v>1219</v>
      </c>
      <c r="C37" s="14" t="s">
        <v>1220</v>
      </c>
      <c r="D37" s="14">
        <v>9</v>
      </c>
      <c r="E37" s="15" t="s">
        <v>1108</v>
      </c>
      <c r="F37" s="15" t="s">
        <v>1117</v>
      </c>
      <c r="G37" s="14" t="s">
        <v>1118</v>
      </c>
      <c r="H37" s="14"/>
      <c r="I37" s="14"/>
      <c r="J37" s="16">
        <v>750.91</v>
      </c>
      <c r="K37" s="66">
        <v>385487</v>
      </c>
      <c r="L37" s="66">
        <v>57505</v>
      </c>
      <c r="M37" s="66">
        <v>654424</v>
      </c>
      <c r="N37" s="101">
        <v>54336</v>
      </c>
      <c r="O37" s="64">
        <v>4768566</v>
      </c>
      <c r="P37" s="64">
        <v>391096</v>
      </c>
      <c r="Q37" s="64">
        <v>48958</v>
      </c>
      <c r="R37" s="62">
        <v>143522</v>
      </c>
      <c r="S37" s="104">
        <v>118585</v>
      </c>
      <c r="T37" s="103">
        <v>207086</v>
      </c>
      <c r="U37" s="72">
        <v>-64023.26</v>
      </c>
      <c r="V37" s="72">
        <v>0</v>
      </c>
    </row>
    <row r="38" spans="1:22">
      <c r="A38" s="14" t="s">
        <v>1218</v>
      </c>
      <c r="B38" s="15" t="s">
        <v>1219</v>
      </c>
      <c r="C38" s="14" t="s">
        <v>1220</v>
      </c>
      <c r="D38" s="14">
        <v>9</v>
      </c>
      <c r="E38" s="15" t="s">
        <v>1108</v>
      </c>
      <c r="F38" s="15" t="s">
        <v>1119</v>
      </c>
      <c r="G38" s="14" t="s">
        <v>1120</v>
      </c>
      <c r="H38" s="14"/>
      <c r="I38" s="14"/>
      <c r="J38" s="16">
        <v>1113.18</v>
      </c>
      <c r="K38" s="66">
        <v>382611</v>
      </c>
      <c r="L38" s="66">
        <v>844331</v>
      </c>
      <c r="M38" s="66">
        <v>600304</v>
      </c>
      <c r="N38" s="101">
        <v>335398</v>
      </c>
      <c r="O38" s="64">
        <v>7031332</v>
      </c>
      <c r="P38" s="64">
        <v>530836</v>
      </c>
      <c r="Q38" s="64">
        <v>48294</v>
      </c>
      <c r="R38" s="62">
        <v>393406</v>
      </c>
      <c r="S38" s="104">
        <v>57409</v>
      </c>
      <c r="T38" s="103">
        <v>603044</v>
      </c>
      <c r="U38" s="72">
        <v>-92081.2</v>
      </c>
      <c r="V38" s="72">
        <v>0</v>
      </c>
    </row>
    <row r="39" spans="1:22">
      <c r="A39" s="14" t="s">
        <v>1218</v>
      </c>
      <c r="B39" s="15" t="s">
        <v>1219</v>
      </c>
      <c r="C39" s="14" t="s">
        <v>1220</v>
      </c>
      <c r="D39" s="14">
        <v>9</v>
      </c>
      <c r="E39" s="15" t="s">
        <v>1108</v>
      </c>
      <c r="F39" s="15" t="s">
        <v>1121</v>
      </c>
      <c r="G39" s="14" t="s">
        <v>1122</v>
      </c>
      <c r="H39" s="14"/>
      <c r="I39" s="14"/>
      <c r="J39" s="16">
        <v>354.61</v>
      </c>
      <c r="K39" s="66">
        <v>138596</v>
      </c>
      <c r="L39" s="66">
        <v>353245</v>
      </c>
      <c r="M39" s="66">
        <v>221661</v>
      </c>
      <c r="N39" s="101">
        <v>52099</v>
      </c>
      <c r="O39" s="64">
        <v>2288051</v>
      </c>
      <c r="P39" s="64">
        <v>99125</v>
      </c>
      <c r="Q39" s="64">
        <v>9707</v>
      </c>
      <c r="R39" s="62">
        <v>116936</v>
      </c>
      <c r="S39" s="104">
        <v>58332</v>
      </c>
      <c r="T39" s="103">
        <v>110047</v>
      </c>
      <c r="U39" s="72">
        <v>-39977.129999999997</v>
      </c>
      <c r="V39" s="72">
        <v>0</v>
      </c>
    </row>
    <row r="40" spans="1:22">
      <c r="A40" s="14" t="s">
        <v>1224</v>
      </c>
      <c r="B40" s="15" t="s">
        <v>1225</v>
      </c>
      <c r="C40" s="14" t="s">
        <v>1220</v>
      </c>
      <c r="D40" s="14">
        <v>10</v>
      </c>
      <c r="E40" s="15" t="s">
        <v>1123</v>
      </c>
      <c r="F40" s="15" t="s">
        <v>1124</v>
      </c>
      <c r="G40" s="14" t="s">
        <v>1125</v>
      </c>
      <c r="H40" s="14"/>
      <c r="I40" s="14"/>
      <c r="J40" s="16">
        <v>1050.71</v>
      </c>
      <c r="K40" s="66">
        <v>890399</v>
      </c>
      <c r="L40" s="66">
        <v>421079</v>
      </c>
      <c r="M40" s="66">
        <v>694773</v>
      </c>
      <c r="N40" s="101">
        <v>130427</v>
      </c>
      <c r="O40" s="64">
        <v>6551382</v>
      </c>
      <c r="P40" s="64">
        <v>1061510</v>
      </c>
      <c r="Q40" s="64">
        <v>198596</v>
      </c>
      <c r="R40" s="62">
        <v>116428</v>
      </c>
      <c r="S40" s="104">
        <v>111106</v>
      </c>
      <c r="T40" s="103">
        <v>765513</v>
      </c>
      <c r="U40" s="72">
        <v>-66853.69</v>
      </c>
      <c r="V40" s="72">
        <v>0</v>
      </c>
    </row>
    <row r="41" spans="1:22">
      <c r="A41" s="14" t="s">
        <v>1224</v>
      </c>
      <c r="B41" s="15" t="s">
        <v>1225</v>
      </c>
      <c r="C41" s="14" t="s">
        <v>1220</v>
      </c>
      <c r="D41" s="14">
        <v>10</v>
      </c>
      <c r="E41" s="15" t="s">
        <v>1123</v>
      </c>
      <c r="F41" s="15" t="s">
        <v>1126</v>
      </c>
      <c r="G41" s="14" t="s">
        <v>1127</v>
      </c>
      <c r="H41" s="14"/>
      <c r="I41" s="14"/>
      <c r="J41" s="16">
        <v>2855.82</v>
      </c>
      <c r="K41" s="66">
        <v>2792853</v>
      </c>
      <c r="L41" s="66">
        <v>3950021</v>
      </c>
      <c r="M41" s="66">
        <v>607114</v>
      </c>
      <c r="N41" s="101">
        <v>463421</v>
      </c>
      <c r="O41" s="64">
        <v>17168177</v>
      </c>
      <c r="P41" s="64">
        <v>1675205</v>
      </c>
      <c r="Q41" s="64">
        <v>1221589</v>
      </c>
      <c r="R41" s="62">
        <v>686627</v>
      </c>
      <c r="S41" s="104">
        <v>189002</v>
      </c>
      <c r="T41" s="103">
        <v>2880128</v>
      </c>
      <c r="U41" s="72">
        <v>-266295.62</v>
      </c>
      <c r="V41" s="72">
        <v>0</v>
      </c>
    </row>
    <row r="42" spans="1:22">
      <c r="A42" s="14" t="s">
        <v>1224</v>
      </c>
      <c r="B42" s="15" t="s">
        <v>1225</v>
      </c>
      <c r="C42" s="14" t="s">
        <v>1220</v>
      </c>
      <c r="D42" s="14">
        <v>10</v>
      </c>
      <c r="E42" s="15" t="s">
        <v>1123</v>
      </c>
      <c r="F42" s="15" t="s">
        <v>1128</v>
      </c>
      <c r="G42" s="14" t="s">
        <v>1129</v>
      </c>
      <c r="H42" s="14"/>
      <c r="I42" s="14"/>
      <c r="J42" s="16">
        <v>1560.64</v>
      </c>
      <c r="K42" s="66">
        <v>693966</v>
      </c>
      <c r="L42" s="66">
        <v>2346175</v>
      </c>
      <c r="M42" s="66">
        <v>638542</v>
      </c>
      <c r="N42" s="101">
        <v>341420</v>
      </c>
      <c r="O42" s="64">
        <v>9594934</v>
      </c>
      <c r="P42" s="64">
        <v>1318326</v>
      </c>
      <c r="Q42" s="64">
        <v>278490</v>
      </c>
      <c r="R42" s="62">
        <v>156358</v>
      </c>
      <c r="S42" s="104">
        <v>148359</v>
      </c>
      <c r="T42" s="103">
        <v>2391025</v>
      </c>
      <c r="U42" s="72">
        <v>-124934.26</v>
      </c>
      <c r="V42" s="72">
        <v>0</v>
      </c>
    </row>
    <row r="43" spans="1:22">
      <c r="A43" s="14" t="s">
        <v>1224</v>
      </c>
      <c r="B43" s="15" t="s">
        <v>1225</v>
      </c>
      <c r="C43" s="14" t="s">
        <v>1220</v>
      </c>
      <c r="D43" s="14">
        <v>10</v>
      </c>
      <c r="E43" s="15" t="s">
        <v>1123</v>
      </c>
      <c r="F43" s="15" t="s">
        <v>1130</v>
      </c>
      <c r="G43" s="14" t="s">
        <v>1131</v>
      </c>
      <c r="H43" s="14"/>
      <c r="I43" s="14"/>
      <c r="J43" s="16">
        <v>8936.36</v>
      </c>
      <c r="K43" s="66">
        <v>10921332</v>
      </c>
      <c r="L43" s="66">
        <v>12946127</v>
      </c>
      <c r="M43" s="66">
        <v>3778944</v>
      </c>
      <c r="N43" s="101">
        <v>1481896</v>
      </c>
      <c r="O43" s="64">
        <v>53386268</v>
      </c>
      <c r="P43" s="64">
        <v>6786400</v>
      </c>
      <c r="Q43" s="64">
        <v>995351</v>
      </c>
      <c r="R43" s="62">
        <v>2341814</v>
      </c>
      <c r="S43" s="104">
        <v>748084</v>
      </c>
      <c r="T43" s="103">
        <v>9001577</v>
      </c>
      <c r="U43" s="72">
        <v>-1056655.8</v>
      </c>
      <c r="V43" s="72">
        <v>-103628.25</v>
      </c>
    </row>
    <row r="44" spans="1:22">
      <c r="A44" s="14" t="s">
        <v>1132</v>
      </c>
      <c r="B44" s="15" t="s">
        <v>1133</v>
      </c>
      <c r="C44" s="14" t="s">
        <v>1220</v>
      </c>
      <c r="D44" s="14">
        <v>11</v>
      </c>
      <c r="E44" s="15" t="s">
        <v>1134</v>
      </c>
      <c r="F44" s="15" t="s">
        <v>1135</v>
      </c>
      <c r="G44" s="14" t="s">
        <v>1136</v>
      </c>
      <c r="H44" s="14"/>
      <c r="I44" s="14"/>
      <c r="J44" s="16">
        <v>917.28</v>
      </c>
      <c r="K44" s="66">
        <v>516558</v>
      </c>
      <c r="L44" s="66">
        <v>1040161</v>
      </c>
      <c r="M44" s="66">
        <v>752036</v>
      </c>
      <c r="N44" s="101">
        <v>244535</v>
      </c>
      <c r="O44" s="64">
        <v>5971554</v>
      </c>
      <c r="P44" s="64">
        <v>1284004</v>
      </c>
      <c r="Q44" s="64">
        <v>115352</v>
      </c>
      <c r="R44" s="62">
        <v>610632</v>
      </c>
      <c r="S44" s="104">
        <v>176572</v>
      </c>
      <c r="T44" s="103">
        <v>880439</v>
      </c>
      <c r="U44" s="72">
        <v>-77178.600000000006</v>
      </c>
      <c r="V44" s="72">
        <v>-143234.97</v>
      </c>
    </row>
    <row r="45" spans="1:22">
      <c r="A45" s="14" t="s">
        <v>1132</v>
      </c>
      <c r="B45" s="15" t="s">
        <v>1133</v>
      </c>
      <c r="C45" s="14" t="s">
        <v>1220</v>
      </c>
      <c r="D45" s="14">
        <v>11</v>
      </c>
      <c r="E45" s="15" t="s">
        <v>1134</v>
      </c>
      <c r="F45" s="15" t="s">
        <v>1137</v>
      </c>
      <c r="G45" s="14" t="s">
        <v>1138</v>
      </c>
      <c r="H45" s="14"/>
      <c r="I45" s="14"/>
      <c r="J45" s="16">
        <v>1161.06</v>
      </c>
      <c r="K45" s="66">
        <v>176445</v>
      </c>
      <c r="L45" s="66">
        <v>1269049</v>
      </c>
      <c r="M45" s="66">
        <v>689591</v>
      </c>
      <c r="N45" s="101">
        <v>606444</v>
      </c>
      <c r="O45" s="64">
        <v>8899095</v>
      </c>
      <c r="P45" s="64">
        <v>1540538</v>
      </c>
      <c r="Q45" s="64">
        <v>304491</v>
      </c>
      <c r="R45" s="62">
        <v>4270293</v>
      </c>
      <c r="S45" s="104">
        <v>357632</v>
      </c>
      <c r="T45" s="103">
        <v>84407</v>
      </c>
      <c r="U45" s="72">
        <v>-69258.880000000005</v>
      </c>
      <c r="V45" s="72">
        <v>-63162.879999999997</v>
      </c>
    </row>
    <row r="46" spans="1:22">
      <c r="A46" s="14" t="s">
        <v>1132</v>
      </c>
      <c r="B46" s="15" t="s">
        <v>1133</v>
      </c>
      <c r="C46" s="14" t="s">
        <v>1220</v>
      </c>
      <c r="D46" s="14">
        <v>11</v>
      </c>
      <c r="E46" s="15" t="s">
        <v>1134</v>
      </c>
      <c r="F46" s="15" t="s">
        <v>1139</v>
      </c>
      <c r="G46" s="14" t="s">
        <v>1140</v>
      </c>
      <c r="H46" s="14"/>
      <c r="I46" s="14"/>
      <c r="J46" s="16">
        <v>786.56</v>
      </c>
      <c r="K46" s="66">
        <v>655361</v>
      </c>
      <c r="L46" s="66">
        <v>542084</v>
      </c>
      <c r="M46" s="66">
        <v>462969</v>
      </c>
      <c r="N46" s="101">
        <v>88254</v>
      </c>
      <c r="O46" s="64">
        <v>5016878</v>
      </c>
      <c r="P46" s="64">
        <v>989851</v>
      </c>
      <c r="Q46" s="64">
        <v>57965</v>
      </c>
      <c r="R46" s="62">
        <v>122065</v>
      </c>
      <c r="S46" s="104">
        <v>242953</v>
      </c>
      <c r="T46" s="103">
        <v>296638</v>
      </c>
      <c r="U46" s="72">
        <v>-65039.1</v>
      </c>
      <c r="V46" s="72">
        <v>0</v>
      </c>
    </row>
    <row r="47" spans="1:22">
      <c r="A47" s="14" t="s">
        <v>1132</v>
      </c>
      <c r="B47" s="15" t="s">
        <v>1133</v>
      </c>
      <c r="C47" s="14" t="s">
        <v>1220</v>
      </c>
      <c r="D47" s="14">
        <v>11</v>
      </c>
      <c r="E47" s="15" t="s">
        <v>1134</v>
      </c>
      <c r="F47" s="15" t="s">
        <v>1141</v>
      </c>
      <c r="G47" s="14" t="s">
        <v>1142</v>
      </c>
      <c r="H47" s="14"/>
      <c r="I47" s="14"/>
      <c r="J47" s="16">
        <v>489.48</v>
      </c>
      <c r="K47" s="66">
        <v>496719</v>
      </c>
      <c r="L47" s="66">
        <v>48121</v>
      </c>
      <c r="M47" s="66">
        <v>939613</v>
      </c>
      <c r="N47" s="101">
        <v>29638</v>
      </c>
      <c r="O47" s="64">
        <v>3992314</v>
      </c>
      <c r="P47" s="64">
        <v>826180</v>
      </c>
      <c r="Q47" s="64">
        <v>189109</v>
      </c>
      <c r="R47" s="62">
        <v>526373</v>
      </c>
      <c r="S47" s="104">
        <v>163475</v>
      </c>
      <c r="T47" s="103">
        <v>97656</v>
      </c>
      <c r="U47" s="72">
        <v>-42372.56</v>
      </c>
      <c r="V47" s="72">
        <v>0</v>
      </c>
    </row>
    <row r="48" spans="1:22">
      <c r="A48" s="14" t="s">
        <v>1087</v>
      </c>
      <c r="B48" s="15" t="s">
        <v>1088</v>
      </c>
      <c r="C48" s="14" t="s">
        <v>1220</v>
      </c>
      <c r="D48" s="14">
        <v>12</v>
      </c>
      <c r="E48" s="15" t="s">
        <v>1143</v>
      </c>
      <c r="F48" s="15" t="s">
        <v>1144</v>
      </c>
      <c r="G48" s="14" t="s">
        <v>1145</v>
      </c>
      <c r="H48" s="14"/>
      <c r="I48" s="14"/>
      <c r="J48" s="16">
        <v>1570.53</v>
      </c>
      <c r="K48" s="66">
        <v>647525</v>
      </c>
      <c r="L48" s="66">
        <v>767854</v>
      </c>
      <c r="M48" s="66">
        <v>974858</v>
      </c>
      <c r="N48" s="101">
        <v>328664</v>
      </c>
      <c r="O48" s="64">
        <v>10785946</v>
      </c>
      <c r="P48" s="64">
        <v>1148724</v>
      </c>
      <c r="Q48" s="64">
        <v>70497</v>
      </c>
      <c r="R48" s="62">
        <v>493768</v>
      </c>
      <c r="S48" s="104">
        <v>281071</v>
      </c>
      <c r="T48" s="103">
        <v>798396</v>
      </c>
      <c r="U48" s="72">
        <v>-69709.929999999993</v>
      </c>
      <c r="V48" s="72">
        <v>-6482.74</v>
      </c>
    </row>
    <row r="49" spans="1:22">
      <c r="A49" s="14" t="s">
        <v>1146</v>
      </c>
      <c r="B49" s="15" t="s">
        <v>1147</v>
      </c>
      <c r="C49" s="14" t="s">
        <v>1220</v>
      </c>
      <c r="D49" s="14">
        <v>13</v>
      </c>
      <c r="E49" s="15" t="s">
        <v>1148</v>
      </c>
      <c r="F49" s="15" t="s">
        <v>1149</v>
      </c>
      <c r="G49" s="14" t="s">
        <v>1150</v>
      </c>
      <c r="H49" s="14"/>
      <c r="I49" s="14"/>
      <c r="J49" s="16">
        <v>3880.25</v>
      </c>
      <c r="K49" s="66">
        <v>813552</v>
      </c>
      <c r="L49" s="66">
        <v>4550398</v>
      </c>
      <c r="M49" s="66">
        <v>1738438</v>
      </c>
      <c r="N49" s="101">
        <v>556944</v>
      </c>
      <c r="O49" s="64">
        <v>23692317</v>
      </c>
      <c r="P49" s="64">
        <v>2110862</v>
      </c>
      <c r="Q49" s="64">
        <v>82515</v>
      </c>
      <c r="R49" s="62">
        <v>1033898</v>
      </c>
      <c r="S49" s="104">
        <v>507921</v>
      </c>
      <c r="T49" s="103">
        <v>1912834</v>
      </c>
      <c r="U49" s="72">
        <v>-297436.78999999998</v>
      </c>
      <c r="V49" s="72">
        <v>-11022.13</v>
      </c>
    </row>
    <row r="50" spans="1:22">
      <c r="A50" s="14" t="s">
        <v>1146</v>
      </c>
      <c r="B50" s="15" t="s">
        <v>1147</v>
      </c>
      <c r="C50" s="14" t="s">
        <v>1220</v>
      </c>
      <c r="D50" s="14">
        <v>13</v>
      </c>
      <c r="E50" s="15" t="s">
        <v>1148</v>
      </c>
      <c r="F50" s="15" t="s">
        <v>1151</v>
      </c>
      <c r="G50" s="14" t="s">
        <v>1152</v>
      </c>
      <c r="H50" s="14"/>
      <c r="I50" s="14"/>
      <c r="J50" s="16">
        <v>951.88</v>
      </c>
      <c r="K50" s="66">
        <v>331892</v>
      </c>
      <c r="L50" s="66">
        <v>1311221</v>
      </c>
      <c r="M50" s="66">
        <v>609895</v>
      </c>
      <c r="N50" s="101">
        <v>437834</v>
      </c>
      <c r="O50" s="64">
        <v>5858100</v>
      </c>
      <c r="P50" s="64">
        <v>367831</v>
      </c>
      <c r="Q50" s="64">
        <v>38057</v>
      </c>
      <c r="R50" s="62">
        <v>154900</v>
      </c>
      <c r="S50" s="104">
        <v>155404</v>
      </c>
      <c r="T50" s="103">
        <v>941660</v>
      </c>
      <c r="U50" s="72">
        <v>-55413.66</v>
      </c>
      <c r="V50" s="72">
        <v>-162714.26</v>
      </c>
    </row>
    <row r="51" spans="1:22">
      <c r="A51" s="14" t="s">
        <v>1249</v>
      </c>
      <c r="B51" s="15" t="s">
        <v>1250</v>
      </c>
      <c r="C51" s="14" t="s">
        <v>1220</v>
      </c>
      <c r="D51" s="14">
        <v>14</v>
      </c>
      <c r="E51" s="15" t="s">
        <v>1153</v>
      </c>
      <c r="F51" s="15" t="s">
        <v>1154</v>
      </c>
      <c r="G51" s="14" t="s">
        <v>1155</v>
      </c>
      <c r="H51" s="14"/>
      <c r="I51" s="14"/>
      <c r="J51" s="16">
        <v>809.59</v>
      </c>
      <c r="K51" s="66">
        <v>622105</v>
      </c>
      <c r="L51" s="66">
        <v>362172</v>
      </c>
      <c r="M51" s="66">
        <v>505578</v>
      </c>
      <c r="N51" s="101">
        <v>102637</v>
      </c>
      <c r="O51" s="64">
        <v>5583151</v>
      </c>
      <c r="P51" s="64">
        <v>323198</v>
      </c>
      <c r="Q51" s="64">
        <v>42893</v>
      </c>
      <c r="R51" s="62">
        <v>169069</v>
      </c>
      <c r="S51" s="104">
        <v>109045</v>
      </c>
      <c r="T51" s="103">
        <v>411389</v>
      </c>
      <c r="U51" s="72">
        <v>-61535.05</v>
      </c>
      <c r="V51" s="72">
        <v>0</v>
      </c>
    </row>
    <row r="52" spans="1:22">
      <c r="A52" s="14" t="s">
        <v>1249</v>
      </c>
      <c r="B52" s="15" t="s">
        <v>1250</v>
      </c>
      <c r="C52" s="14" t="s">
        <v>1220</v>
      </c>
      <c r="D52" s="14">
        <v>14</v>
      </c>
      <c r="E52" s="15" t="s">
        <v>1153</v>
      </c>
      <c r="F52" s="15" t="s">
        <v>1156</v>
      </c>
      <c r="G52" s="14" t="s">
        <v>1157</v>
      </c>
      <c r="H52" s="14"/>
      <c r="I52" s="14"/>
      <c r="J52" s="16">
        <v>906.37</v>
      </c>
      <c r="K52" s="66">
        <v>325001</v>
      </c>
      <c r="L52" s="66">
        <v>531610</v>
      </c>
      <c r="M52" s="66">
        <v>318999</v>
      </c>
      <c r="N52" s="101">
        <v>412596</v>
      </c>
      <c r="O52" s="64">
        <v>5975224</v>
      </c>
      <c r="P52" s="64">
        <v>300668</v>
      </c>
      <c r="Q52" s="64">
        <v>58563</v>
      </c>
      <c r="R52" s="62">
        <v>220273</v>
      </c>
      <c r="S52" s="104">
        <v>108417</v>
      </c>
      <c r="T52" s="103">
        <v>386142</v>
      </c>
      <c r="U52" s="72">
        <v>-25654.1</v>
      </c>
      <c r="V52" s="72">
        <v>0</v>
      </c>
    </row>
    <row r="53" spans="1:22">
      <c r="A53" s="14" t="s">
        <v>1249</v>
      </c>
      <c r="B53" s="15" t="s">
        <v>1250</v>
      </c>
      <c r="C53" s="14" t="s">
        <v>1220</v>
      </c>
      <c r="D53" s="14">
        <v>14</v>
      </c>
      <c r="E53" s="15" t="s">
        <v>1153</v>
      </c>
      <c r="F53" s="15" t="s">
        <v>1158</v>
      </c>
      <c r="G53" s="14" t="s">
        <v>1159</v>
      </c>
      <c r="H53" s="14"/>
      <c r="I53" s="14"/>
      <c r="J53" s="16">
        <v>5472.25</v>
      </c>
      <c r="K53" s="66">
        <v>1943324</v>
      </c>
      <c r="L53" s="66">
        <v>4357299</v>
      </c>
      <c r="M53" s="66">
        <v>2325219</v>
      </c>
      <c r="N53" s="101">
        <v>3147176</v>
      </c>
      <c r="O53" s="64">
        <v>34111978</v>
      </c>
      <c r="P53" s="64">
        <v>6577277</v>
      </c>
      <c r="Q53" s="64">
        <v>519677</v>
      </c>
      <c r="R53" s="62">
        <v>2749437</v>
      </c>
      <c r="S53" s="104">
        <v>790116</v>
      </c>
      <c r="T53" s="103">
        <v>2850815</v>
      </c>
      <c r="U53" s="72">
        <v>-432595.17</v>
      </c>
      <c r="V53" s="72">
        <v>-391222.44</v>
      </c>
    </row>
    <row r="54" spans="1:22">
      <c r="A54" s="14" t="s">
        <v>1258</v>
      </c>
      <c r="B54" s="15" t="s">
        <v>1259</v>
      </c>
      <c r="C54" s="14" t="s">
        <v>1220</v>
      </c>
      <c r="D54" s="14">
        <v>15</v>
      </c>
      <c r="E54" s="15" t="s">
        <v>1160</v>
      </c>
      <c r="F54" s="15" t="s">
        <v>1161</v>
      </c>
      <c r="G54" s="14" t="s">
        <v>1162</v>
      </c>
      <c r="H54" s="14"/>
      <c r="I54" s="14"/>
      <c r="J54" s="16">
        <v>1025.6400000000001</v>
      </c>
      <c r="K54" s="66">
        <v>190723</v>
      </c>
      <c r="L54" s="66">
        <v>836659</v>
      </c>
      <c r="M54" s="66">
        <v>599252</v>
      </c>
      <c r="N54" s="101">
        <v>271243</v>
      </c>
      <c r="O54" s="64">
        <v>7377218</v>
      </c>
      <c r="P54" s="64">
        <v>753479</v>
      </c>
      <c r="Q54" s="64">
        <v>138867</v>
      </c>
      <c r="R54" s="62">
        <v>629745</v>
      </c>
      <c r="S54" s="104">
        <v>236996</v>
      </c>
      <c r="T54" s="103">
        <v>312664</v>
      </c>
      <c r="U54" s="72">
        <v>-90929.22</v>
      </c>
      <c r="V54" s="72">
        <v>-3781.1</v>
      </c>
    </row>
    <row r="55" spans="1:22">
      <c r="A55" s="14" t="s">
        <v>1218</v>
      </c>
      <c r="B55" s="15" t="s">
        <v>1219</v>
      </c>
      <c r="C55" s="14" t="s">
        <v>1220</v>
      </c>
      <c r="D55" s="14">
        <v>16</v>
      </c>
      <c r="E55" s="15" t="s">
        <v>1163</v>
      </c>
      <c r="F55" s="15" t="s">
        <v>1164</v>
      </c>
      <c r="G55" s="14" t="s">
        <v>1165</v>
      </c>
      <c r="H55" s="14"/>
      <c r="I55" s="14"/>
      <c r="J55" s="16">
        <v>589.41999999999996</v>
      </c>
      <c r="K55" s="66">
        <v>434269</v>
      </c>
      <c r="L55" s="66">
        <v>290768</v>
      </c>
      <c r="M55" s="66">
        <v>697444</v>
      </c>
      <c r="N55" s="101">
        <v>35485</v>
      </c>
      <c r="O55" s="64">
        <v>4275928</v>
      </c>
      <c r="P55" s="64">
        <v>249537</v>
      </c>
      <c r="Q55" s="64">
        <v>81692</v>
      </c>
      <c r="R55" s="62">
        <v>392421</v>
      </c>
      <c r="S55" s="104">
        <v>76294</v>
      </c>
      <c r="T55" s="103">
        <v>933428</v>
      </c>
      <c r="U55" s="72">
        <v>-45793.94</v>
      </c>
      <c r="V55" s="72">
        <v>-2927.3</v>
      </c>
    </row>
    <row r="56" spans="1:22">
      <c r="A56" s="14" t="s">
        <v>1166</v>
      </c>
      <c r="B56" s="15" t="s">
        <v>1167</v>
      </c>
      <c r="C56" s="14" t="s">
        <v>1220</v>
      </c>
      <c r="D56" s="14">
        <v>17</v>
      </c>
      <c r="E56" s="15" t="s">
        <v>1168</v>
      </c>
      <c r="F56" s="15" t="s">
        <v>1169</v>
      </c>
      <c r="G56" s="14" t="s">
        <v>991</v>
      </c>
      <c r="H56" s="14"/>
      <c r="I56" s="14"/>
      <c r="J56" s="16">
        <v>477.29</v>
      </c>
      <c r="K56" s="66">
        <v>279243</v>
      </c>
      <c r="L56" s="66">
        <v>34143</v>
      </c>
      <c r="M56" s="66">
        <v>551793</v>
      </c>
      <c r="N56" s="101">
        <v>63443</v>
      </c>
      <c r="O56" s="64">
        <v>3583116</v>
      </c>
      <c r="P56" s="64">
        <v>294189</v>
      </c>
      <c r="Q56" s="64">
        <v>71835</v>
      </c>
      <c r="R56" s="62">
        <v>216761</v>
      </c>
      <c r="S56" s="104">
        <v>108760</v>
      </c>
      <c r="T56" s="103">
        <v>290323</v>
      </c>
      <c r="U56" s="72">
        <v>-35751.089999999997</v>
      </c>
      <c r="V56" s="72">
        <v>-4190.59</v>
      </c>
    </row>
    <row r="57" spans="1:22">
      <c r="A57" s="14" t="s">
        <v>1166</v>
      </c>
      <c r="B57" s="15" t="s">
        <v>1167</v>
      </c>
      <c r="C57" s="14" t="s">
        <v>1220</v>
      </c>
      <c r="D57" s="14">
        <v>17</v>
      </c>
      <c r="E57" s="15" t="s">
        <v>1168</v>
      </c>
      <c r="F57" s="15" t="s">
        <v>992</v>
      </c>
      <c r="G57" s="14" t="s">
        <v>993</v>
      </c>
      <c r="H57" s="14"/>
      <c r="I57" s="14"/>
      <c r="J57" s="16">
        <v>979.85</v>
      </c>
      <c r="K57" s="66">
        <v>517762</v>
      </c>
      <c r="L57" s="66">
        <v>1090346</v>
      </c>
      <c r="M57" s="66">
        <v>851258</v>
      </c>
      <c r="N57" s="101">
        <v>320112</v>
      </c>
      <c r="O57" s="64">
        <v>6418179</v>
      </c>
      <c r="P57" s="64">
        <v>595245</v>
      </c>
      <c r="Q57" s="64">
        <v>102986</v>
      </c>
      <c r="R57" s="62">
        <v>223446</v>
      </c>
      <c r="S57" s="104">
        <v>189290</v>
      </c>
      <c r="T57" s="103">
        <v>598833</v>
      </c>
      <c r="U57" s="72">
        <v>-65013.53</v>
      </c>
      <c r="V57" s="72">
        <v>-9961.7999999999993</v>
      </c>
    </row>
    <row r="58" spans="1:22">
      <c r="A58" s="14" t="s">
        <v>1132</v>
      </c>
      <c r="B58" s="15" t="s">
        <v>1133</v>
      </c>
      <c r="C58" s="14" t="s">
        <v>1220</v>
      </c>
      <c r="D58" s="14">
        <v>18</v>
      </c>
      <c r="E58" s="15" t="s">
        <v>994</v>
      </c>
      <c r="F58" s="15" t="s">
        <v>995</v>
      </c>
      <c r="G58" s="14" t="s">
        <v>996</v>
      </c>
      <c r="H58" s="14"/>
      <c r="I58" s="14"/>
      <c r="J58" s="16">
        <v>7124.1</v>
      </c>
      <c r="K58" s="66">
        <v>4772718</v>
      </c>
      <c r="L58" s="66">
        <v>7069342</v>
      </c>
      <c r="M58" s="66">
        <v>5829441</v>
      </c>
      <c r="N58" s="101">
        <v>973460</v>
      </c>
      <c r="O58" s="64">
        <v>46054491</v>
      </c>
      <c r="P58" s="64">
        <v>4110397</v>
      </c>
      <c r="Q58" s="64">
        <v>555862</v>
      </c>
      <c r="R58" s="62">
        <v>4427388</v>
      </c>
      <c r="S58" s="104">
        <v>1260482</v>
      </c>
      <c r="T58" s="103">
        <v>3304089</v>
      </c>
      <c r="U58" s="72">
        <v>-701201.47</v>
      </c>
      <c r="V58" s="72">
        <v>-85604.45</v>
      </c>
    </row>
    <row r="59" spans="1:22">
      <c r="A59" s="14" t="s">
        <v>1132</v>
      </c>
      <c r="B59" s="15" t="s">
        <v>1133</v>
      </c>
      <c r="C59" s="14" t="s">
        <v>1220</v>
      </c>
      <c r="D59" s="14">
        <v>18</v>
      </c>
      <c r="E59" s="15" t="s">
        <v>994</v>
      </c>
      <c r="F59" s="15" t="s">
        <v>997</v>
      </c>
      <c r="G59" s="14" t="s">
        <v>998</v>
      </c>
      <c r="H59" s="14"/>
      <c r="I59" s="14"/>
      <c r="J59" s="16">
        <v>1251.48</v>
      </c>
      <c r="K59" s="66">
        <v>1038999</v>
      </c>
      <c r="L59" s="66">
        <v>1291289</v>
      </c>
      <c r="M59" s="66">
        <v>1126987</v>
      </c>
      <c r="N59" s="101">
        <v>152473</v>
      </c>
      <c r="O59" s="64">
        <v>8224971</v>
      </c>
      <c r="P59" s="64">
        <v>1289026</v>
      </c>
      <c r="Q59" s="64">
        <v>39510</v>
      </c>
      <c r="R59" s="62">
        <v>355826</v>
      </c>
      <c r="S59" s="104">
        <v>265458</v>
      </c>
      <c r="T59" s="103">
        <v>695117</v>
      </c>
      <c r="U59" s="72">
        <v>-81088.160000000003</v>
      </c>
      <c r="V59" s="72">
        <v>-4588.25</v>
      </c>
    </row>
    <row r="60" spans="1:22">
      <c r="A60" s="14" t="s">
        <v>1132</v>
      </c>
      <c r="B60" s="15" t="s">
        <v>1133</v>
      </c>
      <c r="C60" s="14" t="s">
        <v>1220</v>
      </c>
      <c r="D60" s="14">
        <v>18</v>
      </c>
      <c r="E60" s="15" t="s">
        <v>994</v>
      </c>
      <c r="F60" s="15" t="s">
        <v>999</v>
      </c>
      <c r="G60" s="14" t="s">
        <v>1000</v>
      </c>
      <c r="H60" s="14"/>
      <c r="I60" s="14"/>
      <c r="J60" s="16">
        <v>1526.12</v>
      </c>
      <c r="K60" s="66">
        <v>1137218</v>
      </c>
      <c r="L60" s="66">
        <v>2043436</v>
      </c>
      <c r="M60" s="66">
        <v>769248</v>
      </c>
      <c r="N60" s="101">
        <v>121137</v>
      </c>
      <c r="O60" s="64">
        <v>9203846</v>
      </c>
      <c r="P60" s="64">
        <v>695999</v>
      </c>
      <c r="Q60" s="64">
        <v>37638</v>
      </c>
      <c r="R60" s="62">
        <v>199834</v>
      </c>
      <c r="S60" s="104">
        <v>221834</v>
      </c>
      <c r="T60" s="103">
        <v>736435</v>
      </c>
      <c r="U60" s="72">
        <v>-121015.06</v>
      </c>
      <c r="V60" s="72">
        <v>-3428</v>
      </c>
    </row>
    <row r="61" spans="1:22">
      <c r="A61" s="14" t="s">
        <v>1224</v>
      </c>
      <c r="B61" s="15" t="s">
        <v>1225</v>
      </c>
      <c r="C61" s="14" t="s">
        <v>1220</v>
      </c>
      <c r="D61" s="14">
        <v>19</v>
      </c>
      <c r="E61" s="15" t="s">
        <v>1233</v>
      </c>
      <c r="F61" s="15" t="s">
        <v>1001</v>
      </c>
      <c r="G61" s="14" t="s">
        <v>1002</v>
      </c>
      <c r="H61" s="14"/>
      <c r="I61" s="14"/>
      <c r="J61" s="16">
        <v>10526.55</v>
      </c>
      <c r="K61" s="66">
        <v>14950754</v>
      </c>
      <c r="L61" s="66">
        <v>8367827</v>
      </c>
      <c r="M61" s="66">
        <v>4143318</v>
      </c>
      <c r="N61" s="101">
        <v>1193626</v>
      </c>
      <c r="O61" s="64">
        <v>64157046</v>
      </c>
      <c r="P61" s="64">
        <v>10637533</v>
      </c>
      <c r="Q61" s="64">
        <v>3066234</v>
      </c>
      <c r="R61" s="62">
        <v>4531160</v>
      </c>
      <c r="S61" s="104">
        <v>1415589</v>
      </c>
      <c r="T61" s="103">
        <v>8192536</v>
      </c>
      <c r="U61" s="72">
        <v>-649377.74</v>
      </c>
      <c r="V61" s="72">
        <v>-435340.52</v>
      </c>
    </row>
    <row r="62" spans="1:22">
      <c r="A62" s="14" t="s">
        <v>1224</v>
      </c>
      <c r="B62" s="15" t="s">
        <v>1225</v>
      </c>
      <c r="C62" s="14" t="s">
        <v>1220</v>
      </c>
      <c r="D62" s="14">
        <v>19</v>
      </c>
      <c r="E62" s="15" t="s">
        <v>1233</v>
      </c>
      <c r="F62" s="15" t="s">
        <v>1003</v>
      </c>
      <c r="G62" s="14" t="s">
        <v>1004</v>
      </c>
      <c r="H62" s="14"/>
      <c r="I62" s="14"/>
      <c r="J62" s="16">
        <v>6098.39</v>
      </c>
      <c r="K62" s="66">
        <v>2965847</v>
      </c>
      <c r="L62" s="66">
        <v>8883247</v>
      </c>
      <c r="M62" s="66">
        <v>1169095</v>
      </c>
      <c r="N62" s="101">
        <v>3699673</v>
      </c>
      <c r="O62" s="64">
        <v>37884926</v>
      </c>
      <c r="P62" s="64">
        <v>4168171</v>
      </c>
      <c r="Q62" s="64">
        <v>165890</v>
      </c>
      <c r="R62" s="62">
        <v>1470066</v>
      </c>
      <c r="S62" s="104">
        <v>531543</v>
      </c>
      <c r="T62" s="103">
        <v>11600431</v>
      </c>
      <c r="U62" s="72">
        <v>-407852.76</v>
      </c>
      <c r="V62" s="72">
        <v>-206941.43</v>
      </c>
    </row>
    <row r="63" spans="1:22">
      <c r="A63" s="14" t="s">
        <v>1224</v>
      </c>
      <c r="B63" s="15" t="s">
        <v>1225</v>
      </c>
      <c r="C63" s="14" t="s">
        <v>1220</v>
      </c>
      <c r="D63" s="14">
        <v>19</v>
      </c>
      <c r="E63" s="15" t="s">
        <v>1233</v>
      </c>
      <c r="F63" s="15" t="s">
        <v>1005</v>
      </c>
      <c r="G63" s="14" t="s">
        <v>1006</v>
      </c>
      <c r="H63" s="14"/>
      <c r="I63" s="14"/>
      <c r="J63" s="16">
        <v>11172.94</v>
      </c>
      <c r="K63" s="66">
        <v>12192025</v>
      </c>
      <c r="L63" s="66">
        <v>12164400</v>
      </c>
      <c r="M63" s="66">
        <v>2100516</v>
      </c>
      <c r="N63" s="101">
        <v>1052898</v>
      </c>
      <c r="O63" s="64">
        <v>68563525</v>
      </c>
      <c r="P63" s="64">
        <v>8245820</v>
      </c>
      <c r="Q63" s="64">
        <v>419286</v>
      </c>
      <c r="R63" s="62">
        <v>2285981</v>
      </c>
      <c r="S63" s="104">
        <v>750480</v>
      </c>
      <c r="T63" s="103">
        <v>11904188</v>
      </c>
      <c r="U63" s="72">
        <v>-753224.3</v>
      </c>
      <c r="V63" s="72">
        <v>-361314.6</v>
      </c>
    </row>
    <row r="64" spans="1:22">
      <c r="A64" s="14" t="s">
        <v>1224</v>
      </c>
      <c r="B64" s="15" t="s">
        <v>1225</v>
      </c>
      <c r="C64" s="14" t="s">
        <v>1220</v>
      </c>
      <c r="D64" s="14">
        <v>19</v>
      </c>
      <c r="E64" s="15" t="s">
        <v>1233</v>
      </c>
      <c r="F64" s="15" t="s">
        <v>1007</v>
      </c>
      <c r="G64" s="14" t="s">
        <v>1008</v>
      </c>
      <c r="H64" s="14"/>
      <c r="I64" s="14"/>
      <c r="J64" s="16">
        <v>515.21</v>
      </c>
      <c r="K64" s="66">
        <v>270892</v>
      </c>
      <c r="L64" s="66">
        <v>556739</v>
      </c>
      <c r="M64" s="66">
        <v>403750</v>
      </c>
      <c r="N64" s="101">
        <v>63352</v>
      </c>
      <c r="O64" s="64">
        <v>3226624</v>
      </c>
      <c r="P64" s="64">
        <v>136773</v>
      </c>
      <c r="Q64" s="64">
        <v>8513</v>
      </c>
      <c r="R64" s="62">
        <v>183097</v>
      </c>
      <c r="S64" s="104">
        <v>49506</v>
      </c>
      <c r="T64" s="103">
        <v>302098</v>
      </c>
      <c r="U64" s="72">
        <v>-6081.78</v>
      </c>
      <c r="V64" s="72">
        <v>0</v>
      </c>
    </row>
    <row r="65" spans="1:22">
      <c r="A65" s="14" t="s">
        <v>1224</v>
      </c>
      <c r="B65" s="15" t="s">
        <v>1225</v>
      </c>
      <c r="C65" s="14" t="s">
        <v>1220</v>
      </c>
      <c r="D65" s="14">
        <v>19</v>
      </c>
      <c r="E65" s="15" t="s">
        <v>1233</v>
      </c>
      <c r="F65" s="15" t="s">
        <v>1009</v>
      </c>
      <c r="G65" s="14" t="s">
        <v>1010</v>
      </c>
      <c r="H65" s="14"/>
      <c r="I65" s="14"/>
      <c r="J65" s="16">
        <v>28012.97</v>
      </c>
      <c r="K65" s="66">
        <v>41716260</v>
      </c>
      <c r="L65" s="66">
        <v>32022723</v>
      </c>
      <c r="M65" s="66">
        <v>11884444</v>
      </c>
      <c r="N65" s="101">
        <v>3205707</v>
      </c>
      <c r="O65" s="64">
        <v>170354349</v>
      </c>
      <c r="P65" s="64">
        <v>24036008</v>
      </c>
      <c r="Q65" s="64">
        <v>4820871</v>
      </c>
      <c r="R65" s="62">
        <v>7700666</v>
      </c>
      <c r="S65" s="104">
        <v>2562701</v>
      </c>
      <c r="T65" s="103">
        <v>13481044</v>
      </c>
      <c r="U65" s="72">
        <v>-1760309.99</v>
      </c>
      <c r="V65" s="72">
        <v>-962090.99</v>
      </c>
    </row>
    <row r="66" spans="1:22">
      <c r="A66" s="14" t="s">
        <v>1224</v>
      </c>
      <c r="B66" s="15" t="s">
        <v>1225</v>
      </c>
      <c r="C66" s="14" t="s">
        <v>1220</v>
      </c>
      <c r="D66" s="14">
        <v>19</v>
      </c>
      <c r="E66" s="15" t="s">
        <v>1233</v>
      </c>
      <c r="F66" s="15" t="s">
        <v>1011</v>
      </c>
      <c r="G66" s="14" t="s">
        <v>1012</v>
      </c>
      <c r="H66" s="14"/>
      <c r="I66" s="14"/>
      <c r="J66" s="16">
        <v>4588.46</v>
      </c>
      <c r="K66" s="66">
        <v>9209104</v>
      </c>
      <c r="L66" s="66">
        <v>8221785</v>
      </c>
      <c r="M66" s="66">
        <v>1829182</v>
      </c>
      <c r="N66" s="101">
        <v>1170471</v>
      </c>
      <c r="O66" s="64">
        <v>27486297</v>
      </c>
      <c r="P66" s="64">
        <v>3920776</v>
      </c>
      <c r="Q66" s="64">
        <v>1201714</v>
      </c>
      <c r="R66" s="62">
        <v>1947654</v>
      </c>
      <c r="S66" s="104">
        <v>752566</v>
      </c>
      <c r="T66" s="103">
        <v>3655725</v>
      </c>
      <c r="U66" s="72">
        <v>-611642</v>
      </c>
      <c r="V66" s="72">
        <v>-60000</v>
      </c>
    </row>
    <row r="67" spans="1:22">
      <c r="A67" s="14" t="s">
        <v>1224</v>
      </c>
      <c r="B67" s="15" t="s">
        <v>1225</v>
      </c>
      <c r="C67" s="14" t="s">
        <v>1220</v>
      </c>
      <c r="D67" s="14">
        <v>19</v>
      </c>
      <c r="E67" s="15" t="s">
        <v>1233</v>
      </c>
      <c r="F67" s="15" t="s">
        <v>1013</v>
      </c>
      <c r="G67" s="14" t="s">
        <v>1014</v>
      </c>
      <c r="H67" s="14"/>
      <c r="I67" s="14"/>
      <c r="J67" s="16">
        <v>3832.08</v>
      </c>
      <c r="K67" s="66">
        <v>5966832</v>
      </c>
      <c r="L67" s="66">
        <v>2647833</v>
      </c>
      <c r="M67" s="66">
        <v>1759201</v>
      </c>
      <c r="N67" s="101">
        <v>345807</v>
      </c>
      <c r="O67" s="64">
        <v>23072691</v>
      </c>
      <c r="P67" s="64">
        <v>3300444</v>
      </c>
      <c r="Q67" s="64">
        <v>578935</v>
      </c>
      <c r="R67" s="62">
        <v>1359033</v>
      </c>
      <c r="S67" s="104">
        <v>537595</v>
      </c>
      <c r="T67" s="103">
        <v>3784934</v>
      </c>
      <c r="U67" s="72">
        <v>-223711.66</v>
      </c>
      <c r="V67" s="72">
        <v>0</v>
      </c>
    </row>
    <row r="68" spans="1:22">
      <c r="A68" s="14" t="s">
        <v>1224</v>
      </c>
      <c r="B68" s="15" t="s">
        <v>1225</v>
      </c>
      <c r="C68" s="14" t="s">
        <v>1220</v>
      </c>
      <c r="D68" s="14">
        <v>19</v>
      </c>
      <c r="E68" s="15" t="s">
        <v>1233</v>
      </c>
      <c r="F68" s="15" t="s">
        <v>1015</v>
      </c>
      <c r="G68" s="14" t="s">
        <v>1016</v>
      </c>
      <c r="H68" s="14"/>
      <c r="I68" s="14"/>
      <c r="J68" s="16">
        <v>5150.79</v>
      </c>
      <c r="K68" s="66">
        <v>8249743</v>
      </c>
      <c r="L68" s="66">
        <v>4253477</v>
      </c>
      <c r="M68" s="66">
        <v>2423370</v>
      </c>
      <c r="N68" s="101">
        <v>656936</v>
      </c>
      <c r="O68" s="64">
        <v>31768166</v>
      </c>
      <c r="P68" s="64">
        <v>4072692</v>
      </c>
      <c r="Q68" s="64">
        <v>393309</v>
      </c>
      <c r="R68" s="62">
        <v>1471743</v>
      </c>
      <c r="S68" s="104">
        <v>577600</v>
      </c>
      <c r="T68" s="103">
        <v>4382032</v>
      </c>
      <c r="U68" s="72">
        <v>-321049.07</v>
      </c>
      <c r="V68" s="72">
        <v>-205663.31</v>
      </c>
    </row>
    <row r="69" spans="1:22">
      <c r="A69" s="14" t="s">
        <v>1017</v>
      </c>
      <c r="B69" s="15" t="s">
        <v>1018</v>
      </c>
      <c r="C69" s="14" t="s">
        <v>1220</v>
      </c>
      <c r="D69" s="14">
        <v>20</v>
      </c>
      <c r="E69" s="15" t="s">
        <v>1019</v>
      </c>
      <c r="F69" s="15" t="s">
        <v>1020</v>
      </c>
      <c r="G69" s="14" t="s">
        <v>1021</v>
      </c>
      <c r="H69" s="14"/>
      <c r="I69" s="14"/>
      <c r="J69" s="16">
        <v>894.63</v>
      </c>
      <c r="K69" s="66">
        <v>427593</v>
      </c>
      <c r="L69" s="66">
        <v>573624</v>
      </c>
      <c r="M69" s="66">
        <v>260697</v>
      </c>
      <c r="N69" s="101">
        <v>130471</v>
      </c>
      <c r="O69" s="64">
        <v>5856191</v>
      </c>
      <c r="P69" s="64">
        <v>449395</v>
      </c>
      <c r="Q69" s="64">
        <v>36955</v>
      </c>
      <c r="R69" s="62">
        <v>95110</v>
      </c>
      <c r="S69" s="104">
        <v>106058</v>
      </c>
      <c r="T69" s="103">
        <v>339460</v>
      </c>
      <c r="U69" s="72">
        <v>-42389.23</v>
      </c>
      <c r="V69" s="72">
        <v>0</v>
      </c>
    </row>
    <row r="70" spans="1:22">
      <c r="A70" s="14" t="s">
        <v>1017</v>
      </c>
      <c r="B70" s="15" t="s">
        <v>1018</v>
      </c>
      <c r="C70" s="14" t="s">
        <v>1220</v>
      </c>
      <c r="D70" s="14">
        <v>20</v>
      </c>
      <c r="E70" s="15" t="s">
        <v>1019</v>
      </c>
      <c r="F70" s="15" t="s">
        <v>1022</v>
      </c>
      <c r="G70" s="14" t="s">
        <v>1023</v>
      </c>
      <c r="H70" s="14"/>
      <c r="I70" s="14"/>
      <c r="J70" s="16">
        <v>2009.91</v>
      </c>
      <c r="K70" s="66">
        <v>808867</v>
      </c>
      <c r="L70" s="66">
        <v>906533</v>
      </c>
      <c r="M70" s="66">
        <v>720140</v>
      </c>
      <c r="N70" s="101">
        <v>280631</v>
      </c>
      <c r="O70" s="64">
        <v>12493249</v>
      </c>
      <c r="P70" s="64">
        <v>649194</v>
      </c>
      <c r="Q70" s="64">
        <v>64999</v>
      </c>
      <c r="R70" s="62">
        <v>110250</v>
      </c>
      <c r="S70" s="104">
        <v>142112</v>
      </c>
      <c r="T70" s="103">
        <v>1050978</v>
      </c>
      <c r="U70" s="72">
        <v>-150217.73000000001</v>
      </c>
      <c r="V70" s="72">
        <v>0</v>
      </c>
    </row>
    <row r="71" spans="1:22">
      <c r="A71" s="14" t="s">
        <v>1249</v>
      </c>
      <c r="B71" s="15" t="s">
        <v>1250</v>
      </c>
      <c r="C71" s="14" t="s">
        <v>1220</v>
      </c>
      <c r="D71" s="14">
        <v>21</v>
      </c>
      <c r="E71" s="15" t="s">
        <v>1024</v>
      </c>
      <c r="F71" s="15" t="s">
        <v>1025</v>
      </c>
      <c r="G71" s="14" t="s">
        <v>1026</v>
      </c>
      <c r="H71" s="14"/>
      <c r="I71" s="14"/>
      <c r="J71" s="16">
        <v>4106.72</v>
      </c>
      <c r="K71" s="66">
        <v>3588054</v>
      </c>
      <c r="L71" s="66">
        <v>1913072</v>
      </c>
      <c r="M71" s="66">
        <v>1629829</v>
      </c>
      <c r="N71" s="101">
        <v>652819</v>
      </c>
      <c r="O71" s="64">
        <v>26073764</v>
      </c>
      <c r="P71" s="64">
        <v>2418635</v>
      </c>
      <c r="Q71" s="64">
        <v>587388</v>
      </c>
      <c r="R71" s="62">
        <v>1484165</v>
      </c>
      <c r="S71" s="104">
        <v>564386</v>
      </c>
      <c r="T71" s="103">
        <v>1662525</v>
      </c>
      <c r="U71" s="72">
        <v>-346830.36</v>
      </c>
      <c r="V71" s="72">
        <v>-312775.46999999997</v>
      </c>
    </row>
    <row r="72" spans="1:22">
      <c r="A72" s="14" t="s">
        <v>1249</v>
      </c>
      <c r="B72" s="15" t="s">
        <v>1250</v>
      </c>
      <c r="C72" s="14" t="s">
        <v>1220</v>
      </c>
      <c r="D72" s="14">
        <v>21</v>
      </c>
      <c r="E72" s="15" t="s">
        <v>1024</v>
      </c>
      <c r="F72" s="15" t="s">
        <v>1027</v>
      </c>
      <c r="G72" s="14" t="s">
        <v>1028</v>
      </c>
      <c r="H72" s="14"/>
      <c r="I72" s="14"/>
      <c r="J72" s="16">
        <v>305.89999999999998</v>
      </c>
      <c r="K72" s="66">
        <v>230658</v>
      </c>
      <c r="L72" s="66">
        <v>14893</v>
      </c>
      <c r="M72" s="66">
        <v>196293</v>
      </c>
      <c r="N72" s="101">
        <v>20875</v>
      </c>
      <c r="O72" s="64">
        <v>2092230</v>
      </c>
      <c r="P72" s="64">
        <v>57055</v>
      </c>
      <c r="Q72" s="64">
        <v>19454</v>
      </c>
      <c r="R72" s="62">
        <v>74864</v>
      </c>
      <c r="S72" s="104">
        <v>43680</v>
      </c>
      <c r="T72" s="103">
        <v>161222</v>
      </c>
      <c r="U72" s="72">
        <v>-61861.72</v>
      </c>
      <c r="V72" s="72">
        <v>0</v>
      </c>
    </row>
    <row r="73" spans="1:22">
      <c r="A73" s="14" t="s">
        <v>1249</v>
      </c>
      <c r="B73" s="15" t="s">
        <v>1250</v>
      </c>
      <c r="C73" s="14" t="s">
        <v>1220</v>
      </c>
      <c r="D73" s="14">
        <v>21</v>
      </c>
      <c r="E73" s="15" t="s">
        <v>1024</v>
      </c>
      <c r="F73" s="15" t="s">
        <v>1029</v>
      </c>
      <c r="G73" s="14" t="s">
        <v>1030</v>
      </c>
      <c r="H73" s="14"/>
      <c r="I73" s="14"/>
      <c r="J73" s="16">
        <v>183.86</v>
      </c>
      <c r="K73" s="66">
        <v>329229</v>
      </c>
      <c r="L73" s="66">
        <v>16476</v>
      </c>
      <c r="M73" s="66">
        <v>93577</v>
      </c>
      <c r="N73" s="101">
        <v>21526</v>
      </c>
      <c r="O73" s="64">
        <v>1300540</v>
      </c>
      <c r="P73" s="64">
        <v>24035</v>
      </c>
      <c r="Q73" s="64">
        <v>10523</v>
      </c>
      <c r="R73" s="62">
        <v>56832</v>
      </c>
      <c r="S73" s="104">
        <v>40175</v>
      </c>
      <c r="T73" s="103">
        <v>39451</v>
      </c>
      <c r="U73" s="72">
        <v>-25513.87</v>
      </c>
      <c r="V73" s="72">
        <v>0</v>
      </c>
    </row>
    <row r="74" spans="1:22">
      <c r="A74" s="14" t="s">
        <v>1249</v>
      </c>
      <c r="B74" s="15" t="s">
        <v>1250</v>
      </c>
      <c r="C74" s="14" t="s">
        <v>1220</v>
      </c>
      <c r="D74" s="14">
        <v>21</v>
      </c>
      <c r="E74" s="15" t="s">
        <v>1024</v>
      </c>
      <c r="F74" s="15" t="s">
        <v>1031</v>
      </c>
      <c r="G74" s="14" t="s">
        <v>1032</v>
      </c>
      <c r="H74" s="14"/>
      <c r="I74" s="14"/>
      <c r="J74" s="16">
        <v>727.35</v>
      </c>
      <c r="K74" s="66">
        <v>148256</v>
      </c>
      <c r="L74" s="66">
        <v>835373</v>
      </c>
      <c r="M74" s="66">
        <v>348962</v>
      </c>
      <c r="N74" s="101">
        <v>195470</v>
      </c>
      <c r="O74" s="64">
        <v>4688569</v>
      </c>
      <c r="P74" s="64">
        <v>201627</v>
      </c>
      <c r="Q74" s="64">
        <v>113797</v>
      </c>
      <c r="R74" s="62">
        <v>181825</v>
      </c>
      <c r="S74" s="104">
        <v>120206</v>
      </c>
      <c r="T74" s="103">
        <v>147717</v>
      </c>
      <c r="U74" s="72">
        <v>-44152.22</v>
      </c>
      <c r="V74" s="72">
        <v>0</v>
      </c>
    </row>
    <row r="75" spans="1:22">
      <c r="A75" s="14" t="s">
        <v>1017</v>
      </c>
      <c r="B75" s="15" t="s">
        <v>1018</v>
      </c>
      <c r="C75" s="14" t="s">
        <v>1220</v>
      </c>
      <c r="D75" s="14">
        <v>55</v>
      </c>
      <c r="E75" s="15" t="s">
        <v>1033</v>
      </c>
      <c r="F75" s="15" t="s">
        <v>1034</v>
      </c>
      <c r="G75" s="14" t="s">
        <v>1035</v>
      </c>
      <c r="H75" s="14"/>
      <c r="I75" s="14"/>
      <c r="J75" s="16">
        <v>886.51</v>
      </c>
      <c r="K75" s="66">
        <v>645433</v>
      </c>
      <c r="L75" s="66">
        <v>179821</v>
      </c>
      <c r="M75" s="66">
        <v>302525</v>
      </c>
      <c r="N75" s="101">
        <v>64357</v>
      </c>
      <c r="O75" s="64">
        <v>5750259</v>
      </c>
      <c r="P75" s="64">
        <v>336413</v>
      </c>
      <c r="Q75" s="64">
        <v>53950</v>
      </c>
      <c r="R75" s="62">
        <v>61363</v>
      </c>
      <c r="S75" s="104">
        <v>97482</v>
      </c>
      <c r="T75" s="103">
        <v>547519</v>
      </c>
      <c r="U75" s="72">
        <v>-108664.09</v>
      </c>
      <c r="V75" s="72">
        <v>0</v>
      </c>
    </row>
    <row r="76" spans="1:22">
      <c r="A76" s="14" t="s">
        <v>1017</v>
      </c>
      <c r="B76" s="15" t="s">
        <v>1018</v>
      </c>
      <c r="C76" s="14" t="s">
        <v>1220</v>
      </c>
      <c r="D76" s="14">
        <v>23</v>
      </c>
      <c r="E76" s="15" t="s">
        <v>1036</v>
      </c>
      <c r="F76" s="15" t="s">
        <v>1037</v>
      </c>
      <c r="G76" s="14" t="s">
        <v>1038</v>
      </c>
      <c r="H76" s="14"/>
      <c r="I76" s="14"/>
      <c r="J76" s="16">
        <v>370.5</v>
      </c>
      <c r="K76" s="66">
        <v>144178</v>
      </c>
      <c r="L76" s="66">
        <v>241223</v>
      </c>
      <c r="M76" s="66">
        <v>421221</v>
      </c>
      <c r="N76" s="101">
        <v>72165</v>
      </c>
      <c r="O76" s="64">
        <v>2466254</v>
      </c>
      <c r="P76" s="64">
        <v>178691</v>
      </c>
      <c r="Q76" s="64">
        <v>17213</v>
      </c>
      <c r="R76" s="62">
        <v>112556</v>
      </c>
      <c r="S76" s="104">
        <v>85832</v>
      </c>
      <c r="T76" s="103">
        <v>368971</v>
      </c>
      <c r="U76" s="72">
        <v>-23411.599999999999</v>
      </c>
      <c r="V76" s="72">
        <v>0</v>
      </c>
    </row>
    <row r="77" spans="1:22">
      <c r="A77" s="14" t="s">
        <v>1017</v>
      </c>
      <c r="B77" s="15" t="s">
        <v>1018</v>
      </c>
      <c r="C77" s="14" t="s">
        <v>1220</v>
      </c>
      <c r="D77" s="14">
        <v>23</v>
      </c>
      <c r="E77" s="15" t="s">
        <v>1036</v>
      </c>
      <c r="F77" s="15" t="s">
        <v>1039</v>
      </c>
      <c r="G77" s="14" t="s">
        <v>1040</v>
      </c>
      <c r="H77" s="14"/>
      <c r="I77" s="14"/>
      <c r="J77" s="16">
        <v>357.03</v>
      </c>
      <c r="K77" s="66">
        <v>319025</v>
      </c>
      <c r="L77" s="66">
        <v>337339</v>
      </c>
      <c r="M77" s="66">
        <v>361153</v>
      </c>
      <c r="N77" s="101">
        <v>91086</v>
      </c>
      <c r="O77" s="64">
        <v>2270814</v>
      </c>
      <c r="P77" s="64">
        <v>162773</v>
      </c>
      <c r="Q77" s="64">
        <v>15147</v>
      </c>
      <c r="R77" s="62">
        <v>179323</v>
      </c>
      <c r="S77" s="104">
        <v>61728</v>
      </c>
      <c r="T77" s="103">
        <v>121893</v>
      </c>
      <c r="U77" s="72">
        <v>-23824.44</v>
      </c>
      <c r="V77" s="72">
        <v>0</v>
      </c>
    </row>
    <row r="78" spans="1:22">
      <c r="A78" s="14" t="s">
        <v>1017</v>
      </c>
      <c r="B78" s="15" t="s">
        <v>1018</v>
      </c>
      <c r="C78" s="14" t="s">
        <v>1220</v>
      </c>
      <c r="D78" s="14">
        <v>23</v>
      </c>
      <c r="E78" s="15" t="s">
        <v>1036</v>
      </c>
      <c r="F78" s="15" t="s">
        <v>1041</v>
      </c>
      <c r="G78" s="14" t="s">
        <v>1042</v>
      </c>
      <c r="H78" s="14"/>
      <c r="I78" s="14"/>
      <c r="J78" s="16">
        <v>660.05</v>
      </c>
      <c r="K78" s="66">
        <v>609862</v>
      </c>
      <c r="L78" s="66">
        <v>47975</v>
      </c>
      <c r="M78" s="66">
        <v>244797</v>
      </c>
      <c r="N78" s="101">
        <v>56819</v>
      </c>
      <c r="O78" s="64">
        <v>4628027</v>
      </c>
      <c r="P78" s="64">
        <v>306952</v>
      </c>
      <c r="Q78" s="64">
        <v>96436</v>
      </c>
      <c r="R78" s="62">
        <v>74877</v>
      </c>
      <c r="S78" s="104">
        <v>125069</v>
      </c>
      <c r="T78" s="103">
        <v>221538</v>
      </c>
      <c r="U78" s="72">
        <v>-33322.959999999999</v>
      </c>
      <c r="V78" s="72">
        <v>-10633</v>
      </c>
    </row>
    <row r="79" spans="1:22">
      <c r="A79" s="14" t="s">
        <v>1017</v>
      </c>
      <c r="B79" s="15" t="s">
        <v>1018</v>
      </c>
      <c r="C79" s="14" t="s">
        <v>1220</v>
      </c>
      <c r="D79" s="14">
        <v>24</v>
      </c>
      <c r="E79" s="15" t="s">
        <v>1043</v>
      </c>
      <c r="F79" s="15" t="s">
        <v>1044</v>
      </c>
      <c r="G79" s="14" t="s">
        <v>1045</v>
      </c>
      <c r="H79" s="14"/>
      <c r="I79" s="14"/>
      <c r="J79" s="16">
        <v>3546.59</v>
      </c>
      <c r="K79" s="66">
        <v>1979192</v>
      </c>
      <c r="L79" s="66">
        <v>2681608</v>
      </c>
      <c r="M79" s="66">
        <v>1033424</v>
      </c>
      <c r="N79" s="101">
        <v>637478</v>
      </c>
      <c r="O79" s="64">
        <v>23835695</v>
      </c>
      <c r="P79" s="64">
        <v>2922354</v>
      </c>
      <c r="Q79" s="64">
        <v>1021261</v>
      </c>
      <c r="R79" s="62">
        <v>1517897</v>
      </c>
      <c r="S79" s="104">
        <v>756175</v>
      </c>
      <c r="T79" s="103">
        <v>1270555</v>
      </c>
      <c r="U79" s="72">
        <v>-289614.83</v>
      </c>
      <c r="V79" s="72">
        <v>-151062.5</v>
      </c>
    </row>
    <row r="80" spans="1:22">
      <c r="A80" s="14" t="s">
        <v>1017</v>
      </c>
      <c r="B80" s="15" t="s">
        <v>1018</v>
      </c>
      <c r="C80" s="14" t="s">
        <v>1220</v>
      </c>
      <c r="D80" s="14">
        <v>24</v>
      </c>
      <c r="E80" s="15" t="s">
        <v>1043</v>
      </c>
      <c r="F80" s="15" t="s">
        <v>1046</v>
      </c>
      <c r="G80" s="14" t="s">
        <v>1047</v>
      </c>
      <c r="H80" s="14"/>
      <c r="I80" s="14"/>
      <c r="J80" s="16">
        <v>397.77</v>
      </c>
      <c r="K80" s="66">
        <v>147061</v>
      </c>
      <c r="L80" s="66">
        <v>293481</v>
      </c>
      <c r="M80" s="66">
        <v>553560</v>
      </c>
      <c r="N80" s="101">
        <v>64688</v>
      </c>
      <c r="O80" s="64">
        <v>2765576</v>
      </c>
      <c r="P80" s="64">
        <v>230451</v>
      </c>
      <c r="Q80" s="64">
        <v>9876</v>
      </c>
      <c r="R80" s="62">
        <v>68510</v>
      </c>
      <c r="S80" s="104">
        <v>67929</v>
      </c>
      <c r="T80" s="103">
        <v>77250</v>
      </c>
      <c r="U80" s="72">
        <v>-24437.29</v>
      </c>
      <c r="V80" s="72">
        <v>0</v>
      </c>
    </row>
    <row r="81" spans="1:22">
      <c r="A81" s="14" t="s">
        <v>1017</v>
      </c>
      <c r="B81" s="15" t="s">
        <v>1018</v>
      </c>
      <c r="C81" s="14" t="s">
        <v>1220</v>
      </c>
      <c r="D81" s="14">
        <v>25</v>
      </c>
      <c r="E81" s="15" t="s">
        <v>1048</v>
      </c>
      <c r="F81" s="15" t="s">
        <v>1049</v>
      </c>
      <c r="G81" s="14" t="s">
        <v>1050</v>
      </c>
      <c r="H81" s="14"/>
      <c r="I81" s="14"/>
      <c r="J81" s="16">
        <v>1305.27</v>
      </c>
      <c r="K81" s="66">
        <v>880248</v>
      </c>
      <c r="L81" s="66">
        <v>1013000</v>
      </c>
      <c r="M81" s="66">
        <v>313521</v>
      </c>
      <c r="N81" s="101">
        <v>140742</v>
      </c>
      <c r="O81" s="64">
        <v>8208175</v>
      </c>
      <c r="P81" s="64">
        <v>544791</v>
      </c>
      <c r="Q81" s="64">
        <v>85430</v>
      </c>
      <c r="R81" s="62">
        <v>112635</v>
      </c>
      <c r="S81" s="104">
        <v>137805</v>
      </c>
      <c r="T81" s="103">
        <v>821164</v>
      </c>
      <c r="U81" s="72">
        <v>-77117.63</v>
      </c>
      <c r="V81" s="72">
        <v>0</v>
      </c>
    </row>
    <row r="82" spans="1:22">
      <c r="A82" s="14" t="s">
        <v>1017</v>
      </c>
      <c r="B82" s="15" t="s">
        <v>1018</v>
      </c>
      <c r="C82" s="14" t="s">
        <v>1220</v>
      </c>
      <c r="D82" s="14">
        <v>25</v>
      </c>
      <c r="E82" s="15" t="s">
        <v>1048</v>
      </c>
      <c r="F82" s="15" t="s">
        <v>1051</v>
      </c>
      <c r="G82" s="14" t="s">
        <v>1052</v>
      </c>
      <c r="H82" s="14"/>
      <c r="I82" s="14"/>
      <c r="J82" s="16">
        <v>623.88</v>
      </c>
      <c r="K82" s="66">
        <v>138655</v>
      </c>
      <c r="L82" s="66">
        <v>491364</v>
      </c>
      <c r="M82" s="66">
        <v>231528</v>
      </c>
      <c r="N82" s="101">
        <v>89883</v>
      </c>
      <c r="O82" s="64">
        <v>3929267</v>
      </c>
      <c r="P82" s="64">
        <v>149236</v>
      </c>
      <c r="Q82" s="64">
        <v>35357</v>
      </c>
      <c r="R82" s="62">
        <v>95207</v>
      </c>
      <c r="S82" s="104">
        <v>65414</v>
      </c>
      <c r="T82" s="103">
        <v>256428</v>
      </c>
      <c r="U82" s="72">
        <v>-43796</v>
      </c>
      <c r="V82" s="72">
        <v>0</v>
      </c>
    </row>
    <row r="83" spans="1:22">
      <c r="A83" s="14" t="s">
        <v>1017</v>
      </c>
      <c r="B83" s="15" t="s">
        <v>1018</v>
      </c>
      <c r="C83" s="14" t="s">
        <v>1220</v>
      </c>
      <c r="D83" s="14">
        <v>25</v>
      </c>
      <c r="E83" s="15" t="s">
        <v>1048</v>
      </c>
      <c r="F83" s="15" t="s">
        <v>1053</v>
      </c>
      <c r="G83" s="14" t="s">
        <v>1054</v>
      </c>
      <c r="H83" s="14"/>
      <c r="I83" s="14"/>
      <c r="J83" s="16">
        <v>1226.44</v>
      </c>
      <c r="K83" s="66">
        <v>680695</v>
      </c>
      <c r="L83" s="66">
        <v>571355</v>
      </c>
      <c r="M83" s="66">
        <v>432889</v>
      </c>
      <c r="N83" s="101">
        <v>132828</v>
      </c>
      <c r="O83" s="64">
        <v>7824561</v>
      </c>
      <c r="P83" s="64">
        <v>291119</v>
      </c>
      <c r="Q83" s="64">
        <v>51266</v>
      </c>
      <c r="R83" s="62">
        <v>112334</v>
      </c>
      <c r="S83" s="104">
        <v>113035</v>
      </c>
      <c r="T83" s="103">
        <v>551193</v>
      </c>
      <c r="U83" s="72">
        <v>-91057.99</v>
      </c>
      <c r="V83" s="72">
        <v>0</v>
      </c>
    </row>
    <row r="84" spans="1:22">
      <c r="A84" s="14" t="s">
        <v>1017</v>
      </c>
      <c r="B84" s="15" t="s">
        <v>1018</v>
      </c>
      <c r="C84" s="14" t="s">
        <v>1220</v>
      </c>
      <c r="D84" s="14">
        <v>25</v>
      </c>
      <c r="E84" s="15" t="s">
        <v>1048</v>
      </c>
      <c r="F84" s="15" t="s">
        <v>1055</v>
      </c>
      <c r="G84" s="14" t="s">
        <v>1056</v>
      </c>
      <c r="H84" s="14"/>
      <c r="I84" s="14"/>
      <c r="J84" s="16">
        <v>2896.81</v>
      </c>
      <c r="K84" s="66">
        <v>3298580</v>
      </c>
      <c r="L84" s="66">
        <v>3412899</v>
      </c>
      <c r="M84" s="66">
        <v>2579822</v>
      </c>
      <c r="N84" s="101">
        <v>510379</v>
      </c>
      <c r="O84" s="64">
        <v>17548153</v>
      </c>
      <c r="P84" s="64">
        <v>1991899</v>
      </c>
      <c r="Q84" s="64">
        <v>359991</v>
      </c>
      <c r="R84" s="62">
        <v>482670</v>
      </c>
      <c r="S84" s="104">
        <v>337241</v>
      </c>
      <c r="T84" s="103">
        <v>1839154</v>
      </c>
      <c r="U84" s="72">
        <v>-203226.81</v>
      </c>
      <c r="V84" s="72">
        <v>-286891.82</v>
      </c>
    </row>
    <row r="85" spans="1:22">
      <c r="A85" s="14" t="s">
        <v>1249</v>
      </c>
      <c r="B85" s="15" t="s">
        <v>1250</v>
      </c>
      <c r="C85" s="14" t="s">
        <v>1220</v>
      </c>
      <c r="D85" s="14">
        <v>26</v>
      </c>
      <c r="E85" s="15" t="s">
        <v>1057</v>
      </c>
      <c r="F85" s="15" t="s">
        <v>1058</v>
      </c>
      <c r="G85" s="14" t="s">
        <v>1059</v>
      </c>
      <c r="H85" s="14"/>
      <c r="I85" s="14"/>
      <c r="J85" s="16">
        <v>271.39999999999998</v>
      </c>
      <c r="K85" s="66">
        <v>98275</v>
      </c>
      <c r="L85" s="66">
        <v>391990</v>
      </c>
      <c r="M85" s="66">
        <v>99237</v>
      </c>
      <c r="N85" s="101">
        <v>143159</v>
      </c>
      <c r="O85" s="64">
        <v>1745801</v>
      </c>
      <c r="P85" s="64">
        <v>81557</v>
      </c>
      <c r="Q85" s="64">
        <v>9500</v>
      </c>
      <c r="R85" s="62">
        <v>96642</v>
      </c>
      <c r="S85" s="104">
        <v>48903</v>
      </c>
      <c r="T85" s="103">
        <v>87519</v>
      </c>
      <c r="U85" s="72">
        <v>-22219.8</v>
      </c>
      <c r="V85" s="72">
        <v>0</v>
      </c>
    </row>
    <row r="86" spans="1:22">
      <c r="A86" s="14" t="s">
        <v>1249</v>
      </c>
      <c r="B86" s="15" t="s">
        <v>1250</v>
      </c>
      <c r="C86" s="14" t="s">
        <v>1220</v>
      </c>
      <c r="D86" s="14">
        <v>26</v>
      </c>
      <c r="E86" s="15" t="s">
        <v>1057</v>
      </c>
      <c r="F86" s="15" t="s">
        <v>1060</v>
      </c>
      <c r="G86" s="14" t="s">
        <v>1061</v>
      </c>
      <c r="H86" s="14"/>
      <c r="I86" s="14"/>
      <c r="J86" s="16">
        <v>111.42</v>
      </c>
      <c r="K86" s="66">
        <v>16465</v>
      </c>
      <c r="L86" s="66">
        <v>10266</v>
      </c>
      <c r="M86" s="66">
        <v>128395</v>
      </c>
      <c r="N86" s="101">
        <v>16413</v>
      </c>
      <c r="O86" s="64">
        <v>1340463</v>
      </c>
      <c r="P86" s="64">
        <v>51909</v>
      </c>
      <c r="Q86" s="64">
        <v>1979</v>
      </c>
      <c r="R86" s="62">
        <v>85749</v>
      </c>
      <c r="S86" s="104">
        <v>40340</v>
      </c>
      <c r="T86" s="103">
        <v>32794</v>
      </c>
      <c r="U86" s="72">
        <v>-20335.55</v>
      </c>
      <c r="V86" s="72">
        <v>0</v>
      </c>
    </row>
    <row r="87" spans="1:22">
      <c r="A87" s="14" t="s">
        <v>1224</v>
      </c>
      <c r="B87" s="15" t="s">
        <v>1225</v>
      </c>
      <c r="C87" s="14" t="s">
        <v>1220</v>
      </c>
      <c r="D87" s="14">
        <v>27</v>
      </c>
      <c r="E87" s="15" t="s">
        <v>1227</v>
      </c>
      <c r="F87" s="15" t="s">
        <v>1062</v>
      </c>
      <c r="G87" s="14" t="s">
        <v>1063</v>
      </c>
      <c r="H87" s="14"/>
      <c r="I87" s="14"/>
      <c r="J87" s="16">
        <v>8119.29</v>
      </c>
      <c r="K87" s="66">
        <v>18592039</v>
      </c>
      <c r="L87" s="66">
        <v>14318630</v>
      </c>
      <c r="M87" s="66">
        <v>5690610</v>
      </c>
      <c r="N87" s="101">
        <v>2396065</v>
      </c>
      <c r="O87" s="64">
        <v>49193455</v>
      </c>
      <c r="P87" s="64">
        <v>8631799</v>
      </c>
      <c r="Q87" s="64">
        <v>2459564</v>
      </c>
      <c r="R87" s="62">
        <v>2443689</v>
      </c>
      <c r="S87" s="104">
        <v>1370295</v>
      </c>
      <c r="T87" s="103">
        <v>10875588</v>
      </c>
      <c r="U87" s="72">
        <v>-505115.64</v>
      </c>
      <c r="V87" s="72">
        <v>-1552446.53</v>
      </c>
    </row>
    <row r="88" spans="1:22">
      <c r="A88" s="14" t="s">
        <v>1224</v>
      </c>
      <c r="B88" s="15" t="s">
        <v>1225</v>
      </c>
      <c r="C88" s="14" t="s">
        <v>1220</v>
      </c>
      <c r="D88" s="14">
        <v>27</v>
      </c>
      <c r="E88" s="15" t="s">
        <v>1227</v>
      </c>
      <c r="F88" s="15" t="s">
        <v>1064</v>
      </c>
      <c r="G88" s="14" t="s">
        <v>1065</v>
      </c>
      <c r="H88" s="14"/>
      <c r="I88" s="14"/>
      <c r="J88" s="16">
        <v>10599.15</v>
      </c>
      <c r="K88" s="66">
        <v>16931524</v>
      </c>
      <c r="L88" s="66">
        <v>13336658</v>
      </c>
      <c r="M88" s="66">
        <v>5302299</v>
      </c>
      <c r="N88" s="101">
        <v>4560095</v>
      </c>
      <c r="O88" s="64">
        <v>64420561</v>
      </c>
      <c r="P88" s="64">
        <v>9476271</v>
      </c>
      <c r="Q88" s="64">
        <v>2181835</v>
      </c>
      <c r="R88" s="62">
        <v>3117443</v>
      </c>
      <c r="S88" s="104">
        <v>3151730</v>
      </c>
      <c r="T88" s="103">
        <v>12520283</v>
      </c>
      <c r="U88" s="72">
        <v>-2337943.5499999998</v>
      </c>
      <c r="V88" s="72">
        <v>-2697436.91</v>
      </c>
    </row>
    <row r="89" spans="1:22">
      <c r="A89" s="14" t="s">
        <v>1224</v>
      </c>
      <c r="B89" s="15" t="s">
        <v>1225</v>
      </c>
      <c r="C89" s="14" t="s">
        <v>1220</v>
      </c>
      <c r="D89" s="14">
        <v>27</v>
      </c>
      <c r="E89" s="15" t="s">
        <v>1227</v>
      </c>
      <c r="F89" s="15" t="s">
        <v>1066</v>
      </c>
      <c r="G89" s="14" t="s">
        <v>1067</v>
      </c>
      <c r="H89" s="14"/>
      <c r="I89" s="14"/>
      <c r="J89" s="16">
        <v>9922.0300000000007</v>
      </c>
      <c r="K89" s="66">
        <v>23555052</v>
      </c>
      <c r="L89" s="66">
        <v>11607118</v>
      </c>
      <c r="M89" s="66">
        <v>3180319</v>
      </c>
      <c r="N89" s="101">
        <v>622397</v>
      </c>
      <c r="O89" s="64">
        <v>60038281</v>
      </c>
      <c r="P89" s="64">
        <v>6394847</v>
      </c>
      <c r="Q89" s="64">
        <v>1431595</v>
      </c>
      <c r="R89" s="62">
        <v>2422521</v>
      </c>
      <c r="S89" s="104">
        <v>878915</v>
      </c>
      <c r="T89" s="103">
        <v>8379909</v>
      </c>
      <c r="U89" s="72">
        <v>-1011548.33</v>
      </c>
      <c r="V89" s="72">
        <v>-6365</v>
      </c>
    </row>
    <row r="90" spans="1:22">
      <c r="A90" s="14" t="s">
        <v>1224</v>
      </c>
      <c r="B90" s="15" t="s">
        <v>1225</v>
      </c>
      <c r="C90" s="14" t="s">
        <v>1220</v>
      </c>
      <c r="D90" s="14">
        <v>27</v>
      </c>
      <c r="E90" s="15" t="s">
        <v>1227</v>
      </c>
      <c r="F90" s="15" t="s">
        <v>1068</v>
      </c>
      <c r="G90" s="14" t="s">
        <v>1069</v>
      </c>
      <c r="H90" s="14"/>
      <c r="I90" s="14"/>
      <c r="J90" s="16">
        <v>7593.32</v>
      </c>
      <c r="K90" s="66">
        <v>15794725</v>
      </c>
      <c r="L90" s="66">
        <v>9915768</v>
      </c>
      <c r="M90" s="66">
        <v>3090573</v>
      </c>
      <c r="N90" s="101">
        <v>389289</v>
      </c>
      <c r="O90" s="64">
        <v>43012488</v>
      </c>
      <c r="P90" s="64">
        <v>5925379</v>
      </c>
      <c r="Q90" s="64">
        <v>2319449</v>
      </c>
      <c r="R90" s="62">
        <v>1579151</v>
      </c>
      <c r="S90" s="104">
        <v>278159</v>
      </c>
      <c r="T90" s="103">
        <v>8917786</v>
      </c>
      <c r="U90" s="72">
        <v>-1342768.57</v>
      </c>
      <c r="V90" s="72">
        <v>-5202</v>
      </c>
    </row>
    <row r="91" spans="1:22">
      <c r="A91" s="14" t="s">
        <v>1224</v>
      </c>
      <c r="B91" s="15" t="s">
        <v>1225</v>
      </c>
      <c r="C91" s="14" t="s">
        <v>1220</v>
      </c>
      <c r="D91" s="14">
        <v>27</v>
      </c>
      <c r="E91" s="15" t="s">
        <v>1227</v>
      </c>
      <c r="F91" s="15" t="s">
        <v>1070</v>
      </c>
      <c r="G91" s="14" t="s">
        <v>1071</v>
      </c>
      <c r="H91" s="14"/>
      <c r="I91" s="14"/>
      <c r="J91" s="16">
        <v>7752.62</v>
      </c>
      <c r="K91" s="66">
        <v>15931979</v>
      </c>
      <c r="L91" s="66">
        <v>12072012</v>
      </c>
      <c r="M91" s="66">
        <v>2769387</v>
      </c>
      <c r="N91" s="101">
        <v>585905</v>
      </c>
      <c r="O91" s="64">
        <v>46287494</v>
      </c>
      <c r="P91" s="64">
        <v>6318359</v>
      </c>
      <c r="Q91" s="64">
        <v>623970</v>
      </c>
      <c r="R91" s="62">
        <v>1583752</v>
      </c>
      <c r="S91" s="104">
        <v>535093</v>
      </c>
      <c r="T91" s="103">
        <v>9605300</v>
      </c>
      <c r="U91" s="72">
        <v>-775018.58</v>
      </c>
      <c r="V91" s="72">
        <v>-256068.72</v>
      </c>
    </row>
    <row r="92" spans="1:22">
      <c r="A92" s="14" t="s">
        <v>1224</v>
      </c>
      <c r="B92" s="15" t="s">
        <v>1225</v>
      </c>
      <c r="C92" s="14" t="s">
        <v>1220</v>
      </c>
      <c r="D92" s="14">
        <v>27</v>
      </c>
      <c r="E92" s="15" t="s">
        <v>1227</v>
      </c>
      <c r="F92" s="15" t="s">
        <v>1072</v>
      </c>
      <c r="G92" s="14" t="s">
        <v>1073</v>
      </c>
      <c r="H92" s="14"/>
      <c r="I92" s="14"/>
      <c r="J92" s="16">
        <v>2282.89</v>
      </c>
      <c r="K92" s="66">
        <v>4874861</v>
      </c>
      <c r="L92" s="66">
        <v>1363949</v>
      </c>
      <c r="M92" s="66">
        <v>888781</v>
      </c>
      <c r="N92" s="101">
        <v>322029</v>
      </c>
      <c r="O92" s="64">
        <v>13155489</v>
      </c>
      <c r="P92" s="64">
        <v>2503488</v>
      </c>
      <c r="Q92" s="64">
        <v>178564</v>
      </c>
      <c r="R92" s="62">
        <v>641168</v>
      </c>
      <c r="S92" s="104">
        <v>172273</v>
      </c>
      <c r="T92" s="103">
        <v>2260826</v>
      </c>
      <c r="U92" s="72">
        <v>-453577.24</v>
      </c>
      <c r="V92" s="72">
        <v>-42000</v>
      </c>
    </row>
    <row r="93" spans="1:22">
      <c r="A93" s="14" t="s">
        <v>1224</v>
      </c>
      <c r="B93" s="15" t="s">
        <v>1225</v>
      </c>
      <c r="C93" s="14" t="s">
        <v>1220</v>
      </c>
      <c r="D93" s="14">
        <v>27</v>
      </c>
      <c r="E93" s="15" t="s">
        <v>1227</v>
      </c>
      <c r="F93" s="15" t="s">
        <v>1074</v>
      </c>
      <c r="G93" s="14" t="s">
        <v>1075</v>
      </c>
      <c r="H93" s="14"/>
      <c r="I93" s="14"/>
      <c r="J93" s="16">
        <v>2599.04</v>
      </c>
      <c r="K93" s="66">
        <v>4190461</v>
      </c>
      <c r="L93" s="66">
        <v>2574122</v>
      </c>
      <c r="M93" s="66">
        <v>1851851</v>
      </c>
      <c r="N93" s="101">
        <v>109222</v>
      </c>
      <c r="O93" s="64">
        <v>14588662</v>
      </c>
      <c r="P93" s="64">
        <v>1367347</v>
      </c>
      <c r="Q93" s="64">
        <v>696530</v>
      </c>
      <c r="R93" s="62">
        <v>551534</v>
      </c>
      <c r="S93" s="104">
        <v>131889</v>
      </c>
      <c r="T93" s="103">
        <v>3496807</v>
      </c>
      <c r="U93" s="72">
        <v>-314961.40000000002</v>
      </c>
      <c r="V93" s="72">
        <v>-14879.46</v>
      </c>
    </row>
    <row r="94" spans="1:22">
      <c r="A94" s="14" t="s">
        <v>1224</v>
      </c>
      <c r="B94" s="15" t="s">
        <v>1225</v>
      </c>
      <c r="C94" s="14" t="s">
        <v>1220</v>
      </c>
      <c r="D94" s="14">
        <v>27</v>
      </c>
      <c r="E94" s="15" t="s">
        <v>1227</v>
      </c>
      <c r="F94" s="15" t="s">
        <v>1076</v>
      </c>
      <c r="G94" s="14" t="s">
        <v>1077</v>
      </c>
      <c r="H94" s="14"/>
      <c r="I94" s="14"/>
      <c r="J94" s="16">
        <v>22246.68</v>
      </c>
      <c r="K94" s="66">
        <v>31240503</v>
      </c>
      <c r="L94" s="66">
        <v>21508612</v>
      </c>
      <c r="M94" s="66">
        <v>10065005</v>
      </c>
      <c r="N94" s="101">
        <v>3309779</v>
      </c>
      <c r="O94" s="64">
        <v>144534319</v>
      </c>
      <c r="P94" s="64">
        <v>23364220</v>
      </c>
      <c r="Q94" s="64">
        <v>5244324</v>
      </c>
      <c r="R94" s="62">
        <v>7372899</v>
      </c>
      <c r="S94" s="104">
        <v>4484902</v>
      </c>
      <c r="T94" s="103">
        <v>17312378</v>
      </c>
      <c r="U94" s="72">
        <v>-1752698.52</v>
      </c>
      <c r="V94" s="72">
        <v>-1045980.06</v>
      </c>
    </row>
    <row r="95" spans="1:22">
      <c r="A95" s="14" t="s">
        <v>1224</v>
      </c>
      <c r="B95" s="15" t="s">
        <v>1225</v>
      </c>
      <c r="C95" s="14" t="s">
        <v>1220</v>
      </c>
      <c r="D95" s="14">
        <v>27</v>
      </c>
      <c r="E95" s="15" t="s">
        <v>1227</v>
      </c>
      <c r="F95" s="15" t="s">
        <v>903</v>
      </c>
      <c r="G95" s="14" t="s">
        <v>904</v>
      </c>
      <c r="H95" s="14"/>
      <c r="I95" s="14"/>
      <c r="J95" s="16">
        <v>4326.8100000000004</v>
      </c>
      <c r="K95" s="66">
        <v>8668862</v>
      </c>
      <c r="L95" s="66">
        <v>3581088</v>
      </c>
      <c r="M95" s="66">
        <v>2499773</v>
      </c>
      <c r="N95" s="101">
        <v>690592</v>
      </c>
      <c r="O95" s="64">
        <v>28931927</v>
      </c>
      <c r="P95" s="64">
        <v>3979883</v>
      </c>
      <c r="Q95" s="64">
        <v>1457729</v>
      </c>
      <c r="R95" s="62">
        <v>2069252</v>
      </c>
      <c r="S95" s="104">
        <v>881288</v>
      </c>
      <c r="T95" s="103">
        <v>957253</v>
      </c>
      <c r="U95" s="72">
        <v>-249851.81</v>
      </c>
      <c r="V95" s="72">
        <v>0</v>
      </c>
    </row>
    <row r="96" spans="1:22">
      <c r="A96" s="14" t="s">
        <v>1224</v>
      </c>
      <c r="B96" s="15" t="s">
        <v>1225</v>
      </c>
      <c r="C96" s="14" t="s">
        <v>1220</v>
      </c>
      <c r="D96" s="14">
        <v>27</v>
      </c>
      <c r="E96" s="15" t="s">
        <v>1227</v>
      </c>
      <c r="F96" s="15" t="s">
        <v>905</v>
      </c>
      <c r="G96" s="14" t="s">
        <v>906</v>
      </c>
      <c r="H96" s="14"/>
      <c r="I96" s="14"/>
      <c r="J96" s="16">
        <v>13681.87</v>
      </c>
      <c r="K96" s="66">
        <v>19774559</v>
      </c>
      <c r="L96" s="66">
        <v>21766570</v>
      </c>
      <c r="M96" s="66">
        <v>5686711</v>
      </c>
      <c r="N96" s="101">
        <v>3528616</v>
      </c>
      <c r="O96" s="64">
        <v>85158557</v>
      </c>
      <c r="P96" s="64">
        <v>10574853</v>
      </c>
      <c r="Q96" s="64">
        <v>5129139</v>
      </c>
      <c r="R96" s="62">
        <v>6005038</v>
      </c>
      <c r="S96" s="104">
        <v>2991576</v>
      </c>
      <c r="T96" s="103">
        <v>11451183</v>
      </c>
      <c r="U96" s="72">
        <v>-1205758.27</v>
      </c>
      <c r="V96" s="72">
        <v>-1272395.58</v>
      </c>
    </row>
    <row r="97" spans="1:22">
      <c r="A97" s="14" t="s">
        <v>1224</v>
      </c>
      <c r="B97" s="15" t="s">
        <v>1225</v>
      </c>
      <c r="C97" s="14" t="s">
        <v>1220</v>
      </c>
      <c r="D97" s="14">
        <v>27</v>
      </c>
      <c r="E97" s="15" t="s">
        <v>1227</v>
      </c>
      <c r="F97" s="15" t="s">
        <v>907</v>
      </c>
      <c r="G97" s="14" t="s">
        <v>908</v>
      </c>
      <c r="H97" s="14"/>
      <c r="I97" s="14"/>
      <c r="J97" s="16">
        <v>1726.94</v>
      </c>
      <c r="K97" s="66">
        <v>3471167</v>
      </c>
      <c r="L97" s="66">
        <v>511789</v>
      </c>
      <c r="M97" s="66">
        <v>753582</v>
      </c>
      <c r="N97" s="101">
        <v>102650</v>
      </c>
      <c r="O97" s="64">
        <v>10598436</v>
      </c>
      <c r="P97" s="64">
        <v>580242</v>
      </c>
      <c r="Q97" s="64">
        <v>543439</v>
      </c>
      <c r="R97" s="62">
        <v>428701</v>
      </c>
      <c r="S97" s="104">
        <v>187595</v>
      </c>
      <c r="T97" s="103">
        <v>1503621</v>
      </c>
      <c r="U97" s="72">
        <v>-62119.33</v>
      </c>
      <c r="V97" s="72">
        <v>-5123</v>
      </c>
    </row>
    <row r="98" spans="1:22">
      <c r="A98" s="14" t="s">
        <v>1224</v>
      </c>
      <c r="B98" s="15" t="s">
        <v>1225</v>
      </c>
      <c r="C98" s="14" t="s">
        <v>1220</v>
      </c>
      <c r="D98" s="14">
        <v>27</v>
      </c>
      <c r="E98" s="15" t="s">
        <v>1227</v>
      </c>
      <c r="F98" s="15" t="s">
        <v>909</v>
      </c>
      <c r="G98" s="14" t="s">
        <v>910</v>
      </c>
      <c r="H98" s="14"/>
      <c r="I98" s="14"/>
      <c r="J98" s="16">
        <v>4399.3500000000004</v>
      </c>
      <c r="K98" s="66">
        <v>10107266</v>
      </c>
      <c r="L98" s="66">
        <v>7549875</v>
      </c>
      <c r="M98" s="66">
        <v>2457026</v>
      </c>
      <c r="N98" s="101">
        <v>1009608</v>
      </c>
      <c r="O98" s="64">
        <v>26916007</v>
      </c>
      <c r="P98" s="64">
        <v>4605795</v>
      </c>
      <c r="Q98" s="64">
        <v>1555232</v>
      </c>
      <c r="R98" s="62">
        <v>1886889</v>
      </c>
      <c r="S98" s="104">
        <v>566466</v>
      </c>
      <c r="T98" s="103">
        <v>7211297</v>
      </c>
      <c r="U98" s="72">
        <v>-458814.01</v>
      </c>
      <c r="V98" s="72">
        <v>-420954.64</v>
      </c>
    </row>
    <row r="99" spans="1:22">
      <c r="A99" s="14" t="s">
        <v>1224</v>
      </c>
      <c r="B99" s="15" t="s">
        <v>1225</v>
      </c>
      <c r="C99" s="14" t="s">
        <v>1220</v>
      </c>
      <c r="D99" s="14">
        <v>27</v>
      </c>
      <c r="E99" s="15" t="s">
        <v>1227</v>
      </c>
      <c r="F99" s="15" t="s">
        <v>911</v>
      </c>
      <c r="G99" s="14" t="s">
        <v>912</v>
      </c>
      <c r="H99" s="14"/>
      <c r="I99" s="14"/>
      <c r="J99" s="16">
        <v>10037.950000000001</v>
      </c>
      <c r="K99" s="66">
        <v>25601798</v>
      </c>
      <c r="L99" s="66">
        <v>10525901</v>
      </c>
      <c r="M99" s="66">
        <v>3726774</v>
      </c>
      <c r="N99" s="101">
        <v>594336</v>
      </c>
      <c r="O99" s="64">
        <v>59993739</v>
      </c>
      <c r="P99" s="64">
        <v>5609601</v>
      </c>
      <c r="Q99" s="64">
        <v>2687145</v>
      </c>
      <c r="R99" s="62">
        <v>1889930</v>
      </c>
      <c r="S99" s="104">
        <v>735170</v>
      </c>
      <c r="T99" s="103">
        <v>9727726</v>
      </c>
      <c r="U99" s="72">
        <v>-609198.88</v>
      </c>
      <c r="V99" s="72">
        <v>-240747.82</v>
      </c>
    </row>
    <row r="100" spans="1:22">
      <c r="A100" s="14" t="s">
        <v>1224</v>
      </c>
      <c r="B100" s="15" t="s">
        <v>1225</v>
      </c>
      <c r="C100" s="14" t="s">
        <v>1220</v>
      </c>
      <c r="D100" s="14">
        <v>27</v>
      </c>
      <c r="E100" s="15" t="s">
        <v>1227</v>
      </c>
      <c r="F100" s="15" t="s">
        <v>913</v>
      </c>
      <c r="G100" s="14" t="s">
        <v>914</v>
      </c>
      <c r="H100" s="14"/>
      <c r="I100" s="14"/>
      <c r="J100" s="16">
        <v>1781.05</v>
      </c>
      <c r="K100" s="66">
        <v>1078212</v>
      </c>
      <c r="L100" s="66">
        <v>2020848</v>
      </c>
      <c r="M100" s="66">
        <v>683857</v>
      </c>
      <c r="N100" s="101">
        <v>532618</v>
      </c>
      <c r="O100" s="64">
        <v>12855550</v>
      </c>
      <c r="P100" s="64">
        <v>994460</v>
      </c>
      <c r="Q100" s="64">
        <v>723889</v>
      </c>
      <c r="R100" s="62">
        <v>1446038</v>
      </c>
      <c r="S100" s="104">
        <v>584916</v>
      </c>
      <c r="T100" s="103">
        <v>1942439</v>
      </c>
      <c r="U100" s="72">
        <v>-200475.55</v>
      </c>
      <c r="V100" s="72">
        <v>-84421.88</v>
      </c>
    </row>
    <row r="101" spans="1:22">
      <c r="A101" s="14" t="s">
        <v>1017</v>
      </c>
      <c r="B101" s="15" t="s">
        <v>1018</v>
      </c>
      <c r="C101" s="14" t="s">
        <v>1220</v>
      </c>
      <c r="D101" s="14">
        <v>28</v>
      </c>
      <c r="E101" s="15" t="s">
        <v>915</v>
      </c>
      <c r="F101" s="15" t="s">
        <v>916</v>
      </c>
      <c r="G101" s="14" t="s">
        <v>917</v>
      </c>
      <c r="H101" s="14"/>
      <c r="I101" s="14"/>
      <c r="J101" s="16">
        <v>1164.72</v>
      </c>
      <c r="K101" s="66">
        <v>494365</v>
      </c>
      <c r="L101" s="66">
        <v>24492</v>
      </c>
      <c r="M101" s="66">
        <v>396918</v>
      </c>
      <c r="N101" s="101">
        <v>39856</v>
      </c>
      <c r="O101" s="64">
        <v>7815143</v>
      </c>
      <c r="P101" s="64">
        <v>181309</v>
      </c>
      <c r="Q101" s="64">
        <v>42872</v>
      </c>
      <c r="R101" s="62">
        <v>89448</v>
      </c>
      <c r="S101" s="104">
        <v>79683</v>
      </c>
      <c r="T101" s="103">
        <v>202071</v>
      </c>
      <c r="U101" s="72">
        <v>-39001.120000000003</v>
      </c>
      <c r="V101" s="72">
        <v>0</v>
      </c>
    </row>
    <row r="102" spans="1:22">
      <c r="A102" s="14" t="s">
        <v>1017</v>
      </c>
      <c r="B102" s="15" t="s">
        <v>1018</v>
      </c>
      <c r="C102" s="14" t="s">
        <v>1220</v>
      </c>
      <c r="D102" s="14">
        <v>28</v>
      </c>
      <c r="E102" s="15" t="s">
        <v>915</v>
      </c>
      <c r="F102" s="15" t="s">
        <v>918</v>
      </c>
      <c r="G102" s="14" t="s">
        <v>919</v>
      </c>
      <c r="H102" s="14"/>
      <c r="I102" s="14"/>
      <c r="J102" s="16">
        <v>342.66</v>
      </c>
      <c r="K102" s="66">
        <v>391321</v>
      </c>
      <c r="L102" s="66">
        <v>105069</v>
      </c>
      <c r="M102" s="66">
        <v>231183</v>
      </c>
      <c r="N102" s="101">
        <v>74784</v>
      </c>
      <c r="O102" s="64">
        <v>2421395</v>
      </c>
      <c r="P102" s="64">
        <v>85148</v>
      </c>
      <c r="Q102" s="64">
        <v>28016</v>
      </c>
      <c r="R102" s="62">
        <v>86801</v>
      </c>
      <c r="S102" s="104">
        <v>64704</v>
      </c>
      <c r="T102" s="103">
        <v>125872</v>
      </c>
      <c r="U102" s="72">
        <v>-25172.41</v>
      </c>
      <c r="V102" s="72">
        <v>0</v>
      </c>
    </row>
    <row r="103" spans="1:22">
      <c r="A103" s="14" t="s">
        <v>1017</v>
      </c>
      <c r="B103" s="15" t="s">
        <v>1018</v>
      </c>
      <c r="C103" s="14" t="s">
        <v>1220</v>
      </c>
      <c r="D103" s="14">
        <v>28</v>
      </c>
      <c r="E103" s="15" t="s">
        <v>915</v>
      </c>
      <c r="F103" s="15" t="s">
        <v>920</v>
      </c>
      <c r="G103" s="14" t="s">
        <v>921</v>
      </c>
      <c r="H103" s="14"/>
      <c r="I103" s="14"/>
      <c r="J103" s="16">
        <v>821.01</v>
      </c>
      <c r="K103" s="66">
        <v>614644</v>
      </c>
      <c r="L103" s="66">
        <v>1058852</v>
      </c>
      <c r="M103" s="66">
        <v>339390</v>
      </c>
      <c r="N103" s="101">
        <v>410318</v>
      </c>
      <c r="O103" s="64">
        <v>5711451</v>
      </c>
      <c r="P103" s="64">
        <v>698158</v>
      </c>
      <c r="Q103" s="64">
        <v>113333</v>
      </c>
      <c r="R103" s="62">
        <v>168274</v>
      </c>
      <c r="S103" s="104">
        <v>131061</v>
      </c>
      <c r="T103" s="103">
        <v>447456</v>
      </c>
      <c r="U103" s="72">
        <v>-83033.509999999995</v>
      </c>
      <c r="V103" s="72">
        <v>-34557.699999999997</v>
      </c>
    </row>
    <row r="104" spans="1:22">
      <c r="A104" s="14" t="s">
        <v>1017</v>
      </c>
      <c r="B104" s="15" t="s">
        <v>1018</v>
      </c>
      <c r="C104" s="14" t="s">
        <v>1220</v>
      </c>
      <c r="D104" s="14">
        <v>28</v>
      </c>
      <c r="E104" s="15" t="s">
        <v>915</v>
      </c>
      <c r="F104" s="15" t="s">
        <v>922</v>
      </c>
      <c r="G104" s="14" t="s">
        <v>923</v>
      </c>
      <c r="H104" s="14"/>
      <c r="I104" s="14"/>
      <c r="J104" s="16">
        <v>1431.29</v>
      </c>
      <c r="K104" s="66">
        <v>792985</v>
      </c>
      <c r="L104" s="66">
        <v>705899</v>
      </c>
      <c r="M104" s="66">
        <v>547316</v>
      </c>
      <c r="N104" s="101">
        <v>235316</v>
      </c>
      <c r="O104" s="64">
        <v>9357639</v>
      </c>
      <c r="P104" s="64">
        <v>991282</v>
      </c>
      <c r="Q104" s="64">
        <v>146282</v>
      </c>
      <c r="R104" s="62">
        <v>138934</v>
      </c>
      <c r="S104" s="104">
        <v>138297</v>
      </c>
      <c r="T104" s="103">
        <v>791769</v>
      </c>
      <c r="U104" s="72">
        <v>-107245.83</v>
      </c>
      <c r="V104" s="72">
        <v>0</v>
      </c>
    </row>
    <row r="105" spans="1:22">
      <c r="A105" s="14" t="s">
        <v>1258</v>
      </c>
      <c r="B105" s="15" t="s">
        <v>1259</v>
      </c>
      <c r="C105" s="14" t="s">
        <v>1220</v>
      </c>
      <c r="D105" s="14">
        <v>29</v>
      </c>
      <c r="E105" s="15" t="s">
        <v>924</v>
      </c>
      <c r="F105" s="15" t="s">
        <v>925</v>
      </c>
      <c r="G105" s="14" t="s">
        <v>926</v>
      </c>
      <c r="H105" s="14"/>
      <c r="I105" s="14"/>
      <c r="J105" s="16">
        <v>287.14999999999998</v>
      </c>
      <c r="K105" s="66">
        <v>122507</v>
      </c>
      <c r="L105" s="66">
        <v>650946</v>
      </c>
      <c r="M105" s="66">
        <v>150047</v>
      </c>
      <c r="N105" s="101">
        <v>78587</v>
      </c>
      <c r="O105" s="64">
        <v>1982687</v>
      </c>
      <c r="P105" s="64">
        <v>365613</v>
      </c>
      <c r="Q105" s="64">
        <v>12651</v>
      </c>
      <c r="R105" s="62">
        <v>127943</v>
      </c>
      <c r="S105" s="104">
        <v>96580</v>
      </c>
      <c r="T105" s="103">
        <v>121268</v>
      </c>
      <c r="U105" s="72">
        <v>-18751.22</v>
      </c>
      <c r="V105" s="72">
        <v>0</v>
      </c>
    </row>
    <row r="106" spans="1:22">
      <c r="A106" s="14" t="s">
        <v>1258</v>
      </c>
      <c r="B106" s="15" t="s">
        <v>1259</v>
      </c>
      <c r="C106" s="14" t="s">
        <v>1220</v>
      </c>
      <c r="D106" s="14">
        <v>29</v>
      </c>
      <c r="E106" s="15" t="s">
        <v>924</v>
      </c>
      <c r="F106" s="15" t="s">
        <v>927</v>
      </c>
      <c r="G106" s="14" t="s">
        <v>928</v>
      </c>
      <c r="H106" s="14"/>
      <c r="I106" s="14"/>
      <c r="J106" s="16">
        <v>537.13</v>
      </c>
      <c r="K106" s="66">
        <v>301625</v>
      </c>
      <c r="L106" s="66">
        <v>334155</v>
      </c>
      <c r="M106" s="66">
        <v>406959</v>
      </c>
      <c r="N106" s="101">
        <v>42822</v>
      </c>
      <c r="O106" s="64">
        <v>3489656</v>
      </c>
      <c r="P106" s="64">
        <v>435128</v>
      </c>
      <c r="Q106" s="64">
        <v>100069</v>
      </c>
      <c r="R106" s="62">
        <v>225931</v>
      </c>
      <c r="S106" s="104">
        <v>131155</v>
      </c>
      <c r="T106" s="103">
        <v>140501</v>
      </c>
      <c r="U106" s="72">
        <v>-42011.48</v>
      </c>
      <c r="V106" s="72">
        <v>-4082.36</v>
      </c>
    </row>
    <row r="107" spans="1:22">
      <c r="A107" s="14" t="s">
        <v>1258</v>
      </c>
      <c r="B107" s="15" t="s">
        <v>1259</v>
      </c>
      <c r="C107" s="14" t="s">
        <v>1220</v>
      </c>
      <c r="D107" s="14">
        <v>29</v>
      </c>
      <c r="E107" s="15" t="s">
        <v>924</v>
      </c>
      <c r="F107" s="15" t="s">
        <v>929</v>
      </c>
      <c r="G107" s="14" t="s">
        <v>930</v>
      </c>
      <c r="H107" s="14"/>
      <c r="I107" s="14"/>
      <c r="J107" s="16">
        <v>1623.22</v>
      </c>
      <c r="K107" s="66">
        <v>373039</v>
      </c>
      <c r="L107" s="66">
        <v>2631932</v>
      </c>
      <c r="M107" s="66">
        <v>1347457</v>
      </c>
      <c r="N107" s="101">
        <v>299870</v>
      </c>
      <c r="O107" s="64">
        <v>10448462</v>
      </c>
      <c r="P107" s="64">
        <v>1088754</v>
      </c>
      <c r="Q107" s="64">
        <v>95882</v>
      </c>
      <c r="R107" s="62">
        <v>1098809</v>
      </c>
      <c r="S107" s="104">
        <v>320148</v>
      </c>
      <c r="T107" s="103">
        <v>555808</v>
      </c>
      <c r="U107" s="72">
        <v>-132528.59</v>
      </c>
      <c r="V107" s="72">
        <v>-20947.25</v>
      </c>
    </row>
    <row r="108" spans="1:22">
      <c r="A108" s="14" t="s">
        <v>1146</v>
      </c>
      <c r="B108" s="15" t="s">
        <v>1147</v>
      </c>
      <c r="C108" s="14" t="s">
        <v>1220</v>
      </c>
      <c r="D108" s="14">
        <v>30</v>
      </c>
      <c r="E108" s="15" t="s">
        <v>931</v>
      </c>
      <c r="F108" s="15" t="s">
        <v>932</v>
      </c>
      <c r="G108" s="14" t="s">
        <v>933</v>
      </c>
      <c r="H108" s="14"/>
      <c r="I108" s="14"/>
      <c r="J108" s="16">
        <v>965.06</v>
      </c>
      <c r="K108" s="66">
        <v>312471</v>
      </c>
      <c r="L108" s="66">
        <v>587083</v>
      </c>
      <c r="M108" s="66">
        <v>258277</v>
      </c>
      <c r="N108" s="101">
        <v>162119</v>
      </c>
      <c r="O108" s="64">
        <v>6116281</v>
      </c>
      <c r="P108" s="64">
        <v>514004</v>
      </c>
      <c r="Q108" s="64">
        <v>29340</v>
      </c>
      <c r="R108" s="62">
        <v>296487</v>
      </c>
      <c r="S108" s="104">
        <v>175706</v>
      </c>
      <c r="T108" s="103">
        <v>246099</v>
      </c>
      <c r="U108" s="72">
        <v>-67742.7</v>
      </c>
      <c r="V108" s="72">
        <v>0</v>
      </c>
    </row>
    <row r="109" spans="1:22">
      <c r="A109" s="14" t="s">
        <v>1218</v>
      </c>
      <c r="B109" s="15" t="s">
        <v>1219</v>
      </c>
      <c r="C109" s="14" t="s">
        <v>1220</v>
      </c>
      <c r="D109" s="14">
        <v>31</v>
      </c>
      <c r="E109" s="15" t="s">
        <v>934</v>
      </c>
      <c r="F109" s="15" t="s">
        <v>935</v>
      </c>
      <c r="G109" s="14" t="s">
        <v>936</v>
      </c>
      <c r="H109" s="14"/>
      <c r="I109" s="14"/>
      <c r="J109" s="16">
        <v>1234.4100000000001</v>
      </c>
      <c r="K109" s="66">
        <v>1076886</v>
      </c>
      <c r="L109" s="66">
        <v>68510</v>
      </c>
      <c r="M109" s="66">
        <v>2193355</v>
      </c>
      <c r="N109" s="101">
        <v>131092</v>
      </c>
      <c r="O109" s="64">
        <v>8396092</v>
      </c>
      <c r="P109" s="64">
        <v>795340</v>
      </c>
      <c r="Q109" s="64">
        <v>133376</v>
      </c>
      <c r="R109" s="62">
        <v>347636</v>
      </c>
      <c r="S109" s="104">
        <v>278771</v>
      </c>
      <c r="T109" s="103">
        <v>644146</v>
      </c>
      <c r="U109" s="72">
        <v>-175961.61</v>
      </c>
      <c r="V109" s="72">
        <v>0</v>
      </c>
    </row>
    <row r="110" spans="1:22">
      <c r="A110" s="14" t="s">
        <v>1218</v>
      </c>
      <c r="B110" s="15" t="s">
        <v>1219</v>
      </c>
      <c r="C110" s="14" t="s">
        <v>1220</v>
      </c>
      <c r="D110" s="14">
        <v>31</v>
      </c>
      <c r="E110" s="15" t="s">
        <v>934</v>
      </c>
      <c r="F110" s="15" t="s">
        <v>937</v>
      </c>
      <c r="G110" s="14" t="s">
        <v>938</v>
      </c>
      <c r="H110" s="14"/>
      <c r="I110" s="14"/>
      <c r="J110" s="16">
        <v>978.62</v>
      </c>
      <c r="K110" s="66">
        <v>70606</v>
      </c>
      <c r="L110" s="66">
        <v>662584</v>
      </c>
      <c r="M110" s="66">
        <v>936305</v>
      </c>
      <c r="N110" s="101">
        <v>126363</v>
      </c>
      <c r="O110" s="64">
        <v>6880108</v>
      </c>
      <c r="P110" s="64">
        <v>617545</v>
      </c>
      <c r="Q110" s="64">
        <v>48776</v>
      </c>
      <c r="R110" s="62">
        <v>1108895</v>
      </c>
      <c r="S110" s="104">
        <v>275620</v>
      </c>
      <c r="T110" s="103">
        <v>908768</v>
      </c>
      <c r="U110" s="72">
        <v>-207419.58</v>
      </c>
      <c r="V110" s="72">
        <v>0</v>
      </c>
    </row>
    <row r="111" spans="1:22">
      <c r="A111" s="14" t="s">
        <v>1218</v>
      </c>
      <c r="B111" s="15" t="s">
        <v>1219</v>
      </c>
      <c r="C111" s="14" t="s">
        <v>1220</v>
      </c>
      <c r="D111" s="14">
        <v>31</v>
      </c>
      <c r="E111" s="15" t="s">
        <v>934</v>
      </c>
      <c r="F111" s="15" t="s">
        <v>939</v>
      </c>
      <c r="G111" s="14" t="s">
        <v>940</v>
      </c>
      <c r="H111" s="14"/>
      <c r="I111" s="14"/>
      <c r="J111" s="16">
        <v>3888.23</v>
      </c>
      <c r="K111" s="66">
        <v>1871034</v>
      </c>
      <c r="L111" s="66">
        <v>2857338</v>
      </c>
      <c r="M111" s="66">
        <v>5766794</v>
      </c>
      <c r="N111" s="101">
        <v>438042</v>
      </c>
      <c r="O111" s="64">
        <v>24937872</v>
      </c>
      <c r="P111" s="64">
        <v>2017136</v>
      </c>
      <c r="Q111" s="64">
        <v>473118</v>
      </c>
      <c r="R111" s="62">
        <v>2108030</v>
      </c>
      <c r="S111" s="104">
        <v>611068</v>
      </c>
      <c r="T111" s="103">
        <v>2489282</v>
      </c>
      <c r="U111" s="72">
        <v>-524524.31999999995</v>
      </c>
      <c r="V111" s="72">
        <v>0</v>
      </c>
    </row>
    <row r="112" spans="1:22">
      <c r="A112" s="14" t="s">
        <v>1218</v>
      </c>
      <c r="B112" s="15" t="s">
        <v>1219</v>
      </c>
      <c r="C112" s="14" t="s">
        <v>1220</v>
      </c>
      <c r="D112" s="14">
        <v>31</v>
      </c>
      <c r="E112" s="15" t="s">
        <v>934</v>
      </c>
      <c r="F112" s="15" t="s">
        <v>941</v>
      </c>
      <c r="G112" s="14" t="s">
        <v>942</v>
      </c>
      <c r="H112" s="14"/>
      <c r="I112" s="14"/>
      <c r="J112" s="16">
        <v>614.73</v>
      </c>
      <c r="K112" s="66">
        <v>94860</v>
      </c>
      <c r="L112" s="66">
        <v>562</v>
      </c>
      <c r="M112" s="66">
        <v>1241575</v>
      </c>
      <c r="N112" s="101">
        <v>49058</v>
      </c>
      <c r="O112" s="64">
        <v>4245021</v>
      </c>
      <c r="P112" s="64">
        <v>849460</v>
      </c>
      <c r="Q112" s="64">
        <v>979</v>
      </c>
      <c r="R112" s="62">
        <v>131366</v>
      </c>
      <c r="S112" s="104">
        <v>140284</v>
      </c>
      <c r="T112" s="103">
        <v>195139</v>
      </c>
      <c r="U112" s="72">
        <v>-32032.880000000001</v>
      </c>
      <c r="V112" s="72">
        <v>0</v>
      </c>
    </row>
    <row r="113" spans="1:22">
      <c r="A113" s="14" t="s">
        <v>1146</v>
      </c>
      <c r="B113" s="15" t="s">
        <v>1147</v>
      </c>
      <c r="C113" s="14" t="s">
        <v>943</v>
      </c>
      <c r="D113" s="14">
        <v>13</v>
      </c>
      <c r="E113" s="15" t="s">
        <v>1148</v>
      </c>
      <c r="F113" s="15" t="s">
        <v>944</v>
      </c>
      <c r="G113" s="14" t="s">
        <v>945</v>
      </c>
      <c r="H113" s="14"/>
      <c r="I113" s="14"/>
      <c r="J113" s="16">
        <v>32.29</v>
      </c>
      <c r="K113" s="66">
        <v>62234</v>
      </c>
      <c r="L113" s="66">
        <v>0</v>
      </c>
      <c r="M113" s="66">
        <v>19862</v>
      </c>
      <c r="N113" s="101">
        <v>-1</v>
      </c>
      <c r="O113" s="64">
        <v>180008</v>
      </c>
      <c r="P113" s="64">
        <v>-13815</v>
      </c>
      <c r="Q113" s="64">
        <v>495</v>
      </c>
      <c r="R113" s="62">
        <v>0</v>
      </c>
      <c r="S113" s="104">
        <v>0</v>
      </c>
      <c r="T113" s="103">
        <v>0</v>
      </c>
      <c r="U113" s="72">
        <v>0</v>
      </c>
      <c r="V113" s="72">
        <v>0</v>
      </c>
    </row>
    <row r="114" spans="1:22">
      <c r="A114" s="14" t="s">
        <v>1166</v>
      </c>
      <c r="B114" s="15" t="s">
        <v>1167</v>
      </c>
      <c r="C114" s="14" t="s">
        <v>1220</v>
      </c>
      <c r="D114" s="14">
        <v>32</v>
      </c>
      <c r="E114" s="15" t="s">
        <v>946</v>
      </c>
      <c r="F114" s="15" t="s">
        <v>947</v>
      </c>
      <c r="G114" s="14" t="s">
        <v>948</v>
      </c>
      <c r="H114" s="14"/>
      <c r="I114" s="14"/>
      <c r="J114" s="16">
        <v>330.05</v>
      </c>
      <c r="K114" s="66">
        <v>279426</v>
      </c>
      <c r="L114" s="66">
        <v>258985</v>
      </c>
      <c r="M114" s="66">
        <v>361991</v>
      </c>
      <c r="N114" s="101">
        <v>44544</v>
      </c>
      <c r="O114" s="64">
        <v>2594012</v>
      </c>
      <c r="P114" s="64">
        <v>115912</v>
      </c>
      <c r="Q114" s="64">
        <v>23649</v>
      </c>
      <c r="R114" s="62">
        <v>105566</v>
      </c>
      <c r="S114" s="104">
        <v>53646</v>
      </c>
      <c r="T114" s="103">
        <v>208327</v>
      </c>
      <c r="U114" s="72">
        <v>-24871.64</v>
      </c>
      <c r="V114" s="72">
        <v>0</v>
      </c>
    </row>
    <row r="115" spans="1:22">
      <c r="A115" s="14" t="s">
        <v>1146</v>
      </c>
      <c r="B115" s="15" t="s">
        <v>1147</v>
      </c>
      <c r="C115" s="14" t="s">
        <v>1220</v>
      </c>
      <c r="D115" s="14">
        <v>33</v>
      </c>
      <c r="E115" s="15" t="s">
        <v>949</v>
      </c>
      <c r="F115" s="15" t="s">
        <v>950</v>
      </c>
      <c r="G115" s="14" t="s">
        <v>951</v>
      </c>
      <c r="H115" s="14"/>
      <c r="I115" s="14"/>
      <c r="J115" s="16">
        <v>1884.64</v>
      </c>
      <c r="K115" s="66">
        <v>588288</v>
      </c>
      <c r="L115" s="66">
        <v>736892</v>
      </c>
      <c r="M115" s="66">
        <v>1210949</v>
      </c>
      <c r="N115" s="101">
        <v>187696</v>
      </c>
      <c r="O115" s="64">
        <v>11959395</v>
      </c>
      <c r="P115" s="64">
        <v>912944</v>
      </c>
      <c r="Q115" s="64">
        <v>62288</v>
      </c>
      <c r="R115" s="62">
        <v>457906</v>
      </c>
      <c r="S115" s="104">
        <v>322430</v>
      </c>
      <c r="T115" s="103">
        <v>507147</v>
      </c>
      <c r="U115" s="72">
        <v>-122387.12</v>
      </c>
      <c r="V115" s="72">
        <v>0</v>
      </c>
    </row>
    <row r="116" spans="1:22">
      <c r="A116" s="14" t="s">
        <v>1146</v>
      </c>
      <c r="B116" s="15" t="s">
        <v>1147</v>
      </c>
      <c r="C116" s="14" t="s">
        <v>1220</v>
      </c>
      <c r="D116" s="14">
        <v>33</v>
      </c>
      <c r="E116" s="15" t="s">
        <v>949</v>
      </c>
      <c r="F116" s="15" t="s">
        <v>952</v>
      </c>
      <c r="G116" s="14" t="s">
        <v>953</v>
      </c>
      <c r="H116" s="14"/>
      <c r="I116" s="14"/>
      <c r="J116" s="16">
        <v>617.76</v>
      </c>
      <c r="K116" s="66">
        <v>124422</v>
      </c>
      <c r="L116" s="66">
        <v>647376</v>
      </c>
      <c r="M116" s="66">
        <v>617035</v>
      </c>
      <c r="N116" s="101">
        <v>190287</v>
      </c>
      <c r="O116" s="64">
        <v>4084730</v>
      </c>
      <c r="P116" s="64">
        <v>262063</v>
      </c>
      <c r="Q116" s="64">
        <v>17500</v>
      </c>
      <c r="R116" s="62">
        <v>563105</v>
      </c>
      <c r="S116" s="104">
        <v>158804</v>
      </c>
      <c r="T116" s="103">
        <v>229668</v>
      </c>
      <c r="U116" s="72">
        <v>-53291.64</v>
      </c>
      <c r="V116" s="72">
        <v>-3297.81</v>
      </c>
    </row>
    <row r="117" spans="1:22">
      <c r="A117" s="14" t="s">
        <v>954</v>
      </c>
      <c r="B117" s="15" t="s">
        <v>955</v>
      </c>
      <c r="C117" s="14" t="s">
        <v>1220</v>
      </c>
      <c r="D117" s="14">
        <v>34</v>
      </c>
      <c r="E117" s="15" t="s">
        <v>956</v>
      </c>
      <c r="F117" s="15" t="s">
        <v>957</v>
      </c>
      <c r="G117" s="14" t="s">
        <v>958</v>
      </c>
      <c r="H117" s="14"/>
      <c r="I117" s="14"/>
      <c r="J117" s="16">
        <v>1589.37</v>
      </c>
      <c r="K117" s="66">
        <v>1008209</v>
      </c>
      <c r="L117" s="66">
        <v>1494667</v>
      </c>
      <c r="M117" s="66">
        <v>648480</v>
      </c>
      <c r="N117" s="101">
        <v>184739</v>
      </c>
      <c r="O117" s="64">
        <v>10146253</v>
      </c>
      <c r="P117" s="64">
        <v>753110</v>
      </c>
      <c r="Q117" s="64">
        <v>158351</v>
      </c>
      <c r="R117" s="62">
        <v>286153</v>
      </c>
      <c r="S117" s="104">
        <v>213280</v>
      </c>
      <c r="T117" s="103">
        <v>835547</v>
      </c>
      <c r="U117" s="72">
        <v>-110972.61</v>
      </c>
      <c r="V117" s="72">
        <v>0</v>
      </c>
    </row>
    <row r="118" spans="1:22">
      <c r="A118" s="14" t="s">
        <v>954</v>
      </c>
      <c r="B118" s="15" t="s">
        <v>955</v>
      </c>
      <c r="C118" s="14" t="s">
        <v>1220</v>
      </c>
      <c r="D118" s="14">
        <v>34</v>
      </c>
      <c r="E118" s="15" t="s">
        <v>956</v>
      </c>
      <c r="F118" s="15" t="s">
        <v>959</v>
      </c>
      <c r="G118" s="14" t="s">
        <v>960</v>
      </c>
      <c r="H118" s="14"/>
      <c r="I118" s="14"/>
      <c r="J118" s="16">
        <v>4146.8100000000004</v>
      </c>
      <c r="K118" s="66">
        <v>2350882</v>
      </c>
      <c r="L118" s="66">
        <v>2519336</v>
      </c>
      <c r="M118" s="66">
        <v>2615834</v>
      </c>
      <c r="N118" s="101">
        <v>1204379</v>
      </c>
      <c r="O118" s="64">
        <v>28945801</v>
      </c>
      <c r="P118" s="64">
        <v>4489110</v>
      </c>
      <c r="Q118" s="64">
        <v>676148</v>
      </c>
      <c r="R118" s="62">
        <v>1496352</v>
      </c>
      <c r="S118" s="104">
        <v>1358079</v>
      </c>
      <c r="T118" s="103">
        <v>1733742</v>
      </c>
      <c r="U118" s="72">
        <v>-435911.24</v>
      </c>
      <c r="V118" s="72">
        <v>-529689.43999999994</v>
      </c>
    </row>
    <row r="119" spans="1:22">
      <c r="A119" s="14" t="s">
        <v>961</v>
      </c>
      <c r="B119" s="15" t="s">
        <v>962</v>
      </c>
      <c r="C119" s="14" t="s">
        <v>1220</v>
      </c>
      <c r="D119" s="14">
        <v>35</v>
      </c>
      <c r="E119" s="15" t="s">
        <v>963</v>
      </c>
      <c r="F119" s="15" t="s">
        <v>964</v>
      </c>
      <c r="G119" s="14" t="s">
        <v>965</v>
      </c>
      <c r="H119" s="14"/>
      <c r="I119" s="14"/>
      <c r="J119" s="16">
        <v>194.16</v>
      </c>
      <c r="K119" s="66">
        <v>116684</v>
      </c>
      <c r="L119" s="66">
        <v>8797</v>
      </c>
      <c r="M119" s="66">
        <v>104347</v>
      </c>
      <c r="N119" s="101">
        <v>29532</v>
      </c>
      <c r="O119" s="64">
        <v>1784728</v>
      </c>
      <c r="P119" s="64">
        <v>150149</v>
      </c>
      <c r="Q119" s="64">
        <v>9515</v>
      </c>
      <c r="R119" s="62">
        <v>69946</v>
      </c>
      <c r="S119" s="104">
        <v>61258</v>
      </c>
      <c r="T119" s="103">
        <v>48507</v>
      </c>
      <c r="U119" s="72">
        <v>-19944.43</v>
      </c>
      <c r="V119" s="72">
        <v>0</v>
      </c>
    </row>
    <row r="120" spans="1:22">
      <c r="A120" s="14" t="s">
        <v>1218</v>
      </c>
      <c r="B120" s="15" t="s">
        <v>1219</v>
      </c>
      <c r="C120" s="14" t="s">
        <v>1220</v>
      </c>
      <c r="D120" s="14">
        <v>36</v>
      </c>
      <c r="E120" s="15" t="s">
        <v>966</v>
      </c>
      <c r="F120" s="15" t="s">
        <v>967</v>
      </c>
      <c r="G120" s="14" t="s">
        <v>968</v>
      </c>
      <c r="H120" s="14"/>
      <c r="I120" s="14"/>
      <c r="J120" s="16">
        <v>1316.53</v>
      </c>
      <c r="K120" s="66">
        <v>1168189</v>
      </c>
      <c r="L120" s="66">
        <v>72126</v>
      </c>
      <c r="M120" s="66">
        <v>813728</v>
      </c>
      <c r="N120" s="101">
        <v>167705</v>
      </c>
      <c r="O120" s="64">
        <v>9015218</v>
      </c>
      <c r="P120" s="64">
        <v>609535</v>
      </c>
      <c r="Q120" s="64">
        <v>368356</v>
      </c>
      <c r="R120" s="62">
        <v>759529</v>
      </c>
      <c r="S120" s="104">
        <v>230114</v>
      </c>
      <c r="T120" s="103">
        <v>459289</v>
      </c>
      <c r="U120" s="72">
        <v>-116056.42</v>
      </c>
      <c r="V120" s="72">
        <v>-48035.38</v>
      </c>
    </row>
    <row r="121" spans="1:22">
      <c r="A121" s="14" t="s">
        <v>1218</v>
      </c>
      <c r="B121" s="15" t="s">
        <v>1219</v>
      </c>
      <c r="C121" s="14" t="s">
        <v>1220</v>
      </c>
      <c r="D121" s="14">
        <v>36</v>
      </c>
      <c r="E121" s="15" t="s">
        <v>966</v>
      </c>
      <c r="F121" s="15" t="s">
        <v>969</v>
      </c>
      <c r="G121" s="14" t="s">
        <v>970</v>
      </c>
      <c r="H121" s="14"/>
      <c r="I121" s="14"/>
      <c r="J121" s="16">
        <v>347.91</v>
      </c>
      <c r="K121" s="66">
        <v>75839</v>
      </c>
      <c r="L121" s="66">
        <v>261411</v>
      </c>
      <c r="M121" s="66">
        <v>556176</v>
      </c>
      <c r="N121" s="101">
        <v>119562</v>
      </c>
      <c r="O121" s="64">
        <v>2908892</v>
      </c>
      <c r="P121" s="64">
        <v>87786</v>
      </c>
      <c r="Q121" s="64">
        <v>20441</v>
      </c>
      <c r="R121" s="62">
        <v>96879</v>
      </c>
      <c r="S121" s="104">
        <v>76794</v>
      </c>
      <c r="T121" s="103">
        <v>94471</v>
      </c>
      <c r="U121" s="72">
        <v>-22198.959999999999</v>
      </c>
      <c r="V121" s="72">
        <v>0</v>
      </c>
    </row>
    <row r="122" spans="1:22">
      <c r="A122" s="14" t="s">
        <v>1218</v>
      </c>
      <c r="B122" s="15" t="s">
        <v>1219</v>
      </c>
      <c r="C122" s="14" t="s">
        <v>1220</v>
      </c>
      <c r="D122" s="14">
        <v>36</v>
      </c>
      <c r="E122" s="15" t="s">
        <v>966</v>
      </c>
      <c r="F122" s="15" t="s">
        <v>971</v>
      </c>
      <c r="G122" s="14" t="s">
        <v>972</v>
      </c>
      <c r="H122" s="14"/>
      <c r="I122" s="14"/>
      <c r="J122" s="16">
        <v>365.21</v>
      </c>
      <c r="K122" s="66">
        <v>38984</v>
      </c>
      <c r="L122" s="66">
        <v>299795</v>
      </c>
      <c r="M122" s="66">
        <v>1086621</v>
      </c>
      <c r="N122" s="101">
        <v>147812</v>
      </c>
      <c r="O122" s="64">
        <v>3829783</v>
      </c>
      <c r="P122" s="64">
        <v>471264</v>
      </c>
      <c r="Q122" s="64">
        <v>3589</v>
      </c>
      <c r="R122" s="62">
        <v>396528</v>
      </c>
      <c r="S122" s="104">
        <v>87563</v>
      </c>
      <c r="T122" s="103">
        <v>61575</v>
      </c>
      <c r="U122" s="72">
        <v>-21940.37</v>
      </c>
      <c r="V122" s="72">
        <v>0</v>
      </c>
    </row>
    <row r="123" spans="1:22">
      <c r="A123" s="14" t="s">
        <v>1087</v>
      </c>
      <c r="B123" s="15" t="s">
        <v>1088</v>
      </c>
      <c r="C123" s="14" t="s">
        <v>1220</v>
      </c>
      <c r="D123" s="14">
        <v>37</v>
      </c>
      <c r="E123" s="15" t="s">
        <v>973</v>
      </c>
      <c r="F123" s="15" t="s">
        <v>974</v>
      </c>
      <c r="G123" s="14" t="s">
        <v>975</v>
      </c>
      <c r="H123" s="14"/>
      <c r="I123" s="14"/>
      <c r="J123" s="16">
        <v>117.38</v>
      </c>
      <c r="K123" s="66">
        <v>110602</v>
      </c>
      <c r="L123" s="66">
        <v>8582</v>
      </c>
      <c r="M123" s="66">
        <v>26847</v>
      </c>
      <c r="N123" s="101">
        <v>20516</v>
      </c>
      <c r="O123" s="64">
        <v>728937</v>
      </c>
      <c r="P123" s="64">
        <v>0</v>
      </c>
      <c r="Q123" s="64">
        <v>18246</v>
      </c>
      <c r="R123" s="62">
        <v>48855</v>
      </c>
      <c r="S123" s="104">
        <v>20064</v>
      </c>
      <c r="T123" s="103">
        <v>15029</v>
      </c>
      <c r="U123" s="72">
        <v>-14869.27</v>
      </c>
      <c r="V123" s="72">
        <v>0</v>
      </c>
    </row>
    <row r="124" spans="1:22">
      <c r="A124" s="14" t="s">
        <v>1087</v>
      </c>
      <c r="B124" s="15" t="s">
        <v>1088</v>
      </c>
      <c r="C124" s="14" t="s">
        <v>1220</v>
      </c>
      <c r="D124" s="14">
        <v>37</v>
      </c>
      <c r="E124" s="15" t="s">
        <v>973</v>
      </c>
      <c r="F124" s="15" t="s">
        <v>976</v>
      </c>
      <c r="G124" s="14" t="s">
        <v>977</v>
      </c>
      <c r="H124" s="14"/>
      <c r="I124" s="14"/>
      <c r="J124" s="16">
        <v>525.04999999999995</v>
      </c>
      <c r="K124" s="66">
        <v>282633</v>
      </c>
      <c r="L124" s="66">
        <v>205228</v>
      </c>
      <c r="M124" s="66">
        <v>273357</v>
      </c>
      <c r="N124" s="101">
        <v>92715</v>
      </c>
      <c r="O124" s="64">
        <v>3756551</v>
      </c>
      <c r="P124" s="64">
        <v>384258</v>
      </c>
      <c r="Q124" s="64">
        <v>68081</v>
      </c>
      <c r="R124" s="62">
        <v>206953</v>
      </c>
      <c r="S124" s="104">
        <v>124401</v>
      </c>
      <c r="T124" s="103">
        <v>306312</v>
      </c>
      <c r="U124" s="72">
        <v>-49044.1</v>
      </c>
      <c r="V124" s="72">
        <v>0</v>
      </c>
    </row>
    <row r="125" spans="1:22">
      <c r="A125" s="14" t="s">
        <v>1218</v>
      </c>
      <c r="B125" s="15" t="s">
        <v>1219</v>
      </c>
      <c r="C125" s="14" t="s">
        <v>1220</v>
      </c>
      <c r="D125" s="14">
        <v>38</v>
      </c>
      <c r="E125" s="15" t="s">
        <v>978</v>
      </c>
      <c r="F125" s="15" t="s">
        <v>979</v>
      </c>
      <c r="G125" s="14" t="s">
        <v>980</v>
      </c>
      <c r="H125" s="14"/>
      <c r="I125" s="14"/>
      <c r="J125" s="16">
        <v>1553.77</v>
      </c>
      <c r="K125" s="66">
        <v>85574</v>
      </c>
      <c r="L125" s="66">
        <v>2315033</v>
      </c>
      <c r="M125" s="66">
        <v>2971532</v>
      </c>
      <c r="N125" s="101">
        <v>298712</v>
      </c>
      <c r="O125" s="64">
        <v>10621952</v>
      </c>
      <c r="P125" s="64">
        <v>637997</v>
      </c>
      <c r="Q125" s="64">
        <v>42400</v>
      </c>
      <c r="R125" s="62">
        <v>818865</v>
      </c>
      <c r="S125" s="104">
        <v>221243</v>
      </c>
      <c r="T125" s="103">
        <v>1743286</v>
      </c>
      <c r="U125" s="72">
        <v>-94318.37</v>
      </c>
      <c r="V125" s="72">
        <v>0</v>
      </c>
    </row>
    <row r="126" spans="1:22">
      <c r="A126" s="14" t="s">
        <v>1258</v>
      </c>
      <c r="B126" s="15" t="s">
        <v>1259</v>
      </c>
      <c r="C126" s="14" t="s">
        <v>1220</v>
      </c>
      <c r="D126" s="14">
        <v>39</v>
      </c>
      <c r="E126" s="15" t="s">
        <v>981</v>
      </c>
      <c r="F126" s="15" t="s">
        <v>982</v>
      </c>
      <c r="G126" s="14" t="s">
        <v>983</v>
      </c>
      <c r="H126" s="14"/>
      <c r="I126" s="14"/>
      <c r="J126" s="16">
        <v>581.28</v>
      </c>
      <c r="K126" s="66">
        <v>492042</v>
      </c>
      <c r="L126" s="66">
        <v>938736</v>
      </c>
      <c r="M126" s="66">
        <v>782326</v>
      </c>
      <c r="N126" s="101">
        <v>344246</v>
      </c>
      <c r="O126" s="64">
        <v>4562231</v>
      </c>
      <c r="P126" s="64">
        <v>343989</v>
      </c>
      <c r="Q126" s="64">
        <v>42441</v>
      </c>
      <c r="R126" s="62">
        <v>145154</v>
      </c>
      <c r="S126" s="104">
        <v>117140</v>
      </c>
      <c r="T126" s="103">
        <v>298021</v>
      </c>
      <c r="U126" s="72">
        <v>-67698.8</v>
      </c>
      <c r="V126" s="72">
        <v>0</v>
      </c>
    </row>
    <row r="127" spans="1:22">
      <c r="A127" s="14" t="s">
        <v>1092</v>
      </c>
      <c r="B127" s="15" t="s">
        <v>1093</v>
      </c>
      <c r="C127" s="14" t="s">
        <v>1220</v>
      </c>
      <c r="D127" s="14">
        <v>40</v>
      </c>
      <c r="E127" s="15" t="s">
        <v>984</v>
      </c>
      <c r="F127" s="15" t="s">
        <v>985</v>
      </c>
      <c r="G127" s="14" t="s">
        <v>986</v>
      </c>
      <c r="H127" s="14"/>
      <c r="I127" s="14"/>
      <c r="J127" s="16">
        <v>410.77</v>
      </c>
      <c r="K127" s="66">
        <v>430254</v>
      </c>
      <c r="L127" s="66">
        <v>160509</v>
      </c>
      <c r="M127" s="66">
        <v>134564</v>
      </c>
      <c r="N127" s="101">
        <v>36133</v>
      </c>
      <c r="O127" s="64">
        <v>2555402</v>
      </c>
      <c r="P127" s="64">
        <v>192015</v>
      </c>
      <c r="Q127" s="64">
        <v>16029</v>
      </c>
      <c r="R127" s="62">
        <v>124754</v>
      </c>
      <c r="S127" s="104">
        <v>58619</v>
      </c>
      <c r="T127" s="103">
        <v>177994</v>
      </c>
      <c r="U127" s="72">
        <v>-59501.15</v>
      </c>
      <c r="V127" s="72">
        <v>0</v>
      </c>
    </row>
    <row r="128" spans="1:22">
      <c r="A128" s="14" t="s">
        <v>1092</v>
      </c>
      <c r="B128" s="15" t="s">
        <v>1093</v>
      </c>
      <c r="C128" s="14" t="s">
        <v>1220</v>
      </c>
      <c r="D128" s="14">
        <v>40</v>
      </c>
      <c r="E128" s="15" t="s">
        <v>984</v>
      </c>
      <c r="F128" s="15" t="s">
        <v>987</v>
      </c>
      <c r="G128" s="14" t="s">
        <v>988</v>
      </c>
      <c r="H128" s="14"/>
      <c r="I128" s="14"/>
      <c r="J128" s="16">
        <v>663.38</v>
      </c>
      <c r="K128" s="66">
        <v>463517</v>
      </c>
      <c r="L128" s="66">
        <v>618229</v>
      </c>
      <c r="M128" s="66">
        <v>377145</v>
      </c>
      <c r="N128" s="101">
        <v>124421</v>
      </c>
      <c r="O128" s="64">
        <v>4506818</v>
      </c>
      <c r="P128" s="64">
        <v>273172</v>
      </c>
      <c r="Q128" s="64">
        <v>32051</v>
      </c>
      <c r="R128" s="62">
        <v>99320</v>
      </c>
      <c r="S128" s="104">
        <v>105435</v>
      </c>
      <c r="T128" s="103">
        <v>235346</v>
      </c>
      <c r="U128" s="72">
        <v>-52143.25</v>
      </c>
      <c r="V128" s="72">
        <v>0</v>
      </c>
    </row>
    <row r="129" spans="1:22">
      <c r="A129" s="14" t="s">
        <v>1092</v>
      </c>
      <c r="B129" s="15" t="s">
        <v>1093</v>
      </c>
      <c r="C129" s="14" t="s">
        <v>1220</v>
      </c>
      <c r="D129" s="14">
        <v>40</v>
      </c>
      <c r="E129" s="15" t="s">
        <v>984</v>
      </c>
      <c r="F129" s="15" t="s">
        <v>989</v>
      </c>
      <c r="G129" s="14" t="s">
        <v>990</v>
      </c>
      <c r="H129" s="14"/>
      <c r="I129" s="14"/>
      <c r="J129" s="16">
        <v>1062.94</v>
      </c>
      <c r="K129" s="66">
        <v>356877</v>
      </c>
      <c r="L129" s="66">
        <v>1194098</v>
      </c>
      <c r="M129" s="66">
        <v>536149</v>
      </c>
      <c r="N129" s="101">
        <v>270618</v>
      </c>
      <c r="O129" s="64">
        <v>6528321</v>
      </c>
      <c r="P129" s="64">
        <v>652701</v>
      </c>
      <c r="Q129" s="64">
        <v>108033</v>
      </c>
      <c r="R129" s="62">
        <v>352434</v>
      </c>
      <c r="S129" s="104">
        <v>156608</v>
      </c>
      <c r="T129" s="103">
        <v>615920</v>
      </c>
      <c r="U129" s="72">
        <v>-125628.83</v>
      </c>
      <c r="V129" s="72">
        <v>0</v>
      </c>
    </row>
    <row r="130" spans="1:22">
      <c r="A130" s="14" t="s">
        <v>1166</v>
      </c>
      <c r="B130" s="15" t="s">
        <v>1167</v>
      </c>
      <c r="C130" s="14" t="s">
        <v>1220</v>
      </c>
      <c r="D130" s="14">
        <v>41</v>
      </c>
      <c r="E130" s="15" t="s">
        <v>814</v>
      </c>
      <c r="F130" s="15" t="s">
        <v>815</v>
      </c>
      <c r="G130" s="14" t="s">
        <v>816</v>
      </c>
      <c r="H130" s="14"/>
      <c r="I130" s="14"/>
      <c r="J130" s="16">
        <v>242.43</v>
      </c>
      <c r="K130" s="66">
        <v>111625</v>
      </c>
      <c r="L130" s="66">
        <v>8886</v>
      </c>
      <c r="M130" s="66">
        <v>92024</v>
      </c>
      <c r="N130" s="101">
        <v>19600</v>
      </c>
      <c r="O130" s="64">
        <v>1175602</v>
      </c>
      <c r="P130" s="64">
        <v>131265</v>
      </c>
      <c r="Q130" s="64">
        <v>6033</v>
      </c>
      <c r="R130" s="62">
        <v>157897</v>
      </c>
      <c r="S130" s="104">
        <v>53696</v>
      </c>
      <c r="T130" s="103">
        <v>61898</v>
      </c>
      <c r="U130" s="72">
        <v>-23419.37</v>
      </c>
      <c r="V130" s="72">
        <v>0</v>
      </c>
    </row>
    <row r="131" spans="1:22">
      <c r="A131" s="14" t="s">
        <v>1166</v>
      </c>
      <c r="B131" s="15" t="s">
        <v>1167</v>
      </c>
      <c r="C131" s="14" t="s">
        <v>1220</v>
      </c>
      <c r="D131" s="14">
        <v>41</v>
      </c>
      <c r="E131" s="15" t="s">
        <v>814</v>
      </c>
      <c r="F131" s="15" t="s">
        <v>817</v>
      </c>
      <c r="G131" s="14" t="s">
        <v>818</v>
      </c>
      <c r="H131" s="14"/>
      <c r="I131" s="14"/>
      <c r="J131" s="16">
        <v>241.1</v>
      </c>
      <c r="K131" s="66">
        <v>72664</v>
      </c>
      <c r="L131" s="66">
        <v>9711</v>
      </c>
      <c r="M131" s="66">
        <v>149593</v>
      </c>
      <c r="N131" s="101">
        <v>16606</v>
      </c>
      <c r="O131" s="64">
        <v>1306896</v>
      </c>
      <c r="P131" s="64">
        <v>-13211</v>
      </c>
      <c r="Q131" s="64">
        <v>10498</v>
      </c>
      <c r="R131" s="62">
        <v>-7190</v>
      </c>
      <c r="S131" s="104">
        <v>30445</v>
      </c>
      <c r="T131" s="103">
        <v>63973</v>
      </c>
      <c r="U131" s="72">
        <v>-14359.11</v>
      </c>
      <c r="V131" s="72">
        <v>0</v>
      </c>
    </row>
    <row r="132" spans="1:22">
      <c r="A132" s="14" t="s">
        <v>1166</v>
      </c>
      <c r="B132" s="15" t="s">
        <v>1167</v>
      </c>
      <c r="C132" s="14" t="s">
        <v>1220</v>
      </c>
      <c r="D132" s="14">
        <v>41</v>
      </c>
      <c r="E132" s="15" t="s">
        <v>814</v>
      </c>
      <c r="F132" s="15" t="s">
        <v>819</v>
      </c>
      <c r="G132" s="14" t="s">
        <v>820</v>
      </c>
      <c r="H132" s="14"/>
      <c r="I132" s="14"/>
      <c r="J132" s="16">
        <v>200.63</v>
      </c>
      <c r="K132" s="66">
        <v>163758</v>
      </c>
      <c r="L132" s="66">
        <v>-1544</v>
      </c>
      <c r="M132" s="66">
        <v>91867</v>
      </c>
      <c r="N132" s="101">
        <v>11255</v>
      </c>
      <c r="O132" s="64">
        <v>1448438</v>
      </c>
      <c r="P132" s="64">
        <v>4784</v>
      </c>
      <c r="Q132" s="64">
        <v>13619</v>
      </c>
      <c r="R132" s="62">
        <v>64577</v>
      </c>
      <c r="S132" s="104">
        <v>51381</v>
      </c>
      <c r="T132" s="103">
        <v>44769</v>
      </c>
      <c r="U132" s="72">
        <v>-10083.69</v>
      </c>
      <c r="V132" s="72">
        <v>0</v>
      </c>
    </row>
    <row r="133" spans="1:22">
      <c r="A133" s="14" t="s">
        <v>1166</v>
      </c>
      <c r="B133" s="15" t="s">
        <v>1167</v>
      </c>
      <c r="C133" s="14" t="s">
        <v>1220</v>
      </c>
      <c r="D133" s="14">
        <v>42</v>
      </c>
      <c r="E133" s="15" t="s">
        <v>821</v>
      </c>
      <c r="F133" s="15" t="s">
        <v>822</v>
      </c>
      <c r="G133" s="14" t="s">
        <v>823</v>
      </c>
      <c r="H133" s="14"/>
      <c r="I133" s="14"/>
      <c r="J133" s="16">
        <v>95.8</v>
      </c>
      <c r="K133" s="66">
        <v>107118</v>
      </c>
      <c r="L133" s="66">
        <v>7189</v>
      </c>
      <c r="M133" s="66">
        <v>32178</v>
      </c>
      <c r="N133" s="101">
        <v>19600</v>
      </c>
      <c r="O133" s="64">
        <v>686805</v>
      </c>
      <c r="P133" s="64">
        <v>-78857</v>
      </c>
      <c r="Q133" s="64">
        <v>9933</v>
      </c>
      <c r="R133" s="62">
        <v>70539</v>
      </c>
      <c r="S133" s="104">
        <v>23137</v>
      </c>
      <c r="T133" s="103">
        <v>26329</v>
      </c>
      <c r="U133" s="72">
        <v>-19424.88</v>
      </c>
      <c r="V133" s="72">
        <v>0</v>
      </c>
    </row>
    <row r="134" spans="1:22">
      <c r="A134" s="14" t="s">
        <v>1166</v>
      </c>
      <c r="B134" s="15" t="s">
        <v>1167</v>
      </c>
      <c r="C134" s="14" t="s">
        <v>1220</v>
      </c>
      <c r="D134" s="14">
        <v>42</v>
      </c>
      <c r="E134" s="15" t="s">
        <v>821</v>
      </c>
      <c r="F134" s="15" t="s">
        <v>824</v>
      </c>
      <c r="G134" s="14" t="s">
        <v>825</v>
      </c>
      <c r="H134" s="14"/>
      <c r="I134" s="14"/>
      <c r="J134" s="16">
        <v>2210.63</v>
      </c>
      <c r="K134" s="66">
        <v>1208855</v>
      </c>
      <c r="L134" s="66">
        <v>2760293</v>
      </c>
      <c r="M134" s="66">
        <v>1448864</v>
      </c>
      <c r="N134" s="101">
        <v>1797585</v>
      </c>
      <c r="O134" s="64">
        <v>14139613</v>
      </c>
      <c r="P134" s="64">
        <v>1530033</v>
      </c>
      <c r="Q134" s="64">
        <v>579120</v>
      </c>
      <c r="R134" s="62">
        <v>815327</v>
      </c>
      <c r="S134" s="104">
        <v>484302</v>
      </c>
      <c r="T134" s="103">
        <v>1188027</v>
      </c>
      <c r="U134" s="72">
        <v>-160964.44</v>
      </c>
      <c r="V134" s="72">
        <v>-1230924.45</v>
      </c>
    </row>
    <row r="135" spans="1:22">
      <c r="A135" s="14" t="s">
        <v>1166</v>
      </c>
      <c r="B135" s="15" t="s">
        <v>1167</v>
      </c>
      <c r="C135" s="14" t="s">
        <v>1220</v>
      </c>
      <c r="D135" s="14">
        <v>42</v>
      </c>
      <c r="E135" s="15" t="s">
        <v>821</v>
      </c>
      <c r="F135" s="15" t="s">
        <v>826</v>
      </c>
      <c r="G135" s="14" t="s">
        <v>827</v>
      </c>
      <c r="H135" s="14"/>
      <c r="I135" s="14"/>
      <c r="J135" s="16">
        <v>471.36</v>
      </c>
      <c r="K135" s="66">
        <v>178456</v>
      </c>
      <c r="L135" s="66">
        <v>180053</v>
      </c>
      <c r="M135" s="66">
        <v>161313</v>
      </c>
      <c r="N135" s="101">
        <v>58570</v>
      </c>
      <c r="O135" s="64">
        <v>3124102</v>
      </c>
      <c r="P135" s="64">
        <v>330072</v>
      </c>
      <c r="Q135" s="64">
        <v>68252</v>
      </c>
      <c r="R135" s="62">
        <v>164315</v>
      </c>
      <c r="S135" s="104">
        <v>90896</v>
      </c>
      <c r="T135" s="103">
        <v>137781</v>
      </c>
      <c r="U135" s="72">
        <v>-13239.64</v>
      </c>
      <c r="V135" s="72">
        <v>0</v>
      </c>
    </row>
    <row r="136" spans="1:22">
      <c r="A136" s="14" t="s">
        <v>1166</v>
      </c>
      <c r="B136" s="15" t="s">
        <v>1167</v>
      </c>
      <c r="C136" s="14" t="s">
        <v>1220</v>
      </c>
      <c r="D136" s="14">
        <v>42</v>
      </c>
      <c r="E136" s="15" t="s">
        <v>821</v>
      </c>
      <c r="F136" s="15" t="s">
        <v>828</v>
      </c>
      <c r="G136" s="14" t="s">
        <v>829</v>
      </c>
      <c r="H136" s="14"/>
      <c r="I136" s="14"/>
      <c r="J136" s="16">
        <v>166.88</v>
      </c>
      <c r="K136" s="66">
        <v>208280</v>
      </c>
      <c r="L136" s="66">
        <v>14862</v>
      </c>
      <c r="M136" s="66">
        <v>215043</v>
      </c>
      <c r="N136" s="101">
        <v>26357</v>
      </c>
      <c r="O136" s="64">
        <v>1246987</v>
      </c>
      <c r="P136" s="64">
        <v>55921</v>
      </c>
      <c r="Q136" s="64">
        <v>28042</v>
      </c>
      <c r="R136" s="62">
        <v>49564</v>
      </c>
      <c r="S136" s="104">
        <v>57694</v>
      </c>
      <c r="T136" s="103">
        <v>36185</v>
      </c>
      <c r="U136" s="72">
        <v>-27855.58</v>
      </c>
      <c r="V136" s="72">
        <v>0</v>
      </c>
    </row>
    <row r="137" spans="1:22">
      <c r="A137" s="14" t="s">
        <v>1166</v>
      </c>
      <c r="B137" s="15" t="s">
        <v>1167</v>
      </c>
      <c r="C137" s="14" t="s">
        <v>1220</v>
      </c>
      <c r="D137" s="14">
        <v>42</v>
      </c>
      <c r="E137" s="15" t="s">
        <v>821</v>
      </c>
      <c r="F137" s="15" t="s">
        <v>830</v>
      </c>
      <c r="G137" s="14" t="s">
        <v>831</v>
      </c>
      <c r="H137" s="14"/>
      <c r="I137" s="14"/>
      <c r="J137" s="16">
        <v>716.59</v>
      </c>
      <c r="K137" s="66">
        <v>112485</v>
      </c>
      <c r="L137" s="66">
        <v>264966</v>
      </c>
      <c r="M137" s="66">
        <v>563938</v>
      </c>
      <c r="N137" s="101">
        <v>81684</v>
      </c>
      <c r="O137" s="64">
        <v>5007394</v>
      </c>
      <c r="P137" s="64">
        <v>424824</v>
      </c>
      <c r="Q137" s="64">
        <v>74854</v>
      </c>
      <c r="R137" s="62">
        <v>200795</v>
      </c>
      <c r="S137" s="104">
        <v>160780</v>
      </c>
      <c r="T137" s="103">
        <v>229179</v>
      </c>
      <c r="U137" s="72">
        <v>-18076.71</v>
      </c>
      <c r="V137" s="72">
        <v>0</v>
      </c>
    </row>
    <row r="138" spans="1:22">
      <c r="A138" s="14" t="s">
        <v>954</v>
      </c>
      <c r="B138" s="15" t="s">
        <v>955</v>
      </c>
      <c r="C138" s="14" t="s">
        <v>1220</v>
      </c>
      <c r="D138" s="14">
        <v>43</v>
      </c>
      <c r="E138" s="15" t="s">
        <v>832</v>
      </c>
      <c r="F138" s="15" t="s">
        <v>833</v>
      </c>
      <c r="G138" s="14" t="s">
        <v>834</v>
      </c>
      <c r="H138" s="14"/>
      <c r="I138" s="14"/>
      <c r="J138" s="16">
        <v>3028.19</v>
      </c>
      <c r="K138" s="66">
        <v>2632838</v>
      </c>
      <c r="L138" s="66">
        <v>1180079</v>
      </c>
      <c r="M138" s="66">
        <v>1132782</v>
      </c>
      <c r="N138" s="101">
        <v>353674</v>
      </c>
      <c r="O138" s="64">
        <v>19653620</v>
      </c>
      <c r="P138" s="64">
        <v>1327968</v>
      </c>
      <c r="Q138" s="64">
        <v>216933</v>
      </c>
      <c r="R138" s="62">
        <v>901800</v>
      </c>
      <c r="S138" s="104">
        <v>340245</v>
      </c>
      <c r="T138" s="103">
        <v>1361706</v>
      </c>
      <c r="U138" s="72">
        <v>-201864.27</v>
      </c>
      <c r="V138" s="72">
        <v>-20720</v>
      </c>
    </row>
    <row r="139" spans="1:22">
      <c r="A139" s="14" t="s">
        <v>954</v>
      </c>
      <c r="B139" s="15" t="s">
        <v>955</v>
      </c>
      <c r="C139" s="14" t="s">
        <v>1220</v>
      </c>
      <c r="D139" s="14">
        <v>43</v>
      </c>
      <c r="E139" s="15" t="s">
        <v>832</v>
      </c>
      <c r="F139" s="15" t="s">
        <v>835</v>
      </c>
      <c r="G139" s="14" t="s">
        <v>836</v>
      </c>
      <c r="H139" s="14"/>
      <c r="I139" s="14"/>
      <c r="J139" s="16">
        <v>465.81</v>
      </c>
      <c r="K139" s="66">
        <v>146837</v>
      </c>
      <c r="L139" s="66">
        <v>153144</v>
      </c>
      <c r="M139" s="66">
        <v>214017</v>
      </c>
      <c r="N139" s="101">
        <v>60094</v>
      </c>
      <c r="O139" s="64">
        <v>2889206</v>
      </c>
      <c r="P139" s="64">
        <v>151575</v>
      </c>
      <c r="Q139" s="64">
        <v>23382</v>
      </c>
      <c r="R139" s="62">
        <v>188981</v>
      </c>
      <c r="S139" s="104">
        <v>65767</v>
      </c>
      <c r="T139" s="103">
        <v>197933</v>
      </c>
      <c r="U139" s="72">
        <v>-39985.71</v>
      </c>
      <c r="V139" s="72">
        <v>0</v>
      </c>
    </row>
    <row r="140" spans="1:22">
      <c r="A140" s="14" t="s">
        <v>1258</v>
      </c>
      <c r="B140" s="15" t="s">
        <v>1259</v>
      </c>
      <c r="C140" s="14" t="s">
        <v>1220</v>
      </c>
      <c r="D140" s="14">
        <v>44</v>
      </c>
      <c r="E140" s="15" t="s">
        <v>837</v>
      </c>
      <c r="F140" s="15" t="s">
        <v>838</v>
      </c>
      <c r="G140" s="14" t="s">
        <v>839</v>
      </c>
      <c r="H140" s="14"/>
      <c r="I140" s="14"/>
      <c r="J140" s="16">
        <v>650.11</v>
      </c>
      <c r="K140" s="66">
        <v>93727</v>
      </c>
      <c r="L140" s="66">
        <v>185147</v>
      </c>
      <c r="M140" s="66">
        <v>342662</v>
      </c>
      <c r="N140" s="101">
        <v>120430</v>
      </c>
      <c r="O140" s="64">
        <v>4997458</v>
      </c>
      <c r="P140" s="64">
        <v>494263</v>
      </c>
      <c r="Q140" s="64">
        <v>240700</v>
      </c>
      <c r="R140" s="62">
        <v>1035156</v>
      </c>
      <c r="S140" s="104">
        <v>200271</v>
      </c>
      <c r="T140" s="103">
        <v>102464</v>
      </c>
      <c r="U140" s="72">
        <v>-49312.81</v>
      </c>
      <c r="V140" s="72">
        <v>-4165</v>
      </c>
    </row>
    <row r="141" spans="1:22">
      <c r="A141" s="14" t="s">
        <v>1258</v>
      </c>
      <c r="B141" s="15" t="s">
        <v>1259</v>
      </c>
      <c r="C141" s="14" t="s">
        <v>1220</v>
      </c>
      <c r="D141" s="14">
        <v>44</v>
      </c>
      <c r="E141" s="15" t="s">
        <v>837</v>
      </c>
      <c r="F141" s="15" t="s">
        <v>840</v>
      </c>
      <c r="G141" s="14" t="s">
        <v>841</v>
      </c>
      <c r="H141" s="14"/>
      <c r="I141" s="14"/>
      <c r="J141" s="16">
        <v>626.37</v>
      </c>
      <c r="K141" s="66">
        <v>109548</v>
      </c>
      <c r="L141" s="66">
        <v>784177</v>
      </c>
      <c r="M141" s="66">
        <v>240762</v>
      </c>
      <c r="N141" s="101">
        <v>104191</v>
      </c>
      <c r="O141" s="64">
        <v>4935173</v>
      </c>
      <c r="P141" s="64">
        <v>254641</v>
      </c>
      <c r="Q141" s="64">
        <v>154459</v>
      </c>
      <c r="R141" s="62">
        <v>1251047</v>
      </c>
      <c r="S141" s="104">
        <v>220861</v>
      </c>
      <c r="T141" s="103">
        <v>114660</v>
      </c>
      <c r="U141" s="72">
        <v>-31789.99</v>
      </c>
      <c r="V141" s="72">
        <v>0</v>
      </c>
    </row>
    <row r="142" spans="1:22">
      <c r="A142" s="14" t="s">
        <v>961</v>
      </c>
      <c r="B142" s="15" t="s">
        <v>962</v>
      </c>
      <c r="C142" s="14" t="s">
        <v>1220</v>
      </c>
      <c r="D142" s="14">
        <v>45</v>
      </c>
      <c r="E142" s="15" t="s">
        <v>842</v>
      </c>
      <c r="F142" s="15" t="s">
        <v>843</v>
      </c>
      <c r="G142" s="14" t="s">
        <v>844</v>
      </c>
      <c r="H142" s="14"/>
      <c r="I142" s="14"/>
      <c r="J142" s="16">
        <v>359.95</v>
      </c>
      <c r="K142" s="66">
        <v>261210</v>
      </c>
      <c r="L142" s="66">
        <v>22017</v>
      </c>
      <c r="M142" s="66">
        <v>283240</v>
      </c>
      <c r="N142" s="101">
        <v>33705</v>
      </c>
      <c r="O142" s="64">
        <v>3008362</v>
      </c>
      <c r="P142" s="64">
        <v>371376</v>
      </c>
      <c r="Q142" s="64">
        <v>30643</v>
      </c>
      <c r="R142" s="62">
        <v>137346</v>
      </c>
      <c r="S142" s="104">
        <v>107043</v>
      </c>
      <c r="T142" s="103">
        <v>79208</v>
      </c>
      <c r="U142" s="72">
        <v>-28283.65</v>
      </c>
      <c r="V142" s="72">
        <v>0</v>
      </c>
    </row>
    <row r="143" spans="1:22">
      <c r="A143" s="14" t="s">
        <v>961</v>
      </c>
      <c r="B143" s="15" t="s">
        <v>962</v>
      </c>
      <c r="C143" s="14" t="s">
        <v>1220</v>
      </c>
      <c r="D143" s="14">
        <v>45</v>
      </c>
      <c r="E143" s="15" t="s">
        <v>842</v>
      </c>
      <c r="F143" s="15" t="s">
        <v>845</v>
      </c>
      <c r="G143" s="14" t="s">
        <v>846</v>
      </c>
      <c r="H143" s="14"/>
      <c r="I143" s="14"/>
      <c r="J143" s="16">
        <v>205.92</v>
      </c>
      <c r="K143" s="66">
        <v>56054</v>
      </c>
      <c r="L143" s="66">
        <v>78366</v>
      </c>
      <c r="M143" s="66">
        <v>479358</v>
      </c>
      <c r="N143" s="101">
        <v>42307</v>
      </c>
      <c r="O143" s="64">
        <v>2169037</v>
      </c>
      <c r="P143" s="64">
        <v>129253</v>
      </c>
      <c r="Q143" s="64">
        <v>6873</v>
      </c>
      <c r="R143" s="62">
        <v>79143</v>
      </c>
      <c r="S143" s="104">
        <v>68925</v>
      </c>
      <c r="T143" s="103">
        <v>53250</v>
      </c>
      <c r="U143" s="72">
        <v>-21567.15</v>
      </c>
      <c r="V143" s="72">
        <v>0</v>
      </c>
    </row>
    <row r="144" spans="1:22">
      <c r="A144" s="14" t="s">
        <v>1092</v>
      </c>
      <c r="B144" s="15" t="s">
        <v>1093</v>
      </c>
      <c r="C144" s="14" t="s">
        <v>1220</v>
      </c>
      <c r="D144" s="14">
        <v>46</v>
      </c>
      <c r="E144" s="15" t="s">
        <v>847</v>
      </c>
      <c r="F144" s="15" t="s">
        <v>848</v>
      </c>
      <c r="G144" s="14" t="s">
        <v>849</v>
      </c>
      <c r="H144" s="14"/>
      <c r="I144" s="14"/>
      <c r="J144" s="16">
        <v>356.21</v>
      </c>
      <c r="K144" s="66">
        <v>368995</v>
      </c>
      <c r="L144" s="66">
        <v>27670</v>
      </c>
      <c r="M144" s="66">
        <v>163074</v>
      </c>
      <c r="N144" s="101">
        <v>36167</v>
      </c>
      <c r="O144" s="64">
        <v>2622585</v>
      </c>
      <c r="P144" s="64">
        <v>162223</v>
      </c>
      <c r="Q144" s="64">
        <v>166297</v>
      </c>
      <c r="R144" s="62">
        <v>108382</v>
      </c>
      <c r="S144" s="104">
        <v>79527</v>
      </c>
      <c r="T144" s="103">
        <v>118404</v>
      </c>
      <c r="U144" s="72">
        <v>-42970.7</v>
      </c>
      <c r="V144" s="72">
        <v>-1305</v>
      </c>
    </row>
    <row r="145" spans="1:22">
      <c r="A145" s="14" t="s">
        <v>954</v>
      </c>
      <c r="B145" s="15" t="s">
        <v>955</v>
      </c>
      <c r="C145" s="14" t="s">
        <v>1220</v>
      </c>
      <c r="D145" s="14">
        <v>47</v>
      </c>
      <c r="E145" s="15" t="s">
        <v>850</v>
      </c>
      <c r="F145" s="15" t="s">
        <v>851</v>
      </c>
      <c r="G145" s="14" t="s">
        <v>852</v>
      </c>
      <c r="H145" s="14"/>
      <c r="I145" s="14"/>
      <c r="J145" s="16">
        <v>867.77</v>
      </c>
      <c r="K145" s="66">
        <v>382885</v>
      </c>
      <c r="L145" s="66">
        <v>655226</v>
      </c>
      <c r="M145" s="66">
        <v>414166</v>
      </c>
      <c r="N145" s="101">
        <v>164259</v>
      </c>
      <c r="O145" s="64">
        <v>5809915</v>
      </c>
      <c r="P145" s="64">
        <v>472828</v>
      </c>
      <c r="Q145" s="64">
        <v>205184</v>
      </c>
      <c r="R145" s="62">
        <v>219667</v>
      </c>
      <c r="S145" s="104">
        <v>202450</v>
      </c>
      <c r="T145" s="103">
        <v>453194</v>
      </c>
      <c r="U145" s="72">
        <v>-74553.899999999994</v>
      </c>
      <c r="V145" s="72">
        <v>0</v>
      </c>
    </row>
    <row r="146" spans="1:22">
      <c r="A146" s="14" t="s">
        <v>954</v>
      </c>
      <c r="B146" s="15" t="s">
        <v>955</v>
      </c>
      <c r="C146" s="14" t="s">
        <v>1220</v>
      </c>
      <c r="D146" s="14">
        <v>47</v>
      </c>
      <c r="E146" s="15" t="s">
        <v>850</v>
      </c>
      <c r="F146" s="15" t="s">
        <v>853</v>
      </c>
      <c r="G146" s="14" t="s">
        <v>854</v>
      </c>
      <c r="H146" s="14"/>
      <c r="I146" s="14"/>
      <c r="J146" s="16">
        <v>1780.34</v>
      </c>
      <c r="K146" s="66">
        <v>1013618</v>
      </c>
      <c r="L146" s="66">
        <v>1231470</v>
      </c>
      <c r="M146" s="66">
        <v>844174</v>
      </c>
      <c r="N146" s="101">
        <v>289168</v>
      </c>
      <c r="O146" s="64">
        <v>11592857</v>
      </c>
      <c r="P146" s="64">
        <v>1306718</v>
      </c>
      <c r="Q146" s="64">
        <v>115495</v>
      </c>
      <c r="R146" s="62">
        <v>252124</v>
      </c>
      <c r="S146" s="104">
        <v>272886</v>
      </c>
      <c r="T146" s="103">
        <v>979665</v>
      </c>
      <c r="U146" s="72">
        <v>-188368.93</v>
      </c>
      <c r="V146" s="72">
        <v>-5650</v>
      </c>
    </row>
    <row r="147" spans="1:22">
      <c r="A147" s="14" t="s">
        <v>1080</v>
      </c>
      <c r="B147" s="15" t="s">
        <v>1081</v>
      </c>
      <c r="C147" s="14" t="s">
        <v>1220</v>
      </c>
      <c r="D147" s="14">
        <v>47</v>
      </c>
      <c r="E147" s="15" t="s">
        <v>850</v>
      </c>
      <c r="F147" s="15" t="s">
        <v>855</v>
      </c>
      <c r="G147" s="14" t="s">
        <v>856</v>
      </c>
      <c r="H147" s="14"/>
      <c r="I147" s="14"/>
      <c r="J147" s="16">
        <v>2338.21</v>
      </c>
      <c r="K147" s="66">
        <v>716775</v>
      </c>
      <c r="L147" s="66">
        <v>1927785</v>
      </c>
      <c r="M147" s="66">
        <v>894303</v>
      </c>
      <c r="N147" s="101">
        <v>347907</v>
      </c>
      <c r="O147" s="64">
        <v>14701912</v>
      </c>
      <c r="P147" s="64">
        <v>1102675</v>
      </c>
      <c r="Q147" s="64">
        <v>63973</v>
      </c>
      <c r="R147" s="62">
        <v>322586</v>
      </c>
      <c r="S147" s="104">
        <v>318125</v>
      </c>
      <c r="T147" s="103">
        <v>939275</v>
      </c>
      <c r="U147" s="72">
        <v>-215640.51</v>
      </c>
      <c r="V147" s="72">
        <v>-1584</v>
      </c>
    </row>
    <row r="148" spans="1:22">
      <c r="A148" s="14" t="s">
        <v>1146</v>
      </c>
      <c r="B148" s="15" t="s">
        <v>1147</v>
      </c>
      <c r="C148" s="14" t="s">
        <v>1220</v>
      </c>
      <c r="D148" s="14">
        <v>48</v>
      </c>
      <c r="E148" s="15" t="s">
        <v>857</v>
      </c>
      <c r="F148" s="15" t="s">
        <v>858</v>
      </c>
      <c r="G148" s="14" t="s">
        <v>859</v>
      </c>
      <c r="H148" s="14"/>
      <c r="I148" s="14"/>
      <c r="J148" s="16">
        <v>590.69000000000005</v>
      </c>
      <c r="K148" s="66">
        <v>225789</v>
      </c>
      <c r="L148" s="66">
        <v>598506</v>
      </c>
      <c r="M148" s="66">
        <v>411995</v>
      </c>
      <c r="N148" s="101">
        <v>75602</v>
      </c>
      <c r="O148" s="64">
        <v>3977400</v>
      </c>
      <c r="P148" s="64">
        <v>287665</v>
      </c>
      <c r="Q148" s="64">
        <v>94105</v>
      </c>
      <c r="R148" s="62">
        <v>201828</v>
      </c>
      <c r="S148" s="104">
        <v>206448</v>
      </c>
      <c r="T148" s="103">
        <v>217539</v>
      </c>
      <c r="U148" s="72">
        <v>-36449.57</v>
      </c>
      <c r="V148" s="72">
        <v>-1254.53</v>
      </c>
    </row>
    <row r="149" spans="1:22">
      <c r="A149" s="14" t="s">
        <v>1146</v>
      </c>
      <c r="B149" s="15" t="s">
        <v>1147</v>
      </c>
      <c r="C149" s="14" t="s">
        <v>1220</v>
      </c>
      <c r="D149" s="14">
        <v>48</v>
      </c>
      <c r="E149" s="15" t="s">
        <v>857</v>
      </c>
      <c r="F149" s="15" t="s">
        <v>860</v>
      </c>
      <c r="G149" s="14" t="s">
        <v>861</v>
      </c>
      <c r="H149" s="14"/>
      <c r="I149" s="14"/>
      <c r="J149" s="16">
        <v>3469.72</v>
      </c>
      <c r="K149" s="66">
        <v>1833562</v>
      </c>
      <c r="L149" s="66">
        <v>2213802</v>
      </c>
      <c r="M149" s="66">
        <v>1895461</v>
      </c>
      <c r="N149" s="101">
        <v>464013</v>
      </c>
      <c r="O149" s="64">
        <v>21735200</v>
      </c>
      <c r="P149" s="64">
        <v>1281003</v>
      </c>
      <c r="Q149" s="64">
        <v>227536</v>
      </c>
      <c r="R149" s="62">
        <v>412482</v>
      </c>
      <c r="S149" s="104">
        <v>419565</v>
      </c>
      <c r="T149" s="103">
        <v>1912261</v>
      </c>
      <c r="U149" s="72">
        <v>-245349.8</v>
      </c>
      <c r="V149" s="72">
        <v>0</v>
      </c>
    </row>
    <row r="150" spans="1:22">
      <c r="A150" s="14" t="s">
        <v>1146</v>
      </c>
      <c r="B150" s="15" t="s">
        <v>1147</v>
      </c>
      <c r="C150" s="14" t="s">
        <v>1220</v>
      </c>
      <c r="D150" s="14">
        <v>48</v>
      </c>
      <c r="E150" s="15" t="s">
        <v>857</v>
      </c>
      <c r="F150" s="15" t="s">
        <v>862</v>
      </c>
      <c r="G150" s="14" t="s">
        <v>863</v>
      </c>
      <c r="H150" s="14"/>
      <c r="I150" s="14"/>
      <c r="J150" s="16">
        <v>801.48</v>
      </c>
      <c r="K150" s="66">
        <v>367833</v>
      </c>
      <c r="L150" s="66">
        <v>666918</v>
      </c>
      <c r="M150" s="66">
        <v>952982</v>
      </c>
      <c r="N150" s="101">
        <v>107925</v>
      </c>
      <c r="O150" s="64">
        <v>5351376</v>
      </c>
      <c r="P150" s="64">
        <v>1273732</v>
      </c>
      <c r="Q150" s="64">
        <v>21825</v>
      </c>
      <c r="R150" s="62">
        <v>883886</v>
      </c>
      <c r="S150" s="104">
        <v>278338</v>
      </c>
      <c r="T150" s="103">
        <v>217533</v>
      </c>
      <c r="U150" s="72">
        <v>-62345.120000000003</v>
      </c>
      <c r="V150" s="72">
        <v>-5147.04</v>
      </c>
    </row>
    <row r="151" spans="1:22">
      <c r="A151" s="14" t="s">
        <v>1132</v>
      </c>
      <c r="B151" s="15" t="s">
        <v>1133</v>
      </c>
      <c r="C151" s="14" t="s">
        <v>1220</v>
      </c>
      <c r="D151" s="14">
        <v>49</v>
      </c>
      <c r="E151" s="15" t="s">
        <v>864</v>
      </c>
      <c r="F151" s="15" t="s">
        <v>865</v>
      </c>
      <c r="G151" s="14" t="s">
        <v>866</v>
      </c>
      <c r="H151" s="14"/>
      <c r="I151" s="14"/>
      <c r="J151" s="16">
        <v>2576.1999999999998</v>
      </c>
      <c r="K151" s="66">
        <v>2396331</v>
      </c>
      <c r="L151" s="66">
        <v>726978</v>
      </c>
      <c r="M151" s="66">
        <v>1061270</v>
      </c>
      <c r="N151" s="101">
        <v>421891</v>
      </c>
      <c r="O151" s="64">
        <v>17965710</v>
      </c>
      <c r="P151" s="64">
        <v>1652094</v>
      </c>
      <c r="Q151" s="64">
        <v>278904</v>
      </c>
      <c r="R151" s="62">
        <v>981281</v>
      </c>
      <c r="S151" s="104">
        <v>602027</v>
      </c>
      <c r="T151" s="103">
        <v>1033033</v>
      </c>
      <c r="U151" s="72">
        <v>-190832.01</v>
      </c>
      <c r="V151" s="72">
        <v>-10640</v>
      </c>
    </row>
    <row r="152" spans="1:22">
      <c r="A152" s="14" t="s">
        <v>1132</v>
      </c>
      <c r="B152" s="15" t="s">
        <v>1133</v>
      </c>
      <c r="C152" s="14" t="s">
        <v>1220</v>
      </c>
      <c r="D152" s="14">
        <v>49</v>
      </c>
      <c r="E152" s="15" t="s">
        <v>864</v>
      </c>
      <c r="F152" s="15" t="s">
        <v>867</v>
      </c>
      <c r="G152" s="14" t="s">
        <v>868</v>
      </c>
      <c r="H152" s="14"/>
      <c r="I152" s="14"/>
      <c r="J152" s="16">
        <v>1039.56</v>
      </c>
      <c r="K152" s="66">
        <v>523438</v>
      </c>
      <c r="L152" s="66">
        <v>394317</v>
      </c>
      <c r="M152" s="66">
        <v>649280</v>
      </c>
      <c r="N152" s="101">
        <v>149795</v>
      </c>
      <c r="O152" s="64">
        <v>7132790</v>
      </c>
      <c r="P152" s="64">
        <v>583325</v>
      </c>
      <c r="Q152" s="64">
        <v>108753</v>
      </c>
      <c r="R152" s="62">
        <v>263532</v>
      </c>
      <c r="S152" s="104">
        <v>193601</v>
      </c>
      <c r="T152" s="103">
        <v>284057</v>
      </c>
      <c r="U152" s="72">
        <v>-49168.71</v>
      </c>
      <c r="V152" s="72">
        <v>0</v>
      </c>
    </row>
    <row r="153" spans="1:22">
      <c r="A153" s="14" t="s">
        <v>1132</v>
      </c>
      <c r="B153" s="15" t="s">
        <v>1133</v>
      </c>
      <c r="C153" s="14" t="s">
        <v>1220</v>
      </c>
      <c r="D153" s="14">
        <v>49</v>
      </c>
      <c r="E153" s="15" t="s">
        <v>864</v>
      </c>
      <c r="F153" s="15" t="s">
        <v>869</v>
      </c>
      <c r="G153" s="14" t="s">
        <v>870</v>
      </c>
      <c r="H153" s="14"/>
      <c r="I153" s="14"/>
      <c r="J153" s="16">
        <v>670.86</v>
      </c>
      <c r="K153" s="66">
        <v>169291</v>
      </c>
      <c r="L153" s="66">
        <v>669259</v>
      </c>
      <c r="M153" s="66">
        <v>267700</v>
      </c>
      <c r="N153" s="101">
        <v>127828</v>
      </c>
      <c r="O153" s="64">
        <v>4300059</v>
      </c>
      <c r="P153" s="64">
        <v>295829</v>
      </c>
      <c r="Q153" s="64">
        <v>18083</v>
      </c>
      <c r="R153" s="62">
        <v>190425</v>
      </c>
      <c r="S153" s="104">
        <v>125543</v>
      </c>
      <c r="T153" s="103">
        <v>206116</v>
      </c>
      <c r="U153" s="72">
        <v>-28516.21</v>
      </c>
      <c r="V153" s="72">
        <v>0</v>
      </c>
    </row>
    <row r="154" spans="1:22">
      <c r="A154" s="14" t="s">
        <v>1132</v>
      </c>
      <c r="B154" s="15" t="s">
        <v>1133</v>
      </c>
      <c r="C154" s="14" t="s">
        <v>1220</v>
      </c>
      <c r="D154" s="14">
        <v>49</v>
      </c>
      <c r="E154" s="15" t="s">
        <v>864</v>
      </c>
      <c r="F154" s="15" t="s">
        <v>871</v>
      </c>
      <c r="G154" s="14" t="s">
        <v>872</v>
      </c>
      <c r="H154" s="14"/>
      <c r="I154" s="14"/>
      <c r="J154" s="16">
        <v>366.66</v>
      </c>
      <c r="K154" s="66">
        <v>257923</v>
      </c>
      <c r="L154" s="66">
        <v>308513</v>
      </c>
      <c r="M154" s="66">
        <v>190506</v>
      </c>
      <c r="N154" s="101">
        <v>65259</v>
      </c>
      <c r="O154" s="64">
        <v>2644900</v>
      </c>
      <c r="P154" s="64">
        <v>97116</v>
      </c>
      <c r="Q154" s="64">
        <v>67142</v>
      </c>
      <c r="R154" s="62">
        <v>101952</v>
      </c>
      <c r="S154" s="104">
        <v>76136</v>
      </c>
      <c r="T154" s="103">
        <v>97294</v>
      </c>
      <c r="U154" s="72">
        <v>-22418.1</v>
      </c>
      <c r="V154" s="72">
        <v>0</v>
      </c>
    </row>
    <row r="155" spans="1:22">
      <c r="A155" s="14" t="s">
        <v>1132</v>
      </c>
      <c r="B155" s="15" t="s">
        <v>1133</v>
      </c>
      <c r="C155" s="14" t="s">
        <v>1220</v>
      </c>
      <c r="D155" s="14">
        <v>49</v>
      </c>
      <c r="E155" s="15" t="s">
        <v>864</v>
      </c>
      <c r="F155" s="15" t="s">
        <v>873</v>
      </c>
      <c r="G155" s="14" t="s">
        <v>874</v>
      </c>
      <c r="H155" s="14"/>
      <c r="I155" s="14"/>
      <c r="J155" s="16">
        <v>416.27</v>
      </c>
      <c r="K155" s="66">
        <v>101927</v>
      </c>
      <c r="L155" s="66">
        <v>532756</v>
      </c>
      <c r="M155" s="66">
        <v>133365</v>
      </c>
      <c r="N155" s="101">
        <v>392766</v>
      </c>
      <c r="O155" s="64">
        <v>2616741</v>
      </c>
      <c r="P155" s="64">
        <v>174474</v>
      </c>
      <c r="Q155" s="64">
        <v>12902</v>
      </c>
      <c r="R155" s="62">
        <v>107363</v>
      </c>
      <c r="S155" s="104">
        <v>57166</v>
      </c>
      <c r="T155" s="103">
        <v>87998</v>
      </c>
      <c r="U155" s="72">
        <v>-20314.87</v>
      </c>
      <c r="V155" s="72">
        <v>0</v>
      </c>
    </row>
    <row r="156" spans="1:22">
      <c r="A156" s="14" t="s">
        <v>1017</v>
      </c>
      <c r="B156" s="15" t="s">
        <v>1018</v>
      </c>
      <c r="C156" s="14" t="s">
        <v>1220</v>
      </c>
      <c r="D156" s="14">
        <v>50</v>
      </c>
      <c r="E156" s="15" t="s">
        <v>875</v>
      </c>
      <c r="F156" s="15" t="s">
        <v>876</v>
      </c>
      <c r="G156" s="14" t="s">
        <v>877</v>
      </c>
      <c r="H156" s="14"/>
      <c r="I156" s="14"/>
      <c r="J156" s="16">
        <v>4350.22</v>
      </c>
      <c r="K156" s="66">
        <v>3020493</v>
      </c>
      <c r="L156" s="66">
        <v>1214809</v>
      </c>
      <c r="M156" s="66">
        <v>1218863</v>
      </c>
      <c r="N156" s="101">
        <v>787777</v>
      </c>
      <c r="O156" s="64">
        <v>29857946</v>
      </c>
      <c r="P156" s="64">
        <v>3319478</v>
      </c>
      <c r="Q156" s="64">
        <v>706813</v>
      </c>
      <c r="R156" s="62">
        <v>2381292</v>
      </c>
      <c r="S156" s="104">
        <v>958631</v>
      </c>
      <c r="T156" s="103">
        <v>1664618</v>
      </c>
      <c r="U156" s="72">
        <v>-378871.25</v>
      </c>
      <c r="V156" s="72">
        <v>-267331.68</v>
      </c>
    </row>
    <row r="157" spans="1:22">
      <c r="A157" s="14" t="s">
        <v>1017</v>
      </c>
      <c r="B157" s="15" t="s">
        <v>1018</v>
      </c>
      <c r="C157" s="14" t="s">
        <v>1220</v>
      </c>
      <c r="D157" s="14">
        <v>50</v>
      </c>
      <c r="E157" s="15" t="s">
        <v>875</v>
      </c>
      <c r="F157" s="15" t="s">
        <v>878</v>
      </c>
      <c r="G157" s="14" t="s">
        <v>879</v>
      </c>
      <c r="H157" s="14"/>
      <c r="I157" s="14"/>
      <c r="J157" s="16">
        <v>357.31</v>
      </c>
      <c r="K157" s="66">
        <v>296366</v>
      </c>
      <c r="L157" s="66">
        <v>495403</v>
      </c>
      <c r="M157" s="66">
        <v>328082</v>
      </c>
      <c r="N157" s="101">
        <v>107989</v>
      </c>
      <c r="O157" s="64">
        <v>2433415</v>
      </c>
      <c r="P157" s="64">
        <v>218909</v>
      </c>
      <c r="Q157" s="64">
        <v>12978</v>
      </c>
      <c r="R157" s="62">
        <v>442099</v>
      </c>
      <c r="S157" s="104">
        <v>45427</v>
      </c>
      <c r="T157" s="103">
        <v>501329</v>
      </c>
      <c r="U157" s="72">
        <v>-39462.53</v>
      </c>
      <c r="V157" s="72">
        <v>0</v>
      </c>
    </row>
    <row r="158" spans="1:22">
      <c r="A158" s="14" t="s">
        <v>1017</v>
      </c>
      <c r="B158" s="15" t="s">
        <v>1018</v>
      </c>
      <c r="C158" s="14" t="s">
        <v>1220</v>
      </c>
      <c r="D158" s="14">
        <v>50</v>
      </c>
      <c r="E158" s="15" t="s">
        <v>875</v>
      </c>
      <c r="F158" s="15" t="s">
        <v>880</v>
      </c>
      <c r="G158" s="14" t="s">
        <v>881</v>
      </c>
      <c r="H158" s="14"/>
      <c r="I158" s="14"/>
      <c r="J158" s="16">
        <v>244.39</v>
      </c>
      <c r="K158" s="66">
        <v>84351</v>
      </c>
      <c r="L158" s="66">
        <v>386271</v>
      </c>
      <c r="M158" s="66">
        <v>253335</v>
      </c>
      <c r="N158" s="101">
        <v>191695</v>
      </c>
      <c r="O158" s="64">
        <v>1580890</v>
      </c>
      <c r="P158" s="64">
        <v>124947</v>
      </c>
      <c r="Q158" s="64">
        <v>12004</v>
      </c>
      <c r="R158" s="62">
        <v>54815</v>
      </c>
      <c r="S158" s="104">
        <v>59035</v>
      </c>
      <c r="T158" s="103">
        <v>201473</v>
      </c>
      <c r="U158" s="72">
        <v>-29950.98</v>
      </c>
      <c r="V158" s="72">
        <v>0</v>
      </c>
    </row>
    <row r="159" spans="1:22">
      <c r="A159" s="14" t="s">
        <v>1017</v>
      </c>
      <c r="B159" s="15" t="s">
        <v>1018</v>
      </c>
      <c r="C159" s="14" t="s">
        <v>1220</v>
      </c>
      <c r="D159" s="14">
        <v>50</v>
      </c>
      <c r="E159" s="15" t="s">
        <v>875</v>
      </c>
      <c r="F159" s="15" t="s">
        <v>882</v>
      </c>
      <c r="G159" s="14" t="s">
        <v>883</v>
      </c>
      <c r="H159" s="14"/>
      <c r="I159" s="14"/>
      <c r="J159" s="16">
        <v>313.33</v>
      </c>
      <c r="K159" s="66">
        <v>304379</v>
      </c>
      <c r="L159" s="66">
        <v>239194</v>
      </c>
      <c r="M159" s="66">
        <v>129708</v>
      </c>
      <c r="N159" s="101">
        <v>53833</v>
      </c>
      <c r="O159" s="64">
        <v>2297535</v>
      </c>
      <c r="P159" s="64">
        <v>103253</v>
      </c>
      <c r="Q159" s="64">
        <v>146346</v>
      </c>
      <c r="R159" s="62">
        <v>90249</v>
      </c>
      <c r="S159" s="104">
        <v>65397</v>
      </c>
      <c r="T159" s="103">
        <v>186226</v>
      </c>
      <c r="U159" s="72">
        <v>-23505.29</v>
      </c>
      <c r="V159" s="72">
        <v>-4555</v>
      </c>
    </row>
    <row r="160" spans="1:22">
      <c r="A160" s="14" t="s">
        <v>1017</v>
      </c>
      <c r="B160" s="15" t="s">
        <v>1018</v>
      </c>
      <c r="C160" s="14" t="s">
        <v>1220</v>
      </c>
      <c r="D160" s="14">
        <v>50</v>
      </c>
      <c r="E160" s="15" t="s">
        <v>875</v>
      </c>
      <c r="F160" s="15" t="s">
        <v>884</v>
      </c>
      <c r="G160" s="14" t="s">
        <v>885</v>
      </c>
      <c r="H160" s="14"/>
      <c r="I160" s="14"/>
      <c r="J160" s="16">
        <v>642.08000000000004</v>
      </c>
      <c r="K160" s="66">
        <v>435182</v>
      </c>
      <c r="L160" s="66">
        <v>181541</v>
      </c>
      <c r="M160" s="66">
        <v>317180</v>
      </c>
      <c r="N160" s="101">
        <v>78147</v>
      </c>
      <c r="O160" s="64">
        <v>4416573</v>
      </c>
      <c r="P160" s="64">
        <v>234045</v>
      </c>
      <c r="Q160" s="64">
        <v>105299</v>
      </c>
      <c r="R160" s="62">
        <v>112552</v>
      </c>
      <c r="S160" s="104">
        <v>83094</v>
      </c>
      <c r="T160" s="103">
        <v>216476</v>
      </c>
      <c r="U160" s="72">
        <v>-58424.1</v>
      </c>
      <c r="V160" s="72">
        <v>0</v>
      </c>
    </row>
    <row r="161" spans="1:22">
      <c r="A161" s="14" t="s">
        <v>1166</v>
      </c>
      <c r="B161" s="15" t="s">
        <v>1167</v>
      </c>
      <c r="C161" s="14" t="s">
        <v>1220</v>
      </c>
      <c r="D161" s="14">
        <v>51</v>
      </c>
      <c r="E161" s="15" t="s">
        <v>886</v>
      </c>
      <c r="F161" s="15" t="s">
        <v>887</v>
      </c>
      <c r="G161" s="14" t="s">
        <v>888</v>
      </c>
      <c r="H161" s="14"/>
      <c r="I161" s="14"/>
      <c r="J161" s="16">
        <v>430.21</v>
      </c>
      <c r="K161" s="66">
        <v>503225</v>
      </c>
      <c r="L161" s="66">
        <v>41853</v>
      </c>
      <c r="M161" s="66">
        <v>360651</v>
      </c>
      <c r="N161" s="101">
        <v>34470</v>
      </c>
      <c r="O161" s="64">
        <v>3798166</v>
      </c>
      <c r="P161" s="64">
        <v>296240</v>
      </c>
      <c r="Q161" s="64">
        <v>89040</v>
      </c>
      <c r="R161" s="62">
        <v>99686</v>
      </c>
      <c r="S161" s="104">
        <v>71745</v>
      </c>
      <c r="T161" s="103">
        <v>169510</v>
      </c>
      <c r="U161" s="72">
        <v>-22202.23</v>
      </c>
      <c r="V161" s="72">
        <v>0</v>
      </c>
    </row>
    <row r="162" spans="1:22">
      <c r="A162" s="14" t="s">
        <v>1092</v>
      </c>
      <c r="B162" s="15" t="s">
        <v>1093</v>
      </c>
      <c r="C162" s="14" t="s">
        <v>1220</v>
      </c>
      <c r="D162" s="14">
        <v>52</v>
      </c>
      <c r="E162" s="15" t="s">
        <v>889</v>
      </c>
      <c r="F162" s="15" t="s">
        <v>890</v>
      </c>
      <c r="G162" s="14" t="s">
        <v>891</v>
      </c>
      <c r="H162" s="14"/>
      <c r="I162" s="14"/>
      <c r="J162" s="16">
        <v>301.49</v>
      </c>
      <c r="K162" s="66">
        <v>230143</v>
      </c>
      <c r="L162" s="66">
        <v>434400</v>
      </c>
      <c r="M162" s="66">
        <v>302013</v>
      </c>
      <c r="N162" s="101">
        <v>74831</v>
      </c>
      <c r="O162" s="64">
        <v>1969094</v>
      </c>
      <c r="P162" s="64">
        <v>200647</v>
      </c>
      <c r="Q162" s="64">
        <v>64518</v>
      </c>
      <c r="R162" s="62">
        <v>118832</v>
      </c>
      <c r="S162" s="104">
        <v>41258</v>
      </c>
      <c r="T162" s="103">
        <v>377258</v>
      </c>
      <c r="U162" s="72">
        <v>-21450.13</v>
      </c>
      <c r="V162" s="72">
        <v>0</v>
      </c>
    </row>
    <row r="163" spans="1:22">
      <c r="A163" s="14" t="s">
        <v>1092</v>
      </c>
      <c r="B163" s="15" t="s">
        <v>1093</v>
      </c>
      <c r="C163" s="14" t="s">
        <v>1220</v>
      </c>
      <c r="D163" s="14">
        <v>52</v>
      </c>
      <c r="E163" s="15" t="s">
        <v>889</v>
      </c>
      <c r="F163" s="15" t="s">
        <v>892</v>
      </c>
      <c r="G163" s="14" t="s">
        <v>893</v>
      </c>
      <c r="H163" s="14"/>
      <c r="I163" s="14"/>
      <c r="J163" s="16">
        <v>1898.47</v>
      </c>
      <c r="K163" s="66">
        <v>1702613</v>
      </c>
      <c r="L163" s="66">
        <v>610204</v>
      </c>
      <c r="M163" s="66">
        <v>1888645</v>
      </c>
      <c r="N163" s="101">
        <v>230375</v>
      </c>
      <c r="O163" s="64">
        <v>12364332</v>
      </c>
      <c r="P163" s="64">
        <v>1064559</v>
      </c>
      <c r="Q163" s="64">
        <v>113824</v>
      </c>
      <c r="R163" s="62">
        <v>363811</v>
      </c>
      <c r="S163" s="104">
        <v>237975</v>
      </c>
      <c r="T163" s="103">
        <v>728448</v>
      </c>
      <c r="U163" s="72">
        <v>-241164.39</v>
      </c>
      <c r="V163" s="72">
        <v>0</v>
      </c>
    </row>
    <row r="164" spans="1:22">
      <c r="A164" s="14" t="s">
        <v>1166</v>
      </c>
      <c r="B164" s="15" t="s">
        <v>1167</v>
      </c>
      <c r="C164" s="14" t="s">
        <v>1220</v>
      </c>
      <c r="D164" s="14">
        <v>53</v>
      </c>
      <c r="E164" s="15" t="s">
        <v>894</v>
      </c>
      <c r="F164" s="15" t="s">
        <v>895</v>
      </c>
      <c r="G164" s="14" t="s">
        <v>896</v>
      </c>
      <c r="H164" s="14"/>
      <c r="I164" s="14"/>
      <c r="J164" s="16">
        <v>660.43</v>
      </c>
      <c r="K164" s="66">
        <v>174879</v>
      </c>
      <c r="L164" s="66">
        <v>711528</v>
      </c>
      <c r="M164" s="66">
        <v>192887</v>
      </c>
      <c r="N164" s="101">
        <v>127538</v>
      </c>
      <c r="O164" s="64">
        <v>4545642</v>
      </c>
      <c r="P164" s="64">
        <v>365066</v>
      </c>
      <c r="Q164" s="64">
        <v>62062</v>
      </c>
      <c r="R164" s="62">
        <v>133984</v>
      </c>
      <c r="S164" s="104">
        <v>145434</v>
      </c>
      <c r="T164" s="103">
        <v>231894</v>
      </c>
      <c r="U164" s="72">
        <v>-24413.74</v>
      </c>
      <c r="V164" s="72">
        <v>0</v>
      </c>
    </row>
    <row r="165" spans="1:22">
      <c r="A165" s="14" t="s">
        <v>1166</v>
      </c>
      <c r="B165" s="15" t="s">
        <v>1167</v>
      </c>
      <c r="C165" s="14" t="s">
        <v>1220</v>
      </c>
      <c r="D165" s="14">
        <v>53</v>
      </c>
      <c r="E165" s="15" t="s">
        <v>894</v>
      </c>
      <c r="F165" s="15" t="s">
        <v>897</v>
      </c>
      <c r="G165" s="14" t="s">
        <v>898</v>
      </c>
      <c r="H165" s="14"/>
      <c r="I165" s="14"/>
      <c r="J165" s="16">
        <v>215.2</v>
      </c>
      <c r="K165" s="66">
        <v>198126</v>
      </c>
      <c r="L165" s="66">
        <v>9304</v>
      </c>
      <c r="M165" s="66">
        <v>118713</v>
      </c>
      <c r="N165" s="101">
        <v>21107</v>
      </c>
      <c r="O165" s="64">
        <v>1232310</v>
      </c>
      <c r="P165" s="64">
        <v>-7941</v>
      </c>
      <c r="Q165" s="64">
        <v>20194</v>
      </c>
      <c r="R165" s="62">
        <v>81349</v>
      </c>
      <c r="S165" s="104">
        <v>33203</v>
      </c>
      <c r="T165" s="103">
        <v>51023</v>
      </c>
      <c r="U165" s="72">
        <v>-24671.97</v>
      </c>
      <c r="V165" s="72">
        <v>0</v>
      </c>
    </row>
    <row r="166" spans="1:22">
      <c r="A166" s="14" t="s">
        <v>1166</v>
      </c>
      <c r="B166" s="15" t="s">
        <v>1167</v>
      </c>
      <c r="C166" s="14" t="s">
        <v>1220</v>
      </c>
      <c r="D166" s="14">
        <v>53</v>
      </c>
      <c r="E166" s="15" t="s">
        <v>894</v>
      </c>
      <c r="F166" s="15" t="s">
        <v>899</v>
      </c>
      <c r="G166" s="14" t="s">
        <v>900</v>
      </c>
      <c r="H166" s="14"/>
      <c r="I166" s="14"/>
      <c r="J166" s="16">
        <v>192.53</v>
      </c>
      <c r="K166" s="66">
        <v>117906</v>
      </c>
      <c r="L166" s="66">
        <v>7582</v>
      </c>
      <c r="M166" s="66">
        <v>158314</v>
      </c>
      <c r="N166" s="101">
        <v>7844</v>
      </c>
      <c r="O166" s="64">
        <v>1334213</v>
      </c>
      <c r="P166" s="64">
        <v>68060</v>
      </c>
      <c r="Q166" s="64">
        <v>31831</v>
      </c>
      <c r="R166" s="62">
        <v>73147</v>
      </c>
      <c r="S166" s="104">
        <v>37189</v>
      </c>
      <c r="T166" s="103">
        <v>45458</v>
      </c>
      <c r="U166" s="72">
        <v>-7334.49</v>
      </c>
      <c r="V166" s="72">
        <v>0</v>
      </c>
    </row>
    <row r="167" spans="1:22">
      <c r="A167" s="14" t="s">
        <v>1166</v>
      </c>
      <c r="B167" s="15" t="s">
        <v>1167</v>
      </c>
      <c r="C167" s="14" t="s">
        <v>1220</v>
      </c>
      <c r="D167" s="14">
        <v>53</v>
      </c>
      <c r="E167" s="15" t="s">
        <v>894</v>
      </c>
      <c r="F167" s="15" t="s">
        <v>901</v>
      </c>
      <c r="G167" s="14" t="s">
        <v>902</v>
      </c>
      <c r="H167" s="14"/>
      <c r="I167" s="14"/>
      <c r="J167" s="16">
        <v>183.9</v>
      </c>
      <c r="K167" s="66">
        <v>155479</v>
      </c>
      <c r="L167" s="66">
        <v>10594</v>
      </c>
      <c r="M167" s="66">
        <v>263781</v>
      </c>
      <c r="N167" s="101">
        <v>20623</v>
      </c>
      <c r="O167" s="64">
        <v>845467</v>
      </c>
      <c r="P167" s="64">
        <v>114908</v>
      </c>
      <c r="Q167" s="64">
        <v>16840</v>
      </c>
      <c r="R167" s="62">
        <v>25699</v>
      </c>
      <c r="S167" s="104">
        <v>19762</v>
      </c>
      <c r="T167" s="103">
        <v>35452</v>
      </c>
      <c r="U167" s="72">
        <v>-18275.14</v>
      </c>
      <c r="V167" s="72">
        <v>0</v>
      </c>
    </row>
    <row r="168" spans="1:22">
      <c r="A168" s="14" t="s">
        <v>1166</v>
      </c>
      <c r="B168" s="15" t="s">
        <v>1167</v>
      </c>
      <c r="C168" s="14" t="s">
        <v>1220</v>
      </c>
      <c r="D168" s="14">
        <v>53</v>
      </c>
      <c r="E168" s="15" t="s">
        <v>894</v>
      </c>
      <c r="F168" s="15" t="s">
        <v>729</v>
      </c>
      <c r="G168" s="14" t="s">
        <v>730</v>
      </c>
      <c r="H168" s="14"/>
      <c r="I168" s="14"/>
      <c r="J168" s="16">
        <v>2191.33</v>
      </c>
      <c r="K168" s="66">
        <v>884929</v>
      </c>
      <c r="L168" s="66">
        <v>1479526</v>
      </c>
      <c r="M168" s="66">
        <v>628595</v>
      </c>
      <c r="N168" s="101">
        <v>930635</v>
      </c>
      <c r="O168" s="64">
        <v>15534140</v>
      </c>
      <c r="P168" s="64">
        <v>1641746</v>
      </c>
      <c r="Q168" s="64">
        <v>490493</v>
      </c>
      <c r="R168" s="62">
        <v>1207146</v>
      </c>
      <c r="S168" s="104">
        <v>888167</v>
      </c>
      <c r="T168" s="103">
        <v>1151063</v>
      </c>
      <c r="U168" s="72">
        <v>-188838.42</v>
      </c>
      <c r="V168" s="72">
        <v>-448337.81</v>
      </c>
    </row>
    <row r="169" spans="1:22">
      <c r="A169" s="14" t="s">
        <v>1017</v>
      </c>
      <c r="B169" s="15" t="s">
        <v>1018</v>
      </c>
      <c r="C169" s="14" t="s">
        <v>1220</v>
      </c>
      <c r="D169" s="14">
        <v>55</v>
      </c>
      <c r="E169" s="15" t="s">
        <v>1033</v>
      </c>
      <c r="F169" s="15" t="s">
        <v>731</v>
      </c>
      <c r="G169" s="14" t="s">
        <v>732</v>
      </c>
      <c r="H169" s="14"/>
      <c r="I169" s="14"/>
      <c r="J169" s="16">
        <v>1629.9</v>
      </c>
      <c r="K169" s="66">
        <v>393440</v>
      </c>
      <c r="L169" s="66">
        <v>1826965</v>
      </c>
      <c r="M169" s="66">
        <v>631249</v>
      </c>
      <c r="N169" s="101">
        <v>710215</v>
      </c>
      <c r="O169" s="64">
        <v>9906399</v>
      </c>
      <c r="P169" s="64">
        <v>672410</v>
      </c>
      <c r="Q169" s="64">
        <v>34148</v>
      </c>
      <c r="R169" s="62">
        <v>108775</v>
      </c>
      <c r="S169" s="104">
        <v>135897</v>
      </c>
      <c r="T169" s="103">
        <v>929910</v>
      </c>
      <c r="U169" s="72">
        <v>-152848.59</v>
      </c>
      <c r="V169" s="72">
        <v>-4781.58</v>
      </c>
    </row>
    <row r="170" spans="1:22">
      <c r="A170" s="14" t="s">
        <v>1017</v>
      </c>
      <c r="B170" s="15" t="s">
        <v>1018</v>
      </c>
      <c r="C170" s="14" t="s">
        <v>1220</v>
      </c>
      <c r="D170" s="14">
        <v>55</v>
      </c>
      <c r="E170" s="15" t="s">
        <v>1033</v>
      </c>
      <c r="F170" s="15" t="s">
        <v>733</v>
      </c>
      <c r="G170" s="14" t="s">
        <v>734</v>
      </c>
      <c r="H170" s="14"/>
      <c r="I170" s="14"/>
      <c r="J170" s="16">
        <v>1241.73</v>
      </c>
      <c r="K170" s="66">
        <v>387312</v>
      </c>
      <c r="L170" s="66">
        <v>821629</v>
      </c>
      <c r="M170" s="66">
        <v>547047</v>
      </c>
      <c r="N170" s="101">
        <v>645187</v>
      </c>
      <c r="O170" s="64">
        <v>6789059</v>
      </c>
      <c r="P170" s="64">
        <v>468678</v>
      </c>
      <c r="Q170" s="64">
        <v>42172</v>
      </c>
      <c r="R170" s="62">
        <v>98365</v>
      </c>
      <c r="S170" s="104">
        <v>119838</v>
      </c>
      <c r="T170" s="103">
        <v>547991</v>
      </c>
      <c r="U170" s="72">
        <v>-74250.89</v>
      </c>
      <c r="V170" s="72">
        <v>0</v>
      </c>
    </row>
    <row r="171" spans="1:22">
      <c r="A171" s="14" t="s">
        <v>1017</v>
      </c>
      <c r="B171" s="15" t="s">
        <v>1018</v>
      </c>
      <c r="C171" s="14" t="s">
        <v>1220</v>
      </c>
      <c r="D171" s="14">
        <v>55</v>
      </c>
      <c r="E171" s="15" t="s">
        <v>1033</v>
      </c>
      <c r="F171" s="15" t="s">
        <v>735</v>
      </c>
      <c r="G171" s="14" t="s">
        <v>736</v>
      </c>
      <c r="H171" s="14"/>
      <c r="I171" s="14"/>
      <c r="J171" s="16">
        <v>1792.52</v>
      </c>
      <c r="K171" s="66">
        <v>1144188</v>
      </c>
      <c r="L171" s="66">
        <v>1174115</v>
      </c>
      <c r="M171" s="66">
        <v>454982</v>
      </c>
      <c r="N171" s="101">
        <v>210662</v>
      </c>
      <c r="O171" s="64">
        <v>11587559</v>
      </c>
      <c r="P171" s="64">
        <v>718760</v>
      </c>
      <c r="Q171" s="64">
        <v>56259</v>
      </c>
      <c r="R171" s="62">
        <v>207322</v>
      </c>
      <c r="S171" s="104">
        <v>212440</v>
      </c>
      <c r="T171" s="103">
        <v>1095346</v>
      </c>
      <c r="U171" s="72">
        <v>-71459.78</v>
      </c>
      <c r="V171" s="72">
        <v>0</v>
      </c>
    </row>
    <row r="172" spans="1:22">
      <c r="A172" s="14" t="s">
        <v>1017</v>
      </c>
      <c r="B172" s="15" t="s">
        <v>1018</v>
      </c>
      <c r="C172" s="14" t="s">
        <v>1220</v>
      </c>
      <c r="D172" s="14">
        <v>55</v>
      </c>
      <c r="E172" s="15" t="s">
        <v>1033</v>
      </c>
      <c r="F172" s="15" t="s">
        <v>737</v>
      </c>
      <c r="G172" s="14" t="s">
        <v>738</v>
      </c>
      <c r="H172" s="14"/>
      <c r="I172" s="14"/>
      <c r="J172" s="16">
        <v>16049.11</v>
      </c>
      <c r="K172" s="66">
        <v>16635295</v>
      </c>
      <c r="L172" s="66">
        <v>16464525</v>
      </c>
      <c r="M172" s="66">
        <v>4859887</v>
      </c>
      <c r="N172" s="101">
        <v>3977923</v>
      </c>
      <c r="O172" s="64">
        <v>99802420</v>
      </c>
      <c r="P172" s="64">
        <v>9049210</v>
      </c>
      <c r="Q172" s="64">
        <v>3672890</v>
      </c>
      <c r="R172" s="62">
        <v>7770339</v>
      </c>
      <c r="S172" s="104">
        <v>2910049</v>
      </c>
      <c r="T172" s="103">
        <v>8949061</v>
      </c>
      <c r="U172" s="72">
        <v>-1170095.51</v>
      </c>
      <c r="V172" s="72">
        <v>-1880412.37</v>
      </c>
    </row>
    <row r="173" spans="1:22">
      <c r="A173" s="14" t="s">
        <v>1249</v>
      </c>
      <c r="B173" s="15" t="s">
        <v>1250</v>
      </c>
      <c r="C173" s="14" t="s">
        <v>1220</v>
      </c>
      <c r="D173" s="14">
        <v>56</v>
      </c>
      <c r="E173" s="15" t="s">
        <v>739</v>
      </c>
      <c r="F173" s="15" t="s">
        <v>740</v>
      </c>
      <c r="G173" s="14" t="s">
        <v>741</v>
      </c>
      <c r="H173" s="14"/>
      <c r="I173" s="14"/>
      <c r="J173" s="16">
        <v>538.96</v>
      </c>
      <c r="K173" s="66">
        <v>260591</v>
      </c>
      <c r="L173" s="66">
        <v>643433</v>
      </c>
      <c r="M173" s="66">
        <v>261208</v>
      </c>
      <c r="N173" s="101">
        <v>69818</v>
      </c>
      <c r="O173" s="64">
        <v>3371823</v>
      </c>
      <c r="P173" s="64">
        <v>109935</v>
      </c>
      <c r="Q173" s="64">
        <v>16202</v>
      </c>
      <c r="R173" s="62">
        <v>143896</v>
      </c>
      <c r="S173" s="104">
        <v>119949</v>
      </c>
      <c r="T173" s="103">
        <v>235900</v>
      </c>
      <c r="U173" s="72">
        <v>-37163.589999999997</v>
      </c>
      <c r="V173" s="72">
        <v>-200</v>
      </c>
    </row>
    <row r="174" spans="1:22">
      <c r="A174" s="14" t="s">
        <v>1249</v>
      </c>
      <c r="B174" s="15" t="s">
        <v>1250</v>
      </c>
      <c r="C174" s="14" t="s">
        <v>1220</v>
      </c>
      <c r="D174" s="14">
        <v>56</v>
      </c>
      <c r="E174" s="15" t="s">
        <v>739</v>
      </c>
      <c r="F174" s="15" t="s">
        <v>742</v>
      </c>
      <c r="G174" s="14" t="s">
        <v>743</v>
      </c>
      <c r="H174" s="14"/>
      <c r="I174" s="14"/>
      <c r="J174" s="16">
        <v>2620.75</v>
      </c>
      <c r="K174" s="66">
        <v>1847861</v>
      </c>
      <c r="L174" s="66">
        <v>792905</v>
      </c>
      <c r="M174" s="66">
        <v>1258962</v>
      </c>
      <c r="N174" s="101">
        <v>462679</v>
      </c>
      <c r="O174" s="64">
        <v>16980372</v>
      </c>
      <c r="P174" s="64">
        <v>1835283</v>
      </c>
      <c r="Q174" s="64">
        <v>338870</v>
      </c>
      <c r="R174" s="62">
        <v>542163</v>
      </c>
      <c r="S174" s="104">
        <v>315955</v>
      </c>
      <c r="T174" s="103">
        <v>825973</v>
      </c>
      <c r="U174" s="72">
        <v>-221967.92</v>
      </c>
      <c r="V174" s="72">
        <v>-68677.45</v>
      </c>
    </row>
    <row r="175" spans="1:22">
      <c r="A175" s="14" t="s">
        <v>1249</v>
      </c>
      <c r="B175" s="15" t="s">
        <v>1250</v>
      </c>
      <c r="C175" s="14" t="s">
        <v>1220</v>
      </c>
      <c r="D175" s="14">
        <v>56</v>
      </c>
      <c r="E175" s="15" t="s">
        <v>739</v>
      </c>
      <c r="F175" s="15" t="s">
        <v>744</v>
      </c>
      <c r="G175" s="14" t="s">
        <v>745</v>
      </c>
      <c r="H175" s="14"/>
      <c r="I175" s="14"/>
      <c r="J175" s="16">
        <v>379.44</v>
      </c>
      <c r="K175" s="66">
        <v>482778</v>
      </c>
      <c r="L175" s="66">
        <v>355795</v>
      </c>
      <c r="M175" s="66">
        <v>263351</v>
      </c>
      <c r="N175" s="101">
        <v>72822</v>
      </c>
      <c r="O175" s="64">
        <v>2675488</v>
      </c>
      <c r="P175" s="64">
        <v>100639</v>
      </c>
      <c r="Q175" s="64">
        <v>16580</v>
      </c>
      <c r="R175" s="62">
        <v>112924</v>
      </c>
      <c r="S175" s="104">
        <v>84137</v>
      </c>
      <c r="T175" s="103">
        <v>117915</v>
      </c>
      <c r="U175" s="72">
        <v>-33928.32</v>
      </c>
      <c r="V175" s="72">
        <v>0</v>
      </c>
    </row>
    <row r="176" spans="1:22">
      <c r="A176" s="14" t="s">
        <v>1249</v>
      </c>
      <c r="B176" s="15" t="s">
        <v>1250</v>
      </c>
      <c r="C176" s="14" t="s">
        <v>1220</v>
      </c>
      <c r="D176" s="14">
        <v>56</v>
      </c>
      <c r="E176" s="15" t="s">
        <v>739</v>
      </c>
      <c r="F176" s="15" t="s">
        <v>746</v>
      </c>
      <c r="G176" s="14" t="s">
        <v>747</v>
      </c>
      <c r="H176" s="14"/>
      <c r="I176" s="14"/>
      <c r="J176" s="16">
        <v>588.49</v>
      </c>
      <c r="K176" s="66">
        <v>230932</v>
      </c>
      <c r="L176" s="66">
        <v>303942</v>
      </c>
      <c r="M176" s="66">
        <v>293746</v>
      </c>
      <c r="N176" s="101">
        <v>73390</v>
      </c>
      <c r="O176" s="64">
        <v>4049780</v>
      </c>
      <c r="P176" s="64">
        <v>298876</v>
      </c>
      <c r="Q176" s="64">
        <v>20168</v>
      </c>
      <c r="R176" s="62">
        <v>176281</v>
      </c>
      <c r="S176" s="104">
        <v>117741</v>
      </c>
      <c r="T176" s="103">
        <v>136772</v>
      </c>
      <c r="U176" s="72">
        <v>-27149.65</v>
      </c>
      <c r="V176" s="72">
        <v>0</v>
      </c>
    </row>
    <row r="177" spans="1:22">
      <c r="A177" s="14" t="s">
        <v>1249</v>
      </c>
      <c r="B177" s="15" t="s">
        <v>1250</v>
      </c>
      <c r="C177" s="14" t="s">
        <v>1220</v>
      </c>
      <c r="D177" s="14">
        <v>56</v>
      </c>
      <c r="E177" s="15" t="s">
        <v>739</v>
      </c>
      <c r="F177" s="15" t="s">
        <v>748</v>
      </c>
      <c r="G177" s="14" t="s">
        <v>749</v>
      </c>
      <c r="H177" s="14"/>
      <c r="I177" s="14"/>
      <c r="J177" s="16">
        <v>1048.5</v>
      </c>
      <c r="K177" s="66">
        <v>573373</v>
      </c>
      <c r="L177" s="66">
        <v>76674</v>
      </c>
      <c r="M177" s="66">
        <v>352145</v>
      </c>
      <c r="N177" s="101">
        <v>56885</v>
      </c>
      <c r="O177" s="64">
        <v>7041315</v>
      </c>
      <c r="P177" s="64">
        <v>246387</v>
      </c>
      <c r="Q177" s="64">
        <v>165655</v>
      </c>
      <c r="R177" s="62">
        <v>316853</v>
      </c>
      <c r="S177" s="104">
        <v>245593</v>
      </c>
      <c r="T177" s="103">
        <v>210859</v>
      </c>
      <c r="U177" s="72">
        <v>-106411.34</v>
      </c>
      <c r="V177" s="72">
        <v>0</v>
      </c>
    </row>
    <row r="178" spans="1:22">
      <c r="A178" s="14" t="s">
        <v>1249</v>
      </c>
      <c r="B178" s="15" t="s">
        <v>1250</v>
      </c>
      <c r="C178" s="14" t="s">
        <v>1220</v>
      </c>
      <c r="D178" s="14">
        <v>56</v>
      </c>
      <c r="E178" s="15" t="s">
        <v>739</v>
      </c>
      <c r="F178" s="15" t="s">
        <v>750</v>
      </c>
      <c r="G178" s="14" t="s">
        <v>751</v>
      </c>
      <c r="H178" s="14"/>
      <c r="I178" s="14"/>
      <c r="J178" s="16">
        <v>1566.84</v>
      </c>
      <c r="K178" s="66">
        <v>972091</v>
      </c>
      <c r="L178" s="66">
        <v>1083257</v>
      </c>
      <c r="M178" s="66">
        <v>734694</v>
      </c>
      <c r="N178" s="101">
        <v>187435</v>
      </c>
      <c r="O178" s="64">
        <v>10091694</v>
      </c>
      <c r="P178" s="64">
        <v>1015393</v>
      </c>
      <c r="Q178" s="64">
        <v>191409</v>
      </c>
      <c r="R178" s="62">
        <v>321818</v>
      </c>
      <c r="S178" s="104">
        <v>335852</v>
      </c>
      <c r="T178" s="103">
        <v>538907</v>
      </c>
      <c r="U178" s="72">
        <v>-107514.88</v>
      </c>
      <c r="V178" s="72">
        <v>0</v>
      </c>
    </row>
    <row r="179" spans="1:22">
      <c r="A179" s="14" t="s">
        <v>1249</v>
      </c>
      <c r="B179" s="15" t="s">
        <v>1250</v>
      </c>
      <c r="C179" s="14" t="s">
        <v>1220</v>
      </c>
      <c r="D179" s="14">
        <v>56</v>
      </c>
      <c r="E179" s="15" t="s">
        <v>739</v>
      </c>
      <c r="F179" s="15" t="s">
        <v>752</v>
      </c>
      <c r="G179" s="14" t="s">
        <v>753</v>
      </c>
      <c r="H179" s="14"/>
      <c r="I179" s="14"/>
      <c r="J179" s="16">
        <v>516.59</v>
      </c>
      <c r="K179" s="66">
        <v>168425</v>
      </c>
      <c r="L179" s="66">
        <v>512791</v>
      </c>
      <c r="M179" s="66">
        <v>191387</v>
      </c>
      <c r="N179" s="101">
        <v>105985</v>
      </c>
      <c r="O179" s="64">
        <v>3379103</v>
      </c>
      <c r="P179" s="64">
        <v>121186</v>
      </c>
      <c r="Q179" s="64">
        <v>39713</v>
      </c>
      <c r="R179" s="62">
        <v>102986</v>
      </c>
      <c r="S179" s="104">
        <v>119518</v>
      </c>
      <c r="T179" s="103">
        <v>146630</v>
      </c>
      <c r="U179" s="72">
        <v>-33253.96</v>
      </c>
      <c r="V179" s="72">
        <v>0</v>
      </c>
    </row>
    <row r="180" spans="1:22">
      <c r="A180" s="14" t="s">
        <v>1249</v>
      </c>
      <c r="B180" s="15" t="s">
        <v>1250</v>
      </c>
      <c r="C180" s="14" t="s">
        <v>1220</v>
      </c>
      <c r="D180" s="14">
        <v>56</v>
      </c>
      <c r="E180" s="15" t="s">
        <v>739</v>
      </c>
      <c r="F180" s="15" t="s">
        <v>754</v>
      </c>
      <c r="G180" s="14" t="s">
        <v>755</v>
      </c>
      <c r="H180" s="14"/>
      <c r="I180" s="14"/>
      <c r="J180" s="16">
        <v>751.24</v>
      </c>
      <c r="K180" s="66">
        <v>195046</v>
      </c>
      <c r="L180" s="66">
        <v>534500</v>
      </c>
      <c r="M180" s="66">
        <v>391887</v>
      </c>
      <c r="N180" s="101">
        <v>219294</v>
      </c>
      <c r="O180" s="64">
        <v>5065631</v>
      </c>
      <c r="P180" s="64">
        <v>298275</v>
      </c>
      <c r="Q180" s="64">
        <v>26667</v>
      </c>
      <c r="R180" s="62">
        <v>219331</v>
      </c>
      <c r="S180" s="104">
        <v>179604</v>
      </c>
      <c r="T180" s="103">
        <v>207707</v>
      </c>
      <c r="U180" s="72">
        <v>-38837.339999999997</v>
      </c>
      <c r="V180" s="72">
        <v>-7497.91</v>
      </c>
    </row>
    <row r="181" spans="1:22">
      <c r="A181" s="14" t="s">
        <v>961</v>
      </c>
      <c r="B181" s="15" t="s">
        <v>962</v>
      </c>
      <c r="C181" s="14" t="s">
        <v>1220</v>
      </c>
      <c r="D181" s="14">
        <v>57</v>
      </c>
      <c r="E181" s="15" t="s">
        <v>756</v>
      </c>
      <c r="F181" s="15" t="s">
        <v>757</v>
      </c>
      <c r="G181" s="14" t="s">
        <v>758</v>
      </c>
      <c r="H181" s="14"/>
      <c r="I181" s="14"/>
      <c r="J181" s="16">
        <v>193.3</v>
      </c>
      <c r="K181" s="66">
        <v>92464</v>
      </c>
      <c r="L181" s="66">
        <v>1079</v>
      </c>
      <c r="M181" s="66">
        <v>206141</v>
      </c>
      <c r="N181" s="101">
        <v>29753</v>
      </c>
      <c r="O181" s="64">
        <v>2031651</v>
      </c>
      <c r="P181" s="64">
        <v>111098</v>
      </c>
      <c r="Q181" s="64">
        <v>21407</v>
      </c>
      <c r="R181" s="62">
        <v>101276</v>
      </c>
      <c r="S181" s="104">
        <v>56559</v>
      </c>
      <c r="T181" s="103">
        <v>36563</v>
      </c>
      <c r="U181" s="72">
        <v>-19980.580000000002</v>
      </c>
      <c r="V181" s="72">
        <v>0</v>
      </c>
    </row>
    <row r="182" spans="1:22">
      <c r="A182" s="14" t="s">
        <v>961</v>
      </c>
      <c r="B182" s="15" t="s">
        <v>962</v>
      </c>
      <c r="C182" s="14" t="s">
        <v>1220</v>
      </c>
      <c r="D182" s="14">
        <v>57</v>
      </c>
      <c r="E182" s="15" t="s">
        <v>756</v>
      </c>
      <c r="F182" s="15" t="s">
        <v>759</v>
      </c>
      <c r="G182" s="14" t="s">
        <v>760</v>
      </c>
      <c r="H182" s="14"/>
      <c r="I182" s="14"/>
      <c r="J182" s="16">
        <v>2037.94</v>
      </c>
      <c r="K182" s="66">
        <v>1181629</v>
      </c>
      <c r="L182" s="66">
        <v>1311437</v>
      </c>
      <c r="M182" s="66">
        <v>907974</v>
      </c>
      <c r="N182" s="101">
        <v>552670</v>
      </c>
      <c r="O182" s="64">
        <v>14196715</v>
      </c>
      <c r="P182" s="64">
        <v>874899</v>
      </c>
      <c r="Q182" s="64">
        <v>204223</v>
      </c>
      <c r="R182" s="62">
        <v>907009</v>
      </c>
      <c r="S182" s="104">
        <v>305133</v>
      </c>
      <c r="T182" s="103">
        <v>837405</v>
      </c>
      <c r="U182" s="72">
        <v>-219182.05</v>
      </c>
      <c r="V182" s="72">
        <v>-24912.13</v>
      </c>
    </row>
    <row r="183" spans="1:22">
      <c r="A183" s="14" t="s">
        <v>1146</v>
      </c>
      <c r="B183" s="15" t="s">
        <v>1147</v>
      </c>
      <c r="C183" s="14" t="s">
        <v>1220</v>
      </c>
      <c r="D183" s="14">
        <v>58</v>
      </c>
      <c r="E183" s="15" t="s">
        <v>761</v>
      </c>
      <c r="F183" s="15" t="s">
        <v>762</v>
      </c>
      <c r="G183" s="14" t="s">
        <v>763</v>
      </c>
      <c r="H183" s="14"/>
      <c r="I183" s="14"/>
      <c r="J183" s="16">
        <v>446.12</v>
      </c>
      <c r="K183" s="66">
        <v>200257</v>
      </c>
      <c r="L183" s="66">
        <v>564625</v>
      </c>
      <c r="M183" s="66">
        <v>185774</v>
      </c>
      <c r="N183" s="101">
        <v>90682</v>
      </c>
      <c r="O183" s="64">
        <v>3262125</v>
      </c>
      <c r="P183" s="64">
        <v>247558</v>
      </c>
      <c r="Q183" s="64">
        <v>-4130</v>
      </c>
      <c r="R183" s="62">
        <v>294319</v>
      </c>
      <c r="S183" s="104">
        <v>112465</v>
      </c>
      <c r="T183" s="103">
        <v>169843</v>
      </c>
      <c r="U183" s="72">
        <v>-27173.599999999999</v>
      </c>
      <c r="V183" s="72">
        <v>-3000</v>
      </c>
    </row>
    <row r="184" spans="1:22">
      <c r="A184" s="14" t="s">
        <v>1146</v>
      </c>
      <c r="B184" s="15" t="s">
        <v>1147</v>
      </c>
      <c r="C184" s="14" t="s">
        <v>1220</v>
      </c>
      <c r="D184" s="14">
        <v>58</v>
      </c>
      <c r="E184" s="15" t="s">
        <v>761</v>
      </c>
      <c r="F184" s="15" t="s">
        <v>764</v>
      </c>
      <c r="G184" s="14" t="s">
        <v>765</v>
      </c>
      <c r="H184" s="14"/>
      <c r="I184" s="14"/>
      <c r="J184" s="16">
        <v>1655.07</v>
      </c>
      <c r="K184" s="66">
        <v>1653110</v>
      </c>
      <c r="L184" s="66">
        <v>317512</v>
      </c>
      <c r="M184" s="66">
        <v>795155</v>
      </c>
      <c r="N184" s="101">
        <v>154557</v>
      </c>
      <c r="O184" s="64">
        <v>10869712</v>
      </c>
      <c r="P184" s="64">
        <v>1049549</v>
      </c>
      <c r="Q184" s="64">
        <v>105686</v>
      </c>
      <c r="R184" s="62">
        <v>431429</v>
      </c>
      <c r="S184" s="104">
        <v>304838</v>
      </c>
      <c r="T184" s="103">
        <v>492765</v>
      </c>
      <c r="U184" s="72">
        <v>-101607.2</v>
      </c>
      <c r="V184" s="72">
        <v>-36091.49</v>
      </c>
    </row>
    <row r="185" spans="1:22">
      <c r="A185" s="14" t="s">
        <v>1166</v>
      </c>
      <c r="B185" s="15" t="s">
        <v>1167</v>
      </c>
      <c r="C185" s="14" t="s">
        <v>1220</v>
      </c>
      <c r="D185" s="14">
        <v>59</v>
      </c>
      <c r="E185" s="15" t="s">
        <v>766</v>
      </c>
      <c r="F185" s="15" t="s">
        <v>767</v>
      </c>
      <c r="G185" s="14" t="s">
        <v>768</v>
      </c>
      <c r="H185" s="14"/>
      <c r="I185" s="14"/>
      <c r="J185" s="16">
        <v>295.35000000000002</v>
      </c>
      <c r="K185" s="66">
        <v>300625</v>
      </c>
      <c r="L185" s="66">
        <v>18859</v>
      </c>
      <c r="M185" s="66">
        <v>92701</v>
      </c>
      <c r="N185" s="101">
        <v>75772</v>
      </c>
      <c r="O185" s="64">
        <v>2112751</v>
      </c>
      <c r="P185" s="64">
        <v>204292</v>
      </c>
      <c r="Q185" s="64">
        <v>120092</v>
      </c>
      <c r="R185" s="62">
        <v>137215</v>
      </c>
      <c r="S185" s="104">
        <v>59234</v>
      </c>
      <c r="T185" s="103">
        <v>96281</v>
      </c>
      <c r="U185" s="72">
        <v>-33993.33</v>
      </c>
      <c r="V185" s="72">
        <v>0</v>
      </c>
    </row>
    <row r="186" spans="1:22">
      <c r="A186" s="14" t="s">
        <v>961</v>
      </c>
      <c r="B186" s="15" t="s">
        <v>962</v>
      </c>
      <c r="C186" s="14" t="s">
        <v>1220</v>
      </c>
      <c r="D186" s="14">
        <v>60</v>
      </c>
      <c r="E186" s="15" t="s">
        <v>769</v>
      </c>
      <c r="F186" s="15" t="s">
        <v>770</v>
      </c>
      <c r="G186" s="14" t="s">
        <v>771</v>
      </c>
      <c r="H186" s="14"/>
      <c r="I186" s="14"/>
      <c r="J186" s="16">
        <v>136.07</v>
      </c>
      <c r="K186" s="66">
        <v>161208</v>
      </c>
      <c r="L186" s="66">
        <v>6088</v>
      </c>
      <c r="M186" s="66">
        <v>209533</v>
      </c>
      <c r="N186" s="101">
        <v>22158</v>
      </c>
      <c r="O186" s="64">
        <v>1233222</v>
      </c>
      <c r="P186" s="64">
        <v>124442</v>
      </c>
      <c r="Q186" s="64">
        <v>6411</v>
      </c>
      <c r="R186" s="62">
        <v>91593</v>
      </c>
      <c r="S186" s="104">
        <v>43584</v>
      </c>
      <c r="T186" s="103">
        <v>21949</v>
      </c>
      <c r="U186" s="72">
        <v>-18515.05</v>
      </c>
      <c r="V186" s="72">
        <v>0</v>
      </c>
    </row>
    <row r="187" spans="1:22">
      <c r="A187" s="14" t="s">
        <v>961</v>
      </c>
      <c r="B187" s="15" t="s">
        <v>962</v>
      </c>
      <c r="C187" s="14" t="s">
        <v>1220</v>
      </c>
      <c r="D187" s="14">
        <v>60</v>
      </c>
      <c r="E187" s="15" t="s">
        <v>769</v>
      </c>
      <c r="F187" s="15" t="s">
        <v>772</v>
      </c>
      <c r="G187" s="14" t="s">
        <v>773</v>
      </c>
      <c r="H187" s="14"/>
      <c r="I187" s="14"/>
      <c r="J187" s="16">
        <v>1375.02</v>
      </c>
      <c r="K187" s="66">
        <v>446539</v>
      </c>
      <c r="L187" s="66">
        <v>1264411</v>
      </c>
      <c r="M187" s="66">
        <v>711119</v>
      </c>
      <c r="N187" s="101">
        <v>428388</v>
      </c>
      <c r="O187" s="64">
        <v>9918753</v>
      </c>
      <c r="P187" s="64">
        <v>1095877</v>
      </c>
      <c r="Q187" s="64">
        <v>95073</v>
      </c>
      <c r="R187" s="62">
        <v>1197883</v>
      </c>
      <c r="S187" s="104">
        <v>280186</v>
      </c>
      <c r="T187" s="103">
        <v>671335</v>
      </c>
      <c r="U187" s="72">
        <v>-114384.35</v>
      </c>
      <c r="V187" s="72">
        <v>0</v>
      </c>
    </row>
    <row r="188" spans="1:22">
      <c r="A188" s="14" t="s">
        <v>961</v>
      </c>
      <c r="B188" s="15" t="s">
        <v>962</v>
      </c>
      <c r="C188" s="14" t="s">
        <v>1220</v>
      </c>
      <c r="D188" s="14">
        <v>60</v>
      </c>
      <c r="E188" s="15" t="s">
        <v>769</v>
      </c>
      <c r="F188" s="15" t="s">
        <v>774</v>
      </c>
      <c r="G188" s="14" t="s">
        <v>775</v>
      </c>
      <c r="H188" s="14"/>
      <c r="I188" s="14"/>
      <c r="J188" s="16">
        <v>1748.44</v>
      </c>
      <c r="K188" s="66">
        <v>664121</v>
      </c>
      <c r="L188" s="66">
        <v>56506</v>
      </c>
      <c r="M188" s="66">
        <v>638051</v>
      </c>
      <c r="N188" s="101">
        <v>189194</v>
      </c>
      <c r="O188" s="64">
        <v>11233151</v>
      </c>
      <c r="P188" s="64">
        <v>1043868</v>
      </c>
      <c r="Q188" s="64">
        <v>266365</v>
      </c>
      <c r="R188" s="62">
        <v>475977</v>
      </c>
      <c r="S188" s="104">
        <v>297676</v>
      </c>
      <c r="T188" s="103">
        <v>637539</v>
      </c>
      <c r="U188" s="72">
        <v>-119040.62</v>
      </c>
      <c r="V188" s="72">
        <v>0</v>
      </c>
    </row>
    <row r="189" spans="1:22">
      <c r="A189" s="14" t="s">
        <v>961</v>
      </c>
      <c r="B189" s="15" t="s">
        <v>962</v>
      </c>
      <c r="C189" s="14" t="s">
        <v>1220</v>
      </c>
      <c r="D189" s="14">
        <v>60</v>
      </c>
      <c r="E189" s="15" t="s">
        <v>769</v>
      </c>
      <c r="F189" s="15" t="s">
        <v>776</v>
      </c>
      <c r="G189" s="14" t="s">
        <v>777</v>
      </c>
      <c r="H189" s="14"/>
      <c r="I189" s="14"/>
      <c r="J189" s="16">
        <v>489.1</v>
      </c>
      <c r="K189" s="66">
        <v>329937</v>
      </c>
      <c r="L189" s="66">
        <v>271667</v>
      </c>
      <c r="M189" s="66">
        <v>262591</v>
      </c>
      <c r="N189" s="101">
        <v>66939</v>
      </c>
      <c r="O189" s="64">
        <v>3931885</v>
      </c>
      <c r="P189" s="64">
        <v>402826</v>
      </c>
      <c r="Q189" s="64">
        <v>903</v>
      </c>
      <c r="R189" s="62">
        <v>181245</v>
      </c>
      <c r="S189" s="104">
        <v>100030</v>
      </c>
      <c r="T189" s="103">
        <v>104059</v>
      </c>
      <c r="U189" s="72">
        <v>-27423.1</v>
      </c>
      <c r="V189" s="72">
        <v>0</v>
      </c>
    </row>
    <row r="190" spans="1:22">
      <c r="A190" s="14" t="s">
        <v>961</v>
      </c>
      <c r="B190" s="15" t="s">
        <v>962</v>
      </c>
      <c r="C190" s="14" t="s">
        <v>1220</v>
      </c>
      <c r="D190" s="14">
        <v>60</v>
      </c>
      <c r="E190" s="15" t="s">
        <v>769</v>
      </c>
      <c r="F190" s="15" t="s">
        <v>778</v>
      </c>
      <c r="G190" s="14" t="s">
        <v>779</v>
      </c>
      <c r="H190" s="14"/>
      <c r="I190" s="14"/>
      <c r="J190" s="16">
        <v>297.91000000000003</v>
      </c>
      <c r="K190" s="66">
        <v>204423</v>
      </c>
      <c r="L190" s="66">
        <v>268228</v>
      </c>
      <c r="M190" s="66">
        <v>132322</v>
      </c>
      <c r="N190" s="101">
        <v>34882</v>
      </c>
      <c r="O190" s="64">
        <v>2157585</v>
      </c>
      <c r="P190" s="64">
        <v>149021</v>
      </c>
      <c r="Q190" s="64">
        <v>18735</v>
      </c>
      <c r="R190" s="62">
        <v>108364</v>
      </c>
      <c r="S190" s="104">
        <v>62110</v>
      </c>
      <c r="T190" s="103">
        <v>203187</v>
      </c>
      <c r="U190" s="72">
        <v>-43653.5</v>
      </c>
      <c r="V190" s="72">
        <v>0</v>
      </c>
    </row>
    <row r="191" spans="1:22">
      <c r="A191" s="14" t="s">
        <v>961</v>
      </c>
      <c r="B191" s="15" t="s">
        <v>962</v>
      </c>
      <c r="C191" s="14" t="s">
        <v>1220</v>
      </c>
      <c r="D191" s="14">
        <v>60</v>
      </c>
      <c r="E191" s="15" t="s">
        <v>769</v>
      </c>
      <c r="F191" s="15" t="s">
        <v>780</v>
      </c>
      <c r="G191" s="14" t="s">
        <v>781</v>
      </c>
      <c r="H191" s="14"/>
      <c r="I191" s="14"/>
      <c r="J191" s="16">
        <v>654.35</v>
      </c>
      <c r="K191" s="66">
        <v>553854</v>
      </c>
      <c r="L191" s="66">
        <v>402761</v>
      </c>
      <c r="M191" s="66">
        <v>417830</v>
      </c>
      <c r="N191" s="101">
        <v>260031</v>
      </c>
      <c r="O191" s="64">
        <v>5042281</v>
      </c>
      <c r="P191" s="64">
        <v>470628</v>
      </c>
      <c r="Q191" s="64">
        <v>57595</v>
      </c>
      <c r="R191" s="62">
        <v>203552</v>
      </c>
      <c r="S191" s="104">
        <v>152074</v>
      </c>
      <c r="T191" s="103">
        <v>145305</v>
      </c>
      <c r="U191" s="72">
        <v>-42984.58</v>
      </c>
      <c r="V191" s="72">
        <v>0</v>
      </c>
    </row>
    <row r="192" spans="1:22">
      <c r="A192" s="14" t="s">
        <v>1249</v>
      </c>
      <c r="B192" s="15" t="s">
        <v>1250</v>
      </c>
      <c r="C192" s="14" t="s">
        <v>1220</v>
      </c>
      <c r="D192" s="14">
        <v>61</v>
      </c>
      <c r="E192" s="15" t="s">
        <v>782</v>
      </c>
      <c r="F192" s="15" t="s">
        <v>783</v>
      </c>
      <c r="G192" s="14" t="s">
        <v>784</v>
      </c>
      <c r="H192" s="14"/>
      <c r="I192" s="14"/>
      <c r="J192" s="16">
        <v>116.95</v>
      </c>
      <c r="K192" s="66">
        <v>114853</v>
      </c>
      <c r="L192" s="66">
        <v>8563</v>
      </c>
      <c r="M192" s="66">
        <v>22424</v>
      </c>
      <c r="N192" s="101">
        <v>24638</v>
      </c>
      <c r="O192" s="64">
        <v>772269</v>
      </c>
      <c r="P192" s="64">
        <v>4770</v>
      </c>
      <c r="Q192" s="64">
        <v>10228</v>
      </c>
      <c r="R192" s="62">
        <v>48957</v>
      </c>
      <c r="S192" s="104">
        <v>27002</v>
      </c>
      <c r="T192" s="103">
        <v>91424</v>
      </c>
      <c r="U192" s="72">
        <v>-17038.259999999998</v>
      </c>
      <c r="V192" s="72">
        <v>0</v>
      </c>
    </row>
    <row r="193" spans="1:22">
      <c r="A193" s="14" t="s">
        <v>1224</v>
      </c>
      <c r="B193" s="15" t="s">
        <v>1225</v>
      </c>
      <c r="C193" s="14" t="s">
        <v>1220</v>
      </c>
      <c r="D193" s="14">
        <v>62</v>
      </c>
      <c r="E193" s="15" t="s">
        <v>785</v>
      </c>
      <c r="F193" s="15" t="s">
        <v>786</v>
      </c>
      <c r="G193" s="14" t="s">
        <v>787</v>
      </c>
      <c r="H193" s="14"/>
      <c r="I193" s="14"/>
      <c r="J193" s="16">
        <v>10437.969999999999</v>
      </c>
      <c r="K193" s="66">
        <v>16904272</v>
      </c>
      <c r="L193" s="66">
        <v>13558548</v>
      </c>
      <c r="M193" s="66">
        <v>5181295</v>
      </c>
      <c r="N193" s="101">
        <v>998941</v>
      </c>
      <c r="O193" s="64">
        <v>63387825</v>
      </c>
      <c r="P193" s="64">
        <v>10082948</v>
      </c>
      <c r="Q193" s="64">
        <v>1223068</v>
      </c>
      <c r="R193" s="62">
        <v>3285221</v>
      </c>
      <c r="S193" s="104">
        <v>1163170</v>
      </c>
      <c r="T193" s="103">
        <v>7414260</v>
      </c>
      <c r="U193" s="72">
        <v>-734410.01</v>
      </c>
      <c r="V193" s="72">
        <v>-305875.13</v>
      </c>
    </row>
    <row r="194" spans="1:22">
      <c r="A194" s="14" t="s">
        <v>1224</v>
      </c>
      <c r="B194" s="15" t="s">
        <v>1225</v>
      </c>
      <c r="C194" s="14" t="s">
        <v>1220</v>
      </c>
      <c r="D194" s="14">
        <v>62</v>
      </c>
      <c r="E194" s="15" t="s">
        <v>785</v>
      </c>
      <c r="F194" s="15" t="s">
        <v>788</v>
      </c>
      <c r="G194" s="14" t="s">
        <v>789</v>
      </c>
      <c r="H194" s="14"/>
      <c r="I194" s="14"/>
      <c r="J194" s="16">
        <v>11991.22</v>
      </c>
      <c r="K194" s="66">
        <v>18387046</v>
      </c>
      <c r="L194" s="66">
        <v>10009291</v>
      </c>
      <c r="M194" s="66">
        <v>3081544</v>
      </c>
      <c r="N194" s="101">
        <v>3395235</v>
      </c>
      <c r="O194" s="64">
        <v>75366548</v>
      </c>
      <c r="P194" s="64">
        <v>7497801</v>
      </c>
      <c r="Q194" s="64">
        <v>2197319</v>
      </c>
      <c r="R194" s="62">
        <v>4283802</v>
      </c>
      <c r="S194" s="104">
        <v>2110106</v>
      </c>
      <c r="T194" s="103">
        <v>8332561</v>
      </c>
      <c r="U194" s="72">
        <v>-818219.63</v>
      </c>
      <c r="V194" s="72">
        <v>-1823593.85</v>
      </c>
    </row>
    <row r="195" spans="1:22">
      <c r="A195" s="14" t="s">
        <v>1224</v>
      </c>
      <c r="B195" s="15" t="s">
        <v>1225</v>
      </c>
      <c r="C195" s="14" t="s">
        <v>1220</v>
      </c>
      <c r="D195" s="14">
        <v>62</v>
      </c>
      <c r="E195" s="15" t="s">
        <v>785</v>
      </c>
      <c r="F195" s="15" t="s">
        <v>790</v>
      </c>
      <c r="G195" s="14" t="s">
        <v>791</v>
      </c>
      <c r="H195" s="14"/>
      <c r="I195" s="14"/>
      <c r="J195" s="16">
        <v>6665.47</v>
      </c>
      <c r="K195" s="66">
        <v>11240775</v>
      </c>
      <c r="L195" s="66">
        <v>7165892</v>
      </c>
      <c r="M195" s="66">
        <v>2406667</v>
      </c>
      <c r="N195" s="101">
        <v>826054</v>
      </c>
      <c r="O195" s="64">
        <v>40034135</v>
      </c>
      <c r="P195" s="64">
        <v>4204734</v>
      </c>
      <c r="Q195" s="64">
        <v>1490988</v>
      </c>
      <c r="R195" s="62">
        <v>1896905</v>
      </c>
      <c r="S195" s="104">
        <v>945163</v>
      </c>
      <c r="T195" s="103">
        <v>6157129</v>
      </c>
      <c r="U195" s="72">
        <v>-426319.57</v>
      </c>
      <c r="V195" s="72">
        <v>-689168.82</v>
      </c>
    </row>
    <row r="196" spans="1:22">
      <c r="A196" s="14" t="s">
        <v>1224</v>
      </c>
      <c r="B196" s="15" t="s">
        <v>1225</v>
      </c>
      <c r="C196" s="14" t="s">
        <v>1220</v>
      </c>
      <c r="D196" s="14">
        <v>62</v>
      </c>
      <c r="E196" s="15" t="s">
        <v>785</v>
      </c>
      <c r="F196" s="15" t="s">
        <v>792</v>
      </c>
      <c r="G196" s="14" t="s">
        <v>793</v>
      </c>
      <c r="H196" s="14"/>
      <c r="I196" s="14"/>
      <c r="J196" s="16">
        <v>8636.64</v>
      </c>
      <c r="K196" s="66">
        <v>13069286</v>
      </c>
      <c r="L196" s="66">
        <v>7624578</v>
      </c>
      <c r="M196" s="66">
        <v>2330619</v>
      </c>
      <c r="N196" s="101">
        <v>771370</v>
      </c>
      <c r="O196" s="64">
        <v>51388885</v>
      </c>
      <c r="P196" s="64">
        <v>7330916</v>
      </c>
      <c r="Q196" s="64">
        <v>1518204</v>
      </c>
      <c r="R196" s="62">
        <v>2360414</v>
      </c>
      <c r="S196" s="104">
        <v>1120165</v>
      </c>
      <c r="T196" s="103">
        <v>7094764</v>
      </c>
      <c r="U196" s="72">
        <v>-449533.57</v>
      </c>
      <c r="V196" s="72">
        <v>-8641.0300000000007</v>
      </c>
    </row>
    <row r="197" spans="1:22">
      <c r="A197" s="14" t="s">
        <v>1224</v>
      </c>
      <c r="B197" s="15" t="s">
        <v>1225</v>
      </c>
      <c r="C197" s="14" t="s">
        <v>1220</v>
      </c>
      <c r="D197" s="14">
        <v>62</v>
      </c>
      <c r="E197" s="15" t="s">
        <v>785</v>
      </c>
      <c r="F197" s="96" t="s">
        <v>794</v>
      </c>
      <c r="G197" s="97" t="s">
        <v>795</v>
      </c>
      <c r="H197" s="99" t="s">
        <v>52</v>
      </c>
      <c r="I197" s="99" t="s">
        <v>190</v>
      </c>
      <c r="J197" s="98">
        <v>42379.85</v>
      </c>
      <c r="K197" s="66">
        <v>48650687</v>
      </c>
      <c r="L197" s="66">
        <v>31572669</v>
      </c>
      <c r="M197" s="66">
        <v>18437068</v>
      </c>
      <c r="N197" s="101">
        <v>17562192</v>
      </c>
      <c r="O197" s="64">
        <v>329659792</v>
      </c>
      <c r="P197" s="64">
        <v>43546172</v>
      </c>
      <c r="Q197" s="64">
        <v>23370195</v>
      </c>
      <c r="R197" s="62">
        <v>41434769</v>
      </c>
      <c r="S197" s="104">
        <v>20144430</v>
      </c>
      <c r="T197" s="103">
        <v>12959959</v>
      </c>
      <c r="U197" s="72">
        <v>-5597682.3099999996</v>
      </c>
      <c r="V197" s="72">
        <v>-9194966.0799999982</v>
      </c>
    </row>
    <row r="198" spans="1:22">
      <c r="A198" s="14" t="s">
        <v>961</v>
      </c>
      <c r="B198" s="15" t="s">
        <v>962</v>
      </c>
      <c r="C198" s="14" t="s">
        <v>1220</v>
      </c>
      <c r="D198" s="14">
        <v>63</v>
      </c>
      <c r="E198" s="15" t="s">
        <v>796</v>
      </c>
      <c r="F198" s="15" t="s">
        <v>797</v>
      </c>
      <c r="G198" s="14" t="s">
        <v>798</v>
      </c>
      <c r="H198" s="14"/>
      <c r="I198" s="14"/>
      <c r="J198" s="16">
        <v>245.46</v>
      </c>
      <c r="K198" s="66">
        <v>148368</v>
      </c>
      <c r="L198" s="66">
        <v>8339</v>
      </c>
      <c r="M198" s="66">
        <v>293101</v>
      </c>
      <c r="N198" s="101">
        <v>28247</v>
      </c>
      <c r="O198" s="64">
        <v>1914632</v>
      </c>
      <c r="P198" s="64">
        <v>91835</v>
      </c>
      <c r="Q198" s="64">
        <v>17653</v>
      </c>
      <c r="R198" s="62">
        <v>47102</v>
      </c>
      <c r="S198" s="104">
        <v>49527</v>
      </c>
      <c r="T198" s="103">
        <v>28161</v>
      </c>
      <c r="U198" s="72">
        <v>-22632.26</v>
      </c>
      <c r="V198" s="72">
        <v>0</v>
      </c>
    </row>
    <row r="199" spans="1:22">
      <c r="A199" s="14" t="s">
        <v>961</v>
      </c>
      <c r="B199" s="15" t="s">
        <v>962</v>
      </c>
      <c r="C199" s="14" t="s">
        <v>1220</v>
      </c>
      <c r="D199" s="14">
        <v>63</v>
      </c>
      <c r="E199" s="15" t="s">
        <v>796</v>
      </c>
      <c r="F199" s="15" t="s">
        <v>799</v>
      </c>
      <c r="G199" s="14" t="s">
        <v>800</v>
      </c>
      <c r="H199" s="14"/>
      <c r="I199" s="14"/>
      <c r="J199" s="16">
        <v>229.96</v>
      </c>
      <c r="K199" s="66">
        <v>162657</v>
      </c>
      <c r="L199" s="66">
        <v>20460</v>
      </c>
      <c r="M199" s="66">
        <v>445957</v>
      </c>
      <c r="N199" s="101">
        <v>35635</v>
      </c>
      <c r="O199" s="64">
        <v>1075937</v>
      </c>
      <c r="P199" s="64">
        <v>169125</v>
      </c>
      <c r="Q199" s="64">
        <v>10391</v>
      </c>
      <c r="R199" s="62">
        <v>134894</v>
      </c>
      <c r="S199" s="104">
        <v>63810</v>
      </c>
      <c r="T199" s="103">
        <v>44149</v>
      </c>
      <c r="U199" s="72">
        <v>-22685.57</v>
      </c>
      <c r="V199" s="72">
        <v>0</v>
      </c>
    </row>
    <row r="200" spans="1:22">
      <c r="A200" s="14" t="s">
        <v>961</v>
      </c>
      <c r="B200" s="15" t="s">
        <v>962</v>
      </c>
      <c r="C200" s="14" t="s">
        <v>1220</v>
      </c>
      <c r="D200" s="14">
        <v>63</v>
      </c>
      <c r="E200" s="15" t="s">
        <v>796</v>
      </c>
      <c r="F200" s="15" t="s">
        <v>801</v>
      </c>
      <c r="G200" s="14" t="s">
        <v>802</v>
      </c>
      <c r="H200" s="14"/>
      <c r="I200" s="14"/>
      <c r="J200" s="16">
        <v>379.51</v>
      </c>
      <c r="K200" s="66">
        <v>186066</v>
      </c>
      <c r="L200" s="66">
        <v>211182</v>
      </c>
      <c r="M200" s="66">
        <v>168707</v>
      </c>
      <c r="N200" s="101">
        <v>340337</v>
      </c>
      <c r="O200" s="64">
        <v>3041414</v>
      </c>
      <c r="P200" s="64">
        <v>343943</v>
      </c>
      <c r="Q200" s="64">
        <v>41478</v>
      </c>
      <c r="R200" s="62">
        <v>152990</v>
      </c>
      <c r="S200" s="104">
        <v>79619</v>
      </c>
      <c r="T200" s="103">
        <v>115780</v>
      </c>
      <c r="U200" s="72">
        <v>-29341.52</v>
      </c>
      <c r="V200" s="72">
        <v>0</v>
      </c>
    </row>
    <row r="201" spans="1:22">
      <c r="A201" s="14" t="s">
        <v>1166</v>
      </c>
      <c r="B201" s="15" t="s">
        <v>1167</v>
      </c>
      <c r="C201" s="14" t="s">
        <v>1220</v>
      </c>
      <c r="D201" s="14">
        <v>64</v>
      </c>
      <c r="E201" s="15" t="s">
        <v>803</v>
      </c>
      <c r="F201" s="15" t="s">
        <v>804</v>
      </c>
      <c r="G201" s="14" t="s">
        <v>805</v>
      </c>
      <c r="H201" s="14"/>
      <c r="I201" s="14"/>
      <c r="J201" s="16">
        <v>69.900000000000006</v>
      </c>
      <c r="K201" s="66">
        <v>144924</v>
      </c>
      <c r="L201" s="66">
        <v>11742</v>
      </c>
      <c r="M201" s="66">
        <v>159717</v>
      </c>
      <c r="N201" s="101">
        <v>15969</v>
      </c>
      <c r="O201" s="64">
        <v>572890</v>
      </c>
      <c r="P201" s="64">
        <v>-22840</v>
      </c>
      <c r="Q201" s="64">
        <v>17252</v>
      </c>
      <c r="R201" s="62">
        <v>56313</v>
      </c>
      <c r="S201" s="104">
        <v>22947</v>
      </c>
      <c r="T201" s="103">
        <v>29213</v>
      </c>
      <c r="U201" s="72">
        <v>-14733.53</v>
      </c>
      <c r="V201" s="72">
        <v>0</v>
      </c>
    </row>
    <row r="202" spans="1:22">
      <c r="A202" s="14" t="s">
        <v>1166</v>
      </c>
      <c r="B202" s="15" t="s">
        <v>1167</v>
      </c>
      <c r="C202" s="14" t="s">
        <v>1220</v>
      </c>
      <c r="D202" s="14">
        <v>64</v>
      </c>
      <c r="E202" s="15" t="s">
        <v>803</v>
      </c>
      <c r="F202" s="15" t="s">
        <v>806</v>
      </c>
      <c r="G202" s="14" t="s">
        <v>807</v>
      </c>
      <c r="H202" s="14"/>
      <c r="I202" s="14"/>
      <c r="J202" s="16">
        <v>402.19</v>
      </c>
      <c r="K202" s="66">
        <v>238819</v>
      </c>
      <c r="L202" s="66">
        <v>341659</v>
      </c>
      <c r="M202" s="66">
        <v>195221</v>
      </c>
      <c r="N202" s="101">
        <v>74314</v>
      </c>
      <c r="O202" s="64">
        <v>2802615</v>
      </c>
      <c r="P202" s="64">
        <v>167586</v>
      </c>
      <c r="Q202" s="64">
        <v>74977</v>
      </c>
      <c r="R202" s="62">
        <v>150358</v>
      </c>
      <c r="S202" s="104">
        <v>70902</v>
      </c>
      <c r="T202" s="103">
        <v>270049</v>
      </c>
      <c r="U202" s="72">
        <v>-39033.96</v>
      </c>
      <c r="V202" s="72">
        <v>0</v>
      </c>
    </row>
    <row r="203" spans="1:22">
      <c r="A203" s="14" t="s">
        <v>1017</v>
      </c>
      <c r="B203" s="15" t="s">
        <v>1018</v>
      </c>
      <c r="C203" s="14" t="s">
        <v>1220</v>
      </c>
      <c r="D203" s="14">
        <v>66</v>
      </c>
      <c r="E203" s="15" t="s">
        <v>808</v>
      </c>
      <c r="F203" s="15" t="s">
        <v>809</v>
      </c>
      <c r="G203" s="14" t="s">
        <v>810</v>
      </c>
      <c r="H203" s="14"/>
      <c r="I203" s="14"/>
      <c r="J203" s="16">
        <v>4058.93</v>
      </c>
      <c r="K203" s="66">
        <v>2724651</v>
      </c>
      <c r="L203" s="66">
        <v>4305599</v>
      </c>
      <c r="M203" s="66">
        <v>1545729</v>
      </c>
      <c r="N203" s="101">
        <v>1217991</v>
      </c>
      <c r="O203" s="64">
        <v>26710861</v>
      </c>
      <c r="P203" s="64">
        <v>2872560</v>
      </c>
      <c r="Q203" s="64">
        <v>259970</v>
      </c>
      <c r="R203" s="62">
        <v>2072172</v>
      </c>
      <c r="S203" s="104">
        <v>1654596</v>
      </c>
      <c r="T203" s="103">
        <v>1974414</v>
      </c>
      <c r="U203" s="72">
        <v>-348147.75</v>
      </c>
      <c r="V203" s="72">
        <v>-412448.22</v>
      </c>
    </row>
    <row r="204" spans="1:22">
      <c r="A204" s="14" t="s">
        <v>1017</v>
      </c>
      <c r="B204" s="15" t="s">
        <v>1018</v>
      </c>
      <c r="C204" s="14" t="s">
        <v>1220</v>
      </c>
      <c r="D204" s="14">
        <v>66</v>
      </c>
      <c r="E204" s="15" t="s">
        <v>808</v>
      </c>
      <c r="F204" s="15" t="s">
        <v>811</v>
      </c>
      <c r="G204" s="14" t="s">
        <v>812</v>
      </c>
      <c r="H204" s="14"/>
      <c r="I204" s="14"/>
      <c r="J204" s="16">
        <v>3944.86</v>
      </c>
      <c r="K204" s="66">
        <v>4376967</v>
      </c>
      <c r="L204" s="66">
        <v>5480309</v>
      </c>
      <c r="M204" s="66">
        <v>1458002</v>
      </c>
      <c r="N204" s="101">
        <v>602835</v>
      </c>
      <c r="O204" s="64">
        <v>24572268</v>
      </c>
      <c r="P204" s="64">
        <v>1884185</v>
      </c>
      <c r="Q204" s="64">
        <v>259912</v>
      </c>
      <c r="R204" s="62">
        <v>1308168</v>
      </c>
      <c r="S204" s="104">
        <v>472401</v>
      </c>
      <c r="T204" s="103">
        <v>2770286</v>
      </c>
      <c r="U204" s="72">
        <v>-368495.78</v>
      </c>
      <c r="V204" s="72">
        <v>-15029</v>
      </c>
    </row>
    <row r="205" spans="1:22">
      <c r="A205" s="14" t="s">
        <v>1166</v>
      </c>
      <c r="B205" s="15" t="s">
        <v>1167</v>
      </c>
      <c r="C205" s="14" t="s">
        <v>1220</v>
      </c>
      <c r="D205" s="14">
        <v>67</v>
      </c>
      <c r="E205" s="15" t="s">
        <v>813</v>
      </c>
      <c r="F205" s="15" t="s">
        <v>642</v>
      </c>
      <c r="G205" s="14" t="s">
        <v>643</v>
      </c>
      <c r="H205" s="14"/>
      <c r="I205" s="14"/>
      <c r="J205" s="16">
        <v>339.54</v>
      </c>
      <c r="K205" s="66">
        <v>201896</v>
      </c>
      <c r="L205" s="66">
        <v>173709</v>
      </c>
      <c r="M205" s="66">
        <v>159749</v>
      </c>
      <c r="N205" s="101">
        <v>41506</v>
      </c>
      <c r="O205" s="64">
        <v>2382775</v>
      </c>
      <c r="P205" s="64">
        <v>145498</v>
      </c>
      <c r="Q205" s="64">
        <v>16848</v>
      </c>
      <c r="R205" s="62">
        <v>91279</v>
      </c>
      <c r="S205" s="104">
        <v>57684</v>
      </c>
      <c r="T205" s="103">
        <v>116090</v>
      </c>
      <c r="U205" s="72">
        <v>-20391.98</v>
      </c>
      <c r="V205" s="72">
        <v>0</v>
      </c>
    </row>
    <row r="206" spans="1:22">
      <c r="A206" s="14" t="s">
        <v>961</v>
      </c>
      <c r="B206" s="15" t="s">
        <v>962</v>
      </c>
      <c r="C206" s="14" t="s">
        <v>1220</v>
      </c>
      <c r="D206" s="14">
        <v>68</v>
      </c>
      <c r="E206" s="15" t="s">
        <v>644</v>
      </c>
      <c r="F206" s="15" t="s">
        <v>645</v>
      </c>
      <c r="G206" s="14" t="s">
        <v>646</v>
      </c>
      <c r="H206" s="14"/>
      <c r="I206" s="14"/>
      <c r="J206" s="16">
        <v>226.99</v>
      </c>
      <c r="K206" s="66">
        <v>183259</v>
      </c>
      <c r="L206" s="66">
        <v>50011</v>
      </c>
      <c r="M206" s="66">
        <v>181091</v>
      </c>
      <c r="N206" s="101">
        <v>42500</v>
      </c>
      <c r="O206" s="64">
        <v>1875831</v>
      </c>
      <c r="P206" s="64">
        <v>91198</v>
      </c>
      <c r="Q206" s="64">
        <v>27430</v>
      </c>
      <c r="R206" s="62">
        <v>68634</v>
      </c>
      <c r="S206" s="104">
        <v>63971</v>
      </c>
      <c r="T206" s="103">
        <v>44919</v>
      </c>
      <c r="U206" s="72">
        <v>-20448.88</v>
      </c>
      <c r="V206" s="72">
        <v>0</v>
      </c>
    </row>
    <row r="207" spans="1:22">
      <c r="A207" s="14" t="s">
        <v>961</v>
      </c>
      <c r="B207" s="15" t="s">
        <v>962</v>
      </c>
      <c r="C207" s="14" t="s">
        <v>1220</v>
      </c>
      <c r="D207" s="14">
        <v>68</v>
      </c>
      <c r="E207" s="15" t="s">
        <v>644</v>
      </c>
      <c r="F207" s="15" t="s">
        <v>647</v>
      </c>
      <c r="G207" s="14" t="s">
        <v>648</v>
      </c>
      <c r="H207" s="14"/>
      <c r="I207" s="14"/>
      <c r="J207" s="16">
        <v>1333.17</v>
      </c>
      <c r="K207" s="66">
        <v>559893</v>
      </c>
      <c r="L207" s="66">
        <v>1011535</v>
      </c>
      <c r="M207" s="66">
        <v>507903</v>
      </c>
      <c r="N207" s="101">
        <v>442040</v>
      </c>
      <c r="O207" s="64">
        <v>9141472</v>
      </c>
      <c r="P207" s="64">
        <v>738031</v>
      </c>
      <c r="Q207" s="64">
        <v>70128</v>
      </c>
      <c r="R207" s="62">
        <v>415248</v>
      </c>
      <c r="S207" s="104">
        <v>166295</v>
      </c>
      <c r="T207" s="103">
        <v>574974</v>
      </c>
      <c r="U207" s="72">
        <v>-89591.06</v>
      </c>
      <c r="V207" s="72">
        <v>0</v>
      </c>
    </row>
    <row r="208" spans="1:22">
      <c r="A208" s="14" t="s">
        <v>961</v>
      </c>
      <c r="B208" s="15" t="s">
        <v>962</v>
      </c>
      <c r="C208" s="14" t="s">
        <v>1220</v>
      </c>
      <c r="D208" s="14">
        <v>68</v>
      </c>
      <c r="E208" s="15" t="s">
        <v>644</v>
      </c>
      <c r="F208" s="15" t="s">
        <v>649</v>
      </c>
      <c r="G208" s="14" t="s">
        <v>650</v>
      </c>
      <c r="H208" s="14"/>
      <c r="I208" s="14"/>
      <c r="J208" s="16">
        <v>1261.52</v>
      </c>
      <c r="K208" s="66">
        <v>456583</v>
      </c>
      <c r="L208" s="66">
        <v>934515</v>
      </c>
      <c r="M208" s="66">
        <v>854426</v>
      </c>
      <c r="N208" s="101">
        <v>639019</v>
      </c>
      <c r="O208" s="64">
        <v>8717220</v>
      </c>
      <c r="P208" s="64">
        <v>444674</v>
      </c>
      <c r="Q208" s="64">
        <v>224178</v>
      </c>
      <c r="R208" s="62">
        <v>649488</v>
      </c>
      <c r="S208" s="104">
        <v>226136</v>
      </c>
      <c r="T208" s="103">
        <v>588492</v>
      </c>
      <c r="U208" s="72">
        <v>-109254.74</v>
      </c>
      <c r="V208" s="72">
        <v>0</v>
      </c>
    </row>
    <row r="209" spans="1:22">
      <c r="A209" s="14" t="s">
        <v>1218</v>
      </c>
      <c r="B209" s="15" t="s">
        <v>1219</v>
      </c>
      <c r="C209" s="14" t="s">
        <v>1220</v>
      </c>
      <c r="D209" s="14">
        <v>69</v>
      </c>
      <c r="E209" s="15" t="s">
        <v>651</v>
      </c>
      <c r="F209" s="15" t="s">
        <v>652</v>
      </c>
      <c r="G209" s="14" t="s">
        <v>653</v>
      </c>
      <c r="H209" s="14"/>
      <c r="I209" s="14"/>
      <c r="J209" s="16">
        <v>757.37</v>
      </c>
      <c r="K209" s="66">
        <v>483555</v>
      </c>
      <c r="L209" s="66">
        <v>154792</v>
      </c>
      <c r="M209" s="66">
        <v>1212906</v>
      </c>
      <c r="N209" s="101">
        <v>208459</v>
      </c>
      <c r="O209" s="64">
        <v>5280620</v>
      </c>
      <c r="P209" s="64">
        <v>165386</v>
      </c>
      <c r="Q209" s="64">
        <v>94746</v>
      </c>
      <c r="R209" s="62">
        <v>307940</v>
      </c>
      <c r="S209" s="104">
        <v>161528</v>
      </c>
      <c r="T209" s="103">
        <v>726364</v>
      </c>
      <c r="U209" s="72">
        <v>-58610.12</v>
      </c>
      <c r="V209" s="72">
        <v>0</v>
      </c>
    </row>
    <row r="210" spans="1:22">
      <c r="A210" s="14" t="s">
        <v>1218</v>
      </c>
      <c r="B210" s="15" t="s">
        <v>1219</v>
      </c>
      <c r="C210" s="14" t="s">
        <v>1220</v>
      </c>
      <c r="D210" s="14">
        <v>69</v>
      </c>
      <c r="E210" s="15" t="s">
        <v>651</v>
      </c>
      <c r="F210" s="15" t="s">
        <v>654</v>
      </c>
      <c r="G210" s="14" t="s">
        <v>655</v>
      </c>
      <c r="H210" s="14"/>
      <c r="I210" s="14"/>
      <c r="J210" s="16">
        <v>595.52</v>
      </c>
      <c r="K210" s="66">
        <v>374570</v>
      </c>
      <c r="L210" s="66">
        <v>39174</v>
      </c>
      <c r="M210" s="66">
        <v>857370</v>
      </c>
      <c r="N210" s="101">
        <v>27965</v>
      </c>
      <c r="O210" s="64">
        <v>3682631</v>
      </c>
      <c r="P210" s="64">
        <v>272208</v>
      </c>
      <c r="Q210" s="64">
        <v>87616</v>
      </c>
      <c r="R210" s="62">
        <v>207184</v>
      </c>
      <c r="S210" s="104">
        <v>76199</v>
      </c>
      <c r="T210" s="103">
        <v>298229</v>
      </c>
      <c r="U210" s="72">
        <v>-33061.14</v>
      </c>
      <c r="V210" s="72">
        <v>0</v>
      </c>
    </row>
    <row r="211" spans="1:22">
      <c r="A211" s="14" t="s">
        <v>1218</v>
      </c>
      <c r="B211" s="15" t="s">
        <v>1219</v>
      </c>
      <c r="C211" s="14" t="s">
        <v>1220</v>
      </c>
      <c r="D211" s="14">
        <v>69</v>
      </c>
      <c r="E211" s="15" t="s">
        <v>651</v>
      </c>
      <c r="F211" s="15" t="s">
        <v>656</v>
      </c>
      <c r="G211" s="14" t="s">
        <v>657</v>
      </c>
      <c r="H211" s="14"/>
      <c r="I211" s="14"/>
      <c r="J211" s="16">
        <v>382.08</v>
      </c>
      <c r="K211" s="66">
        <v>68598</v>
      </c>
      <c r="L211" s="66">
        <v>628663</v>
      </c>
      <c r="M211" s="66">
        <v>236457</v>
      </c>
      <c r="N211" s="101">
        <v>330238</v>
      </c>
      <c r="O211" s="64">
        <v>2948086</v>
      </c>
      <c r="P211" s="64">
        <v>241670</v>
      </c>
      <c r="Q211" s="64">
        <v>2477</v>
      </c>
      <c r="R211" s="62">
        <v>163520</v>
      </c>
      <c r="S211" s="104">
        <v>56013</v>
      </c>
      <c r="T211" s="103">
        <v>205067</v>
      </c>
      <c r="U211" s="72">
        <v>-29649.19</v>
      </c>
      <c r="V211" s="72">
        <v>0</v>
      </c>
    </row>
    <row r="212" spans="1:22">
      <c r="A212" s="14" t="s">
        <v>1218</v>
      </c>
      <c r="B212" s="15" t="s">
        <v>1219</v>
      </c>
      <c r="C212" s="14" t="s">
        <v>1220</v>
      </c>
      <c r="D212" s="14">
        <v>69</v>
      </c>
      <c r="E212" s="15" t="s">
        <v>651</v>
      </c>
      <c r="F212" s="15" t="s">
        <v>658</v>
      </c>
      <c r="G212" s="14" t="s">
        <v>659</v>
      </c>
      <c r="H212" s="14"/>
      <c r="I212" s="14"/>
      <c r="J212" s="16">
        <v>2015.55</v>
      </c>
      <c r="K212" s="66">
        <v>788125</v>
      </c>
      <c r="L212" s="66">
        <v>677771</v>
      </c>
      <c r="M212" s="66">
        <v>1145867</v>
      </c>
      <c r="N212" s="101">
        <v>149734</v>
      </c>
      <c r="O212" s="64">
        <v>12111415</v>
      </c>
      <c r="P212" s="64">
        <v>1218258</v>
      </c>
      <c r="Q212" s="64">
        <v>64465</v>
      </c>
      <c r="R212" s="62">
        <v>368450</v>
      </c>
      <c r="S212" s="104">
        <v>150369</v>
      </c>
      <c r="T212" s="103">
        <v>866939</v>
      </c>
      <c r="U212" s="72">
        <v>-196916.7</v>
      </c>
      <c r="V212" s="72">
        <v>0</v>
      </c>
    </row>
    <row r="213" spans="1:22">
      <c r="A213" s="14" t="s">
        <v>1218</v>
      </c>
      <c r="B213" s="15" t="s">
        <v>1219</v>
      </c>
      <c r="C213" s="14" t="s">
        <v>1220</v>
      </c>
      <c r="D213" s="14">
        <v>69</v>
      </c>
      <c r="E213" s="15" t="s">
        <v>651</v>
      </c>
      <c r="F213" s="15" t="s">
        <v>660</v>
      </c>
      <c r="G213" s="14" t="s">
        <v>661</v>
      </c>
      <c r="H213" s="14"/>
      <c r="I213" s="14"/>
      <c r="J213" s="16">
        <v>2458.19</v>
      </c>
      <c r="K213" s="66">
        <v>1206229</v>
      </c>
      <c r="L213" s="66">
        <v>20551</v>
      </c>
      <c r="M213" s="66">
        <v>4190115</v>
      </c>
      <c r="N213" s="101">
        <v>341149</v>
      </c>
      <c r="O213" s="64">
        <v>16689824</v>
      </c>
      <c r="P213" s="64">
        <v>1161992</v>
      </c>
      <c r="Q213" s="64">
        <v>523670</v>
      </c>
      <c r="R213" s="62">
        <v>1043555</v>
      </c>
      <c r="S213" s="104">
        <v>411540</v>
      </c>
      <c r="T213" s="103">
        <v>953603</v>
      </c>
      <c r="U213" s="72">
        <v>-165064.20000000001</v>
      </c>
      <c r="V213" s="72">
        <v>-96137.18</v>
      </c>
    </row>
    <row r="214" spans="1:22">
      <c r="A214" s="14" t="s">
        <v>1218</v>
      </c>
      <c r="B214" s="15" t="s">
        <v>1219</v>
      </c>
      <c r="C214" s="14" t="s">
        <v>1220</v>
      </c>
      <c r="D214" s="14">
        <v>69</v>
      </c>
      <c r="E214" s="15" t="s">
        <v>651</v>
      </c>
      <c r="F214" s="15" t="s">
        <v>662</v>
      </c>
      <c r="G214" s="14" t="s">
        <v>663</v>
      </c>
      <c r="H214" s="14"/>
      <c r="I214" s="14"/>
      <c r="J214" s="16">
        <v>1739.59</v>
      </c>
      <c r="K214" s="66">
        <v>612438</v>
      </c>
      <c r="L214" s="66">
        <v>1034059</v>
      </c>
      <c r="M214" s="66">
        <v>1323934</v>
      </c>
      <c r="N214" s="101">
        <v>298149</v>
      </c>
      <c r="O214" s="64">
        <v>11093099</v>
      </c>
      <c r="P214" s="64">
        <v>712816</v>
      </c>
      <c r="Q214" s="64">
        <v>152034</v>
      </c>
      <c r="R214" s="62">
        <v>492535</v>
      </c>
      <c r="S214" s="104">
        <v>226499</v>
      </c>
      <c r="T214" s="103">
        <v>759591</v>
      </c>
      <c r="U214" s="72">
        <v>-199983.94</v>
      </c>
      <c r="V214" s="72">
        <v>-12985.85</v>
      </c>
    </row>
    <row r="215" spans="1:22">
      <c r="A215" s="14" t="s">
        <v>1218</v>
      </c>
      <c r="B215" s="15" t="s">
        <v>1219</v>
      </c>
      <c r="C215" s="14" t="s">
        <v>1220</v>
      </c>
      <c r="D215" s="14">
        <v>69</v>
      </c>
      <c r="E215" s="15" t="s">
        <v>651</v>
      </c>
      <c r="F215" s="15" t="s">
        <v>664</v>
      </c>
      <c r="G215" s="14" t="s">
        <v>665</v>
      </c>
      <c r="H215" s="14"/>
      <c r="I215" s="14"/>
      <c r="J215" s="16">
        <v>1611.74</v>
      </c>
      <c r="K215" s="66">
        <v>822020</v>
      </c>
      <c r="L215" s="66">
        <v>220734</v>
      </c>
      <c r="M215" s="66">
        <v>2751554</v>
      </c>
      <c r="N215" s="101">
        <v>443862</v>
      </c>
      <c r="O215" s="64">
        <v>11057488</v>
      </c>
      <c r="P215" s="64">
        <v>494801</v>
      </c>
      <c r="Q215" s="64">
        <v>126042</v>
      </c>
      <c r="R215" s="62">
        <v>631438</v>
      </c>
      <c r="S215" s="104">
        <v>267469</v>
      </c>
      <c r="T215" s="103">
        <v>1527977</v>
      </c>
      <c r="U215" s="72">
        <v>-115933.53</v>
      </c>
      <c r="V215" s="72">
        <v>-2472</v>
      </c>
    </row>
    <row r="216" spans="1:22">
      <c r="A216" s="14" t="s">
        <v>1218</v>
      </c>
      <c r="B216" s="15" t="s">
        <v>1219</v>
      </c>
      <c r="C216" s="14" t="s">
        <v>1220</v>
      </c>
      <c r="D216" s="14">
        <v>69</v>
      </c>
      <c r="E216" s="15" t="s">
        <v>651</v>
      </c>
      <c r="F216" s="15" t="s">
        <v>666</v>
      </c>
      <c r="G216" s="14" t="s">
        <v>667</v>
      </c>
      <c r="H216" s="14"/>
      <c r="I216" s="14"/>
      <c r="J216" s="16">
        <v>111.6</v>
      </c>
      <c r="K216" s="66">
        <v>26167</v>
      </c>
      <c r="L216" s="66">
        <v>8952</v>
      </c>
      <c r="M216" s="66">
        <v>243606</v>
      </c>
      <c r="N216" s="101">
        <v>36962</v>
      </c>
      <c r="O216" s="64">
        <v>1065039</v>
      </c>
      <c r="P216" s="64">
        <v>31503</v>
      </c>
      <c r="Q216" s="64">
        <v>95084</v>
      </c>
      <c r="R216" s="62">
        <v>712353</v>
      </c>
      <c r="S216" s="104">
        <v>34707</v>
      </c>
      <c r="T216" s="103">
        <v>23927</v>
      </c>
      <c r="U216" s="72">
        <v>-18269.63</v>
      </c>
      <c r="V216" s="72">
        <v>0</v>
      </c>
    </row>
    <row r="217" spans="1:22">
      <c r="A217" s="14" t="s">
        <v>1218</v>
      </c>
      <c r="B217" s="15" t="s">
        <v>1219</v>
      </c>
      <c r="C217" s="14" t="s">
        <v>1220</v>
      </c>
      <c r="D217" s="14">
        <v>69</v>
      </c>
      <c r="E217" s="15" t="s">
        <v>651</v>
      </c>
      <c r="F217" s="15" t="s">
        <v>668</v>
      </c>
      <c r="G217" s="14" t="s">
        <v>669</v>
      </c>
      <c r="H217" s="14"/>
      <c r="I217" s="14"/>
      <c r="J217" s="16">
        <v>10263.36</v>
      </c>
      <c r="K217" s="66">
        <v>6078164</v>
      </c>
      <c r="L217" s="66">
        <v>3850475</v>
      </c>
      <c r="M217" s="66">
        <v>8726701</v>
      </c>
      <c r="N217" s="101">
        <v>3800604</v>
      </c>
      <c r="O217" s="64">
        <v>66941107</v>
      </c>
      <c r="P217" s="64">
        <v>8700053</v>
      </c>
      <c r="Q217" s="64">
        <v>3916989</v>
      </c>
      <c r="R217" s="62">
        <v>6332248</v>
      </c>
      <c r="S217" s="104">
        <v>4664631</v>
      </c>
      <c r="T217" s="103">
        <v>2148184</v>
      </c>
      <c r="U217" s="72">
        <v>-4038861.86</v>
      </c>
      <c r="V217" s="72">
        <v>-498030.57</v>
      </c>
    </row>
    <row r="218" spans="1:22">
      <c r="A218" s="14" t="s">
        <v>1218</v>
      </c>
      <c r="B218" s="15" t="s">
        <v>1219</v>
      </c>
      <c r="C218" s="14" t="s">
        <v>1220</v>
      </c>
      <c r="D218" s="14">
        <v>69</v>
      </c>
      <c r="E218" s="15" t="s">
        <v>651</v>
      </c>
      <c r="F218" s="15" t="s">
        <v>670</v>
      </c>
      <c r="G218" s="14" t="s">
        <v>671</v>
      </c>
      <c r="H218" s="14"/>
      <c r="I218" s="14"/>
      <c r="J218" s="16">
        <v>653.38</v>
      </c>
      <c r="K218" s="66">
        <v>-76531</v>
      </c>
      <c r="L218" s="66">
        <v>1926</v>
      </c>
      <c r="M218" s="66">
        <v>3839184</v>
      </c>
      <c r="N218" s="101">
        <v>63029</v>
      </c>
      <c r="O218" s="64">
        <v>3697507</v>
      </c>
      <c r="P218" s="64">
        <v>686275</v>
      </c>
      <c r="Q218" s="64">
        <v>403</v>
      </c>
      <c r="R218" s="62">
        <v>428479</v>
      </c>
      <c r="S218" s="104">
        <v>118296</v>
      </c>
      <c r="T218" s="103">
        <v>501662</v>
      </c>
      <c r="U218" s="72">
        <v>-76307.06</v>
      </c>
      <c r="V218" s="72">
        <v>0</v>
      </c>
    </row>
    <row r="219" spans="1:22">
      <c r="A219" s="14" t="s">
        <v>1224</v>
      </c>
      <c r="B219" s="15" t="s">
        <v>1225</v>
      </c>
      <c r="C219" s="14" t="s">
        <v>1220</v>
      </c>
      <c r="D219" s="14">
        <v>70</v>
      </c>
      <c r="E219" s="15" t="s">
        <v>672</v>
      </c>
      <c r="F219" s="15" t="s">
        <v>673</v>
      </c>
      <c r="G219" s="14" t="s">
        <v>674</v>
      </c>
      <c r="H219" s="14"/>
      <c r="I219" s="14"/>
      <c r="J219" s="16">
        <v>1544.63</v>
      </c>
      <c r="K219" s="66">
        <v>766954</v>
      </c>
      <c r="L219" s="66">
        <v>2093497</v>
      </c>
      <c r="M219" s="66">
        <v>703317</v>
      </c>
      <c r="N219" s="101">
        <v>293916</v>
      </c>
      <c r="O219" s="64">
        <v>9407715</v>
      </c>
      <c r="P219" s="64">
        <v>1217294</v>
      </c>
      <c r="Q219" s="64">
        <v>112769</v>
      </c>
      <c r="R219" s="62">
        <v>138243</v>
      </c>
      <c r="S219" s="104">
        <v>112879</v>
      </c>
      <c r="T219" s="103">
        <v>2104687</v>
      </c>
      <c r="U219" s="72">
        <v>-114813.32</v>
      </c>
      <c r="V219" s="72">
        <v>0</v>
      </c>
    </row>
    <row r="220" spans="1:22">
      <c r="A220" s="14" t="s">
        <v>1224</v>
      </c>
      <c r="B220" s="15" t="s">
        <v>1225</v>
      </c>
      <c r="C220" s="14" t="s">
        <v>1220</v>
      </c>
      <c r="D220" s="14">
        <v>70</v>
      </c>
      <c r="E220" s="15" t="s">
        <v>672</v>
      </c>
      <c r="F220" s="15" t="s">
        <v>675</v>
      </c>
      <c r="G220" s="14" t="s">
        <v>676</v>
      </c>
      <c r="H220" s="14"/>
      <c r="I220" s="14"/>
      <c r="J220" s="16">
        <v>1589.87</v>
      </c>
      <c r="K220" s="66">
        <v>645130</v>
      </c>
      <c r="L220" s="66">
        <v>1982690</v>
      </c>
      <c r="M220" s="66">
        <v>371199</v>
      </c>
      <c r="N220" s="101">
        <v>224243</v>
      </c>
      <c r="O220" s="64">
        <v>9576944</v>
      </c>
      <c r="P220" s="64">
        <v>1174191</v>
      </c>
      <c r="Q220" s="64">
        <v>119836</v>
      </c>
      <c r="R220" s="62">
        <v>321527</v>
      </c>
      <c r="S220" s="104">
        <v>194181</v>
      </c>
      <c r="T220" s="103">
        <v>1576013</v>
      </c>
      <c r="U220" s="72">
        <v>-188076.42</v>
      </c>
      <c r="V220" s="72">
        <v>0</v>
      </c>
    </row>
    <row r="221" spans="1:22">
      <c r="A221" s="14" t="s">
        <v>1224</v>
      </c>
      <c r="B221" s="15" t="s">
        <v>1225</v>
      </c>
      <c r="C221" s="14" t="s">
        <v>1220</v>
      </c>
      <c r="D221" s="14">
        <v>70</v>
      </c>
      <c r="E221" s="15" t="s">
        <v>672</v>
      </c>
      <c r="F221" s="15" t="s">
        <v>677</v>
      </c>
      <c r="G221" s="14" t="s">
        <v>678</v>
      </c>
      <c r="H221" s="14"/>
      <c r="I221" s="14"/>
      <c r="J221" s="16">
        <v>6623.25</v>
      </c>
      <c r="K221" s="66">
        <v>8291531</v>
      </c>
      <c r="L221" s="66">
        <v>10894396</v>
      </c>
      <c r="M221" s="66">
        <v>2252718</v>
      </c>
      <c r="N221" s="101">
        <v>996710</v>
      </c>
      <c r="O221" s="64">
        <v>38863414</v>
      </c>
      <c r="P221" s="64">
        <v>4473344</v>
      </c>
      <c r="Q221" s="64">
        <v>364910</v>
      </c>
      <c r="R221" s="62">
        <v>354666</v>
      </c>
      <c r="S221" s="104">
        <v>358941</v>
      </c>
      <c r="T221" s="103">
        <v>6831178</v>
      </c>
      <c r="U221" s="72">
        <v>-783078.99</v>
      </c>
      <c r="V221" s="72">
        <v>0</v>
      </c>
    </row>
    <row r="222" spans="1:22">
      <c r="A222" s="14" t="s">
        <v>1224</v>
      </c>
      <c r="B222" s="15" t="s">
        <v>1225</v>
      </c>
      <c r="C222" s="14" t="s">
        <v>1220</v>
      </c>
      <c r="D222" s="14">
        <v>70</v>
      </c>
      <c r="E222" s="15" t="s">
        <v>672</v>
      </c>
      <c r="F222" s="15" t="s">
        <v>679</v>
      </c>
      <c r="G222" s="14" t="s">
        <v>680</v>
      </c>
      <c r="H222" s="14"/>
      <c r="I222" s="14"/>
      <c r="J222" s="16">
        <v>6193.24</v>
      </c>
      <c r="K222" s="66">
        <v>5239570</v>
      </c>
      <c r="L222" s="66">
        <v>9047355</v>
      </c>
      <c r="M222" s="66">
        <v>1049755</v>
      </c>
      <c r="N222" s="101">
        <v>1011993</v>
      </c>
      <c r="O222" s="64">
        <v>37847246</v>
      </c>
      <c r="P222" s="64">
        <v>4114321</v>
      </c>
      <c r="Q222" s="64">
        <v>646766</v>
      </c>
      <c r="R222" s="62">
        <v>1330600</v>
      </c>
      <c r="S222" s="104">
        <v>847386</v>
      </c>
      <c r="T222" s="103">
        <v>5523386</v>
      </c>
      <c r="U222" s="72">
        <v>-518829.06</v>
      </c>
      <c r="V222" s="72">
        <v>0</v>
      </c>
    </row>
    <row r="223" spans="1:22">
      <c r="A223" s="14" t="s">
        <v>1224</v>
      </c>
      <c r="B223" s="15" t="s">
        <v>1225</v>
      </c>
      <c r="C223" s="14" t="s">
        <v>1220</v>
      </c>
      <c r="D223" s="14">
        <v>70</v>
      </c>
      <c r="E223" s="15" t="s">
        <v>672</v>
      </c>
      <c r="F223" s="15" t="s">
        <v>681</v>
      </c>
      <c r="G223" s="14" t="s">
        <v>682</v>
      </c>
      <c r="H223" s="14"/>
      <c r="I223" s="14"/>
      <c r="J223" s="16">
        <v>3417.5</v>
      </c>
      <c r="K223" s="66">
        <v>2377176</v>
      </c>
      <c r="L223" s="66">
        <v>4437890</v>
      </c>
      <c r="M223" s="66">
        <v>743439</v>
      </c>
      <c r="N223" s="101">
        <v>548072</v>
      </c>
      <c r="O223" s="64">
        <v>21194286</v>
      </c>
      <c r="P223" s="64">
        <v>2347789</v>
      </c>
      <c r="Q223" s="64">
        <v>240321</v>
      </c>
      <c r="R223" s="62">
        <v>456515</v>
      </c>
      <c r="S223" s="104">
        <v>190093</v>
      </c>
      <c r="T223" s="103">
        <v>2869411</v>
      </c>
      <c r="U223" s="72">
        <v>-313445.57</v>
      </c>
      <c r="V223" s="72">
        <v>0</v>
      </c>
    </row>
    <row r="224" spans="1:22">
      <c r="A224" s="14" t="s">
        <v>1080</v>
      </c>
      <c r="B224" s="15" t="s">
        <v>1081</v>
      </c>
      <c r="C224" s="14" t="s">
        <v>1220</v>
      </c>
      <c r="D224" s="14">
        <v>71</v>
      </c>
      <c r="E224" s="15" t="s">
        <v>683</v>
      </c>
      <c r="F224" s="15" t="s">
        <v>684</v>
      </c>
      <c r="G224" s="14" t="s">
        <v>685</v>
      </c>
      <c r="H224" s="14"/>
      <c r="I224" s="14"/>
      <c r="J224" s="16">
        <v>2677.09</v>
      </c>
      <c r="K224" s="66">
        <v>3011294</v>
      </c>
      <c r="L224" s="66">
        <v>3310793</v>
      </c>
      <c r="M224" s="66">
        <v>901933</v>
      </c>
      <c r="N224" s="101">
        <v>246019</v>
      </c>
      <c r="O224" s="64">
        <v>15713564</v>
      </c>
      <c r="P224" s="64">
        <v>986654</v>
      </c>
      <c r="Q224" s="64">
        <v>218565</v>
      </c>
      <c r="R224" s="62">
        <v>143541</v>
      </c>
      <c r="S224" s="104">
        <v>237951</v>
      </c>
      <c r="T224" s="103">
        <v>1670880</v>
      </c>
      <c r="U224" s="72">
        <v>-239044.08</v>
      </c>
      <c r="V224" s="72">
        <v>-2910</v>
      </c>
    </row>
    <row r="225" spans="1:22">
      <c r="A225" s="14" t="s">
        <v>1080</v>
      </c>
      <c r="B225" s="15" t="s">
        <v>1081</v>
      </c>
      <c r="C225" s="14" t="s">
        <v>1220</v>
      </c>
      <c r="D225" s="14">
        <v>71</v>
      </c>
      <c r="E225" s="15" t="s">
        <v>683</v>
      </c>
      <c r="F225" s="15" t="s">
        <v>686</v>
      </c>
      <c r="G225" s="14" t="s">
        <v>687</v>
      </c>
      <c r="H225" s="14"/>
      <c r="I225" s="14"/>
      <c r="J225" s="16">
        <v>3638.36</v>
      </c>
      <c r="K225" s="66">
        <v>983898</v>
      </c>
      <c r="L225" s="66">
        <v>3545220</v>
      </c>
      <c r="M225" s="66">
        <v>1465628</v>
      </c>
      <c r="N225" s="101">
        <v>1489032</v>
      </c>
      <c r="O225" s="64">
        <v>21922225</v>
      </c>
      <c r="P225" s="64">
        <v>1221924</v>
      </c>
      <c r="Q225" s="64">
        <v>89128</v>
      </c>
      <c r="R225" s="62">
        <v>200467</v>
      </c>
      <c r="S225" s="104">
        <v>394284</v>
      </c>
      <c r="T225" s="103">
        <v>3223642</v>
      </c>
      <c r="U225" s="72">
        <v>-348652.82</v>
      </c>
      <c r="V225" s="72">
        <v>-12949.93</v>
      </c>
    </row>
    <row r="226" spans="1:22">
      <c r="A226" s="14" t="s">
        <v>1080</v>
      </c>
      <c r="B226" s="15" t="s">
        <v>1081</v>
      </c>
      <c r="C226" s="14" t="s">
        <v>1220</v>
      </c>
      <c r="D226" s="14">
        <v>71</v>
      </c>
      <c r="E226" s="15" t="s">
        <v>683</v>
      </c>
      <c r="F226" s="15" t="s">
        <v>688</v>
      </c>
      <c r="G226" s="14" t="s">
        <v>689</v>
      </c>
      <c r="H226" s="14"/>
      <c r="I226" s="14"/>
      <c r="J226" s="16">
        <v>11874.92</v>
      </c>
      <c r="K226" s="66">
        <v>11161776</v>
      </c>
      <c r="L226" s="66">
        <v>15564925</v>
      </c>
      <c r="M226" s="66">
        <v>2293361</v>
      </c>
      <c r="N226" s="101">
        <v>1847382</v>
      </c>
      <c r="O226" s="64">
        <v>73184843</v>
      </c>
      <c r="P226" s="64">
        <v>8186577</v>
      </c>
      <c r="Q226" s="64">
        <v>1622857</v>
      </c>
      <c r="R226" s="62">
        <v>3025484</v>
      </c>
      <c r="S226" s="104">
        <v>972945</v>
      </c>
      <c r="T226" s="103">
        <v>11251604</v>
      </c>
      <c r="U226" s="72">
        <v>-944316.53</v>
      </c>
      <c r="V226" s="72">
        <v>-241130.99</v>
      </c>
    </row>
    <row r="227" spans="1:22">
      <c r="A227" s="14" t="s">
        <v>1080</v>
      </c>
      <c r="B227" s="15" t="s">
        <v>1081</v>
      </c>
      <c r="C227" s="14" t="s">
        <v>1220</v>
      </c>
      <c r="D227" s="14">
        <v>73</v>
      </c>
      <c r="E227" s="15" t="s">
        <v>690</v>
      </c>
      <c r="F227" s="15" t="s">
        <v>691</v>
      </c>
      <c r="G227" s="14" t="s">
        <v>692</v>
      </c>
      <c r="H227" s="14"/>
      <c r="I227" s="14"/>
      <c r="J227" s="16">
        <v>1005.06</v>
      </c>
      <c r="K227" s="66">
        <v>370354</v>
      </c>
      <c r="L227" s="66">
        <v>673335</v>
      </c>
      <c r="M227" s="66">
        <v>232919</v>
      </c>
      <c r="N227" s="101">
        <v>243298</v>
      </c>
      <c r="O227" s="64">
        <v>6637411</v>
      </c>
      <c r="P227" s="64">
        <v>330346</v>
      </c>
      <c r="Q227" s="64">
        <v>-9719</v>
      </c>
      <c r="R227" s="62">
        <v>178507</v>
      </c>
      <c r="S227" s="104">
        <v>162397</v>
      </c>
      <c r="T227" s="103">
        <v>254603</v>
      </c>
      <c r="U227" s="72">
        <v>-48965.25</v>
      </c>
      <c r="V227" s="72">
        <v>0</v>
      </c>
    </row>
    <row r="228" spans="1:22">
      <c r="A228" s="14" t="s">
        <v>1080</v>
      </c>
      <c r="B228" s="15" t="s">
        <v>1081</v>
      </c>
      <c r="C228" s="14" t="s">
        <v>1220</v>
      </c>
      <c r="D228" s="14">
        <v>73</v>
      </c>
      <c r="E228" s="15" t="s">
        <v>690</v>
      </c>
      <c r="F228" s="15" t="s">
        <v>693</v>
      </c>
      <c r="G228" s="14" t="s">
        <v>694</v>
      </c>
      <c r="H228" s="14"/>
      <c r="I228" s="14"/>
      <c r="J228" s="16">
        <v>762.61</v>
      </c>
      <c r="K228" s="66">
        <v>303563</v>
      </c>
      <c r="L228" s="66">
        <v>1074251</v>
      </c>
      <c r="M228" s="66">
        <v>245744</v>
      </c>
      <c r="N228" s="101">
        <v>239341</v>
      </c>
      <c r="O228" s="64">
        <v>4861006</v>
      </c>
      <c r="P228" s="64">
        <v>534532</v>
      </c>
      <c r="Q228" s="64">
        <v>32594</v>
      </c>
      <c r="R228" s="62">
        <v>255096</v>
      </c>
      <c r="S228" s="104">
        <v>90996</v>
      </c>
      <c r="T228" s="103">
        <v>486728</v>
      </c>
      <c r="U228" s="72">
        <v>-95636.81</v>
      </c>
      <c r="V228" s="72">
        <v>-14904.73</v>
      </c>
    </row>
    <row r="229" spans="1:22">
      <c r="A229" s="14" t="s">
        <v>1080</v>
      </c>
      <c r="B229" s="15" t="s">
        <v>1081</v>
      </c>
      <c r="C229" s="14" t="s">
        <v>1220</v>
      </c>
      <c r="D229" s="14">
        <v>73</v>
      </c>
      <c r="E229" s="15" t="s">
        <v>690</v>
      </c>
      <c r="F229" s="15" t="s">
        <v>695</v>
      </c>
      <c r="G229" s="14" t="s">
        <v>696</v>
      </c>
      <c r="H229" s="14"/>
      <c r="I229" s="14"/>
      <c r="J229" s="16">
        <v>1420.17</v>
      </c>
      <c r="K229" s="66">
        <v>1209252</v>
      </c>
      <c r="L229" s="66">
        <v>788893</v>
      </c>
      <c r="M229" s="66">
        <v>515066</v>
      </c>
      <c r="N229" s="101">
        <v>231414</v>
      </c>
      <c r="O229" s="64">
        <v>9918172</v>
      </c>
      <c r="P229" s="64">
        <v>712585</v>
      </c>
      <c r="Q229" s="64">
        <v>249587</v>
      </c>
      <c r="R229" s="62">
        <v>389469</v>
      </c>
      <c r="S229" s="104">
        <v>220722</v>
      </c>
      <c r="T229" s="103">
        <v>566839</v>
      </c>
      <c r="U229" s="72">
        <v>-115921.03</v>
      </c>
      <c r="V229" s="72">
        <v>-1374.29</v>
      </c>
    </row>
    <row r="230" spans="1:22">
      <c r="A230" s="14" t="s">
        <v>1080</v>
      </c>
      <c r="B230" s="15" t="s">
        <v>1081</v>
      </c>
      <c r="C230" s="14" t="s">
        <v>1220</v>
      </c>
      <c r="D230" s="14">
        <v>73</v>
      </c>
      <c r="E230" s="15" t="s">
        <v>690</v>
      </c>
      <c r="F230" s="15" t="s">
        <v>697</v>
      </c>
      <c r="G230" s="14" t="s">
        <v>698</v>
      </c>
      <c r="H230" s="14"/>
      <c r="I230" s="14"/>
      <c r="J230" s="16">
        <v>1062.46</v>
      </c>
      <c r="K230" s="66">
        <v>551846</v>
      </c>
      <c r="L230" s="66">
        <v>788816</v>
      </c>
      <c r="M230" s="66">
        <v>319749</v>
      </c>
      <c r="N230" s="101">
        <v>156510</v>
      </c>
      <c r="O230" s="64">
        <v>6978900</v>
      </c>
      <c r="P230" s="64">
        <v>726036</v>
      </c>
      <c r="Q230" s="64">
        <v>28261</v>
      </c>
      <c r="R230" s="62">
        <v>219573</v>
      </c>
      <c r="S230" s="104">
        <v>174310</v>
      </c>
      <c r="T230" s="103">
        <v>605527</v>
      </c>
      <c r="U230" s="72">
        <v>-59689.58</v>
      </c>
      <c r="V230" s="72">
        <v>-12319.18</v>
      </c>
    </row>
    <row r="231" spans="1:22">
      <c r="A231" s="14" t="s">
        <v>1080</v>
      </c>
      <c r="B231" s="15" t="s">
        <v>1081</v>
      </c>
      <c r="C231" s="14" t="s">
        <v>1220</v>
      </c>
      <c r="D231" s="14">
        <v>73</v>
      </c>
      <c r="E231" s="15" t="s">
        <v>690</v>
      </c>
      <c r="F231" s="15" t="s">
        <v>699</v>
      </c>
      <c r="G231" s="14" t="s">
        <v>700</v>
      </c>
      <c r="H231" s="14"/>
      <c r="I231" s="14"/>
      <c r="J231" s="16">
        <v>9734.9599999999991</v>
      </c>
      <c r="K231" s="66">
        <v>9502321</v>
      </c>
      <c r="L231" s="66">
        <v>5520523</v>
      </c>
      <c r="M231" s="66">
        <v>3435259</v>
      </c>
      <c r="N231" s="101">
        <v>2588009</v>
      </c>
      <c r="O231" s="64">
        <v>63237718</v>
      </c>
      <c r="P231" s="64">
        <v>11009077</v>
      </c>
      <c r="Q231" s="64">
        <v>1795883</v>
      </c>
      <c r="R231" s="62">
        <v>5432369</v>
      </c>
      <c r="S231" s="104">
        <v>1871704</v>
      </c>
      <c r="T231" s="103">
        <v>4234724</v>
      </c>
      <c r="U231" s="72">
        <v>-1264840.1499999999</v>
      </c>
      <c r="V231" s="72">
        <v>-1033477.48</v>
      </c>
    </row>
    <row r="232" spans="1:22">
      <c r="A232" s="14" t="s">
        <v>1080</v>
      </c>
      <c r="B232" s="15" t="s">
        <v>1081</v>
      </c>
      <c r="C232" s="14" t="s">
        <v>1220</v>
      </c>
      <c r="D232" s="14">
        <v>73</v>
      </c>
      <c r="E232" s="15" t="s">
        <v>690</v>
      </c>
      <c r="F232" s="15" t="s">
        <v>701</v>
      </c>
      <c r="G232" s="14" t="s">
        <v>702</v>
      </c>
      <c r="H232" s="14"/>
      <c r="I232" s="14"/>
      <c r="J232" s="16">
        <v>1063.43</v>
      </c>
      <c r="K232" s="66">
        <v>844232</v>
      </c>
      <c r="L232" s="66">
        <v>721532</v>
      </c>
      <c r="M232" s="66">
        <v>686348</v>
      </c>
      <c r="N232" s="101">
        <v>195762</v>
      </c>
      <c r="O232" s="64">
        <v>7221480</v>
      </c>
      <c r="P232" s="64">
        <v>742439</v>
      </c>
      <c r="Q232" s="64">
        <v>114154</v>
      </c>
      <c r="R232" s="62">
        <v>200574</v>
      </c>
      <c r="S232" s="104">
        <v>169405</v>
      </c>
      <c r="T232" s="103">
        <v>700656</v>
      </c>
      <c r="U232" s="72">
        <v>-82668.7</v>
      </c>
      <c r="V232" s="72">
        <v>0</v>
      </c>
    </row>
    <row r="233" spans="1:22">
      <c r="A233" s="14" t="s">
        <v>1080</v>
      </c>
      <c r="B233" s="15" t="s">
        <v>1081</v>
      </c>
      <c r="C233" s="14" t="s">
        <v>1220</v>
      </c>
      <c r="D233" s="14">
        <v>73</v>
      </c>
      <c r="E233" s="15" t="s">
        <v>690</v>
      </c>
      <c r="F233" s="15" t="s">
        <v>703</v>
      </c>
      <c r="G233" s="14" t="s">
        <v>704</v>
      </c>
      <c r="H233" s="14"/>
      <c r="I233" s="14"/>
      <c r="J233" s="16">
        <v>1629.98</v>
      </c>
      <c r="K233" s="66">
        <v>609633</v>
      </c>
      <c r="L233" s="66">
        <v>1211066</v>
      </c>
      <c r="M233" s="66">
        <v>696673</v>
      </c>
      <c r="N233" s="101">
        <v>277788</v>
      </c>
      <c r="O233" s="64">
        <v>10349665</v>
      </c>
      <c r="P233" s="64">
        <v>877970</v>
      </c>
      <c r="Q233" s="64">
        <v>90529</v>
      </c>
      <c r="R233" s="62">
        <v>248802</v>
      </c>
      <c r="S233" s="104">
        <v>179034</v>
      </c>
      <c r="T233" s="103">
        <v>717382</v>
      </c>
      <c r="U233" s="72">
        <v>-156253.15</v>
      </c>
      <c r="V233" s="72">
        <v>-11076.36</v>
      </c>
    </row>
    <row r="234" spans="1:22">
      <c r="A234" s="14" t="s">
        <v>1080</v>
      </c>
      <c r="B234" s="15" t="s">
        <v>1081</v>
      </c>
      <c r="C234" s="14" t="s">
        <v>1220</v>
      </c>
      <c r="D234" s="14">
        <v>73</v>
      </c>
      <c r="E234" s="15" t="s">
        <v>690</v>
      </c>
      <c r="F234" s="15" t="s">
        <v>705</v>
      </c>
      <c r="G234" s="14" t="s">
        <v>706</v>
      </c>
      <c r="H234" s="14"/>
      <c r="I234" s="14"/>
      <c r="J234" s="16">
        <v>3102.02</v>
      </c>
      <c r="K234" s="66">
        <v>1311955</v>
      </c>
      <c r="L234" s="66">
        <v>3633829</v>
      </c>
      <c r="M234" s="66">
        <v>1210784</v>
      </c>
      <c r="N234" s="101">
        <v>1552238</v>
      </c>
      <c r="O234" s="64">
        <v>18795237</v>
      </c>
      <c r="P234" s="64">
        <v>1377411</v>
      </c>
      <c r="Q234" s="64">
        <v>188502</v>
      </c>
      <c r="R234" s="62">
        <v>270580</v>
      </c>
      <c r="S234" s="104">
        <v>300260</v>
      </c>
      <c r="T234" s="103">
        <v>2732555</v>
      </c>
      <c r="U234" s="72">
        <v>-317140.69</v>
      </c>
      <c r="V234" s="72">
        <v>0</v>
      </c>
    </row>
    <row r="235" spans="1:22">
      <c r="A235" s="14" t="s">
        <v>1080</v>
      </c>
      <c r="B235" s="15" t="s">
        <v>1081</v>
      </c>
      <c r="C235" s="14" t="s">
        <v>1220</v>
      </c>
      <c r="D235" s="14">
        <v>73</v>
      </c>
      <c r="E235" s="15" t="s">
        <v>690</v>
      </c>
      <c r="F235" s="15" t="s">
        <v>707</v>
      </c>
      <c r="G235" s="14" t="s">
        <v>708</v>
      </c>
      <c r="H235" s="14"/>
      <c r="I235" s="14"/>
      <c r="J235" s="16">
        <v>2285.87</v>
      </c>
      <c r="K235" s="66">
        <v>968861</v>
      </c>
      <c r="L235" s="66">
        <v>1184915</v>
      </c>
      <c r="M235" s="66">
        <v>1241461</v>
      </c>
      <c r="N235" s="101">
        <v>275037</v>
      </c>
      <c r="O235" s="64">
        <v>14466951</v>
      </c>
      <c r="P235" s="64">
        <v>1055845</v>
      </c>
      <c r="Q235" s="64">
        <v>419966</v>
      </c>
      <c r="R235" s="62">
        <v>454133</v>
      </c>
      <c r="S235" s="104">
        <v>323446</v>
      </c>
      <c r="T235" s="103">
        <v>1163612</v>
      </c>
      <c r="U235" s="72">
        <v>-135768.45000000001</v>
      </c>
      <c r="V235" s="72">
        <v>-12755.6</v>
      </c>
    </row>
    <row r="236" spans="1:22">
      <c r="A236" s="14" t="s">
        <v>1017</v>
      </c>
      <c r="B236" s="15" t="s">
        <v>1018</v>
      </c>
      <c r="C236" s="14" t="s">
        <v>1220</v>
      </c>
      <c r="D236" s="14">
        <v>74</v>
      </c>
      <c r="E236" s="15" t="s">
        <v>709</v>
      </c>
      <c r="F236" s="15" t="s">
        <v>710</v>
      </c>
      <c r="G236" s="14" t="s">
        <v>711</v>
      </c>
      <c r="H236" s="14"/>
      <c r="I236" s="14"/>
      <c r="J236" s="16">
        <v>721.9</v>
      </c>
      <c r="K236" s="66">
        <v>303794</v>
      </c>
      <c r="L236" s="66">
        <v>241908</v>
      </c>
      <c r="M236" s="66">
        <v>265641</v>
      </c>
      <c r="N236" s="101">
        <v>73106</v>
      </c>
      <c r="O236" s="64">
        <v>4703996</v>
      </c>
      <c r="P236" s="64">
        <v>447678</v>
      </c>
      <c r="Q236" s="64">
        <v>41814</v>
      </c>
      <c r="R236" s="62">
        <v>195470</v>
      </c>
      <c r="S236" s="104">
        <v>109751</v>
      </c>
      <c r="T236" s="103">
        <v>237767</v>
      </c>
      <c r="U236" s="72">
        <v>-53958.06</v>
      </c>
      <c r="V236" s="72">
        <v>0</v>
      </c>
    </row>
    <row r="237" spans="1:22">
      <c r="A237" s="14" t="s">
        <v>1017</v>
      </c>
      <c r="B237" s="15" t="s">
        <v>1018</v>
      </c>
      <c r="C237" s="14" t="s">
        <v>1220</v>
      </c>
      <c r="D237" s="14">
        <v>74</v>
      </c>
      <c r="E237" s="15" t="s">
        <v>709</v>
      </c>
      <c r="F237" s="15" t="s">
        <v>712</v>
      </c>
      <c r="G237" s="14" t="s">
        <v>713</v>
      </c>
      <c r="H237" s="14"/>
      <c r="I237" s="14"/>
      <c r="J237" s="16">
        <v>5043.6400000000003</v>
      </c>
      <c r="K237" s="66">
        <v>3906921</v>
      </c>
      <c r="L237" s="66">
        <v>3134826</v>
      </c>
      <c r="M237" s="66">
        <v>1495615</v>
      </c>
      <c r="N237" s="101">
        <v>1234425</v>
      </c>
      <c r="O237" s="64">
        <v>33235948</v>
      </c>
      <c r="P237" s="64">
        <v>2607208</v>
      </c>
      <c r="Q237" s="64">
        <v>288215</v>
      </c>
      <c r="R237" s="62">
        <v>2091266</v>
      </c>
      <c r="S237" s="104">
        <v>885788</v>
      </c>
      <c r="T237" s="103">
        <v>1961411</v>
      </c>
      <c r="U237" s="72">
        <v>-357810.42</v>
      </c>
      <c r="V237" s="72">
        <v>-530124.53</v>
      </c>
    </row>
    <row r="238" spans="1:22">
      <c r="A238" s="14" t="s">
        <v>1017</v>
      </c>
      <c r="B238" s="15" t="s">
        <v>1018</v>
      </c>
      <c r="C238" s="14" t="s">
        <v>1220</v>
      </c>
      <c r="D238" s="14">
        <v>74</v>
      </c>
      <c r="E238" s="15" t="s">
        <v>709</v>
      </c>
      <c r="F238" s="15" t="s">
        <v>714</v>
      </c>
      <c r="G238" s="14" t="s">
        <v>715</v>
      </c>
      <c r="H238" s="14"/>
      <c r="I238" s="14"/>
      <c r="J238" s="16">
        <v>745.89</v>
      </c>
      <c r="K238" s="66">
        <v>197420</v>
      </c>
      <c r="L238" s="66">
        <v>750660</v>
      </c>
      <c r="M238" s="66">
        <v>351724</v>
      </c>
      <c r="N238" s="101">
        <v>229187</v>
      </c>
      <c r="O238" s="64">
        <v>4502503</v>
      </c>
      <c r="P238" s="64">
        <v>77601</v>
      </c>
      <c r="Q238" s="64">
        <v>12663</v>
      </c>
      <c r="R238" s="62">
        <v>39144</v>
      </c>
      <c r="S238" s="104">
        <v>89583</v>
      </c>
      <c r="T238" s="103">
        <v>763762</v>
      </c>
      <c r="U238" s="72">
        <v>-32849.56</v>
      </c>
      <c r="V238" s="72">
        <v>0</v>
      </c>
    </row>
    <row r="239" spans="1:22">
      <c r="A239" s="14" t="s">
        <v>1249</v>
      </c>
      <c r="B239" s="15" t="s">
        <v>1250</v>
      </c>
      <c r="C239" s="14" t="s">
        <v>1220</v>
      </c>
      <c r="D239" s="14">
        <v>75</v>
      </c>
      <c r="E239" s="15" t="s">
        <v>716</v>
      </c>
      <c r="F239" s="15" t="s">
        <v>717</v>
      </c>
      <c r="G239" s="14" t="s">
        <v>718</v>
      </c>
      <c r="H239" s="14"/>
      <c r="I239" s="14"/>
      <c r="J239" s="16">
        <v>249.19</v>
      </c>
      <c r="K239" s="66">
        <v>184319</v>
      </c>
      <c r="L239" s="66">
        <v>232780</v>
      </c>
      <c r="M239" s="66">
        <v>102211</v>
      </c>
      <c r="N239" s="101">
        <v>46995</v>
      </c>
      <c r="O239" s="64">
        <v>1708806</v>
      </c>
      <c r="P239" s="64">
        <v>73999</v>
      </c>
      <c r="Q239" s="64">
        <v>9451</v>
      </c>
      <c r="R239" s="62">
        <v>38559</v>
      </c>
      <c r="S239" s="104">
        <v>34358</v>
      </c>
      <c r="T239" s="103">
        <v>78816</v>
      </c>
      <c r="U239" s="72">
        <v>-28600.76</v>
      </c>
      <c r="V239" s="72">
        <v>0</v>
      </c>
    </row>
    <row r="240" spans="1:22">
      <c r="A240" s="14" t="s">
        <v>1249</v>
      </c>
      <c r="B240" s="15" t="s">
        <v>1250</v>
      </c>
      <c r="C240" s="14" t="s">
        <v>1220</v>
      </c>
      <c r="D240" s="14">
        <v>75</v>
      </c>
      <c r="E240" s="15" t="s">
        <v>716</v>
      </c>
      <c r="F240" s="15" t="s">
        <v>719</v>
      </c>
      <c r="G240" s="14" t="s">
        <v>720</v>
      </c>
      <c r="H240" s="14"/>
      <c r="I240" s="14"/>
      <c r="J240" s="16">
        <v>902.92</v>
      </c>
      <c r="K240" s="66">
        <v>569660</v>
      </c>
      <c r="L240" s="66">
        <v>1492005</v>
      </c>
      <c r="M240" s="66">
        <v>690888</v>
      </c>
      <c r="N240" s="101">
        <v>948560</v>
      </c>
      <c r="O240" s="64">
        <v>5728182</v>
      </c>
      <c r="P240" s="64">
        <v>771770</v>
      </c>
      <c r="Q240" s="64">
        <v>48655</v>
      </c>
      <c r="R240" s="62">
        <v>145348</v>
      </c>
      <c r="S240" s="104">
        <v>123830</v>
      </c>
      <c r="T240" s="103">
        <v>1398212</v>
      </c>
      <c r="U240" s="72">
        <v>-88651.58</v>
      </c>
      <c r="V240" s="72">
        <v>0</v>
      </c>
    </row>
    <row r="241" spans="1:22">
      <c r="A241" s="14" t="s">
        <v>1249</v>
      </c>
      <c r="B241" s="15" t="s">
        <v>1250</v>
      </c>
      <c r="C241" s="14" t="s">
        <v>1220</v>
      </c>
      <c r="D241" s="14">
        <v>75</v>
      </c>
      <c r="E241" s="15" t="s">
        <v>716</v>
      </c>
      <c r="F241" s="15" t="s">
        <v>721</v>
      </c>
      <c r="G241" s="14" t="s">
        <v>722</v>
      </c>
      <c r="H241" s="14"/>
      <c r="I241" s="14"/>
      <c r="J241" s="16">
        <v>173.12</v>
      </c>
      <c r="K241" s="66">
        <v>410624</v>
      </c>
      <c r="L241" s="66">
        <v>9879</v>
      </c>
      <c r="M241" s="66">
        <v>92751</v>
      </c>
      <c r="N241" s="101">
        <v>16127</v>
      </c>
      <c r="O241" s="64">
        <v>1384250</v>
      </c>
      <c r="P241" s="64">
        <v>47209</v>
      </c>
      <c r="Q241" s="64">
        <v>15218</v>
      </c>
      <c r="R241" s="62">
        <v>77266</v>
      </c>
      <c r="S241" s="104">
        <v>33331</v>
      </c>
      <c r="T241" s="103">
        <v>68995</v>
      </c>
      <c r="U241" s="72">
        <v>-27574.61</v>
      </c>
      <c r="V241" s="72">
        <v>0</v>
      </c>
    </row>
    <row r="242" spans="1:22">
      <c r="A242" s="14" t="s">
        <v>1087</v>
      </c>
      <c r="B242" s="15" t="s">
        <v>1088</v>
      </c>
      <c r="C242" s="14" t="s">
        <v>1220</v>
      </c>
      <c r="D242" s="14">
        <v>76</v>
      </c>
      <c r="E242" s="15" t="s">
        <v>723</v>
      </c>
      <c r="F242" s="15" t="s">
        <v>724</v>
      </c>
      <c r="G242" s="14" t="s">
        <v>725</v>
      </c>
      <c r="H242" s="14"/>
      <c r="I242" s="14"/>
      <c r="J242" s="16">
        <v>563.08000000000004</v>
      </c>
      <c r="K242" s="66">
        <v>221916</v>
      </c>
      <c r="L242" s="66">
        <v>499797</v>
      </c>
      <c r="M242" s="66">
        <v>199395</v>
      </c>
      <c r="N242" s="101">
        <v>94723</v>
      </c>
      <c r="O242" s="64">
        <v>4104943</v>
      </c>
      <c r="P242" s="64">
        <v>422216</v>
      </c>
      <c r="Q242" s="64">
        <v>42982</v>
      </c>
      <c r="R242" s="62">
        <v>121151</v>
      </c>
      <c r="S242" s="104">
        <v>117852</v>
      </c>
      <c r="T242" s="103">
        <v>228163</v>
      </c>
      <c r="U242" s="72">
        <v>-40111.230000000003</v>
      </c>
      <c r="V242" s="72">
        <v>-2376.11</v>
      </c>
    </row>
    <row r="243" spans="1:22">
      <c r="A243" s="14" t="s">
        <v>1087</v>
      </c>
      <c r="B243" s="15" t="s">
        <v>1088</v>
      </c>
      <c r="C243" s="14" t="s">
        <v>1220</v>
      </c>
      <c r="D243" s="14">
        <v>76</v>
      </c>
      <c r="E243" s="15" t="s">
        <v>723</v>
      </c>
      <c r="F243" s="15" t="s">
        <v>726</v>
      </c>
      <c r="G243" s="14" t="s">
        <v>727</v>
      </c>
      <c r="H243" s="14"/>
      <c r="I243" s="14"/>
      <c r="J243" s="16">
        <v>1014.52</v>
      </c>
      <c r="K243" s="66">
        <v>424104</v>
      </c>
      <c r="L243" s="66">
        <v>361645</v>
      </c>
      <c r="M243" s="66">
        <v>943143</v>
      </c>
      <c r="N243" s="101">
        <v>108147</v>
      </c>
      <c r="O243" s="64">
        <v>6774181</v>
      </c>
      <c r="P243" s="64">
        <v>640323</v>
      </c>
      <c r="Q243" s="64">
        <v>218779</v>
      </c>
      <c r="R243" s="62">
        <v>175180</v>
      </c>
      <c r="S243" s="104">
        <v>169442</v>
      </c>
      <c r="T243" s="103">
        <v>457754</v>
      </c>
      <c r="U243" s="72">
        <v>-63274.38</v>
      </c>
      <c r="V243" s="72">
        <v>-1385.75</v>
      </c>
    </row>
    <row r="244" spans="1:22">
      <c r="A244" s="14" t="s">
        <v>1132</v>
      </c>
      <c r="B244" s="15" t="s">
        <v>1133</v>
      </c>
      <c r="C244" s="14" t="s">
        <v>1220</v>
      </c>
      <c r="D244" s="14">
        <v>77</v>
      </c>
      <c r="E244" s="15" t="s">
        <v>728</v>
      </c>
      <c r="F244" s="15" t="s">
        <v>557</v>
      </c>
      <c r="G244" s="14" t="s">
        <v>558</v>
      </c>
      <c r="H244" s="14"/>
      <c r="I244" s="14"/>
      <c r="J244" s="16">
        <v>482.83</v>
      </c>
      <c r="K244" s="66">
        <v>50779</v>
      </c>
      <c r="L244" s="66">
        <v>282417</v>
      </c>
      <c r="M244" s="66">
        <v>407512</v>
      </c>
      <c r="N244" s="101">
        <v>320796</v>
      </c>
      <c r="O244" s="64">
        <v>3606503</v>
      </c>
      <c r="P244" s="64">
        <v>172709</v>
      </c>
      <c r="Q244" s="64">
        <v>12491</v>
      </c>
      <c r="R244" s="62">
        <v>211490</v>
      </c>
      <c r="S244" s="104">
        <v>170953</v>
      </c>
      <c r="T244" s="103">
        <v>76247</v>
      </c>
      <c r="U244" s="72">
        <v>-26184.67</v>
      </c>
      <c r="V244" s="72">
        <v>-1583</v>
      </c>
    </row>
    <row r="245" spans="1:22">
      <c r="A245" s="14" t="s">
        <v>1132</v>
      </c>
      <c r="B245" s="15" t="s">
        <v>1133</v>
      </c>
      <c r="C245" s="14" t="s">
        <v>1220</v>
      </c>
      <c r="D245" s="14">
        <v>77</v>
      </c>
      <c r="E245" s="15" t="s">
        <v>728</v>
      </c>
      <c r="F245" s="15" t="s">
        <v>559</v>
      </c>
      <c r="G245" s="14" t="s">
        <v>560</v>
      </c>
      <c r="H245" s="14"/>
      <c r="I245" s="14"/>
      <c r="J245" s="16">
        <v>514.55999999999995</v>
      </c>
      <c r="K245" s="66">
        <v>104427</v>
      </c>
      <c r="L245" s="66">
        <v>181718</v>
      </c>
      <c r="M245" s="66">
        <v>319254</v>
      </c>
      <c r="N245" s="101">
        <v>93794</v>
      </c>
      <c r="O245" s="64">
        <v>3622579</v>
      </c>
      <c r="P245" s="64">
        <v>387905</v>
      </c>
      <c r="Q245" s="64">
        <v>37649</v>
      </c>
      <c r="R245" s="62">
        <v>155851</v>
      </c>
      <c r="S245" s="104">
        <v>175169</v>
      </c>
      <c r="T245" s="103">
        <v>121715</v>
      </c>
      <c r="U245" s="72">
        <v>-24064.61</v>
      </c>
      <c r="V245" s="72">
        <v>0</v>
      </c>
    </row>
    <row r="246" spans="1:22">
      <c r="A246" s="14" t="s">
        <v>1249</v>
      </c>
      <c r="B246" s="15" t="s">
        <v>1250</v>
      </c>
      <c r="C246" s="14" t="s">
        <v>1220</v>
      </c>
      <c r="D246" s="14">
        <v>78</v>
      </c>
      <c r="E246" s="15" t="s">
        <v>561</v>
      </c>
      <c r="F246" s="15" t="s">
        <v>562</v>
      </c>
      <c r="G246" s="14" t="s">
        <v>563</v>
      </c>
      <c r="H246" s="14"/>
      <c r="I246" s="14"/>
      <c r="J246" s="16">
        <v>160.76</v>
      </c>
      <c r="K246" s="66">
        <v>125309</v>
      </c>
      <c r="L246" s="66">
        <v>6937</v>
      </c>
      <c r="M246" s="66">
        <v>306952</v>
      </c>
      <c r="N246" s="101">
        <v>23353</v>
      </c>
      <c r="O246" s="64">
        <v>1097989</v>
      </c>
      <c r="P246" s="64">
        <v>120591</v>
      </c>
      <c r="Q246" s="64">
        <v>56812</v>
      </c>
      <c r="R246" s="62">
        <v>166528</v>
      </c>
      <c r="S246" s="104">
        <v>50190</v>
      </c>
      <c r="T246" s="103">
        <v>29396</v>
      </c>
      <c r="U246" s="72">
        <v>-17629.88</v>
      </c>
      <c r="V246" s="72">
        <v>0</v>
      </c>
    </row>
    <row r="247" spans="1:22">
      <c r="A247" s="14" t="s">
        <v>1249</v>
      </c>
      <c r="B247" s="15" t="s">
        <v>1250</v>
      </c>
      <c r="C247" s="14" t="s">
        <v>1220</v>
      </c>
      <c r="D247" s="14">
        <v>78</v>
      </c>
      <c r="E247" s="15" t="s">
        <v>561</v>
      </c>
      <c r="F247" s="15" t="s">
        <v>564</v>
      </c>
      <c r="G247" s="14" t="s">
        <v>565</v>
      </c>
      <c r="H247" s="14"/>
      <c r="I247" s="14"/>
      <c r="J247" s="16">
        <v>437.86</v>
      </c>
      <c r="K247" s="66">
        <v>300812</v>
      </c>
      <c r="L247" s="66">
        <v>186895</v>
      </c>
      <c r="M247" s="66">
        <v>321976</v>
      </c>
      <c r="N247" s="101">
        <v>35136</v>
      </c>
      <c r="O247" s="64">
        <v>3371651</v>
      </c>
      <c r="P247" s="64">
        <v>226590</v>
      </c>
      <c r="Q247" s="64">
        <v>14792</v>
      </c>
      <c r="R247" s="62">
        <v>278272</v>
      </c>
      <c r="S247" s="104">
        <v>76764</v>
      </c>
      <c r="T247" s="103">
        <v>161618</v>
      </c>
      <c r="U247" s="72">
        <v>-33529.51</v>
      </c>
      <c r="V247" s="72">
        <v>0</v>
      </c>
    </row>
    <row r="248" spans="1:22">
      <c r="A248" s="14" t="s">
        <v>1017</v>
      </c>
      <c r="B248" s="15" t="s">
        <v>1018</v>
      </c>
      <c r="C248" s="14" t="s">
        <v>1220</v>
      </c>
      <c r="D248" s="14">
        <v>79</v>
      </c>
      <c r="E248" s="15" t="s">
        <v>566</v>
      </c>
      <c r="F248" s="15" t="s">
        <v>567</v>
      </c>
      <c r="G248" s="14" t="s">
        <v>568</v>
      </c>
      <c r="H248" s="14"/>
      <c r="I248" s="14"/>
      <c r="J248" s="16">
        <v>633.85</v>
      </c>
      <c r="K248" s="66">
        <v>903968</v>
      </c>
      <c r="L248" s="66">
        <v>622216</v>
      </c>
      <c r="M248" s="66">
        <v>419550</v>
      </c>
      <c r="N248" s="101">
        <v>137785</v>
      </c>
      <c r="O248" s="64">
        <v>4209219</v>
      </c>
      <c r="P248" s="64">
        <v>330141</v>
      </c>
      <c r="Q248" s="64">
        <v>70678</v>
      </c>
      <c r="R248" s="62">
        <v>134703</v>
      </c>
      <c r="S248" s="104">
        <v>115075</v>
      </c>
      <c r="T248" s="103">
        <v>293976</v>
      </c>
      <c r="U248" s="72">
        <v>-59196.56</v>
      </c>
      <c r="V248" s="72">
        <v>0</v>
      </c>
    </row>
    <row r="249" spans="1:22">
      <c r="A249" s="14" t="s">
        <v>1017</v>
      </c>
      <c r="B249" s="15" t="s">
        <v>1018</v>
      </c>
      <c r="C249" s="14" t="s">
        <v>1220</v>
      </c>
      <c r="D249" s="14">
        <v>79</v>
      </c>
      <c r="E249" s="15" t="s">
        <v>566</v>
      </c>
      <c r="F249" s="15" t="s">
        <v>569</v>
      </c>
      <c r="G249" s="14" t="s">
        <v>570</v>
      </c>
      <c r="H249" s="14"/>
      <c r="I249" s="14"/>
      <c r="J249" s="16">
        <v>1329.35</v>
      </c>
      <c r="K249" s="66">
        <v>1009798</v>
      </c>
      <c r="L249" s="66">
        <v>307791</v>
      </c>
      <c r="M249" s="66">
        <v>865491</v>
      </c>
      <c r="N249" s="101">
        <v>111343</v>
      </c>
      <c r="O249" s="64">
        <v>8406967</v>
      </c>
      <c r="P249" s="64">
        <v>509778</v>
      </c>
      <c r="Q249" s="64">
        <v>53999</v>
      </c>
      <c r="R249" s="62">
        <v>189904</v>
      </c>
      <c r="S249" s="104">
        <v>154357</v>
      </c>
      <c r="T249" s="103">
        <v>547018</v>
      </c>
      <c r="U249" s="72">
        <v>-65587.87</v>
      </c>
      <c r="V249" s="72">
        <v>0</v>
      </c>
    </row>
    <row r="250" spans="1:22">
      <c r="A250" s="14" t="s">
        <v>954</v>
      </c>
      <c r="B250" s="15" t="s">
        <v>955</v>
      </c>
      <c r="C250" s="14" t="s">
        <v>943</v>
      </c>
      <c r="D250" s="14">
        <v>34</v>
      </c>
      <c r="E250" s="15" t="s">
        <v>956</v>
      </c>
      <c r="F250" s="15" t="s">
        <v>571</v>
      </c>
      <c r="G250" s="14" t="s">
        <v>572</v>
      </c>
      <c r="H250" s="14"/>
      <c r="I250" s="14"/>
      <c r="J250" s="16">
        <v>4.6900000000000004</v>
      </c>
      <c r="K250" s="66">
        <v>140558</v>
      </c>
      <c r="L250" s="66">
        <v>1137</v>
      </c>
      <c r="M250" s="66">
        <v>7972</v>
      </c>
      <c r="N250" s="101">
        <v>24209</v>
      </c>
      <c r="O250" s="64">
        <v>3047</v>
      </c>
      <c r="P250" s="64">
        <v>105673</v>
      </c>
      <c r="Q250" s="64">
        <v>5629</v>
      </c>
      <c r="R250" s="62">
        <v>25951</v>
      </c>
      <c r="S250" s="104">
        <v>0</v>
      </c>
      <c r="T250" s="103">
        <v>959</v>
      </c>
      <c r="U250" s="72">
        <v>0</v>
      </c>
      <c r="V250" s="72">
        <v>0</v>
      </c>
    </row>
    <row r="251" spans="1:22">
      <c r="A251" s="14" t="s">
        <v>1132</v>
      </c>
      <c r="B251" s="15" t="s">
        <v>1133</v>
      </c>
      <c r="C251" s="14" t="s">
        <v>1220</v>
      </c>
      <c r="D251" s="14">
        <v>80</v>
      </c>
      <c r="E251" s="15" t="s">
        <v>573</v>
      </c>
      <c r="F251" s="15" t="s">
        <v>574</v>
      </c>
      <c r="G251" s="14" t="s">
        <v>575</v>
      </c>
      <c r="H251" s="14"/>
      <c r="I251" s="14"/>
      <c r="J251" s="16">
        <v>449.77</v>
      </c>
      <c r="K251" s="66">
        <v>61717</v>
      </c>
      <c r="L251" s="66">
        <v>155952</v>
      </c>
      <c r="M251" s="66">
        <v>352916</v>
      </c>
      <c r="N251" s="101">
        <v>79277</v>
      </c>
      <c r="O251" s="64">
        <v>3058253</v>
      </c>
      <c r="P251" s="64">
        <v>408255</v>
      </c>
      <c r="Q251" s="64">
        <v>37690</v>
      </c>
      <c r="R251" s="62">
        <v>125360</v>
      </c>
      <c r="S251" s="104">
        <v>134210</v>
      </c>
      <c r="T251" s="103">
        <v>136328</v>
      </c>
      <c r="U251" s="72">
        <v>-19563.45</v>
      </c>
      <c r="V251" s="72">
        <v>0</v>
      </c>
    </row>
    <row r="252" spans="1:22">
      <c r="A252" s="14" t="s">
        <v>1132</v>
      </c>
      <c r="B252" s="15" t="s">
        <v>1133</v>
      </c>
      <c r="C252" s="14" t="s">
        <v>1220</v>
      </c>
      <c r="D252" s="14">
        <v>80</v>
      </c>
      <c r="E252" s="15" t="s">
        <v>573</v>
      </c>
      <c r="F252" s="15" t="s">
        <v>576</v>
      </c>
      <c r="G252" s="14" t="s">
        <v>577</v>
      </c>
      <c r="H252" s="14"/>
      <c r="I252" s="14"/>
      <c r="J252" s="16">
        <v>563.98</v>
      </c>
      <c r="K252" s="66">
        <v>256845</v>
      </c>
      <c r="L252" s="66">
        <v>18037</v>
      </c>
      <c r="M252" s="66">
        <v>265824</v>
      </c>
      <c r="N252" s="101">
        <v>43085</v>
      </c>
      <c r="O252" s="64">
        <v>4414872</v>
      </c>
      <c r="P252" s="64">
        <v>149660</v>
      </c>
      <c r="Q252" s="64">
        <v>44440</v>
      </c>
      <c r="R252" s="62">
        <v>166532</v>
      </c>
      <c r="S252" s="104">
        <v>157001</v>
      </c>
      <c r="T252" s="103">
        <v>92326</v>
      </c>
      <c r="U252" s="72">
        <v>-27233.78</v>
      </c>
      <c r="V252" s="72">
        <v>0</v>
      </c>
    </row>
    <row r="253" spans="1:22">
      <c r="A253" s="14" t="s">
        <v>1132</v>
      </c>
      <c r="B253" s="15" t="s">
        <v>1133</v>
      </c>
      <c r="C253" s="14" t="s">
        <v>1220</v>
      </c>
      <c r="D253" s="14">
        <v>80</v>
      </c>
      <c r="E253" s="15" t="s">
        <v>573</v>
      </c>
      <c r="F253" s="15" t="s">
        <v>578</v>
      </c>
      <c r="G253" s="14" t="s">
        <v>579</v>
      </c>
      <c r="H253" s="14"/>
      <c r="I253" s="14"/>
      <c r="J253" s="16">
        <v>764.88</v>
      </c>
      <c r="K253" s="66">
        <v>336837</v>
      </c>
      <c r="L253" s="66">
        <v>341858</v>
      </c>
      <c r="M253" s="66">
        <v>426056</v>
      </c>
      <c r="N253" s="101">
        <v>105624</v>
      </c>
      <c r="O253" s="64">
        <v>5210790</v>
      </c>
      <c r="P253" s="64">
        <v>307888</v>
      </c>
      <c r="Q253" s="64">
        <v>35843</v>
      </c>
      <c r="R253" s="62">
        <v>236264</v>
      </c>
      <c r="S253" s="104">
        <v>205817</v>
      </c>
      <c r="T253" s="103">
        <v>117740</v>
      </c>
      <c r="U253" s="72">
        <v>-49875.75</v>
      </c>
      <c r="V253" s="72">
        <v>0</v>
      </c>
    </row>
    <row r="254" spans="1:22">
      <c r="A254" s="14" t="s">
        <v>1092</v>
      </c>
      <c r="B254" s="15" t="s">
        <v>1093</v>
      </c>
      <c r="C254" s="14" t="s">
        <v>1220</v>
      </c>
      <c r="D254" s="14">
        <v>81</v>
      </c>
      <c r="E254" s="15" t="s">
        <v>580</v>
      </c>
      <c r="F254" s="15" t="s">
        <v>581</v>
      </c>
      <c r="G254" s="14" t="s">
        <v>582</v>
      </c>
      <c r="H254" s="14"/>
      <c r="I254" s="14"/>
      <c r="J254" s="16">
        <v>1953.5</v>
      </c>
      <c r="K254" s="66">
        <v>1281993</v>
      </c>
      <c r="L254" s="66">
        <v>1189513</v>
      </c>
      <c r="M254" s="66">
        <v>2326428</v>
      </c>
      <c r="N254" s="101">
        <v>467207</v>
      </c>
      <c r="O254" s="64">
        <v>12900406</v>
      </c>
      <c r="P254" s="64">
        <v>2189997</v>
      </c>
      <c r="Q254" s="64">
        <v>389159</v>
      </c>
      <c r="R254" s="62">
        <v>2233209</v>
      </c>
      <c r="S254" s="104">
        <v>319697</v>
      </c>
      <c r="T254" s="103">
        <v>1381403</v>
      </c>
      <c r="U254" s="72">
        <v>-173969.23</v>
      </c>
      <c r="V254" s="72">
        <v>-151278.93</v>
      </c>
    </row>
    <row r="255" spans="1:22">
      <c r="A255" s="14" t="s">
        <v>1224</v>
      </c>
      <c r="B255" s="15" t="s">
        <v>1225</v>
      </c>
      <c r="C255" s="14" t="s">
        <v>1220</v>
      </c>
      <c r="D255" s="14">
        <v>82</v>
      </c>
      <c r="E255" s="15" t="s">
        <v>583</v>
      </c>
      <c r="F255" s="15" t="s">
        <v>584</v>
      </c>
      <c r="G255" s="14" t="s">
        <v>585</v>
      </c>
      <c r="H255" s="14"/>
      <c r="I255" s="14"/>
      <c r="J255" s="16">
        <v>7382.13</v>
      </c>
      <c r="K255" s="66">
        <v>8313430</v>
      </c>
      <c r="L255" s="66">
        <v>4626752</v>
      </c>
      <c r="M255" s="66">
        <v>2002019</v>
      </c>
      <c r="N255" s="101">
        <v>821241</v>
      </c>
      <c r="O255" s="64">
        <v>45377414</v>
      </c>
      <c r="P255" s="64">
        <v>3868456</v>
      </c>
      <c r="Q255" s="64">
        <v>371413</v>
      </c>
      <c r="R255" s="62">
        <v>2463213</v>
      </c>
      <c r="S255" s="104">
        <v>893010</v>
      </c>
      <c r="T255" s="103">
        <v>6498518</v>
      </c>
      <c r="U255" s="72">
        <v>-719006.69</v>
      </c>
      <c r="V255" s="72">
        <v>-145485.15</v>
      </c>
    </row>
    <row r="256" spans="1:22">
      <c r="A256" s="14" t="s">
        <v>1224</v>
      </c>
      <c r="B256" s="15" t="s">
        <v>1225</v>
      </c>
      <c r="C256" s="14" t="s">
        <v>1220</v>
      </c>
      <c r="D256" s="14">
        <v>82</v>
      </c>
      <c r="E256" s="15" t="s">
        <v>583</v>
      </c>
      <c r="F256" s="15" t="s">
        <v>586</v>
      </c>
      <c r="G256" s="14" t="s">
        <v>587</v>
      </c>
      <c r="H256" s="14"/>
      <c r="I256" s="14"/>
      <c r="J256" s="16">
        <v>3052.42</v>
      </c>
      <c r="K256" s="66">
        <v>4918238</v>
      </c>
      <c r="L256" s="66">
        <v>3115816</v>
      </c>
      <c r="M256" s="66">
        <v>1438634</v>
      </c>
      <c r="N256" s="101">
        <v>197332</v>
      </c>
      <c r="O256" s="64">
        <v>18178570</v>
      </c>
      <c r="P256" s="64">
        <v>1620182</v>
      </c>
      <c r="Q256" s="64">
        <v>413541</v>
      </c>
      <c r="R256" s="62">
        <v>868838</v>
      </c>
      <c r="S256" s="104">
        <v>144697</v>
      </c>
      <c r="T256" s="103">
        <v>2665009</v>
      </c>
      <c r="U256" s="72">
        <v>-156336.22</v>
      </c>
      <c r="V256" s="72">
        <v>-1345</v>
      </c>
    </row>
    <row r="257" spans="1:22">
      <c r="A257" s="14" t="s">
        <v>1224</v>
      </c>
      <c r="B257" s="15" t="s">
        <v>1225</v>
      </c>
      <c r="C257" s="14" t="s">
        <v>1220</v>
      </c>
      <c r="D257" s="14">
        <v>82</v>
      </c>
      <c r="E257" s="15" t="s">
        <v>583</v>
      </c>
      <c r="F257" s="15" t="s">
        <v>588</v>
      </c>
      <c r="G257" s="14" t="s">
        <v>589</v>
      </c>
      <c r="H257" s="14"/>
      <c r="I257" s="14"/>
      <c r="J257" s="16">
        <v>16664.169999999998</v>
      </c>
      <c r="K257" s="66">
        <v>22744244</v>
      </c>
      <c r="L257" s="66">
        <v>18370789</v>
      </c>
      <c r="M257" s="66">
        <v>4532370</v>
      </c>
      <c r="N257" s="101">
        <v>1980604</v>
      </c>
      <c r="O257" s="64">
        <v>104442011</v>
      </c>
      <c r="P257" s="64">
        <v>8726329</v>
      </c>
      <c r="Q257" s="64">
        <v>3551337</v>
      </c>
      <c r="R257" s="62">
        <v>3705720</v>
      </c>
      <c r="S257" s="104">
        <v>1271498</v>
      </c>
      <c r="T257" s="103">
        <v>17332453</v>
      </c>
      <c r="U257" s="72">
        <v>-1397415.27</v>
      </c>
      <c r="V257" s="72">
        <v>-209736.74</v>
      </c>
    </row>
    <row r="258" spans="1:22">
      <c r="A258" s="14" t="s">
        <v>1224</v>
      </c>
      <c r="B258" s="15" t="s">
        <v>1225</v>
      </c>
      <c r="C258" s="14" t="s">
        <v>1220</v>
      </c>
      <c r="D258" s="14">
        <v>82</v>
      </c>
      <c r="E258" s="15" t="s">
        <v>583</v>
      </c>
      <c r="F258" s="15" t="s">
        <v>590</v>
      </c>
      <c r="G258" s="14" t="s">
        <v>591</v>
      </c>
      <c r="H258" s="14"/>
      <c r="I258" s="14"/>
      <c r="J258" s="16">
        <v>9039.3700000000008</v>
      </c>
      <c r="K258" s="66">
        <v>13709624</v>
      </c>
      <c r="L258" s="66">
        <v>10444317</v>
      </c>
      <c r="M258" s="66">
        <v>5066370</v>
      </c>
      <c r="N258" s="101">
        <v>861629</v>
      </c>
      <c r="O258" s="64">
        <v>53226534</v>
      </c>
      <c r="P258" s="64">
        <v>5129363</v>
      </c>
      <c r="Q258" s="64">
        <v>1436420</v>
      </c>
      <c r="R258" s="62">
        <v>2185311</v>
      </c>
      <c r="S258" s="104">
        <v>722606</v>
      </c>
      <c r="T258" s="103">
        <v>6350230</v>
      </c>
      <c r="U258" s="72">
        <v>-630413.35</v>
      </c>
      <c r="V258" s="72">
        <v>-169689.06</v>
      </c>
    </row>
    <row r="259" spans="1:22">
      <c r="A259" s="14" t="s">
        <v>1092</v>
      </c>
      <c r="B259" s="15" t="s">
        <v>1093</v>
      </c>
      <c r="C259" s="14" t="s">
        <v>1220</v>
      </c>
      <c r="D259" s="14">
        <v>83</v>
      </c>
      <c r="E259" s="15" t="s">
        <v>592</v>
      </c>
      <c r="F259" s="15" t="s">
        <v>593</v>
      </c>
      <c r="G259" s="14" t="s">
        <v>594</v>
      </c>
      <c r="H259" s="14"/>
      <c r="I259" s="14"/>
      <c r="J259" s="16">
        <v>202.61</v>
      </c>
      <c r="K259" s="66">
        <v>251731</v>
      </c>
      <c r="L259" s="66">
        <v>21237</v>
      </c>
      <c r="M259" s="66">
        <v>96483</v>
      </c>
      <c r="N259" s="101">
        <v>24556</v>
      </c>
      <c r="O259" s="64">
        <v>1610415</v>
      </c>
      <c r="P259" s="64">
        <v>84075</v>
      </c>
      <c r="Q259" s="64">
        <v>34807</v>
      </c>
      <c r="R259" s="62">
        <v>61252</v>
      </c>
      <c r="S259" s="104">
        <v>51554</v>
      </c>
      <c r="T259" s="103">
        <v>57495</v>
      </c>
      <c r="U259" s="72">
        <v>-22666.74</v>
      </c>
      <c r="V259" s="72">
        <v>-1305</v>
      </c>
    </row>
    <row r="260" spans="1:22">
      <c r="A260" s="14" t="s">
        <v>1092</v>
      </c>
      <c r="B260" s="15" t="s">
        <v>1093</v>
      </c>
      <c r="C260" s="14" t="s">
        <v>1220</v>
      </c>
      <c r="D260" s="14">
        <v>83</v>
      </c>
      <c r="E260" s="15" t="s">
        <v>592</v>
      </c>
      <c r="F260" s="15" t="s">
        <v>595</v>
      </c>
      <c r="G260" s="14" t="s">
        <v>596</v>
      </c>
      <c r="H260" s="14"/>
      <c r="I260" s="14"/>
      <c r="J260" s="16">
        <v>578.33000000000004</v>
      </c>
      <c r="K260" s="66">
        <v>409997</v>
      </c>
      <c r="L260" s="66">
        <v>506865</v>
      </c>
      <c r="M260" s="66">
        <v>336295</v>
      </c>
      <c r="N260" s="101">
        <v>100638</v>
      </c>
      <c r="O260" s="64">
        <v>4102796</v>
      </c>
      <c r="P260" s="64">
        <v>305545</v>
      </c>
      <c r="Q260" s="64">
        <v>206148</v>
      </c>
      <c r="R260" s="62">
        <v>145913</v>
      </c>
      <c r="S260" s="104">
        <v>136574</v>
      </c>
      <c r="T260" s="103">
        <v>280106</v>
      </c>
      <c r="U260" s="72">
        <v>-42600.89</v>
      </c>
      <c r="V260" s="72">
        <v>-5353</v>
      </c>
    </row>
    <row r="261" spans="1:22">
      <c r="A261" s="14" t="s">
        <v>1092</v>
      </c>
      <c r="B261" s="15" t="s">
        <v>1093</v>
      </c>
      <c r="C261" s="14" t="s">
        <v>1220</v>
      </c>
      <c r="D261" s="14">
        <v>83</v>
      </c>
      <c r="E261" s="15" t="s">
        <v>592</v>
      </c>
      <c r="F261" s="15" t="s">
        <v>597</v>
      </c>
      <c r="G261" s="14" t="s">
        <v>598</v>
      </c>
      <c r="H261" s="14"/>
      <c r="I261" s="14"/>
      <c r="J261" s="16">
        <v>1213.96</v>
      </c>
      <c r="K261" s="66">
        <v>665175</v>
      </c>
      <c r="L261" s="66">
        <v>94372</v>
      </c>
      <c r="M261" s="66">
        <v>656306</v>
      </c>
      <c r="N261" s="101">
        <v>136181</v>
      </c>
      <c r="O261" s="64">
        <v>8983847</v>
      </c>
      <c r="P261" s="64">
        <v>494386</v>
      </c>
      <c r="Q261" s="64">
        <v>200133</v>
      </c>
      <c r="R261" s="62">
        <v>457926</v>
      </c>
      <c r="S261" s="104">
        <v>351352</v>
      </c>
      <c r="T261" s="103">
        <v>493582</v>
      </c>
      <c r="U261" s="72">
        <v>-220186.17</v>
      </c>
      <c r="V261" s="72">
        <v>-26912.68</v>
      </c>
    </row>
    <row r="262" spans="1:22">
      <c r="A262" s="14" t="s">
        <v>1249</v>
      </c>
      <c r="B262" s="15" t="s">
        <v>1250</v>
      </c>
      <c r="C262" s="14" t="s">
        <v>1220</v>
      </c>
      <c r="D262" s="14">
        <v>84</v>
      </c>
      <c r="E262" s="15" t="s">
        <v>599</v>
      </c>
      <c r="F262" s="15" t="s">
        <v>600</v>
      </c>
      <c r="G262" s="14" t="s">
        <v>601</v>
      </c>
      <c r="H262" s="14"/>
      <c r="I262" s="14"/>
      <c r="J262" s="16">
        <v>892.68</v>
      </c>
      <c r="K262" s="66">
        <v>330751</v>
      </c>
      <c r="L262" s="66">
        <v>285629</v>
      </c>
      <c r="M262" s="66">
        <v>358406</v>
      </c>
      <c r="N262" s="101">
        <v>116163</v>
      </c>
      <c r="O262" s="64">
        <v>5776077</v>
      </c>
      <c r="P262" s="64">
        <v>480439</v>
      </c>
      <c r="Q262" s="64">
        <v>86118</v>
      </c>
      <c r="R262" s="62">
        <v>320708</v>
      </c>
      <c r="S262" s="104">
        <v>127541</v>
      </c>
      <c r="T262" s="103">
        <v>378094</v>
      </c>
      <c r="U262" s="72">
        <v>-129136.02</v>
      </c>
      <c r="V262" s="72">
        <v>0</v>
      </c>
    </row>
    <row r="263" spans="1:22">
      <c r="A263" s="14" t="s">
        <v>1249</v>
      </c>
      <c r="B263" s="15" t="s">
        <v>1250</v>
      </c>
      <c r="C263" s="14" t="s">
        <v>1220</v>
      </c>
      <c r="D263" s="14">
        <v>84</v>
      </c>
      <c r="E263" s="15" t="s">
        <v>599</v>
      </c>
      <c r="F263" s="15" t="s">
        <v>602</v>
      </c>
      <c r="G263" s="14" t="s">
        <v>603</v>
      </c>
      <c r="H263" s="14"/>
      <c r="I263" s="14"/>
      <c r="J263" s="16">
        <v>209.76</v>
      </c>
      <c r="K263" s="66">
        <v>231429</v>
      </c>
      <c r="L263" s="66">
        <v>10449</v>
      </c>
      <c r="M263" s="66">
        <v>249687</v>
      </c>
      <c r="N263" s="101">
        <v>21540</v>
      </c>
      <c r="O263" s="64">
        <v>1715564</v>
      </c>
      <c r="P263" s="64">
        <v>56451</v>
      </c>
      <c r="Q263" s="64">
        <v>6512</v>
      </c>
      <c r="R263" s="62">
        <v>53509</v>
      </c>
      <c r="S263" s="104">
        <v>47165</v>
      </c>
      <c r="T263" s="103">
        <v>53661</v>
      </c>
      <c r="U263" s="72">
        <v>-14086.22</v>
      </c>
      <c r="V263" s="72">
        <v>0</v>
      </c>
    </row>
    <row r="264" spans="1:22">
      <c r="A264" s="14" t="s">
        <v>1249</v>
      </c>
      <c r="B264" s="15" t="s">
        <v>1250</v>
      </c>
      <c r="C264" s="14" t="s">
        <v>1220</v>
      </c>
      <c r="D264" s="14">
        <v>84</v>
      </c>
      <c r="E264" s="15" t="s">
        <v>599</v>
      </c>
      <c r="F264" s="15" t="s">
        <v>604</v>
      </c>
      <c r="G264" s="14" t="s">
        <v>605</v>
      </c>
      <c r="H264" s="14"/>
      <c r="I264" s="14"/>
      <c r="J264" s="16">
        <v>119.25</v>
      </c>
      <c r="K264" s="66">
        <v>386153</v>
      </c>
      <c r="L264" s="66">
        <v>20854</v>
      </c>
      <c r="M264" s="66">
        <v>76783</v>
      </c>
      <c r="N264" s="101">
        <v>11886</v>
      </c>
      <c r="O264" s="64">
        <v>1112537</v>
      </c>
      <c r="P264" s="64">
        <v>78401</v>
      </c>
      <c r="Q264" s="64">
        <v>14638</v>
      </c>
      <c r="R264" s="62">
        <v>50652</v>
      </c>
      <c r="S264" s="104">
        <v>44309</v>
      </c>
      <c r="T264" s="103">
        <v>18693</v>
      </c>
      <c r="U264" s="72">
        <v>-16985.45</v>
      </c>
      <c r="V264" s="72">
        <v>0</v>
      </c>
    </row>
    <row r="265" spans="1:22">
      <c r="A265" s="14" t="s">
        <v>1017</v>
      </c>
      <c r="B265" s="15" t="s">
        <v>1018</v>
      </c>
      <c r="C265" s="14" t="s">
        <v>1220</v>
      </c>
      <c r="D265" s="14">
        <v>85</v>
      </c>
      <c r="E265" s="15" t="s">
        <v>606</v>
      </c>
      <c r="F265" s="15" t="s">
        <v>607</v>
      </c>
      <c r="G265" s="14" t="s">
        <v>608</v>
      </c>
      <c r="H265" s="14"/>
      <c r="I265" s="14"/>
      <c r="J265" s="16">
        <v>751.57</v>
      </c>
      <c r="K265" s="66">
        <v>562515</v>
      </c>
      <c r="L265" s="66">
        <v>145261</v>
      </c>
      <c r="M265" s="66">
        <v>247442</v>
      </c>
      <c r="N265" s="101">
        <v>98965</v>
      </c>
      <c r="O265" s="64">
        <v>5014384</v>
      </c>
      <c r="P265" s="64">
        <v>331548</v>
      </c>
      <c r="Q265" s="64">
        <v>56078</v>
      </c>
      <c r="R265" s="62">
        <v>171469</v>
      </c>
      <c r="S265" s="104">
        <v>160963</v>
      </c>
      <c r="T265" s="103">
        <v>298140</v>
      </c>
      <c r="U265" s="72">
        <v>-68917.66</v>
      </c>
      <c r="V265" s="72">
        <v>0</v>
      </c>
    </row>
    <row r="266" spans="1:22">
      <c r="A266" s="14" t="s">
        <v>1017</v>
      </c>
      <c r="B266" s="15" t="s">
        <v>1018</v>
      </c>
      <c r="C266" s="14" t="s">
        <v>1220</v>
      </c>
      <c r="D266" s="14">
        <v>85</v>
      </c>
      <c r="E266" s="15" t="s">
        <v>606</v>
      </c>
      <c r="F266" s="15" t="s">
        <v>609</v>
      </c>
      <c r="G266" s="14" t="s">
        <v>610</v>
      </c>
      <c r="H266" s="14"/>
      <c r="I266" s="14"/>
      <c r="J266" s="16">
        <v>1037.48</v>
      </c>
      <c r="K266" s="66">
        <v>195531</v>
      </c>
      <c r="L266" s="66">
        <v>697968</v>
      </c>
      <c r="M266" s="66">
        <v>334259</v>
      </c>
      <c r="N266" s="101">
        <v>163086</v>
      </c>
      <c r="O266" s="64">
        <v>6453119</v>
      </c>
      <c r="P266" s="64">
        <v>383891</v>
      </c>
      <c r="Q266" s="64">
        <v>17405</v>
      </c>
      <c r="R266" s="62">
        <v>253969</v>
      </c>
      <c r="S266" s="104">
        <v>153943</v>
      </c>
      <c r="T266" s="103">
        <v>570793</v>
      </c>
      <c r="U266" s="72">
        <v>-63359.91</v>
      </c>
      <c r="V266" s="72">
        <v>-15909.4</v>
      </c>
    </row>
    <row r="267" spans="1:22">
      <c r="A267" s="14" t="s">
        <v>1017</v>
      </c>
      <c r="B267" s="15" t="s">
        <v>1018</v>
      </c>
      <c r="C267" s="14" t="s">
        <v>1220</v>
      </c>
      <c r="D267" s="14">
        <v>85</v>
      </c>
      <c r="E267" s="15" t="s">
        <v>606</v>
      </c>
      <c r="F267" s="15" t="s">
        <v>611</v>
      </c>
      <c r="G267" s="14" t="s">
        <v>612</v>
      </c>
      <c r="H267" s="14"/>
      <c r="I267" s="14"/>
      <c r="J267" s="16">
        <v>3716.23</v>
      </c>
      <c r="K267" s="66">
        <v>6734915</v>
      </c>
      <c r="L267" s="66">
        <v>2529405</v>
      </c>
      <c r="M267" s="66">
        <v>2850883</v>
      </c>
      <c r="N267" s="101">
        <v>990249</v>
      </c>
      <c r="O267" s="64">
        <v>24253087</v>
      </c>
      <c r="P267" s="64">
        <v>3103418</v>
      </c>
      <c r="Q267" s="64">
        <v>266171</v>
      </c>
      <c r="R267" s="62">
        <v>751681</v>
      </c>
      <c r="S267" s="104">
        <v>588555</v>
      </c>
      <c r="T267" s="103">
        <v>2122751</v>
      </c>
      <c r="U267" s="72">
        <v>-291742.19</v>
      </c>
      <c r="V267" s="72">
        <v>-237858.58</v>
      </c>
    </row>
    <row r="268" spans="1:22">
      <c r="A268" s="14" t="s">
        <v>1080</v>
      </c>
      <c r="B268" s="15" t="s">
        <v>1081</v>
      </c>
      <c r="C268" s="14" t="s">
        <v>1220</v>
      </c>
      <c r="D268" s="14">
        <v>86</v>
      </c>
      <c r="E268" s="15" t="s">
        <v>613</v>
      </c>
      <c r="F268" s="15" t="s">
        <v>614</v>
      </c>
      <c r="G268" s="14" t="s">
        <v>615</v>
      </c>
      <c r="H268" s="14"/>
      <c r="I268" s="14"/>
      <c r="J268" s="16">
        <v>1852.83</v>
      </c>
      <c r="K268" s="66">
        <v>1336901</v>
      </c>
      <c r="L268" s="66">
        <v>973430</v>
      </c>
      <c r="M268" s="66">
        <v>646358</v>
      </c>
      <c r="N268" s="101">
        <v>170668</v>
      </c>
      <c r="O268" s="64">
        <v>11488016</v>
      </c>
      <c r="P268" s="64">
        <v>1136148</v>
      </c>
      <c r="Q268" s="64">
        <v>62273</v>
      </c>
      <c r="R268" s="62">
        <v>277080</v>
      </c>
      <c r="S268" s="104">
        <v>222914</v>
      </c>
      <c r="T268" s="103">
        <v>942521</v>
      </c>
      <c r="U268" s="72">
        <v>-196090.4</v>
      </c>
      <c r="V268" s="72">
        <v>-6319.79</v>
      </c>
    </row>
    <row r="269" spans="1:22">
      <c r="A269" s="14" t="s">
        <v>1080</v>
      </c>
      <c r="B269" s="15" t="s">
        <v>1081</v>
      </c>
      <c r="C269" s="14" t="s">
        <v>1220</v>
      </c>
      <c r="D269" s="14">
        <v>86</v>
      </c>
      <c r="E269" s="15" t="s">
        <v>613</v>
      </c>
      <c r="F269" s="15" t="s">
        <v>616</v>
      </c>
      <c r="G269" s="14" t="s">
        <v>617</v>
      </c>
      <c r="H269" s="14"/>
      <c r="I269" s="14"/>
      <c r="J269" s="16">
        <v>5631.72</v>
      </c>
      <c r="K269" s="66">
        <v>4044586</v>
      </c>
      <c r="L269" s="66">
        <v>6747502</v>
      </c>
      <c r="M269" s="66">
        <v>2217928</v>
      </c>
      <c r="N269" s="101">
        <v>942428</v>
      </c>
      <c r="O269" s="64">
        <v>35171208</v>
      </c>
      <c r="P269" s="64">
        <v>3048571</v>
      </c>
      <c r="Q269" s="64">
        <v>198479</v>
      </c>
      <c r="R269" s="62">
        <v>2006459</v>
      </c>
      <c r="S269" s="104">
        <v>617040</v>
      </c>
      <c r="T269" s="103">
        <v>4002914</v>
      </c>
      <c r="U269" s="72">
        <v>-528371.38</v>
      </c>
      <c r="V269" s="72">
        <v>-150407.10999999999</v>
      </c>
    </row>
    <row r="270" spans="1:22">
      <c r="A270" s="14" t="s">
        <v>1080</v>
      </c>
      <c r="B270" s="15" t="s">
        <v>1081</v>
      </c>
      <c r="C270" s="14" t="s">
        <v>1220</v>
      </c>
      <c r="D270" s="14">
        <v>86</v>
      </c>
      <c r="E270" s="15" t="s">
        <v>613</v>
      </c>
      <c r="F270" s="15" t="s">
        <v>618</v>
      </c>
      <c r="G270" s="14" t="s">
        <v>619</v>
      </c>
      <c r="H270" s="14"/>
      <c r="I270" s="14"/>
      <c r="J270" s="16">
        <v>2189.48</v>
      </c>
      <c r="K270" s="66">
        <v>1920032</v>
      </c>
      <c r="L270" s="66">
        <v>2591024</v>
      </c>
      <c r="M270" s="66">
        <v>1025464</v>
      </c>
      <c r="N270" s="101">
        <v>273171</v>
      </c>
      <c r="O270" s="64">
        <v>13734506</v>
      </c>
      <c r="P270" s="64">
        <v>1088192</v>
      </c>
      <c r="Q270" s="64">
        <v>162993</v>
      </c>
      <c r="R270" s="62">
        <v>123310</v>
      </c>
      <c r="S270" s="104">
        <v>212329</v>
      </c>
      <c r="T270" s="103">
        <v>2481647</v>
      </c>
      <c r="U270" s="72">
        <v>-170347.89</v>
      </c>
      <c r="V270" s="72">
        <v>-6004.22</v>
      </c>
    </row>
    <row r="271" spans="1:22">
      <c r="A271" s="14" t="s">
        <v>1080</v>
      </c>
      <c r="B271" s="15" t="s">
        <v>1081</v>
      </c>
      <c r="C271" s="14" t="s">
        <v>1220</v>
      </c>
      <c r="D271" s="14">
        <v>86</v>
      </c>
      <c r="E271" s="15" t="s">
        <v>613</v>
      </c>
      <c r="F271" s="15" t="s">
        <v>620</v>
      </c>
      <c r="G271" s="14" t="s">
        <v>621</v>
      </c>
      <c r="H271" s="14"/>
      <c r="I271" s="14"/>
      <c r="J271" s="16">
        <v>984.98</v>
      </c>
      <c r="K271" s="66">
        <v>740378</v>
      </c>
      <c r="L271" s="66">
        <v>1063538</v>
      </c>
      <c r="M271" s="66">
        <v>479930</v>
      </c>
      <c r="N271" s="101">
        <v>181117</v>
      </c>
      <c r="O271" s="64">
        <v>6197172</v>
      </c>
      <c r="P271" s="64">
        <v>515229</v>
      </c>
      <c r="Q271" s="64">
        <v>72726</v>
      </c>
      <c r="R271" s="62">
        <v>58379</v>
      </c>
      <c r="S271" s="104">
        <v>113420</v>
      </c>
      <c r="T271" s="103">
        <v>550767</v>
      </c>
      <c r="U271" s="72">
        <v>-63291.77</v>
      </c>
      <c r="V271" s="72">
        <v>0</v>
      </c>
    </row>
    <row r="272" spans="1:22">
      <c r="A272" s="14" t="s">
        <v>1080</v>
      </c>
      <c r="B272" s="15" t="s">
        <v>1081</v>
      </c>
      <c r="C272" s="14" t="s">
        <v>1220</v>
      </c>
      <c r="D272" s="14">
        <v>86</v>
      </c>
      <c r="E272" s="15" t="s">
        <v>613</v>
      </c>
      <c r="F272" s="15" t="s">
        <v>622</v>
      </c>
      <c r="G272" s="14" t="s">
        <v>623</v>
      </c>
      <c r="H272" s="14"/>
      <c r="I272" s="14"/>
      <c r="J272" s="16">
        <v>4010.87</v>
      </c>
      <c r="K272" s="66">
        <v>2064594</v>
      </c>
      <c r="L272" s="66">
        <v>3723074</v>
      </c>
      <c r="M272" s="66">
        <v>3991409</v>
      </c>
      <c r="N272" s="101">
        <v>1071577</v>
      </c>
      <c r="O272" s="64">
        <v>23829988</v>
      </c>
      <c r="P272" s="64">
        <v>4135406</v>
      </c>
      <c r="Q272" s="64">
        <v>242564</v>
      </c>
      <c r="R272" s="62">
        <v>2674789</v>
      </c>
      <c r="S272" s="104">
        <v>468541</v>
      </c>
      <c r="T272" s="103">
        <v>2209284</v>
      </c>
      <c r="U272" s="72">
        <v>-279689.14</v>
      </c>
      <c r="V272" s="72">
        <v>-728258.82</v>
      </c>
    </row>
    <row r="273" spans="1:22">
      <c r="A273" s="14" t="s">
        <v>1080</v>
      </c>
      <c r="B273" s="15" t="s">
        <v>1081</v>
      </c>
      <c r="C273" s="14" t="s">
        <v>1220</v>
      </c>
      <c r="D273" s="14">
        <v>86</v>
      </c>
      <c r="E273" s="15" t="s">
        <v>613</v>
      </c>
      <c r="F273" s="15" t="s">
        <v>624</v>
      </c>
      <c r="G273" s="14" t="s">
        <v>625</v>
      </c>
      <c r="H273" s="14"/>
      <c r="I273" s="14"/>
      <c r="J273" s="16">
        <v>1611.55</v>
      </c>
      <c r="K273" s="66">
        <v>486557</v>
      </c>
      <c r="L273" s="66">
        <v>3116063</v>
      </c>
      <c r="M273" s="66">
        <v>968650</v>
      </c>
      <c r="N273" s="101">
        <v>565545</v>
      </c>
      <c r="O273" s="64">
        <v>9802372</v>
      </c>
      <c r="P273" s="64">
        <v>1019920</v>
      </c>
      <c r="Q273" s="64">
        <v>172151</v>
      </c>
      <c r="R273" s="62">
        <v>203239</v>
      </c>
      <c r="S273" s="104">
        <v>727103</v>
      </c>
      <c r="T273" s="103">
        <v>2084026</v>
      </c>
      <c r="U273" s="72">
        <v>-276369.57</v>
      </c>
      <c r="V273" s="72">
        <v>-5412</v>
      </c>
    </row>
    <row r="274" spans="1:22">
      <c r="A274" s="14" t="s">
        <v>1080</v>
      </c>
      <c r="B274" s="15" t="s">
        <v>1081</v>
      </c>
      <c r="C274" s="14" t="s">
        <v>1220</v>
      </c>
      <c r="D274" s="14">
        <v>86</v>
      </c>
      <c r="E274" s="15" t="s">
        <v>613</v>
      </c>
      <c r="F274" s="15" t="s">
        <v>626</v>
      </c>
      <c r="G274" s="14" t="s">
        <v>627</v>
      </c>
      <c r="H274" s="14"/>
      <c r="I274" s="14"/>
      <c r="J274" s="16">
        <v>4478.5</v>
      </c>
      <c r="K274" s="66">
        <v>2559805</v>
      </c>
      <c r="L274" s="66">
        <v>6452547</v>
      </c>
      <c r="M274" s="66">
        <v>1060603</v>
      </c>
      <c r="N274" s="101">
        <v>2147120</v>
      </c>
      <c r="O274" s="64">
        <v>27006019</v>
      </c>
      <c r="P274" s="64">
        <v>1476755</v>
      </c>
      <c r="Q274" s="64">
        <v>206110</v>
      </c>
      <c r="R274" s="62">
        <v>138461</v>
      </c>
      <c r="S274" s="104">
        <v>368058</v>
      </c>
      <c r="T274" s="103">
        <v>9238441</v>
      </c>
      <c r="U274" s="72">
        <v>-518742.01</v>
      </c>
      <c r="V274" s="72">
        <v>-1000</v>
      </c>
    </row>
    <row r="275" spans="1:22">
      <c r="A275" s="14" t="s">
        <v>1087</v>
      </c>
      <c r="B275" s="15" t="s">
        <v>1088</v>
      </c>
      <c r="C275" s="14" t="s">
        <v>1220</v>
      </c>
      <c r="D275" s="14">
        <v>87</v>
      </c>
      <c r="E275" s="15" t="s">
        <v>628</v>
      </c>
      <c r="F275" s="15" t="s">
        <v>629</v>
      </c>
      <c r="G275" s="14" t="s">
        <v>630</v>
      </c>
      <c r="H275" s="14"/>
      <c r="I275" s="14"/>
      <c r="J275" s="16">
        <v>571.99</v>
      </c>
      <c r="K275" s="66">
        <v>310180</v>
      </c>
      <c r="L275" s="66">
        <v>293258</v>
      </c>
      <c r="M275" s="66">
        <v>464052</v>
      </c>
      <c r="N275" s="101">
        <v>105993</v>
      </c>
      <c r="O275" s="64">
        <v>4100551</v>
      </c>
      <c r="P275" s="64">
        <v>343117</v>
      </c>
      <c r="Q275" s="64">
        <v>55994</v>
      </c>
      <c r="R275" s="62">
        <v>227596</v>
      </c>
      <c r="S275" s="104">
        <v>158454</v>
      </c>
      <c r="T275" s="103">
        <v>200814</v>
      </c>
      <c r="U275" s="72">
        <v>-45657.15</v>
      </c>
      <c r="V275" s="72">
        <v>0</v>
      </c>
    </row>
    <row r="276" spans="1:22">
      <c r="A276" s="14" t="s">
        <v>1146</v>
      </c>
      <c r="B276" s="15" t="s">
        <v>1147</v>
      </c>
      <c r="C276" s="14" t="s">
        <v>1220</v>
      </c>
      <c r="D276" s="14">
        <v>30</v>
      </c>
      <c r="E276" s="15" t="s">
        <v>931</v>
      </c>
      <c r="F276" s="15" t="s">
        <v>631</v>
      </c>
      <c r="G276" s="14" t="s">
        <v>632</v>
      </c>
      <c r="H276" s="14"/>
      <c r="I276" s="14"/>
      <c r="J276" s="16">
        <v>5278.96</v>
      </c>
      <c r="K276" s="66">
        <v>2442640</v>
      </c>
      <c r="L276" s="66">
        <v>3614939</v>
      </c>
      <c r="M276" s="66">
        <v>2056715</v>
      </c>
      <c r="N276" s="101">
        <v>796960</v>
      </c>
      <c r="O276" s="64">
        <v>30570175</v>
      </c>
      <c r="P276" s="64">
        <v>2209893</v>
      </c>
      <c r="Q276" s="64">
        <v>294841</v>
      </c>
      <c r="R276" s="62">
        <v>3040621</v>
      </c>
      <c r="S276" s="104">
        <v>600786</v>
      </c>
      <c r="T276" s="103">
        <v>2253703</v>
      </c>
      <c r="U276" s="72">
        <v>-283864.94</v>
      </c>
      <c r="V276" s="72">
        <v>-257734.13</v>
      </c>
    </row>
    <row r="277" spans="1:22">
      <c r="A277" s="14" t="s">
        <v>1146</v>
      </c>
      <c r="B277" s="15" t="s">
        <v>1147</v>
      </c>
      <c r="C277" s="14" t="s">
        <v>1220</v>
      </c>
      <c r="D277" s="14">
        <v>48</v>
      </c>
      <c r="E277" s="15" t="s">
        <v>857</v>
      </c>
      <c r="F277" s="15" t="s">
        <v>633</v>
      </c>
      <c r="G277" s="14" t="s">
        <v>634</v>
      </c>
      <c r="H277" s="14"/>
      <c r="I277" s="14"/>
      <c r="J277" s="16">
        <v>1951.63</v>
      </c>
      <c r="K277" s="66">
        <v>511311</v>
      </c>
      <c r="L277" s="66">
        <v>913577</v>
      </c>
      <c r="M277" s="66">
        <v>1230231</v>
      </c>
      <c r="N277" s="101">
        <v>340607</v>
      </c>
      <c r="O277" s="64">
        <v>12160619</v>
      </c>
      <c r="P277" s="64">
        <v>1405377</v>
      </c>
      <c r="Q277" s="64">
        <v>152499</v>
      </c>
      <c r="R277" s="62">
        <v>638456</v>
      </c>
      <c r="S277" s="104">
        <v>366184</v>
      </c>
      <c r="T277" s="103">
        <v>990219</v>
      </c>
      <c r="U277" s="72">
        <v>-222518.19</v>
      </c>
      <c r="V277" s="72">
        <v>-42779.61</v>
      </c>
    </row>
    <row r="278" spans="1:22">
      <c r="A278" s="14" t="s">
        <v>1249</v>
      </c>
      <c r="B278" s="15" t="s">
        <v>1250</v>
      </c>
      <c r="C278" s="14" t="s">
        <v>1220</v>
      </c>
      <c r="D278" s="14">
        <v>14</v>
      </c>
      <c r="E278" s="15" t="s">
        <v>1153</v>
      </c>
      <c r="F278" s="15" t="s">
        <v>635</v>
      </c>
      <c r="G278" s="14" t="s">
        <v>636</v>
      </c>
      <c r="H278" s="14"/>
      <c r="I278" s="14"/>
      <c r="J278" s="16">
        <v>298.12</v>
      </c>
      <c r="K278" s="66">
        <v>252544</v>
      </c>
      <c r="L278" s="66">
        <v>503517</v>
      </c>
      <c r="M278" s="66">
        <v>119785</v>
      </c>
      <c r="N278" s="101">
        <v>200191</v>
      </c>
      <c r="O278" s="64">
        <v>2166221</v>
      </c>
      <c r="P278" s="64">
        <v>227555</v>
      </c>
      <c r="Q278" s="64">
        <v>14276</v>
      </c>
      <c r="R278" s="62">
        <v>149699</v>
      </c>
      <c r="S278" s="104">
        <v>64102</v>
      </c>
      <c r="T278" s="103">
        <v>265545</v>
      </c>
      <c r="U278" s="72">
        <v>-32581.61</v>
      </c>
      <c r="V278" s="72">
        <v>0</v>
      </c>
    </row>
    <row r="279" spans="1:22">
      <c r="A279" s="14" t="s">
        <v>1092</v>
      </c>
      <c r="B279" s="15" t="s">
        <v>1093</v>
      </c>
      <c r="C279" s="14" t="s">
        <v>1220</v>
      </c>
      <c r="D279" s="14">
        <v>7</v>
      </c>
      <c r="E279" s="15" t="s">
        <v>1094</v>
      </c>
      <c r="F279" s="15" t="s">
        <v>637</v>
      </c>
      <c r="G279" s="14" t="s">
        <v>638</v>
      </c>
      <c r="H279" s="14"/>
      <c r="I279" s="14"/>
      <c r="J279" s="16">
        <v>780.88</v>
      </c>
      <c r="K279" s="66">
        <v>714466</v>
      </c>
      <c r="L279" s="66">
        <v>1148907</v>
      </c>
      <c r="M279" s="66">
        <v>575149</v>
      </c>
      <c r="N279" s="101">
        <v>178402</v>
      </c>
      <c r="O279" s="64">
        <v>5136082</v>
      </c>
      <c r="P279" s="64">
        <v>397507</v>
      </c>
      <c r="Q279" s="64">
        <v>94865</v>
      </c>
      <c r="R279" s="62">
        <v>122695</v>
      </c>
      <c r="S279" s="104">
        <v>113738</v>
      </c>
      <c r="T279" s="103">
        <v>613362</v>
      </c>
      <c r="U279" s="72">
        <v>-113347.02</v>
      </c>
      <c r="V279" s="72">
        <v>0</v>
      </c>
    </row>
    <row r="280" spans="1:22">
      <c r="A280" s="14" t="s">
        <v>1017</v>
      </c>
      <c r="B280" s="15" t="s">
        <v>1018</v>
      </c>
      <c r="C280" s="14" t="s">
        <v>1220</v>
      </c>
      <c r="D280" s="14">
        <v>20</v>
      </c>
      <c r="E280" s="15" t="s">
        <v>1019</v>
      </c>
      <c r="F280" s="15" t="s">
        <v>639</v>
      </c>
      <c r="G280" s="14" t="s">
        <v>640</v>
      </c>
      <c r="H280" s="14"/>
      <c r="I280" s="14"/>
      <c r="J280" s="16">
        <v>1111.97</v>
      </c>
      <c r="K280" s="66">
        <v>452621</v>
      </c>
      <c r="L280" s="66">
        <v>730215</v>
      </c>
      <c r="M280" s="66">
        <v>374614</v>
      </c>
      <c r="N280" s="101">
        <v>211398</v>
      </c>
      <c r="O280" s="64">
        <v>7339006</v>
      </c>
      <c r="P280" s="64">
        <v>441455</v>
      </c>
      <c r="Q280" s="64">
        <v>39272</v>
      </c>
      <c r="R280" s="62">
        <v>176258</v>
      </c>
      <c r="S280" s="104">
        <v>212032</v>
      </c>
      <c r="T280" s="103">
        <v>483568</v>
      </c>
      <c r="U280" s="72">
        <v>-133433.54999999999</v>
      </c>
      <c r="V280" s="72">
        <v>-16219.75</v>
      </c>
    </row>
    <row r="281" spans="1:22">
      <c r="A281" s="14" t="s">
        <v>1092</v>
      </c>
      <c r="B281" s="15" t="s">
        <v>1093</v>
      </c>
      <c r="C281" s="14" t="s">
        <v>1220</v>
      </c>
      <c r="D281" s="14">
        <v>22</v>
      </c>
      <c r="E281" s="15" t="s">
        <v>641</v>
      </c>
      <c r="F281" s="15" t="s">
        <v>469</v>
      </c>
      <c r="G281" s="14" t="s">
        <v>470</v>
      </c>
      <c r="H281" s="14"/>
      <c r="I281" s="14"/>
      <c r="J281" s="16">
        <v>834.02</v>
      </c>
      <c r="K281" s="66">
        <v>541825</v>
      </c>
      <c r="L281" s="66">
        <v>122235</v>
      </c>
      <c r="M281" s="66">
        <v>307520</v>
      </c>
      <c r="N281" s="101">
        <v>101077</v>
      </c>
      <c r="O281" s="64">
        <v>6014398</v>
      </c>
      <c r="P281" s="64">
        <v>596393</v>
      </c>
      <c r="Q281" s="64">
        <v>155687</v>
      </c>
      <c r="R281" s="62">
        <v>223673</v>
      </c>
      <c r="S281" s="104">
        <v>215189</v>
      </c>
      <c r="T281" s="103">
        <v>336265</v>
      </c>
      <c r="U281" s="72">
        <v>-68877.91</v>
      </c>
      <c r="V281" s="72">
        <v>0</v>
      </c>
    </row>
    <row r="282" spans="1:22">
      <c r="A282" s="14" t="s">
        <v>1092</v>
      </c>
      <c r="B282" s="15" t="s">
        <v>1093</v>
      </c>
      <c r="C282" s="14" t="s">
        <v>1220</v>
      </c>
      <c r="D282" s="14">
        <v>7</v>
      </c>
      <c r="E282" s="15" t="s">
        <v>1094</v>
      </c>
      <c r="F282" s="15" t="s">
        <v>471</v>
      </c>
      <c r="G282" s="14" t="s">
        <v>472</v>
      </c>
      <c r="H282" s="14"/>
      <c r="I282" s="14"/>
      <c r="J282" s="16">
        <v>1209.0999999999999</v>
      </c>
      <c r="K282" s="66">
        <v>1109741</v>
      </c>
      <c r="L282" s="66">
        <v>433098</v>
      </c>
      <c r="M282" s="66">
        <v>587596</v>
      </c>
      <c r="N282" s="101">
        <v>168209</v>
      </c>
      <c r="O282" s="64">
        <v>8337968</v>
      </c>
      <c r="P282" s="64">
        <v>848968</v>
      </c>
      <c r="Q282" s="64">
        <v>213978</v>
      </c>
      <c r="R282" s="62">
        <v>200444</v>
      </c>
      <c r="S282" s="104">
        <v>212240</v>
      </c>
      <c r="T282" s="103">
        <v>522646</v>
      </c>
      <c r="U282" s="72">
        <v>-115190.15</v>
      </c>
      <c r="V282" s="72">
        <v>0</v>
      </c>
    </row>
    <row r="283" spans="1:22">
      <c r="A283" s="14" t="s">
        <v>1017</v>
      </c>
      <c r="B283" s="15" t="s">
        <v>1018</v>
      </c>
      <c r="C283" s="14" t="s">
        <v>1220</v>
      </c>
      <c r="D283" s="14">
        <v>23</v>
      </c>
      <c r="E283" s="15" t="s">
        <v>1036</v>
      </c>
      <c r="F283" s="15" t="s">
        <v>473</v>
      </c>
      <c r="G283" s="14" t="s">
        <v>474</v>
      </c>
      <c r="H283" s="14"/>
      <c r="I283" s="14"/>
      <c r="J283" s="16">
        <v>770.39</v>
      </c>
      <c r="K283" s="66">
        <v>339399</v>
      </c>
      <c r="L283" s="66">
        <v>231361</v>
      </c>
      <c r="M283" s="66">
        <v>370373</v>
      </c>
      <c r="N283" s="101">
        <v>127814</v>
      </c>
      <c r="O283" s="64">
        <v>5032776</v>
      </c>
      <c r="P283" s="64">
        <v>529829</v>
      </c>
      <c r="Q283" s="64">
        <v>52901</v>
      </c>
      <c r="R283" s="62">
        <v>149176</v>
      </c>
      <c r="S283" s="104">
        <v>103763</v>
      </c>
      <c r="T283" s="103">
        <v>618589</v>
      </c>
      <c r="U283" s="72">
        <v>-69453.81</v>
      </c>
      <c r="V283" s="72">
        <v>0</v>
      </c>
    </row>
    <row r="284" spans="1:22">
      <c r="A284" s="14" t="s">
        <v>1218</v>
      </c>
      <c r="B284" s="15" t="s">
        <v>1219</v>
      </c>
      <c r="C284" s="14" t="s">
        <v>1220</v>
      </c>
      <c r="D284" s="14">
        <v>69</v>
      </c>
      <c r="E284" s="15" t="s">
        <v>651</v>
      </c>
      <c r="F284" s="15" t="s">
        <v>475</v>
      </c>
      <c r="G284" s="14" t="s">
        <v>476</v>
      </c>
      <c r="H284" s="14"/>
      <c r="I284" s="14"/>
      <c r="J284" s="16">
        <v>2202.37</v>
      </c>
      <c r="K284" s="66">
        <v>1148480</v>
      </c>
      <c r="L284" s="66">
        <v>234</v>
      </c>
      <c r="M284" s="66">
        <v>3953079</v>
      </c>
      <c r="N284" s="101">
        <v>73798</v>
      </c>
      <c r="O284" s="64">
        <v>17669941</v>
      </c>
      <c r="P284" s="64">
        <v>1512842</v>
      </c>
      <c r="Q284" s="64">
        <v>197855</v>
      </c>
      <c r="R284" s="62">
        <v>1326762</v>
      </c>
      <c r="S284" s="104">
        <v>433337</v>
      </c>
      <c r="T284" s="103">
        <v>937206</v>
      </c>
      <c r="U284" s="72">
        <v>-161273.47</v>
      </c>
      <c r="V284" s="72">
        <v>0</v>
      </c>
    </row>
    <row r="285" spans="1:22">
      <c r="A285" s="14" t="s">
        <v>1092</v>
      </c>
      <c r="B285" s="15" t="s">
        <v>1093</v>
      </c>
      <c r="C285" s="14" t="s">
        <v>1220</v>
      </c>
      <c r="D285" s="14">
        <v>40</v>
      </c>
      <c r="E285" s="15" t="s">
        <v>984</v>
      </c>
      <c r="F285" s="15" t="s">
        <v>477</v>
      </c>
      <c r="G285" s="14" t="s">
        <v>478</v>
      </c>
      <c r="H285" s="14"/>
      <c r="I285" s="14"/>
      <c r="J285" s="16">
        <v>975.91</v>
      </c>
      <c r="K285" s="66">
        <v>644952</v>
      </c>
      <c r="L285" s="66">
        <v>62209</v>
      </c>
      <c r="M285" s="66">
        <v>708296</v>
      </c>
      <c r="N285" s="101">
        <v>68987</v>
      </c>
      <c r="O285" s="64">
        <v>6239363</v>
      </c>
      <c r="P285" s="64">
        <v>594618</v>
      </c>
      <c r="Q285" s="64">
        <v>70909</v>
      </c>
      <c r="R285" s="62">
        <v>161843</v>
      </c>
      <c r="S285" s="104">
        <v>169225</v>
      </c>
      <c r="T285" s="103">
        <v>330164</v>
      </c>
      <c r="U285" s="72">
        <v>-63905.07</v>
      </c>
      <c r="V285" s="72">
        <v>0</v>
      </c>
    </row>
    <row r="286" spans="1:22">
      <c r="A286" s="14" t="s">
        <v>1146</v>
      </c>
      <c r="B286" s="15" t="s">
        <v>1147</v>
      </c>
      <c r="C286" s="14" t="s">
        <v>1220</v>
      </c>
      <c r="D286" s="14">
        <v>13</v>
      </c>
      <c r="E286" s="15" t="s">
        <v>1148</v>
      </c>
      <c r="F286" s="15" t="s">
        <v>479</v>
      </c>
      <c r="G286" s="14" t="s">
        <v>480</v>
      </c>
      <c r="H286" s="14"/>
      <c r="I286" s="14"/>
      <c r="J286" s="16">
        <v>3537.18</v>
      </c>
      <c r="K286" s="66">
        <v>2567999</v>
      </c>
      <c r="L286" s="66">
        <v>3851789</v>
      </c>
      <c r="M286" s="66">
        <v>1755105</v>
      </c>
      <c r="N286" s="101">
        <v>417407</v>
      </c>
      <c r="O286" s="64">
        <v>21727235</v>
      </c>
      <c r="P286" s="64">
        <v>1716158</v>
      </c>
      <c r="Q286" s="64">
        <v>449301</v>
      </c>
      <c r="R286" s="62">
        <v>537709</v>
      </c>
      <c r="S286" s="104">
        <v>348145</v>
      </c>
      <c r="T286" s="103">
        <v>2002337</v>
      </c>
      <c r="U286" s="72">
        <v>-265919.95</v>
      </c>
      <c r="V286" s="72">
        <v>-11418.91</v>
      </c>
    </row>
    <row r="287" spans="1:22">
      <c r="A287" s="14" t="s">
        <v>1249</v>
      </c>
      <c r="B287" s="15" t="s">
        <v>1250</v>
      </c>
      <c r="C287" s="14" t="s">
        <v>1220</v>
      </c>
      <c r="D287" s="14">
        <v>61</v>
      </c>
      <c r="E287" s="15" t="s">
        <v>782</v>
      </c>
      <c r="F287" s="15" t="s">
        <v>481</v>
      </c>
      <c r="G287" s="14" t="s">
        <v>482</v>
      </c>
      <c r="H287" s="14"/>
      <c r="I287" s="14"/>
      <c r="J287" s="16">
        <v>1247.4100000000001</v>
      </c>
      <c r="K287" s="66">
        <v>521646</v>
      </c>
      <c r="L287" s="66">
        <v>966586</v>
      </c>
      <c r="M287" s="66">
        <v>1360114</v>
      </c>
      <c r="N287" s="101">
        <v>218580</v>
      </c>
      <c r="O287" s="64">
        <v>8037131</v>
      </c>
      <c r="P287" s="64">
        <v>1863727</v>
      </c>
      <c r="Q287" s="64">
        <v>61513</v>
      </c>
      <c r="R287" s="62">
        <v>271412</v>
      </c>
      <c r="S287" s="104">
        <v>270150</v>
      </c>
      <c r="T287" s="103">
        <v>516593</v>
      </c>
      <c r="U287" s="72">
        <v>-71152.44</v>
      </c>
      <c r="V287" s="72">
        <v>0</v>
      </c>
    </row>
    <row r="288" spans="1:22">
      <c r="A288" s="14" t="s">
        <v>1218</v>
      </c>
      <c r="B288" s="15" t="s">
        <v>1219</v>
      </c>
      <c r="C288" s="14" t="s">
        <v>1220</v>
      </c>
      <c r="D288" s="14">
        <v>69</v>
      </c>
      <c r="E288" s="15" t="s">
        <v>651</v>
      </c>
      <c r="F288" s="15" t="s">
        <v>483</v>
      </c>
      <c r="G288" s="14" t="s">
        <v>484</v>
      </c>
      <c r="H288" s="14"/>
      <c r="I288" s="14"/>
      <c r="J288" s="16">
        <v>1331.74</v>
      </c>
      <c r="K288" s="66">
        <v>474561</v>
      </c>
      <c r="L288" s="66">
        <v>54949</v>
      </c>
      <c r="M288" s="66">
        <v>2045350</v>
      </c>
      <c r="N288" s="101">
        <v>159869</v>
      </c>
      <c r="O288" s="64">
        <v>8564157</v>
      </c>
      <c r="P288" s="64">
        <v>237151</v>
      </c>
      <c r="Q288" s="64">
        <v>138930</v>
      </c>
      <c r="R288" s="62">
        <v>531091</v>
      </c>
      <c r="S288" s="104">
        <v>215553</v>
      </c>
      <c r="T288" s="103">
        <v>972161</v>
      </c>
      <c r="U288" s="72">
        <v>-83886.2</v>
      </c>
      <c r="V288" s="72">
        <v>-771.65</v>
      </c>
    </row>
    <row r="289" spans="1:22">
      <c r="A289" s="14" t="s">
        <v>1132</v>
      </c>
      <c r="B289" s="15" t="s">
        <v>1133</v>
      </c>
      <c r="C289" s="14" t="s">
        <v>1220</v>
      </c>
      <c r="D289" s="14">
        <v>80</v>
      </c>
      <c r="E289" s="15" t="s">
        <v>573</v>
      </c>
      <c r="F289" s="15" t="s">
        <v>485</v>
      </c>
      <c r="G289" s="14" t="s">
        <v>486</v>
      </c>
      <c r="H289" s="14"/>
      <c r="I289" s="14"/>
      <c r="J289" s="16">
        <v>1159.94</v>
      </c>
      <c r="K289" s="66">
        <v>188243</v>
      </c>
      <c r="L289" s="66">
        <v>718446</v>
      </c>
      <c r="M289" s="66">
        <v>630602</v>
      </c>
      <c r="N289" s="101">
        <v>503037</v>
      </c>
      <c r="O289" s="64">
        <v>8150128</v>
      </c>
      <c r="P289" s="64">
        <v>610576</v>
      </c>
      <c r="Q289" s="64">
        <v>86974</v>
      </c>
      <c r="R289" s="62">
        <v>350357</v>
      </c>
      <c r="S289" s="104">
        <v>409467</v>
      </c>
      <c r="T289" s="103">
        <v>568406</v>
      </c>
      <c r="U289" s="72">
        <v>-117516.24</v>
      </c>
      <c r="V289" s="72">
        <v>-255893.24</v>
      </c>
    </row>
    <row r="290" spans="1:22">
      <c r="A290" s="14" t="s">
        <v>954</v>
      </c>
      <c r="B290" s="15" t="s">
        <v>955</v>
      </c>
      <c r="C290" s="14" t="s">
        <v>1220</v>
      </c>
      <c r="D290" s="14">
        <v>65</v>
      </c>
      <c r="E290" s="15" t="s">
        <v>487</v>
      </c>
      <c r="F290" s="15" t="s">
        <v>488</v>
      </c>
      <c r="G290" s="14" t="s">
        <v>489</v>
      </c>
      <c r="H290" s="14"/>
      <c r="I290" s="14"/>
      <c r="J290" s="16">
        <v>542.05999999999995</v>
      </c>
      <c r="K290" s="66">
        <v>512102</v>
      </c>
      <c r="L290" s="66">
        <v>37048</v>
      </c>
      <c r="M290" s="66">
        <v>273591</v>
      </c>
      <c r="N290" s="101">
        <v>26056</v>
      </c>
      <c r="O290" s="64">
        <v>3896011</v>
      </c>
      <c r="P290" s="64">
        <v>281364</v>
      </c>
      <c r="Q290" s="64">
        <v>41372</v>
      </c>
      <c r="R290" s="62">
        <v>188000</v>
      </c>
      <c r="S290" s="104">
        <v>92726</v>
      </c>
      <c r="T290" s="103">
        <v>209354</v>
      </c>
      <c r="U290" s="72">
        <v>-42121.83</v>
      </c>
      <c r="V290" s="72">
        <v>0</v>
      </c>
    </row>
    <row r="291" spans="1:22">
      <c r="A291" s="14" t="s">
        <v>1249</v>
      </c>
      <c r="B291" s="15" t="s">
        <v>1250</v>
      </c>
      <c r="C291" s="14" t="s">
        <v>1220</v>
      </c>
      <c r="D291" s="14">
        <v>14</v>
      </c>
      <c r="E291" s="15" t="s">
        <v>1153</v>
      </c>
      <c r="F291" s="15" t="s">
        <v>490</v>
      </c>
      <c r="G291" s="14" t="s">
        <v>491</v>
      </c>
      <c r="H291" s="14"/>
      <c r="I291" s="14"/>
      <c r="J291" s="16">
        <v>1314.55</v>
      </c>
      <c r="K291" s="66">
        <v>209995</v>
      </c>
      <c r="L291" s="66">
        <v>826863</v>
      </c>
      <c r="M291" s="66">
        <v>257927</v>
      </c>
      <c r="N291" s="101">
        <v>324985</v>
      </c>
      <c r="O291" s="64">
        <v>8377424</v>
      </c>
      <c r="P291" s="64">
        <v>492955</v>
      </c>
      <c r="Q291" s="64">
        <v>53888</v>
      </c>
      <c r="R291" s="62">
        <v>452585</v>
      </c>
      <c r="S291" s="104">
        <v>207758</v>
      </c>
      <c r="T291" s="103">
        <v>494729</v>
      </c>
      <c r="U291" s="72">
        <v>-129726.99</v>
      </c>
      <c r="V291" s="72">
        <v>0</v>
      </c>
    </row>
    <row r="292" spans="1:22">
      <c r="A292" s="14" t="s">
        <v>1146</v>
      </c>
      <c r="B292" s="15" t="s">
        <v>1147</v>
      </c>
      <c r="C292" s="14" t="s">
        <v>1220</v>
      </c>
      <c r="D292" s="14">
        <v>58</v>
      </c>
      <c r="E292" s="15" t="s">
        <v>761</v>
      </c>
      <c r="F292" s="15" t="s">
        <v>492</v>
      </c>
      <c r="G292" s="14" t="s">
        <v>493</v>
      </c>
      <c r="H292" s="14"/>
      <c r="I292" s="14"/>
      <c r="J292" s="16">
        <v>1047.75</v>
      </c>
      <c r="K292" s="66">
        <v>503315</v>
      </c>
      <c r="L292" s="66">
        <v>426349</v>
      </c>
      <c r="M292" s="66">
        <v>689893</v>
      </c>
      <c r="N292" s="101">
        <v>129096</v>
      </c>
      <c r="O292" s="64">
        <v>6936766</v>
      </c>
      <c r="P292" s="64">
        <v>405122</v>
      </c>
      <c r="Q292" s="64">
        <v>28023</v>
      </c>
      <c r="R292" s="62">
        <v>502230</v>
      </c>
      <c r="S292" s="104">
        <v>218631</v>
      </c>
      <c r="T292" s="103">
        <v>218010</v>
      </c>
      <c r="U292" s="72">
        <v>-62335.03</v>
      </c>
      <c r="V292" s="72">
        <v>-3554.82</v>
      </c>
    </row>
    <row r="293" spans="1:22">
      <c r="A293" s="14" t="s">
        <v>1166</v>
      </c>
      <c r="B293" s="15" t="s">
        <v>1167</v>
      </c>
      <c r="C293" s="14" t="s">
        <v>1220</v>
      </c>
      <c r="D293" s="14">
        <v>42</v>
      </c>
      <c r="E293" s="15" t="s">
        <v>821</v>
      </c>
      <c r="F293" s="15" t="s">
        <v>494</v>
      </c>
      <c r="G293" s="14" t="s">
        <v>495</v>
      </c>
      <c r="H293" s="14"/>
      <c r="I293" s="14"/>
      <c r="J293" s="16">
        <v>580.51</v>
      </c>
      <c r="K293" s="66">
        <v>471158</v>
      </c>
      <c r="L293" s="66">
        <v>822027</v>
      </c>
      <c r="M293" s="66">
        <v>166357</v>
      </c>
      <c r="N293" s="101">
        <v>161877</v>
      </c>
      <c r="O293" s="64">
        <v>3908883</v>
      </c>
      <c r="P293" s="64">
        <v>232961</v>
      </c>
      <c r="Q293" s="64">
        <v>27930</v>
      </c>
      <c r="R293" s="62">
        <v>206935</v>
      </c>
      <c r="S293" s="104">
        <v>93942</v>
      </c>
      <c r="T293" s="103">
        <v>301775</v>
      </c>
      <c r="U293" s="72">
        <v>-74464.12</v>
      </c>
      <c r="V293" s="72">
        <v>0</v>
      </c>
    </row>
    <row r="294" spans="1:22">
      <c r="A294" s="14" t="s">
        <v>1092</v>
      </c>
      <c r="B294" s="15" t="s">
        <v>1093</v>
      </c>
      <c r="C294" s="14" t="s">
        <v>1220</v>
      </c>
      <c r="D294" s="14">
        <v>81</v>
      </c>
      <c r="E294" s="15" t="s">
        <v>580</v>
      </c>
      <c r="F294" s="15" t="s">
        <v>496</v>
      </c>
      <c r="G294" s="14" t="s">
        <v>497</v>
      </c>
      <c r="H294" s="14"/>
      <c r="I294" s="14"/>
      <c r="J294" s="16">
        <v>978.36</v>
      </c>
      <c r="K294" s="66">
        <v>239150</v>
      </c>
      <c r="L294" s="66">
        <v>582921</v>
      </c>
      <c r="M294" s="66">
        <v>694983</v>
      </c>
      <c r="N294" s="101">
        <v>113584</v>
      </c>
      <c r="O294" s="64">
        <v>6166081</v>
      </c>
      <c r="P294" s="64">
        <v>651672</v>
      </c>
      <c r="Q294" s="64">
        <v>18574</v>
      </c>
      <c r="R294" s="62">
        <v>119844</v>
      </c>
      <c r="S294" s="104">
        <v>155189</v>
      </c>
      <c r="T294" s="103">
        <v>264288</v>
      </c>
      <c r="U294" s="72">
        <v>-35928.9</v>
      </c>
      <c r="V294" s="72">
        <v>0</v>
      </c>
    </row>
    <row r="295" spans="1:22">
      <c r="A295" s="14" t="s">
        <v>1166</v>
      </c>
      <c r="B295" s="15" t="s">
        <v>1167</v>
      </c>
      <c r="C295" s="14" t="s">
        <v>1220</v>
      </c>
      <c r="D295" s="14">
        <v>51</v>
      </c>
      <c r="E295" s="15" t="s">
        <v>886</v>
      </c>
      <c r="F295" s="15" t="s">
        <v>498</v>
      </c>
      <c r="G295" s="14" t="s">
        <v>499</v>
      </c>
      <c r="H295" s="14"/>
      <c r="I295" s="14"/>
      <c r="J295" s="16">
        <v>757</v>
      </c>
      <c r="K295" s="66">
        <v>460523</v>
      </c>
      <c r="L295" s="66">
        <v>725342</v>
      </c>
      <c r="M295" s="66">
        <v>338999</v>
      </c>
      <c r="N295" s="101">
        <v>178275</v>
      </c>
      <c r="O295" s="64">
        <v>5259125</v>
      </c>
      <c r="P295" s="64">
        <v>412421</v>
      </c>
      <c r="Q295" s="64">
        <v>145296</v>
      </c>
      <c r="R295" s="62">
        <v>202849</v>
      </c>
      <c r="S295" s="104">
        <v>144871</v>
      </c>
      <c r="T295" s="103">
        <v>371523</v>
      </c>
      <c r="U295" s="72">
        <v>-122360.88</v>
      </c>
      <c r="V295" s="72">
        <v>0</v>
      </c>
    </row>
    <row r="296" spans="1:22">
      <c r="A296" s="14" t="s">
        <v>1132</v>
      </c>
      <c r="B296" s="15" t="s">
        <v>1133</v>
      </c>
      <c r="C296" s="14" t="s">
        <v>1220</v>
      </c>
      <c r="D296" s="14">
        <v>77</v>
      </c>
      <c r="E296" s="15" t="s">
        <v>728</v>
      </c>
      <c r="F296" s="15" t="s">
        <v>500</v>
      </c>
      <c r="G296" s="14" t="s">
        <v>501</v>
      </c>
      <c r="H296" s="14"/>
      <c r="I296" s="14"/>
      <c r="J296" s="16">
        <v>1437.14</v>
      </c>
      <c r="K296" s="66">
        <v>471830</v>
      </c>
      <c r="L296" s="66">
        <v>642897</v>
      </c>
      <c r="M296" s="66">
        <v>1318226</v>
      </c>
      <c r="N296" s="101">
        <v>226735</v>
      </c>
      <c r="O296" s="64">
        <v>10063390</v>
      </c>
      <c r="P296" s="64">
        <v>484026</v>
      </c>
      <c r="Q296" s="64">
        <v>457997</v>
      </c>
      <c r="R296" s="62">
        <v>522726</v>
      </c>
      <c r="S296" s="104">
        <v>395060</v>
      </c>
      <c r="T296" s="103">
        <v>408808</v>
      </c>
      <c r="U296" s="72">
        <v>-92495.7</v>
      </c>
      <c r="V296" s="72">
        <v>-42254.52</v>
      </c>
    </row>
    <row r="297" spans="1:22">
      <c r="A297" s="14" t="s">
        <v>961</v>
      </c>
      <c r="B297" s="15" t="s">
        <v>962</v>
      </c>
      <c r="C297" s="14" t="s">
        <v>1220</v>
      </c>
      <c r="D297" s="14">
        <v>35</v>
      </c>
      <c r="E297" s="15" t="s">
        <v>963</v>
      </c>
      <c r="F297" s="15" t="s">
        <v>502</v>
      </c>
      <c r="G297" s="14" t="s">
        <v>503</v>
      </c>
      <c r="H297" s="14"/>
      <c r="I297" s="14"/>
      <c r="J297" s="16">
        <v>336.44</v>
      </c>
      <c r="K297" s="66">
        <v>648105</v>
      </c>
      <c r="L297" s="66">
        <v>134362</v>
      </c>
      <c r="M297" s="66">
        <v>407565</v>
      </c>
      <c r="N297" s="101">
        <v>26943</v>
      </c>
      <c r="O297" s="64">
        <v>2851096</v>
      </c>
      <c r="P297" s="64">
        <v>222689</v>
      </c>
      <c r="Q297" s="64">
        <v>22735</v>
      </c>
      <c r="R297" s="62">
        <v>97892</v>
      </c>
      <c r="S297" s="104">
        <v>49541</v>
      </c>
      <c r="T297" s="103">
        <v>93355</v>
      </c>
      <c r="U297" s="72">
        <v>-16834.080000000002</v>
      </c>
      <c r="V297" s="72">
        <v>0</v>
      </c>
    </row>
    <row r="298" spans="1:22">
      <c r="A298" s="14" t="s">
        <v>1017</v>
      </c>
      <c r="B298" s="15" t="s">
        <v>1018</v>
      </c>
      <c r="C298" s="14" t="s">
        <v>1220</v>
      </c>
      <c r="D298" s="14">
        <v>25</v>
      </c>
      <c r="E298" s="15" t="s">
        <v>1048</v>
      </c>
      <c r="F298" s="15" t="s">
        <v>504</v>
      </c>
      <c r="G298" s="14" t="s">
        <v>505</v>
      </c>
      <c r="H298" s="14"/>
      <c r="I298" s="14"/>
      <c r="J298" s="16">
        <v>899.56</v>
      </c>
      <c r="K298" s="66">
        <v>615643</v>
      </c>
      <c r="L298" s="66">
        <v>1027142</v>
      </c>
      <c r="M298" s="66">
        <v>674894</v>
      </c>
      <c r="N298" s="101">
        <v>151316</v>
      </c>
      <c r="O298" s="64">
        <v>5591667</v>
      </c>
      <c r="P298" s="64">
        <v>373183</v>
      </c>
      <c r="Q298" s="64">
        <v>62926</v>
      </c>
      <c r="R298" s="62">
        <v>110968</v>
      </c>
      <c r="S298" s="104">
        <v>124460</v>
      </c>
      <c r="T298" s="103">
        <v>560798</v>
      </c>
      <c r="U298" s="72">
        <v>-61630.51</v>
      </c>
      <c r="V298" s="72">
        <v>0</v>
      </c>
    </row>
    <row r="299" spans="1:22">
      <c r="A299" s="14" t="s">
        <v>1132</v>
      </c>
      <c r="B299" s="15" t="s">
        <v>1133</v>
      </c>
      <c r="C299" s="14" t="s">
        <v>1220</v>
      </c>
      <c r="D299" s="14">
        <v>11</v>
      </c>
      <c r="E299" s="15" t="s">
        <v>1134</v>
      </c>
      <c r="F299" s="15" t="s">
        <v>506</v>
      </c>
      <c r="G299" s="14" t="s">
        <v>507</v>
      </c>
      <c r="H299" s="14"/>
      <c r="I299" s="14"/>
      <c r="J299" s="16">
        <v>1028.78</v>
      </c>
      <c r="K299" s="66">
        <v>539898</v>
      </c>
      <c r="L299" s="66">
        <v>395886</v>
      </c>
      <c r="M299" s="66">
        <v>774366</v>
      </c>
      <c r="N299" s="101">
        <v>89935</v>
      </c>
      <c r="O299" s="64">
        <v>7206820</v>
      </c>
      <c r="P299" s="64">
        <v>704668</v>
      </c>
      <c r="Q299" s="64">
        <v>51903</v>
      </c>
      <c r="R299" s="62">
        <v>377343</v>
      </c>
      <c r="S299" s="104">
        <v>255488</v>
      </c>
      <c r="T299" s="103">
        <v>294677</v>
      </c>
      <c r="U299" s="72">
        <v>-75287.53</v>
      </c>
      <c r="V299" s="72">
        <v>-7000.3</v>
      </c>
    </row>
    <row r="300" spans="1:22">
      <c r="A300" s="14" t="s">
        <v>961</v>
      </c>
      <c r="B300" s="15" t="s">
        <v>962</v>
      </c>
      <c r="C300" s="14" t="s">
        <v>1220</v>
      </c>
      <c r="D300" s="14">
        <v>45</v>
      </c>
      <c r="E300" s="15" t="s">
        <v>842</v>
      </c>
      <c r="F300" s="15" t="s">
        <v>508</v>
      </c>
      <c r="G300" s="14" t="s">
        <v>509</v>
      </c>
      <c r="H300" s="14"/>
      <c r="I300" s="14"/>
      <c r="J300" s="16">
        <v>472.46</v>
      </c>
      <c r="K300" s="66">
        <v>484905</v>
      </c>
      <c r="L300" s="66">
        <v>78789</v>
      </c>
      <c r="M300" s="66">
        <v>334396</v>
      </c>
      <c r="N300" s="101">
        <v>52188</v>
      </c>
      <c r="O300" s="64">
        <v>4221867</v>
      </c>
      <c r="P300" s="64">
        <v>242870</v>
      </c>
      <c r="Q300" s="64">
        <v>38545</v>
      </c>
      <c r="R300" s="62">
        <v>209383</v>
      </c>
      <c r="S300" s="104">
        <v>109664</v>
      </c>
      <c r="T300" s="103">
        <v>131231</v>
      </c>
      <c r="U300" s="72">
        <v>-38105.68</v>
      </c>
      <c r="V300" s="72">
        <v>0</v>
      </c>
    </row>
    <row r="301" spans="1:22">
      <c r="A301" s="14" t="s">
        <v>1087</v>
      </c>
      <c r="B301" s="15" t="s">
        <v>1088</v>
      </c>
      <c r="C301" s="14" t="s">
        <v>1220</v>
      </c>
      <c r="D301" s="14">
        <v>12</v>
      </c>
      <c r="E301" s="15" t="s">
        <v>1143</v>
      </c>
      <c r="F301" s="15" t="s">
        <v>510</v>
      </c>
      <c r="G301" s="14" t="s">
        <v>511</v>
      </c>
      <c r="H301" s="14"/>
      <c r="I301" s="14"/>
      <c r="J301" s="16">
        <v>740.8</v>
      </c>
      <c r="K301" s="66">
        <v>563416</v>
      </c>
      <c r="L301" s="66">
        <v>571576</v>
      </c>
      <c r="M301" s="66">
        <v>183963</v>
      </c>
      <c r="N301" s="101">
        <v>101858</v>
      </c>
      <c r="O301" s="64">
        <v>5270451</v>
      </c>
      <c r="P301" s="64">
        <v>532389</v>
      </c>
      <c r="Q301" s="64">
        <v>122638</v>
      </c>
      <c r="R301" s="62">
        <v>96871</v>
      </c>
      <c r="S301" s="104">
        <v>138178</v>
      </c>
      <c r="T301" s="103">
        <v>223031</v>
      </c>
      <c r="U301" s="72">
        <v>-16924.71</v>
      </c>
      <c r="V301" s="72">
        <v>0</v>
      </c>
    </row>
    <row r="302" spans="1:22">
      <c r="A302" s="14" t="s">
        <v>1166</v>
      </c>
      <c r="B302" s="15" t="s">
        <v>1167</v>
      </c>
      <c r="C302" s="14" t="s">
        <v>1220</v>
      </c>
      <c r="D302" s="14">
        <v>67</v>
      </c>
      <c r="E302" s="15" t="s">
        <v>813</v>
      </c>
      <c r="F302" s="15" t="s">
        <v>512</v>
      </c>
      <c r="G302" s="14" t="s">
        <v>513</v>
      </c>
      <c r="H302" s="14"/>
      <c r="I302" s="14"/>
      <c r="J302" s="16">
        <v>1244.56</v>
      </c>
      <c r="K302" s="66">
        <v>852287</v>
      </c>
      <c r="L302" s="66">
        <v>877889</v>
      </c>
      <c r="M302" s="66">
        <v>485413</v>
      </c>
      <c r="N302" s="101">
        <v>220570</v>
      </c>
      <c r="O302" s="64">
        <v>8589915</v>
      </c>
      <c r="P302" s="64">
        <v>643488</v>
      </c>
      <c r="Q302" s="64">
        <v>39358</v>
      </c>
      <c r="R302" s="62">
        <v>328444</v>
      </c>
      <c r="S302" s="104">
        <v>199722</v>
      </c>
      <c r="T302" s="103">
        <v>735321</v>
      </c>
      <c r="U302" s="72">
        <v>-96569.99</v>
      </c>
      <c r="V302" s="72">
        <v>0</v>
      </c>
    </row>
    <row r="303" spans="1:22">
      <c r="A303" s="14" t="s">
        <v>1087</v>
      </c>
      <c r="B303" s="15" t="s">
        <v>1088</v>
      </c>
      <c r="C303" s="14" t="s">
        <v>1220</v>
      </c>
      <c r="D303" s="14">
        <v>87</v>
      </c>
      <c r="E303" s="15" t="s">
        <v>628</v>
      </c>
      <c r="F303" s="15" t="s">
        <v>514</v>
      </c>
      <c r="G303" s="14" t="s">
        <v>515</v>
      </c>
      <c r="H303" s="14"/>
      <c r="I303" s="14"/>
      <c r="J303" s="16">
        <v>1052.07</v>
      </c>
      <c r="K303" s="66">
        <v>529047</v>
      </c>
      <c r="L303" s="66">
        <v>201754</v>
      </c>
      <c r="M303" s="66">
        <v>534105</v>
      </c>
      <c r="N303" s="101">
        <v>91520</v>
      </c>
      <c r="O303" s="64">
        <v>7319222</v>
      </c>
      <c r="P303" s="64">
        <v>710680</v>
      </c>
      <c r="Q303" s="64">
        <v>49246</v>
      </c>
      <c r="R303" s="62">
        <v>459337</v>
      </c>
      <c r="S303" s="104">
        <v>227376</v>
      </c>
      <c r="T303" s="103">
        <v>349068</v>
      </c>
      <c r="U303" s="72">
        <v>-74996.759999999995</v>
      </c>
      <c r="V303" s="72">
        <v>0</v>
      </c>
    </row>
    <row r="304" spans="1:22">
      <c r="A304" s="14" t="s">
        <v>1017</v>
      </c>
      <c r="B304" s="15" t="s">
        <v>1018</v>
      </c>
      <c r="C304" s="14" t="s">
        <v>1220</v>
      </c>
      <c r="D304" s="14">
        <v>23</v>
      </c>
      <c r="E304" s="15" t="s">
        <v>1036</v>
      </c>
      <c r="F304" s="15" t="s">
        <v>516</v>
      </c>
      <c r="G304" s="14" t="s">
        <v>517</v>
      </c>
      <c r="H304" s="14"/>
      <c r="I304" s="14"/>
      <c r="J304" s="16">
        <v>609.58000000000004</v>
      </c>
      <c r="K304" s="66">
        <v>677440</v>
      </c>
      <c r="L304" s="66">
        <v>267670</v>
      </c>
      <c r="M304" s="66">
        <v>511170</v>
      </c>
      <c r="N304" s="101">
        <v>111151</v>
      </c>
      <c r="O304" s="64">
        <v>4175016</v>
      </c>
      <c r="P304" s="64">
        <v>260393</v>
      </c>
      <c r="Q304" s="64">
        <v>64315</v>
      </c>
      <c r="R304" s="62">
        <v>291055</v>
      </c>
      <c r="S304" s="104">
        <v>95273</v>
      </c>
      <c r="T304" s="103">
        <v>463596</v>
      </c>
      <c r="U304" s="72">
        <v>-65989.25</v>
      </c>
      <c r="V304" s="72">
        <v>0</v>
      </c>
    </row>
    <row r="305" spans="1:22">
      <c r="A305" s="14" t="s">
        <v>961</v>
      </c>
      <c r="B305" s="15" t="s">
        <v>962</v>
      </c>
      <c r="C305" s="14" t="s">
        <v>1220</v>
      </c>
      <c r="D305" s="14">
        <v>54</v>
      </c>
      <c r="E305" s="15" t="s">
        <v>518</v>
      </c>
      <c r="F305" s="15" t="s">
        <v>519</v>
      </c>
      <c r="G305" s="14" t="s">
        <v>520</v>
      </c>
      <c r="H305" s="14"/>
      <c r="I305" s="14"/>
      <c r="J305" s="16">
        <v>350.2</v>
      </c>
      <c r="K305" s="66">
        <v>49892</v>
      </c>
      <c r="L305" s="66">
        <v>265756</v>
      </c>
      <c r="M305" s="66">
        <v>205661</v>
      </c>
      <c r="N305" s="101">
        <v>87333</v>
      </c>
      <c r="O305" s="64">
        <v>2791875</v>
      </c>
      <c r="P305" s="64">
        <v>169783</v>
      </c>
      <c r="Q305" s="64">
        <v>12325</v>
      </c>
      <c r="R305" s="62">
        <v>131602</v>
      </c>
      <c r="S305" s="104">
        <v>104146</v>
      </c>
      <c r="T305" s="103">
        <v>59274</v>
      </c>
      <c r="U305" s="72">
        <v>-23538.67</v>
      </c>
      <c r="V305" s="72">
        <v>-1245.3399999999999</v>
      </c>
    </row>
    <row r="306" spans="1:22">
      <c r="A306" s="14" t="s">
        <v>1092</v>
      </c>
      <c r="B306" s="15" t="s">
        <v>1093</v>
      </c>
      <c r="C306" s="14" t="s">
        <v>1220</v>
      </c>
      <c r="D306" s="14">
        <v>72</v>
      </c>
      <c r="E306" s="15" t="s">
        <v>521</v>
      </c>
      <c r="F306" s="15" t="s">
        <v>522</v>
      </c>
      <c r="G306" s="14" t="s">
        <v>523</v>
      </c>
      <c r="H306" s="14"/>
      <c r="I306" s="14"/>
      <c r="J306" s="16">
        <v>1259.68</v>
      </c>
      <c r="K306" s="66">
        <v>747751</v>
      </c>
      <c r="L306" s="66">
        <v>71845</v>
      </c>
      <c r="M306" s="66">
        <v>984961</v>
      </c>
      <c r="N306" s="101">
        <v>126347</v>
      </c>
      <c r="O306" s="64">
        <v>8776400</v>
      </c>
      <c r="P306" s="64">
        <v>374607</v>
      </c>
      <c r="Q306" s="64">
        <v>169544</v>
      </c>
      <c r="R306" s="62">
        <v>237306</v>
      </c>
      <c r="S306" s="104">
        <v>228480</v>
      </c>
      <c r="T306" s="103">
        <v>388141</v>
      </c>
      <c r="U306" s="72">
        <v>-148442.01</v>
      </c>
      <c r="V306" s="72">
        <v>0</v>
      </c>
    </row>
    <row r="307" spans="1:22">
      <c r="A307" s="14" t="s">
        <v>1258</v>
      </c>
      <c r="B307" s="15" t="s">
        <v>1259</v>
      </c>
      <c r="C307" s="14" t="s">
        <v>1220</v>
      </c>
      <c r="D307" s="14">
        <v>15</v>
      </c>
      <c r="E307" s="15" t="s">
        <v>1160</v>
      </c>
      <c r="F307" s="15" t="s">
        <v>524</v>
      </c>
      <c r="G307" s="14" t="s">
        <v>525</v>
      </c>
      <c r="H307" s="14"/>
      <c r="I307" s="14"/>
      <c r="J307" s="16">
        <v>487.08</v>
      </c>
      <c r="K307" s="66">
        <v>286651</v>
      </c>
      <c r="L307" s="66">
        <v>838454</v>
      </c>
      <c r="M307" s="66">
        <v>292386</v>
      </c>
      <c r="N307" s="101">
        <v>109766</v>
      </c>
      <c r="O307" s="64">
        <v>3594106</v>
      </c>
      <c r="P307" s="64">
        <v>307772</v>
      </c>
      <c r="Q307" s="64">
        <v>11838</v>
      </c>
      <c r="R307" s="62">
        <v>329404</v>
      </c>
      <c r="S307" s="104">
        <v>119711</v>
      </c>
      <c r="T307" s="103">
        <v>138715</v>
      </c>
      <c r="U307" s="72">
        <v>-44574.86</v>
      </c>
      <c r="V307" s="72">
        <v>-283.39999999999998</v>
      </c>
    </row>
    <row r="308" spans="1:22">
      <c r="A308" s="14" t="s">
        <v>1249</v>
      </c>
      <c r="B308" s="15" t="s">
        <v>1250</v>
      </c>
      <c r="C308" s="14" t="s">
        <v>1220</v>
      </c>
      <c r="D308" s="14">
        <v>26</v>
      </c>
      <c r="E308" s="15" t="s">
        <v>1057</v>
      </c>
      <c r="F308" s="15" t="s">
        <v>526</v>
      </c>
      <c r="G308" s="14" t="s">
        <v>527</v>
      </c>
      <c r="H308" s="14"/>
      <c r="I308" s="14"/>
      <c r="J308" s="16">
        <v>792.99</v>
      </c>
      <c r="K308" s="66">
        <v>366309</v>
      </c>
      <c r="L308" s="66">
        <v>488772</v>
      </c>
      <c r="M308" s="66">
        <v>371675</v>
      </c>
      <c r="N308" s="101">
        <v>112421</v>
      </c>
      <c r="O308" s="64">
        <v>5468014</v>
      </c>
      <c r="P308" s="64">
        <v>350909</v>
      </c>
      <c r="Q308" s="64">
        <v>21081</v>
      </c>
      <c r="R308" s="62">
        <v>169299</v>
      </c>
      <c r="S308" s="104">
        <v>168714</v>
      </c>
      <c r="T308" s="103">
        <v>271858</v>
      </c>
      <c r="U308" s="72">
        <v>-61398.6</v>
      </c>
      <c r="V308" s="72">
        <v>0</v>
      </c>
    </row>
    <row r="309" spans="1:22">
      <c r="A309" s="14" t="s">
        <v>961</v>
      </c>
      <c r="B309" s="15" t="s">
        <v>962</v>
      </c>
      <c r="C309" s="14" t="s">
        <v>1220</v>
      </c>
      <c r="D309" s="14">
        <v>35</v>
      </c>
      <c r="E309" s="15" t="s">
        <v>963</v>
      </c>
      <c r="F309" s="15" t="s">
        <v>528</v>
      </c>
      <c r="G309" s="14" t="s">
        <v>529</v>
      </c>
      <c r="H309" s="14"/>
      <c r="I309" s="14"/>
      <c r="J309" s="16">
        <v>247.87</v>
      </c>
      <c r="K309" s="66">
        <v>95107</v>
      </c>
      <c r="L309" s="66">
        <v>14774</v>
      </c>
      <c r="M309" s="66">
        <v>309310</v>
      </c>
      <c r="N309" s="101">
        <v>25866</v>
      </c>
      <c r="O309" s="64">
        <v>2298171</v>
      </c>
      <c r="P309" s="64">
        <v>120695</v>
      </c>
      <c r="Q309" s="64">
        <v>31039</v>
      </c>
      <c r="R309" s="62">
        <v>124420</v>
      </c>
      <c r="S309" s="104">
        <v>66109</v>
      </c>
      <c r="T309" s="103">
        <v>82583</v>
      </c>
      <c r="U309" s="72">
        <v>-21345.08</v>
      </c>
      <c r="V309" s="72">
        <v>0</v>
      </c>
    </row>
    <row r="310" spans="1:22">
      <c r="A310" s="14" t="s">
        <v>1080</v>
      </c>
      <c r="B310" s="15" t="s">
        <v>1081</v>
      </c>
      <c r="C310" s="14" t="s">
        <v>1220</v>
      </c>
      <c r="D310" s="14">
        <v>73</v>
      </c>
      <c r="E310" s="15" t="s">
        <v>690</v>
      </c>
      <c r="F310" s="15" t="s">
        <v>530</v>
      </c>
      <c r="G310" s="14" t="s">
        <v>531</v>
      </c>
      <c r="H310" s="14"/>
      <c r="I310" s="14"/>
      <c r="J310" s="16">
        <v>710.05</v>
      </c>
      <c r="K310" s="66">
        <v>212725</v>
      </c>
      <c r="L310" s="66">
        <v>798337</v>
      </c>
      <c r="M310" s="66">
        <v>287546</v>
      </c>
      <c r="N310" s="101">
        <v>170289</v>
      </c>
      <c r="O310" s="64">
        <v>5198790</v>
      </c>
      <c r="P310" s="64">
        <v>199802</v>
      </c>
      <c r="Q310" s="64">
        <v>20848</v>
      </c>
      <c r="R310" s="62">
        <v>405100</v>
      </c>
      <c r="S310" s="104">
        <v>152886</v>
      </c>
      <c r="T310" s="103">
        <v>485940</v>
      </c>
      <c r="U310" s="72">
        <v>-43655.22</v>
      </c>
      <c r="V310" s="72">
        <v>-51447.07</v>
      </c>
    </row>
    <row r="311" spans="1:22">
      <c r="A311" s="14" t="s">
        <v>1092</v>
      </c>
      <c r="B311" s="15" t="s">
        <v>1093</v>
      </c>
      <c r="C311" s="14" t="s">
        <v>1220</v>
      </c>
      <c r="D311" s="14">
        <v>72</v>
      </c>
      <c r="E311" s="15" t="s">
        <v>521</v>
      </c>
      <c r="F311" s="15" t="s">
        <v>532</v>
      </c>
      <c r="G311" s="14" t="s">
        <v>533</v>
      </c>
      <c r="H311" s="14"/>
      <c r="I311" s="14"/>
      <c r="J311" s="16">
        <v>839.71</v>
      </c>
      <c r="K311" s="66">
        <v>625080</v>
      </c>
      <c r="L311" s="66">
        <v>414005</v>
      </c>
      <c r="M311" s="66">
        <v>610898</v>
      </c>
      <c r="N311" s="101">
        <v>141143</v>
      </c>
      <c r="O311" s="64">
        <v>5550872</v>
      </c>
      <c r="P311" s="64">
        <v>455554</v>
      </c>
      <c r="Q311" s="64">
        <v>177273</v>
      </c>
      <c r="R311" s="62">
        <v>273475</v>
      </c>
      <c r="S311" s="104">
        <v>145807</v>
      </c>
      <c r="T311" s="103">
        <v>286858</v>
      </c>
      <c r="U311" s="72">
        <v>-118466.04</v>
      </c>
      <c r="V311" s="72">
        <v>0</v>
      </c>
    </row>
    <row r="312" spans="1:22">
      <c r="A312" s="14" t="s">
        <v>954</v>
      </c>
      <c r="B312" s="15" t="s">
        <v>955</v>
      </c>
      <c r="C312" s="14" t="s">
        <v>1220</v>
      </c>
      <c r="D312" s="14">
        <v>47</v>
      </c>
      <c r="E312" s="15" t="s">
        <v>850</v>
      </c>
      <c r="F312" s="15" t="s">
        <v>534</v>
      </c>
      <c r="G312" s="14" t="s">
        <v>535</v>
      </c>
      <c r="H312" s="14"/>
      <c r="I312" s="14"/>
      <c r="J312" s="16">
        <v>847.07</v>
      </c>
      <c r="K312" s="66">
        <v>698595</v>
      </c>
      <c r="L312" s="66">
        <v>838208</v>
      </c>
      <c r="M312" s="66">
        <v>428751</v>
      </c>
      <c r="N312" s="101">
        <v>164297</v>
      </c>
      <c r="O312" s="64">
        <v>5701216</v>
      </c>
      <c r="P312" s="64">
        <v>548125</v>
      </c>
      <c r="Q312" s="64">
        <v>112306</v>
      </c>
      <c r="R312" s="62">
        <v>370570</v>
      </c>
      <c r="S312" s="104">
        <v>193082</v>
      </c>
      <c r="T312" s="103">
        <v>485557</v>
      </c>
      <c r="U312" s="72">
        <v>-139213.82</v>
      </c>
      <c r="V312" s="72">
        <v>-3836.46</v>
      </c>
    </row>
    <row r="313" spans="1:22">
      <c r="A313" s="14" t="s">
        <v>1092</v>
      </c>
      <c r="B313" s="15" t="s">
        <v>1093</v>
      </c>
      <c r="C313" s="14" t="s">
        <v>1220</v>
      </c>
      <c r="D313" s="14">
        <v>40</v>
      </c>
      <c r="E313" s="15" t="s">
        <v>984</v>
      </c>
      <c r="F313" s="15" t="s">
        <v>536</v>
      </c>
      <c r="G313" s="14" t="s">
        <v>537</v>
      </c>
      <c r="H313" s="14"/>
      <c r="I313" s="14"/>
      <c r="J313" s="16">
        <v>1227.02</v>
      </c>
      <c r="K313" s="66">
        <v>878403</v>
      </c>
      <c r="L313" s="66">
        <v>1749038</v>
      </c>
      <c r="M313" s="66">
        <v>699304</v>
      </c>
      <c r="N313" s="101">
        <v>518927</v>
      </c>
      <c r="O313" s="64">
        <v>7930559</v>
      </c>
      <c r="P313" s="64">
        <v>585276</v>
      </c>
      <c r="Q313" s="64">
        <v>105853</v>
      </c>
      <c r="R313" s="62">
        <v>241861</v>
      </c>
      <c r="S313" s="104">
        <v>195896</v>
      </c>
      <c r="T313" s="103">
        <v>1089084</v>
      </c>
      <c r="U313" s="72">
        <v>-86869.82</v>
      </c>
      <c r="V313" s="72">
        <v>-257336.62</v>
      </c>
    </row>
    <row r="314" spans="1:22">
      <c r="A314" s="14" t="s">
        <v>1092</v>
      </c>
      <c r="B314" s="15" t="s">
        <v>1093</v>
      </c>
      <c r="C314" s="14" t="s">
        <v>1220</v>
      </c>
      <c r="D314" s="14">
        <v>46</v>
      </c>
      <c r="E314" s="15" t="s">
        <v>847</v>
      </c>
      <c r="F314" s="15" t="s">
        <v>538</v>
      </c>
      <c r="G314" s="14" t="s">
        <v>539</v>
      </c>
      <c r="H314" s="14"/>
      <c r="I314" s="14"/>
      <c r="J314" s="16">
        <v>828.4</v>
      </c>
      <c r="K314" s="66">
        <v>594221</v>
      </c>
      <c r="L314" s="66">
        <v>186843</v>
      </c>
      <c r="M314" s="66">
        <v>722453</v>
      </c>
      <c r="N314" s="101">
        <v>74837</v>
      </c>
      <c r="O314" s="64">
        <v>5472983</v>
      </c>
      <c r="P314" s="64">
        <v>577524</v>
      </c>
      <c r="Q314" s="64">
        <v>412349</v>
      </c>
      <c r="R314" s="62">
        <v>176140</v>
      </c>
      <c r="S314" s="104">
        <v>148708</v>
      </c>
      <c r="T314" s="103">
        <v>286097</v>
      </c>
      <c r="U314" s="72">
        <v>-80870.460000000006</v>
      </c>
      <c r="V314" s="72">
        <v>0</v>
      </c>
    </row>
    <row r="315" spans="1:22">
      <c r="A315" s="14" t="s">
        <v>961</v>
      </c>
      <c r="B315" s="15" t="s">
        <v>962</v>
      </c>
      <c r="C315" s="14" t="s">
        <v>1220</v>
      </c>
      <c r="D315" s="14">
        <v>54</v>
      </c>
      <c r="E315" s="15" t="s">
        <v>518</v>
      </c>
      <c r="F315" s="15" t="s">
        <v>540</v>
      </c>
      <c r="G315" s="14" t="s">
        <v>541</v>
      </c>
      <c r="H315" s="14"/>
      <c r="I315" s="14"/>
      <c r="J315" s="16">
        <v>300.08</v>
      </c>
      <c r="K315" s="66">
        <v>204559</v>
      </c>
      <c r="L315" s="66">
        <v>54328</v>
      </c>
      <c r="M315" s="66">
        <v>309212</v>
      </c>
      <c r="N315" s="101">
        <v>31756</v>
      </c>
      <c r="O315" s="64">
        <v>2515531</v>
      </c>
      <c r="P315" s="64">
        <v>177169</v>
      </c>
      <c r="Q315" s="64">
        <v>4141</v>
      </c>
      <c r="R315" s="62">
        <v>138028</v>
      </c>
      <c r="S315" s="104">
        <v>68758</v>
      </c>
      <c r="T315" s="103">
        <v>71279</v>
      </c>
      <c r="U315" s="72">
        <v>-21629.58</v>
      </c>
      <c r="V315" s="72">
        <v>0</v>
      </c>
    </row>
    <row r="316" spans="1:22">
      <c r="A316" s="14" t="s">
        <v>954</v>
      </c>
      <c r="B316" s="15" t="s">
        <v>955</v>
      </c>
      <c r="C316" s="14" t="s">
        <v>1220</v>
      </c>
      <c r="D316" s="14">
        <v>65</v>
      </c>
      <c r="E316" s="15" t="s">
        <v>487</v>
      </c>
      <c r="F316" s="15" t="s">
        <v>542</v>
      </c>
      <c r="G316" s="14" t="s">
        <v>543</v>
      </c>
      <c r="H316" s="14"/>
      <c r="I316" s="14"/>
      <c r="J316" s="16">
        <v>816.89</v>
      </c>
      <c r="K316" s="66">
        <v>430498</v>
      </c>
      <c r="L316" s="66">
        <v>285215</v>
      </c>
      <c r="M316" s="66">
        <v>557697</v>
      </c>
      <c r="N316" s="101">
        <v>113528</v>
      </c>
      <c r="O316" s="64">
        <v>5635181</v>
      </c>
      <c r="P316" s="64">
        <v>422695</v>
      </c>
      <c r="Q316" s="64">
        <v>150292</v>
      </c>
      <c r="R316" s="62">
        <v>371697</v>
      </c>
      <c r="S316" s="104">
        <v>162849</v>
      </c>
      <c r="T316" s="103">
        <v>314261</v>
      </c>
      <c r="U316" s="72">
        <v>-64739.360000000001</v>
      </c>
      <c r="V316" s="72">
        <v>-1423.24</v>
      </c>
    </row>
    <row r="317" spans="1:22">
      <c r="A317" s="14" t="s">
        <v>1092</v>
      </c>
      <c r="B317" s="15" t="s">
        <v>1093</v>
      </c>
      <c r="C317" s="14" t="s">
        <v>1220</v>
      </c>
      <c r="D317" s="14">
        <v>46</v>
      </c>
      <c r="E317" s="15" t="s">
        <v>847</v>
      </c>
      <c r="F317" s="15" t="s">
        <v>544</v>
      </c>
      <c r="G317" s="14" t="s">
        <v>545</v>
      </c>
      <c r="H317" s="14"/>
      <c r="I317" s="14"/>
      <c r="J317" s="16">
        <v>281.33</v>
      </c>
      <c r="K317" s="66">
        <v>147907</v>
      </c>
      <c r="L317" s="66">
        <v>240777</v>
      </c>
      <c r="M317" s="66">
        <v>299642</v>
      </c>
      <c r="N317" s="101">
        <v>16857</v>
      </c>
      <c r="O317" s="64">
        <v>2202056</v>
      </c>
      <c r="P317" s="64">
        <v>260766</v>
      </c>
      <c r="Q317" s="64">
        <v>49297</v>
      </c>
      <c r="R317" s="62">
        <v>96949</v>
      </c>
      <c r="S317" s="104">
        <v>63625</v>
      </c>
      <c r="T317" s="103">
        <v>73094</v>
      </c>
      <c r="U317" s="72">
        <v>-27632.18</v>
      </c>
      <c r="V317" s="72">
        <v>0</v>
      </c>
    </row>
    <row r="318" spans="1:22">
      <c r="A318" s="14" t="s">
        <v>1146</v>
      </c>
      <c r="B318" s="15" t="s">
        <v>1147</v>
      </c>
      <c r="C318" s="14" t="s">
        <v>1220</v>
      </c>
      <c r="D318" s="14">
        <v>58</v>
      </c>
      <c r="E318" s="15" t="s">
        <v>761</v>
      </c>
      <c r="F318" s="15" t="s">
        <v>546</v>
      </c>
      <c r="G318" s="14" t="s">
        <v>547</v>
      </c>
      <c r="H318" s="14"/>
      <c r="I318" s="14"/>
      <c r="J318" s="16">
        <v>833.98</v>
      </c>
      <c r="K318" s="66">
        <v>380947</v>
      </c>
      <c r="L318" s="66">
        <v>1468540</v>
      </c>
      <c r="M318" s="66">
        <v>346799</v>
      </c>
      <c r="N318" s="101">
        <v>276873</v>
      </c>
      <c r="O318" s="64">
        <v>5990170</v>
      </c>
      <c r="P318" s="64">
        <v>768964</v>
      </c>
      <c r="Q318" s="64">
        <v>69100</v>
      </c>
      <c r="R318" s="62">
        <v>430170</v>
      </c>
      <c r="S318" s="104">
        <v>196420</v>
      </c>
      <c r="T318" s="103">
        <v>303214</v>
      </c>
      <c r="U318" s="72">
        <v>-31065.29</v>
      </c>
      <c r="V318" s="72">
        <v>-22640.65</v>
      </c>
    </row>
    <row r="319" spans="1:22">
      <c r="A319" s="14" t="s">
        <v>961</v>
      </c>
      <c r="B319" s="15" t="s">
        <v>962</v>
      </c>
      <c r="C319" s="14" t="s">
        <v>1220</v>
      </c>
      <c r="D319" s="14">
        <v>60</v>
      </c>
      <c r="E319" s="15" t="s">
        <v>769</v>
      </c>
      <c r="F319" s="15" t="s">
        <v>548</v>
      </c>
      <c r="G319" s="14" t="s">
        <v>549</v>
      </c>
      <c r="H319" s="14"/>
      <c r="I319" s="14"/>
      <c r="J319" s="16">
        <v>507.85</v>
      </c>
      <c r="K319" s="66">
        <v>260776</v>
      </c>
      <c r="L319" s="66">
        <v>470432</v>
      </c>
      <c r="M319" s="66">
        <v>245896</v>
      </c>
      <c r="N319" s="101">
        <v>131199</v>
      </c>
      <c r="O319" s="64">
        <v>3381695</v>
      </c>
      <c r="P319" s="64">
        <v>122437</v>
      </c>
      <c r="Q319" s="64">
        <v>75533</v>
      </c>
      <c r="R319" s="62">
        <v>174683</v>
      </c>
      <c r="S319" s="104">
        <v>98035</v>
      </c>
      <c r="T319" s="103">
        <v>221655</v>
      </c>
      <c r="U319" s="72">
        <v>-24017.97</v>
      </c>
      <c r="V319" s="72">
        <v>0</v>
      </c>
    </row>
    <row r="320" spans="1:22">
      <c r="A320" s="14" t="s">
        <v>961</v>
      </c>
      <c r="B320" s="15" t="s">
        <v>962</v>
      </c>
      <c r="C320" s="14" t="s">
        <v>1220</v>
      </c>
      <c r="D320" s="14">
        <v>68</v>
      </c>
      <c r="E320" s="15" t="s">
        <v>644</v>
      </c>
      <c r="F320" s="15" t="s">
        <v>550</v>
      </c>
      <c r="G320" s="14" t="s">
        <v>551</v>
      </c>
      <c r="H320" s="14"/>
      <c r="I320" s="14"/>
      <c r="J320" s="16">
        <v>474.65</v>
      </c>
      <c r="K320" s="66">
        <v>148725</v>
      </c>
      <c r="L320" s="66">
        <v>79252</v>
      </c>
      <c r="M320" s="66">
        <v>250042</v>
      </c>
      <c r="N320" s="101">
        <v>67908</v>
      </c>
      <c r="O320" s="64">
        <v>4144870</v>
      </c>
      <c r="P320" s="64">
        <v>310628</v>
      </c>
      <c r="Q320" s="64">
        <v>28087</v>
      </c>
      <c r="R320" s="62">
        <v>156017</v>
      </c>
      <c r="S320" s="104">
        <v>128645</v>
      </c>
      <c r="T320" s="103">
        <v>152149</v>
      </c>
      <c r="U320" s="72">
        <v>-31537.54</v>
      </c>
      <c r="V320" s="72">
        <v>0</v>
      </c>
    </row>
    <row r="321" spans="1:22">
      <c r="A321" s="14" t="s">
        <v>1080</v>
      </c>
      <c r="B321" s="15" t="s">
        <v>1081</v>
      </c>
      <c r="C321" s="14" t="s">
        <v>1220</v>
      </c>
      <c r="D321" s="14">
        <v>86</v>
      </c>
      <c r="E321" s="15" t="s">
        <v>613</v>
      </c>
      <c r="F321" s="15" t="s">
        <v>552</v>
      </c>
      <c r="G321" s="14" t="s">
        <v>553</v>
      </c>
      <c r="H321" s="14"/>
      <c r="I321" s="14"/>
      <c r="J321" s="16">
        <v>1036.3699999999999</v>
      </c>
      <c r="K321" s="66">
        <v>1197990</v>
      </c>
      <c r="L321" s="66">
        <v>94506</v>
      </c>
      <c r="M321" s="66">
        <v>335585</v>
      </c>
      <c r="N321" s="101">
        <v>145938</v>
      </c>
      <c r="O321" s="64">
        <v>6544129</v>
      </c>
      <c r="P321" s="64">
        <v>449475</v>
      </c>
      <c r="Q321" s="64">
        <v>190896</v>
      </c>
      <c r="R321" s="62">
        <v>235604</v>
      </c>
      <c r="S321" s="104">
        <v>147660</v>
      </c>
      <c r="T321" s="103">
        <v>1258728</v>
      </c>
      <c r="U321" s="72">
        <v>-92267.12</v>
      </c>
      <c r="V321" s="72">
        <v>0</v>
      </c>
    </row>
    <row r="322" spans="1:22">
      <c r="A322" s="14" t="s">
        <v>1166</v>
      </c>
      <c r="B322" s="15" t="s">
        <v>1167</v>
      </c>
      <c r="C322" s="14" t="s">
        <v>1220</v>
      </c>
      <c r="D322" s="14">
        <v>59</v>
      </c>
      <c r="E322" s="15" t="s">
        <v>766</v>
      </c>
      <c r="F322" s="15" t="s">
        <v>554</v>
      </c>
      <c r="G322" s="14" t="s">
        <v>555</v>
      </c>
      <c r="H322" s="14"/>
      <c r="I322" s="14"/>
      <c r="J322" s="16">
        <v>1229.0899999999999</v>
      </c>
      <c r="K322" s="66">
        <v>458323</v>
      </c>
      <c r="L322" s="66">
        <v>1597994</v>
      </c>
      <c r="M322" s="66">
        <v>698400</v>
      </c>
      <c r="N322" s="101">
        <v>442119</v>
      </c>
      <c r="O322" s="64">
        <v>8421557</v>
      </c>
      <c r="P322" s="64">
        <v>594484</v>
      </c>
      <c r="Q322" s="64">
        <v>48563</v>
      </c>
      <c r="R322" s="62">
        <v>280801</v>
      </c>
      <c r="S322" s="104">
        <v>278531</v>
      </c>
      <c r="T322" s="103">
        <v>524779</v>
      </c>
      <c r="U322" s="72">
        <v>-71531.179999999993</v>
      </c>
      <c r="V322" s="72">
        <v>-1530</v>
      </c>
    </row>
    <row r="323" spans="1:22">
      <c r="A323" s="14" t="s">
        <v>1218</v>
      </c>
      <c r="B323" s="15" t="s">
        <v>1219</v>
      </c>
      <c r="C323" s="14" t="s">
        <v>1220</v>
      </c>
      <c r="D323" s="14">
        <v>69</v>
      </c>
      <c r="E323" s="15" t="s">
        <v>651</v>
      </c>
      <c r="F323" s="15" t="s">
        <v>556</v>
      </c>
      <c r="G323" s="14" t="s">
        <v>379</v>
      </c>
      <c r="H323" s="14"/>
      <c r="I323" s="14"/>
      <c r="J323" s="16">
        <v>892.08</v>
      </c>
      <c r="K323" s="66">
        <v>229207</v>
      </c>
      <c r="L323" s="66">
        <v>-18802</v>
      </c>
      <c r="M323" s="66">
        <v>5586304</v>
      </c>
      <c r="N323" s="101">
        <v>121865</v>
      </c>
      <c r="O323" s="64">
        <v>5819799</v>
      </c>
      <c r="P323" s="64">
        <v>475750</v>
      </c>
      <c r="Q323" s="64">
        <v>49795</v>
      </c>
      <c r="R323" s="62">
        <v>510371</v>
      </c>
      <c r="S323" s="104">
        <v>142429</v>
      </c>
      <c r="T323" s="103">
        <v>795342</v>
      </c>
      <c r="U323" s="72">
        <v>-79000.570000000007</v>
      </c>
      <c r="V323" s="72">
        <v>0</v>
      </c>
    </row>
    <row r="324" spans="1:22">
      <c r="A324" s="14" t="s">
        <v>1092</v>
      </c>
      <c r="B324" s="15" t="s">
        <v>1093</v>
      </c>
      <c r="C324" s="14" t="s">
        <v>1220</v>
      </c>
      <c r="D324" s="14">
        <v>46</v>
      </c>
      <c r="E324" s="15" t="s">
        <v>847</v>
      </c>
      <c r="F324" s="15" t="s">
        <v>380</v>
      </c>
      <c r="G324" s="14" t="s">
        <v>381</v>
      </c>
      <c r="H324" s="14"/>
      <c r="I324" s="14"/>
      <c r="J324" s="16">
        <v>1846.72</v>
      </c>
      <c r="K324" s="66">
        <v>1384914</v>
      </c>
      <c r="L324" s="66">
        <v>603478</v>
      </c>
      <c r="M324" s="66">
        <v>1115675</v>
      </c>
      <c r="N324" s="101">
        <v>323938</v>
      </c>
      <c r="O324" s="64">
        <v>12609640</v>
      </c>
      <c r="P324" s="64">
        <v>1286226</v>
      </c>
      <c r="Q324" s="64">
        <v>248006</v>
      </c>
      <c r="R324" s="62">
        <v>876194</v>
      </c>
      <c r="S324" s="104">
        <v>358602</v>
      </c>
      <c r="T324" s="103">
        <v>925886</v>
      </c>
      <c r="U324" s="72">
        <v>-177846.11</v>
      </c>
      <c r="V324" s="72">
        <v>-27991.71</v>
      </c>
    </row>
    <row r="325" spans="1:22">
      <c r="A325" s="14" t="s">
        <v>1132</v>
      </c>
      <c r="B325" s="15" t="s">
        <v>1133</v>
      </c>
      <c r="C325" s="14" t="s">
        <v>1220</v>
      </c>
      <c r="D325" s="14">
        <v>77</v>
      </c>
      <c r="E325" s="15" t="s">
        <v>728</v>
      </c>
      <c r="F325" s="15" t="s">
        <v>382</v>
      </c>
      <c r="G325" s="14" t="s">
        <v>383</v>
      </c>
      <c r="H325" s="14"/>
      <c r="I325" s="14"/>
      <c r="J325" s="16">
        <v>1286.07</v>
      </c>
      <c r="K325" s="66">
        <v>801452</v>
      </c>
      <c r="L325" s="66">
        <v>1218933</v>
      </c>
      <c r="M325" s="66">
        <v>740874</v>
      </c>
      <c r="N325" s="101">
        <v>288506</v>
      </c>
      <c r="O325" s="64">
        <v>9067612</v>
      </c>
      <c r="P325" s="64">
        <v>630268</v>
      </c>
      <c r="Q325" s="64">
        <v>205347</v>
      </c>
      <c r="R325" s="62">
        <v>430204</v>
      </c>
      <c r="S325" s="104">
        <v>311490</v>
      </c>
      <c r="T325" s="103">
        <v>455227</v>
      </c>
      <c r="U325" s="72">
        <v>-106564.73</v>
      </c>
      <c r="V325" s="72">
        <v>-1929</v>
      </c>
    </row>
    <row r="326" spans="1:22">
      <c r="A326" s="14" t="s">
        <v>1166</v>
      </c>
      <c r="B326" s="15" t="s">
        <v>1167</v>
      </c>
      <c r="C326" s="14" t="s">
        <v>1220</v>
      </c>
      <c r="D326" s="14">
        <v>64</v>
      </c>
      <c r="E326" s="15" t="s">
        <v>803</v>
      </c>
      <c r="F326" s="15" t="s">
        <v>384</v>
      </c>
      <c r="G326" s="14" t="s">
        <v>385</v>
      </c>
      <c r="H326" s="14"/>
      <c r="I326" s="14"/>
      <c r="J326" s="16">
        <v>424.55</v>
      </c>
      <c r="K326" s="66">
        <v>148013</v>
      </c>
      <c r="L326" s="66">
        <v>215349</v>
      </c>
      <c r="M326" s="66">
        <v>345582</v>
      </c>
      <c r="N326" s="101">
        <v>75044</v>
      </c>
      <c r="O326" s="64">
        <v>2924630</v>
      </c>
      <c r="P326" s="64">
        <v>287444</v>
      </c>
      <c r="Q326" s="64">
        <v>58977</v>
      </c>
      <c r="R326" s="62">
        <v>168816</v>
      </c>
      <c r="S326" s="104">
        <v>103792</v>
      </c>
      <c r="T326" s="103">
        <v>158844</v>
      </c>
      <c r="U326" s="72">
        <v>-48136.71</v>
      </c>
      <c r="V326" s="72">
        <v>0</v>
      </c>
    </row>
    <row r="327" spans="1:22">
      <c r="A327" s="14" t="s">
        <v>1132</v>
      </c>
      <c r="B327" s="15" t="s">
        <v>1133</v>
      </c>
      <c r="C327" s="14" t="s">
        <v>1220</v>
      </c>
      <c r="D327" s="14">
        <v>77</v>
      </c>
      <c r="E327" s="15" t="s">
        <v>728</v>
      </c>
      <c r="F327" s="15" t="s">
        <v>386</v>
      </c>
      <c r="G327" s="14" t="s">
        <v>387</v>
      </c>
      <c r="H327" s="14"/>
      <c r="I327" s="14"/>
      <c r="J327" s="16">
        <v>344.84</v>
      </c>
      <c r="K327" s="66">
        <v>204237</v>
      </c>
      <c r="L327" s="66">
        <v>105077</v>
      </c>
      <c r="M327" s="66">
        <v>194996</v>
      </c>
      <c r="N327" s="101">
        <v>83055</v>
      </c>
      <c r="O327" s="64">
        <v>2678227</v>
      </c>
      <c r="P327" s="64">
        <v>3630</v>
      </c>
      <c r="Q327" s="64">
        <v>35902</v>
      </c>
      <c r="R327" s="62">
        <v>151993</v>
      </c>
      <c r="S327" s="104">
        <v>97152</v>
      </c>
      <c r="T327" s="103">
        <v>71646</v>
      </c>
      <c r="U327" s="72">
        <v>-22651.77</v>
      </c>
      <c r="V327" s="72">
        <v>0</v>
      </c>
    </row>
    <row r="328" spans="1:22">
      <c r="A328" s="14" t="s">
        <v>1017</v>
      </c>
      <c r="B328" s="15" t="s">
        <v>1018</v>
      </c>
      <c r="C328" s="14" t="s">
        <v>1220</v>
      </c>
      <c r="D328" s="14">
        <v>79</v>
      </c>
      <c r="E328" s="15" t="s">
        <v>566</v>
      </c>
      <c r="F328" s="15" t="s">
        <v>388</v>
      </c>
      <c r="G328" s="14" t="s">
        <v>389</v>
      </c>
      <c r="H328" s="14"/>
      <c r="I328" s="14"/>
      <c r="J328" s="16">
        <v>1136.04</v>
      </c>
      <c r="K328" s="66">
        <v>948903</v>
      </c>
      <c r="L328" s="66">
        <v>454765</v>
      </c>
      <c r="M328" s="66">
        <v>705264</v>
      </c>
      <c r="N328" s="101">
        <v>112734</v>
      </c>
      <c r="O328" s="64">
        <v>7400469</v>
      </c>
      <c r="P328" s="64">
        <v>697473</v>
      </c>
      <c r="Q328" s="64">
        <v>96992</v>
      </c>
      <c r="R328" s="62">
        <v>144870</v>
      </c>
      <c r="S328" s="104">
        <v>129215</v>
      </c>
      <c r="T328" s="103">
        <v>684949</v>
      </c>
      <c r="U328" s="72">
        <v>-89116.82</v>
      </c>
      <c r="V328" s="72">
        <v>0</v>
      </c>
    </row>
    <row r="329" spans="1:22">
      <c r="A329" s="14" t="s">
        <v>1092</v>
      </c>
      <c r="B329" s="15" t="s">
        <v>1093</v>
      </c>
      <c r="C329" s="14" t="s">
        <v>1220</v>
      </c>
      <c r="D329" s="14">
        <v>81</v>
      </c>
      <c r="E329" s="15" t="s">
        <v>580</v>
      </c>
      <c r="F329" s="15" t="s">
        <v>390</v>
      </c>
      <c r="G329" s="14" t="s">
        <v>391</v>
      </c>
      <c r="H329" s="14"/>
      <c r="I329" s="14"/>
      <c r="J329" s="16">
        <v>549.86</v>
      </c>
      <c r="K329" s="66">
        <v>664991</v>
      </c>
      <c r="L329" s="66">
        <v>794285</v>
      </c>
      <c r="M329" s="66">
        <v>417408</v>
      </c>
      <c r="N329" s="101">
        <v>147330</v>
      </c>
      <c r="O329" s="64">
        <v>3633165</v>
      </c>
      <c r="P329" s="64">
        <v>388198</v>
      </c>
      <c r="Q329" s="64">
        <v>66769</v>
      </c>
      <c r="R329" s="62">
        <v>165555</v>
      </c>
      <c r="S329" s="104">
        <v>74413</v>
      </c>
      <c r="T329" s="103">
        <v>443577</v>
      </c>
      <c r="U329" s="72">
        <v>-73534.929999999993</v>
      </c>
      <c r="V329" s="72">
        <v>0</v>
      </c>
    </row>
    <row r="330" spans="1:22">
      <c r="A330" s="14" t="s">
        <v>1087</v>
      </c>
      <c r="B330" s="15" t="s">
        <v>1088</v>
      </c>
      <c r="C330" s="14" t="s">
        <v>1220</v>
      </c>
      <c r="D330" s="14">
        <v>37</v>
      </c>
      <c r="E330" s="15" t="s">
        <v>973</v>
      </c>
      <c r="F330" s="15" t="s">
        <v>392</v>
      </c>
      <c r="G330" s="14" t="s">
        <v>393</v>
      </c>
      <c r="H330" s="14"/>
      <c r="I330" s="14"/>
      <c r="J330" s="16">
        <v>990.15</v>
      </c>
      <c r="K330" s="66">
        <v>755839</v>
      </c>
      <c r="L330" s="66">
        <v>300379</v>
      </c>
      <c r="M330" s="66">
        <v>769581</v>
      </c>
      <c r="N330" s="101">
        <v>158742</v>
      </c>
      <c r="O330" s="64">
        <v>7445579</v>
      </c>
      <c r="P330" s="64">
        <v>532110</v>
      </c>
      <c r="Q330" s="64">
        <v>89082</v>
      </c>
      <c r="R330" s="62">
        <v>366163</v>
      </c>
      <c r="S330" s="104">
        <v>212282</v>
      </c>
      <c r="T330" s="103">
        <v>482277</v>
      </c>
      <c r="U330" s="72">
        <v>-94554.65</v>
      </c>
      <c r="V330" s="72">
        <v>-3500</v>
      </c>
    </row>
    <row r="331" spans="1:22">
      <c r="A331" s="14" t="s">
        <v>961</v>
      </c>
      <c r="B331" s="15" t="s">
        <v>962</v>
      </c>
      <c r="C331" s="14" t="s">
        <v>1220</v>
      </c>
      <c r="D331" s="14">
        <v>54</v>
      </c>
      <c r="E331" s="15" t="s">
        <v>518</v>
      </c>
      <c r="F331" s="15" t="s">
        <v>394</v>
      </c>
      <c r="G331" s="14" t="s">
        <v>395</v>
      </c>
      <c r="H331" s="14"/>
      <c r="I331" s="14"/>
      <c r="J331" s="16">
        <v>549.59</v>
      </c>
      <c r="K331" s="66">
        <v>159193</v>
      </c>
      <c r="L331" s="66">
        <v>7422</v>
      </c>
      <c r="M331" s="66">
        <v>453730</v>
      </c>
      <c r="N331" s="101">
        <v>36961</v>
      </c>
      <c r="O331" s="64">
        <v>4162794</v>
      </c>
      <c r="P331" s="64">
        <v>443367</v>
      </c>
      <c r="Q331" s="64">
        <v>10136</v>
      </c>
      <c r="R331" s="62">
        <v>103966</v>
      </c>
      <c r="S331" s="104">
        <v>140691</v>
      </c>
      <c r="T331" s="103">
        <v>197269</v>
      </c>
      <c r="U331" s="72">
        <v>-41875.9</v>
      </c>
      <c r="V331" s="72">
        <v>0</v>
      </c>
    </row>
    <row r="332" spans="1:22">
      <c r="A332" s="14" t="s">
        <v>961</v>
      </c>
      <c r="B332" s="15" t="s">
        <v>962</v>
      </c>
      <c r="C332" s="14" t="s">
        <v>1220</v>
      </c>
      <c r="D332" s="14">
        <v>45</v>
      </c>
      <c r="E332" s="15" t="s">
        <v>842</v>
      </c>
      <c r="F332" s="15" t="s">
        <v>396</v>
      </c>
      <c r="G332" s="14" t="s">
        <v>397</v>
      </c>
      <c r="H332" s="14"/>
      <c r="I332" s="14"/>
      <c r="J332" s="16">
        <v>356.83</v>
      </c>
      <c r="K332" s="66">
        <v>300840</v>
      </c>
      <c r="L332" s="66">
        <v>33587</v>
      </c>
      <c r="M332" s="66">
        <v>339616</v>
      </c>
      <c r="N332" s="101">
        <v>27178</v>
      </c>
      <c r="O332" s="64">
        <v>3120974</v>
      </c>
      <c r="P332" s="64">
        <v>140228</v>
      </c>
      <c r="Q332" s="64">
        <v>7483</v>
      </c>
      <c r="R332" s="62">
        <v>1168892</v>
      </c>
      <c r="S332" s="104">
        <v>81440</v>
      </c>
      <c r="T332" s="103">
        <v>113180</v>
      </c>
      <c r="U332" s="72">
        <v>-37008.69</v>
      </c>
      <c r="V332" s="72">
        <v>0</v>
      </c>
    </row>
    <row r="333" spans="1:22">
      <c r="A333" s="14" t="s">
        <v>954</v>
      </c>
      <c r="B333" s="15" t="s">
        <v>955</v>
      </c>
      <c r="C333" s="14" t="s">
        <v>1220</v>
      </c>
      <c r="D333" s="14">
        <v>43</v>
      </c>
      <c r="E333" s="15" t="s">
        <v>832</v>
      </c>
      <c r="F333" s="15" t="s">
        <v>398</v>
      </c>
      <c r="G333" s="14" t="s">
        <v>399</v>
      </c>
      <c r="H333" s="14"/>
      <c r="I333" s="14"/>
      <c r="J333" s="16">
        <v>1655.62</v>
      </c>
      <c r="K333" s="66">
        <v>1096340</v>
      </c>
      <c r="L333" s="66">
        <v>312684</v>
      </c>
      <c r="M333" s="66">
        <v>1159336</v>
      </c>
      <c r="N333" s="101">
        <v>244643</v>
      </c>
      <c r="O333" s="64">
        <v>11224350</v>
      </c>
      <c r="P333" s="64">
        <v>850992</v>
      </c>
      <c r="Q333" s="64">
        <v>126040</v>
      </c>
      <c r="R333" s="62">
        <v>307231</v>
      </c>
      <c r="S333" s="104">
        <v>284378</v>
      </c>
      <c r="T333" s="103">
        <v>791534</v>
      </c>
      <c r="U333" s="72">
        <v>-163663.07999999999</v>
      </c>
      <c r="V333" s="72">
        <v>0</v>
      </c>
    </row>
    <row r="334" spans="1:22">
      <c r="A334" s="14" t="s">
        <v>1092</v>
      </c>
      <c r="B334" s="15" t="s">
        <v>1093</v>
      </c>
      <c r="C334" s="14" t="s">
        <v>1220</v>
      </c>
      <c r="D334" s="14">
        <v>22</v>
      </c>
      <c r="E334" s="15" t="s">
        <v>641</v>
      </c>
      <c r="F334" s="15" t="s">
        <v>400</v>
      </c>
      <c r="G334" s="14" t="s">
        <v>401</v>
      </c>
      <c r="H334" s="14"/>
      <c r="I334" s="14"/>
      <c r="J334" s="16">
        <v>1264.28</v>
      </c>
      <c r="K334" s="66">
        <v>656704</v>
      </c>
      <c r="L334" s="66">
        <v>296496</v>
      </c>
      <c r="M334" s="66">
        <v>942642</v>
      </c>
      <c r="N334" s="101">
        <v>240276</v>
      </c>
      <c r="O334" s="64">
        <v>8952691</v>
      </c>
      <c r="P334" s="64">
        <v>1002897</v>
      </c>
      <c r="Q334" s="64">
        <v>66805</v>
      </c>
      <c r="R334" s="62">
        <v>417762</v>
      </c>
      <c r="S334" s="104">
        <v>247010</v>
      </c>
      <c r="T334" s="103">
        <v>651813</v>
      </c>
      <c r="U334" s="72">
        <v>-82777.14</v>
      </c>
      <c r="V334" s="72">
        <v>-103700.84</v>
      </c>
    </row>
    <row r="335" spans="1:22">
      <c r="A335" s="14" t="s">
        <v>1166</v>
      </c>
      <c r="B335" s="15" t="s">
        <v>1167</v>
      </c>
      <c r="C335" s="14" t="s">
        <v>1220</v>
      </c>
      <c r="D335" s="14">
        <v>17</v>
      </c>
      <c r="E335" s="15" t="s">
        <v>1168</v>
      </c>
      <c r="F335" s="15" t="s">
        <v>402</v>
      </c>
      <c r="G335" s="14" t="s">
        <v>403</v>
      </c>
      <c r="H335" s="14"/>
      <c r="I335" s="14"/>
      <c r="J335" s="16">
        <v>491.85</v>
      </c>
      <c r="K335" s="66">
        <v>379062</v>
      </c>
      <c r="L335" s="66">
        <v>21245</v>
      </c>
      <c r="M335" s="66">
        <v>227778</v>
      </c>
      <c r="N335" s="101">
        <v>22754</v>
      </c>
      <c r="O335" s="64">
        <v>3830601</v>
      </c>
      <c r="P335" s="64">
        <v>-16614</v>
      </c>
      <c r="Q335" s="64">
        <v>50067</v>
      </c>
      <c r="R335" s="62">
        <v>160576</v>
      </c>
      <c r="S335" s="104">
        <v>126380</v>
      </c>
      <c r="T335" s="103">
        <v>348754</v>
      </c>
      <c r="U335" s="72">
        <v>3280.38</v>
      </c>
      <c r="V335" s="72">
        <v>0</v>
      </c>
    </row>
    <row r="336" spans="1:22">
      <c r="A336" s="14" t="s">
        <v>1017</v>
      </c>
      <c r="B336" s="15" t="s">
        <v>1018</v>
      </c>
      <c r="C336" s="14" t="s">
        <v>1220</v>
      </c>
      <c r="D336" s="14">
        <v>24</v>
      </c>
      <c r="E336" s="15" t="s">
        <v>1043</v>
      </c>
      <c r="F336" s="15" t="s">
        <v>404</v>
      </c>
      <c r="G336" s="14" t="s">
        <v>405</v>
      </c>
      <c r="H336" s="14"/>
      <c r="I336" s="14"/>
      <c r="J336" s="16">
        <v>429.91</v>
      </c>
      <c r="K336" s="66">
        <v>223831</v>
      </c>
      <c r="L336" s="66">
        <v>16235</v>
      </c>
      <c r="M336" s="66">
        <v>108352</v>
      </c>
      <c r="N336" s="101">
        <v>23809</v>
      </c>
      <c r="O336" s="64">
        <v>2931735</v>
      </c>
      <c r="P336" s="64">
        <v>142966</v>
      </c>
      <c r="Q336" s="64">
        <v>6633</v>
      </c>
      <c r="R336" s="62">
        <v>301119</v>
      </c>
      <c r="S336" s="104">
        <v>71235</v>
      </c>
      <c r="T336" s="103">
        <v>80674</v>
      </c>
      <c r="U336" s="72">
        <v>-22986.22</v>
      </c>
      <c r="V336" s="72">
        <v>0</v>
      </c>
    </row>
    <row r="337" spans="1:23">
      <c r="A337" s="14" t="s">
        <v>954</v>
      </c>
      <c r="B337" s="15" t="s">
        <v>955</v>
      </c>
      <c r="C337" s="14" t="s">
        <v>1220</v>
      </c>
      <c r="D337" s="14">
        <v>43</v>
      </c>
      <c r="E337" s="15" t="s">
        <v>832</v>
      </c>
      <c r="F337" s="15" t="s">
        <v>406</v>
      </c>
      <c r="G337" s="14" t="s">
        <v>407</v>
      </c>
      <c r="H337" s="14"/>
      <c r="I337" s="14"/>
      <c r="J337" s="16">
        <v>406.09</v>
      </c>
      <c r="K337" s="66">
        <v>321375</v>
      </c>
      <c r="L337" s="66">
        <v>32300</v>
      </c>
      <c r="M337" s="66">
        <v>334925</v>
      </c>
      <c r="N337" s="101">
        <v>34277</v>
      </c>
      <c r="O337" s="64">
        <v>2743040</v>
      </c>
      <c r="P337" s="64">
        <v>110116</v>
      </c>
      <c r="Q337" s="64">
        <v>46142</v>
      </c>
      <c r="R337" s="62">
        <v>104839</v>
      </c>
      <c r="S337" s="104">
        <v>53086</v>
      </c>
      <c r="T337" s="103">
        <v>126226</v>
      </c>
      <c r="U337" s="72">
        <v>-31031.87</v>
      </c>
      <c r="V337" s="72">
        <v>0</v>
      </c>
    </row>
    <row r="338" spans="1:23">
      <c r="A338" s="14" t="s">
        <v>1087</v>
      </c>
      <c r="B338" s="15" t="s">
        <v>1088</v>
      </c>
      <c r="C338" s="14" t="s">
        <v>1220</v>
      </c>
      <c r="D338" s="14">
        <v>6</v>
      </c>
      <c r="E338" s="15" t="s">
        <v>1089</v>
      </c>
      <c r="F338" s="15" t="s">
        <v>408</v>
      </c>
      <c r="G338" s="14" t="s">
        <v>409</v>
      </c>
      <c r="H338" s="14"/>
      <c r="I338" s="14"/>
      <c r="J338" s="16">
        <v>408.68</v>
      </c>
      <c r="K338" s="66">
        <v>216183</v>
      </c>
      <c r="L338" s="66">
        <v>190320</v>
      </c>
      <c r="M338" s="66">
        <v>203858</v>
      </c>
      <c r="N338" s="101">
        <v>43987</v>
      </c>
      <c r="O338" s="64">
        <v>3209780</v>
      </c>
      <c r="P338" s="64">
        <v>136013</v>
      </c>
      <c r="Q338" s="64">
        <v>4</v>
      </c>
      <c r="R338" s="62">
        <v>179709</v>
      </c>
      <c r="S338" s="104">
        <v>92332</v>
      </c>
      <c r="T338" s="103">
        <v>155441</v>
      </c>
      <c r="U338" s="72">
        <v>-32227.55</v>
      </c>
      <c r="V338" s="72">
        <v>0</v>
      </c>
    </row>
    <row r="339" spans="1:23">
      <c r="A339" s="14" t="s">
        <v>1249</v>
      </c>
      <c r="B339" s="15" t="s">
        <v>1250</v>
      </c>
      <c r="C339" s="14" t="s">
        <v>1220</v>
      </c>
      <c r="D339" s="14">
        <v>3</v>
      </c>
      <c r="E339" s="15" t="s">
        <v>1251</v>
      </c>
      <c r="F339" s="15" t="s">
        <v>410</v>
      </c>
      <c r="G339" s="14" t="s">
        <v>411</v>
      </c>
      <c r="H339" s="14"/>
      <c r="I339" s="14"/>
      <c r="J339" s="16">
        <v>645.01</v>
      </c>
      <c r="K339" s="66">
        <v>691730</v>
      </c>
      <c r="L339" s="66">
        <v>62078</v>
      </c>
      <c r="M339" s="66">
        <v>445195</v>
      </c>
      <c r="N339" s="101">
        <v>34739</v>
      </c>
      <c r="O339" s="64">
        <v>4124114</v>
      </c>
      <c r="P339" s="64">
        <v>213899</v>
      </c>
      <c r="Q339" s="64">
        <v>177743</v>
      </c>
      <c r="R339" s="62">
        <v>157949</v>
      </c>
      <c r="S339" s="104">
        <v>113403</v>
      </c>
      <c r="T339" s="103">
        <v>204659</v>
      </c>
      <c r="U339" s="72">
        <v>-58736.27</v>
      </c>
      <c r="V339" s="72">
        <v>0</v>
      </c>
    </row>
    <row r="340" spans="1:23">
      <c r="A340" s="14" t="s">
        <v>954</v>
      </c>
      <c r="B340" s="15" t="s">
        <v>955</v>
      </c>
      <c r="C340" s="14" t="s">
        <v>1220</v>
      </c>
      <c r="D340" s="14">
        <v>65</v>
      </c>
      <c r="E340" s="15" t="s">
        <v>487</v>
      </c>
      <c r="F340" s="15" t="s">
        <v>412</v>
      </c>
      <c r="G340" s="14" t="s">
        <v>413</v>
      </c>
      <c r="H340" s="14"/>
      <c r="I340" s="14"/>
      <c r="J340" s="16">
        <v>607.63</v>
      </c>
      <c r="K340" s="66">
        <v>434272</v>
      </c>
      <c r="L340" s="66">
        <v>49177</v>
      </c>
      <c r="M340" s="66">
        <v>215287</v>
      </c>
      <c r="N340" s="101">
        <v>43375</v>
      </c>
      <c r="O340" s="64">
        <v>4524384</v>
      </c>
      <c r="P340" s="64">
        <v>177053</v>
      </c>
      <c r="Q340" s="64">
        <v>46004</v>
      </c>
      <c r="R340" s="62">
        <v>459501</v>
      </c>
      <c r="S340" s="104">
        <v>129882</v>
      </c>
      <c r="T340" s="103">
        <v>209023</v>
      </c>
      <c r="U340" s="72">
        <v>-49495.18</v>
      </c>
      <c r="V340" s="72">
        <v>0</v>
      </c>
    </row>
    <row r="341" spans="1:23">
      <c r="A341" s="14" t="s">
        <v>1166</v>
      </c>
      <c r="B341" s="15" t="s">
        <v>1167</v>
      </c>
      <c r="C341" s="14" t="s">
        <v>1220</v>
      </c>
      <c r="D341" s="14">
        <v>32</v>
      </c>
      <c r="E341" s="15" t="s">
        <v>946</v>
      </c>
      <c r="F341" s="15" t="s">
        <v>414</v>
      </c>
      <c r="G341" s="14" t="s">
        <v>415</v>
      </c>
      <c r="H341" s="14"/>
      <c r="I341" s="14"/>
      <c r="J341" s="16">
        <v>1210.6500000000001</v>
      </c>
      <c r="K341" s="66">
        <v>437711</v>
      </c>
      <c r="L341" s="66">
        <v>1558708</v>
      </c>
      <c r="M341" s="66">
        <v>537634</v>
      </c>
      <c r="N341" s="101">
        <v>281887</v>
      </c>
      <c r="O341" s="64">
        <v>7872261</v>
      </c>
      <c r="P341" s="64">
        <v>449208</v>
      </c>
      <c r="Q341" s="64">
        <v>157482</v>
      </c>
      <c r="R341" s="62">
        <v>242700</v>
      </c>
      <c r="S341" s="104">
        <v>210967</v>
      </c>
      <c r="T341" s="103">
        <v>891891</v>
      </c>
      <c r="U341" s="72">
        <v>-83593.97</v>
      </c>
      <c r="V341" s="72">
        <v>0</v>
      </c>
    </row>
    <row r="342" spans="1:23">
      <c r="A342" s="14" t="s">
        <v>1166</v>
      </c>
      <c r="B342" s="15" t="s">
        <v>1167</v>
      </c>
      <c r="C342" s="14" t="s">
        <v>1220</v>
      </c>
      <c r="D342" s="14">
        <v>64</v>
      </c>
      <c r="E342" s="15" t="s">
        <v>803</v>
      </c>
      <c r="F342" s="15" t="s">
        <v>416</v>
      </c>
      <c r="G342" s="14" t="s">
        <v>417</v>
      </c>
      <c r="H342" s="14"/>
      <c r="I342" s="14"/>
      <c r="J342" s="16">
        <v>1284.2</v>
      </c>
      <c r="K342" s="66">
        <v>391311</v>
      </c>
      <c r="L342" s="66">
        <v>1190414</v>
      </c>
      <c r="M342" s="66">
        <v>650854</v>
      </c>
      <c r="N342" s="101">
        <v>339336</v>
      </c>
      <c r="O342" s="64">
        <v>8595613</v>
      </c>
      <c r="P342" s="64">
        <v>642447</v>
      </c>
      <c r="Q342" s="64">
        <v>115136</v>
      </c>
      <c r="R342" s="62">
        <v>594767</v>
      </c>
      <c r="S342" s="104">
        <v>219230</v>
      </c>
      <c r="T342" s="103">
        <v>470597</v>
      </c>
      <c r="U342" s="72">
        <v>-134682.20000000001</v>
      </c>
      <c r="V342" s="72">
        <v>-10000</v>
      </c>
    </row>
    <row r="343" spans="1:23">
      <c r="A343" s="14" t="s">
        <v>1166</v>
      </c>
      <c r="B343" s="15" t="s">
        <v>1167</v>
      </c>
      <c r="C343" s="14" t="s">
        <v>1220</v>
      </c>
      <c r="D343" s="14">
        <v>17</v>
      </c>
      <c r="E343" s="15" t="s">
        <v>1168</v>
      </c>
      <c r="F343" s="15" t="s">
        <v>418</v>
      </c>
      <c r="G343" s="14" t="s">
        <v>419</v>
      </c>
      <c r="H343" s="14"/>
      <c r="I343" s="14"/>
      <c r="J343" s="16">
        <v>563.48</v>
      </c>
      <c r="K343" s="66">
        <v>263689</v>
      </c>
      <c r="L343" s="66">
        <v>29062</v>
      </c>
      <c r="M343" s="66">
        <v>326543</v>
      </c>
      <c r="N343" s="101">
        <v>28454</v>
      </c>
      <c r="O343" s="64">
        <v>4500476</v>
      </c>
      <c r="P343" s="64">
        <v>78955</v>
      </c>
      <c r="Q343" s="64">
        <v>89216</v>
      </c>
      <c r="R343" s="62">
        <v>132174</v>
      </c>
      <c r="S343" s="104">
        <v>164934</v>
      </c>
      <c r="T343" s="103">
        <v>146910</v>
      </c>
      <c r="U343" s="72">
        <v>-27431.8</v>
      </c>
      <c r="V343" s="72">
        <v>0</v>
      </c>
    </row>
    <row r="344" spans="1:23">
      <c r="A344" s="14" t="s">
        <v>1017</v>
      </c>
      <c r="B344" s="15" t="s">
        <v>1018</v>
      </c>
      <c r="C344" s="14" t="s">
        <v>1220</v>
      </c>
      <c r="D344" s="14">
        <v>79</v>
      </c>
      <c r="E344" s="15" t="s">
        <v>566</v>
      </c>
      <c r="F344" s="15" t="s">
        <v>420</v>
      </c>
      <c r="G344" s="14" t="s">
        <v>421</v>
      </c>
      <c r="H344" s="14"/>
      <c r="I344" s="14"/>
      <c r="J344" s="16">
        <v>1569.31</v>
      </c>
      <c r="K344" s="66">
        <v>662401</v>
      </c>
      <c r="L344" s="66">
        <v>1361967</v>
      </c>
      <c r="M344" s="66">
        <v>705077</v>
      </c>
      <c r="N344" s="101">
        <v>236268</v>
      </c>
      <c r="O344" s="64">
        <v>10099329</v>
      </c>
      <c r="P344" s="64">
        <v>613792</v>
      </c>
      <c r="Q344" s="64">
        <v>348668</v>
      </c>
      <c r="R344" s="62">
        <v>163837</v>
      </c>
      <c r="S344" s="104">
        <v>163562</v>
      </c>
      <c r="T344" s="103">
        <v>1044034</v>
      </c>
      <c r="U344" s="72">
        <v>-122235.56</v>
      </c>
      <c r="V344" s="72">
        <v>-6138.37</v>
      </c>
    </row>
    <row r="345" spans="1:23">
      <c r="A345" s="14" t="s">
        <v>1166</v>
      </c>
      <c r="B345" s="15" t="s">
        <v>1167</v>
      </c>
      <c r="C345" s="14" t="s">
        <v>1220</v>
      </c>
      <c r="D345" s="14">
        <v>41</v>
      </c>
      <c r="E345" s="15" t="s">
        <v>814</v>
      </c>
      <c r="F345" s="15" t="s">
        <v>422</v>
      </c>
      <c r="G345" s="14" t="s">
        <v>423</v>
      </c>
      <c r="H345" s="14"/>
      <c r="I345" s="14"/>
      <c r="J345" s="16">
        <v>564.36</v>
      </c>
      <c r="K345" s="66">
        <v>406449</v>
      </c>
      <c r="L345" s="66">
        <v>97158</v>
      </c>
      <c r="M345" s="66">
        <v>300075</v>
      </c>
      <c r="N345" s="101">
        <v>50958</v>
      </c>
      <c r="O345" s="64">
        <v>3790735</v>
      </c>
      <c r="P345" s="64">
        <v>148612</v>
      </c>
      <c r="Q345" s="64">
        <v>338771</v>
      </c>
      <c r="R345" s="62">
        <v>388758</v>
      </c>
      <c r="S345" s="104">
        <v>112913</v>
      </c>
      <c r="T345" s="103">
        <v>180510</v>
      </c>
      <c r="U345" s="72">
        <v>-46641.83</v>
      </c>
      <c r="V345" s="72">
        <v>0</v>
      </c>
    </row>
    <row r="346" spans="1:23">
      <c r="A346" s="14"/>
      <c r="B346" s="15"/>
      <c r="C346" s="14"/>
      <c r="D346" s="14"/>
      <c r="E346" s="15"/>
      <c r="F346" s="15" t="s">
        <v>174</v>
      </c>
      <c r="G346" s="14" t="s">
        <v>175</v>
      </c>
      <c r="H346" s="14"/>
      <c r="I346" s="14"/>
      <c r="J346" s="16">
        <f t="shared" ref="J346:V346" si="0">SUM(J6:J345)</f>
        <v>814733.21999999962</v>
      </c>
      <c r="K346" s="16">
        <f t="shared" si="0"/>
        <v>855760925</v>
      </c>
      <c r="L346" s="16">
        <f t="shared" si="0"/>
        <v>744354569</v>
      </c>
      <c r="M346" s="16">
        <f t="shared" si="0"/>
        <v>410123276</v>
      </c>
      <c r="N346" s="16">
        <f t="shared" si="0"/>
        <v>181696457</v>
      </c>
      <c r="O346" s="16">
        <f t="shared" si="0"/>
        <v>5305522900</v>
      </c>
      <c r="P346" s="16">
        <f t="shared" si="0"/>
        <v>599074487</v>
      </c>
      <c r="Q346" s="16">
        <f t="shared" si="0"/>
        <v>152036093</v>
      </c>
      <c r="R346" s="16">
        <f t="shared" si="0"/>
        <v>352137334</v>
      </c>
      <c r="S346" s="16">
        <f t="shared" si="0"/>
        <v>150793448</v>
      </c>
      <c r="T346" s="16">
        <f t="shared" si="0"/>
        <v>536346689</v>
      </c>
      <c r="U346" s="16">
        <f t="shared" si="0"/>
        <v>-75218256.470000014</v>
      </c>
      <c r="V346" s="16">
        <f t="shared" si="0"/>
        <v>-46502968.399999991</v>
      </c>
    </row>
    <row r="347" spans="1:23">
      <c r="M347" s="100">
        <f>SUM(K346:M346)</f>
        <v>2010238770</v>
      </c>
      <c r="Q347" s="100">
        <f>SUM(N346:Q346)</f>
        <v>6238329937</v>
      </c>
      <c r="S347" s="100">
        <f>SUM(R346:S346)</f>
        <v>502930782</v>
      </c>
      <c r="T347" s="100">
        <f>T346</f>
        <v>536346689</v>
      </c>
      <c r="V347" s="100">
        <f>SUM(U346:V346)</f>
        <v>-121721224.87</v>
      </c>
      <c r="W347" s="100">
        <f>SUM(M347:V347)</f>
        <v>9166124953.1299992</v>
      </c>
    </row>
    <row r="348" spans="1:23">
      <c r="M348" s="110">
        <f>M347/J346</f>
        <v>2467.358296744057</v>
      </c>
      <c r="Q348" s="110">
        <f>Q347/J346</f>
        <v>7656.8989503091616</v>
      </c>
      <c r="S348" s="110">
        <f>S347/J346</f>
        <v>617.29504781945707</v>
      </c>
      <c r="T348" s="110">
        <f>T347/J346</f>
        <v>658.30958629623603</v>
      </c>
      <c r="V348" s="110">
        <f>V347/J346</f>
        <v>-149.40010040341801</v>
      </c>
      <c r="W348" s="110">
        <f>SUM(K348:V348)</f>
        <v>11250.461780765494</v>
      </c>
    </row>
  </sheetData>
  <sheetCalcPr fullCalcOnLoad="1"/>
  <sortState ref="A7:Z494">
    <sortCondition ref="G7:G494"/>
  </sortState>
  <mergeCells count="8">
    <mergeCell ref="G2:G5"/>
    <mergeCell ref="J2:J5"/>
    <mergeCell ref="A2:A5"/>
    <mergeCell ref="B2:B5"/>
    <mergeCell ref="C2:C5"/>
    <mergeCell ref="D2:D5"/>
    <mergeCell ref="E2:E5"/>
    <mergeCell ref="F2:F4"/>
  </mergeCells>
  <phoneticPr fontId="18" type="noConversion"/>
  <hyperlinks>
    <hyperlink ref="F1" r:id="rId1"/>
  </hyperlinks>
  <pageMargins left="0.7" right="0.7" top="0.75" bottom="0.75" header="0.3" footer="0.3"/>
  <extLst>
    <ext xmlns:mx="http://schemas.microsoft.com/office/mac/excel/2008/main" uri="http://schemas.microsoft.com/office/mac/excel/2008/main">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W12"/>
  <sheetViews>
    <sheetView topLeftCell="G1" workbookViewId="0">
      <selection activeCell="L13" sqref="L13"/>
    </sheetView>
  </sheetViews>
  <sheetFormatPr baseColWidth="10" defaultColWidth="8.83203125" defaultRowHeight="12"/>
  <cols>
    <col min="1" max="1" width="8.5" style="8" hidden="1" customWidth="1"/>
    <col min="2" max="2" width="25.6640625" hidden="1" customWidth="1"/>
    <col min="3" max="3" width="4.33203125" style="8" hidden="1" customWidth="1"/>
    <col min="4" max="4" width="4.5" style="8" hidden="1" customWidth="1"/>
    <col min="5" max="5" width="15.5" hidden="1" customWidth="1"/>
    <col min="6" max="6" width="44.5" customWidth="1"/>
    <col min="7" max="7" width="9.33203125" style="8" customWidth="1"/>
    <col min="8" max="8" width="8.1640625" style="8" customWidth="1"/>
    <col min="9" max="9" width="9.33203125" style="8" customWidth="1"/>
    <col min="10" max="10" width="9.33203125" customWidth="1"/>
    <col min="11" max="12" width="10.83203125" customWidth="1"/>
    <col min="13" max="13" width="12.6640625" customWidth="1"/>
    <col min="14" max="14" width="10.83203125" customWidth="1"/>
    <col min="15" max="15" width="13.33203125" customWidth="1"/>
    <col min="16" max="16" width="10.83203125" customWidth="1"/>
    <col min="17" max="17" width="13.83203125" customWidth="1"/>
    <col min="18" max="21" width="10.83203125" customWidth="1"/>
    <col min="22" max="22" width="11.6640625" bestFit="1" customWidth="1"/>
    <col min="23" max="23" width="13.1640625" customWidth="1"/>
  </cols>
  <sheetData>
    <row r="1" spans="1:23" ht="13" thickBot="1">
      <c r="F1" s="17" t="s">
        <v>177</v>
      </c>
    </row>
    <row r="2" spans="1:23" ht="18" thickBot="1">
      <c r="A2" s="220" t="s">
        <v>1215</v>
      </c>
      <c r="B2" s="220" t="s">
        <v>1173</v>
      </c>
      <c r="C2" s="220" t="s">
        <v>1216</v>
      </c>
      <c r="D2" s="220" t="s">
        <v>1172</v>
      </c>
      <c r="E2" s="231" t="s">
        <v>1214</v>
      </c>
      <c r="F2" s="224" t="s">
        <v>176</v>
      </c>
      <c r="G2" s="241" t="s">
        <v>1170</v>
      </c>
      <c r="H2" s="32"/>
      <c r="I2" s="32"/>
      <c r="J2" s="244" t="s">
        <v>1213</v>
      </c>
      <c r="K2" s="19" t="s">
        <v>1201</v>
      </c>
      <c r="L2" s="19"/>
      <c r="M2" s="19"/>
      <c r="O2" s="20"/>
      <c r="P2" s="20"/>
      <c r="Q2" s="20"/>
      <c r="R2" s="20"/>
    </row>
    <row r="3" spans="1:23" ht="25" thickBot="1">
      <c r="A3" s="221"/>
      <c r="B3" s="221"/>
      <c r="C3" s="221"/>
      <c r="D3" s="221"/>
      <c r="E3" s="232"/>
      <c r="F3" s="225"/>
      <c r="G3" s="242"/>
      <c r="H3" s="33"/>
      <c r="I3" s="33"/>
      <c r="J3" s="245"/>
      <c r="K3" s="21" t="s">
        <v>1192</v>
      </c>
      <c r="L3" s="21"/>
      <c r="M3" s="21"/>
      <c r="O3" s="21" t="s">
        <v>1194</v>
      </c>
      <c r="P3" s="22"/>
      <c r="Q3" s="22"/>
      <c r="R3" s="2" t="s">
        <v>1196</v>
      </c>
    </row>
    <row r="4" spans="1:23" ht="73" thickBot="1">
      <c r="A4" s="221"/>
      <c r="B4" s="221"/>
      <c r="C4" s="221"/>
      <c r="D4" s="221"/>
      <c r="E4" s="232"/>
      <c r="F4" s="226"/>
      <c r="G4" s="242"/>
      <c r="H4" s="34" t="s">
        <v>178</v>
      </c>
      <c r="I4" s="34" t="s">
        <v>189</v>
      </c>
      <c r="J4" s="245"/>
      <c r="K4" s="9" t="s">
        <v>1191</v>
      </c>
      <c r="L4" s="9" t="s">
        <v>75</v>
      </c>
      <c r="M4" s="9" t="s">
        <v>1193</v>
      </c>
      <c r="O4" s="9" t="s">
        <v>1195</v>
      </c>
      <c r="P4" s="9" t="s">
        <v>1212</v>
      </c>
      <c r="Q4" s="9" t="s">
        <v>1199</v>
      </c>
      <c r="R4" s="5" t="s">
        <v>1211</v>
      </c>
      <c r="S4" s="67" t="s">
        <v>1211</v>
      </c>
      <c r="T4" s="67" t="s">
        <v>1193</v>
      </c>
    </row>
    <row r="5" spans="1:23" s="3" customFormat="1" ht="13" thickBot="1">
      <c r="A5" s="222"/>
      <c r="B5" s="223"/>
      <c r="C5" s="222"/>
      <c r="D5" s="222"/>
      <c r="E5" s="233"/>
      <c r="F5" s="4" t="s">
        <v>1171</v>
      </c>
      <c r="G5" s="243"/>
      <c r="H5" s="22"/>
      <c r="I5" s="49"/>
      <c r="J5" s="246"/>
      <c r="K5" s="6" t="s">
        <v>1174</v>
      </c>
      <c r="L5" s="6" t="s">
        <v>57</v>
      </c>
      <c r="M5" s="6" t="s">
        <v>1175</v>
      </c>
      <c r="N5" s="67" t="s">
        <v>174</v>
      </c>
      <c r="O5" s="7" t="s">
        <v>1177</v>
      </c>
      <c r="P5" s="7" t="s">
        <v>1178</v>
      </c>
      <c r="Q5" s="7" t="s">
        <v>1179</v>
      </c>
      <c r="R5" s="7" t="s">
        <v>1181</v>
      </c>
      <c r="S5" s="67"/>
      <c r="T5" s="67"/>
      <c r="U5" s="67" t="s">
        <v>193</v>
      </c>
      <c r="V5" s="67" t="s">
        <v>194</v>
      </c>
    </row>
    <row r="6" spans="1:23">
      <c r="A6" s="14" t="s">
        <v>1224</v>
      </c>
      <c r="B6" s="15" t="s">
        <v>1225</v>
      </c>
      <c r="C6" s="14" t="s">
        <v>1226</v>
      </c>
      <c r="D6" s="14">
        <v>27</v>
      </c>
      <c r="E6" s="15" t="s">
        <v>1227</v>
      </c>
      <c r="F6" s="96" t="s">
        <v>1228</v>
      </c>
      <c r="G6" s="183" t="s">
        <v>1223</v>
      </c>
      <c r="H6" s="184" t="s">
        <v>52</v>
      </c>
      <c r="I6" s="184" t="s">
        <v>192</v>
      </c>
      <c r="J6" s="185">
        <v>39479.31</v>
      </c>
      <c r="K6" s="66">
        <v>58005565</v>
      </c>
      <c r="L6" s="66">
        <v>58143868</v>
      </c>
      <c r="M6" s="66">
        <v>20520348</v>
      </c>
      <c r="N6" s="101">
        <v>23620461</v>
      </c>
      <c r="O6" s="64">
        <v>293589390</v>
      </c>
      <c r="P6" s="64">
        <v>49228337</v>
      </c>
      <c r="Q6" s="64">
        <v>18490543</v>
      </c>
      <c r="R6" s="62">
        <v>52989194</v>
      </c>
      <c r="S6" s="104">
        <v>15279332</v>
      </c>
      <c r="T6" s="103">
        <v>18756992</v>
      </c>
      <c r="U6" s="72">
        <v>-4444620.9400000004</v>
      </c>
      <c r="V6" s="72">
        <v>-7342147.7400000012</v>
      </c>
    </row>
    <row r="7" spans="1:23">
      <c r="M7" s="100">
        <f>SUM(K6:M6)</f>
        <v>136669781</v>
      </c>
      <c r="Q7" s="100">
        <f>SUM(N6:Q6)</f>
        <v>384928731</v>
      </c>
      <c r="S7" s="100">
        <f>SUM(R6:S6)</f>
        <v>68268526</v>
      </c>
      <c r="T7" s="100">
        <f>T6</f>
        <v>18756992</v>
      </c>
      <c r="V7" s="100">
        <f>SUM(U6:V6)</f>
        <v>-11786768.680000002</v>
      </c>
      <c r="W7" s="100">
        <f>SUM(K7:V7)</f>
        <v>596837261.32000005</v>
      </c>
    </row>
    <row r="8" spans="1:23">
      <c r="M8" s="110">
        <f>M7/J6</f>
        <v>3461.8077418273015</v>
      </c>
      <c r="Q8" s="110">
        <f>Q7/J6</f>
        <v>9750.1382622948586</v>
      </c>
      <c r="S8" s="110">
        <f>S7/J6</f>
        <v>1729.2228764889762</v>
      </c>
      <c r="T8" s="110">
        <f>T7/J6</f>
        <v>475.109418072403</v>
      </c>
      <c r="V8" s="110">
        <f>V7/J6</f>
        <v>-298.55558975068215</v>
      </c>
      <c r="W8" s="100">
        <f>SUM(K8:V8)</f>
        <v>15117.722708932859</v>
      </c>
    </row>
    <row r="9" spans="1:23" s="82" customFormat="1">
      <c r="A9" s="58"/>
      <c r="B9" s="59"/>
      <c r="C9" s="58"/>
      <c r="D9" s="58"/>
      <c r="E9" s="59"/>
      <c r="F9" s="59"/>
      <c r="G9" s="58"/>
      <c r="H9" s="60"/>
      <c r="I9" s="60"/>
      <c r="J9" s="80"/>
      <c r="K9" s="80"/>
      <c r="L9" s="80"/>
      <c r="M9" s="80"/>
      <c r="N9" s="111"/>
      <c r="O9" s="80"/>
      <c r="P9" s="80"/>
      <c r="Q9" s="80"/>
      <c r="R9" s="80"/>
      <c r="S9" s="111"/>
      <c r="T9" s="111"/>
    </row>
    <row r="10" spans="1:23">
      <c r="A10" s="14" t="s">
        <v>1224</v>
      </c>
      <c r="B10" s="15" t="s">
        <v>1225</v>
      </c>
      <c r="C10" s="14" t="s">
        <v>1220</v>
      </c>
      <c r="D10" s="14">
        <v>62</v>
      </c>
      <c r="E10" s="15" t="s">
        <v>785</v>
      </c>
      <c r="F10" s="96" t="s">
        <v>794</v>
      </c>
      <c r="G10" s="97" t="s">
        <v>795</v>
      </c>
      <c r="H10" s="99" t="s">
        <v>52</v>
      </c>
      <c r="I10" s="99" t="s">
        <v>190</v>
      </c>
      <c r="J10" s="98">
        <v>42379.85</v>
      </c>
      <c r="K10" s="66">
        <v>48650687</v>
      </c>
      <c r="L10" s="66">
        <v>31572669</v>
      </c>
      <c r="M10" s="66">
        <v>18437068</v>
      </c>
      <c r="N10" s="101">
        <v>17562192</v>
      </c>
      <c r="O10" s="64">
        <v>329659792</v>
      </c>
      <c r="P10" s="64">
        <v>43546172</v>
      </c>
      <c r="Q10" s="64">
        <v>23370195</v>
      </c>
      <c r="R10" s="62">
        <v>41434769</v>
      </c>
      <c r="S10" s="104">
        <v>20144430</v>
      </c>
      <c r="T10" s="103">
        <v>12959959</v>
      </c>
      <c r="U10" s="72">
        <v>-5597682.3099999996</v>
      </c>
      <c r="V10" s="72">
        <v>-9194966.0799999982</v>
      </c>
    </row>
    <row r="11" spans="1:23">
      <c r="M11" s="100">
        <f>SUM(K10:M10)</f>
        <v>98660424</v>
      </c>
      <c r="Q11" s="100">
        <f>SUM(N10:Q10)</f>
        <v>414138351</v>
      </c>
      <c r="S11" s="100">
        <f>SUM(R10:S10)</f>
        <v>61579199</v>
      </c>
      <c r="T11" s="100">
        <f>T10</f>
        <v>12959959</v>
      </c>
      <c r="V11" s="100">
        <f>SUM(U10:V10)</f>
        <v>-14792648.389999997</v>
      </c>
      <c r="W11" s="100">
        <f>SUM(K11:V11)</f>
        <v>572545284.61000001</v>
      </c>
    </row>
    <row r="12" spans="1:23">
      <c r="M12" s="110">
        <f>M11/J10</f>
        <v>2328.0031430031017</v>
      </c>
      <c r="Q12" s="110">
        <f>Q11/J10</f>
        <v>9772.0579709460981</v>
      </c>
      <c r="S12" s="110">
        <f>S11/J10</f>
        <v>1453.030131064645</v>
      </c>
      <c r="T12" s="110">
        <f>T11/J10</f>
        <v>305.80473975250032</v>
      </c>
      <c r="V12" s="110">
        <f>V11/J10</f>
        <v>-349.04909738944326</v>
      </c>
      <c r="W12" s="100">
        <f>SUM(K12:V12)</f>
        <v>13509.846887376902</v>
      </c>
    </row>
  </sheetData>
  <sortState ref="A7:Z494">
    <sortCondition ref="G7:G494"/>
  </sortState>
  <mergeCells count="8">
    <mergeCell ref="G2:G5"/>
    <mergeCell ref="J2:J5"/>
    <mergeCell ref="A2:A5"/>
    <mergeCell ref="B2:B5"/>
    <mergeCell ref="C2:C5"/>
    <mergeCell ref="D2:D5"/>
    <mergeCell ref="E2:E5"/>
    <mergeCell ref="F2:F4"/>
  </mergeCells>
  <phoneticPr fontId="18" type="noConversion"/>
  <hyperlinks>
    <hyperlink ref="F1" r:id="rId1"/>
  </hyperlinks>
  <pageMargins left="0.7" right="0.7" top="0.75" bottom="0.75" header="0.3" footer="0.3"/>
  <extLst>
    <ext xmlns:mx="http://schemas.microsoft.com/office/mac/excel/2008/main" uri="http://schemas.microsoft.com/office/mac/excel/2008/main">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W138"/>
  <sheetViews>
    <sheetView topLeftCell="F1" workbookViewId="0">
      <selection activeCell="H19" sqref="H19"/>
    </sheetView>
  </sheetViews>
  <sheetFormatPr baseColWidth="10" defaultColWidth="8.83203125" defaultRowHeight="12"/>
  <cols>
    <col min="1" max="1" width="8.5" style="8" hidden="1" customWidth="1"/>
    <col min="2" max="2" width="25.6640625" hidden="1" customWidth="1"/>
    <col min="3" max="3" width="4.33203125" style="8" hidden="1" customWidth="1"/>
    <col min="4" max="4" width="4.5" style="8" hidden="1" customWidth="1"/>
    <col min="5" max="5" width="15.5" hidden="1" customWidth="1"/>
    <col min="6" max="6" width="44.5" customWidth="1"/>
    <col min="7" max="9" width="9.33203125" style="8" customWidth="1"/>
    <col min="10" max="10" width="9.33203125" customWidth="1"/>
    <col min="11" max="11" width="11.83203125" customWidth="1"/>
    <col min="12" max="12" width="11" customWidth="1"/>
    <col min="13" max="13" width="11.83203125" customWidth="1"/>
    <col min="14" max="14" width="10" customWidth="1"/>
    <col min="15" max="15" width="11.5" customWidth="1"/>
    <col min="16" max="16" width="10.1640625" customWidth="1"/>
    <col min="17" max="17" width="12.5" customWidth="1"/>
    <col min="18" max="18" width="11" customWidth="1"/>
    <col min="19" max="19" width="10" customWidth="1"/>
    <col min="20" max="20" width="11" customWidth="1"/>
    <col min="21" max="22" width="9.83203125" customWidth="1"/>
    <col min="23" max="23" width="15.5" customWidth="1"/>
  </cols>
  <sheetData>
    <row r="1" spans="1:22" ht="13" thickBot="1">
      <c r="F1" s="17" t="s">
        <v>177</v>
      </c>
    </row>
    <row r="2" spans="1:22" ht="18.75" customHeight="1" thickBot="1">
      <c r="A2" s="220" t="s">
        <v>1215</v>
      </c>
      <c r="B2" s="220" t="s">
        <v>1173</v>
      </c>
      <c r="C2" s="220" t="s">
        <v>1216</v>
      </c>
      <c r="D2" s="220" t="s">
        <v>1172</v>
      </c>
      <c r="E2" s="231" t="s">
        <v>1214</v>
      </c>
      <c r="F2" s="224" t="s">
        <v>176</v>
      </c>
      <c r="G2" s="241" t="s">
        <v>1170</v>
      </c>
      <c r="H2" s="32"/>
      <c r="I2" s="32"/>
      <c r="J2" s="244" t="s">
        <v>1213</v>
      </c>
      <c r="K2" s="19" t="s">
        <v>1201</v>
      </c>
      <c r="M2" s="19"/>
      <c r="O2" s="20"/>
      <c r="P2" s="20"/>
      <c r="Q2" s="20"/>
      <c r="R2" s="20"/>
    </row>
    <row r="3" spans="1:22" ht="29.25" customHeight="1" thickBot="1">
      <c r="A3" s="221"/>
      <c r="B3" s="221"/>
      <c r="C3" s="221"/>
      <c r="D3" s="221"/>
      <c r="E3" s="232"/>
      <c r="F3" s="225"/>
      <c r="G3" s="242"/>
      <c r="H3" s="33"/>
      <c r="I3" s="33"/>
      <c r="J3" s="245"/>
      <c r="K3" s="21" t="s">
        <v>1192</v>
      </c>
      <c r="M3" s="21"/>
      <c r="O3" s="21" t="s">
        <v>1194</v>
      </c>
      <c r="P3" s="22"/>
      <c r="Q3" s="22"/>
      <c r="R3" s="2" t="s">
        <v>1196</v>
      </c>
    </row>
    <row r="4" spans="1:22" ht="51.75" customHeight="1" thickBot="1">
      <c r="A4" s="221"/>
      <c r="B4" s="221"/>
      <c r="C4" s="221"/>
      <c r="D4" s="221"/>
      <c r="E4" s="232"/>
      <c r="F4" s="226"/>
      <c r="G4" s="242"/>
      <c r="H4" s="34" t="s">
        <v>178</v>
      </c>
      <c r="I4" s="34" t="s">
        <v>189</v>
      </c>
      <c r="J4" s="245"/>
      <c r="K4" s="9" t="s">
        <v>1191</v>
      </c>
      <c r="L4" s="67" t="s">
        <v>75</v>
      </c>
      <c r="M4" s="9" t="s">
        <v>1193</v>
      </c>
      <c r="O4" s="9" t="s">
        <v>1195</v>
      </c>
      <c r="P4" s="9" t="s">
        <v>1212</v>
      </c>
      <c r="Q4" s="9" t="s">
        <v>1199</v>
      </c>
      <c r="R4" s="5" t="s">
        <v>1211</v>
      </c>
      <c r="S4" s="67" t="s">
        <v>1211</v>
      </c>
      <c r="T4" s="67" t="s">
        <v>1193</v>
      </c>
    </row>
    <row r="5" spans="1:22" s="3" customFormat="1" ht="13" thickBot="1">
      <c r="A5" s="222"/>
      <c r="B5" s="223"/>
      <c r="C5" s="222"/>
      <c r="D5" s="222"/>
      <c r="E5" s="233"/>
      <c r="F5" s="4" t="s">
        <v>1171</v>
      </c>
      <c r="G5" s="243"/>
      <c r="H5" s="22"/>
      <c r="I5" s="49"/>
      <c r="J5" s="246"/>
      <c r="K5" s="6" t="s">
        <v>1174</v>
      </c>
      <c r="L5" s="67" t="s">
        <v>57</v>
      </c>
      <c r="M5" s="6" t="s">
        <v>1175</v>
      </c>
      <c r="N5" s="67" t="s">
        <v>174</v>
      </c>
      <c r="O5" s="7" t="s">
        <v>1177</v>
      </c>
      <c r="P5" s="7" t="s">
        <v>1178</v>
      </c>
      <c r="Q5" s="7" t="s">
        <v>1179</v>
      </c>
      <c r="R5" s="7" t="s">
        <v>1181</v>
      </c>
      <c r="S5" s="67"/>
      <c r="T5" s="67"/>
      <c r="U5" s="67" t="s">
        <v>193</v>
      </c>
      <c r="V5" s="67" t="s">
        <v>194</v>
      </c>
    </row>
    <row r="6" spans="1:22">
      <c r="A6" s="50" t="s">
        <v>1224</v>
      </c>
      <c r="B6" s="51" t="s">
        <v>1225</v>
      </c>
      <c r="C6" s="50" t="s">
        <v>424</v>
      </c>
      <c r="D6" s="50">
        <v>62</v>
      </c>
      <c r="E6" s="51" t="s">
        <v>785</v>
      </c>
      <c r="F6" s="59" t="s">
        <v>346</v>
      </c>
      <c r="G6" s="58" t="s">
        <v>347</v>
      </c>
      <c r="H6" s="60" t="s">
        <v>178</v>
      </c>
      <c r="I6" s="60" t="s">
        <v>190</v>
      </c>
      <c r="J6" s="80">
        <v>262.75</v>
      </c>
      <c r="K6" s="66">
        <v>0</v>
      </c>
      <c r="L6" s="102">
        <v>0</v>
      </c>
      <c r="M6" s="66">
        <v>47885</v>
      </c>
      <c r="N6" s="101">
        <v>8154</v>
      </c>
      <c r="O6" s="64">
        <v>2086879</v>
      </c>
      <c r="P6" s="64">
        <v>198549</v>
      </c>
      <c r="Q6" s="64">
        <v>270454</v>
      </c>
      <c r="R6" s="62">
        <v>184592</v>
      </c>
      <c r="S6" s="104">
        <v>134669</v>
      </c>
      <c r="T6" s="103">
        <v>4062</v>
      </c>
      <c r="U6" s="72">
        <v>0</v>
      </c>
      <c r="V6" s="72">
        <v>0</v>
      </c>
    </row>
    <row r="7" spans="1:22">
      <c r="A7" s="50" t="s">
        <v>1017</v>
      </c>
      <c r="B7" s="51" t="s">
        <v>1018</v>
      </c>
      <c r="C7" s="50" t="s">
        <v>424</v>
      </c>
      <c r="D7" s="50">
        <v>85</v>
      </c>
      <c r="E7" s="51" t="s">
        <v>606</v>
      </c>
      <c r="F7" s="59" t="s">
        <v>110</v>
      </c>
      <c r="G7" s="58" t="s">
        <v>111</v>
      </c>
      <c r="H7" s="60" t="s">
        <v>178</v>
      </c>
      <c r="I7" s="60" t="s">
        <v>191</v>
      </c>
      <c r="J7" s="80">
        <v>157.75</v>
      </c>
      <c r="K7" s="66">
        <v>0</v>
      </c>
      <c r="L7" s="102">
        <v>0</v>
      </c>
      <c r="M7" s="66">
        <v>17595</v>
      </c>
      <c r="N7" s="101">
        <v>2956</v>
      </c>
      <c r="O7" s="64">
        <v>1119571</v>
      </c>
      <c r="P7" s="64">
        <v>81301</v>
      </c>
      <c r="Q7" s="64">
        <v>330392</v>
      </c>
      <c r="R7" s="62">
        <v>233166</v>
      </c>
      <c r="S7" s="104">
        <v>34329</v>
      </c>
      <c r="T7" s="103">
        <v>25070</v>
      </c>
      <c r="U7" s="72">
        <v>0</v>
      </c>
      <c r="V7" s="72">
        <v>0</v>
      </c>
    </row>
    <row r="8" spans="1:22">
      <c r="A8" s="50" t="s">
        <v>1224</v>
      </c>
      <c r="B8" s="51" t="s">
        <v>1225</v>
      </c>
      <c r="C8" s="50" t="s">
        <v>424</v>
      </c>
      <c r="D8" s="50">
        <v>82</v>
      </c>
      <c r="E8" s="51" t="s">
        <v>583</v>
      </c>
      <c r="F8" s="59" t="s">
        <v>451</v>
      </c>
      <c r="G8" s="58" t="s">
        <v>452</v>
      </c>
      <c r="H8" s="60" t="s">
        <v>178</v>
      </c>
      <c r="I8" s="60" t="s">
        <v>190</v>
      </c>
      <c r="J8" s="80">
        <v>409.08</v>
      </c>
      <c r="K8" s="66">
        <v>0</v>
      </c>
      <c r="L8" s="102">
        <v>0</v>
      </c>
      <c r="M8" s="66">
        <v>89030</v>
      </c>
      <c r="N8" s="101">
        <v>0</v>
      </c>
      <c r="O8" s="64">
        <v>3228896</v>
      </c>
      <c r="P8" s="64">
        <v>182561</v>
      </c>
      <c r="Q8" s="64">
        <v>598530</v>
      </c>
      <c r="R8" s="62">
        <v>227280</v>
      </c>
      <c r="S8" s="104">
        <v>0</v>
      </c>
      <c r="T8" s="103">
        <v>24975</v>
      </c>
      <c r="U8" s="72">
        <v>0</v>
      </c>
      <c r="V8" s="72">
        <v>0</v>
      </c>
    </row>
    <row r="9" spans="1:22">
      <c r="A9" s="50" t="s">
        <v>1224</v>
      </c>
      <c r="B9" s="51" t="s">
        <v>1225</v>
      </c>
      <c r="C9" s="50" t="s">
        <v>424</v>
      </c>
      <c r="D9" s="50">
        <v>27</v>
      </c>
      <c r="E9" s="51" t="s">
        <v>1227</v>
      </c>
      <c r="F9" s="59" t="s">
        <v>272</v>
      </c>
      <c r="G9" s="58" t="s">
        <v>273</v>
      </c>
      <c r="H9" s="60" t="s">
        <v>178</v>
      </c>
      <c r="I9" s="58" t="s">
        <v>191</v>
      </c>
      <c r="J9" s="80">
        <v>112.29</v>
      </c>
      <c r="K9" s="66">
        <v>0</v>
      </c>
      <c r="L9" s="102">
        <v>0</v>
      </c>
      <c r="M9" s="66">
        <v>1278</v>
      </c>
      <c r="N9" s="101">
        <v>2028</v>
      </c>
      <c r="O9" s="64">
        <v>1080750</v>
      </c>
      <c r="P9" s="64">
        <v>19392</v>
      </c>
      <c r="Q9" s="64">
        <v>266690</v>
      </c>
      <c r="R9" s="62">
        <v>176006</v>
      </c>
      <c r="S9" s="104">
        <v>65542</v>
      </c>
      <c r="T9" s="103">
        <v>0</v>
      </c>
      <c r="U9" s="72">
        <v>0</v>
      </c>
      <c r="V9" s="72">
        <v>0</v>
      </c>
    </row>
    <row r="10" spans="1:22">
      <c r="A10" s="50" t="s">
        <v>1224</v>
      </c>
      <c r="B10" s="51" t="s">
        <v>1225</v>
      </c>
      <c r="C10" s="50" t="s">
        <v>424</v>
      </c>
      <c r="D10" s="50">
        <v>62</v>
      </c>
      <c r="E10" s="51" t="s">
        <v>785</v>
      </c>
      <c r="F10" s="59" t="s">
        <v>348</v>
      </c>
      <c r="G10" s="58" t="s">
        <v>349</v>
      </c>
      <c r="H10" s="60" t="s">
        <v>178</v>
      </c>
      <c r="I10" s="58" t="s">
        <v>191</v>
      </c>
      <c r="J10" s="80">
        <v>203.87</v>
      </c>
      <c r="K10" s="66">
        <v>0</v>
      </c>
      <c r="L10" s="102">
        <v>0</v>
      </c>
      <c r="M10" s="66">
        <v>271848</v>
      </c>
      <c r="N10" s="101">
        <v>1903</v>
      </c>
      <c r="O10" s="64">
        <v>1439440</v>
      </c>
      <c r="P10" s="64">
        <v>376937</v>
      </c>
      <c r="Q10" s="64">
        <v>366283</v>
      </c>
      <c r="R10" s="62">
        <v>69454</v>
      </c>
      <c r="S10" s="104">
        <v>19757</v>
      </c>
      <c r="T10" s="103">
        <v>16420</v>
      </c>
      <c r="U10" s="72">
        <v>0</v>
      </c>
      <c r="V10" s="72">
        <v>0</v>
      </c>
    </row>
    <row r="11" spans="1:22">
      <c r="A11" s="50" t="s">
        <v>1224</v>
      </c>
      <c r="B11" s="51" t="s">
        <v>1225</v>
      </c>
      <c r="C11" s="50" t="s">
        <v>424</v>
      </c>
      <c r="D11" s="50">
        <v>62</v>
      </c>
      <c r="E11" s="51" t="s">
        <v>785</v>
      </c>
      <c r="F11" s="59" t="s">
        <v>198</v>
      </c>
      <c r="G11" s="58" t="s">
        <v>199</v>
      </c>
      <c r="H11" s="60" t="s">
        <v>178</v>
      </c>
      <c r="I11" s="60" t="s">
        <v>191</v>
      </c>
      <c r="J11" s="80">
        <v>122.6</v>
      </c>
      <c r="K11" s="66">
        <v>0</v>
      </c>
      <c r="L11" s="102">
        <v>0</v>
      </c>
      <c r="M11" s="66">
        <v>16752</v>
      </c>
      <c r="N11" s="101">
        <v>447</v>
      </c>
      <c r="O11" s="64">
        <v>854895</v>
      </c>
      <c r="P11" s="64">
        <v>203462</v>
      </c>
      <c r="Q11" s="64">
        <v>178658</v>
      </c>
      <c r="R11" s="62">
        <v>32280</v>
      </c>
      <c r="S11" s="104">
        <v>3561</v>
      </c>
      <c r="T11" s="103">
        <v>11126</v>
      </c>
      <c r="U11" s="72">
        <v>0</v>
      </c>
      <c r="V11" s="72">
        <v>0</v>
      </c>
    </row>
    <row r="12" spans="1:22">
      <c r="A12" s="50" t="s">
        <v>1092</v>
      </c>
      <c r="B12" s="51" t="s">
        <v>1093</v>
      </c>
      <c r="C12" s="50" t="s">
        <v>424</v>
      </c>
      <c r="D12" s="50">
        <v>72</v>
      </c>
      <c r="E12" s="51" t="s">
        <v>521</v>
      </c>
      <c r="F12" s="59" t="s">
        <v>240</v>
      </c>
      <c r="G12" s="58" t="s">
        <v>241</v>
      </c>
      <c r="H12" s="60" t="s">
        <v>178</v>
      </c>
      <c r="I12" s="60" t="s">
        <v>192</v>
      </c>
      <c r="J12" s="80">
        <v>87.16</v>
      </c>
      <c r="K12" s="66">
        <v>0</v>
      </c>
      <c r="L12" s="102">
        <v>0</v>
      </c>
      <c r="M12" s="66">
        <v>62267</v>
      </c>
      <c r="N12" s="101">
        <v>1343</v>
      </c>
      <c r="O12" s="64">
        <v>718200</v>
      </c>
      <c r="P12" s="64">
        <v>15027</v>
      </c>
      <c r="Q12" s="64">
        <v>134815</v>
      </c>
      <c r="R12" s="62">
        <v>157517</v>
      </c>
      <c r="S12" s="104">
        <v>24562</v>
      </c>
      <c r="T12" s="103">
        <v>1499</v>
      </c>
      <c r="U12" s="72">
        <v>0</v>
      </c>
      <c r="V12" s="72">
        <v>0</v>
      </c>
    </row>
    <row r="13" spans="1:22">
      <c r="A13" s="50" t="s">
        <v>1224</v>
      </c>
      <c r="B13" s="51" t="s">
        <v>1225</v>
      </c>
      <c r="C13" s="50" t="s">
        <v>424</v>
      </c>
      <c r="D13" s="50">
        <v>2</v>
      </c>
      <c r="E13" s="51" t="s">
        <v>1236</v>
      </c>
      <c r="F13" s="59" t="s">
        <v>234</v>
      </c>
      <c r="G13" s="58" t="s">
        <v>235</v>
      </c>
      <c r="H13" s="60" t="s">
        <v>178</v>
      </c>
      <c r="I13" s="58" t="s">
        <v>192</v>
      </c>
      <c r="J13" s="80">
        <v>70.7</v>
      </c>
      <c r="K13" s="66">
        <v>0</v>
      </c>
      <c r="L13" s="102">
        <v>0</v>
      </c>
      <c r="M13" s="66">
        <v>13027</v>
      </c>
      <c r="N13" s="101">
        <v>639</v>
      </c>
      <c r="O13" s="64">
        <v>599649</v>
      </c>
      <c r="P13" s="64">
        <v>53838</v>
      </c>
      <c r="Q13" s="64">
        <v>144839</v>
      </c>
      <c r="R13" s="62">
        <v>183653</v>
      </c>
      <c r="S13" s="104">
        <v>14708</v>
      </c>
      <c r="T13" s="103">
        <v>1073</v>
      </c>
      <c r="U13" s="72">
        <v>0</v>
      </c>
      <c r="V13" s="72">
        <v>0</v>
      </c>
    </row>
    <row r="14" spans="1:22">
      <c r="A14" s="50" t="s">
        <v>1224</v>
      </c>
      <c r="B14" s="51" t="s">
        <v>1225</v>
      </c>
      <c r="C14" s="50" t="s">
        <v>424</v>
      </c>
      <c r="D14" s="50">
        <v>27</v>
      </c>
      <c r="E14" s="51" t="s">
        <v>1227</v>
      </c>
      <c r="F14" s="59" t="s">
        <v>338</v>
      </c>
      <c r="G14" s="58" t="s">
        <v>339</v>
      </c>
      <c r="H14" s="60" t="s">
        <v>178</v>
      </c>
      <c r="I14" s="60" t="s">
        <v>192</v>
      </c>
      <c r="J14" s="80">
        <v>231.57</v>
      </c>
      <c r="K14" s="66">
        <v>0</v>
      </c>
      <c r="L14" s="102">
        <v>0</v>
      </c>
      <c r="M14" s="66">
        <v>2320</v>
      </c>
      <c r="N14" s="101">
        <v>4465</v>
      </c>
      <c r="O14" s="64">
        <v>1781024</v>
      </c>
      <c r="P14" s="64">
        <v>28680</v>
      </c>
      <c r="Q14" s="64">
        <v>128902</v>
      </c>
      <c r="R14" s="62">
        <v>120732</v>
      </c>
      <c r="S14" s="104">
        <v>96513</v>
      </c>
      <c r="T14" s="103">
        <v>22094</v>
      </c>
      <c r="U14" s="72">
        <v>-2653.05</v>
      </c>
      <c r="V14" s="72">
        <v>0</v>
      </c>
    </row>
    <row r="15" spans="1:22">
      <c r="A15" s="50" t="s">
        <v>1132</v>
      </c>
      <c r="B15" s="51" t="s">
        <v>1133</v>
      </c>
      <c r="C15" s="50" t="s">
        <v>424</v>
      </c>
      <c r="D15" s="50">
        <v>18</v>
      </c>
      <c r="E15" s="51" t="s">
        <v>994</v>
      </c>
      <c r="F15" s="59" t="s">
        <v>350</v>
      </c>
      <c r="G15" s="58" t="s">
        <v>351</v>
      </c>
      <c r="H15" s="60" t="s">
        <v>178</v>
      </c>
      <c r="I15" s="60" t="s">
        <v>190</v>
      </c>
      <c r="J15" s="80">
        <v>154.51</v>
      </c>
      <c r="K15" s="66">
        <v>0</v>
      </c>
      <c r="L15" s="102">
        <v>0</v>
      </c>
      <c r="M15" s="66">
        <v>88885</v>
      </c>
      <c r="N15" s="101">
        <v>371</v>
      </c>
      <c r="O15" s="64">
        <v>1115713</v>
      </c>
      <c r="P15" s="64">
        <v>191219</v>
      </c>
      <c r="Q15" s="64">
        <v>242377</v>
      </c>
      <c r="R15" s="62">
        <v>9127</v>
      </c>
      <c r="S15" s="104">
        <v>6960</v>
      </c>
      <c r="T15" s="103">
        <v>2655</v>
      </c>
      <c r="U15" s="72">
        <v>0</v>
      </c>
      <c r="V15" s="72">
        <v>0</v>
      </c>
    </row>
    <row r="16" spans="1:22">
      <c r="A16" s="50" t="s">
        <v>1224</v>
      </c>
      <c r="B16" s="51" t="s">
        <v>1225</v>
      </c>
      <c r="C16" s="50" t="s">
        <v>424</v>
      </c>
      <c r="D16" s="50">
        <v>62</v>
      </c>
      <c r="E16" s="51" t="s">
        <v>785</v>
      </c>
      <c r="F16" s="59" t="s">
        <v>258</v>
      </c>
      <c r="G16" s="58" t="s">
        <v>259</v>
      </c>
      <c r="H16" s="60" t="s">
        <v>178</v>
      </c>
      <c r="I16" s="60" t="s">
        <v>191</v>
      </c>
      <c r="J16" s="80">
        <v>253.08</v>
      </c>
      <c r="K16" s="66">
        <v>0</v>
      </c>
      <c r="L16" s="102">
        <v>0</v>
      </c>
      <c r="M16" s="66">
        <v>203659</v>
      </c>
      <c r="N16" s="101">
        <v>2064</v>
      </c>
      <c r="O16" s="64">
        <v>1447572</v>
      </c>
      <c r="P16" s="64">
        <v>138333</v>
      </c>
      <c r="Q16" s="64">
        <v>305412</v>
      </c>
      <c r="R16" s="62">
        <v>191318</v>
      </c>
      <c r="S16" s="104">
        <v>15715</v>
      </c>
      <c r="T16" s="103">
        <v>41133</v>
      </c>
      <c r="U16" s="72">
        <v>0</v>
      </c>
      <c r="V16" s="72">
        <v>0</v>
      </c>
    </row>
    <row r="17" spans="1:22">
      <c r="A17" s="50" t="s">
        <v>1224</v>
      </c>
      <c r="B17" s="51" t="s">
        <v>1225</v>
      </c>
      <c r="C17" s="50" t="s">
        <v>424</v>
      </c>
      <c r="D17" s="50">
        <v>10</v>
      </c>
      <c r="E17" s="51" t="s">
        <v>1123</v>
      </c>
      <c r="F17" s="59" t="s">
        <v>270</v>
      </c>
      <c r="G17" s="58" t="s">
        <v>271</v>
      </c>
      <c r="H17" s="60" t="s">
        <v>178</v>
      </c>
      <c r="I17" s="60" t="s">
        <v>191</v>
      </c>
      <c r="J17" s="80">
        <v>29.97</v>
      </c>
      <c r="K17" s="66">
        <v>0</v>
      </c>
      <c r="L17" s="102">
        <v>0</v>
      </c>
      <c r="M17" s="66">
        <v>56117</v>
      </c>
      <c r="N17" s="101">
        <v>-1</v>
      </c>
      <c r="O17" s="64">
        <v>174451</v>
      </c>
      <c r="P17" s="64">
        <v>20096</v>
      </c>
      <c r="Q17" s="64">
        <v>88124</v>
      </c>
      <c r="R17" s="62">
        <v>171909</v>
      </c>
      <c r="S17" s="104">
        <v>0</v>
      </c>
      <c r="T17" s="103">
        <v>3631</v>
      </c>
      <c r="U17" s="72">
        <v>0</v>
      </c>
      <c r="V17" s="72">
        <v>0</v>
      </c>
    </row>
    <row r="18" spans="1:22">
      <c r="A18" s="50" t="s">
        <v>1224</v>
      </c>
      <c r="B18" s="51" t="s">
        <v>1225</v>
      </c>
      <c r="C18" s="50" t="s">
        <v>424</v>
      </c>
      <c r="D18" s="50">
        <v>27</v>
      </c>
      <c r="E18" s="51" t="s">
        <v>1227</v>
      </c>
      <c r="F18" s="59" t="s">
        <v>106</v>
      </c>
      <c r="G18" s="58" t="s">
        <v>107</v>
      </c>
      <c r="H18" s="60" t="s">
        <v>178</v>
      </c>
      <c r="I18" s="60" t="s">
        <v>191</v>
      </c>
      <c r="J18" s="80">
        <v>44.88</v>
      </c>
      <c r="K18" s="66">
        <v>0</v>
      </c>
      <c r="L18" s="102">
        <v>0</v>
      </c>
      <c r="M18" s="66">
        <v>9677</v>
      </c>
      <c r="N18" s="101">
        <v>214</v>
      </c>
      <c r="O18" s="64">
        <v>226742</v>
      </c>
      <c r="P18" s="64">
        <v>40623</v>
      </c>
      <c r="Q18" s="64">
        <v>100375</v>
      </c>
      <c r="R18" s="62">
        <v>184740</v>
      </c>
      <c r="S18" s="104">
        <v>1731</v>
      </c>
      <c r="T18" s="103">
        <v>15127</v>
      </c>
      <c r="U18" s="72">
        <v>-12530</v>
      </c>
      <c r="V18" s="72">
        <v>0</v>
      </c>
    </row>
    <row r="19" spans="1:22">
      <c r="A19" s="50" t="s">
        <v>1224</v>
      </c>
      <c r="B19" s="51" t="s">
        <v>1225</v>
      </c>
      <c r="C19" s="50" t="s">
        <v>424</v>
      </c>
      <c r="D19" s="50">
        <v>62</v>
      </c>
      <c r="E19" s="51" t="s">
        <v>785</v>
      </c>
      <c r="F19" s="59" t="s">
        <v>362</v>
      </c>
      <c r="G19" s="58" t="s">
        <v>363</v>
      </c>
      <c r="H19" s="60" t="s">
        <v>178</v>
      </c>
      <c r="I19" s="60" t="s">
        <v>191</v>
      </c>
      <c r="J19" s="80">
        <v>388.26</v>
      </c>
      <c r="K19" s="66">
        <v>0</v>
      </c>
      <c r="L19" s="102">
        <v>0</v>
      </c>
      <c r="M19" s="66">
        <v>29198</v>
      </c>
      <c r="N19" s="101">
        <v>0</v>
      </c>
      <c r="O19" s="64">
        <v>2727979</v>
      </c>
      <c r="P19" s="64">
        <v>77217</v>
      </c>
      <c r="Q19" s="64">
        <v>51188</v>
      </c>
      <c r="R19" s="62">
        <v>20008</v>
      </c>
      <c r="S19" s="104">
        <v>0</v>
      </c>
      <c r="T19" s="103">
        <v>0</v>
      </c>
      <c r="U19" s="72">
        <v>0</v>
      </c>
      <c r="V19" s="72">
        <v>0</v>
      </c>
    </row>
    <row r="20" spans="1:22">
      <c r="A20" s="50" t="s">
        <v>1218</v>
      </c>
      <c r="B20" s="51" t="s">
        <v>1219</v>
      </c>
      <c r="C20" s="50" t="s">
        <v>424</v>
      </c>
      <c r="D20" s="50">
        <v>69</v>
      </c>
      <c r="E20" s="51" t="s">
        <v>651</v>
      </c>
      <c r="F20" s="59" t="s">
        <v>427</v>
      </c>
      <c r="G20" s="58" t="s">
        <v>428</v>
      </c>
      <c r="H20" s="60" t="s">
        <v>178</v>
      </c>
      <c r="I20" s="60" t="s">
        <v>191</v>
      </c>
      <c r="J20" s="80">
        <v>199.57</v>
      </c>
      <c r="K20" s="66">
        <v>0</v>
      </c>
      <c r="L20" s="102">
        <v>0</v>
      </c>
      <c r="M20" s="66">
        <v>140484</v>
      </c>
      <c r="N20" s="101">
        <v>1823</v>
      </c>
      <c r="O20" s="64">
        <v>1100064</v>
      </c>
      <c r="P20" s="64">
        <v>135440</v>
      </c>
      <c r="Q20" s="64">
        <v>274791</v>
      </c>
      <c r="R20" s="62">
        <v>12818</v>
      </c>
      <c r="S20" s="104">
        <v>14065</v>
      </c>
      <c r="T20" s="103">
        <v>250379</v>
      </c>
      <c r="U20" s="72">
        <v>0</v>
      </c>
      <c r="V20" s="72">
        <v>0</v>
      </c>
    </row>
    <row r="21" spans="1:22">
      <c r="A21" s="50" t="s">
        <v>1224</v>
      </c>
      <c r="B21" s="51" t="s">
        <v>1225</v>
      </c>
      <c r="C21" s="50" t="s">
        <v>424</v>
      </c>
      <c r="D21" s="50">
        <v>62</v>
      </c>
      <c r="E21" s="51" t="s">
        <v>785</v>
      </c>
      <c r="F21" s="59" t="s">
        <v>431</v>
      </c>
      <c r="G21" s="58" t="s">
        <v>432</v>
      </c>
      <c r="H21" s="60" t="s">
        <v>178</v>
      </c>
      <c r="I21" s="60" t="s">
        <v>192</v>
      </c>
      <c r="J21" s="80">
        <v>110.46</v>
      </c>
      <c r="K21" s="66">
        <v>0</v>
      </c>
      <c r="L21" s="102">
        <v>0</v>
      </c>
      <c r="M21" s="66">
        <v>31615</v>
      </c>
      <c r="N21" s="101">
        <v>2455</v>
      </c>
      <c r="O21" s="64">
        <v>977382</v>
      </c>
      <c r="P21" s="64">
        <v>40608</v>
      </c>
      <c r="Q21" s="64">
        <v>39720</v>
      </c>
      <c r="R21" s="62">
        <v>203272</v>
      </c>
      <c r="S21" s="104">
        <v>66767</v>
      </c>
      <c r="T21" s="103">
        <v>1001</v>
      </c>
      <c r="U21" s="72">
        <v>0</v>
      </c>
      <c r="V21" s="72">
        <v>0</v>
      </c>
    </row>
    <row r="22" spans="1:22">
      <c r="A22" s="50" t="s">
        <v>1087</v>
      </c>
      <c r="B22" s="51" t="s">
        <v>1088</v>
      </c>
      <c r="C22" s="50" t="s">
        <v>424</v>
      </c>
      <c r="D22" s="50">
        <v>87</v>
      </c>
      <c r="E22" s="51" t="s">
        <v>628</v>
      </c>
      <c r="F22" s="59" t="s">
        <v>425</v>
      </c>
      <c r="G22" s="58" t="s">
        <v>426</v>
      </c>
      <c r="H22" s="60" t="s">
        <v>178</v>
      </c>
      <c r="I22" s="60" t="s">
        <v>190</v>
      </c>
      <c r="J22" s="80">
        <v>117.19</v>
      </c>
      <c r="K22" s="66">
        <v>0</v>
      </c>
      <c r="L22" s="102">
        <v>0</v>
      </c>
      <c r="M22" s="66">
        <v>62266</v>
      </c>
      <c r="N22" s="101">
        <v>0</v>
      </c>
      <c r="O22" s="64">
        <v>1083305</v>
      </c>
      <c r="P22" s="64">
        <v>0</v>
      </c>
      <c r="Q22" s="64">
        <v>143110</v>
      </c>
      <c r="R22" s="62">
        <v>0</v>
      </c>
      <c r="S22" s="104">
        <v>0</v>
      </c>
      <c r="T22" s="103">
        <v>0</v>
      </c>
      <c r="U22" s="72">
        <v>0</v>
      </c>
      <c r="V22" s="72">
        <v>0</v>
      </c>
    </row>
    <row r="23" spans="1:22">
      <c r="A23" s="50" t="s">
        <v>1166</v>
      </c>
      <c r="B23" s="51" t="s">
        <v>1167</v>
      </c>
      <c r="C23" s="50" t="s">
        <v>424</v>
      </c>
      <c r="D23" s="50">
        <v>64</v>
      </c>
      <c r="E23" s="51" t="s">
        <v>803</v>
      </c>
      <c r="F23" s="59" t="s">
        <v>445</v>
      </c>
      <c r="G23" s="58" t="s">
        <v>446</v>
      </c>
      <c r="H23" s="60" t="s">
        <v>178</v>
      </c>
      <c r="I23" s="60" t="s">
        <v>190</v>
      </c>
      <c r="J23" s="80">
        <v>590.4</v>
      </c>
      <c r="K23" s="66">
        <v>0</v>
      </c>
      <c r="L23" s="102">
        <v>0</v>
      </c>
      <c r="M23" s="66">
        <v>87237</v>
      </c>
      <c r="N23" s="101">
        <v>0</v>
      </c>
      <c r="O23" s="64">
        <v>4920091</v>
      </c>
      <c r="P23" s="64">
        <v>627865</v>
      </c>
      <c r="Q23" s="64">
        <v>1024715</v>
      </c>
      <c r="R23" s="62">
        <v>438125</v>
      </c>
      <c r="S23" s="104">
        <v>0</v>
      </c>
      <c r="T23" s="103">
        <v>0</v>
      </c>
      <c r="U23" s="72">
        <v>0</v>
      </c>
      <c r="V23" s="72">
        <v>0</v>
      </c>
    </row>
    <row r="24" spans="1:22">
      <c r="A24" s="50" t="s">
        <v>1224</v>
      </c>
      <c r="B24" s="51" t="s">
        <v>1225</v>
      </c>
      <c r="C24" s="50" t="s">
        <v>424</v>
      </c>
      <c r="D24" s="50">
        <v>27</v>
      </c>
      <c r="E24" s="51" t="s">
        <v>1227</v>
      </c>
      <c r="F24" s="59" t="s">
        <v>292</v>
      </c>
      <c r="G24" s="58" t="s">
        <v>293</v>
      </c>
      <c r="H24" s="60" t="s">
        <v>178</v>
      </c>
      <c r="I24" s="60" t="s">
        <v>190</v>
      </c>
      <c r="J24" s="80">
        <v>161.97</v>
      </c>
      <c r="K24" s="66">
        <v>0</v>
      </c>
      <c r="L24" s="102">
        <v>0</v>
      </c>
      <c r="M24" s="66">
        <v>37122</v>
      </c>
      <c r="N24" s="101">
        <v>3258</v>
      </c>
      <c r="O24" s="64">
        <v>1129769</v>
      </c>
      <c r="P24" s="64">
        <v>214488</v>
      </c>
      <c r="Q24" s="64">
        <v>210634</v>
      </c>
      <c r="R24" s="62">
        <v>106947</v>
      </c>
      <c r="S24" s="104">
        <v>75157</v>
      </c>
      <c r="T24" s="103">
        <v>11557</v>
      </c>
      <c r="U24" s="72">
        <v>0</v>
      </c>
      <c r="V24" s="72">
        <v>0</v>
      </c>
    </row>
    <row r="25" spans="1:22">
      <c r="A25" s="50" t="s">
        <v>1224</v>
      </c>
      <c r="B25" s="51" t="s">
        <v>1225</v>
      </c>
      <c r="C25" s="50" t="s">
        <v>424</v>
      </c>
      <c r="D25" s="50">
        <v>62</v>
      </c>
      <c r="E25" s="51" t="s">
        <v>785</v>
      </c>
      <c r="F25" s="59" t="s">
        <v>330</v>
      </c>
      <c r="G25" s="58" t="s">
        <v>331</v>
      </c>
      <c r="H25" s="60" t="s">
        <v>178</v>
      </c>
      <c r="I25" s="60" t="s">
        <v>191</v>
      </c>
      <c r="J25" s="80">
        <v>110.76</v>
      </c>
      <c r="K25" s="66">
        <v>0</v>
      </c>
      <c r="L25" s="102">
        <v>0</v>
      </c>
      <c r="M25" s="66">
        <v>27089</v>
      </c>
      <c r="N25" s="101">
        <v>1591</v>
      </c>
      <c r="O25" s="64">
        <v>713918</v>
      </c>
      <c r="P25" s="64">
        <v>183951</v>
      </c>
      <c r="Q25" s="64">
        <v>137379</v>
      </c>
      <c r="R25" s="62">
        <v>33111</v>
      </c>
      <c r="S25" s="104">
        <v>17405</v>
      </c>
      <c r="T25" s="103">
        <v>21279</v>
      </c>
      <c r="U25" s="72">
        <v>0</v>
      </c>
      <c r="V25" s="72">
        <v>0</v>
      </c>
    </row>
    <row r="26" spans="1:22">
      <c r="A26" s="50" t="s">
        <v>1224</v>
      </c>
      <c r="B26" s="51" t="s">
        <v>1225</v>
      </c>
      <c r="C26" s="50" t="s">
        <v>424</v>
      </c>
      <c r="D26" s="50">
        <v>27</v>
      </c>
      <c r="E26" s="51" t="s">
        <v>1227</v>
      </c>
      <c r="F26" s="59" t="s">
        <v>455</v>
      </c>
      <c r="G26" s="58" t="s">
        <v>456</v>
      </c>
      <c r="H26" s="60" t="s">
        <v>178</v>
      </c>
      <c r="I26" s="60" t="s">
        <v>190</v>
      </c>
      <c r="J26" s="80">
        <v>119.5</v>
      </c>
      <c r="K26" s="66">
        <v>0</v>
      </c>
      <c r="L26" s="102">
        <v>0</v>
      </c>
      <c r="M26" s="66">
        <v>99413</v>
      </c>
      <c r="N26" s="101">
        <v>0</v>
      </c>
      <c r="O26" s="64">
        <v>751760</v>
      </c>
      <c r="P26" s="64">
        <v>45959</v>
      </c>
      <c r="Q26" s="64">
        <v>213038</v>
      </c>
      <c r="R26" s="62">
        <v>53944</v>
      </c>
      <c r="S26" s="104">
        <v>0</v>
      </c>
      <c r="T26" s="103">
        <v>0</v>
      </c>
      <c r="U26" s="72">
        <v>0</v>
      </c>
      <c r="V26" s="72">
        <v>0</v>
      </c>
    </row>
    <row r="27" spans="1:22">
      <c r="A27" s="50" t="s">
        <v>1224</v>
      </c>
      <c r="B27" s="51" t="s">
        <v>1225</v>
      </c>
      <c r="C27" s="50" t="s">
        <v>424</v>
      </c>
      <c r="D27" s="50">
        <v>62</v>
      </c>
      <c r="E27" s="51" t="s">
        <v>785</v>
      </c>
      <c r="F27" s="59" t="s">
        <v>112</v>
      </c>
      <c r="G27" s="58" t="s">
        <v>113</v>
      </c>
      <c r="H27" s="60" t="s">
        <v>178</v>
      </c>
      <c r="I27" s="60" t="s">
        <v>191</v>
      </c>
      <c r="J27" s="80">
        <v>87.38</v>
      </c>
      <c r="K27" s="66">
        <v>0</v>
      </c>
      <c r="L27" s="102">
        <v>0</v>
      </c>
      <c r="M27" s="66">
        <v>24590</v>
      </c>
      <c r="N27" s="101">
        <v>1552</v>
      </c>
      <c r="O27" s="64">
        <v>537417</v>
      </c>
      <c r="P27" s="64">
        <v>72690</v>
      </c>
      <c r="Q27" s="64">
        <v>148575</v>
      </c>
      <c r="R27" s="62">
        <v>189256</v>
      </c>
      <c r="S27" s="104">
        <v>4366</v>
      </c>
      <c r="T27" s="103">
        <v>16799</v>
      </c>
      <c r="U27" s="72">
        <v>0</v>
      </c>
      <c r="V27" s="72">
        <v>0</v>
      </c>
    </row>
    <row r="28" spans="1:22">
      <c r="A28" s="50" t="s">
        <v>1224</v>
      </c>
      <c r="B28" s="51" t="s">
        <v>1225</v>
      </c>
      <c r="C28" s="50" t="s">
        <v>424</v>
      </c>
      <c r="D28" s="50">
        <v>62</v>
      </c>
      <c r="E28" s="51" t="s">
        <v>785</v>
      </c>
      <c r="F28" s="59" t="s">
        <v>128</v>
      </c>
      <c r="G28" s="58" t="s">
        <v>129</v>
      </c>
      <c r="H28" s="60" t="s">
        <v>178</v>
      </c>
      <c r="I28" s="60" t="s">
        <v>191</v>
      </c>
      <c r="J28" s="80">
        <v>95.93</v>
      </c>
      <c r="K28" s="66">
        <v>0</v>
      </c>
      <c r="L28" s="102">
        <v>0</v>
      </c>
      <c r="M28" s="66">
        <v>37905</v>
      </c>
      <c r="N28" s="101">
        <v>246</v>
      </c>
      <c r="O28" s="64">
        <v>608235</v>
      </c>
      <c r="P28" s="64">
        <v>162561</v>
      </c>
      <c r="Q28" s="64">
        <v>165099</v>
      </c>
      <c r="R28" s="62">
        <v>127465</v>
      </c>
      <c r="S28" s="104">
        <v>3577</v>
      </c>
      <c r="T28" s="103">
        <v>17500</v>
      </c>
      <c r="U28" s="72">
        <v>0</v>
      </c>
      <c r="V28" s="72">
        <v>0</v>
      </c>
    </row>
    <row r="29" spans="1:22">
      <c r="A29" s="50" t="s">
        <v>1224</v>
      </c>
      <c r="B29" s="51" t="s">
        <v>1225</v>
      </c>
      <c r="C29" s="50" t="s">
        <v>424</v>
      </c>
      <c r="D29" s="50">
        <v>27</v>
      </c>
      <c r="E29" s="51" t="s">
        <v>1227</v>
      </c>
      <c r="F29" s="59" t="s">
        <v>256</v>
      </c>
      <c r="G29" s="58" t="s">
        <v>257</v>
      </c>
      <c r="H29" s="60" t="s">
        <v>178</v>
      </c>
      <c r="I29" s="60" t="s">
        <v>191</v>
      </c>
      <c r="J29" s="80">
        <v>52</v>
      </c>
      <c r="K29" s="66">
        <v>0</v>
      </c>
      <c r="L29" s="102">
        <v>0</v>
      </c>
      <c r="M29" s="66">
        <v>3406</v>
      </c>
      <c r="N29" s="101">
        <v>499</v>
      </c>
      <c r="O29" s="64">
        <v>293378</v>
      </c>
      <c r="P29" s="64">
        <v>52639</v>
      </c>
      <c r="Q29" s="64">
        <v>66408</v>
      </c>
      <c r="R29" s="62">
        <v>185044</v>
      </c>
      <c r="S29" s="104">
        <v>2738</v>
      </c>
      <c r="T29" s="103">
        <v>38500</v>
      </c>
      <c r="U29" s="72">
        <v>-8992.6299999999992</v>
      </c>
      <c r="V29" s="72">
        <v>0</v>
      </c>
    </row>
    <row r="30" spans="1:22">
      <c r="A30" s="50" t="s">
        <v>1224</v>
      </c>
      <c r="B30" s="51" t="s">
        <v>1225</v>
      </c>
      <c r="C30" s="50" t="s">
        <v>424</v>
      </c>
      <c r="D30" s="50">
        <v>62</v>
      </c>
      <c r="E30" s="51" t="s">
        <v>785</v>
      </c>
      <c r="F30" s="59" t="s">
        <v>360</v>
      </c>
      <c r="G30" s="58" t="s">
        <v>361</v>
      </c>
      <c r="H30" s="60" t="s">
        <v>178</v>
      </c>
      <c r="I30" s="60" t="s">
        <v>191</v>
      </c>
      <c r="J30" s="80">
        <v>53.41</v>
      </c>
      <c r="K30" s="66">
        <v>0</v>
      </c>
      <c r="L30" s="102">
        <v>0</v>
      </c>
      <c r="M30" s="66">
        <v>18702</v>
      </c>
      <c r="N30" s="101">
        <v>987</v>
      </c>
      <c r="O30" s="64">
        <v>393131</v>
      </c>
      <c r="P30" s="64">
        <v>51975</v>
      </c>
      <c r="Q30" s="64">
        <v>75615</v>
      </c>
      <c r="R30" s="62">
        <v>41534</v>
      </c>
      <c r="S30" s="104">
        <v>12522</v>
      </c>
      <c r="T30" s="103">
        <v>3019</v>
      </c>
      <c r="U30" s="72">
        <v>0</v>
      </c>
      <c r="V30" s="72">
        <v>0</v>
      </c>
    </row>
    <row r="31" spans="1:22">
      <c r="A31" s="50" t="s">
        <v>1224</v>
      </c>
      <c r="B31" s="51" t="s">
        <v>1225</v>
      </c>
      <c r="C31" s="50" t="s">
        <v>424</v>
      </c>
      <c r="D31" s="50">
        <v>62</v>
      </c>
      <c r="E31" s="51" t="s">
        <v>785</v>
      </c>
      <c r="F31" s="59" t="s">
        <v>120</v>
      </c>
      <c r="G31" s="58" t="s">
        <v>121</v>
      </c>
      <c r="H31" s="60" t="s">
        <v>178</v>
      </c>
      <c r="I31" s="60" t="s">
        <v>190</v>
      </c>
      <c r="J31" s="80">
        <v>184.66</v>
      </c>
      <c r="K31" s="66">
        <v>0</v>
      </c>
      <c r="L31" s="102">
        <v>0</v>
      </c>
      <c r="M31" s="66">
        <v>4041</v>
      </c>
      <c r="N31" s="101">
        <v>3985</v>
      </c>
      <c r="O31" s="64">
        <v>1509922</v>
      </c>
      <c r="P31" s="64">
        <v>12079</v>
      </c>
      <c r="Q31" s="64">
        <v>352879</v>
      </c>
      <c r="R31" s="62">
        <v>291058</v>
      </c>
      <c r="S31" s="104">
        <v>105721</v>
      </c>
      <c r="T31" s="103">
        <v>132</v>
      </c>
      <c r="U31" s="72">
        <v>0</v>
      </c>
      <c r="V31" s="72">
        <v>0</v>
      </c>
    </row>
    <row r="32" spans="1:22">
      <c r="A32" s="50" t="s">
        <v>1224</v>
      </c>
      <c r="B32" s="51" t="s">
        <v>1225</v>
      </c>
      <c r="C32" s="50" t="s">
        <v>424</v>
      </c>
      <c r="D32" s="50">
        <v>82</v>
      </c>
      <c r="E32" s="51" t="s">
        <v>583</v>
      </c>
      <c r="F32" s="59" t="s">
        <v>453</v>
      </c>
      <c r="G32" s="58" t="s">
        <v>454</v>
      </c>
      <c r="H32" s="60" t="s">
        <v>178</v>
      </c>
      <c r="I32" s="60" t="s">
        <v>191</v>
      </c>
      <c r="J32" s="80">
        <v>789.96</v>
      </c>
      <c r="K32" s="66">
        <v>0</v>
      </c>
      <c r="L32" s="102">
        <v>0</v>
      </c>
      <c r="M32" s="66">
        <v>66804</v>
      </c>
      <c r="N32" s="101">
        <v>21218</v>
      </c>
      <c r="O32" s="64">
        <v>6064093</v>
      </c>
      <c r="P32" s="64">
        <v>610437</v>
      </c>
      <c r="Q32" s="64">
        <v>531820</v>
      </c>
      <c r="R32" s="62">
        <v>515930</v>
      </c>
      <c r="S32" s="104">
        <v>192271</v>
      </c>
      <c r="T32" s="103">
        <v>157548</v>
      </c>
      <c r="U32" s="72">
        <v>0</v>
      </c>
      <c r="V32" s="72">
        <v>0</v>
      </c>
    </row>
    <row r="33" spans="1:22">
      <c r="A33" s="50" t="s">
        <v>1249</v>
      </c>
      <c r="B33" s="51" t="s">
        <v>1250</v>
      </c>
      <c r="C33" s="50" t="s">
        <v>424</v>
      </c>
      <c r="D33" s="50">
        <v>21</v>
      </c>
      <c r="E33" s="51" t="s">
        <v>1024</v>
      </c>
      <c r="F33" s="59" t="s">
        <v>457</v>
      </c>
      <c r="G33" s="58" t="s">
        <v>458</v>
      </c>
      <c r="H33" s="60" t="s">
        <v>178</v>
      </c>
      <c r="I33" s="60" t="s">
        <v>191</v>
      </c>
      <c r="J33" s="80">
        <v>170.21</v>
      </c>
      <c r="K33" s="66">
        <v>0</v>
      </c>
      <c r="L33" s="102">
        <v>0</v>
      </c>
      <c r="M33" s="66">
        <v>115377</v>
      </c>
      <c r="N33" s="101">
        <v>5492</v>
      </c>
      <c r="O33" s="64">
        <v>1247994</v>
      </c>
      <c r="P33" s="64">
        <v>159083</v>
      </c>
      <c r="Q33" s="64">
        <v>216144</v>
      </c>
      <c r="R33" s="62">
        <v>65373</v>
      </c>
      <c r="S33" s="104">
        <v>36819</v>
      </c>
      <c r="T33" s="103">
        <v>32263</v>
      </c>
      <c r="U33" s="72">
        <v>0</v>
      </c>
      <c r="V33" s="72">
        <v>0</v>
      </c>
    </row>
    <row r="34" spans="1:22">
      <c r="A34" s="50" t="s">
        <v>1218</v>
      </c>
      <c r="B34" s="51" t="s">
        <v>1219</v>
      </c>
      <c r="C34" s="50" t="s">
        <v>424</v>
      </c>
      <c r="D34" s="50">
        <v>69</v>
      </c>
      <c r="E34" s="51" t="s">
        <v>651</v>
      </c>
      <c r="F34" s="59" t="s">
        <v>254</v>
      </c>
      <c r="G34" s="58" t="s">
        <v>255</v>
      </c>
      <c r="H34" s="60" t="s">
        <v>178</v>
      </c>
      <c r="I34" s="60" t="s">
        <v>191</v>
      </c>
      <c r="J34" s="80">
        <v>196.02</v>
      </c>
      <c r="K34" s="66">
        <v>0</v>
      </c>
      <c r="L34" s="102">
        <v>0</v>
      </c>
      <c r="M34" s="66">
        <v>50882</v>
      </c>
      <c r="N34" s="101">
        <v>0</v>
      </c>
      <c r="O34" s="64">
        <v>1305478</v>
      </c>
      <c r="P34" s="64">
        <v>66183</v>
      </c>
      <c r="Q34" s="64">
        <v>296893</v>
      </c>
      <c r="R34" s="62">
        <v>112022</v>
      </c>
      <c r="S34" s="104">
        <v>0</v>
      </c>
      <c r="T34" s="103">
        <v>0</v>
      </c>
      <c r="U34" s="72">
        <v>0</v>
      </c>
      <c r="V34" s="72">
        <v>0</v>
      </c>
    </row>
    <row r="35" spans="1:22">
      <c r="A35" s="50" t="s">
        <v>1224</v>
      </c>
      <c r="B35" s="51" t="s">
        <v>1225</v>
      </c>
      <c r="C35" s="50" t="s">
        <v>424</v>
      </c>
      <c r="D35" s="50">
        <v>2</v>
      </c>
      <c r="E35" s="51" t="s">
        <v>1236</v>
      </c>
      <c r="F35" s="59" t="s">
        <v>461</v>
      </c>
      <c r="G35" s="58" t="s">
        <v>462</v>
      </c>
      <c r="H35" s="60" t="s">
        <v>178</v>
      </c>
      <c r="I35" s="60" t="s">
        <v>191</v>
      </c>
      <c r="J35" s="80">
        <v>27.21</v>
      </c>
      <c r="K35" s="66">
        <v>0</v>
      </c>
      <c r="L35" s="102">
        <v>0</v>
      </c>
      <c r="M35" s="66">
        <v>10661</v>
      </c>
      <c r="N35" s="101">
        <v>1</v>
      </c>
      <c r="O35" s="64">
        <v>212788</v>
      </c>
      <c r="P35" s="64">
        <v>108700</v>
      </c>
      <c r="Q35" s="64">
        <v>75006</v>
      </c>
      <c r="R35" s="62">
        <v>149628</v>
      </c>
      <c r="S35" s="104">
        <v>0</v>
      </c>
      <c r="T35" s="103">
        <v>6649</v>
      </c>
      <c r="U35" s="72">
        <v>0</v>
      </c>
      <c r="V35" s="72">
        <v>0</v>
      </c>
    </row>
    <row r="36" spans="1:22">
      <c r="A36" s="50" t="s">
        <v>1092</v>
      </c>
      <c r="B36" s="51" t="s">
        <v>1093</v>
      </c>
      <c r="C36" s="50" t="s">
        <v>424</v>
      </c>
      <c r="D36" s="50">
        <v>52</v>
      </c>
      <c r="E36" s="51" t="s">
        <v>889</v>
      </c>
      <c r="F36" s="59" t="s">
        <v>116</v>
      </c>
      <c r="G36" s="58" t="s">
        <v>117</v>
      </c>
      <c r="H36" s="60" t="s">
        <v>178</v>
      </c>
      <c r="I36" s="60" t="s">
        <v>192</v>
      </c>
      <c r="J36" s="80">
        <v>65.33</v>
      </c>
      <c r="K36" s="66">
        <v>0</v>
      </c>
      <c r="L36" s="102">
        <v>0</v>
      </c>
      <c r="M36" s="66">
        <v>12235</v>
      </c>
      <c r="N36" s="101">
        <v>0</v>
      </c>
      <c r="O36" s="64">
        <v>488689</v>
      </c>
      <c r="P36" s="64">
        <v>22708</v>
      </c>
      <c r="Q36" s="64">
        <v>50241</v>
      </c>
      <c r="R36" s="62">
        <v>195901</v>
      </c>
      <c r="S36" s="104">
        <v>0</v>
      </c>
      <c r="T36" s="103">
        <v>0</v>
      </c>
      <c r="U36" s="72">
        <v>0</v>
      </c>
      <c r="V36" s="72">
        <v>0</v>
      </c>
    </row>
    <row r="37" spans="1:22">
      <c r="A37" s="50" t="s">
        <v>1224</v>
      </c>
      <c r="B37" s="51" t="s">
        <v>1225</v>
      </c>
      <c r="C37" s="50" t="s">
        <v>424</v>
      </c>
      <c r="D37" s="50">
        <v>27</v>
      </c>
      <c r="E37" s="51" t="s">
        <v>1227</v>
      </c>
      <c r="F37" s="59" t="s">
        <v>326</v>
      </c>
      <c r="G37" s="58" t="s">
        <v>327</v>
      </c>
      <c r="H37" s="60" t="s">
        <v>178</v>
      </c>
      <c r="I37" s="60" t="s">
        <v>192</v>
      </c>
      <c r="J37" s="80">
        <v>91.39</v>
      </c>
      <c r="K37" s="66">
        <v>0</v>
      </c>
      <c r="L37" s="102">
        <v>0</v>
      </c>
      <c r="M37" s="66">
        <v>99168</v>
      </c>
      <c r="N37" s="101">
        <v>1574</v>
      </c>
      <c r="O37" s="64">
        <v>762669</v>
      </c>
      <c r="P37" s="64">
        <v>88581</v>
      </c>
      <c r="Q37" s="64">
        <v>175256</v>
      </c>
      <c r="R37" s="62">
        <v>61727</v>
      </c>
      <c r="S37" s="104">
        <v>34937</v>
      </c>
      <c r="T37" s="103">
        <v>292</v>
      </c>
      <c r="U37" s="72">
        <v>0</v>
      </c>
      <c r="V37" s="72">
        <v>0</v>
      </c>
    </row>
    <row r="38" spans="1:22">
      <c r="A38" s="50" t="s">
        <v>1017</v>
      </c>
      <c r="B38" s="51" t="s">
        <v>1018</v>
      </c>
      <c r="C38" s="50" t="s">
        <v>424</v>
      </c>
      <c r="D38" s="50">
        <v>28</v>
      </c>
      <c r="E38" s="51" t="s">
        <v>915</v>
      </c>
      <c r="F38" s="59" t="s">
        <v>443</v>
      </c>
      <c r="G38" s="58" t="s">
        <v>444</v>
      </c>
      <c r="H38" s="60" t="s">
        <v>178</v>
      </c>
      <c r="I38" s="60" t="s">
        <v>191</v>
      </c>
      <c r="J38" s="80">
        <v>59.72</v>
      </c>
      <c r="K38" s="66">
        <v>0</v>
      </c>
      <c r="L38" s="102">
        <v>0</v>
      </c>
      <c r="M38" s="66">
        <v>28645</v>
      </c>
      <c r="N38" s="101">
        <v>8088</v>
      </c>
      <c r="O38" s="64">
        <v>400216</v>
      </c>
      <c r="P38" s="64">
        <v>54359</v>
      </c>
      <c r="Q38" s="64">
        <v>71254</v>
      </c>
      <c r="R38" s="62">
        <v>34368</v>
      </c>
      <c r="S38" s="104">
        <v>13478</v>
      </c>
      <c r="T38" s="103">
        <v>13860</v>
      </c>
      <c r="U38" s="72">
        <v>-270</v>
      </c>
      <c r="V38" s="72">
        <v>0</v>
      </c>
    </row>
    <row r="39" spans="1:22">
      <c r="A39" s="50" t="s">
        <v>1017</v>
      </c>
      <c r="B39" s="51" t="s">
        <v>1018</v>
      </c>
      <c r="C39" s="50" t="s">
        <v>424</v>
      </c>
      <c r="D39" s="50">
        <v>55</v>
      </c>
      <c r="E39" s="51" t="s">
        <v>1033</v>
      </c>
      <c r="F39" s="59" t="s">
        <v>340</v>
      </c>
      <c r="G39" s="58" t="s">
        <v>341</v>
      </c>
      <c r="H39" s="60" t="s">
        <v>178</v>
      </c>
      <c r="I39" s="60" t="s">
        <v>191</v>
      </c>
      <c r="J39" s="80">
        <v>290.64999999999998</v>
      </c>
      <c r="K39" s="66">
        <v>0</v>
      </c>
      <c r="L39" s="102">
        <v>0</v>
      </c>
      <c r="M39" s="66">
        <v>56030</v>
      </c>
      <c r="N39" s="101">
        <v>14547</v>
      </c>
      <c r="O39" s="64">
        <v>1920598</v>
      </c>
      <c r="P39" s="64">
        <v>213513</v>
      </c>
      <c r="Q39" s="64">
        <v>430880</v>
      </c>
      <c r="R39" s="62">
        <v>127638</v>
      </c>
      <c r="S39" s="104">
        <v>148721</v>
      </c>
      <c r="T39" s="103">
        <v>231279</v>
      </c>
      <c r="U39" s="72">
        <v>-5121.6000000000004</v>
      </c>
      <c r="V39" s="72">
        <v>0</v>
      </c>
    </row>
    <row r="40" spans="1:22">
      <c r="A40" s="50" t="s">
        <v>1224</v>
      </c>
      <c r="B40" s="51" t="s">
        <v>1225</v>
      </c>
      <c r="C40" s="50" t="s">
        <v>424</v>
      </c>
      <c r="D40" s="50">
        <v>27</v>
      </c>
      <c r="E40" s="51" t="s">
        <v>1227</v>
      </c>
      <c r="F40" s="59" t="s">
        <v>294</v>
      </c>
      <c r="G40" s="58" t="s">
        <v>295</v>
      </c>
      <c r="H40" s="60" t="s">
        <v>178</v>
      </c>
      <c r="I40" s="60" t="s">
        <v>190</v>
      </c>
      <c r="J40" s="80">
        <v>61.6</v>
      </c>
      <c r="K40" s="66">
        <v>0</v>
      </c>
      <c r="L40" s="102">
        <v>0</v>
      </c>
      <c r="M40" s="66">
        <v>53067</v>
      </c>
      <c r="N40" s="101">
        <v>869</v>
      </c>
      <c r="O40" s="64">
        <v>473940</v>
      </c>
      <c r="P40" s="64">
        <v>53888</v>
      </c>
      <c r="Q40" s="64">
        <v>96001</v>
      </c>
      <c r="R40" s="62">
        <v>42681</v>
      </c>
      <c r="S40" s="104">
        <v>12178</v>
      </c>
      <c r="T40" s="103">
        <v>0</v>
      </c>
      <c r="U40" s="72">
        <v>0</v>
      </c>
      <c r="V40" s="72">
        <v>0</v>
      </c>
    </row>
    <row r="41" spans="1:22">
      <c r="A41" s="50" t="s">
        <v>1258</v>
      </c>
      <c r="B41" s="51" t="s">
        <v>1259</v>
      </c>
      <c r="C41" s="50" t="s">
        <v>424</v>
      </c>
      <c r="D41" s="50">
        <v>4</v>
      </c>
      <c r="E41" s="51" t="s">
        <v>1260</v>
      </c>
      <c r="F41" s="59" t="s">
        <v>316</v>
      </c>
      <c r="G41" s="58" t="s">
        <v>317</v>
      </c>
      <c r="H41" s="60" t="s">
        <v>178</v>
      </c>
      <c r="I41" s="60" t="s">
        <v>192</v>
      </c>
      <c r="J41" s="80">
        <v>98.74</v>
      </c>
      <c r="K41" s="66">
        <v>0</v>
      </c>
      <c r="L41" s="102">
        <v>0</v>
      </c>
      <c r="M41" s="66">
        <v>10035</v>
      </c>
      <c r="N41" s="101">
        <v>-1</v>
      </c>
      <c r="O41" s="64">
        <v>907045</v>
      </c>
      <c r="P41" s="64">
        <v>179048</v>
      </c>
      <c r="Q41" s="64">
        <v>107383</v>
      </c>
      <c r="R41" s="62">
        <v>94532</v>
      </c>
      <c r="S41" s="104">
        <v>0</v>
      </c>
      <c r="T41" s="103">
        <v>3614</v>
      </c>
      <c r="U41" s="72">
        <v>0</v>
      </c>
      <c r="V41" s="72">
        <v>0</v>
      </c>
    </row>
    <row r="42" spans="1:22">
      <c r="A42" s="50" t="s">
        <v>1132</v>
      </c>
      <c r="B42" s="51" t="s">
        <v>1133</v>
      </c>
      <c r="C42" s="50" t="s">
        <v>424</v>
      </c>
      <c r="D42" s="50">
        <v>18</v>
      </c>
      <c r="E42" s="51" t="s">
        <v>994</v>
      </c>
      <c r="F42" s="59" t="s">
        <v>238</v>
      </c>
      <c r="G42" s="58" t="s">
        <v>239</v>
      </c>
      <c r="H42" s="60" t="s">
        <v>178</v>
      </c>
      <c r="I42" s="60" t="s">
        <v>192</v>
      </c>
      <c r="J42" s="80">
        <v>69.95</v>
      </c>
      <c r="K42" s="66">
        <v>0</v>
      </c>
      <c r="L42" s="102">
        <v>0</v>
      </c>
      <c r="M42" s="66">
        <v>86982</v>
      </c>
      <c r="N42" s="101">
        <v>15</v>
      </c>
      <c r="O42" s="64">
        <v>405697</v>
      </c>
      <c r="P42" s="64">
        <v>1498269</v>
      </c>
      <c r="Q42" s="64">
        <v>91524</v>
      </c>
      <c r="R42" s="62">
        <v>116718</v>
      </c>
      <c r="S42" s="104">
        <v>741</v>
      </c>
      <c r="T42" s="103">
        <v>0</v>
      </c>
      <c r="U42" s="72">
        <v>0</v>
      </c>
      <c r="V42" s="72">
        <v>0</v>
      </c>
    </row>
    <row r="43" spans="1:22">
      <c r="A43" s="50" t="s">
        <v>1017</v>
      </c>
      <c r="B43" s="51" t="s">
        <v>1018</v>
      </c>
      <c r="C43" s="50" t="s">
        <v>424</v>
      </c>
      <c r="D43" s="50">
        <v>55</v>
      </c>
      <c r="E43" s="51" t="s">
        <v>1033</v>
      </c>
      <c r="F43" s="59" t="s">
        <v>356</v>
      </c>
      <c r="G43" s="58" t="s">
        <v>357</v>
      </c>
      <c r="H43" s="60" t="s">
        <v>178</v>
      </c>
      <c r="I43" s="60" t="s">
        <v>192</v>
      </c>
      <c r="J43" s="80">
        <v>94.53</v>
      </c>
      <c r="K43" s="66">
        <v>0</v>
      </c>
      <c r="L43" s="102">
        <v>0</v>
      </c>
      <c r="M43" s="66">
        <v>44942</v>
      </c>
      <c r="N43" s="101">
        <v>1057</v>
      </c>
      <c r="O43" s="64">
        <v>664325</v>
      </c>
      <c r="P43" s="64">
        <v>18177</v>
      </c>
      <c r="Q43" s="64">
        <v>81381</v>
      </c>
      <c r="R43" s="62">
        <v>73086</v>
      </c>
      <c r="S43" s="104">
        <v>57470</v>
      </c>
      <c r="T43" s="103">
        <v>672</v>
      </c>
      <c r="U43" s="72">
        <v>0</v>
      </c>
      <c r="V43" s="72">
        <v>0</v>
      </c>
    </row>
    <row r="44" spans="1:22">
      <c r="A44" s="50" t="s">
        <v>1017</v>
      </c>
      <c r="B44" s="51" t="s">
        <v>1018</v>
      </c>
      <c r="C44" s="50" t="s">
        <v>424</v>
      </c>
      <c r="D44" s="50">
        <v>85</v>
      </c>
      <c r="E44" s="51" t="s">
        <v>606</v>
      </c>
      <c r="F44" s="59" t="s">
        <v>228</v>
      </c>
      <c r="G44" s="58" t="s">
        <v>229</v>
      </c>
      <c r="H44" s="60" t="s">
        <v>178</v>
      </c>
      <c r="I44" s="60" t="s">
        <v>191</v>
      </c>
      <c r="J44" s="80">
        <v>107.81</v>
      </c>
      <c r="K44" s="66">
        <v>0</v>
      </c>
      <c r="L44" s="102">
        <v>0</v>
      </c>
      <c r="M44" s="66">
        <v>53395</v>
      </c>
      <c r="N44" s="101">
        <v>1535</v>
      </c>
      <c r="O44" s="64">
        <v>886372</v>
      </c>
      <c r="P44" s="64">
        <v>60135</v>
      </c>
      <c r="Q44" s="64">
        <v>152899</v>
      </c>
      <c r="R44" s="62">
        <v>164401</v>
      </c>
      <c r="S44" s="104">
        <v>19498</v>
      </c>
      <c r="T44" s="103">
        <v>11502</v>
      </c>
      <c r="U44" s="72">
        <v>0</v>
      </c>
      <c r="V44" s="72">
        <v>0</v>
      </c>
    </row>
    <row r="45" spans="1:22">
      <c r="A45" s="50" t="s">
        <v>1224</v>
      </c>
      <c r="B45" s="51" t="s">
        <v>1225</v>
      </c>
      <c r="C45" s="50" t="s">
        <v>424</v>
      </c>
      <c r="D45" s="50">
        <v>27</v>
      </c>
      <c r="E45" s="51" t="s">
        <v>1227</v>
      </c>
      <c r="F45" s="59" t="s">
        <v>212</v>
      </c>
      <c r="G45" s="58" t="s">
        <v>213</v>
      </c>
      <c r="H45" s="60" t="s">
        <v>178</v>
      </c>
      <c r="I45" s="60" t="s">
        <v>191</v>
      </c>
      <c r="J45" s="80">
        <v>40.46</v>
      </c>
      <c r="K45" s="66">
        <v>0</v>
      </c>
      <c r="L45" s="102">
        <v>0</v>
      </c>
      <c r="M45" s="66">
        <v>12167</v>
      </c>
      <c r="N45" s="101">
        <v>33</v>
      </c>
      <c r="O45" s="64">
        <v>229095</v>
      </c>
      <c r="P45" s="64">
        <v>91935</v>
      </c>
      <c r="Q45" s="64">
        <v>51325</v>
      </c>
      <c r="R45" s="62">
        <v>191836</v>
      </c>
      <c r="S45" s="104">
        <v>737</v>
      </c>
      <c r="T45" s="103">
        <v>0</v>
      </c>
      <c r="U45" s="72">
        <v>0</v>
      </c>
      <c r="V45" s="72">
        <v>0</v>
      </c>
    </row>
    <row r="46" spans="1:22">
      <c r="A46" s="50" t="s">
        <v>1224</v>
      </c>
      <c r="B46" s="51" t="s">
        <v>1225</v>
      </c>
      <c r="C46" s="50" t="s">
        <v>424</v>
      </c>
      <c r="D46" s="50">
        <v>27</v>
      </c>
      <c r="E46" s="51" t="s">
        <v>1227</v>
      </c>
      <c r="F46" s="59" t="s">
        <v>310</v>
      </c>
      <c r="G46" s="58" t="s">
        <v>311</v>
      </c>
      <c r="H46" s="60" t="s">
        <v>178</v>
      </c>
      <c r="I46" s="60" t="s">
        <v>191</v>
      </c>
      <c r="J46" s="80">
        <v>29.15</v>
      </c>
      <c r="K46" s="66">
        <v>0</v>
      </c>
      <c r="L46" s="102">
        <v>0</v>
      </c>
      <c r="M46" s="66">
        <v>4911</v>
      </c>
      <c r="N46" s="101">
        <v>0</v>
      </c>
      <c r="O46" s="64">
        <v>229433</v>
      </c>
      <c r="P46" s="64">
        <v>50497</v>
      </c>
      <c r="Q46" s="64">
        <v>43860</v>
      </c>
      <c r="R46" s="62">
        <v>15365</v>
      </c>
      <c r="S46" s="104">
        <v>0</v>
      </c>
      <c r="T46" s="103">
        <v>0</v>
      </c>
      <c r="U46" s="72">
        <v>0</v>
      </c>
      <c r="V46" s="72">
        <v>0</v>
      </c>
    </row>
    <row r="47" spans="1:22">
      <c r="A47" s="50" t="s">
        <v>1224</v>
      </c>
      <c r="B47" s="51" t="s">
        <v>1225</v>
      </c>
      <c r="C47" s="50" t="s">
        <v>424</v>
      </c>
      <c r="D47" s="50">
        <v>62</v>
      </c>
      <c r="E47" s="51" t="s">
        <v>785</v>
      </c>
      <c r="F47" s="59" t="s">
        <v>222</v>
      </c>
      <c r="G47" s="58" t="s">
        <v>223</v>
      </c>
      <c r="H47" s="60" t="s">
        <v>178</v>
      </c>
      <c r="I47" s="60" t="s">
        <v>190</v>
      </c>
      <c r="J47" s="80">
        <v>174.46</v>
      </c>
      <c r="K47" s="66">
        <v>0</v>
      </c>
      <c r="L47" s="102">
        <v>0</v>
      </c>
      <c r="M47" s="66">
        <v>145654</v>
      </c>
      <c r="N47" s="101">
        <v>0</v>
      </c>
      <c r="O47" s="64">
        <v>1215108</v>
      </c>
      <c r="P47" s="64">
        <v>169535</v>
      </c>
      <c r="Q47" s="64">
        <v>258913</v>
      </c>
      <c r="R47" s="62">
        <v>92763</v>
      </c>
      <c r="S47" s="104">
        <v>0</v>
      </c>
      <c r="T47" s="103">
        <v>0</v>
      </c>
      <c r="U47" s="72">
        <v>0</v>
      </c>
      <c r="V47" s="72">
        <v>0</v>
      </c>
    </row>
    <row r="48" spans="1:22">
      <c r="A48" s="50" t="s">
        <v>1166</v>
      </c>
      <c r="B48" s="51" t="s">
        <v>1167</v>
      </c>
      <c r="C48" s="50" t="s">
        <v>424</v>
      </c>
      <c r="D48" s="50">
        <v>42</v>
      </c>
      <c r="E48" s="51" t="s">
        <v>821</v>
      </c>
      <c r="F48" s="59" t="s">
        <v>104</v>
      </c>
      <c r="G48" s="58" t="s">
        <v>105</v>
      </c>
      <c r="H48" s="60" t="s">
        <v>178</v>
      </c>
      <c r="I48" s="60" t="s">
        <v>191</v>
      </c>
      <c r="J48" s="80">
        <v>67.83</v>
      </c>
      <c r="K48" s="66">
        <v>0</v>
      </c>
      <c r="L48" s="102">
        <v>0</v>
      </c>
      <c r="M48" s="66">
        <v>33965</v>
      </c>
      <c r="N48" s="101">
        <v>0</v>
      </c>
      <c r="O48" s="64">
        <v>382040</v>
      </c>
      <c r="P48" s="64">
        <v>61918</v>
      </c>
      <c r="Q48" s="64">
        <v>131716</v>
      </c>
      <c r="R48" s="62">
        <v>102874</v>
      </c>
      <c r="S48" s="104">
        <v>0</v>
      </c>
      <c r="T48" s="103">
        <v>23906</v>
      </c>
      <c r="U48" s="72">
        <v>0</v>
      </c>
      <c r="V48" s="72">
        <v>0</v>
      </c>
    </row>
    <row r="49" spans="1:22">
      <c r="A49" s="50" t="s">
        <v>1224</v>
      </c>
      <c r="B49" s="51" t="s">
        <v>1225</v>
      </c>
      <c r="C49" s="50" t="s">
        <v>424</v>
      </c>
      <c r="D49" s="50">
        <v>62</v>
      </c>
      <c r="E49" s="51" t="s">
        <v>785</v>
      </c>
      <c r="F49" s="59" t="s">
        <v>368</v>
      </c>
      <c r="G49" s="58" t="s">
        <v>369</v>
      </c>
      <c r="H49" s="60" t="s">
        <v>178</v>
      </c>
      <c r="I49" s="60" t="s">
        <v>191</v>
      </c>
      <c r="J49" s="80">
        <v>200.81</v>
      </c>
      <c r="K49" s="66">
        <v>0</v>
      </c>
      <c r="L49" s="102">
        <v>0</v>
      </c>
      <c r="M49" s="66">
        <v>26545</v>
      </c>
      <c r="N49" s="101">
        <v>2076</v>
      </c>
      <c r="O49" s="64">
        <v>1508060</v>
      </c>
      <c r="P49" s="64">
        <v>202826</v>
      </c>
      <c r="Q49" s="64">
        <v>299005</v>
      </c>
      <c r="R49" s="62">
        <v>94865</v>
      </c>
      <c r="S49" s="104">
        <v>20950</v>
      </c>
      <c r="T49" s="103">
        <v>17785</v>
      </c>
      <c r="U49" s="72">
        <v>0</v>
      </c>
      <c r="V49" s="72">
        <v>0</v>
      </c>
    </row>
    <row r="50" spans="1:22">
      <c r="A50" s="50" t="s">
        <v>1224</v>
      </c>
      <c r="B50" s="51" t="s">
        <v>1225</v>
      </c>
      <c r="C50" s="50" t="s">
        <v>424</v>
      </c>
      <c r="D50" s="50">
        <v>62</v>
      </c>
      <c r="E50" s="51" t="s">
        <v>785</v>
      </c>
      <c r="F50" s="59" t="s">
        <v>290</v>
      </c>
      <c r="G50" s="58" t="s">
        <v>291</v>
      </c>
      <c r="H50" s="60" t="s">
        <v>178</v>
      </c>
      <c r="I50" s="60" t="s">
        <v>192</v>
      </c>
      <c r="J50" s="80">
        <v>486.14</v>
      </c>
      <c r="K50" s="66">
        <v>0</v>
      </c>
      <c r="L50" s="102">
        <v>0</v>
      </c>
      <c r="M50" s="66">
        <v>864437</v>
      </c>
      <c r="N50" s="101">
        <v>12528</v>
      </c>
      <c r="O50" s="64">
        <v>2928319</v>
      </c>
      <c r="P50" s="64">
        <v>171005</v>
      </c>
      <c r="Q50" s="64">
        <v>807159</v>
      </c>
      <c r="R50" s="62">
        <v>207337</v>
      </c>
      <c r="S50" s="104">
        <v>142522</v>
      </c>
      <c r="T50" s="103">
        <v>72901</v>
      </c>
      <c r="U50" s="72">
        <v>0</v>
      </c>
      <c r="V50" s="72">
        <v>0</v>
      </c>
    </row>
    <row r="51" spans="1:22">
      <c r="A51" s="50" t="s">
        <v>1224</v>
      </c>
      <c r="B51" s="51" t="s">
        <v>1225</v>
      </c>
      <c r="C51" s="50" t="s">
        <v>424</v>
      </c>
      <c r="D51" s="50">
        <v>62</v>
      </c>
      <c r="E51" s="51" t="s">
        <v>785</v>
      </c>
      <c r="F51" s="59" t="s">
        <v>304</v>
      </c>
      <c r="G51" s="58" t="s">
        <v>305</v>
      </c>
      <c r="H51" s="60" t="s">
        <v>178</v>
      </c>
      <c r="I51" s="60" t="s">
        <v>192</v>
      </c>
      <c r="J51" s="80">
        <v>223.32</v>
      </c>
      <c r="K51" s="66">
        <v>0</v>
      </c>
      <c r="L51" s="102">
        <v>0</v>
      </c>
      <c r="M51" s="66">
        <v>119210</v>
      </c>
      <c r="N51" s="101">
        <v>4489</v>
      </c>
      <c r="O51" s="64">
        <v>1886683</v>
      </c>
      <c r="P51" s="64">
        <v>117237</v>
      </c>
      <c r="Q51" s="64">
        <v>300745</v>
      </c>
      <c r="R51" s="62">
        <v>240509</v>
      </c>
      <c r="S51" s="104">
        <v>82731</v>
      </c>
      <c r="T51" s="103">
        <v>0</v>
      </c>
      <c r="U51" s="72">
        <v>0</v>
      </c>
      <c r="V51" s="72">
        <v>0</v>
      </c>
    </row>
    <row r="52" spans="1:22">
      <c r="A52" s="50" t="s">
        <v>1224</v>
      </c>
      <c r="B52" s="51" t="s">
        <v>1225</v>
      </c>
      <c r="C52" s="50" t="s">
        <v>424</v>
      </c>
      <c r="D52" s="50">
        <v>27</v>
      </c>
      <c r="E52" s="51" t="s">
        <v>1227</v>
      </c>
      <c r="F52" s="59" t="s">
        <v>298</v>
      </c>
      <c r="G52" s="58" t="s">
        <v>299</v>
      </c>
      <c r="H52" s="60" t="s">
        <v>178</v>
      </c>
      <c r="I52" s="60" t="s">
        <v>190</v>
      </c>
      <c r="J52" s="80">
        <v>201.25</v>
      </c>
      <c r="K52" s="66">
        <v>0</v>
      </c>
      <c r="L52" s="102">
        <v>0</v>
      </c>
      <c r="M52" s="66">
        <v>91331</v>
      </c>
      <c r="N52" s="101">
        <v>3263</v>
      </c>
      <c r="O52" s="64">
        <v>1887375</v>
      </c>
      <c r="P52" s="64">
        <v>219439</v>
      </c>
      <c r="Q52" s="64">
        <v>227151</v>
      </c>
      <c r="R52" s="62">
        <v>120847</v>
      </c>
      <c r="S52" s="104">
        <v>75719</v>
      </c>
      <c r="T52" s="103">
        <v>0</v>
      </c>
      <c r="U52" s="72">
        <v>0</v>
      </c>
      <c r="V52" s="72">
        <v>0</v>
      </c>
    </row>
    <row r="53" spans="1:22">
      <c r="A53" s="50" t="s">
        <v>1224</v>
      </c>
      <c r="B53" s="51" t="s">
        <v>1225</v>
      </c>
      <c r="C53" s="50" t="s">
        <v>424</v>
      </c>
      <c r="D53" s="50">
        <v>27</v>
      </c>
      <c r="E53" s="51" t="s">
        <v>1227</v>
      </c>
      <c r="F53" s="59" t="s">
        <v>459</v>
      </c>
      <c r="G53" s="58" t="s">
        <v>460</v>
      </c>
      <c r="H53" s="60" t="s">
        <v>178</v>
      </c>
      <c r="I53" s="60" t="s">
        <v>190</v>
      </c>
      <c r="J53" s="80">
        <v>512.75</v>
      </c>
      <c r="K53" s="66">
        <v>0</v>
      </c>
      <c r="L53" s="102">
        <v>0</v>
      </c>
      <c r="M53" s="66">
        <v>122843</v>
      </c>
      <c r="N53" s="101">
        <v>9528</v>
      </c>
      <c r="O53" s="64">
        <v>4291060</v>
      </c>
      <c r="P53" s="64">
        <v>159015</v>
      </c>
      <c r="Q53" s="64">
        <v>662619</v>
      </c>
      <c r="R53" s="62">
        <v>232478</v>
      </c>
      <c r="S53" s="104">
        <v>303958</v>
      </c>
      <c r="T53" s="103">
        <v>1357</v>
      </c>
      <c r="U53" s="72">
        <v>0</v>
      </c>
      <c r="V53" s="72">
        <v>0</v>
      </c>
    </row>
    <row r="54" spans="1:22">
      <c r="A54" s="50" t="s">
        <v>1132</v>
      </c>
      <c r="B54" s="51" t="s">
        <v>1133</v>
      </c>
      <c r="C54" s="50" t="s">
        <v>424</v>
      </c>
      <c r="D54" s="50">
        <v>11</v>
      </c>
      <c r="E54" s="51" t="s">
        <v>1134</v>
      </c>
      <c r="F54" s="59" t="s">
        <v>218</v>
      </c>
      <c r="G54" s="58" t="s">
        <v>219</v>
      </c>
      <c r="H54" s="60" t="s">
        <v>178</v>
      </c>
      <c r="I54" s="60" t="s">
        <v>190</v>
      </c>
      <c r="J54" s="80">
        <v>383.46</v>
      </c>
      <c r="K54" s="66">
        <v>0</v>
      </c>
      <c r="L54" s="102">
        <v>0</v>
      </c>
      <c r="M54" s="66">
        <v>101985</v>
      </c>
      <c r="N54" s="101">
        <v>7337</v>
      </c>
      <c r="O54" s="64">
        <v>3288908</v>
      </c>
      <c r="P54" s="64">
        <v>77933</v>
      </c>
      <c r="Q54" s="64">
        <v>478551</v>
      </c>
      <c r="R54" s="62">
        <v>358707</v>
      </c>
      <c r="S54" s="104">
        <v>219706</v>
      </c>
      <c r="T54" s="103">
        <v>7195</v>
      </c>
      <c r="U54" s="72">
        <v>0</v>
      </c>
      <c r="V54" s="72">
        <v>0</v>
      </c>
    </row>
    <row r="55" spans="1:22">
      <c r="A55" s="50" t="s">
        <v>1017</v>
      </c>
      <c r="B55" s="51" t="s">
        <v>1018</v>
      </c>
      <c r="C55" s="50" t="s">
        <v>424</v>
      </c>
      <c r="D55" s="50">
        <v>66</v>
      </c>
      <c r="E55" s="51" t="s">
        <v>808</v>
      </c>
      <c r="F55" s="59" t="s">
        <v>342</v>
      </c>
      <c r="G55" s="58" t="s">
        <v>343</v>
      </c>
      <c r="H55" s="60" t="s">
        <v>178</v>
      </c>
      <c r="I55" s="60" t="s">
        <v>190</v>
      </c>
      <c r="J55" s="80">
        <v>522.32000000000005</v>
      </c>
      <c r="K55" s="66">
        <v>0</v>
      </c>
      <c r="L55" s="102">
        <v>0</v>
      </c>
      <c r="M55" s="66">
        <v>150017</v>
      </c>
      <c r="N55" s="101">
        <v>14262</v>
      </c>
      <c r="O55" s="64">
        <v>4456183</v>
      </c>
      <c r="P55" s="64">
        <v>121858</v>
      </c>
      <c r="Q55" s="64">
        <v>756867</v>
      </c>
      <c r="R55" s="62">
        <v>304569</v>
      </c>
      <c r="S55" s="104">
        <v>318130</v>
      </c>
      <c r="T55" s="103">
        <v>29611</v>
      </c>
      <c r="U55" s="72">
        <v>0</v>
      </c>
      <c r="V55" s="72">
        <v>0</v>
      </c>
    </row>
    <row r="56" spans="1:22">
      <c r="A56" s="50" t="s">
        <v>1017</v>
      </c>
      <c r="B56" s="51" t="s">
        <v>1018</v>
      </c>
      <c r="C56" s="50" t="s">
        <v>424</v>
      </c>
      <c r="D56" s="50">
        <v>85</v>
      </c>
      <c r="E56" s="51" t="s">
        <v>606</v>
      </c>
      <c r="F56" s="59" t="s">
        <v>467</v>
      </c>
      <c r="G56" s="58" t="s">
        <v>468</v>
      </c>
      <c r="H56" s="60" t="s">
        <v>178</v>
      </c>
      <c r="I56" s="60" t="s">
        <v>190</v>
      </c>
      <c r="J56" s="80">
        <v>63.41</v>
      </c>
      <c r="K56" s="66">
        <v>0</v>
      </c>
      <c r="L56" s="102">
        <v>0</v>
      </c>
      <c r="M56" s="66">
        <v>10624</v>
      </c>
      <c r="N56" s="101">
        <v>351</v>
      </c>
      <c r="O56" s="64">
        <v>500197</v>
      </c>
      <c r="P56" s="64">
        <v>76757</v>
      </c>
      <c r="Q56" s="64">
        <v>41954</v>
      </c>
      <c r="R56" s="62">
        <v>13406</v>
      </c>
      <c r="S56" s="104">
        <v>3577</v>
      </c>
      <c r="T56" s="103">
        <v>547</v>
      </c>
      <c r="U56" s="72">
        <v>0</v>
      </c>
      <c r="V56" s="72">
        <v>0</v>
      </c>
    </row>
    <row r="57" spans="1:22">
      <c r="A57" s="50" t="s">
        <v>1218</v>
      </c>
      <c r="B57" s="51" t="s">
        <v>1219</v>
      </c>
      <c r="C57" s="50" t="s">
        <v>424</v>
      </c>
      <c r="D57" s="50">
        <v>69</v>
      </c>
      <c r="E57" s="51" t="s">
        <v>651</v>
      </c>
      <c r="F57" s="59" t="s">
        <v>246</v>
      </c>
      <c r="G57" s="58" t="s">
        <v>247</v>
      </c>
      <c r="H57" s="60" t="s">
        <v>178</v>
      </c>
      <c r="I57" s="60" t="s">
        <v>191</v>
      </c>
      <c r="J57" s="80">
        <v>231.48</v>
      </c>
      <c r="K57" s="66">
        <v>0</v>
      </c>
      <c r="L57" s="102">
        <v>0</v>
      </c>
      <c r="M57" s="66">
        <v>33067</v>
      </c>
      <c r="N57" s="101">
        <v>0</v>
      </c>
      <c r="O57" s="64">
        <v>1273465</v>
      </c>
      <c r="P57" s="64">
        <v>225438</v>
      </c>
      <c r="Q57" s="64">
        <v>274721</v>
      </c>
      <c r="R57" s="62">
        <v>31063</v>
      </c>
      <c r="S57" s="104">
        <v>0</v>
      </c>
      <c r="T57" s="103">
        <v>34466</v>
      </c>
      <c r="U57" s="72">
        <v>0</v>
      </c>
      <c r="V57" s="72">
        <v>0</v>
      </c>
    </row>
    <row r="58" spans="1:22">
      <c r="A58" s="50" t="s">
        <v>1218</v>
      </c>
      <c r="B58" s="51" t="s">
        <v>1219</v>
      </c>
      <c r="C58" s="50" t="s">
        <v>424</v>
      </c>
      <c r="D58" s="50">
        <v>69</v>
      </c>
      <c r="E58" s="51" t="s">
        <v>651</v>
      </c>
      <c r="F58" s="59" t="s">
        <v>320</v>
      </c>
      <c r="G58" s="58" t="s">
        <v>321</v>
      </c>
      <c r="H58" s="60" t="s">
        <v>178</v>
      </c>
      <c r="I58" s="60" t="s">
        <v>191</v>
      </c>
      <c r="J58" s="80">
        <v>55.78</v>
      </c>
      <c r="K58" s="66">
        <v>0</v>
      </c>
      <c r="L58" s="102">
        <v>0</v>
      </c>
      <c r="M58" s="66">
        <v>21161</v>
      </c>
      <c r="N58" s="101">
        <v>344</v>
      </c>
      <c r="O58" s="64">
        <v>305109</v>
      </c>
      <c r="P58" s="64">
        <v>3402</v>
      </c>
      <c r="Q58" s="64">
        <v>85874</v>
      </c>
      <c r="R58" s="62">
        <v>0</v>
      </c>
      <c r="S58" s="104">
        <v>1030</v>
      </c>
      <c r="T58" s="103">
        <v>35870</v>
      </c>
      <c r="U58" s="72">
        <v>0</v>
      </c>
      <c r="V58" s="72">
        <v>0</v>
      </c>
    </row>
    <row r="59" spans="1:22">
      <c r="A59" s="50" t="s">
        <v>1224</v>
      </c>
      <c r="B59" s="51" t="s">
        <v>1225</v>
      </c>
      <c r="C59" s="50" t="s">
        <v>424</v>
      </c>
      <c r="D59" s="50">
        <v>27</v>
      </c>
      <c r="E59" s="51" t="s">
        <v>1227</v>
      </c>
      <c r="F59" s="59" t="s">
        <v>314</v>
      </c>
      <c r="G59" s="58" t="s">
        <v>315</v>
      </c>
      <c r="H59" s="60" t="s">
        <v>178</v>
      </c>
      <c r="I59" s="60" t="s">
        <v>191</v>
      </c>
      <c r="J59" s="80">
        <v>82.84</v>
      </c>
      <c r="K59" s="66">
        <v>0</v>
      </c>
      <c r="L59" s="102">
        <v>0</v>
      </c>
      <c r="M59" s="66">
        <v>47603</v>
      </c>
      <c r="N59" s="101">
        <v>1309</v>
      </c>
      <c r="O59" s="64">
        <v>550009</v>
      </c>
      <c r="P59" s="64">
        <v>53718</v>
      </c>
      <c r="Q59" s="64">
        <v>101607</v>
      </c>
      <c r="R59" s="62">
        <v>59497</v>
      </c>
      <c r="S59" s="104">
        <v>15626</v>
      </c>
      <c r="T59" s="103">
        <v>14761</v>
      </c>
      <c r="U59" s="72">
        <v>0</v>
      </c>
      <c r="V59" s="72">
        <v>0</v>
      </c>
    </row>
    <row r="60" spans="1:22">
      <c r="A60" s="50" t="s">
        <v>1224</v>
      </c>
      <c r="B60" s="51" t="s">
        <v>1225</v>
      </c>
      <c r="C60" s="50" t="s">
        <v>424</v>
      </c>
      <c r="D60" s="50">
        <v>27</v>
      </c>
      <c r="E60" s="51" t="s">
        <v>1227</v>
      </c>
      <c r="F60" s="59" t="s">
        <v>308</v>
      </c>
      <c r="G60" s="58" t="s">
        <v>309</v>
      </c>
      <c r="H60" s="60" t="s">
        <v>178</v>
      </c>
      <c r="I60" s="60" t="s">
        <v>191</v>
      </c>
      <c r="J60" s="80">
        <v>75.14</v>
      </c>
      <c r="K60" s="66">
        <v>0</v>
      </c>
      <c r="L60" s="102">
        <v>0</v>
      </c>
      <c r="M60" s="66">
        <v>9097</v>
      </c>
      <c r="N60" s="101">
        <v>495</v>
      </c>
      <c r="O60" s="64">
        <v>616680</v>
      </c>
      <c r="P60" s="64">
        <v>54215</v>
      </c>
      <c r="Q60" s="64">
        <v>81600</v>
      </c>
      <c r="R60" s="62">
        <v>100454</v>
      </c>
      <c r="S60" s="104">
        <v>10934</v>
      </c>
      <c r="T60" s="103">
        <v>1362</v>
      </c>
      <c r="U60" s="72">
        <v>0</v>
      </c>
      <c r="V60" s="72">
        <v>0</v>
      </c>
    </row>
    <row r="61" spans="1:22">
      <c r="A61" s="50" t="s">
        <v>1224</v>
      </c>
      <c r="B61" s="51" t="s">
        <v>1225</v>
      </c>
      <c r="C61" s="50" t="s">
        <v>424</v>
      </c>
      <c r="D61" s="50">
        <v>62</v>
      </c>
      <c r="E61" s="51" t="s">
        <v>785</v>
      </c>
      <c r="F61" s="59" t="s">
        <v>306</v>
      </c>
      <c r="G61" s="58" t="s">
        <v>307</v>
      </c>
      <c r="H61" s="60" t="s">
        <v>178</v>
      </c>
      <c r="I61" s="60" t="s">
        <v>191</v>
      </c>
      <c r="J61" s="80">
        <v>64.17</v>
      </c>
      <c r="K61" s="66">
        <v>0</v>
      </c>
      <c r="L61" s="102">
        <v>0</v>
      </c>
      <c r="M61" s="66">
        <v>30400</v>
      </c>
      <c r="N61" s="101">
        <v>1</v>
      </c>
      <c r="O61" s="64">
        <v>504703</v>
      </c>
      <c r="P61" s="64">
        <v>90107</v>
      </c>
      <c r="Q61" s="64">
        <v>71295</v>
      </c>
      <c r="R61" s="62">
        <v>50214</v>
      </c>
      <c r="S61" s="104">
        <v>0</v>
      </c>
      <c r="T61" s="103">
        <v>0</v>
      </c>
      <c r="U61" s="72">
        <v>0</v>
      </c>
      <c r="V61" s="72">
        <v>0</v>
      </c>
    </row>
    <row r="62" spans="1:22">
      <c r="A62" s="50" t="s">
        <v>1224</v>
      </c>
      <c r="B62" s="51" t="s">
        <v>1225</v>
      </c>
      <c r="C62" s="50" t="s">
        <v>424</v>
      </c>
      <c r="D62" s="50">
        <v>27</v>
      </c>
      <c r="E62" s="51" t="s">
        <v>1227</v>
      </c>
      <c r="F62" s="59" t="s">
        <v>244</v>
      </c>
      <c r="G62" s="58" t="s">
        <v>245</v>
      </c>
      <c r="H62" s="60" t="s">
        <v>178</v>
      </c>
      <c r="I62" s="60" t="s">
        <v>191</v>
      </c>
      <c r="J62" s="80">
        <v>361.24</v>
      </c>
      <c r="K62" s="66">
        <v>0</v>
      </c>
      <c r="L62" s="102">
        <v>0</v>
      </c>
      <c r="M62" s="66">
        <v>46393</v>
      </c>
      <c r="N62" s="101">
        <v>-1</v>
      </c>
      <c r="O62" s="64">
        <v>1760469</v>
      </c>
      <c r="P62" s="64">
        <v>0</v>
      </c>
      <c r="Q62" s="64">
        <v>401280</v>
      </c>
      <c r="R62" s="62">
        <v>133263</v>
      </c>
      <c r="S62" s="104">
        <v>0</v>
      </c>
      <c r="T62" s="103">
        <v>227450</v>
      </c>
      <c r="U62" s="72">
        <v>0</v>
      </c>
      <c r="V62" s="72">
        <v>0</v>
      </c>
    </row>
    <row r="63" spans="1:22">
      <c r="A63" s="50" t="s">
        <v>1017</v>
      </c>
      <c r="B63" s="51" t="s">
        <v>1018</v>
      </c>
      <c r="C63" s="50" t="s">
        <v>424</v>
      </c>
      <c r="D63" s="50">
        <v>66</v>
      </c>
      <c r="E63" s="51" t="s">
        <v>808</v>
      </c>
      <c r="F63" s="59" t="s">
        <v>138</v>
      </c>
      <c r="G63" s="58" t="s">
        <v>139</v>
      </c>
      <c r="H63" s="60" t="s">
        <v>178</v>
      </c>
      <c r="I63" s="60" t="s">
        <v>192</v>
      </c>
      <c r="J63" s="80">
        <v>147.69999999999999</v>
      </c>
      <c r="K63" s="66">
        <v>0</v>
      </c>
      <c r="L63" s="102">
        <v>0</v>
      </c>
      <c r="M63" s="66">
        <v>4725</v>
      </c>
      <c r="N63" s="101">
        <v>3190</v>
      </c>
      <c r="O63" s="64">
        <v>1232154</v>
      </c>
      <c r="P63" s="64">
        <v>151537</v>
      </c>
      <c r="Q63" s="64">
        <v>282863</v>
      </c>
      <c r="R63" s="62">
        <v>189544</v>
      </c>
      <c r="S63" s="104">
        <v>64693</v>
      </c>
      <c r="T63" s="103">
        <v>576</v>
      </c>
      <c r="U63" s="72">
        <v>0</v>
      </c>
      <c r="V63" s="72">
        <v>0</v>
      </c>
    </row>
    <row r="64" spans="1:22">
      <c r="A64" s="50" t="s">
        <v>1224</v>
      </c>
      <c r="B64" s="51" t="s">
        <v>1225</v>
      </c>
      <c r="C64" s="50" t="s">
        <v>424</v>
      </c>
      <c r="D64" s="50">
        <v>27</v>
      </c>
      <c r="E64" s="51" t="s">
        <v>1227</v>
      </c>
      <c r="F64" s="59" t="s">
        <v>220</v>
      </c>
      <c r="G64" s="58" t="s">
        <v>221</v>
      </c>
      <c r="H64" s="60" t="s">
        <v>178</v>
      </c>
      <c r="I64" s="60" t="s">
        <v>191</v>
      </c>
      <c r="J64" s="80">
        <v>165.6</v>
      </c>
      <c r="K64" s="66">
        <v>0</v>
      </c>
      <c r="L64" s="102">
        <v>0</v>
      </c>
      <c r="M64" s="66">
        <v>117852</v>
      </c>
      <c r="N64" s="101">
        <v>0</v>
      </c>
      <c r="O64" s="64">
        <v>1159767</v>
      </c>
      <c r="P64" s="64">
        <v>112207</v>
      </c>
      <c r="Q64" s="64">
        <v>141364</v>
      </c>
      <c r="R64" s="62">
        <v>25204</v>
      </c>
      <c r="S64" s="104">
        <v>0</v>
      </c>
      <c r="T64" s="103">
        <v>0</v>
      </c>
      <c r="U64" s="72">
        <v>0</v>
      </c>
      <c r="V64" s="72">
        <v>0</v>
      </c>
    </row>
    <row r="65" spans="1:22">
      <c r="A65" s="50" t="s">
        <v>954</v>
      </c>
      <c r="B65" s="51" t="s">
        <v>955</v>
      </c>
      <c r="C65" s="50" t="s">
        <v>424</v>
      </c>
      <c r="D65" s="50">
        <v>43</v>
      </c>
      <c r="E65" s="51" t="s">
        <v>832</v>
      </c>
      <c r="F65" s="59" t="s">
        <v>266</v>
      </c>
      <c r="G65" s="58" t="s">
        <v>267</v>
      </c>
      <c r="H65" s="60" t="s">
        <v>178</v>
      </c>
      <c r="I65" s="60" t="s">
        <v>192</v>
      </c>
      <c r="J65" s="80">
        <v>130.93</v>
      </c>
      <c r="K65" s="66">
        <v>0</v>
      </c>
      <c r="L65" s="102">
        <v>0</v>
      </c>
      <c r="M65" s="66">
        <v>47902</v>
      </c>
      <c r="N65" s="101">
        <v>1529</v>
      </c>
      <c r="O65" s="64">
        <v>1242956</v>
      </c>
      <c r="P65" s="64">
        <v>6043</v>
      </c>
      <c r="Q65" s="64">
        <v>286662</v>
      </c>
      <c r="R65" s="62">
        <v>202808</v>
      </c>
      <c r="S65" s="104">
        <v>50527</v>
      </c>
      <c r="T65" s="103">
        <v>0</v>
      </c>
      <c r="U65" s="72">
        <v>0</v>
      </c>
      <c r="V65" s="72">
        <v>0</v>
      </c>
    </row>
    <row r="66" spans="1:22">
      <c r="A66" s="50" t="s">
        <v>1224</v>
      </c>
      <c r="B66" s="51" t="s">
        <v>1225</v>
      </c>
      <c r="C66" s="50" t="s">
        <v>424</v>
      </c>
      <c r="D66" s="50">
        <v>62</v>
      </c>
      <c r="E66" s="51" t="s">
        <v>785</v>
      </c>
      <c r="F66" s="59" t="s">
        <v>280</v>
      </c>
      <c r="G66" s="58" t="s">
        <v>281</v>
      </c>
      <c r="H66" s="60" t="s">
        <v>178</v>
      </c>
      <c r="I66" s="60" t="s">
        <v>191</v>
      </c>
      <c r="J66" s="80">
        <v>257.62</v>
      </c>
      <c r="K66" s="66">
        <v>0</v>
      </c>
      <c r="L66" s="102">
        <v>0</v>
      </c>
      <c r="M66" s="66">
        <v>4000</v>
      </c>
      <c r="N66" s="101">
        <v>4735</v>
      </c>
      <c r="O66" s="64">
        <v>1520424</v>
      </c>
      <c r="P66" s="64">
        <v>64463</v>
      </c>
      <c r="Q66" s="64">
        <v>413685</v>
      </c>
      <c r="R66" s="62">
        <v>250456</v>
      </c>
      <c r="S66" s="104">
        <v>51524</v>
      </c>
      <c r="T66" s="103">
        <v>11955</v>
      </c>
      <c r="U66" s="72">
        <v>0</v>
      </c>
      <c r="V66" s="72">
        <v>0</v>
      </c>
    </row>
    <row r="67" spans="1:22">
      <c r="A67" s="50" t="s">
        <v>1224</v>
      </c>
      <c r="B67" s="51" t="s">
        <v>1225</v>
      </c>
      <c r="C67" s="50" t="s">
        <v>424</v>
      </c>
      <c r="D67" s="50">
        <v>19</v>
      </c>
      <c r="E67" s="51" t="s">
        <v>1233</v>
      </c>
      <c r="F67" s="59" t="s">
        <v>232</v>
      </c>
      <c r="G67" s="58" t="s">
        <v>233</v>
      </c>
      <c r="H67" s="60" t="s">
        <v>178</v>
      </c>
      <c r="I67" s="60" t="s">
        <v>191</v>
      </c>
      <c r="J67" s="80">
        <v>191.5</v>
      </c>
      <c r="K67" s="66">
        <v>0</v>
      </c>
      <c r="L67" s="102">
        <v>0</v>
      </c>
      <c r="M67" s="66">
        <v>310577</v>
      </c>
      <c r="N67" s="101">
        <v>0</v>
      </c>
      <c r="O67" s="64">
        <v>1316715</v>
      </c>
      <c r="P67" s="64">
        <v>126805</v>
      </c>
      <c r="Q67" s="64">
        <v>302182</v>
      </c>
      <c r="R67" s="62">
        <v>141754</v>
      </c>
      <c r="S67" s="104">
        <v>0</v>
      </c>
      <c r="T67" s="103">
        <v>0</v>
      </c>
      <c r="U67" s="72">
        <v>0</v>
      </c>
      <c r="V67" s="72">
        <v>0</v>
      </c>
    </row>
    <row r="68" spans="1:22">
      <c r="A68" s="50" t="s">
        <v>1218</v>
      </c>
      <c r="B68" s="51" t="s">
        <v>1219</v>
      </c>
      <c r="C68" s="50" t="s">
        <v>424</v>
      </c>
      <c r="D68" s="50">
        <v>16</v>
      </c>
      <c r="E68" s="51" t="s">
        <v>1163</v>
      </c>
      <c r="F68" s="59" t="s">
        <v>302</v>
      </c>
      <c r="G68" s="58" t="s">
        <v>303</v>
      </c>
      <c r="H68" s="60" t="s">
        <v>178</v>
      </c>
      <c r="I68" s="60" t="s">
        <v>191</v>
      </c>
      <c r="J68" s="80">
        <v>280.27999999999997</v>
      </c>
      <c r="K68" s="66">
        <v>0</v>
      </c>
      <c r="L68" s="102">
        <v>0</v>
      </c>
      <c r="M68" s="66">
        <v>47313</v>
      </c>
      <c r="N68" s="101">
        <v>0</v>
      </c>
      <c r="O68" s="64">
        <v>1797418</v>
      </c>
      <c r="P68" s="64">
        <v>148719</v>
      </c>
      <c r="Q68" s="64">
        <v>422715</v>
      </c>
      <c r="R68" s="62">
        <v>65104</v>
      </c>
      <c r="S68" s="104">
        <v>0</v>
      </c>
      <c r="T68" s="103">
        <v>0</v>
      </c>
      <c r="U68" s="72">
        <v>0</v>
      </c>
      <c r="V68" s="72">
        <v>0</v>
      </c>
    </row>
    <row r="69" spans="1:22">
      <c r="A69" s="50" t="s">
        <v>1224</v>
      </c>
      <c r="B69" s="51" t="s">
        <v>1225</v>
      </c>
      <c r="C69" s="50" t="s">
        <v>424</v>
      </c>
      <c r="D69" s="50">
        <v>62</v>
      </c>
      <c r="E69" s="51" t="s">
        <v>785</v>
      </c>
      <c r="F69" s="59" t="s">
        <v>433</v>
      </c>
      <c r="G69" s="58" t="s">
        <v>434</v>
      </c>
      <c r="H69" s="60" t="s">
        <v>178</v>
      </c>
      <c r="I69" s="60" t="s">
        <v>190</v>
      </c>
      <c r="J69" s="80">
        <v>65.150000000000006</v>
      </c>
      <c r="K69" s="66">
        <v>0</v>
      </c>
      <c r="L69" s="102">
        <v>0</v>
      </c>
      <c r="M69" s="66">
        <v>157746</v>
      </c>
      <c r="N69" s="101">
        <v>472</v>
      </c>
      <c r="O69" s="64">
        <v>69773</v>
      </c>
      <c r="P69" s="64">
        <v>2173881</v>
      </c>
      <c r="Q69" s="64">
        <v>105930</v>
      </c>
      <c r="R69" s="62">
        <v>106240</v>
      </c>
      <c r="S69" s="104">
        <v>6896</v>
      </c>
      <c r="T69" s="103">
        <v>7587</v>
      </c>
      <c r="U69" s="72">
        <v>0</v>
      </c>
      <c r="V69" s="72">
        <v>0</v>
      </c>
    </row>
    <row r="70" spans="1:22">
      <c r="A70" s="50" t="s">
        <v>1224</v>
      </c>
      <c r="B70" s="51" t="s">
        <v>1225</v>
      </c>
      <c r="C70" s="50" t="s">
        <v>424</v>
      </c>
      <c r="D70" s="50">
        <v>27</v>
      </c>
      <c r="E70" s="51" t="s">
        <v>1227</v>
      </c>
      <c r="F70" s="59" t="s">
        <v>278</v>
      </c>
      <c r="G70" s="58" t="s">
        <v>279</v>
      </c>
      <c r="H70" s="60" t="s">
        <v>178</v>
      </c>
      <c r="I70" s="60" t="s">
        <v>191</v>
      </c>
      <c r="J70" s="80">
        <v>43.2</v>
      </c>
      <c r="K70" s="66">
        <v>0</v>
      </c>
      <c r="L70" s="102">
        <v>0</v>
      </c>
      <c r="M70" s="66">
        <v>20604</v>
      </c>
      <c r="N70" s="101">
        <v>0</v>
      </c>
      <c r="O70" s="64">
        <v>276673</v>
      </c>
      <c r="P70" s="64">
        <v>11446</v>
      </c>
      <c r="Q70" s="64">
        <v>90331</v>
      </c>
      <c r="R70" s="62">
        <v>184578</v>
      </c>
      <c r="S70" s="104">
        <v>0</v>
      </c>
      <c r="T70" s="103">
        <v>0</v>
      </c>
      <c r="U70" s="72">
        <v>0</v>
      </c>
      <c r="V70" s="72">
        <v>0</v>
      </c>
    </row>
    <row r="71" spans="1:22">
      <c r="A71" s="50" t="s">
        <v>1224</v>
      </c>
      <c r="B71" s="51" t="s">
        <v>1225</v>
      </c>
      <c r="C71" s="50" t="s">
        <v>424</v>
      </c>
      <c r="D71" s="50">
        <v>2</v>
      </c>
      <c r="E71" s="51" t="s">
        <v>1236</v>
      </c>
      <c r="F71" s="59" t="s">
        <v>242</v>
      </c>
      <c r="G71" s="58" t="s">
        <v>243</v>
      </c>
      <c r="H71" s="60" t="s">
        <v>178</v>
      </c>
      <c r="I71" s="60" t="s">
        <v>192</v>
      </c>
      <c r="J71" s="80">
        <v>112.07</v>
      </c>
      <c r="K71" s="66">
        <v>0</v>
      </c>
      <c r="L71" s="102">
        <v>0</v>
      </c>
      <c r="M71" s="66">
        <v>69020</v>
      </c>
      <c r="N71" s="101">
        <v>3902</v>
      </c>
      <c r="O71" s="64">
        <v>941101</v>
      </c>
      <c r="P71" s="64">
        <v>73419</v>
      </c>
      <c r="Q71" s="64">
        <v>150550</v>
      </c>
      <c r="R71" s="62">
        <v>150033</v>
      </c>
      <c r="S71" s="104">
        <v>52884</v>
      </c>
      <c r="T71" s="103">
        <v>3425</v>
      </c>
      <c r="U71" s="72">
        <v>0</v>
      </c>
      <c r="V71" s="72">
        <v>0</v>
      </c>
    </row>
    <row r="72" spans="1:22">
      <c r="A72" s="50" t="s">
        <v>1224</v>
      </c>
      <c r="B72" s="51" t="s">
        <v>1225</v>
      </c>
      <c r="C72" s="50" t="s">
        <v>424</v>
      </c>
      <c r="D72" s="50">
        <v>27</v>
      </c>
      <c r="E72" s="51" t="s">
        <v>1227</v>
      </c>
      <c r="F72" s="59" t="s">
        <v>216</v>
      </c>
      <c r="G72" s="58" t="s">
        <v>217</v>
      </c>
      <c r="H72" s="60" t="s">
        <v>178</v>
      </c>
      <c r="I72" s="60" t="s">
        <v>192</v>
      </c>
      <c r="J72" s="80">
        <v>423.75</v>
      </c>
      <c r="K72" s="66">
        <v>0</v>
      </c>
      <c r="L72" s="102">
        <v>0</v>
      </c>
      <c r="M72" s="66">
        <v>49959</v>
      </c>
      <c r="N72" s="101">
        <v>23387</v>
      </c>
      <c r="O72" s="64">
        <v>4176083</v>
      </c>
      <c r="P72" s="64">
        <v>192597</v>
      </c>
      <c r="Q72" s="64">
        <v>275197</v>
      </c>
      <c r="R72" s="62">
        <v>279764</v>
      </c>
      <c r="S72" s="104">
        <v>149193</v>
      </c>
      <c r="T72" s="103">
        <v>30692</v>
      </c>
      <c r="U72" s="72">
        <v>0</v>
      </c>
      <c r="V72" s="72">
        <v>-46337.59</v>
      </c>
    </row>
    <row r="73" spans="1:22">
      <c r="A73" s="50" t="s">
        <v>1258</v>
      </c>
      <c r="B73" s="51" t="s">
        <v>1259</v>
      </c>
      <c r="C73" s="50" t="s">
        <v>424</v>
      </c>
      <c r="D73" s="50">
        <v>4</v>
      </c>
      <c r="E73" s="51" t="s">
        <v>1260</v>
      </c>
      <c r="F73" s="59" t="s">
        <v>437</v>
      </c>
      <c r="G73" s="58" t="s">
        <v>438</v>
      </c>
      <c r="H73" s="60" t="s">
        <v>178</v>
      </c>
      <c r="I73" s="60" t="s">
        <v>191</v>
      </c>
      <c r="J73" s="80">
        <v>103.42</v>
      </c>
      <c r="K73" s="66">
        <v>0</v>
      </c>
      <c r="L73" s="102">
        <v>0</v>
      </c>
      <c r="M73" s="66">
        <v>39731</v>
      </c>
      <c r="N73" s="101">
        <v>0</v>
      </c>
      <c r="O73" s="64">
        <v>757240</v>
      </c>
      <c r="P73" s="64">
        <v>117703</v>
      </c>
      <c r="Q73" s="64">
        <v>144916</v>
      </c>
      <c r="R73" s="62">
        <v>32705</v>
      </c>
      <c r="S73" s="104">
        <v>0</v>
      </c>
      <c r="T73" s="103">
        <v>0</v>
      </c>
      <c r="U73" s="72">
        <v>0</v>
      </c>
      <c r="V73" s="72">
        <v>0</v>
      </c>
    </row>
    <row r="74" spans="1:22">
      <c r="A74" s="50" t="s">
        <v>1258</v>
      </c>
      <c r="B74" s="51" t="s">
        <v>1259</v>
      </c>
      <c r="C74" s="50" t="s">
        <v>424</v>
      </c>
      <c r="D74" s="50">
        <v>4</v>
      </c>
      <c r="E74" s="51" t="s">
        <v>1260</v>
      </c>
      <c r="F74" s="59" t="s">
        <v>214</v>
      </c>
      <c r="G74" s="58" t="s">
        <v>215</v>
      </c>
      <c r="H74" s="60" t="s">
        <v>178</v>
      </c>
      <c r="I74" s="60" t="s">
        <v>190</v>
      </c>
      <c r="J74" s="80">
        <v>23.5</v>
      </c>
      <c r="K74" s="66">
        <v>0</v>
      </c>
      <c r="L74" s="102">
        <v>0</v>
      </c>
      <c r="M74" s="66">
        <v>112939</v>
      </c>
      <c r="N74" s="101">
        <v>239</v>
      </c>
      <c r="O74" s="64">
        <v>34223</v>
      </c>
      <c r="P74" s="64">
        <v>523489</v>
      </c>
      <c r="Q74" s="64">
        <v>29902</v>
      </c>
      <c r="R74" s="62">
        <v>11253</v>
      </c>
      <c r="S74" s="104">
        <v>3430</v>
      </c>
      <c r="T74" s="103">
        <v>4451</v>
      </c>
      <c r="U74" s="72">
        <v>0</v>
      </c>
      <c r="V74" s="72">
        <v>0</v>
      </c>
    </row>
    <row r="75" spans="1:22">
      <c r="A75" s="50" t="s">
        <v>1224</v>
      </c>
      <c r="B75" s="51" t="s">
        <v>1225</v>
      </c>
      <c r="C75" s="50" t="s">
        <v>424</v>
      </c>
      <c r="D75" s="50">
        <v>62</v>
      </c>
      <c r="E75" s="51" t="s">
        <v>785</v>
      </c>
      <c r="F75" s="59" t="s">
        <v>114</v>
      </c>
      <c r="G75" s="58" t="s">
        <v>115</v>
      </c>
      <c r="H75" s="60" t="s">
        <v>178</v>
      </c>
      <c r="I75" s="60" t="s">
        <v>192</v>
      </c>
      <c r="J75" s="80">
        <v>93.84</v>
      </c>
      <c r="K75" s="66">
        <v>0</v>
      </c>
      <c r="L75" s="102">
        <v>0</v>
      </c>
      <c r="M75" s="66">
        <v>10785</v>
      </c>
      <c r="N75" s="101">
        <v>-1</v>
      </c>
      <c r="O75" s="64">
        <v>675472</v>
      </c>
      <c r="P75" s="64">
        <v>9760</v>
      </c>
      <c r="Q75" s="64">
        <v>72134</v>
      </c>
      <c r="R75" s="62">
        <v>122772</v>
      </c>
      <c r="S75" s="104">
        <v>0</v>
      </c>
      <c r="T75" s="103">
        <v>0</v>
      </c>
      <c r="U75" s="72">
        <v>0</v>
      </c>
      <c r="V75" s="72">
        <v>0</v>
      </c>
    </row>
    <row r="76" spans="1:22">
      <c r="A76" s="50" t="s">
        <v>1224</v>
      </c>
      <c r="B76" s="51" t="s">
        <v>1225</v>
      </c>
      <c r="C76" s="50" t="s">
        <v>424</v>
      </c>
      <c r="D76" s="50">
        <v>62</v>
      </c>
      <c r="E76" s="51" t="s">
        <v>785</v>
      </c>
      <c r="F76" s="59" t="s">
        <v>449</v>
      </c>
      <c r="G76" s="58" t="s">
        <v>450</v>
      </c>
      <c r="H76" s="60" t="s">
        <v>178</v>
      </c>
      <c r="I76" s="60" t="s">
        <v>192</v>
      </c>
      <c r="J76" s="80">
        <v>1346.13</v>
      </c>
      <c r="K76" s="66">
        <v>0</v>
      </c>
      <c r="L76" s="102">
        <v>0</v>
      </c>
      <c r="M76" s="66">
        <v>361509</v>
      </c>
      <c r="N76" s="101">
        <v>13379</v>
      </c>
      <c r="O76" s="64">
        <v>10472542</v>
      </c>
      <c r="P76" s="64">
        <v>456761</v>
      </c>
      <c r="Q76" s="64">
        <v>1240160</v>
      </c>
      <c r="R76" s="62">
        <v>721653</v>
      </c>
      <c r="S76" s="104">
        <v>262703</v>
      </c>
      <c r="T76" s="103">
        <v>0</v>
      </c>
      <c r="U76" s="72">
        <v>0</v>
      </c>
      <c r="V76" s="72">
        <v>0</v>
      </c>
    </row>
    <row r="77" spans="1:22">
      <c r="A77" s="50" t="s">
        <v>1224</v>
      </c>
      <c r="B77" s="51" t="s">
        <v>1225</v>
      </c>
      <c r="C77" s="50" t="s">
        <v>424</v>
      </c>
      <c r="D77" s="50">
        <v>27</v>
      </c>
      <c r="E77" s="51" t="s">
        <v>1227</v>
      </c>
      <c r="F77" s="59" t="s">
        <v>354</v>
      </c>
      <c r="G77" s="58" t="s">
        <v>355</v>
      </c>
      <c r="H77" s="60" t="s">
        <v>178</v>
      </c>
      <c r="I77" s="60" t="s">
        <v>192</v>
      </c>
      <c r="J77" s="80">
        <v>291.36</v>
      </c>
      <c r="K77" s="66">
        <v>0</v>
      </c>
      <c r="L77" s="102">
        <v>0</v>
      </c>
      <c r="M77" s="66">
        <v>140828</v>
      </c>
      <c r="N77" s="101">
        <v>5240</v>
      </c>
      <c r="O77" s="64">
        <v>2742385</v>
      </c>
      <c r="P77" s="64">
        <v>124375</v>
      </c>
      <c r="Q77" s="64">
        <v>268218</v>
      </c>
      <c r="R77" s="62">
        <v>156952</v>
      </c>
      <c r="S77" s="104">
        <v>156965</v>
      </c>
      <c r="T77" s="103">
        <v>0</v>
      </c>
      <c r="U77" s="72">
        <v>0</v>
      </c>
      <c r="V77" s="72">
        <v>0</v>
      </c>
    </row>
    <row r="78" spans="1:22">
      <c r="A78" s="50" t="s">
        <v>1224</v>
      </c>
      <c r="B78" s="51" t="s">
        <v>1225</v>
      </c>
      <c r="C78" s="50" t="s">
        <v>424</v>
      </c>
      <c r="D78" s="50">
        <v>27</v>
      </c>
      <c r="E78" s="51" t="s">
        <v>1227</v>
      </c>
      <c r="F78" s="59" t="s">
        <v>124</v>
      </c>
      <c r="G78" s="58" t="s">
        <v>125</v>
      </c>
      <c r="H78" s="60" t="s">
        <v>178</v>
      </c>
      <c r="I78" s="60" t="s">
        <v>191</v>
      </c>
      <c r="J78" s="80">
        <v>92.32</v>
      </c>
      <c r="K78" s="66">
        <v>0</v>
      </c>
      <c r="L78" s="102">
        <v>0</v>
      </c>
      <c r="M78" s="66">
        <v>26635</v>
      </c>
      <c r="N78" s="101">
        <v>1525</v>
      </c>
      <c r="O78" s="64">
        <v>643308</v>
      </c>
      <c r="P78" s="64">
        <v>50474</v>
      </c>
      <c r="Q78" s="64">
        <v>149781</v>
      </c>
      <c r="R78" s="62">
        <v>796358</v>
      </c>
      <c r="S78" s="104">
        <v>40769</v>
      </c>
      <c r="T78" s="103">
        <v>7176</v>
      </c>
      <c r="U78" s="72">
        <v>0</v>
      </c>
      <c r="V78" s="72">
        <v>0</v>
      </c>
    </row>
    <row r="79" spans="1:22">
      <c r="A79" s="50" t="s">
        <v>1224</v>
      </c>
      <c r="B79" s="51" t="s">
        <v>1225</v>
      </c>
      <c r="C79" s="50" t="s">
        <v>424</v>
      </c>
      <c r="D79" s="50">
        <v>62</v>
      </c>
      <c r="E79" s="51" t="s">
        <v>785</v>
      </c>
      <c r="F79" s="59" t="s">
        <v>322</v>
      </c>
      <c r="G79" s="58" t="s">
        <v>323</v>
      </c>
      <c r="H79" s="60" t="s">
        <v>178</v>
      </c>
      <c r="I79" s="60" t="s">
        <v>191</v>
      </c>
      <c r="J79" s="80">
        <v>153.97999999999999</v>
      </c>
      <c r="K79" s="66">
        <v>0</v>
      </c>
      <c r="L79" s="102">
        <v>0</v>
      </c>
      <c r="M79" s="66">
        <v>36999</v>
      </c>
      <c r="N79" s="101">
        <v>0</v>
      </c>
      <c r="O79" s="64">
        <v>809548</v>
      </c>
      <c r="P79" s="64">
        <v>103865</v>
      </c>
      <c r="Q79" s="64">
        <v>198983</v>
      </c>
      <c r="R79" s="62">
        <v>55550</v>
      </c>
      <c r="S79" s="104">
        <v>0</v>
      </c>
      <c r="T79" s="103">
        <v>7011</v>
      </c>
      <c r="U79" s="72">
        <v>0</v>
      </c>
      <c r="V79" s="72">
        <v>0</v>
      </c>
    </row>
    <row r="80" spans="1:22">
      <c r="A80" s="50" t="s">
        <v>1224</v>
      </c>
      <c r="B80" s="51" t="s">
        <v>1225</v>
      </c>
      <c r="C80" s="50" t="s">
        <v>424</v>
      </c>
      <c r="D80" s="50">
        <v>27</v>
      </c>
      <c r="E80" s="51" t="s">
        <v>1227</v>
      </c>
      <c r="F80" s="59" t="s">
        <v>202</v>
      </c>
      <c r="G80" s="58" t="s">
        <v>203</v>
      </c>
      <c r="H80" s="60" t="s">
        <v>178</v>
      </c>
      <c r="I80" s="60" t="s">
        <v>191</v>
      </c>
      <c r="J80" s="80">
        <v>145.19</v>
      </c>
      <c r="K80" s="66">
        <v>0</v>
      </c>
      <c r="L80" s="102">
        <v>0</v>
      </c>
      <c r="M80" s="66">
        <v>90261</v>
      </c>
      <c r="N80" s="101">
        <v>1010</v>
      </c>
      <c r="O80" s="64">
        <v>1058385</v>
      </c>
      <c r="P80" s="64">
        <v>87845</v>
      </c>
      <c r="Q80" s="64">
        <v>140289</v>
      </c>
      <c r="R80" s="62">
        <v>50937</v>
      </c>
      <c r="S80" s="104">
        <v>10784</v>
      </c>
      <c r="T80" s="103">
        <v>17447</v>
      </c>
      <c r="U80" s="72">
        <v>0</v>
      </c>
      <c r="V80" s="72">
        <v>0</v>
      </c>
    </row>
    <row r="81" spans="1:22">
      <c r="A81" s="50" t="s">
        <v>1224</v>
      </c>
      <c r="B81" s="51" t="s">
        <v>1225</v>
      </c>
      <c r="C81" s="50" t="s">
        <v>424</v>
      </c>
      <c r="D81" s="50">
        <v>27</v>
      </c>
      <c r="E81" s="51" t="s">
        <v>1227</v>
      </c>
      <c r="F81" s="59" t="s">
        <v>376</v>
      </c>
      <c r="G81" s="58" t="s">
        <v>377</v>
      </c>
      <c r="H81" s="60" t="s">
        <v>178</v>
      </c>
      <c r="I81" s="60" t="s">
        <v>192</v>
      </c>
      <c r="J81" s="80">
        <v>125.09</v>
      </c>
      <c r="K81" s="66">
        <v>0</v>
      </c>
      <c r="L81" s="102">
        <v>0</v>
      </c>
      <c r="M81" s="66">
        <v>7304</v>
      </c>
      <c r="N81" s="101">
        <v>2103</v>
      </c>
      <c r="O81" s="64">
        <v>790237</v>
      </c>
      <c r="P81" s="64">
        <v>108026</v>
      </c>
      <c r="Q81" s="64">
        <v>75756</v>
      </c>
      <c r="R81" s="62">
        <v>48777</v>
      </c>
      <c r="S81" s="104">
        <v>31491</v>
      </c>
      <c r="T81" s="103">
        <v>11388</v>
      </c>
      <c r="U81" s="72">
        <v>0</v>
      </c>
      <c r="V81" s="72">
        <v>0</v>
      </c>
    </row>
    <row r="82" spans="1:22">
      <c r="A82" s="50" t="s">
        <v>1224</v>
      </c>
      <c r="B82" s="51" t="s">
        <v>1225</v>
      </c>
      <c r="C82" s="50" t="s">
        <v>424</v>
      </c>
      <c r="D82" s="50">
        <v>27</v>
      </c>
      <c r="E82" s="51" t="s">
        <v>1227</v>
      </c>
      <c r="F82" s="59" t="s">
        <v>134</v>
      </c>
      <c r="G82" s="58" t="s">
        <v>135</v>
      </c>
      <c r="H82" s="60" t="s">
        <v>178</v>
      </c>
      <c r="I82" s="60" t="s">
        <v>191</v>
      </c>
      <c r="J82" s="80">
        <v>79.739999999999995</v>
      </c>
      <c r="K82" s="66">
        <v>0</v>
      </c>
      <c r="L82" s="102">
        <v>0</v>
      </c>
      <c r="M82" s="66">
        <v>12824</v>
      </c>
      <c r="N82" s="101">
        <v>750</v>
      </c>
      <c r="O82" s="64">
        <v>414207</v>
      </c>
      <c r="P82" s="64">
        <v>50632</v>
      </c>
      <c r="Q82" s="64">
        <v>139159</v>
      </c>
      <c r="R82" s="62">
        <v>198058</v>
      </c>
      <c r="S82" s="104">
        <v>4546</v>
      </c>
      <c r="T82" s="103">
        <v>17627</v>
      </c>
      <c r="U82" s="72">
        <v>0</v>
      </c>
      <c r="V82" s="72">
        <v>0</v>
      </c>
    </row>
    <row r="83" spans="1:22">
      <c r="A83" s="50" t="s">
        <v>1224</v>
      </c>
      <c r="B83" s="51" t="s">
        <v>1225</v>
      </c>
      <c r="C83" s="50" t="s">
        <v>424</v>
      </c>
      <c r="D83" s="50">
        <v>82</v>
      </c>
      <c r="E83" s="51" t="s">
        <v>583</v>
      </c>
      <c r="F83" s="59" t="s">
        <v>429</v>
      </c>
      <c r="G83" s="58" t="s">
        <v>430</v>
      </c>
      <c r="H83" s="60" t="s">
        <v>178</v>
      </c>
      <c r="I83" s="60" t="s">
        <v>191</v>
      </c>
      <c r="J83" s="80">
        <v>120.68</v>
      </c>
      <c r="K83" s="66">
        <v>0</v>
      </c>
      <c r="L83" s="102">
        <v>0</v>
      </c>
      <c r="M83" s="66">
        <v>27088</v>
      </c>
      <c r="N83" s="101">
        <v>2131</v>
      </c>
      <c r="O83" s="64">
        <v>811300</v>
      </c>
      <c r="P83" s="64">
        <v>149230</v>
      </c>
      <c r="Q83" s="64">
        <v>182641</v>
      </c>
      <c r="R83" s="62">
        <v>58652</v>
      </c>
      <c r="S83" s="104">
        <v>25797</v>
      </c>
      <c r="T83" s="103">
        <v>21310</v>
      </c>
      <c r="U83" s="72">
        <v>0</v>
      </c>
      <c r="V83" s="72">
        <v>0</v>
      </c>
    </row>
    <row r="84" spans="1:22">
      <c r="A84" s="50" t="s">
        <v>1080</v>
      </c>
      <c r="B84" s="51" t="s">
        <v>1081</v>
      </c>
      <c r="C84" s="50" t="s">
        <v>424</v>
      </c>
      <c r="D84" s="50">
        <v>71</v>
      </c>
      <c r="E84" s="51" t="s">
        <v>683</v>
      </c>
      <c r="F84" s="59" t="s">
        <v>288</v>
      </c>
      <c r="G84" s="58" t="s">
        <v>289</v>
      </c>
      <c r="H84" s="60" t="s">
        <v>178</v>
      </c>
      <c r="I84" s="60" t="s">
        <v>192</v>
      </c>
      <c r="J84" s="80">
        <v>298.32</v>
      </c>
      <c r="K84" s="66">
        <v>0</v>
      </c>
      <c r="L84" s="102">
        <v>0</v>
      </c>
      <c r="M84" s="66">
        <v>18327</v>
      </c>
      <c r="N84" s="101">
        <v>8165</v>
      </c>
      <c r="O84" s="64">
        <v>2267916</v>
      </c>
      <c r="P84" s="64">
        <v>93239</v>
      </c>
      <c r="Q84" s="64">
        <v>475700</v>
      </c>
      <c r="R84" s="62">
        <v>207850</v>
      </c>
      <c r="S84" s="104">
        <v>110098</v>
      </c>
      <c r="T84" s="103">
        <v>1379</v>
      </c>
      <c r="U84" s="72">
        <v>0</v>
      </c>
      <c r="V84" s="72">
        <v>0</v>
      </c>
    </row>
    <row r="85" spans="1:22">
      <c r="A85" s="50" t="s">
        <v>1224</v>
      </c>
      <c r="B85" s="51" t="s">
        <v>1225</v>
      </c>
      <c r="C85" s="50" t="s">
        <v>424</v>
      </c>
      <c r="D85" s="50">
        <v>19</v>
      </c>
      <c r="E85" s="51" t="s">
        <v>1233</v>
      </c>
      <c r="F85" s="59" t="s">
        <v>126</v>
      </c>
      <c r="G85" s="58" t="s">
        <v>127</v>
      </c>
      <c r="H85" s="60" t="s">
        <v>178</v>
      </c>
      <c r="I85" s="60" t="s">
        <v>192</v>
      </c>
      <c r="J85" s="80">
        <v>77.25</v>
      </c>
      <c r="K85" s="66">
        <v>0</v>
      </c>
      <c r="L85" s="102">
        <v>0</v>
      </c>
      <c r="M85" s="66">
        <v>238518</v>
      </c>
      <c r="N85" s="101">
        <v>1635</v>
      </c>
      <c r="O85" s="64">
        <v>413664</v>
      </c>
      <c r="P85" s="64">
        <v>40284</v>
      </c>
      <c r="Q85" s="64">
        <v>114703</v>
      </c>
      <c r="R85" s="62">
        <v>37856</v>
      </c>
      <c r="S85" s="104">
        <v>17845</v>
      </c>
      <c r="T85" s="103">
        <v>2515</v>
      </c>
      <c r="U85" s="72">
        <v>0</v>
      </c>
      <c r="V85" s="72">
        <v>0</v>
      </c>
    </row>
    <row r="86" spans="1:22">
      <c r="A86" s="50" t="s">
        <v>1224</v>
      </c>
      <c r="B86" s="51" t="s">
        <v>1225</v>
      </c>
      <c r="C86" s="50" t="s">
        <v>424</v>
      </c>
      <c r="D86" s="50">
        <v>82</v>
      </c>
      <c r="E86" s="51" t="s">
        <v>583</v>
      </c>
      <c r="F86" s="59" t="s">
        <v>463</v>
      </c>
      <c r="G86" s="58" t="s">
        <v>464</v>
      </c>
      <c r="H86" s="60" t="s">
        <v>178</v>
      </c>
      <c r="I86" s="60" t="s">
        <v>190</v>
      </c>
      <c r="J86" s="80">
        <v>342.09</v>
      </c>
      <c r="K86" s="66">
        <v>0</v>
      </c>
      <c r="L86" s="102">
        <v>0</v>
      </c>
      <c r="M86" s="66">
        <v>19581</v>
      </c>
      <c r="N86" s="101">
        <v>8855</v>
      </c>
      <c r="O86" s="64">
        <v>2800782</v>
      </c>
      <c r="P86" s="64">
        <v>249393</v>
      </c>
      <c r="Q86" s="64">
        <v>648505</v>
      </c>
      <c r="R86" s="62">
        <v>244725</v>
      </c>
      <c r="S86" s="104">
        <v>168657</v>
      </c>
      <c r="T86" s="103">
        <v>5513</v>
      </c>
      <c r="U86" s="72">
        <v>0</v>
      </c>
      <c r="V86" s="72">
        <v>0</v>
      </c>
    </row>
    <row r="87" spans="1:22">
      <c r="A87" s="50" t="s">
        <v>1224</v>
      </c>
      <c r="B87" s="51" t="s">
        <v>1225</v>
      </c>
      <c r="C87" s="50" t="s">
        <v>424</v>
      </c>
      <c r="D87" s="50">
        <v>27</v>
      </c>
      <c r="E87" s="51" t="s">
        <v>1227</v>
      </c>
      <c r="F87" s="59" t="s">
        <v>441</v>
      </c>
      <c r="G87" s="58" t="s">
        <v>442</v>
      </c>
      <c r="H87" s="60" t="s">
        <v>178</v>
      </c>
      <c r="I87" s="60" t="s">
        <v>192</v>
      </c>
      <c r="J87" s="80">
        <v>248.26</v>
      </c>
      <c r="K87" s="66">
        <v>0</v>
      </c>
      <c r="L87" s="102">
        <v>0</v>
      </c>
      <c r="M87" s="66">
        <v>1372264</v>
      </c>
      <c r="N87" s="101">
        <v>9171</v>
      </c>
      <c r="O87" s="64">
        <v>1955894</v>
      </c>
      <c r="P87" s="64">
        <v>563076</v>
      </c>
      <c r="Q87" s="64">
        <v>558280</v>
      </c>
      <c r="R87" s="62">
        <v>626576</v>
      </c>
      <c r="S87" s="104">
        <v>156260</v>
      </c>
      <c r="T87" s="103">
        <v>54232</v>
      </c>
      <c r="U87" s="72">
        <v>0</v>
      </c>
      <c r="V87" s="72">
        <v>0</v>
      </c>
    </row>
    <row r="88" spans="1:22">
      <c r="A88" s="50" t="s">
        <v>1017</v>
      </c>
      <c r="B88" s="51" t="s">
        <v>1018</v>
      </c>
      <c r="C88" s="50" t="s">
        <v>424</v>
      </c>
      <c r="D88" s="50">
        <v>85</v>
      </c>
      <c r="E88" s="51" t="s">
        <v>606</v>
      </c>
      <c r="F88" s="59" t="s">
        <v>318</v>
      </c>
      <c r="G88" s="58" t="s">
        <v>319</v>
      </c>
      <c r="H88" s="60" t="s">
        <v>178</v>
      </c>
      <c r="I88" s="60" t="s">
        <v>191</v>
      </c>
      <c r="J88" s="80">
        <v>178.69</v>
      </c>
      <c r="K88" s="66">
        <v>0</v>
      </c>
      <c r="L88" s="102">
        <v>0</v>
      </c>
      <c r="M88" s="66">
        <v>133318</v>
      </c>
      <c r="N88" s="101">
        <v>0</v>
      </c>
      <c r="O88" s="64">
        <v>1185295</v>
      </c>
      <c r="P88" s="64">
        <v>187250</v>
      </c>
      <c r="Q88" s="64">
        <v>239760</v>
      </c>
      <c r="R88" s="62">
        <v>84837</v>
      </c>
      <c r="S88" s="104">
        <v>0</v>
      </c>
      <c r="T88" s="103">
        <v>39662</v>
      </c>
      <c r="U88" s="72">
        <v>0</v>
      </c>
      <c r="V88" s="72">
        <v>0</v>
      </c>
    </row>
    <row r="89" spans="1:22">
      <c r="A89" s="50" t="s">
        <v>1224</v>
      </c>
      <c r="B89" s="51" t="s">
        <v>1225</v>
      </c>
      <c r="C89" s="50" t="s">
        <v>424</v>
      </c>
      <c r="D89" s="50">
        <v>27</v>
      </c>
      <c r="E89" s="51" t="s">
        <v>1227</v>
      </c>
      <c r="F89" s="59" t="s">
        <v>366</v>
      </c>
      <c r="G89" s="58" t="s">
        <v>367</v>
      </c>
      <c r="H89" s="60" t="s">
        <v>178</v>
      </c>
      <c r="I89" s="60" t="s">
        <v>191</v>
      </c>
      <c r="J89" s="80">
        <v>260.58999999999997</v>
      </c>
      <c r="K89" s="66">
        <v>0</v>
      </c>
      <c r="L89" s="102">
        <v>0</v>
      </c>
      <c r="M89" s="66">
        <v>55342</v>
      </c>
      <c r="N89" s="101">
        <v>6881</v>
      </c>
      <c r="O89" s="64">
        <v>1410829</v>
      </c>
      <c r="P89" s="64">
        <v>184296</v>
      </c>
      <c r="Q89" s="64">
        <v>333611</v>
      </c>
      <c r="R89" s="62">
        <v>134871</v>
      </c>
      <c r="S89" s="104">
        <v>58503</v>
      </c>
      <c r="T89" s="103">
        <v>106941</v>
      </c>
      <c r="U89" s="72">
        <v>0</v>
      </c>
      <c r="V89" s="72">
        <v>0</v>
      </c>
    </row>
    <row r="90" spans="1:22">
      <c r="A90" s="50" t="s">
        <v>1166</v>
      </c>
      <c r="B90" s="51" t="s">
        <v>1167</v>
      </c>
      <c r="C90" s="50" t="s">
        <v>424</v>
      </c>
      <c r="D90" s="50">
        <v>53</v>
      </c>
      <c r="E90" s="51" t="s">
        <v>894</v>
      </c>
      <c r="F90" s="59" t="s">
        <v>108</v>
      </c>
      <c r="G90" s="58" t="s">
        <v>109</v>
      </c>
      <c r="H90" s="60" t="s">
        <v>178</v>
      </c>
      <c r="I90" s="58" t="s">
        <v>191</v>
      </c>
      <c r="J90" s="80">
        <v>106.86</v>
      </c>
      <c r="K90" s="66">
        <v>0</v>
      </c>
      <c r="L90" s="102">
        <v>0</v>
      </c>
      <c r="M90" s="66">
        <v>29399</v>
      </c>
      <c r="N90" s="101">
        <v>1170</v>
      </c>
      <c r="O90" s="64">
        <v>737935</v>
      </c>
      <c r="P90" s="64">
        <v>121398</v>
      </c>
      <c r="Q90" s="64">
        <v>187163</v>
      </c>
      <c r="R90" s="62">
        <v>236857</v>
      </c>
      <c r="S90" s="104">
        <v>14380</v>
      </c>
      <c r="T90" s="103">
        <v>7095</v>
      </c>
      <c r="U90" s="72">
        <v>0</v>
      </c>
      <c r="V90" s="72">
        <v>0</v>
      </c>
    </row>
    <row r="91" spans="1:22">
      <c r="A91" s="50" t="s">
        <v>1224</v>
      </c>
      <c r="B91" s="51" t="s">
        <v>1225</v>
      </c>
      <c r="C91" s="50" t="s">
        <v>424</v>
      </c>
      <c r="D91" s="50">
        <v>27</v>
      </c>
      <c r="E91" s="51" t="s">
        <v>1227</v>
      </c>
      <c r="F91" s="59" t="s">
        <v>312</v>
      </c>
      <c r="G91" s="58" t="s">
        <v>313</v>
      </c>
      <c r="H91" s="60" t="s">
        <v>178</v>
      </c>
      <c r="I91" s="60" t="s">
        <v>191</v>
      </c>
      <c r="J91" s="80">
        <v>153.72999999999999</v>
      </c>
      <c r="K91" s="66">
        <v>0</v>
      </c>
      <c r="L91" s="102">
        <v>0</v>
      </c>
      <c r="M91" s="66">
        <v>18822</v>
      </c>
      <c r="N91" s="101">
        <v>0</v>
      </c>
      <c r="O91" s="64">
        <v>1140672</v>
      </c>
      <c r="P91" s="64">
        <v>287624</v>
      </c>
      <c r="Q91" s="64">
        <v>216707</v>
      </c>
      <c r="R91" s="62">
        <v>300772</v>
      </c>
      <c r="S91" s="104">
        <v>0</v>
      </c>
      <c r="T91" s="103">
        <v>0</v>
      </c>
      <c r="U91" s="72">
        <v>0</v>
      </c>
      <c r="V91" s="72">
        <v>0</v>
      </c>
    </row>
    <row r="92" spans="1:22">
      <c r="A92" s="50" t="s">
        <v>1092</v>
      </c>
      <c r="B92" s="51" t="s">
        <v>1093</v>
      </c>
      <c r="C92" s="50" t="s">
        <v>424</v>
      </c>
      <c r="D92" s="50">
        <v>81</v>
      </c>
      <c r="E92" s="51" t="s">
        <v>580</v>
      </c>
      <c r="F92" s="59" t="s">
        <v>208</v>
      </c>
      <c r="G92" s="58" t="s">
        <v>209</v>
      </c>
      <c r="H92" s="60" t="s">
        <v>178</v>
      </c>
      <c r="I92" s="60" t="s">
        <v>190</v>
      </c>
      <c r="J92" s="80">
        <v>307.42</v>
      </c>
      <c r="K92" s="66">
        <v>0</v>
      </c>
      <c r="L92" s="102">
        <v>0</v>
      </c>
      <c r="M92" s="66">
        <v>74392</v>
      </c>
      <c r="N92" s="101">
        <v>2079</v>
      </c>
      <c r="O92" s="64">
        <v>1759118</v>
      </c>
      <c r="P92" s="64">
        <v>205612</v>
      </c>
      <c r="Q92" s="64">
        <v>337895</v>
      </c>
      <c r="R92" s="62">
        <v>37377</v>
      </c>
      <c r="S92" s="104">
        <v>14051</v>
      </c>
      <c r="T92" s="103">
        <v>110035</v>
      </c>
      <c r="U92" s="72">
        <v>0</v>
      </c>
      <c r="V92" s="72">
        <v>0</v>
      </c>
    </row>
    <row r="93" spans="1:22">
      <c r="A93" s="50" t="s">
        <v>1224</v>
      </c>
      <c r="B93" s="51" t="s">
        <v>1225</v>
      </c>
      <c r="C93" s="50" t="s">
        <v>424</v>
      </c>
      <c r="D93" s="50">
        <v>27</v>
      </c>
      <c r="E93" s="51" t="s">
        <v>1227</v>
      </c>
      <c r="F93" s="59" t="s">
        <v>465</v>
      </c>
      <c r="G93" s="58" t="s">
        <v>466</v>
      </c>
      <c r="H93" s="60" t="s">
        <v>178</v>
      </c>
      <c r="I93" s="60" t="s">
        <v>191</v>
      </c>
      <c r="J93" s="80">
        <v>191.5</v>
      </c>
      <c r="K93" s="66">
        <v>0</v>
      </c>
      <c r="L93" s="102">
        <v>0</v>
      </c>
      <c r="M93" s="66">
        <v>46160</v>
      </c>
      <c r="N93" s="101">
        <v>4359</v>
      </c>
      <c r="O93" s="64">
        <v>1279070</v>
      </c>
      <c r="P93" s="64">
        <v>201967</v>
      </c>
      <c r="Q93" s="64">
        <v>279417</v>
      </c>
      <c r="R93" s="62">
        <v>107716</v>
      </c>
      <c r="S93" s="104">
        <v>73495</v>
      </c>
      <c r="T93" s="103">
        <v>18518</v>
      </c>
      <c r="U93" s="72">
        <v>0</v>
      </c>
      <c r="V93" s="72">
        <v>0</v>
      </c>
    </row>
    <row r="94" spans="1:22">
      <c r="A94" s="50" t="s">
        <v>1224</v>
      </c>
      <c r="B94" s="51" t="s">
        <v>1225</v>
      </c>
      <c r="C94" s="50" t="s">
        <v>424</v>
      </c>
      <c r="D94" s="50">
        <v>62</v>
      </c>
      <c r="E94" s="51" t="s">
        <v>785</v>
      </c>
      <c r="F94" s="59" t="s">
        <v>439</v>
      </c>
      <c r="G94" s="58" t="s">
        <v>440</v>
      </c>
      <c r="H94" s="60" t="s">
        <v>178</v>
      </c>
      <c r="I94" s="60" t="s">
        <v>191</v>
      </c>
      <c r="J94" s="80">
        <v>537.41</v>
      </c>
      <c r="K94" s="66">
        <v>0</v>
      </c>
      <c r="L94" s="102">
        <v>0</v>
      </c>
      <c r="M94" s="66">
        <v>260016</v>
      </c>
      <c r="N94" s="101">
        <v>3851</v>
      </c>
      <c r="O94" s="64">
        <v>3435962</v>
      </c>
      <c r="P94" s="64">
        <v>517935</v>
      </c>
      <c r="Q94" s="64">
        <v>746494</v>
      </c>
      <c r="R94" s="62">
        <v>148067</v>
      </c>
      <c r="S94" s="104">
        <v>25511</v>
      </c>
      <c r="T94" s="103">
        <v>61410</v>
      </c>
      <c r="U94" s="72">
        <v>0</v>
      </c>
      <c r="V94" s="72">
        <v>0</v>
      </c>
    </row>
    <row r="95" spans="1:22">
      <c r="A95" s="50" t="s">
        <v>1224</v>
      </c>
      <c r="B95" s="51" t="s">
        <v>1225</v>
      </c>
      <c r="C95" s="50" t="s">
        <v>424</v>
      </c>
      <c r="D95" s="50">
        <v>27</v>
      </c>
      <c r="E95" s="51" t="s">
        <v>1227</v>
      </c>
      <c r="F95" s="59" t="s">
        <v>284</v>
      </c>
      <c r="G95" s="58" t="s">
        <v>285</v>
      </c>
      <c r="H95" s="60" t="s">
        <v>178</v>
      </c>
      <c r="I95" s="60" t="s">
        <v>191</v>
      </c>
      <c r="J95" s="80">
        <v>293.74</v>
      </c>
      <c r="K95" s="66">
        <v>0</v>
      </c>
      <c r="L95" s="102">
        <v>0</v>
      </c>
      <c r="M95" s="66">
        <v>102287</v>
      </c>
      <c r="N95" s="101">
        <v>1837</v>
      </c>
      <c r="O95" s="64">
        <v>1635280</v>
      </c>
      <c r="P95" s="64">
        <v>162171</v>
      </c>
      <c r="Q95" s="64">
        <v>509405</v>
      </c>
      <c r="R95" s="62">
        <v>214457</v>
      </c>
      <c r="S95" s="104">
        <v>14341</v>
      </c>
      <c r="T95" s="103">
        <v>95378</v>
      </c>
      <c r="U95" s="72">
        <v>0</v>
      </c>
      <c r="V95" s="72">
        <v>0</v>
      </c>
    </row>
    <row r="96" spans="1:22">
      <c r="A96" s="50" t="s">
        <v>1017</v>
      </c>
      <c r="B96" s="51" t="s">
        <v>1018</v>
      </c>
      <c r="C96" s="50" t="s">
        <v>424</v>
      </c>
      <c r="D96" s="50">
        <v>55</v>
      </c>
      <c r="E96" s="51" t="s">
        <v>1033</v>
      </c>
      <c r="F96" s="59" t="s">
        <v>206</v>
      </c>
      <c r="G96" s="58" t="s">
        <v>207</v>
      </c>
      <c r="H96" s="60" t="s">
        <v>178</v>
      </c>
      <c r="I96" s="60" t="s">
        <v>191</v>
      </c>
      <c r="J96" s="80">
        <v>197.17</v>
      </c>
      <c r="K96" s="66">
        <v>0</v>
      </c>
      <c r="L96" s="102">
        <v>0</v>
      </c>
      <c r="M96" s="66">
        <v>68845</v>
      </c>
      <c r="N96" s="101">
        <v>4816</v>
      </c>
      <c r="O96" s="64">
        <v>1665882</v>
      </c>
      <c r="P96" s="64">
        <v>79575</v>
      </c>
      <c r="Q96" s="64">
        <v>219519</v>
      </c>
      <c r="R96" s="62">
        <v>122919</v>
      </c>
      <c r="S96" s="104">
        <v>116292</v>
      </c>
      <c r="T96" s="103">
        <v>2879</v>
      </c>
      <c r="U96" s="72">
        <v>0</v>
      </c>
      <c r="V96" s="72">
        <v>0</v>
      </c>
    </row>
    <row r="97" spans="1:22">
      <c r="A97" s="50" t="s">
        <v>1224</v>
      </c>
      <c r="B97" s="51" t="s">
        <v>1225</v>
      </c>
      <c r="C97" s="50" t="s">
        <v>424</v>
      </c>
      <c r="D97" s="50">
        <v>2</v>
      </c>
      <c r="E97" s="51" t="s">
        <v>1236</v>
      </c>
      <c r="F97" s="59" t="s">
        <v>358</v>
      </c>
      <c r="G97" s="58" t="s">
        <v>359</v>
      </c>
      <c r="H97" s="60" t="s">
        <v>178</v>
      </c>
      <c r="I97" s="60" t="s">
        <v>191</v>
      </c>
      <c r="J97" s="80">
        <v>42.19</v>
      </c>
      <c r="K97" s="66">
        <v>0</v>
      </c>
      <c r="L97" s="102">
        <v>0</v>
      </c>
      <c r="M97" s="66">
        <v>10702</v>
      </c>
      <c r="N97" s="101">
        <v>0</v>
      </c>
      <c r="O97" s="64">
        <v>376949</v>
      </c>
      <c r="P97" s="64">
        <v>177074</v>
      </c>
      <c r="Q97" s="64">
        <v>39040</v>
      </c>
      <c r="R97" s="62">
        <v>46109</v>
      </c>
      <c r="S97" s="104">
        <v>0</v>
      </c>
      <c r="T97" s="103">
        <v>0</v>
      </c>
      <c r="U97" s="72">
        <v>0</v>
      </c>
      <c r="V97" s="72">
        <v>0</v>
      </c>
    </row>
    <row r="98" spans="1:22">
      <c r="A98" s="50" t="s">
        <v>1166</v>
      </c>
      <c r="B98" s="51" t="s">
        <v>1167</v>
      </c>
      <c r="C98" s="50" t="s">
        <v>424</v>
      </c>
      <c r="D98" s="50">
        <v>64</v>
      </c>
      <c r="E98" s="51" t="s">
        <v>803</v>
      </c>
      <c r="F98" s="59" t="s">
        <v>378</v>
      </c>
      <c r="G98" s="58" t="s">
        <v>197</v>
      </c>
      <c r="H98" s="60" t="s">
        <v>178</v>
      </c>
      <c r="I98" s="60" t="s">
        <v>191</v>
      </c>
      <c r="J98" s="80">
        <v>118.33</v>
      </c>
      <c r="K98" s="66">
        <v>0</v>
      </c>
      <c r="L98" s="102">
        <v>0</v>
      </c>
      <c r="M98" s="66">
        <v>87207</v>
      </c>
      <c r="N98" s="101">
        <v>1093</v>
      </c>
      <c r="O98" s="64">
        <v>625643</v>
      </c>
      <c r="P98" s="64">
        <v>124650</v>
      </c>
      <c r="Q98" s="64">
        <v>81000</v>
      </c>
      <c r="R98" s="62">
        <v>40559</v>
      </c>
      <c r="S98" s="104">
        <v>4589</v>
      </c>
      <c r="T98" s="103">
        <v>87332</v>
      </c>
      <c r="U98" s="72">
        <v>-39095.56</v>
      </c>
      <c r="V98" s="72">
        <v>0</v>
      </c>
    </row>
    <row r="99" spans="1:22">
      <c r="A99" s="50" t="s">
        <v>1224</v>
      </c>
      <c r="B99" s="51" t="s">
        <v>1225</v>
      </c>
      <c r="C99" s="50" t="s">
        <v>424</v>
      </c>
      <c r="D99" s="50">
        <v>27</v>
      </c>
      <c r="E99" s="51" t="s">
        <v>1227</v>
      </c>
      <c r="F99" s="59" t="s">
        <v>262</v>
      </c>
      <c r="G99" s="58" t="s">
        <v>263</v>
      </c>
      <c r="H99" s="60" t="s">
        <v>178</v>
      </c>
      <c r="I99" s="60" t="s">
        <v>192</v>
      </c>
      <c r="J99" s="80">
        <v>269.58999999999997</v>
      </c>
      <c r="K99" s="66">
        <v>0</v>
      </c>
      <c r="L99" s="102">
        <v>0</v>
      </c>
      <c r="M99" s="66">
        <v>54704</v>
      </c>
      <c r="N99" s="101">
        <v>5756</v>
      </c>
      <c r="O99" s="64">
        <v>2004430</v>
      </c>
      <c r="P99" s="64">
        <v>40564</v>
      </c>
      <c r="Q99" s="64">
        <v>243000</v>
      </c>
      <c r="R99" s="62">
        <v>221854</v>
      </c>
      <c r="S99" s="104">
        <v>148386</v>
      </c>
      <c r="T99" s="103">
        <v>0</v>
      </c>
      <c r="U99" s="72">
        <v>0</v>
      </c>
      <c r="V99" s="72">
        <v>0</v>
      </c>
    </row>
    <row r="100" spans="1:22">
      <c r="A100" s="50" t="s">
        <v>1224</v>
      </c>
      <c r="B100" s="51" t="s">
        <v>1225</v>
      </c>
      <c r="C100" s="50" t="s">
        <v>424</v>
      </c>
      <c r="D100" s="50">
        <v>62</v>
      </c>
      <c r="E100" s="51" t="s">
        <v>785</v>
      </c>
      <c r="F100" s="59" t="s">
        <v>122</v>
      </c>
      <c r="G100" s="58" t="s">
        <v>123</v>
      </c>
      <c r="H100" s="60" t="s">
        <v>178</v>
      </c>
      <c r="I100" s="60" t="s">
        <v>191</v>
      </c>
      <c r="J100" s="80">
        <v>31.73</v>
      </c>
      <c r="K100" s="66">
        <v>0</v>
      </c>
      <c r="L100" s="102">
        <v>0</v>
      </c>
      <c r="M100" s="66">
        <v>1886</v>
      </c>
      <c r="N100" s="101">
        <v>356</v>
      </c>
      <c r="O100" s="64">
        <v>272377</v>
      </c>
      <c r="P100" s="64">
        <v>58224</v>
      </c>
      <c r="Q100" s="64">
        <v>90183</v>
      </c>
      <c r="R100" s="62">
        <v>122561</v>
      </c>
      <c r="S100" s="104">
        <v>4278</v>
      </c>
      <c r="T100" s="103">
        <v>464</v>
      </c>
      <c r="U100" s="72">
        <v>0</v>
      </c>
      <c r="V100" s="72">
        <v>0</v>
      </c>
    </row>
    <row r="101" spans="1:22">
      <c r="A101" s="50" t="s">
        <v>1224</v>
      </c>
      <c r="B101" s="51" t="s">
        <v>1225</v>
      </c>
      <c r="C101" s="50" t="s">
        <v>424</v>
      </c>
      <c r="D101" s="50">
        <v>19</v>
      </c>
      <c r="E101" s="51" t="s">
        <v>1233</v>
      </c>
      <c r="F101" s="59" t="s">
        <v>364</v>
      </c>
      <c r="G101" s="58" t="s">
        <v>365</v>
      </c>
      <c r="H101" s="60" t="s">
        <v>178</v>
      </c>
      <c r="I101" s="60" t="s">
        <v>191</v>
      </c>
      <c r="J101" s="80">
        <v>76.27</v>
      </c>
      <c r="K101" s="66">
        <v>0</v>
      </c>
      <c r="L101" s="102">
        <v>0</v>
      </c>
      <c r="M101" s="66">
        <v>5446</v>
      </c>
      <c r="N101" s="101">
        <v>1861</v>
      </c>
      <c r="O101" s="64">
        <v>447682</v>
      </c>
      <c r="P101" s="64">
        <v>48428</v>
      </c>
      <c r="Q101" s="64">
        <v>81000</v>
      </c>
      <c r="R101" s="62">
        <v>31644</v>
      </c>
      <c r="S101" s="104">
        <v>10318</v>
      </c>
      <c r="T101" s="103">
        <v>32208</v>
      </c>
      <c r="U101" s="72">
        <v>-9335.52</v>
      </c>
      <c r="V101" s="72">
        <v>0</v>
      </c>
    </row>
    <row r="102" spans="1:22">
      <c r="A102" s="50" t="s">
        <v>1080</v>
      </c>
      <c r="B102" s="51" t="s">
        <v>1081</v>
      </c>
      <c r="C102" s="50" t="s">
        <v>424</v>
      </c>
      <c r="D102" s="50">
        <v>73</v>
      </c>
      <c r="E102" s="51" t="s">
        <v>690</v>
      </c>
      <c r="F102" s="59" t="s">
        <v>248</v>
      </c>
      <c r="G102" s="58" t="s">
        <v>249</v>
      </c>
      <c r="H102" s="60" t="s">
        <v>178</v>
      </c>
      <c r="I102" s="60" t="s">
        <v>191</v>
      </c>
      <c r="J102" s="80">
        <v>48.69</v>
      </c>
      <c r="K102" s="66">
        <v>0</v>
      </c>
      <c r="L102" s="102">
        <v>0</v>
      </c>
      <c r="M102" s="66">
        <v>11621</v>
      </c>
      <c r="N102" s="101">
        <v>0</v>
      </c>
      <c r="O102" s="64">
        <v>401322</v>
      </c>
      <c r="P102" s="64">
        <v>56617</v>
      </c>
      <c r="Q102" s="64">
        <v>78447</v>
      </c>
      <c r="R102" s="62">
        <v>164175</v>
      </c>
      <c r="S102" s="104">
        <v>0</v>
      </c>
      <c r="T102" s="103">
        <v>0</v>
      </c>
      <c r="U102" s="72">
        <v>0</v>
      </c>
      <c r="V102" s="72">
        <v>0</v>
      </c>
    </row>
    <row r="103" spans="1:22">
      <c r="A103" s="50" t="s">
        <v>1224</v>
      </c>
      <c r="B103" s="51" t="s">
        <v>1225</v>
      </c>
      <c r="C103" s="50" t="s">
        <v>424</v>
      </c>
      <c r="D103" s="50">
        <v>27</v>
      </c>
      <c r="E103" s="51" t="s">
        <v>1227</v>
      </c>
      <c r="F103" s="59" t="s">
        <v>336</v>
      </c>
      <c r="G103" s="58" t="s">
        <v>337</v>
      </c>
      <c r="H103" s="60" t="s">
        <v>178</v>
      </c>
      <c r="I103" s="60" t="s">
        <v>191</v>
      </c>
      <c r="J103" s="80">
        <v>98.1</v>
      </c>
      <c r="K103" s="66">
        <v>0</v>
      </c>
      <c r="L103" s="102">
        <v>0</v>
      </c>
      <c r="M103" s="66">
        <v>7689</v>
      </c>
      <c r="N103" s="101">
        <v>111</v>
      </c>
      <c r="O103" s="64">
        <v>809183</v>
      </c>
      <c r="P103" s="64">
        <v>140315</v>
      </c>
      <c r="Q103" s="64">
        <v>170185</v>
      </c>
      <c r="R103" s="62">
        <v>84752</v>
      </c>
      <c r="S103" s="104">
        <v>1753</v>
      </c>
      <c r="T103" s="103">
        <v>1139</v>
      </c>
      <c r="U103" s="72">
        <v>0</v>
      </c>
      <c r="V103" s="72">
        <v>0</v>
      </c>
    </row>
    <row r="104" spans="1:22">
      <c r="A104" s="50" t="s">
        <v>1092</v>
      </c>
      <c r="B104" s="51" t="s">
        <v>1093</v>
      </c>
      <c r="C104" s="50" t="s">
        <v>424</v>
      </c>
      <c r="D104" s="50">
        <v>72</v>
      </c>
      <c r="E104" s="51" t="s">
        <v>521</v>
      </c>
      <c r="F104" s="59" t="s">
        <v>334</v>
      </c>
      <c r="G104" s="58" t="s">
        <v>335</v>
      </c>
      <c r="H104" s="60" t="s">
        <v>178</v>
      </c>
      <c r="I104" s="60" t="s">
        <v>191</v>
      </c>
      <c r="J104" s="80">
        <v>76.62</v>
      </c>
      <c r="K104" s="66">
        <v>0</v>
      </c>
      <c r="L104" s="102">
        <v>0</v>
      </c>
      <c r="M104" s="66">
        <v>4945</v>
      </c>
      <c r="N104" s="101">
        <v>1459</v>
      </c>
      <c r="O104" s="64">
        <v>564243</v>
      </c>
      <c r="P104" s="64">
        <v>130320</v>
      </c>
      <c r="Q104" s="64">
        <v>116144</v>
      </c>
      <c r="R104" s="62">
        <v>46912</v>
      </c>
      <c r="S104" s="104">
        <v>21882</v>
      </c>
      <c r="T104" s="103">
        <v>3984</v>
      </c>
      <c r="U104" s="72">
        <v>0</v>
      </c>
      <c r="V104" s="72">
        <v>0</v>
      </c>
    </row>
    <row r="105" spans="1:22">
      <c r="A105" s="50" t="s">
        <v>1218</v>
      </c>
      <c r="B105" s="51" t="s">
        <v>1219</v>
      </c>
      <c r="C105" s="50" t="s">
        <v>424</v>
      </c>
      <c r="D105" s="50">
        <v>16</v>
      </c>
      <c r="E105" s="51" t="s">
        <v>1163</v>
      </c>
      <c r="F105" s="59" t="s">
        <v>324</v>
      </c>
      <c r="G105" s="58" t="s">
        <v>325</v>
      </c>
      <c r="H105" s="60" t="s">
        <v>178</v>
      </c>
      <c r="I105" s="60" t="s">
        <v>191</v>
      </c>
      <c r="J105" s="80">
        <v>110.37</v>
      </c>
      <c r="K105" s="66">
        <v>0</v>
      </c>
      <c r="L105" s="102">
        <v>0</v>
      </c>
      <c r="M105" s="66">
        <v>64981</v>
      </c>
      <c r="N105" s="101">
        <v>1006</v>
      </c>
      <c r="O105" s="64">
        <v>931263</v>
      </c>
      <c r="P105" s="64">
        <v>159446</v>
      </c>
      <c r="Q105" s="64">
        <v>180076</v>
      </c>
      <c r="R105" s="62">
        <v>64127</v>
      </c>
      <c r="S105" s="104">
        <v>10487</v>
      </c>
      <c r="T105" s="103">
        <v>5728</v>
      </c>
      <c r="U105" s="72">
        <v>0</v>
      </c>
      <c r="V105" s="72">
        <v>0</v>
      </c>
    </row>
    <row r="106" spans="1:22">
      <c r="A106" s="50" t="s">
        <v>1218</v>
      </c>
      <c r="B106" s="51" t="s">
        <v>1219</v>
      </c>
      <c r="C106" s="50" t="s">
        <v>424</v>
      </c>
      <c r="D106" s="50">
        <v>31</v>
      </c>
      <c r="E106" s="51" t="s">
        <v>934</v>
      </c>
      <c r="F106" s="59" t="s">
        <v>372</v>
      </c>
      <c r="G106" s="58" t="s">
        <v>373</v>
      </c>
      <c r="H106" s="60" t="s">
        <v>178</v>
      </c>
      <c r="I106" s="60" t="s">
        <v>191</v>
      </c>
      <c r="J106" s="80">
        <v>81.53</v>
      </c>
      <c r="K106" s="66">
        <v>0</v>
      </c>
      <c r="L106" s="102">
        <v>0</v>
      </c>
      <c r="M106" s="66">
        <v>71476</v>
      </c>
      <c r="N106" s="101">
        <v>648</v>
      </c>
      <c r="O106" s="64">
        <v>600593</v>
      </c>
      <c r="P106" s="64">
        <v>69909</v>
      </c>
      <c r="Q106" s="64">
        <v>129044</v>
      </c>
      <c r="R106" s="62">
        <v>24136</v>
      </c>
      <c r="S106" s="104">
        <v>7661</v>
      </c>
      <c r="T106" s="103">
        <v>9213</v>
      </c>
      <c r="U106" s="72">
        <v>0</v>
      </c>
      <c r="V106" s="72">
        <v>0</v>
      </c>
    </row>
    <row r="107" spans="1:22">
      <c r="A107" s="50" t="s">
        <v>1224</v>
      </c>
      <c r="B107" s="51" t="s">
        <v>1225</v>
      </c>
      <c r="C107" s="50" t="s">
        <v>424</v>
      </c>
      <c r="D107" s="50">
        <v>27</v>
      </c>
      <c r="E107" s="51" t="s">
        <v>1227</v>
      </c>
      <c r="F107" s="59" t="s">
        <v>328</v>
      </c>
      <c r="G107" s="58" t="s">
        <v>329</v>
      </c>
      <c r="H107" s="60" t="s">
        <v>178</v>
      </c>
      <c r="I107" s="60" t="s">
        <v>191</v>
      </c>
      <c r="J107" s="80">
        <v>159.06</v>
      </c>
      <c r="K107" s="66">
        <v>0</v>
      </c>
      <c r="L107" s="102">
        <v>0</v>
      </c>
      <c r="M107" s="66">
        <v>22303</v>
      </c>
      <c r="N107" s="101">
        <v>8768</v>
      </c>
      <c r="O107" s="64">
        <v>1014015</v>
      </c>
      <c r="P107" s="64">
        <v>142786</v>
      </c>
      <c r="Q107" s="64">
        <v>160956</v>
      </c>
      <c r="R107" s="62">
        <v>98354</v>
      </c>
      <c r="S107" s="104">
        <v>51040</v>
      </c>
      <c r="T107" s="103">
        <v>30484</v>
      </c>
      <c r="U107" s="72">
        <v>0</v>
      </c>
      <c r="V107" s="72">
        <v>0</v>
      </c>
    </row>
    <row r="108" spans="1:22">
      <c r="A108" s="50" t="s">
        <v>1224</v>
      </c>
      <c r="B108" s="51" t="s">
        <v>1225</v>
      </c>
      <c r="C108" s="50" t="s">
        <v>424</v>
      </c>
      <c r="D108" s="50">
        <v>2</v>
      </c>
      <c r="E108" s="51" t="s">
        <v>1236</v>
      </c>
      <c r="F108" s="59" t="s">
        <v>130</v>
      </c>
      <c r="G108" s="58" t="s">
        <v>131</v>
      </c>
      <c r="H108" s="60" t="s">
        <v>178</v>
      </c>
      <c r="I108" s="60" t="s">
        <v>191</v>
      </c>
      <c r="J108" s="80">
        <v>240.76</v>
      </c>
      <c r="K108" s="66">
        <v>0</v>
      </c>
      <c r="L108" s="102">
        <v>0</v>
      </c>
      <c r="M108" s="66">
        <v>45580</v>
      </c>
      <c r="N108" s="101">
        <v>2705</v>
      </c>
      <c r="O108" s="64">
        <v>1257858</v>
      </c>
      <c r="P108" s="64">
        <v>168020</v>
      </c>
      <c r="Q108" s="64">
        <v>328810</v>
      </c>
      <c r="R108" s="62">
        <v>236872</v>
      </c>
      <c r="S108" s="104">
        <v>13337</v>
      </c>
      <c r="T108" s="103">
        <v>79662</v>
      </c>
      <c r="U108" s="72">
        <v>0</v>
      </c>
      <c r="V108" s="72">
        <v>0</v>
      </c>
    </row>
    <row r="109" spans="1:22">
      <c r="A109" s="50" t="s">
        <v>1224</v>
      </c>
      <c r="B109" s="51" t="s">
        <v>1225</v>
      </c>
      <c r="C109" s="50" t="s">
        <v>424</v>
      </c>
      <c r="D109" s="50">
        <v>27</v>
      </c>
      <c r="E109" s="51" t="s">
        <v>1227</v>
      </c>
      <c r="F109" s="59" t="s">
        <v>435</v>
      </c>
      <c r="G109" s="58" t="s">
        <v>436</v>
      </c>
      <c r="H109" s="60" t="s">
        <v>178</v>
      </c>
      <c r="I109" s="60" t="s">
        <v>190</v>
      </c>
      <c r="J109" s="80">
        <v>90.84</v>
      </c>
      <c r="K109" s="66">
        <v>0</v>
      </c>
      <c r="L109" s="102">
        <v>0</v>
      </c>
      <c r="M109" s="66">
        <v>34237</v>
      </c>
      <c r="N109" s="101">
        <v>592</v>
      </c>
      <c r="O109" s="64">
        <v>722838</v>
      </c>
      <c r="P109" s="64">
        <v>198838</v>
      </c>
      <c r="Q109" s="64">
        <v>131067</v>
      </c>
      <c r="R109" s="62">
        <v>273956</v>
      </c>
      <c r="S109" s="104">
        <v>12513</v>
      </c>
      <c r="T109" s="103">
        <v>486</v>
      </c>
      <c r="U109" s="72">
        <v>0</v>
      </c>
      <c r="V109" s="72">
        <v>0</v>
      </c>
    </row>
    <row r="110" spans="1:22">
      <c r="A110" s="50" t="s">
        <v>1092</v>
      </c>
      <c r="B110" s="51" t="s">
        <v>1093</v>
      </c>
      <c r="C110" s="50" t="s">
        <v>424</v>
      </c>
      <c r="D110" s="50">
        <v>40</v>
      </c>
      <c r="E110" s="51" t="s">
        <v>984</v>
      </c>
      <c r="F110" s="59" t="s">
        <v>230</v>
      </c>
      <c r="G110" s="58" t="s">
        <v>231</v>
      </c>
      <c r="H110" s="60" t="s">
        <v>178</v>
      </c>
      <c r="I110" s="60" t="s">
        <v>190</v>
      </c>
      <c r="J110" s="80">
        <v>186.56</v>
      </c>
      <c r="K110" s="66">
        <v>0</v>
      </c>
      <c r="L110" s="102">
        <v>0</v>
      </c>
      <c r="M110" s="66">
        <v>423550</v>
      </c>
      <c r="N110" s="101">
        <v>0</v>
      </c>
      <c r="O110" s="64">
        <v>1309739</v>
      </c>
      <c r="P110" s="64">
        <v>183736</v>
      </c>
      <c r="Q110" s="64">
        <v>237246</v>
      </c>
      <c r="R110" s="62">
        <v>85961</v>
      </c>
      <c r="S110" s="104">
        <v>0</v>
      </c>
      <c r="T110" s="103">
        <v>0</v>
      </c>
      <c r="U110" s="72">
        <v>0</v>
      </c>
      <c r="V110" s="72">
        <v>0</v>
      </c>
    </row>
    <row r="111" spans="1:22">
      <c r="A111" s="50" t="s">
        <v>1224</v>
      </c>
      <c r="B111" s="51" t="s">
        <v>1225</v>
      </c>
      <c r="C111" s="50" t="s">
        <v>424</v>
      </c>
      <c r="D111" s="50">
        <v>62</v>
      </c>
      <c r="E111" s="51" t="s">
        <v>785</v>
      </c>
      <c r="F111" s="59" t="s">
        <v>296</v>
      </c>
      <c r="G111" s="58" t="s">
        <v>297</v>
      </c>
      <c r="H111" s="60" t="s">
        <v>178</v>
      </c>
      <c r="I111" s="60" t="s">
        <v>192</v>
      </c>
      <c r="J111" s="80">
        <v>259.36</v>
      </c>
      <c r="K111" s="66">
        <v>0</v>
      </c>
      <c r="L111" s="102">
        <v>0</v>
      </c>
      <c r="M111" s="66">
        <v>50506</v>
      </c>
      <c r="N111" s="101">
        <v>4744</v>
      </c>
      <c r="O111" s="64">
        <v>1960318</v>
      </c>
      <c r="P111" s="64">
        <v>340501</v>
      </c>
      <c r="Q111" s="64">
        <v>264728</v>
      </c>
      <c r="R111" s="62">
        <v>171362</v>
      </c>
      <c r="S111" s="104">
        <v>91144</v>
      </c>
      <c r="T111" s="103">
        <v>1109</v>
      </c>
      <c r="U111" s="72">
        <v>0</v>
      </c>
      <c r="V111" s="72">
        <v>0</v>
      </c>
    </row>
    <row r="112" spans="1:22">
      <c r="A112" s="50" t="s">
        <v>1017</v>
      </c>
      <c r="B112" s="51" t="s">
        <v>1018</v>
      </c>
      <c r="C112" s="50" t="s">
        <v>424</v>
      </c>
      <c r="D112" s="50">
        <v>74</v>
      </c>
      <c r="E112" s="51" t="s">
        <v>709</v>
      </c>
      <c r="F112" s="59" t="s">
        <v>136</v>
      </c>
      <c r="G112" s="58" t="s">
        <v>137</v>
      </c>
      <c r="H112" s="60" t="s">
        <v>178</v>
      </c>
      <c r="I112" s="58" t="s">
        <v>192</v>
      </c>
      <c r="J112" s="80">
        <v>89.3</v>
      </c>
      <c r="K112" s="66">
        <v>0</v>
      </c>
      <c r="L112" s="102">
        <v>0</v>
      </c>
      <c r="M112" s="66">
        <v>532580</v>
      </c>
      <c r="N112" s="101">
        <v>3842</v>
      </c>
      <c r="O112" s="64">
        <v>571561</v>
      </c>
      <c r="P112" s="64">
        <v>23975</v>
      </c>
      <c r="Q112" s="64">
        <v>155818</v>
      </c>
      <c r="R112" s="62">
        <v>124834</v>
      </c>
      <c r="S112" s="104">
        <v>27871</v>
      </c>
      <c r="T112" s="103">
        <v>4152</v>
      </c>
      <c r="U112" s="72">
        <v>0</v>
      </c>
      <c r="V112" s="72">
        <v>0</v>
      </c>
    </row>
    <row r="113" spans="1:22">
      <c r="A113" s="50" t="s">
        <v>1258</v>
      </c>
      <c r="B113" s="51" t="s">
        <v>1259</v>
      </c>
      <c r="C113" s="50" t="s">
        <v>424</v>
      </c>
      <c r="D113" s="50">
        <v>44</v>
      </c>
      <c r="E113" s="51" t="s">
        <v>837</v>
      </c>
      <c r="F113" s="59" t="s">
        <v>132</v>
      </c>
      <c r="G113" s="58" t="s">
        <v>133</v>
      </c>
      <c r="H113" s="60" t="s">
        <v>178</v>
      </c>
      <c r="I113" s="60" t="s">
        <v>191</v>
      </c>
      <c r="J113" s="80">
        <v>63.41</v>
      </c>
      <c r="K113" s="66">
        <v>0</v>
      </c>
      <c r="L113" s="102">
        <v>0</v>
      </c>
      <c r="M113" s="66">
        <v>17377</v>
      </c>
      <c r="N113" s="101">
        <v>592</v>
      </c>
      <c r="O113" s="64">
        <v>433916</v>
      </c>
      <c r="P113" s="64">
        <v>57276</v>
      </c>
      <c r="Q113" s="64">
        <v>140000</v>
      </c>
      <c r="R113" s="62">
        <v>241698</v>
      </c>
      <c r="S113" s="104">
        <v>4718</v>
      </c>
      <c r="T113" s="103">
        <v>20307</v>
      </c>
      <c r="U113" s="72">
        <v>0</v>
      </c>
      <c r="V113" s="72">
        <v>0</v>
      </c>
    </row>
    <row r="114" spans="1:22">
      <c r="A114" s="50" t="s">
        <v>1224</v>
      </c>
      <c r="B114" s="51" t="s">
        <v>1225</v>
      </c>
      <c r="C114" s="50" t="s">
        <v>424</v>
      </c>
      <c r="D114" s="50">
        <v>27</v>
      </c>
      <c r="E114" s="51" t="s">
        <v>1227</v>
      </c>
      <c r="F114" s="59" t="s">
        <v>236</v>
      </c>
      <c r="G114" s="58" t="s">
        <v>237</v>
      </c>
      <c r="H114" s="60" t="s">
        <v>178</v>
      </c>
      <c r="I114" s="60" t="s">
        <v>190</v>
      </c>
      <c r="J114" s="80">
        <v>291.16000000000003</v>
      </c>
      <c r="K114" s="66">
        <v>0</v>
      </c>
      <c r="L114" s="102">
        <v>0</v>
      </c>
      <c r="M114" s="66">
        <v>185679</v>
      </c>
      <c r="N114" s="101">
        <v>0</v>
      </c>
      <c r="O114" s="64">
        <v>1991205</v>
      </c>
      <c r="P114" s="64">
        <v>112181</v>
      </c>
      <c r="Q114" s="64">
        <v>531328</v>
      </c>
      <c r="R114" s="62">
        <v>220554</v>
      </c>
      <c r="S114" s="104">
        <v>0</v>
      </c>
      <c r="T114" s="103">
        <v>0</v>
      </c>
      <c r="U114" s="72">
        <v>0</v>
      </c>
      <c r="V114" s="72">
        <v>0</v>
      </c>
    </row>
    <row r="115" spans="1:22">
      <c r="A115" s="50" t="s">
        <v>1224</v>
      </c>
      <c r="B115" s="51" t="s">
        <v>1225</v>
      </c>
      <c r="C115" s="50" t="s">
        <v>424</v>
      </c>
      <c r="D115" s="50">
        <v>27</v>
      </c>
      <c r="E115" s="51" t="s">
        <v>1227</v>
      </c>
      <c r="F115" s="59" t="s">
        <v>250</v>
      </c>
      <c r="G115" s="58" t="s">
        <v>251</v>
      </c>
      <c r="H115" s="60" t="s">
        <v>178</v>
      </c>
      <c r="I115" s="60" t="s">
        <v>191</v>
      </c>
      <c r="J115" s="80">
        <v>341.18</v>
      </c>
      <c r="K115" s="66">
        <v>0</v>
      </c>
      <c r="L115" s="102">
        <v>0</v>
      </c>
      <c r="M115" s="66">
        <v>122971</v>
      </c>
      <c r="N115" s="101">
        <v>997</v>
      </c>
      <c r="O115" s="64">
        <v>1879938</v>
      </c>
      <c r="P115" s="64">
        <v>91241</v>
      </c>
      <c r="Q115" s="64">
        <v>380386</v>
      </c>
      <c r="R115" s="62">
        <v>164284</v>
      </c>
      <c r="S115" s="104">
        <v>3027</v>
      </c>
      <c r="T115" s="103">
        <v>107585</v>
      </c>
      <c r="U115" s="72">
        <v>0</v>
      </c>
      <c r="V115" s="72">
        <v>0</v>
      </c>
    </row>
    <row r="116" spans="1:22">
      <c r="A116" s="50" t="s">
        <v>1224</v>
      </c>
      <c r="B116" s="51" t="s">
        <v>1225</v>
      </c>
      <c r="C116" s="50" t="s">
        <v>424</v>
      </c>
      <c r="D116" s="50">
        <v>27</v>
      </c>
      <c r="E116" s="51" t="s">
        <v>1227</v>
      </c>
      <c r="F116" s="59" t="s">
        <v>286</v>
      </c>
      <c r="G116" s="58" t="s">
        <v>287</v>
      </c>
      <c r="H116" s="60" t="s">
        <v>178</v>
      </c>
      <c r="I116" s="60" t="s">
        <v>191</v>
      </c>
      <c r="J116" s="80">
        <v>226.21</v>
      </c>
      <c r="K116" s="66">
        <v>0</v>
      </c>
      <c r="L116" s="102">
        <v>0</v>
      </c>
      <c r="M116" s="66">
        <v>31511</v>
      </c>
      <c r="N116" s="101">
        <v>3109</v>
      </c>
      <c r="O116" s="64">
        <v>1288607</v>
      </c>
      <c r="P116" s="64">
        <v>166648</v>
      </c>
      <c r="Q116" s="64">
        <v>378776</v>
      </c>
      <c r="R116" s="62">
        <v>264275</v>
      </c>
      <c r="S116" s="104">
        <v>44523</v>
      </c>
      <c r="T116" s="103">
        <v>50531</v>
      </c>
      <c r="U116" s="72">
        <v>0</v>
      </c>
      <c r="V116" s="72">
        <v>0</v>
      </c>
    </row>
    <row r="117" spans="1:22">
      <c r="A117" s="50" t="s">
        <v>954</v>
      </c>
      <c r="B117" s="51" t="s">
        <v>955</v>
      </c>
      <c r="C117" s="50" t="s">
        <v>424</v>
      </c>
      <c r="D117" s="50">
        <v>43</v>
      </c>
      <c r="E117" s="51" t="s">
        <v>832</v>
      </c>
      <c r="F117" s="59" t="s">
        <v>332</v>
      </c>
      <c r="G117" s="58" t="s">
        <v>333</v>
      </c>
      <c r="H117" s="60" t="s">
        <v>178</v>
      </c>
      <c r="I117" s="60" t="s">
        <v>191</v>
      </c>
      <c r="J117" s="80">
        <v>123.98</v>
      </c>
      <c r="K117" s="66">
        <v>0</v>
      </c>
      <c r="L117" s="102">
        <v>0</v>
      </c>
      <c r="M117" s="66">
        <v>86763</v>
      </c>
      <c r="N117" s="101">
        <v>0</v>
      </c>
      <c r="O117" s="64">
        <v>877520</v>
      </c>
      <c r="P117" s="64">
        <v>57696</v>
      </c>
      <c r="Q117" s="64">
        <v>188656</v>
      </c>
      <c r="R117" s="62">
        <v>18695</v>
      </c>
      <c r="S117" s="104">
        <v>0</v>
      </c>
      <c r="T117" s="103">
        <v>0</v>
      </c>
      <c r="U117" s="72">
        <v>0</v>
      </c>
      <c r="V117" s="72">
        <v>0</v>
      </c>
    </row>
    <row r="118" spans="1:22">
      <c r="A118" s="50" t="s">
        <v>1224</v>
      </c>
      <c r="B118" s="51" t="s">
        <v>1225</v>
      </c>
      <c r="C118" s="50" t="s">
        <v>424</v>
      </c>
      <c r="D118" s="50">
        <v>27</v>
      </c>
      <c r="E118" s="51" t="s">
        <v>1227</v>
      </c>
      <c r="F118" s="59" t="s">
        <v>276</v>
      </c>
      <c r="G118" s="58" t="s">
        <v>277</v>
      </c>
      <c r="H118" s="60" t="s">
        <v>178</v>
      </c>
      <c r="I118" s="60" t="s">
        <v>191</v>
      </c>
      <c r="J118" s="80">
        <v>106.62</v>
      </c>
      <c r="K118" s="66">
        <v>0</v>
      </c>
      <c r="L118" s="102">
        <v>0</v>
      </c>
      <c r="M118" s="66">
        <v>11897</v>
      </c>
      <c r="N118" s="101">
        <v>1488</v>
      </c>
      <c r="O118" s="64">
        <v>551089</v>
      </c>
      <c r="P118" s="64">
        <v>81011</v>
      </c>
      <c r="Q118" s="64">
        <v>184150</v>
      </c>
      <c r="R118" s="62">
        <v>128299</v>
      </c>
      <c r="S118" s="104">
        <v>5957</v>
      </c>
      <c r="T118" s="103">
        <v>280135</v>
      </c>
      <c r="U118" s="72">
        <v>0</v>
      </c>
      <c r="V118" s="72">
        <v>0</v>
      </c>
    </row>
    <row r="119" spans="1:22">
      <c r="A119" s="50" t="s">
        <v>1224</v>
      </c>
      <c r="B119" s="51" t="s">
        <v>1225</v>
      </c>
      <c r="C119" s="50" t="s">
        <v>424</v>
      </c>
      <c r="D119" s="50">
        <v>62</v>
      </c>
      <c r="E119" s="51" t="s">
        <v>785</v>
      </c>
      <c r="F119" s="59" t="s">
        <v>210</v>
      </c>
      <c r="G119" s="58" t="s">
        <v>211</v>
      </c>
      <c r="H119" s="60" t="s">
        <v>178</v>
      </c>
      <c r="I119" s="60" t="s">
        <v>191</v>
      </c>
      <c r="J119" s="80">
        <v>323.75</v>
      </c>
      <c r="K119" s="66">
        <v>0</v>
      </c>
      <c r="L119" s="102">
        <v>0</v>
      </c>
      <c r="M119" s="66">
        <v>59412</v>
      </c>
      <c r="N119" s="101">
        <v>6631</v>
      </c>
      <c r="O119" s="64">
        <v>2533240</v>
      </c>
      <c r="P119" s="64">
        <v>65126</v>
      </c>
      <c r="Q119" s="64">
        <v>374016</v>
      </c>
      <c r="R119" s="62">
        <v>202442</v>
      </c>
      <c r="S119" s="104">
        <v>176200</v>
      </c>
      <c r="T119" s="103">
        <v>14761</v>
      </c>
      <c r="U119" s="72">
        <v>0</v>
      </c>
      <c r="V119" s="72">
        <v>0</v>
      </c>
    </row>
    <row r="120" spans="1:22">
      <c r="A120" s="50" t="s">
        <v>1224</v>
      </c>
      <c r="B120" s="51" t="s">
        <v>1225</v>
      </c>
      <c r="C120" s="50" t="s">
        <v>424</v>
      </c>
      <c r="D120" s="50">
        <v>27</v>
      </c>
      <c r="E120" s="51" t="s">
        <v>1227</v>
      </c>
      <c r="F120" s="59" t="s">
        <v>264</v>
      </c>
      <c r="G120" s="58" t="s">
        <v>265</v>
      </c>
      <c r="H120" s="60" t="s">
        <v>178</v>
      </c>
      <c r="I120" s="60" t="s">
        <v>191</v>
      </c>
      <c r="J120" s="80">
        <v>119.96</v>
      </c>
      <c r="K120" s="66">
        <v>0</v>
      </c>
      <c r="L120" s="102">
        <v>0</v>
      </c>
      <c r="M120" s="66">
        <v>15724</v>
      </c>
      <c r="N120" s="101">
        <v>0</v>
      </c>
      <c r="O120" s="64">
        <v>664977</v>
      </c>
      <c r="P120" s="64">
        <v>35604</v>
      </c>
      <c r="Q120" s="64">
        <v>101520</v>
      </c>
      <c r="R120" s="62">
        <v>172275</v>
      </c>
      <c r="S120" s="104">
        <v>0</v>
      </c>
      <c r="T120" s="103">
        <v>0</v>
      </c>
      <c r="U120" s="72">
        <v>0</v>
      </c>
      <c r="V120" s="72">
        <v>0</v>
      </c>
    </row>
    <row r="121" spans="1:22">
      <c r="A121" s="50" t="s">
        <v>1132</v>
      </c>
      <c r="B121" s="51" t="s">
        <v>1133</v>
      </c>
      <c r="C121" s="50" t="s">
        <v>424</v>
      </c>
      <c r="D121" s="50">
        <v>11</v>
      </c>
      <c r="E121" s="51" t="s">
        <v>1134</v>
      </c>
      <c r="F121" s="59" t="s">
        <v>224</v>
      </c>
      <c r="G121" s="58" t="s">
        <v>225</v>
      </c>
      <c r="H121" s="60" t="s">
        <v>178</v>
      </c>
      <c r="I121" s="60" t="s">
        <v>191</v>
      </c>
      <c r="J121" s="80">
        <v>165.94</v>
      </c>
      <c r="K121" s="66">
        <v>0</v>
      </c>
      <c r="L121" s="102">
        <v>0</v>
      </c>
      <c r="M121" s="66">
        <v>32845</v>
      </c>
      <c r="N121" s="101">
        <v>1113</v>
      </c>
      <c r="O121" s="64">
        <v>1199406</v>
      </c>
      <c r="P121" s="64">
        <v>179245</v>
      </c>
      <c r="Q121" s="64">
        <v>268738</v>
      </c>
      <c r="R121" s="62">
        <v>56438</v>
      </c>
      <c r="S121" s="104">
        <v>17871</v>
      </c>
      <c r="T121" s="103">
        <v>11183</v>
      </c>
      <c r="U121" s="72">
        <v>0</v>
      </c>
      <c r="V121" s="72">
        <v>0</v>
      </c>
    </row>
    <row r="122" spans="1:22">
      <c r="A122" s="50" t="s">
        <v>1218</v>
      </c>
      <c r="B122" s="51" t="s">
        <v>1219</v>
      </c>
      <c r="C122" s="50" t="s">
        <v>424</v>
      </c>
      <c r="D122" s="50">
        <v>69</v>
      </c>
      <c r="E122" s="51" t="s">
        <v>651</v>
      </c>
      <c r="F122" s="59" t="s">
        <v>204</v>
      </c>
      <c r="G122" s="58" t="s">
        <v>205</v>
      </c>
      <c r="H122" s="60" t="s">
        <v>178</v>
      </c>
      <c r="I122" s="60" t="s">
        <v>191</v>
      </c>
      <c r="J122" s="80">
        <v>117.95</v>
      </c>
      <c r="K122" s="66">
        <v>0</v>
      </c>
      <c r="L122" s="102">
        <v>0</v>
      </c>
      <c r="M122" s="66">
        <v>20451</v>
      </c>
      <c r="N122" s="101">
        <v>-1</v>
      </c>
      <c r="O122" s="64">
        <v>838900</v>
      </c>
      <c r="P122" s="64">
        <v>40791</v>
      </c>
      <c r="Q122" s="64">
        <v>90808</v>
      </c>
      <c r="R122" s="62">
        <v>11726</v>
      </c>
      <c r="S122" s="104">
        <v>0</v>
      </c>
      <c r="T122" s="103">
        <v>0</v>
      </c>
      <c r="U122" s="72">
        <v>0</v>
      </c>
      <c r="V122" s="72">
        <v>0</v>
      </c>
    </row>
    <row r="123" spans="1:22">
      <c r="A123" s="50" t="s">
        <v>1224</v>
      </c>
      <c r="B123" s="51" t="s">
        <v>1225</v>
      </c>
      <c r="C123" s="50" t="s">
        <v>424</v>
      </c>
      <c r="D123" s="50">
        <v>27</v>
      </c>
      <c r="E123" s="51" t="s">
        <v>1227</v>
      </c>
      <c r="F123" s="59" t="s">
        <v>300</v>
      </c>
      <c r="G123" s="58" t="s">
        <v>301</v>
      </c>
      <c r="H123" s="60" t="s">
        <v>178</v>
      </c>
      <c r="I123" s="60" t="s">
        <v>190</v>
      </c>
      <c r="J123" s="80">
        <v>181.51</v>
      </c>
      <c r="K123" s="66">
        <v>0</v>
      </c>
      <c r="L123" s="102">
        <v>0</v>
      </c>
      <c r="M123" s="66">
        <v>117399</v>
      </c>
      <c r="N123" s="101">
        <v>1653</v>
      </c>
      <c r="O123" s="64">
        <v>1232479</v>
      </c>
      <c r="P123" s="64">
        <v>37257</v>
      </c>
      <c r="Q123" s="64">
        <v>268356</v>
      </c>
      <c r="R123" s="62">
        <v>30787</v>
      </c>
      <c r="S123" s="104">
        <v>3473</v>
      </c>
      <c r="T123" s="103">
        <v>22983</v>
      </c>
      <c r="U123" s="72">
        <v>0</v>
      </c>
      <c r="V123" s="72">
        <v>0</v>
      </c>
    </row>
    <row r="124" spans="1:22">
      <c r="A124" s="50" t="s">
        <v>1249</v>
      </c>
      <c r="B124" s="51" t="s">
        <v>1250</v>
      </c>
      <c r="C124" s="50" t="s">
        <v>424</v>
      </c>
      <c r="D124" s="50">
        <v>61</v>
      </c>
      <c r="E124" s="51" t="s">
        <v>782</v>
      </c>
      <c r="F124" s="59" t="s">
        <v>268</v>
      </c>
      <c r="G124" s="58" t="s">
        <v>269</v>
      </c>
      <c r="H124" s="60" t="s">
        <v>178</v>
      </c>
      <c r="I124" s="60" t="s">
        <v>190</v>
      </c>
      <c r="J124" s="80">
        <v>60.38</v>
      </c>
      <c r="K124" s="66">
        <v>0</v>
      </c>
      <c r="L124" s="102">
        <v>0</v>
      </c>
      <c r="M124" s="66">
        <v>79202</v>
      </c>
      <c r="N124" s="101">
        <v>1</v>
      </c>
      <c r="O124" s="64">
        <v>427033</v>
      </c>
      <c r="P124" s="64">
        <v>25808</v>
      </c>
      <c r="Q124" s="64">
        <v>136076</v>
      </c>
      <c r="R124" s="62">
        <v>143098</v>
      </c>
      <c r="S124" s="104">
        <v>7413</v>
      </c>
      <c r="T124" s="103">
        <v>7608</v>
      </c>
      <c r="U124" s="72">
        <v>0</v>
      </c>
      <c r="V124" s="72">
        <v>0</v>
      </c>
    </row>
    <row r="125" spans="1:22">
      <c r="A125" s="50" t="s">
        <v>1224</v>
      </c>
      <c r="B125" s="51" t="s">
        <v>1225</v>
      </c>
      <c r="C125" s="50" t="s">
        <v>424</v>
      </c>
      <c r="D125" s="50">
        <v>27</v>
      </c>
      <c r="E125" s="51" t="s">
        <v>1227</v>
      </c>
      <c r="F125" s="59" t="s">
        <v>118</v>
      </c>
      <c r="G125" s="58" t="s">
        <v>119</v>
      </c>
      <c r="H125" s="60" t="s">
        <v>178</v>
      </c>
      <c r="I125" s="60" t="s">
        <v>190</v>
      </c>
      <c r="J125" s="80">
        <v>80.36</v>
      </c>
      <c r="K125" s="66">
        <v>0</v>
      </c>
      <c r="L125" s="102">
        <v>0</v>
      </c>
      <c r="M125" s="66">
        <v>127867</v>
      </c>
      <c r="N125" s="101">
        <v>615</v>
      </c>
      <c r="O125" s="64">
        <v>388626</v>
      </c>
      <c r="P125" s="64">
        <v>49644</v>
      </c>
      <c r="Q125" s="64">
        <v>139370</v>
      </c>
      <c r="R125" s="62">
        <v>146477</v>
      </c>
      <c r="S125" s="104">
        <v>1169</v>
      </c>
      <c r="T125" s="103">
        <v>587</v>
      </c>
      <c r="U125" s="72">
        <v>0</v>
      </c>
      <c r="V125" s="72">
        <v>0</v>
      </c>
    </row>
    <row r="126" spans="1:22">
      <c r="A126" s="50" t="s">
        <v>1224</v>
      </c>
      <c r="B126" s="51" t="s">
        <v>1225</v>
      </c>
      <c r="C126" s="50" t="s">
        <v>424</v>
      </c>
      <c r="D126" s="50">
        <v>27</v>
      </c>
      <c r="E126" s="51" t="s">
        <v>1227</v>
      </c>
      <c r="F126" s="59" t="s">
        <v>352</v>
      </c>
      <c r="G126" s="58" t="s">
        <v>353</v>
      </c>
      <c r="H126" s="60" t="s">
        <v>178</v>
      </c>
      <c r="I126" s="60" t="s">
        <v>192</v>
      </c>
      <c r="J126" s="80">
        <v>527.77</v>
      </c>
      <c r="K126" s="66">
        <v>0</v>
      </c>
      <c r="L126" s="102">
        <v>0</v>
      </c>
      <c r="M126" s="66">
        <v>118894</v>
      </c>
      <c r="N126" s="101">
        <v>13138</v>
      </c>
      <c r="O126" s="64">
        <v>4523400</v>
      </c>
      <c r="P126" s="64">
        <v>311162</v>
      </c>
      <c r="Q126" s="64">
        <v>734515</v>
      </c>
      <c r="R126" s="62">
        <v>325945</v>
      </c>
      <c r="S126" s="104">
        <v>320605</v>
      </c>
      <c r="T126" s="103">
        <v>0</v>
      </c>
      <c r="U126" s="72">
        <v>0</v>
      </c>
      <c r="V126" s="72">
        <v>0</v>
      </c>
    </row>
    <row r="127" spans="1:22">
      <c r="A127" s="50" t="s">
        <v>1224</v>
      </c>
      <c r="B127" s="51" t="s">
        <v>1225</v>
      </c>
      <c r="C127" s="50" t="s">
        <v>424</v>
      </c>
      <c r="D127" s="50">
        <v>27</v>
      </c>
      <c r="E127" s="51" t="s">
        <v>1227</v>
      </c>
      <c r="F127" s="59" t="s">
        <v>252</v>
      </c>
      <c r="G127" s="58" t="s">
        <v>253</v>
      </c>
      <c r="H127" s="60" t="s">
        <v>178</v>
      </c>
      <c r="I127" s="60" t="s">
        <v>192</v>
      </c>
      <c r="J127" s="80">
        <v>215.92</v>
      </c>
      <c r="K127" s="66">
        <v>0</v>
      </c>
      <c r="L127" s="102">
        <v>0</v>
      </c>
      <c r="M127" s="66">
        <v>23193</v>
      </c>
      <c r="N127" s="101">
        <v>3645</v>
      </c>
      <c r="O127" s="64">
        <v>2095308</v>
      </c>
      <c r="P127" s="64">
        <v>29616</v>
      </c>
      <c r="Q127" s="64">
        <v>212664</v>
      </c>
      <c r="R127" s="62">
        <v>235241</v>
      </c>
      <c r="S127" s="104">
        <v>93692</v>
      </c>
      <c r="T127" s="103">
        <v>0</v>
      </c>
      <c r="U127" s="72">
        <v>0</v>
      </c>
      <c r="V127" s="72">
        <v>0</v>
      </c>
    </row>
    <row r="128" spans="1:22">
      <c r="A128" s="50" t="s">
        <v>1087</v>
      </c>
      <c r="B128" s="51" t="s">
        <v>1088</v>
      </c>
      <c r="C128" s="50" t="s">
        <v>424</v>
      </c>
      <c r="D128" s="50">
        <v>87</v>
      </c>
      <c r="E128" s="51" t="s">
        <v>628</v>
      </c>
      <c r="F128" s="59" t="s">
        <v>374</v>
      </c>
      <c r="G128" s="58" t="s">
        <v>375</v>
      </c>
      <c r="H128" s="60" t="s">
        <v>178</v>
      </c>
      <c r="I128" s="60" t="s">
        <v>190</v>
      </c>
      <c r="J128" s="80">
        <v>201.25</v>
      </c>
      <c r="K128" s="66">
        <v>0</v>
      </c>
      <c r="L128" s="102">
        <v>0</v>
      </c>
      <c r="M128" s="66">
        <v>-5208</v>
      </c>
      <c r="N128" s="101">
        <v>3360</v>
      </c>
      <c r="O128" s="64">
        <v>1657857</v>
      </c>
      <c r="P128" s="64">
        <v>128786</v>
      </c>
      <c r="Q128" s="64">
        <v>242167</v>
      </c>
      <c r="R128" s="62">
        <v>123157</v>
      </c>
      <c r="S128" s="104">
        <v>128739</v>
      </c>
      <c r="T128" s="103">
        <v>878</v>
      </c>
      <c r="U128" s="72">
        <v>0</v>
      </c>
      <c r="V128" s="72">
        <v>0</v>
      </c>
    </row>
    <row r="129" spans="1:23">
      <c r="A129" s="50" t="s">
        <v>1224</v>
      </c>
      <c r="B129" s="51" t="s">
        <v>1225</v>
      </c>
      <c r="C129" s="50" t="s">
        <v>424</v>
      </c>
      <c r="D129" s="50">
        <v>27</v>
      </c>
      <c r="E129" s="51" t="s">
        <v>1227</v>
      </c>
      <c r="F129" s="59" t="s">
        <v>226</v>
      </c>
      <c r="G129" s="58" t="s">
        <v>227</v>
      </c>
      <c r="H129" s="60" t="s">
        <v>178</v>
      </c>
      <c r="I129" s="60" t="s">
        <v>191</v>
      </c>
      <c r="J129" s="80">
        <v>71.94</v>
      </c>
      <c r="K129" s="66">
        <v>0</v>
      </c>
      <c r="L129" s="102">
        <v>0</v>
      </c>
      <c r="M129" s="66">
        <v>13517</v>
      </c>
      <c r="N129" s="101">
        <v>1586</v>
      </c>
      <c r="O129" s="64">
        <v>557624</v>
      </c>
      <c r="P129" s="64">
        <v>82312</v>
      </c>
      <c r="Q129" s="64">
        <v>108284</v>
      </c>
      <c r="R129" s="62">
        <v>55230</v>
      </c>
      <c r="S129" s="104">
        <v>15907</v>
      </c>
      <c r="T129" s="103">
        <v>6839</v>
      </c>
      <c r="U129" s="72">
        <v>0</v>
      </c>
      <c r="V129" s="72">
        <v>0</v>
      </c>
    </row>
    <row r="130" spans="1:23">
      <c r="A130" s="50" t="s">
        <v>1146</v>
      </c>
      <c r="B130" s="51" t="s">
        <v>1147</v>
      </c>
      <c r="C130" s="50" t="s">
        <v>424</v>
      </c>
      <c r="D130" s="50">
        <v>58</v>
      </c>
      <c r="E130" s="51" t="s">
        <v>761</v>
      </c>
      <c r="F130" s="59" t="s">
        <v>200</v>
      </c>
      <c r="G130" s="58" t="s">
        <v>201</v>
      </c>
      <c r="H130" s="60" t="s">
        <v>178</v>
      </c>
      <c r="I130" s="60" t="s">
        <v>192</v>
      </c>
      <c r="J130" s="80">
        <v>109.13</v>
      </c>
      <c r="K130" s="66">
        <v>0</v>
      </c>
      <c r="L130" s="102">
        <v>0</v>
      </c>
      <c r="M130" s="66">
        <v>93069</v>
      </c>
      <c r="N130" s="101">
        <v>0</v>
      </c>
      <c r="O130" s="64">
        <v>755035</v>
      </c>
      <c r="P130" s="64">
        <v>13715</v>
      </c>
      <c r="Q130" s="64">
        <v>158396</v>
      </c>
      <c r="R130" s="62">
        <v>15207</v>
      </c>
      <c r="S130" s="104">
        <v>0</v>
      </c>
      <c r="T130" s="103">
        <v>2828</v>
      </c>
      <c r="U130" s="72">
        <v>0</v>
      </c>
      <c r="V130" s="72">
        <v>0</v>
      </c>
    </row>
    <row r="131" spans="1:23">
      <c r="A131" s="50" t="s">
        <v>1224</v>
      </c>
      <c r="B131" s="51" t="s">
        <v>1225</v>
      </c>
      <c r="C131" s="50" t="s">
        <v>424</v>
      </c>
      <c r="D131" s="50">
        <v>82</v>
      </c>
      <c r="E131" s="51" t="s">
        <v>583</v>
      </c>
      <c r="F131" s="59" t="s">
        <v>370</v>
      </c>
      <c r="G131" s="58" t="s">
        <v>371</v>
      </c>
      <c r="H131" s="60" t="s">
        <v>178</v>
      </c>
      <c r="I131" s="60" t="s">
        <v>192</v>
      </c>
      <c r="J131" s="80">
        <v>244.16</v>
      </c>
      <c r="K131" s="66">
        <v>0</v>
      </c>
      <c r="L131" s="102">
        <v>0</v>
      </c>
      <c r="M131" s="66">
        <v>644556</v>
      </c>
      <c r="N131" s="101">
        <v>3846</v>
      </c>
      <c r="O131" s="64">
        <v>1837119</v>
      </c>
      <c r="P131" s="64">
        <v>74495</v>
      </c>
      <c r="Q131" s="64">
        <v>369273</v>
      </c>
      <c r="R131" s="62">
        <v>145764</v>
      </c>
      <c r="S131" s="104">
        <v>148037</v>
      </c>
      <c r="T131" s="103">
        <v>11935</v>
      </c>
      <c r="U131" s="72">
        <v>0</v>
      </c>
      <c r="V131" s="72">
        <v>0</v>
      </c>
    </row>
    <row r="132" spans="1:23">
      <c r="A132" s="50" t="s">
        <v>1218</v>
      </c>
      <c r="B132" s="51" t="s">
        <v>1219</v>
      </c>
      <c r="C132" s="50" t="s">
        <v>424</v>
      </c>
      <c r="D132" s="50">
        <v>1</v>
      </c>
      <c r="E132" s="51" t="s">
        <v>1221</v>
      </c>
      <c r="F132" s="59" t="s">
        <v>447</v>
      </c>
      <c r="G132" s="58" t="s">
        <v>448</v>
      </c>
      <c r="H132" s="60" t="s">
        <v>178</v>
      </c>
      <c r="I132" s="60" t="s">
        <v>191</v>
      </c>
      <c r="J132" s="80">
        <v>150.44</v>
      </c>
      <c r="K132" s="66">
        <v>0</v>
      </c>
      <c r="L132" s="102">
        <v>0</v>
      </c>
      <c r="M132" s="66">
        <v>89422</v>
      </c>
      <c r="N132" s="101">
        <v>1323</v>
      </c>
      <c r="O132" s="64">
        <v>854852</v>
      </c>
      <c r="P132" s="64">
        <v>134775</v>
      </c>
      <c r="Q132" s="64">
        <v>170826</v>
      </c>
      <c r="R132" s="62">
        <v>20515</v>
      </c>
      <c r="S132" s="104">
        <v>0</v>
      </c>
      <c r="T132" s="103">
        <v>80547</v>
      </c>
      <c r="U132" s="72">
        <v>-60</v>
      </c>
      <c r="V132" s="72">
        <v>0</v>
      </c>
    </row>
    <row r="133" spans="1:23">
      <c r="A133" s="50" t="s">
        <v>1224</v>
      </c>
      <c r="B133" s="51" t="s">
        <v>1225</v>
      </c>
      <c r="C133" s="50" t="s">
        <v>424</v>
      </c>
      <c r="D133" s="50">
        <v>27</v>
      </c>
      <c r="E133" s="51" t="s">
        <v>1227</v>
      </c>
      <c r="F133" s="59" t="s">
        <v>260</v>
      </c>
      <c r="G133" s="58" t="s">
        <v>261</v>
      </c>
      <c r="H133" s="60" t="s">
        <v>178</v>
      </c>
      <c r="I133" s="60" t="s">
        <v>191</v>
      </c>
      <c r="J133" s="80">
        <v>106.31</v>
      </c>
      <c r="K133" s="66">
        <v>0</v>
      </c>
      <c r="L133" s="102">
        <v>0</v>
      </c>
      <c r="M133" s="66">
        <v>19539</v>
      </c>
      <c r="N133" s="101">
        <v>2932</v>
      </c>
      <c r="O133" s="64">
        <v>869532</v>
      </c>
      <c r="P133" s="64">
        <v>52380</v>
      </c>
      <c r="Q133" s="64">
        <v>177506</v>
      </c>
      <c r="R133" s="62">
        <v>330207</v>
      </c>
      <c r="S133" s="104">
        <v>44396</v>
      </c>
      <c r="T133" s="103">
        <v>9571</v>
      </c>
      <c r="U133" s="72">
        <v>0</v>
      </c>
      <c r="V133" s="72">
        <v>0</v>
      </c>
    </row>
    <row r="134" spans="1:23">
      <c r="A134" s="50" t="s">
        <v>1224</v>
      </c>
      <c r="B134" s="51" t="s">
        <v>1225</v>
      </c>
      <c r="C134" s="50" t="s">
        <v>424</v>
      </c>
      <c r="D134" s="50">
        <v>27</v>
      </c>
      <c r="E134" s="51" t="s">
        <v>1227</v>
      </c>
      <c r="F134" s="59" t="s">
        <v>344</v>
      </c>
      <c r="G134" s="58" t="s">
        <v>345</v>
      </c>
      <c r="H134" s="60" t="s">
        <v>178</v>
      </c>
      <c r="I134" s="60" t="s">
        <v>191</v>
      </c>
      <c r="J134" s="80">
        <v>28.91</v>
      </c>
      <c r="K134" s="66">
        <v>0</v>
      </c>
      <c r="L134" s="102">
        <v>0</v>
      </c>
      <c r="M134" s="66">
        <v>1022</v>
      </c>
      <c r="N134" s="101">
        <v>0</v>
      </c>
      <c r="O134" s="64">
        <v>215975</v>
      </c>
      <c r="P134" s="64">
        <v>33969</v>
      </c>
      <c r="Q134" s="64">
        <v>43973</v>
      </c>
      <c r="R134" s="62">
        <v>37672</v>
      </c>
      <c r="S134" s="104">
        <v>0</v>
      </c>
      <c r="T134" s="103">
        <v>0</v>
      </c>
      <c r="U134" s="72">
        <v>0</v>
      </c>
      <c r="V134" s="72">
        <v>0</v>
      </c>
    </row>
    <row r="135" spans="1:23">
      <c r="A135" s="50" t="s">
        <v>1224</v>
      </c>
      <c r="B135" s="51" t="s">
        <v>1225</v>
      </c>
      <c r="C135" s="50" t="s">
        <v>424</v>
      </c>
      <c r="D135" s="50">
        <v>82</v>
      </c>
      <c r="E135" s="51" t="s">
        <v>583</v>
      </c>
      <c r="F135" s="59" t="s">
        <v>282</v>
      </c>
      <c r="G135" s="58" t="s">
        <v>283</v>
      </c>
      <c r="H135" s="60" t="s">
        <v>178</v>
      </c>
      <c r="I135" s="60" t="s">
        <v>190</v>
      </c>
      <c r="J135" s="80">
        <v>81.73</v>
      </c>
      <c r="K135" s="66">
        <v>0</v>
      </c>
      <c r="L135" s="102">
        <v>0</v>
      </c>
      <c r="M135" s="66">
        <v>123084</v>
      </c>
      <c r="N135" s="101">
        <v>365</v>
      </c>
      <c r="O135" s="64">
        <v>399191</v>
      </c>
      <c r="P135" s="64">
        <v>6818</v>
      </c>
      <c r="Q135" s="64">
        <v>138457</v>
      </c>
      <c r="R135" s="62">
        <v>185491</v>
      </c>
      <c r="S135" s="104">
        <v>812</v>
      </c>
      <c r="T135" s="103">
        <v>81600</v>
      </c>
      <c r="U135" s="72">
        <v>0</v>
      </c>
      <c r="V135" s="72">
        <v>0</v>
      </c>
    </row>
    <row r="136" spans="1:23">
      <c r="A136" s="14"/>
      <c r="B136" s="15"/>
      <c r="C136" s="14"/>
      <c r="D136" s="14"/>
      <c r="E136" s="15"/>
      <c r="F136" s="15" t="s">
        <v>174</v>
      </c>
      <c r="G136" s="14" t="s">
        <v>175</v>
      </c>
      <c r="H136" s="14"/>
      <c r="I136" s="14"/>
      <c r="J136" s="80">
        <f t="shared" ref="J136:V136" si="0">SUM(J6:J135)</f>
        <v>23816.179999999993</v>
      </c>
      <c r="K136" s="16">
        <f t="shared" si="0"/>
        <v>0</v>
      </c>
      <c r="L136" s="16">
        <f t="shared" si="0"/>
        <v>0</v>
      </c>
      <c r="M136" s="16">
        <f t="shared" si="0"/>
        <v>11636512</v>
      </c>
      <c r="N136" s="16">
        <f t="shared" si="0"/>
        <v>347133</v>
      </c>
      <c r="O136" s="16">
        <f t="shared" si="0"/>
        <v>172745986</v>
      </c>
      <c r="P136" s="16">
        <f t="shared" si="0"/>
        <v>19975462</v>
      </c>
      <c r="Q136" s="16">
        <f t="shared" si="0"/>
        <v>31517488</v>
      </c>
      <c r="R136" s="16">
        <f t="shared" si="0"/>
        <v>19216085</v>
      </c>
      <c r="S136" s="16">
        <f t="shared" si="0"/>
        <v>5535531</v>
      </c>
      <c r="T136" s="16">
        <f t="shared" si="0"/>
        <v>3065962</v>
      </c>
      <c r="U136" s="16">
        <f t="shared" si="0"/>
        <v>-78058.36</v>
      </c>
      <c r="V136" s="16">
        <f t="shared" si="0"/>
        <v>-46337.59</v>
      </c>
      <c r="W136" s="100"/>
    </row>
    <row r="137" spans="1:23">
      <c r="L137" s="100"/>
      <c r="M137" s="100">
        <f>SUM(K136:M136)</f>
        <v>11636512</v>
      </c>
      <c r="Q137" s="100">
        <f>SUM(N136:Q136)</f>
        <v>224586069</v>
      </c>
      <c r="S137" s="100">
        <f>SUM(R136:S136)</f>
        <v>24751616</v>
      </c>
      <c r="T137" s="100">
        <f>T136</f>
        <v>3065962</v>
      </c>
      <c r="V137" s="100">
        <f>SUM(U136:V136)</f>
        <v>-124395.95</v>
      </c>
      <c r="W137" s="100">
        <f>SUM(M137:V137)</f>
        <v>263915763.05000001</v>
      </c>
    </row>
    <row r="138" spans="1:23" s="110" customFormat="1">
      <c r="A138" s="112"/>
      <c r="C138" s="112"/>
      <c r="D138" s="112"/>
      <c r="G138" s="112"/>
      <c r="H138" s="112"/>
      <c r="I138" s="112"/>
      <c r="M138" s="110">
        <f>M137/J136</f>
        <v>488.59691184732412</v>
      </c>
      <c r="Q138" s="110">
        <f>Q137/J136</f>
        <v>9429.9786531677237</v>
      </c>
      <c r="S138" s="110">
        <f>S137/J136</f>
        <v>1039.27733162917</v>
      </c>
      <c r="T138" s="110">
        <f>T137/J136</f>
        <v>128.73441500694071</v>
      </c>
      <c r="V138" s="110">
        <f>V137/J136</f>
        <v>-5.2231697106756849</v>
      </c>
      <c r="W138" s="100">
        <f>SUM(M138:V138)</f>
        <v>11081.364141940481</v>
      </c>
    </row>
  </sheetData>
  <sortState ref="A7:Z494">
    <sortCondition ref="G7:G494"/>
  </sortState>
  <mergeCells count="8">
    <mergeCell ref="G2:G5"/>
    <mergeCell ref="J2:J5"/>
    <mergeCell ref="A2:A5"/>
    <mergeCell ref="B2:B5"/>
    <mergeCell ref="C2:C5"/>
    <mergeCell ref="D2:D5"/>
    <mergeCell ref="E2:E5"/>
    <mergeCell ref="F2:F4"/>
  </mergeCells>
  <phoneticPr fontId="18" type="noConversion"/>
  <hyperlinks>
    <hyperlink ref="F1" r:id="rId1"/>
  </hyperlinks>
  <pageMargins left="0.7" right="0.7" top="0.75" bottom="0.75" header="0.3" footer="0.3"/>
  <extLst>
    <ext xmlns:mx="http://schemas.microsoft.com/office/mac/excel/2008/main" uri="http://schemas.microsoft.com/office/mac/excel/2008/main">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mv="urn:schemas-microsoft-com:mac:vml" mc:Ignorable="mv" mc:PreserveAttributes="mv:*">
  <dimension ref="A1:W69"/>
  <sheetViews>
    <sheetView topLeftCell="G37" workbookViewId="0">
      <selection activeCell="S69" sqref="S69"/>
    </sheetView>
  </sheetViews>
  <sheetFormatPr baseColWidth="10" defaultColWidth="8.83203125" defaultRowHeight="12"/>
  <cols>
    <col min="1" max="1" width="8.5" style="8" hidden="1" customWidth="1"/>
    <col min="2" max="2" width="25.6640625" hidden="1" customWidth="1"/>
    <col min="3" max="3" width="4.33203125" style="8" hidden="1" customWidth="1"/>
    <col min="4" max="4" width="4.5" style="8" hidden="1" customWidth="1"/>
    <col min="5" max="5" width="15.5" hidden="1" customWidth="1"/>
    <col min="6" max="6" width="44.5" customWidth="1"/>
    <col min="7" max="9" width="9.33203125" style="8" customWidth="1"/>
    <col min="10" max="10" width="9.33203125" customWidth="1"/>
    <col min="11" max="11" width="11.83203125" customWidth="1"/>
    <col min="12" max="12" width="11" customWidth="1"/>
    <col min="13" max="13" width="11.83203125" customWidth="1"/>
    <col min="14" max="14" width="10" customWidth="1"/>
    <col min="15" max="15" width="11.5" customWidth="1"/>
    <col min="16" max="16" width="10.1640625" customWidth="1"/>
    <col min="17" max="17" width="12.5" customWidth="1"/>
    <col min="18" max="18" width="11" customWidth="1"/>
    <col min="19" max="19" width="10" customWidth="1"/>
    <col min="20" max="20" width="11" customWidth="1"/>
    <col min="21" max="22" width="9.83203125" customWidth="1"/>
    <col min="23" max="23" width="10.1640625" bestFit="1" customWidth="1"/>
  </cols>
  <sheetData>
    <row r="1" spans="1:22" ht="13" thickBot="1">
      <c r="F1" s="17" t="s">
        <v>177</v>
      </c>
    </row>
    <row r="2" spans="1:22" ht="18" thickBot="1">
      <c r="A2" s="220" t="s">
        <v>1215</v>
      </c>
      <c r="B2" s="220" t="s">
        <v>1173</v>
      </c>
      <c r="C2" s="220" t="s">
        <v>1216</v>
      </c>
      <c r="D2" s="220" t="s">
        <v>1172</v>
      </c>
      <c r="E2" s="231" t="s">
        <v>1214</v>
      </c>
      <c r="F2" s="224" t="s">
        <v>176</v>
      </c>
      <c r="G2" s="241" t="s">
        <v>1170</v>
      </c>
      <c r="H2" s="32"/>
      <c r="I2" s="32"/>
      <c r="J2" s="244" t="s">
        <v>1213</v>
      </c>
      <c r="K2" s="19" t="s">
        <v>1201</v>
      </c>
      <c r="M2" s="19"/>
      <c r="O2" s="20"/>
      <c r="P2" s="20"/>
      <c r="Q2" s="20"/>
      <c r="R2" s="20"/>
    </row>
    <row r="3" spans="1:22" ht="25" thickBot="1">
      <c r="A3" s="221"/>
      <c r="B3" s="221"/>
      <c r="C3" s="221"/>
      <c r="D3" s="221"/>
      <c r="E3" s="232"/>
      <c r="F3" s="225"/>
      <c r="G3" s="242"/>
      <c r="H3" s="33"/>
      <c r="I3" s="33"/>
      <c r="J3" s="245"/>
      <c r="K3" s="21" t="s">
        <v>1192</v>
      </c>
      <c r="M3" s="21"/>
      <c r="O3" s="21" t="s">
        <v>1194</v>
      </c>
      <c r="P3" s="22"/>
      <c r="Q3" s="22"/>
      <c r="R3" s="2" t="s">
        <v>1196</v>
      </c>
    </row>
    <row r="4" spans="1:22" ht="39" thickBot="1">
      <c r="A4" s="221"/>
      <c r="B4" s="221"/>
      <c r="C4" s="221"/>
      <c r="D4" s="221"/>
      <c r="E4" s="232"/>
      <c r="F4" s="226"/>
      <c r="G4" s="242"/>
      <c r="H4" s="34" t="s">
        <v>178</v>
      </c>
      <c r="I4" s="34" t="s">
        <v>189</v>
      </c>
      <c r="J4" s="245"/>
      <c r="K4" s="9" t="s">
        <v>1191</v>
      </c>
      <c r="L4" s="67" t="s">
        <v>75</v>
      </c>
      <c r="M4" s="9" t="s">
        <v>1193</v>
      </c>
      <c r="O4" s="9" t="s">
        <v>1195</v>
      </c>
      <c r="P4" s="9" t="s">
        <v>1212</v>
      </c>
      <c r="Q4" s="9" t="s">
        <v>1199</v>
      </c>
      <c r="R4" s="5" t="s">
        <v>1211</v>
      </c>
      <c r="S4" s="67" t="s">
        <v>1211</v>
      </c>
      <c r="T4" s="67" t="s">
        <v>1193</v>
      </c>
    </row>
    <row r="5" spans="1:22" s="3" customFormat="1" ht="13" thickBot="1">
      <c r="A5" s="222"/>
      <c r="B5" s="223"/>
      <c r="C5" s="222"/>
      <c r="D5" s="222"/>
      <c r="E5" s="233"/>
      <c r="F5" s="4" t="s">
        <v>1171</v>
      </c>
      <c r="G5" s="243"/>
      <c r="H5" s="22"/>
      <c r="I5" s="49"/>
      <c r="J5" s="246"/>
      <c r="K5" s="6" t="s">
        <v>1174</v>
      </c>
      <c r="L5" s="67" t="s">
        <v>57</v>
      </c>
      <c r="M5" s="6" t="s">
        <v>1175</v>
      </c>
      <c r="N5" s="67" t="s">
        <v>174</v>
      </c>
      <c r="O5" s="7" t="s">
        <v>1177</v>
      </c>
      <c r="P5" s="7" t="s">
        <v>1178</v>
      </c>
      <c r="Q5" s="7" t="s">
        <v>1179</v>
      </c>
      <c r="R5" s="7" t="s">
        <v>1181</v>
      </c>
      <c r="S5" s="67"/>
      <c r="T5" s="67"/>
      <c r="U5" s="67" t="s">
        <v>193</v>
      </c>
      <c r="V5" s="67" t="s">
        <v>194</v>
      </c>
    </row>
    <row r="6" spans="1:22">
      <c r="A6" s="50" t="s">
        <v>1092</v>
      </c>
      <c r="B6" s="51" t="s">
        <v>1093</v>
      </c>
      <c r="C6" s="50" t="s">
        <v>424</v>
      </c>
      <c r="D6" s="50">
        <v>72</v>
      </c>
      <c r="E6" s="51" t="s">
        <v>521</v>
      </c>
      <c r="F6" s="51" t="s">
        <v>240</v>
      </c>
      <c r="G6" s="50" t="s">
        <v>241</v>
      </c>
      <c r="H6" s="52" t="s">
        <v>178</v>
      </c>
      <c r="I6" s="95" t="s">
        <v>192</v>
      </c>
      <c r="J6" s="53">
        <v>87.16</v>
      </c>
      <c r="K6" s="66">
        <v>0</v>
      </c>
      <c r="L6" s="102">
        <v>0</v>
      </c>
      <c r="M6" s="66">
        <v>62267</v>
      </c>
      <c r="N6" s="101">
        <v>1343</v>
      </c>
      <c r="O6" s="64">
        <v>718200</v>
      </c>
      <c r="P6" s="64">
        <v>15027</v>
      </c>
      <c r="Q6" s="64">
        <v>134815</v>
      </c>
      <c r="R6" s="62">
        <v>157517</v>
      </c>
      <c r="S6" s="104">
        <v>24562</v>
      </c>
      <c r="T6" s="103">
        <v>1499</v>
      </c>
      <c r="U6" s="72">
        <v>0</v>
      </c>
      <c r="V6" s="72">
        <v>0</v>
      </c>
    </row>
    <row r="7" spans="1:22">
      <c r="A7" s="50" t="s">
        <v>1224</v>
      </c>
      <c r="B7" s="51" t="s">
        <v>1225</v>
      </c>
      <c r="C7" s="50" t="s">
        <v>424</v>
      </c>
      <c r="D7" s="50">
        <v>2</v>
      </c>
      <c r="E7" s="51" t="s">
        <v>1236</v>
      </c>
      <c r="F7" s="51" t="s">
        <v>234</v>
      </c>
      <c r="G7" s="50" t="s">
        <v>235</v>
      </c>
      <c r="H7" s="52" t="s">
        <v>178</v>
      </c>
      <c r="I7" s="50" t="s">
        <v>192</v>
      </c>
      <c r="J7" s="53">
        <v>70.7</v>
      </c>
      <c r="K7" s="66">
        <v>0</v>
      </c>
      <c r="L7" s="102">
        <v>0</v>
      </c>
      <c r="M7" s="66">
        <v>13027</v>
      </c>
      <c r="N7" s="101">
        <v>639</v>
      </c>
      <c r="O7" s="64">
        <v>599649</v>
      </c>
      <c r="P7" s="64">
        <v>53838</v>
      </c>
      <c r="Q7" s="64">
        <v>144839</v>
      </c>
      <c r="R7" s="62">
        <v>183653</v>
      </c>
      <c r="S7" s="104">
        <v>14708</v>
      </c>
      <c r="T7" s="103">
        <v>1073</v>
      </c>
      <c r="U7" s="72">
        <v>0</v>
      </c>
      <c r="V7" s="72">
        <v>0</v>
      </c>
    </row>
    <row r="8" spans="1:22">
      <c r="A8" s="50" t="s">
        <v>1224</v>
      </c>
      <c r="B8" s="51" t="s">
        <v>1225</v>
      </c>
      <c r="C8" s="50" t="s">
        <v>424</v>
      </c>
      <c r="D8" s="50">
        <v>27</v>
      </c>
      <c r="E8" s="51" t="s">
        <v>1227</v>
      </c>
      <c r="F8" s="51" t="s">
        <v>338</v>
      </c>
      <c r="G8" s="50" t="s">
        <v>339</v>
      </c>
      <c r="H8" s="52" t="s">
        <v>178</v>
      </c>
      <c r="I8" s="52" t="s">
        <v>192</v>
      </c>
      <c r="J8" s="53">
        <v>231.57</v>
      </c>
      <c r="K8" s="66">
        <v>0</v>
      </c>
      <c r="L8" s="102">
        <v>0</v>
      </c>
      <c r="M8" s="66">
        <v>2320</v>
      </c>
      <c r="N8" s="101">
        <v>4465</v>
      </c>
      <c r="O8" s="64">
        <v>1781024</v>
      </c>
      <c r="P8" s="64">
        <v>28680</v>
      </c>
      <c r="Q8" s="64">
        <v>128902</v>
      </c>
      <c r="R8" s="62">
        <v>120732</v>
      </c>
      <c r="S8" s="104">
        <v>96513</v>
      </c>
      <c r="T8" s="103">
        <v>22094</v>
      </c>
      <c r="U8" s="72">
        <v>-2653.05</v>
      </c>
      <c r="V8" s="72">
        <v>0</v>
      </c>
    </row>
    <row r="9" spans="1:22">
      <c r="A9" s="50" t="s">
        <v>1224</v>
      </c>
      <c r="B9" s="51" t="s">
        <v>1225</v>
      </c>
      <c r="C9" s="50" t="s">
        <v>424</v>
      </c>
      <c r="D9" s="50">
        <v>62</v>
      </c>
      <c r="E9" s="51" t="s">
        <v>785</v>
      </c>
      <c r="F9" s="51" t="s">
        <v>431</v>
      </c>
      <c r="G9" s="50" t="s">
        <v>432</v>
      </c>
      <c r="H9" s="52" t="s">
        <v>178</v>
      </c>
      <c r="I9" s="52" t="s">
        <v>192</v>
      </c>
      <c r="J9" s="53">
        <v>110.46</v>
      </c>
      <c r="K9" s="66">
        <v>0</v>
      </c>
      <c r="L9" s="102">
        <v>0</v>
      </c>
      <c r="M9" s="66">
        <v>31615</v>
      </c>
      <c r="N9" s="101">
        <v>2455</v>
      </c>
      <c r="O9" s="64">
        <v>977382</v>
      </c>
      <c r="P9" s="64">
        <v>40608</v>
      </c>
      <c r="Q9" s="64">
        <v>39720</v>
      </c>
      <c r="R9" s="62">
        <v>203272</v>
      </c>
      <c r="S9" s="104">
        <v>66767</v>
      </c>
      <c r="T9" s="103">
        <v>1001</v>
      </c>
      <c r="U9" s="72">
        <v>0</v>
      </c>
      <c r="V9" s="72">
        <v>0</v>
      </c>
    </row>
    <row r="10" spans="1:22">
      <c r="A10" s="50" t="s">
        <v>1092</v>
      </c>
      <c r="B10" s="51" t="s">
        <v>1093</v>
      </c>
      <c r="C10" s="50" t="s">
        <v>424</v>
      </c>
      <c r="D10" s="50">
        <v>52</v>
      </c>
      <c r="E10" s="51" t="s">
        <v>889</v>
      </c>
      <c r="F10" s="51" t="s">
        <v>116</v>
      </c>
      <c r="G10" s="50" t="s">
        <v>117</v>
      </c>
      <c r="H10" s="52" t="s">
        <v>178</v>
      </c>
      <c r="I10" s="52" t="s">
        <v>192</v>
      </c>
      <c r="J10" s="53">
        <v>65.33</v>
      </c>
      <c r="K10" s="66">
        <v>0</v>
      </c>
      <c r="L10" s="102">
        <v>0</v>
      </c>
      <c r="M10" s="66">
        <v>12235</v>
      </c>
      <c r="N10" s="101">
        <v>0</v>
      </c>
      <c r="O10" s="64">
        <v>488689</v>
      </c>
      <c r="P10" s="64">
        <v>22708</v>
      </c>
      <c r="Q10" s="64">
        <v>50241</v>
      </c>
      <c r="R10" s="62">
        <v>195901</v>
      </c>
      <c r="S10" s="104">
        <v>0</v>
      </c>
      <c r="T10" s="103">
        <v>0</v>
      </c>
      <c r="U10" s="72">
        <v>0</v>
      </c>
      <c r="V10" s="72">
        <v>0</v>
      </c>
    </row>
    <row r="11" spans="1:22">
      <c r="A11" s="50" t="s">
        <v>1224</v>
      </c>
      <c r="B11" s="51" t="s">
        <v>1225</v>
      </c>
      <c r="C11" s="50" t="s">
        <v>424</v>
      </c>
      <c r="D11" s="50">
        <v>27</v>
      </c>
      <c r="E11" s="51" t="s">
        <v>1227</v>
      </c>
      <c r="F11" s="51" t="s">
        <v>326</v>
      </c>
      <c r="G11" s="50" t="s">
        <v>327</v>
      </c>
      <c r="H11" s="52" t="s">
        <v>178</v>
      </c>
      <c r="I11" s="52" t="s">
        <v>192</v>
      </c>
      <c r="J11" s="53">
        <v>91.39</v>
      </c>
      <c r="K11" s="66">
        <v>0</v>
      </c>
      <c r="L11" s="102">
        <v>0</v>
      </c>
      <c r="M11" s="66">
        <v>99168</v>
      </c>
      <c r="N11" s="101">
        <v>1574</v>
      </c>
      <c r="O11" s="64">
        <v>762669</v>
      </c>
      <c r="P11" s="64">
        <v>88581</v>
      </c>
      <c r="Q11" s="64">
        <v>175256</v>
      </c>
      <c r="R11" s="62">
        <v>61727</v>
      </c>
      <c r="S11" s="104">
        <v>34937</v>
      </c>
      <c r="T11" s="103">
        <v>292</v>
      </c>
      <c r="U11" s="72">
        <v>0</v>
      </c>
      <c r="V11" s="72">
        <v>0</v>
      </c>
    </row>
    <row r="12" spans="1:22">
      <c r="A12" s="50" t="s">
        <v>1258</v>
      </c>
      <c r="B12" s="51" t="s">
        <v>1259</v>
      </c>
      <c r="C12" s="50" t="s">
        <v>424</v>
      </c>
      <c r="D12" s="50">
        <v>4</v>
      </c>
      <c r="E12" s="51" t="s">
        <v>1260</v>
      </c>
      <c r="F12" s="51" t="s">
        <v>316</v>
      </c>
      <c r="G12" s="50" t="s">
        <v>317</v>
      </c>
      <c r="H12" s="52" t="s">
        <v>178</v>
      </c>
      <c r="I12" s="52" t="s">
        <v>192</v>
      </c>
      <c r="J12" s="53">
        <v>98.74</v>
      </c>
      <c r="K12" s="66">
        <v>0</v>
      </c>
      <c r="L12" s="102">
        <v>0</v>
      </c>
      <c r="M12" s="66">
        <v>10035</v>
      </c>
      <c r="N12" s="101">
        <v>-1</v>
      </c>
      <c r="O12" s="64">
        <v>907045</v>
      </c>
      <c r="P12" s="64">
        <v>179048</v>
      </c>
      <c r="Q12" s="64">
        <v>107383</v>
      </c>
      <c r="R12" s="62">
        <v>94532</v>
      </c>
      <c r="S12" s="104">
        <v>0</v>
      </c>
      <c r="T12" s="103">
        <v>3614</v>
      </c>
      <c r="U12" s="72">
        <v>0</v>
      </c>
      <c r="V12" s="72">
        <v>0</v>
      </c>
    </row>
    <row r="13" spans="1:22">
      <c r="A13" s="50" t="s">
        <v>1132</v>
      </c>
      <c r="B13" s="51" t="s">
        <v>1133</v>
      </c>
      <c r="C13" s="50" t="s">
        <v>424</v>
      </c>
      <c r="D13" s="50">
        <v>18</v>
      </c>
      <c r="E13" s="51" t="s">
        <v>994</v>
      </c>
      <c r="F13" s="51" t="s">
        <v>238</v>
      </c>
      <c r="G13" s="50" t="s">
        <v>239</v>
      </c>
      <c r="H13" s="52" t="s">
        <v>178</v>
      </c>
      <c r="I13" s="52" t="s">
        <v>192</v>
      </c>
      <c r="J13" s="53">
        <v>69.95</v>
      </c>
      <c r="K13" s="66">
        <v>0</v>
      </c>
      <c r="L13" s="102">
        <v>0</v>
      </c>
      <c r="M13" s="66">
        <v>86982</v>
      </c>
      <c r="N13" s="101">
        <v>15</v>
      </c>
      <c r="O13" s="64">
        <v>405697</v>
      </c>
      <c r="P13" s="64">
        <v>1498269</v>
      </c>
      <c r="Q13" s="64">
        <v>91524</v>
      </c>
      <c r="R13" s="62">
        <v>116718</v>
      </c>
      <c r="S13" s="104">
        <v>741</v>
      </c>
      <c r="T13" s="103">
        <v>0</v>
      </c>
      <c r="U13" s="72">
        <v>0</v>
      </c>
      <c r="V13" s="72">
        <v>0</v>
      </c>
    </row>
    <row r="14" spans="1:22">
      <c r="A14" s="50" t="s">
        <v>1017</v>
      </c>
      <c r="B14" s="51" t="s">
        <v>1018</v>
      </c>
      <c r="C14" s="50" t="s">
        <v>424</v>
      </c>
      <c r="D14" s="50">
        <v>55</v>
      </c>
      <c r="E14" s="51" t="s">
        <v>1033</v>
      </c>
      <c r="F14" s="51" t="s">
        <v>356</v>
      </c>
      <c r="G14" s="50" t="s">
        <v>357</v>
      </c>
      <c r="H14" s="52" t="s">
        <v>178</v>
      </c>
      <c r="I14" s="52" t="s">
        <v>192</v>
      </c>
      <c r="J14" s="53">
        <v>94.53</v>
      </c>
      <c r="K14" s="66">
        <v>0</v>
      </c>
      <c r="L14" s="102">
        <v>0</v>
      </c>
      <c r="M14" s="66">
        <v>44942</v>
      </c>
      <c r="N14" s="101">
        <v>1057</v>
      </c>
      <c r="O14" s="64">
        <v>664325</v>
      </c>
      <c r="P14" s="64">
        <v>18177</v>
      </c>
      <c r="Q14" s="64">
        <v>81381</v>
      </c>
      <c r="R14" s="62">
        <v>73086</v>
      </c>
      <c r="S14" s="104">
        <v>57470</v>
      </c>
      <c r="T14" s="103">
        <v>672</v>
      </c>
      <c r="U14" s="72">
        <v>0</v>
      </c>
      <c r="V14" s="72">
        <v>0</v>
      </c>
    </row>
    <row r="15" spans="1:22">
      <c r="A15" s="50" t="s">
        <v>1224</v>
      </c>
      <c r="B15" s="51" t="s">
        <v>1225</v>
      </c>
      <c r="C15" s="50" t="s">
        <v>424</v>
      </c>
      <c r="D15" s="50">
        <v>62</v>
      </c>
      <c r="E15" s="51" t="s">
        <v>785</v>
      </c>
      <c r="F15" s="51" t="s">
        <v>290</v>
      </c>
      <c r="G15" s="50" t="s">
        <v>291</v>
      </c>
      <c r="H15" s="52" t="s">
        <v>178</v>
      </c>
      <c r="I15" s="52" t="s">
        <v>192</v>
      </c>
      <c r="J15" s="53">
        <v>486.14</v>
      </c>
      <c r="K15" s="66">
        <v>0</v>
      </c>
      <c r="L15" s="102">
        <v>0</v>
      </c>
      <c r="M15" s="66">
        <v>864437</v>
      </c>
      <c r="N15" s="101">
        <v>12528</v>
      </c>
      <c r="O15" s="64">
        <v>2928319</v>
      </c>
      <c r="P15" s="64">
        <v>171005</v>
      </c>
      <c r="Q15" s="64">
        <v>807159</v>
      </c>
      <c r="R15" s="62">
        <v>207337</v>
      </c>
      <c r="S15" s="104">
        <v>142522</v>
      </c>
      <c r="T15" s="103">
        <v>72901</v>
      </c>
      <c r="U15" s="72">
        <v>0</v>
      </c>
      <c r="V15" s="72">
        <v>0</v>
      </c>
    </row>
    <row r="16" spans="1:22">
      <c r="A16" s="50" t="s">
        <v>1224</v>
      </c>
      <c r="B16" s="51" t="s">
        <v>1225</v>
      </c>
      <c r="C16" s="50" t="s">
        <v>424</v>
      </c>
      <c r="D16" s="50">
        <v>62</v>
      </c>
      <c r="E16" s="51" t="s">
        <v>785</v>
      </c>
      <c r="F16" s="51" t="s">
        <v>304</v>
      </c>
      <c r="G16" s="50" t="s">
        <v>305</v>
      </c>
      <c r="H16" s="52" t="s">
        <v>178</v>
      </c>
      <c r="I16" s="95" t="s">
        <v>192</v>
      </c>
      <c r="J16" s="53">
        <v>223.32</v>
      </c>
      <c r="K16" s="66">
        <v>0</v>
      </c>
      <c r="L16" s="102">
        <v>0</v>
      </c>
      <c r="M16" s="66">
        <v>119210</v>
      </c>
      <c r="N16" s="101">
        <v>4489</v>
      </c>
      <c r="O16" s="64">
        <v>1886683</v>
      </c>
      <c r="P16" s="64">
        <v>117237</v>
      </c>
      <c r="Q16" s="64">
        <v>300745</v>
      </c>
      <c r="R16" s="62">
        <v>240509</v>
      </c>
      <c r="S16" s="104">
        <v>82731</v>
      </c>
      <c r="T16" s="103">
        <v>0</v>
      </c>
      <c r="U16" s="72">
        <v>0</v>
      </c>
      <c r="V16" s="72">
        <v>0</v>
      </c>
    </row>
    <row r="17" spans="1:22">
      <c r="A17" s="50" t="s">
        <v>1017</v>
      </c>
      <c r="B17" s="51" t="s">
        <v>1018</v>
      </c>
      <c r="C17" s="50" t="s">
        <v>424</v>
      </c>
      <c r="D17" s="50">
        <v>66</v>
      </c>
      <c r="E17" s="51" t="s">
        <v>808</v>
      </c>
      <c r="F17" s="51" t="s">
        <v>138</v>
      </c>
      <c r="G17" s="50" t="s">
        <v>139</v>
      </c>
      <c r="H17" s="52" t="s">
        <v>178</v>
      </c>
      <c r="I17" s="52" t="s">
        <v>192</v>
      </c>
      <c r="J17" s="53">
        <v>147.69999999999999</v>
      </c>
      <c r="K17" s="66">
        <v>0</v>
      </c>
      <c r="L17" s="102">
        <v>0</v>
      </c>
      <c r="M17" s="66">
        <v>4725</v>
      </c>
      <c r="N17" s="101">
        <v>3190</v>
      </c>
      <c r="O17" s="64">
        <v>1232154</v>
      </c>
      <c r="P17" s="64">
        <v>151537</v>
      </c>
      <c r="Q17" s="64">
        <v>282863</v>
      </c>
      <c r="R17" s="62">
        <v>189544</v>
      </c>
      <c r="S17" s="104">
        <v>64693</v>
      </c>
      <c r="T17" s="103">
        <v>576</v>
      </c>
      <c r="U17" s="72">
        <v>0</v>
      </c>
      <c r="V17" s="72">
        <v>0</v>
      </c>
    </row>
    <row r="18" spans="1:22">
      <c r="A18" s="50" t="s">
        <v>954</v>
      </c>
      <c r="B18" s="51" t="s">
        <v>955</v>
      </c>
      <c r="C18" s="50" t="s">
        <v>424</v>
      </c>
      <c r="D18" s="50">
        <v>43</v>
      </c>
      <c r="E18" s="51" t="s">
        <v>832</v>
      </c>
      <c r="F18" s="51" t="s">
        <v>266</v>
      </c>
      <c r="G18" s="50" t="s">
        <v>267</v>
      </c>
      <c r="H18" s="52" t="s">
        <v>178</v>
      </c>
      <c r="I18" s="52" t="s">
        <v>192</v>
      </c>
      <c r="J18" s="53">
        <v>130.93</v>
      </c>
      <c r="K18" s="66">
        <v>0</v>
      </c>
      <c r="L18" s="102">
        <v>0</v>
      </c>
      <c r="M18" s="66">
        <v>47902</v>
      </c>
      <c r="N18" s="101">
        <v>1529</v>
      </c>
      <c r="O18" s="64">
        <v>1242956</v>
      </c>
      <c r="P18" s="64">
        <v>6043</v>
      </c>
      <c r="Q18" s="64">
        <v>286662</v>
      </c>
      <c r="R18" s="62">
        <v>202808</v>
      </c>
      <c r="S18" s="104">
        <v>50527</v>
      </c>
      <c r="T18" s="103">
        <v>0</v>
      </c>
      <c r="U18" s="72">
        <v>0</v>
      </c>
      <c r="V18" s="72">
        <v>0</v>
      </c>
    </row>
    <row r="19" spans="1:22">
      <c r="A19" s="50" t="s">
        <v>1224</v>
      </c>
      <c r="B19" s="51" t="s">
        <v>1225</v>
      </c>
      <c r="C19" s="50" t="s">
        <v>424</v>
      </c>
      <c r="D19" s="50">
        <v>2</v>
      </c>
      <c r="E19" s="51" t="s">
        <v>1236</v>
      </c>
      <c r="F19" s="51" t="s">
        <v>242</v>
      </c>
      <c r="G19" s="50" t="s">
        <v>243</v>
      </c>
      <c r="H19" s="52" t="s">
        <v>178</v>
      </c>
      <c r="I19" s="52" t="s">
        <v>192</v>
      </c>
      <c r="J19" s="53">
        <v>112.07</v>
      </c>
      <c r="K19" s="66">
        <v>0</v>
      </c>
      <c r="L19" s="102">
        <v>0</v>
      </c>
      <c r="M19" s="66">
        <v>69020</v>
      </c>
      <c r="N19" s="101">
        <v>3902</v>
      </c>
      <c r="O19" s="64">
        <v>941101</v>
      </c>
      <c r="P19" s="64">
        <v>73419</v>
      </c>
      <c r="Q19" s="64">
        <v>150550</v>
      </c>
      <c r="R19" s="62">
        <v>150033</v>
      </c>
      <c r="S19" s="104">
        <v>52884</v>
      </c>
      <c r="T19" s="103">
        <v>3425</v>
      </c>
      <c r="U19" s="72">
        <v>0</v>
      </c>
      <c r="V19" s="72">
        <v>0</v>
      </c>
    </row>
    <row r="20" spans="1:22">
      <c r="A20" s="50" t="s">
        <v>1224</v>
      </c>
      <c r="B20" s="51" t="s">
        <v>1225</v>
      </c>
      <c r="C20" s="50" t="s">
        <v>424</v>
      </c>
      <c r="D20" s="50">
        <v>27</v>
      </c>
      <c r="E20" s="51" t="s">
        <v>1227</v>
      </c>
      <c r="F20" s="51" t="s">
        <v>216</v>
      </c>
      <c r="G20" s="50" t="s">
        <v>217</v>
      </c>
      <c r="H20" s="52" t="s">
        <v>178</v>
      </c>
      <c r="I20" s="52" t="s">
        <v>192</v>
      </c>
      <c r="J20" s="53">
        <v>423.75</v>
      </c>
      <c r="K20" s="66">
        <v>0</v>
      </c>
      <c r="L20" s="102">
        <v>0</v>
      </c>
      <c r="M20" s="66">
        <v>49959</v>
      </c>
      <c r="N20" s="101">
        <v>23387</v>
      </c>
      <c r="O20" s="64">
        <v>4176083</v>
      </c>
      <c r="P20" s="64">
        <v>192597</v>
      </c>
      <c r="Q20" s="64">
        <v>275197</v>
      </c>
      <c r="R20" s="62">
        <v>279764</v>
      </c>
      <c r="S20" s="104">
        <v>149193</v>
      </c>
      <c r="T20" s="103">
        <v>30692</v>
      </c>
      <c r="U20" s="72">
        <v>0</v>
      </c>
      <c r="V20" s="72">
        <v>-46337.59</v>
      </c>
    </row>
    <row r="21" spans="1:22">
      <c r="A21" s="50" t="s">
        <v>1224</v>
      </c>
      <c r="B21" s="51" t="s">
        <v>1225</v>
      </c>
      <c r="C21" s="50" t="s">
        <v>424</v>
      </c>
      <c r="D21" s="50">
        <v>62</v>
      </c>
      <c r="E21" s="51" t="s">
        <v>785</v>
      </c>
      <c r="F21" s="51" t="s">
        <v>114</v>
      </c>
      <c r="G21" s="50" t="s">
        <v>115</v>
      </c>
      <c r="H21" s="52" t="s">
        <v>178</v>
      </c>
      <c r="I21" s="52" t="s">
        <v>192</v>
      </c>
      <c r="J21" s="53">
        <v>93.84</v>
      </c>
      <c r="K21" s="66">
        <v>0</v>
      </c>
      <c r="L21" s="102">
        <v>0</v>
      </c>
      <c r="M21" s="66">
        <v>10785</v>
      </c>
      <c r="N21" s="101">
        <v>-1</v>
      </c>
      <c r="O21" s="64">
        <v>675472</v>
      </c>
      <c r="P21" s="64">
        <v>9760</v>
      </c>
      <c r="Q21" s="64">
        <v>72134</v>
      </c>
      <c r="R21" s="62">
        <v>122772</v>
      </c>
      <c r="S21" s="104">
        <v>0</v>
      </c>
      <c r="T21" s="103">
        <v>0</v>
      </c>
      <c r="U21" s="72">
        <v>0</v>
      </c>
      <c r="V21" s="72">
        <v>0</v>
      </c>
    </row>
    <row r="22" spans="1:22">
      <c r="A22" s="50" t="s">
        <v>1224</v>
      </c>
      <c r="B22" s="51" t="s">
        <v>1225</v>
      </c>
      <c r="C22" s="50" t="s">
        <v>424</v>
      </c>
      <c r="D22" s="50">
        <v>62</v>
      </c>
      <c r="E22" s="51" t="s">
        <v>785</v>
      </c>
      <c r="F22" s="51" t="s">
        <v>449</v>
      </c>
      <c r="G22" s="50" t="s">
        <v>450</v>
      </c>
      <c r="H22" s="52" t="s">
        <v>178</v>
      </c>
      <c r="I22" s="52" t="s">
        <v>192</v>
      </c>
      <c r="J22" s="53">
        <v>1346.13</v>
      </c>
      <c r="K22" s="66">
        <v>0</v>
      </c>
      <c r="L22" s="102">
        <v>0</v>
      </c>
      <c r="M22" s="66">
        <v>361509</v>
      </c>
      <c r="N22" s="101">
        <v>13379</v>
      </c>
      <c r="O22" s="64">
        <v>10472542</v>
      </c>
      <c r="P22" s="64">
        <v>456761</v>
      </c>
      <c r="Q22" s="64">
        <v>1240160</v>
      </c>
      <c r="R22" s="62">
        <v>721653</v>
      </c>
      <c r="S22" s="104">
        <v>262703</v>
      </c>
      <c r="T22" s="103">
        <v>0</v>
      </c>
      <c r="U22" s="72">
        <v>0</v>
      </c>
      <c r="V22" s="72">
        <v>0</v>
      </c>
    </row>
    <row r="23" spans="1:22">
      <c r="A23" s="50" t="s">
        <v>1224</v>
      </c>
      <c r="B23" s="51" t="s">
        <v>1225</v>
      </c>
      <c r="C23" s="50" t="s">
        <v>424</v>
      </c>
      <c r="D23" s="50">
        <v>27</v>
      </c>
      <c r="E23" s="51" t="s">
        <v>1227</v>
      </c>
      <c r="F23" s="51" t="s">
        <v>354</v>
      </c>
      <c r="G23" s="50" t="s">
        <v>355</v>
      </c>
      <c r="H23" s="52" t="s">
        <v>178</v>
      </c>
      <c r="I23" s="52" t="s">
        <v>192</v>
      </c>
      <c r="J23" s="53">
        <v>291.36</v>
      </c>
      <c r="K23" s="66">
        <v>0</v>
      </c>
      <c r="L23" s="102">
        <v>0</v>
      </c>
      <c r="M23" s="66">
        <v>140828</v>
      </c>
      <c r="N23" s="101">
        <v>5240</v>
      </c>
      <c r="O23" s="64">
        <v>2742385</v>
      </c>
      <c r="P23" s="64">
        <v>124375</v>
      </c>
      <c r="Q23" s="64">
        <v>268218</v>
      </c>
      <c r="R23" s="62">
        <v>156952</v>
      </c>
      <c r="S23" s="104">
        <v>156965</v>
      </c>
      <c r="T23" s="103">
        <v>0</v>
      </c>
      <c r="U23" s="72">
        <v>0</v>
      </c>
      <c r="V23" s="72">
        <v>0</v>
      </c>
    </row>
    <row r="24" spans="1:22">
      <c r="A24" s="50" t="s">
        <v>1224</v>
      </c>
      <c r="B24" s="51" t="s">
        <v>1225</v>
      </c>
      <c r="C24" s="50" t="s">
        <v>424</v>
      </c>
      <c r="D24" s="50">
        <v>27</v>
      </c>
      <c r="E24" s="51" t="s">
        <v>1227</v>
      </c>
      <c r="F24" s="51" t="s">
        <v>376</v>
      </c>
      <c r="G24" s="50" t="s">
        <v>377</v>
      </c>
      <c r="H24" s="52" t="s">
        <v>178</v>
      </c>
      <c r="I24" s="52" t="s">
        <v>192</v>
      </c>
      <c r="J24" s="53">
        <v>125.09</v>
      </c>
      <c r="K24" s="66">
        <v>0</v>
      </c>
      <c r="L24" s="102">
        <v>0</v>
      </c>
      <c r="M24" s="66">
        <v>7304</v>
      </c>
      <c r="N24" s="101">
        <v>2103</v>
      </c>
      <c r="O24" s="64">
        <v>790237</v>
      </c>
      <c r="P24" s="64">
        <v>108026</v>
      </c>
      <c r="Q24" s="64">
        <v>75756</v>
      </c>
      <c r="R24" s="62">
        <v>48777</v>
      </c>
      <c r="S24" s="104">
        <v>31491</v>
      </c>
      <c r="T24" s="103">
        <v>11388</v>
      </c>
      <c r="U24" s="72">
        <v>0</v>
      </c>
      <c r="V24" s="72">
        <v>0</v>
      </c>
    </row>
    <row r="25" spans="1:22">
      <c r="A25" s="50" t="s">
        <v>1080</v>
      </c>
      <c r="B25" s="51" t="s">
        <v>1081</v>
      </c>
      <c r="C25" s="50" t="s">
        <v>424</v>
      </c>
      <c r="D25" s="50">
        <v>71</v>
      </c>
      <c r="E25" s="51" t="s">
        <v>683</v>
      </c>
      <c r="F25" s="51" t="s">
        <v>288</v>
      </c>
      <c r="G25" s="50" t="s">
        <v>289</v>
      </c>
      <c r="H25" s="52" t="s">
        <v>178</v>
      </c>
      <c r="I25" s="52" t="s">
        <v>192</v>
      </c>
      <c r="J25" s="53">
        <v>298.32</v>
      </c>
      <c r="K25" s="66">
        <v>0</v>
      </c>
      <c r="L25" s="102">
        <v>0</v>
      </c>
      <c r="M25" s="66">
        <v>18327</v>
      </c>
      <c r="N25" s="101">
        <v>8165</v>
      </c>
      <c r="O25" s="64">
        <v>2267916</v>
      </c>
      <c r="P25" s="64">
        <v>93239</v>
      </c>
      <c r="Q25" s="64">
        <v>475700</v>
      </c>
      <c r="R25" s="62">
        <v>207850</v>
      </c>
      <c r="S25" s="104">
        <v>110098</v>
      </c>
      <c r="T25" s="103">
        <v>1379</v>
      </c>
      <c r="U25" s="72">
        <v>0</v>
      </c>
      <c r="V25" s="72">
        <v>0</v>
      </c>
    </row>
    <row r="26" spans="1:22">
      <c r="A26" s="50" t="s">
        <v>1224</v>
      </c>
      <c r="B26" s="51" t="s">
        <v>1225</v>
      </c>
      <c r="C26" s="50" t="s">
        <v>424</v>
      </c>
      <c r="D26" s="50">
        <v>19</v>
      </c>
      <c r="E26" s="51" t="s">
        <v>1233</v>
      </c>
      <c r="F26" s="51" t="s">
        <v>126</v>
      </c>
      <c r="G26" s="50" t="s">
        <v>127</v>
      </c>
      <c r="H26" s="52" t="s">
        <v>178</v>
      </c>
      <c r="I26" s="95" t="s">
        <v>192</v>
      </c>
      <c r="J26" s="53">
        <v>77.25</v>
      </c>
      <c r="K26" s="66">
        <v>0</v>
      </c>
      <c r="L26" s="102">
        <v>0</v>
      </c>
      <c r="M26" s="66">
        <v>238518</v>
      </c>
      <c r="N26" s="101">
        <v>1635</v>
      </c>
      <c r="O26" s="64">
        <v>413664</v>
      </c>
      <c r="P26" s="64">
        <v>40284</v>
      </c>
      <c r="Q26" s="64">
        <v>114703</v>
      </c>
      <c r="R26" s="62">
        <v>37856</v>
      </c>
      <c r="S26" s="104">
        <v>17845</v>
      </c>
      <c r="T26" s="103">
        <v>2515</v>
      </c>
      <c r="U26" s="72">
        <v>0</v>
      </c>
      <c r="V26" s="72">
        <v>0</v>
      </c>
    </row>
    <row r="27" spans="1:22">
      <c r="A27" s="50" t="s">
        <v>1224</v>
      </c>
      <c r="B27" s="51" t="s">
        <v>1225</v>
      </c>
      <c r="C27" s="50" t="s">
        <v>424</v>
      </c>
      <c r="D27" s="50">
        <v>27</v>
      </c>
      <c r="E27" s="51" t="s">
        <v>1227</v>
      </c>
      <c r="F27" s="51" t="s">
        <v>441</v>
      </c>
      <c r="G27" s="50" t="s">
        <v>442</v>
      </c>
      <c r="H27" s="52" t="s">
        <v>178</v>
      </c>
      <c r="I27" s="52" t="s">
        <v>192</v>
      </c>
      <c r="J27" s="53">
        <v>248.26</v>
      </c>
      <c r="K27" s="66">
        <v>0</v>
      </c>
      <c r="L27" s="102">
        <v>0</v>
      </c>
      <c r="M27" s="66">
        <v>1372264</v>
      </c>
      <c r="N27" s="101">
        <v>9171</v>
      </c>
      <c r="O27" s="64">
        <v>1955894</v>
      </c>
      <c r="P27" s="64">
        <v>563076</v>
      </c>
      <c r="Q27" s="64">
        <v>558280</v>
      </c>
      <c r="R27" s="62">
        <v>626576</v>
      </c>
      <c r="S27" s="104">
        <v>156260</v>
      </c>
      <c r="T27" s="103">
        <v>54232</v>
      </c>
      <c r="U27" s="72">
        <v>0</v>
      </c>
      <c r="V27" s="72">
        <v>0</v>
      </c>
    </row>
    <row r="28" spans="1:22">
      <c r="A28" s="50" t="s">
        <v>1224</v>
      </c>
      <c r="B28" s="51" t="s">
        <v>1225</v>
      </c>
      <c r="C28" s="50" t="s">
        <v>424</v>
      </c>
      <c r="D28" s="50">
        <v>27</v>
      </c>
      <c r="E28" s="51" t="s">
        <v>1227</v>
      </c>
      <c r="F28" s="51" t="s">
        <v>262</v>
      </c>
      <c r="G28" s="50" t="s">
        <v>263</v>
      </c>
      <c r="H28" s="52" t="s">
        <v>178</v>
      </c>
      <c r="I28" s="52" t="s">
        <v>192</v>
      </c>
      <c r="J28" s="53">
        <v>269.58999999999997</v>
      </c>
      <c r="K28" s="66">
        <v>0</v>
      </c>
      <c r="L28" s="102">
        <v>0</v>
      </c>
      <c r="M28" s="66">
        <v>54704</v>
      </c>
      <c r="N28" s="101">
        <v>5756</v>
      </c>
      <c r="O28" s="64">
        <v>2004430</v>
      </c>
      <c r="P28" s="64">
        <v>40564</v>
      </c>
      <c r="Q28" s="64">
        <v>243000</v>
      </c>
      <c r="R28" s="62">
        <v>221854</v>
      </c>
      <c r="S28" s="104">
        <v>148386</v>
      </c>
      <c r="T28" s="103">
        <v>0</v>
      </c>
      <c r="U28" s="72">
        <v>0</v>
      </c>
      <c r="V28" s="72">
        <v>0</v>
      </c>
    </row>
    <row r="29" spans="1:22">
      <c r="A29" s="50" t="s">
        <v>1224</v>
      </c>
      <c r="B29" s="51" t="s">
        <v>1225</v>
      </c>
      <c r="C29" s="50" t="s">
        <v>424</v>
      </c>
      <c r="D29" s="50">
        <v>62</v>
      </c>
      <c r="E29" s="51" t="s">
        <v>785</v>
      </c>
      <c r="F29" s="51" t="s">
        <v>296</v>
      </c>
      <c r="G29" s="50" t="s">
        <v>297</v>
      </c>
      <c r="H29" s="52" t="s">
        <v>178</v>
      </c>
      <c r="I29" s="52" t="s">
        <v>192</v>
      </c>
      <c r="J29" s="53">
        <v>259.36</v>
      </c>
      <c r="K29" s="66">
        <v>0</v>
      </c>
      <c r="L29" s="102">
        <v>0</v>
      </c>
      <c r="M29" s="66">
        <v>50506</v>
      </c>
      <c r="N29" s="101">
        <v>4744</v>
      </c>
      <c r="O29" s="64">
        <v>1960318</v>
      </c>
      <c r="P29" s="64">
        <v>340501</v>
      </c>
      <c r="Q29" s="64">
        <v>264728</v>
      </c>
      <c r="R29" s="62">
        <v>171362</v>
      </c>
      <c r="S29" s="104">
        <v>91144</v>
      </c>
      <c r="T29" s="103">
        <v>1109</v>
      </c>
      <c r="U29" s="72">
        <v>0</v>
      </c>
      <c r="V29" s="72">
        <v>0</v>
      </c>
    </row>
    <row r="30" spans="1:22">
      <c r="A30" s="50" t="s">
        <v>1017</v>
      </c>
      <c r="B30" s="51" t="s">
        <v>1018</v>
      </c>
      <c r="C30" s="50" t="s">
        <v>424</v>
      </c>
      <c r="D30" s="50">
        <v>74</v>
      </c>
      <c r="E30" s="51" t="s">
        <v>709</v>
      </c>
      <c r="F30" s="51" t="s">
        <v>136</v>
      </c>
      <c r="G30" s="50" t="s">
        <v>137</v>
      </c>
      <c r="H30" s="52" t="s">
        <v>178</v>
      </c>
      <c r="I30" s="50" t="s">
        <v>192</v>
      </c>
      <c r="J30" s="53">
        <v>89.3</v>
      </c>
      <c r="K30" s="66">
        <v>0</v>
      </c>
      <c r="L30" s="102">
        <v>0</v>
      </c>
      <c r="M30" s="66">
        <v>532580</v>
      </c>
      <c r="N30" s="101">
        <v>3842</v>
      </c>
      <c r="O30" s="64">
        <v>571561</v>
      </c>
      <c r="P30" s="64">
        <v>23975</v>
      </c>
      <c r="Q30" s="64">
        <v>155818</v>
      </c>
      <c r="R30" s="62">
        <v>124834</v>
      </c>
      <c r="S30" s="104">
        <v>27871</v>
      </c>
      <c r="T30" s="103">
        <v>4152</v>
      </c>
      <c r="U30" s="72">
        <v>0</v>
      </c>
      <c r="V30" s="72">
        <v>0</v>
      </c>
    </row>
    <row r="31" spans="1:22">
      <c r="A31" s="50" t="s">
        <v>1224</v>
      </c>
      <c r="B31" s="51" t="s">
        <v>1225</v>
      </c>
      <c r="C31" s="50" t="s">
        <v>424</v>
      </c>
      <c r="D31" s="50">
        <v>27</v>
      </c>
      <c r="E31" s="51" t="s">
        <v>1227</v>
      </c>
      <c r="F31" s="51" t="s">
        <v>352</v>
      </c>
      <c r="G31" s="50" t="s">
        <v>353</v>
      </c>
      <c r="H31" s="52" t="s">
        <v>178</v>
      </c>
      <c r="I31" s="52" t="s">
        <v>192</v>
      </c>
      <c r="J31" s="53">
        <v>527.77</v>
      </c>
      <c r="K31" s="66">
        <v>0</v>
      </c>
      <c r="L31" s="102">
        <v>0</v>
      </c>
      <c r="M31" s="66">
        <v>118894</v>
      </c>
      <c r="N31" s="101">
        <v>13138</v>
      </c>
      <c r="O31" s="64">
        <v>4523400</v>
      </c>
      <c r="P31" s="64">
        <v>311162</v>
      </c>
      <c r="Q31" s="64">
        <v>734515</v>
      </c>
      <c r="R31" s="62">
        <v>325945</v>
      </c>
      <c r="S31" s="104">
        <v>320605</v>
      </c>
      <c r="T31" s="103">
        <v>0</v>
      </c>
      <c r="U31" s="72">
        <v>0</v>
      </c>
      <c r="V31" s="72">
        <v>0</v>
      </c>
    </row>
    <row r="32" spans="1:22">
      <c r="A32" s="50" t="s">
        <v>1224</v>
      </c>
      <c r="B32" s="51" t="s">
        <v>1225</v>
      </c>
      <c r="C32" s="50" t="s">
        <v>424</v>
      </c>
      <c r="D32" s="50">
        <v>27</v>
      </c>
      <c r="E32" s="51" t="s">
        <v>1227</v>
      </c>
      <c r="F32" s="51" t="s">
        <v>252</v>
      </c>
      <c r="G32" s="50" t="s">
        <v>253</v>
      </c>
      <c r="H32" s="52" t="s">
        <v>178</v>
      </c>
      <c r="I32" s="52" t="s">
        <v>192</v>
      </c>
      <c r="J32" s="53">
        <v>215.92</v>
      </c>
      <c r="K32" s="66">
        <v>0</v>
      </c>
      <c r="L32" s="102">
        <v>0</v>
      </c>
      <c r="M32" s="66">
        <v>23193</v>
      </c>
      <c r="N32" s="101">
        <v>3645</v>
      </c>
      <c r="O32" s="64">
        <v>2095308</v>
      </c>
      <c r="P32" s="64">
        <v>29616</v>
      </c>
      <c r="Q32" s="64">
        <v>212664</v>
      </c>
      <c r="R32" s="62">
        <v>235241</v>
      </c>
      <c r="S32" s="104">
        <v>93692</v>
      </c>
      <c r="T32" s="103">
        <v>0</v>
      </c>
      <c r="U32" s="72">
        <v>0</v>
      </c>
      <c r="V32" s="72">
        <v>0</v>
      </c>
    </row>
    <row r="33" spans="1:23">
      <c r="A33" s="50" t="s">
        <v>1146</v>
      </c>
      <c r="B33" s="51" t="s">
        <v>1147</v>
      </c>
      <c r="C33" s="50" t="s">
        <v>424</v>
      </c>
      <c r="D33" s="50">
        <v>58</v>
      </c>
      <c r="E33" s="51" t="s">
        <v>761</v>
      </c>
      <c r="F33" s="51" t="s">
        <v>200</v>
      </c>
      <c r="G33" s="50" t="s">
        <v>201</v>
      </c>
      <c r="H33" s="52" t="s">
        <v>178</v>
      </c>
      <c r="I33" s="52" t="s">
        <v>192</v>
      </c>
      <c r="J33" s="53">
        <v>109.13</v>
      </c>
      <c r="K33" s="66">
        <v>0</v>
      </c>
      <c r="L33" s="102">
        <v>0</v>
      </c>
      <c r="M33" s="66">
        <v>93069</v>
      </c>
      <c r="N33" s="101">
        <v>0</v>
      </c>
      <c r="O33" s="64">
        <v>755035</v>
      </c>
      <c r="P33" s="64">
        <v>13715</v>
      </c>
      <c r="Q33" s="64">
        <v>158396</v>
      </c>
      <c r="R33" s="62">
        <v>15207</v>
      </c>
      <c r="S33" s="104">
        <v>0</v>
      </c>
      <c r="T33" s="103">
        <v>2828</v>
      </c>
      <c r="U33" s="72">
        <v>0</v>
      </c>
      <c r="V33" s="72">
        <v>0</v>
      </c>
    </row>
    <row r="34" spans="1:23">
      <c r="A34" s="50" t="s">
        <v>1224</v>
      </c>
      <c r="B34" s="51" t="s">
        <v>1225</v>
      </c>
      <c r="C34" s="50" t="s">
        <v>424</v>
      </c>
      <c r="D34" s="50">
        <v>82</v>
      </c>
      <c r="E34" s="51" t="s">
        <v>583</v>
      </c>
      <c r="F34" s="51" t="s">
        <v>370</v>
      </c>
      <c r="G34" s="50" t="s">
        <v>371</v>
      </c>
      <c r="H34" s="52" t="s">
        <v>178</v>
      </c>
      <c r="I34" s="95" t="s">
        <v>192</v>
      </c>
      <c r="J34" s="53">
        <v>244.16</v>
      </c>
      <c r="K34" s="66">
        <v>0</v>
      </c>
      <c r="L34" s="102">
        <v>0</v>
      </c>
      <c r="M34" s="66">
        <v>644556</v>
      </c>
      <c r="N34" s="101">
        <v>3846</v>
      </c>
      <c r="O34" s="64">
        <v>1837119</v>
      </c>
      <c r="P34" s="64">
        <v>74495</v>
      </c>
      <c r="Q34" s="64">
        <v>369273</v>
      </c>
      <c r="R34" s="62">
        <v>145764</v>
      </c>
      <c r="S34" s="104">
        <v>148037</v>
      </c>
      <c r="T34" s="103">
        <v>11935</v>
      </c>
      <c r="U34" s="72">
        <v>0</v>
      </c>
      <c r="V34" s="72">
        <v>0</v>
      </c>
    </row>
    <row r="35" spans="1:23" s="82" customFormat="1">
      <c r="A35" s="58"/>
      <c r="B35" s="59"/>
      <c r="C35" s="58"/>
      <c r="D35" s="58"/>
      <c r="E35" s="59"/>
      <c r="F35" s="59"/>
      <c r="G35" s="58"/>
      <c r="H35" s="60"/>
      <c r="I35" s="60"/>
      <c r="J35" s="80">
        <f t="shared" ref="J35:V35" si="0">SUM(J6:J34)</f>
        <v>6639.22</v>
      </c>
      <c r="K35" s="80">
        <f t="shared" si="0"/>
        <v>0</v>
      </c>
      <c r="L35" s="80">
        <f t="shared" si="0"/>
        <v>0</v>
      </c>
      <c r="M35" s="80">
        <f t="shared" si="0"/>
        <v>5184881</v>
      </c>
      <c r="N35" s="80">
        <f t="shared" si="0"/>
        <v>135235</v>
      </c>
      <c r="O35" s="80">
        <f t="shared" si="0"/>
        <v>52777257</v>
      </c>
      <c r="P35" s="80">
        <f t="shared" si="0"/>
        <v>4886323</v>
      </c>
      <c r="Q35" s="80">
        <f t="shared" si="0"/>
        <v>8000582</v>
      </c>
      <c r="R35" s="80">
        <f t="shared" si="0"/>
        <v>5639776</v>
      </c>
      <c r="S35" s="80">
        <f t="shared" si="0"/>
        <v>2403345</v>
      </c>
      <c r="T35" s="80">
        <f t="shared" si="0"/>
        <v>227377</v>
      </c>
      <c r="U35" s="80">
        <f t="shared" si="0"/>
        <v>-2653.05</v>
      </c>
      <c r="V35" s="80">
        <f t="shared" si="0"/>
        <v>-46337.59</v>
      </c>
    </row>
    <row r="36" spans="1:23" s="82" customFormat="1">
      <c r="A36" s="58"/>
      <c r="B36" s="59"/>
      <c r="C36" s="58"/>
      <c r="D36" s="58"/>
      <c r="E36" s="59"/>
      <c r="F36" s="111"/>
      <c r="G36" s="111"/>
      <c r="H36" s="111"/>
      <c r="I36" s="111"/>
      <c r="J36" s="111"/>
      <c r="K36" s="111"/>
      <c r="L36" s="111"/>
      <c r="M36" s="111">
        <f>SUM(K35:M35)</f>
        <v>5184881</v>
      </c>
      <c r="N36" s="111"/>
      <c r="O36" s="111"/>
      <c r="P36" s="111"/>
      <c r="Q36" s="111">
        <f>SUM(N35:Q35)</f>
        <v>65799397</v>
      </c>
      <c r="R36" s="111"/>
      <c r="S36" s="111">
        <f>SUM(R35:S35)</f>
        <v>8043121</v>
      </c>
      <c r="T36" s="113">
        <f>T35</f>
        <v>227377</v>
      </c>
      <c r="U36" s="113"/>
      <c r="V36" s="113">
        <f>SUM(U35:V35)</f>
        <v>-48990.64</v>
      </c>
      <c r="W36" s="111">
        <f>SUM(K36:V36)</f>
        <v>79205785.359999999</v>
      </c>
    </row>
    <row r="37" spans="1:23" s="82" customFormat="1">
      <c r="A37" s="58"/>
      <c r="B37" s="59"/>
      <c r="C37" s="58"/>
      <c r="D37" s="58"/>
      <c r="E37" s="59"/>
      <c r="F37" s="111"/>
      <c r="G37" s="111"/>
      <c r="H37" s="111"/>
      <c r="I37" s="111"/>
      <c r="J37" s="111"/>
      <c r="K37" s="111"/>
      <c r="L37" s="111"/>
      <c r="M37" s="111">
        <f>M36/J35</f>
        <v>780.94731007558119</v>
      </c>
      <c r="N37" s="111"/>
      <c r="O37" s="111"/>
      <c r="P37" s="111"/>
      <c r="Q37" s="111">
        <f>Q36/J35</f>
        <v>9910.7119511026885</v>
      </c>
      <c r="R37" s="111"/>
      <c r="S37" s="111">
        <f>S36/J35</f>
        <v>1211.4557131711256</v>
      </c>
      <c r="T37" s="110">
        <f>T36/J35</f>
        <v>34.24754715162323</v>
      </c>
      <c r="U37" s="110"/>
      <c r="V37" s="110">
        <f>V36/J35</f>
        <v>-7.378975241067474</v>
      </c>
      <c r="W37" s="111">
        <f>SUM(K37:V37)</f>
        <v>11929.983546259951</v>
      </c>
    </row>
    <row r="38" spans="1:23" s="82" customFormat="1">
      <c r="A38" s="117"/>
      <c r="B38" s="118"/>
      <c r="C38" s="117"/>
      <c r="D38" s="117"/>
      <c r="E38" s="118"/>
      <c r="F38" s="111"/>
      <c r="G38" s="111"/>
      <c r="H38" s="111"/>
      <c r="I38" s="111"/>
      <c r="J38" s="111"/>
      <c r="K38" s="111"/>
      <c r="L38" s="111"/>
      <c r="M38" s="111"/>
      <c r="N38" s="111"/>
      <c r="O38" s="111"/>
      <c r="P38" s="111"/>
      <c r="Q38" s="111"/>
      <c r="R38" s="111"/>
      <c r="S38" s="111"/>
      <c r="T38" s="111"/>
    </row>
    <row r="39" spans="1:23" s="82" customFormat="1">
      <c r="A39" s="126"/>
      <c r="B39" s="127"/>
      <c r="C39" s="126"/>
      <c r="D39" s="126"/>
      <c r="E39" s="127"/>
      <c r="F39" s="127"/>
      <c r="G39" s="126"/>
      <c r="H39" s="128"/>
      <c r="I39" s="128"/>
      <c r="J39" s="129"/>
      <c r="K39" s="129"/>
      <c r="L39" s="129"/>
      <c r="M39" s="129"/>
      <c r="N39" s="129"/>
      <c r="O39" s="129"/>
      <c r="P39" s="129"/>
      <c r="Q39" s="129"/>
      <c r="R39" s="129"/>
      <c r="S39" s="129"/>
      <c r="T39" s="129"/>
      <c r="U39" s="127"/>
      <c r="V39" s="127"/>
    </row>
    <row r="40" spans="1:23">
      <c r="A40" s="119" t="s">
        <v>1224</v>
      </c>
      <c r="B40" s="120" t="s">
        <v>1225</v>
      </c>
      <c r="C40" s="119" t="s">
        <v>424</v>
      </c>
      <c r="D40" s="119">
        <v>62</v>
      </c>
      <c r="E40" s="120" t="s">
        <v>785</v>
      </c>
      <c r="F40" s="120" t="s">
        <v>346</v>
      </c>
      <c r="G40" s="119" t="s">
        <v>347</v>
      </c>
      <c r="H40" s="121" t="s">
        <v>178</v>
      </c>
      <c r="I40" s="121" t="s">
        <v>190</v>
      </c>
      <c r="J40" s="122">
        <v>262.75</v>
      </c>
      <c r="K40" s="123">
        <v>0</v>
      </c>
      <c r="L40" s="102">
        <v>0</v>
      </c>
      <c r="M40" s="123">
        <v>47885</v>
      </c>
      <c r="N40" s="101">
        <v>8154</v>
      </c>
      <c r="O40" s="124">
        <v>2086879</v>
      </c>
      <c r="P40" s="124">
        <v>198549</v>
      </c>
      <c r="Q40" s="124">
        <v>270454</v>
      </c>
      <c r="R40" s="125">
        <v>184592</v>
      </c>
      <c r="S40" s="104">
        <v>134669</v>
      </c>
      <c r="T40" s="103">
        <v>4062</v>
      </c>
      <c r="U40" s="72">
        <v>0</v>
      </c>
      <c r="V40" s="72">
        <v>0</v>
      </c>
    </row>
    <row r="41" spans="1:23">
      <c r="A41" s="50" t="s">
        <v>1224</v>
      </c>
      <c r="B41" s="51" t="s">
        <v>1225</v>
      </c>
      <c r="C41" s="50" t="s">
        <v>424</v>
      </c>
      <c r="D41" s="50">
        <v>82</v>
      </c>
      <c r="E41" s="51" t="s">
        <v>583</v>
      </c>
      <c r="F41" s="51" t="s">
        <v>451</v>
      </c>
      <c r="G41" s="50" t="s">
        <v>452</v>
      </c>
      <c r="H41" s="52" t="s">
        <v>178</v>
      </c>
      <c r="I41" s="52" t="s">
        <v>190</v>
      </c>
      <c r="J41" s="53">
        <v>409.08</v>
      </c>
      <c r="K41" s="66">
        <v>0</v>
      </c>
      <c r="L41" s="102">
        <v>0</v>
      </c>
      <c r="M41" s="66">
        <v>89030</v>
      </c>
      <c r="N41" s="101">
        <v>0</v>
      </c>
      <c r="O41" s="64">
        <v>3228896</v>
      </c>
      <c r="P41" s="64">
        <v>182561</v>
      </c>
      <c r="Q41" s="64">
        <v>598530</v>
      </c>
      <c r="R41" s="62">
        <v>227280</v>
      </c>
      <c r="S41" s="104">
        <v>0</v>
      </c>
      <c r="T41" s="103">
        <v>24975</v>
      </c>
      <c r="U41" s="72">
        <v>0</v>
      </c>
      <c r="V41" s="72">
        <v>0</v>
      </c>
    </row>
    <row r="42" spans="1:23">
      <c r="A42" s="50" t="s">
        <v>1132</v>
      </c>
      <c r="B42" s="51" t="s">
        <v>1133</v>
      </c>
      <c r="C42" s="50" t="s">
        <v>424</v>
      </c>
      <c r="D42" s="50">
        <v>18</v>
      </c>
      <c r="E42" s="51" t="s">
        <v>994</v>
      </c>
      <c r="F42" s="51" t="s">
        <v>350</v>
      </c>
      <c r="G42" s="50" t="s">
        <v>351</v>
      </c>
      <c r="H42" s="52" t="s">
        <v>178</v>
      </c>
      <c r="I42" s="52" t="s">
        <v>190</v>
      </c>
      <c r="J42" s="53">
        <v>154.51</v>
      </c>
      <c r="K42" s="66">
        <v>0</v>
      </c>
      <c r="L42" s="102">
        <v>0</v>
      </c>
      <c r="M42" s="66">
        <v>88885</v>
      </c>
      <c r="N42" s="101">
        <v>371</v>
      </c>
      <c r="O42" s="64">
        <v>1115713</v>
      </c>
      <c r="P42" s="64">
        <v>191219</v>
      </c>
      <c r="Q42" s="64">
        <v>242377</v>
      </c>
      <c r="R42" s="62">
        <v>9127</v>
      </c>
      <c r="S42" s="104">
        <v>6960</v>
      </c>
      <c r="T42" s="103">
        <v>2655</v>
      </c>
      <c r="U42" s="72">
        <v>0</v>
      </c>
      <c r="V42" s="72">
        <v>0</v>
      </c>
    </row>
    <row r="43" spans="1:23">
      <c r="A43" s="50" t="s">
        <v>1087</v>
      </c>
      <c r="B43" s="51" t="s">
        <v>1088</v>
      </c>
      <c r="C43" s="50" t="s">
        <v>424</v>
      </c>
      <c r="D43" s="50">
        <v>87</v>
      </c>
      <c r="E43" s="51" t="s">
        <v>628</v>
      </c>
      <c r="F43" s="51" t="s">
        <v>425</v>
      </c>
      <c r="G43" s="50" t="s">
        <v>426</v>
      </c>
      <c r="H43" s="52" t="s">
        <v>178</v>
      </c>
      <c r="I43" s="52" t="s">
        <v>190</v>
      </c>
      <c r="J43" s="53">
        <v>117.19</v>
      </c>
      <c r="K43" s="66">
        <v>0</v>
      </c>
      <c r="L43" s="102">
        <v>0</v>
      </c>
      <c r="M43" s="66">
        <v>62266</v>
      </c>
      <c r="N43" s="101">
        <v>0</v>
      </c>
      <c r="O43" s="64">
        <v>1083305</v>
      </c>
      <c r="P43" s="64">
        <v>0</v>
      </c>
      <c r="Q43" s="64">
        <v>143110</v>
      </c>
      <c r="R43" s="62">
        <v>0</v>
      </c>
      <c r="S43" s="104">
        <v>0</v>
      </c>
      <c r="T43" s="103">
        <v>0</v>
      </c>
      <c r="U43" s="72">
        <v>0</v>
      </c>
      <c r="V43" s="72">
        <v>0</v>
      </c>
    </row>
    <row r="44" spans="1:23">
      <c r="A44" s="50" t="s">
        <v>1166</v>
      </c>
      <c r="B44" s="51" t="s">
        <v>1167</v>
      </c>
      <c r="C44" s="50" t="s">
        <v>424</v>
      </c>
      <c r="D44" s="50">
        <v>64</v>
      </c>
      <c r="E44" s="51" t="s">
        <v>803</v>
      </c>
      <c r="F44" s="51" t="s">
        <v>445</v>
      </c>
      <c r="G44" s="50" t="s">
        <v>446</v>
      </c>
      <c r="H44" s="52" t="s">
        <v>178</v>
      </c>
      <c r="I44" s="52" t="s">
        <v>190</v>
      </c>
      <c r="J44" s="53">
        <v>590.4</v>
      </c>
      <c r="K44" s="66">
        <v>0</v>
      </c>
      <c r="L44" s="102">
        <v>0</v>
      </c>
      <c r="M44" s="66">
        <v>87237</v>
      </c>
      <c r="N44" s="101">
        <v>0</v>
      </c>
      <c r="O44" s="64">
        <v>4920091</v>
      </c>
      <c r="P44" s="64">
        <v>627865</v>
      </c>
      <c r="Q44" s="64">
        <v>1024715</v>
      </c>
      <c r="R44" s="62">
        <v>438125</v>
      </c>
      <c r="S44" s="104">
        <v>0</v>
      </c>
      <c r="T44" s="103">
        <v>0</v>
      </c>
      <c r="U44" s="72">
        <v>0</v>
      </c>
      <c r="V44" s="72">
        <v>0</v>
      </c>
    </row>
    <row r="45" spans="1:23">
      <c r="A45" s="50" t="s">
        <v>1224</v>
      </c>
      <c r="B45" s="51" t="s">
        <v>1225</v>
      </c>
      <c r="C45" s="50" t="s">
        <v>424</v>
      </c>
      <c r="D45" s="50">
        <v>27</v>
      </c>
      <c r="E45" s="51" t="s">
        <v>1227</v>
      </c>
      <c r="F45" s="51" t="s">
        <v>292</v>
      </c>
      <c r="G45" s="50" t="s">
        <v>293</v>
      </c>
      <c r="H45" s="52" t="s">
        <v>178</v>
      </c>
      <c r="I45" s="52" t="s">
        <v>190</v>
      </c>
      <c r="J45" s="53">
        <v>161.97</v>
      </c>
      <c r="K45" s="66">
        <v>0</v>
      </c>
      <c r="L45" s="102">
        <v>0</v>
      </c>
      <c r="M45" s="66">
        <v>37122</v>
      </c>
      <c r="N45" s="101">
        <v>3258</v>
      </c>
      <c r="O45" s="64">
        <v>1129769</v>
      </c>
      <c r="P45" s="64">
        <v>214488</v>
      </c>
      <c r="Q45" s="64">
        <v>210634</v>
      </c>
      <c r="R45" s="62">
        <v>106947</v>
      </c>
      <c r="S45" s="104">
        <v>75157</v>
      </c>
      <c r="T45" s="103">
        <v>11557</v>
      </c>
      <c r="U45" s="72">
        <v>0</v>
      </c>
      <c r="V45" s="72">
        <v>0</v>
      </c>
    </row>
    <row r="46" spans="1:23">
      <c r="A46" s="50" t="s">
        <v>1224</v>
      </c>
      <c r="B46" s="51" t="s">
        <v>1225</v>
      </c>
      <c r="C46" s="50" t="s">
        <v>424</v>
      </c>
      <c r="D46" s="50">
        <v>27</v>
      </c>
      <c r="E46" s="51" t="s">
        <v>1227</v>
      </c>
      <c r="F46" s="51" t="s">
        <v>455</v>
      </c>
      <c r="G46" s="50" t="s">
        <v>456</v>
      </c>
      <c r="H46" s="52" t="s">
        <v>178</v>
      </c>
      <c r="I46" s="52" t="s">
        <v>190</v>
      </c>
      <c r="J46" s="53">
        <v>119.5</v>
      </c>
      <c r="K46" s="66">
        <v>0</v>
      </c>
      <c r="L46" s="102">
        <v>0</v>
      </c>
      <c r="M46" s="66">
        <v>99413</v>
      </c>
      <c r="N46" s="101">
        <v>0</v>
      </c>
      <c r="O46" s="64">
        <v>751760</v>
      </c>
      <c r="P46" s="64">
        <v>45959</v>
      </c>
      <c r="Q46" s="64">
        <v>213038</v>
      </c>
      <c r="R46" s="62">
        <v>53944</v>
      </c>
      <c r="S46" s="104">
        <v>0</v>
      </c>
      <c r="T46" s="103">
        <v>0</v>
      </c>
      <c r="U46" s="72">
        <v>0</v>
      </c>
      <c r="V46" s="72">
        <v>0</v>
      </c>
    </row>
    <row r="47" spans="1:23">
      <c r="A47" s="50" t="s">
        <v>1224</v>
      </c>
      <c r="B47" s="51" t="s">
        <v>1225</v>
      </c>
      <c r="C47" s="50" t="s">
        <v>424</v>
      </c>
      <c r="D47" s="50">
        <v>62</v>
      </c>
      <c r="E47" s="51" t="s">
        <v>785</v>
      </c>
      <c r="F47" s="51" t="s">
        <v>120</v>
      </c>
      <c r="G47" s="50" t="s">
        <v>121</v>
      </c>
      <c r="H47" s="52" t="s">
        <v>178</v>
      </c>
      <c r="I47" s="52" t="s">
        <v>190</v>
      </c>
      <c r="J47" s="53">
        <v>184.66</v>
      </c>
      <c r="K47" s="66">
        <v>0</v>
      </c>
      <c r="L47" s="102">
        <v>0</v>
      </c>
      <c r="M47" s="66">
        <v>4041</v>
      </c>
      <c r="N47" s="101">
        <v>3985</v>
      </c>
      <c r="O47" s="64">
        <v>1509922</v>
      </c>
      <c r="P47" s="64">
        <v>12079</v>
      </c>
      <c r="Q47" s="64">
        <v>352879</v>
      </c>
      <c r="R47" s="62">
        <v>291058</v>
      </c>
      <c r="S47" s="104">
        <v>105721</v>
      </c>
      <c r="T47" s="103">
        <v>132</v>
      </c>
      <c r="U47" s="72">
        <v>0</v>
      </c>
      <c r="V47" s="72">
        <v>0</v>
      </c>
    </row>
    <row r="48" spans="1:23">
      <c r="A48" s="50" t="s">
        <v>1224</v>
      </c>
      <c r="B48" s="51" t="s">
        <v>1225</v>
      </c>
      <c r="C48" s="50" t="s">
        <v>424</v>
      </c>
      <c r="D48" s="50">
        <v>27</v>
      </c>
      <c r="E48" s="51" t="s">
        <v>1227</v>
      </c>
      <c r="F48" s="51" t="s">
        <v>294</v>
      </c>
      <c r="G48" s="50" t="s">
        <v>295</v>
      </c>
      <c r="H48" s="52" t="s">
        <v>178</v>
      </c>
      <c r="I48" s="52" t="s">
        <v>190</v>
      </c>
      <c r="J48" s="53">
        <v>61.6</v>
      </c>
      <c r="K48" s="66">
        <v>0</v>
      </c>
      <c r="L48" s="102">
        <v>0</v>
      </c>
      <c r="M48" s="66">
        <v>53067</v>
      </c>
      <c r="N48" s="101">
        <v>869</v>
      </c>
      <c r="O48" s="64">
        <v>473940</v>
      </c>
      <c r="P48" s="64">
        <v>53888</v>
      </c>
      <c r="Q48" s="64">
        <v>96001</v>
      </c>
      <c r="R48" s="62">
        <v>42681</v>
      </c>
      <c r="S48" s="104">
        <v>12178</v>
      </c>
      <c r="T48" s="103">
        <v>0</v>
      </c>
      <c r="U48" s="72">
        <v>0</v>
      </c>
      <c r="V48" s="72">
        <v>0</v>
      </c>
    </row>
    <row r="49" spans="1:22">
      <c r="A49" s="50" t="s">
        <v>1224</v>
      </c>
      <c r="B49" s="51" t="s">
        <v>1225</v>
      </c>
      <c r="C49" s="50" t="s">
        <v>424</v>
      </c>
      <c r="D49" s="50">
        <v>62</v>
      </c>
      <c r="E49" s="51" t="s">
        <v>785</v>
      </c>
      <c r="F49" s="51" t="s">
        <v>222</v>
      </c>
      <c r="G49" s="50" t="s">
        <v>223</v>
      </c>
      <c r="H49" s="52" t="s">
        <v>178</v>
      </c>
      <c r="I49" s="52" t="s">
        <v>190</v>
      </c>
      <c r="J49" s="53">
        <v>174.46</v>
      </c>
      <c r="K49" s="66">
        <v>0</v>
      </c>
      <c r="L49" s="102">
        <v>0</v>
      </c>
      <c r="M49" s="66">
        <v>145654</v>
      </c>
      <c r="N49" s="101">
        <v>0</v>
      </c>
      <c r="O49" s="64">
        <v>1215108</v>
      </c>
      <c r="P49" s="64">
        <v>169535</v>
      </c>
      <c r="Q49" s="64">
        <v>258913</v>
      </c>
      <c r="R49" s="62">
        <v>92763</v>
      </c>
      <c r="S49" s="104">
        <v>0</v>
      </c>
      <c r="T49" s="103">
        <v>0</v>
      </c>
      <c r="U49" s="72">
        <v>0</v>
      </c>
      <c r="V49" s="72">
        <v>0</v>
      </c>
    </row>
    <row r="50" spans="1:22">
      <c r="A50" s="50" t="s">
        <v>1224</v>
      </c>
      <c r="B50" s="51" t="s">
        <v>1225</v>
      </c>
      <c r="C50" s="50" t="s">
        <v>424</v>
      </c>
      <c r="D50" s="50">
        <v>27</v>
      </c>
      <c r="E50" s="51" t="s">
        <v>1227</v>
      </c>
      <c r="F50" s="51" t="s">
        <v>298</v>
      </c>
      <c r="G50" s="50" t="s">
        <v>299</v>
      </c>
      <c r="H50" s="52" t="s">
        <v>178</v>
      </c>
      <c r="I50" s="52" t="s">
        <v>190</v>
      </c>
      <c r="J50" s="53">
        <v>201.25</v>
      </c>
      <c r="K50" s="66">
        <v>0</v>
      </c>
      <c r="L50" s="102">
        <v>0</v>
      </c>
      <c r="M50" s="66">
        <v>91331</v>
      </c>
      <c r="N50" s="101">
        <v>3263</v>
      </c>
      <c r="O50" s="64">
        <v>1887375</v>
      </c>
      <c r="P50" s="64">
        <v>219439</v>
      </c>
      <c r="Q50" s="64">
        <v>227151</v>
      </c>
      <c r="R50" s="62">
        <v>120847</v>
      </c>
      <c r="S50" s="104">
        <v>75719</v>
      </c>
      <c r="T50" s="103">
        <v>0</v>
      </c>
      <c r="U50" s="72">
        <v>0</v>
      </c>
      <c r="V50" s="72">
        <v>0</v>
      </c>
    </row>
    <row r="51" spans="1:22">
      <c r="A51" s="50" t="s">
        <v>1224</v>
      </c>
      <c r="B51" s="51" t="s">
        <v>1225</v>
      </c>
      <c r="C51" s="50" t="s">
        <v>424</v>
      </c>
      <c r="D51" s="50">
        <v>27</v>
      </c>
      <c r="E51" s="51" t="s">
        <v>1227</v>
      </c>
      <c r="F51" s="51" t="s">
        <v>459</v>
      </c>
      <c r="G51" s="50" t="s">
        <v>460</v>
      </c>
      <c r="H51" s="52" t="s">
        <v>178</v>
      </c>
      <c r="I51" s="52" t="s">
        <v>190</v>
      </c>
      <c r="J51" s="53">
        <v>512.75</v>
      </c>
      <c r="K51" s="66">
        <v>0</v>
      </c>
      <c r="L51" s="102">
        <v>0</v>
      </c>
      <c r="M51" s="66">
        <v>122843</v>
      </c>
      <c r="N51" s="101">
        <v>9528</v>
      </c>
      <c r="O51" s="64">
        <v>4291060</v>
      </c>
      <c r="P51" s="64">
        <v>159015</v>
      </c>
      <c r="Q51" s="64">
        <v>662619</v>
      </c>
      <c r="R51" s="62">
        <v>232478</v>
      </c>
      <c r="S51" s="104">
        <v>303958</v>
      </c>
      <c r="T51" s="103">
        <v>1357</v>
      </c>
      <c r="U51" s="72">
        <v>0</v>
      </c>
      <c r="V51" s="72">
        <v>0</v>
      </c>
    </row>
    <row r="52" spans="1:22">
      <c r="A52" s="50" t="s">
        <v>1132</v>
      </c>
      <c r="B52" s="51" t="s">
        <v>1133</v>
      </c>
      <c r="C52" s="50" t="s">
        <v>424</v>
      </c>
      <c r="D52" s="50">
        <v>11</v>
      </c>
      <c r="E52" s="51" t="s">
        <v>1134</v>
      </c>
      <c r="F52" s="51" t="s">
        <v>218</v>
      </c>
      <c r="G52" s="50" t="s">
        <v>219</v>
      </c>
      <c r="H52" s="52" t="s">
        <v>178</v>
      </c>
      <c r="I52" s="52" t="s">
        <v>190</v>
      </c>
      <c r="J52" s="53">
        <v>383.46</v>
      </c>
      <c r="K52" s="66">
        <v>0</v>
      </c>
      <c r="L52" s="102">
        <v>0</v>
      </c>
      <c r="M52" s="66">
        <v>101985</v>
      </c>
      <c r="N52" s="101">
        <v>7337</v>
      </c>
      <c r="O52" s="64">
        <v>3288908</v>
      </c>
      <c r="P52" s="64">
        <v>77933</v>
      </c>
      <c r="Q52" s="64">
        <v>478551</v>
      </c>
      <c r="R52" s="62">
        <v>358707</v>
      </c>
      <c r="S52" s="104">
        <v>219706</v>
      </c>
      <c r="T52" s="103">
        <v>7195</v>
      </c>
      <c r="U52" s="72">
        <v>0</v>
      </c>
      <c r="V52" s="72">
        <v>0</v>
      </c>
    </row>
    <row r="53" spans="1:22">
      <c r="A53" s="50" t="s">
        <v>1017</v>
      </c>
      <c r="B53" s="51" t="s">
        <v>1018</v>
      </c>
      <c r="C53" s="50" t="s">
        <v>424</v>
      </c>
      <c r="D53" s="50">
        <v>66</v>
      </c>
      <c r="E53" s="51" t="s">
        <v>808</v>
      </c>
      <c r="F53" s="51" t="s">
        <v>342</v>
      </c>
      <c r="G53" s="50" t="s">
        <v>343</v>
      </c>
      <c r="H53" s="52" t="s">
        <v>178</v>
      </c>
      <c r="I53" s="52" t="s">
        <v>190</v>
      </c>
      <c r="J53" s="53">
        <v>522.32000000000005</v>
      </c>
      <c r="K53" s="66">
        <v>0</v>
      </c>
      <c r="L53" s="102">
        <v>0</v>
      </c>
      <c r="M53" s="66">
        <v>150017</v>
      </c>
      <c r="N53" s="101">
        <v>14262</v>
      </c>
      <c r="O53" s="64">
        <v>4456183</v>
      </c>
      <c r="P53" s="64">
        <v>121858</v>
      </c>
      <c r="Q53" s="64">
        <v>756867</v>
      </c>
      <c r="R53" s="62">
        <v>304569</v>
      </c>
      <c r="S53" s="104">
        <v>318130</v>
      </c>
      <c r="T53" s="103">
        <v>29611</v>
      </c>
      <c r="U53" s="72">
        <v>0</v>
      </c>
      <c r="V53" s="72">
        <v>0</v>
      </c>
    </row>
    <row r="54" spans="1:22">
      <c r="A54" s="50" t="s">
        <v>1017</v>
      </c>
      <c r="B54" s="51" t="s">
        <v>1018</v>
      </c>
      <c r="C54" s="50" t="s">
        <v>424</v>
      </c>
      <c r="D54" s="50">
        <v>85</v>
      </c>
      <c r="E54" s="51" t="s">
        <v>606</v>
      </c>
      <c r="F54" s="51" t="s">
        <v>467</v>
      </c>
      <c r="G54" s="50" t="s">
        <v>468</v>
      </c>
      <c r="H54" s="52" t="s">
        <v>178</v>
      </c>
      <c r="I54" s="95" t="s">
        <v>190</v>
      </c>
      <c r="J54" s="53">
        <v>63.41</v>
      </c>
      <c r="K54" s="66">
        <v>0</v>
      </c>
      <c r="L54" s="102">
        <v>0</v>
      </c>
      <c r="M54" s="66">
        <v>10624</v>
      </c>
      <c r="N54" s="101">
        <v>351</v>
      </c>
      <c r="O54" s="64">
        <v>500197</v>
      </c>
      <c r="P54" s="64">
        <v>76757</v>
      </c>
      <c r="Q54" s="64">
        <v>41954</v>
      </c>
      <c r="R54" s="62">
        <v>13406</v>
      </c>
      <c r="S54" s="104">
        <v>3577</v>
      </c>
      <c r="T54" s="103">
        <v>547</v>
      </c>
      <c r="U54" s="72">
        <v>0</v>
      </c>
      <c r="V54" s="72">
        <v>0</v>
      </c>
    </row>
    <row r="55" spans="1:22">
      <c r="A55" s="50" t="s">
        <v>1224</v>
      </c>
      <c r="B55" s="51" t="s">
        <v>1225</v>
      </c>
      <c r="C55" s="50" t="s">
        <v>424</v>
      </c>
      <c r="D55" s="50">
        <v>62</v>
      </c>
      <c r="E55" s="51" t="s">
        <v>785</v>
      </c>
      <c r="F55" s="51" t="s">
        <v>433</v>
      </c>
      <c r="G55" s="50" t="s">
        <v>434</v>
      </c>
      <c r="H55" s="52" t="s">
        <v>178</v>
      </c>
      <c r="I55" s="52" t="s">
        <v>190</v>
      </c>
      <c r="J55" s="53">
        <v>65.150000000000006</v>
      </c>
      <c r="K55" s="66">
        <v>0</v>
      </c>
      <c r="L55" s="102">
        <v>0</v>
      </c>
      <c r="M55" s="66">
        <v>157746</v>
      </c>
      <c r="N55" s="101">
        <v>472</v>
      </c>
      <c r="O55" s="64">
        <v>69773</v>
      </c>
      <c r="P55" s="64">
        <v>2173881</v>
      </c>
      <c r="Q55" s="64">
        <v>105930</v>
      </c>
      <c r="R55" s="62">
        <v>106240</v>
      </c>
      <c r="S55" s="104">
        <v>6896</v>
      </c>
      <c r="T55" s="103">
        <v>7587</v>
      </c>
      <c r="U55" s="72">
        <v>0</v>
      </c>
      <c r="V55" s="72">
        <v>0</v>
      </c>
    </row>
    <row r="56" spans="1:22">
      <c r="A56" s="50" t="s">
        <v>1258</v>
      </c>
      <c r="B56" s="51" t="s">
        <v>1259</v>
      </c>
      <c r="C56" s="50" t="s">
        <v>424</v>
      </c>
      <c r="D56" s="50">
        <v>4</v>
      </c>
      <c r="E56" s="51" t="s">
        <v>1260</v>
      </c>
      <c r="F56" s="51" t="s">
        <v>214</v>
      </c>
      <c r="G56" s="50" t="s">
        <v>215</v>
      </c>
      <c r="H56" s="52" t="s">
        <v>178</v>
      </c>
      <c r="I56" s="52" t="s">
        <v>190</v>
      </c>
      <c r="J56" s="53">
        <v>23.5</v>
      </c>
      <c r="K56" s="66">
        <v>0</v>
      </c>
      <c r="L56" s="102">
        <v>0</v>
      </c>
      <c r="M56" s="66">
        <v>112939</v>
      </c>
      <c r="N56" s="101">
        <v>239</v>
      </c>
      <c r="O56" s="64">
        <v>34223</v>
      </c>
      <c r="P56" s="64">
        <v>523489</v>
      </c>
      <c r="Q56" s="64">
        <v>29902</v>
      </c>
      <c r="R56" s="62">
        <v>11253</v>
      </c>
      <c r="S56" s="104">
        <v>3430</v>
      </c>
      <c r="T56" s="103">
        <v>4451</v>
      </c>
      <c r="U56" s="72">
        <v>0</v>
      </c>
      <c r="V56" s="72">
        <v>0</v>
      </c>
    </row>
    <row r="57" spans="1:22">
      <c r="A57" s="50" t="s">
        <v>1224</v>
      </c>
      <c r="B57" s="51" t="s">
        <v>1225</v>
      </c>
      <c r="C57" s="50" t="s">
        <v>424</v>
      </c>
      <c r="D57" s="50">
        <v>82</v>
      </c>
      <c r="E57" s="51" t="s">
        <v>583</v>
      </c>
      <c r="F57" s="51" t="s">
        <v>463</v>
      </c>
      <c r="G57" s="50" t="s">
        <v>464</v>
      </c>
      <c r="H57" s="52" t="s">
        <v>178</v>
      </c>
      <c r="I57" s="52" t="s">
        <v>190</v>
      </c>
      <c r="J57" s="53">
        <v>342.09</v>
      </c>
      <c r="K57" s="66">
        <v>0</v>
      </c>
      <c r="L57" s="102">
        <v>0</v>
      </c>
      <c r="M57" s="66">
        <v>19581</v>
      </c>
      <c r="N57" s="101">
        <v>8855</v>
      </c>
      <c r="O57" s="64">
        <v>2800782</v>
      </c>
      <c r="P57" s="64">
        <v>249393</v>
      </c>
      <c r="Q57" s="64">
        <v>648505</v>
      </c>
      <c r="R57" s="62">
        <v>244725</v>
      </c>
      <c r="S57" s="104">
        <v>168657</v>
      </c>
      <c r="T57" s="103">
        <v>5513</v>
      </c>
      <c r="U57" s="72">
        <v>0</v>
      </c>
      <c r="V57" s="72">
        <v>0</v>
      </c>
    </row>
    <row r="58" spans="1:22">
      <c r="A58" s="50" t="s">
        <v>1092</v>
      </c>
      <c r="B58" s="51" t="s">
        <v>1093</v>
      </c>
      <c r="C58" s="50" t="s">
        <v>424</v>
      </c>
      <c r="D58" s="50">
        <v>81</v>
      </c>
      <c r="E58" s="51" t="s">
        <v>580</v>
      </c>
      <c r="F58" s="51" t="s">
        <v>208</v>
      </c>
      <c r="G58" s="50" t="s">
        <v>209</v>
      </c>
      <c r="H58" s="52" t="s">
        <v>178</v>
      </c>
      <c r="I58" s="52" t="s">
        <v>190</v>
      </c>
      <c r="J58" s="53">
        <v>307.42</v>
      </c>
      <c r="K58" s="66">
        <v>0</v>
      </c>
      <c r="L58" s="102">
        <v>0</v>
      </c>
      <c r="M58" s="66">
        <v>74392</v>
      </c>
      <c r="N58" s="101">
        <v>2079</v>
      </c>
      <c r="O58" s="64">
        <v>1759118</v>
      </c>
      <c r="P58" s="64">
        <v>205612</v>
      </c>
      <c r="Q58" s="64">
        <v>337895</v>
      </c>
      <c r="R58" s="62">
        <v>37377</v>
      </c>
      <c r="S58" s="104">
        <v>14051</v>
      </c>
      <c r="T58" s="103">
        <v>110035</v>
      </c>
      <c r="U58" s="72">
        <v>0</v>
      </c>
      <c r="V58" s="72">
        <v>0</v>
      </c>
    </row>
    <row r="59" spans="1:22">
      <c r="A59" s="50" t="s">
        <v>1224</v>
      </c>
      <c r="B59" s="51" t="s">
        <v>1225</v>
      </c>
      <c r="C59" s="50" t="s">
        <v>424</v>
      </c>
      <c r="D59" s="50">
        <v>27</v>
      </c>
      <c r="E59" s="51" t="s">
        <v>1227</v>
      </c>
      <c r="F59" s="51" t="s">
        <v>435</v>
      </c>
      <c r="G59" s="50" t="s">
        <v>436</v>
      </c>
      <c r="H59" s="52" t="s">
        <v>178</v>
      </c>
      <c r="I59" s="52" t="s">
        <v>190</v>
      </c>
      <c r="J59" s="53">
        <v>90.84</v>
      </c>
      <c r="K59" s="66">
        <v>0</v>
      </c>
      <c r="L59" s="102">
        <v>0</v>
      </c>
      <c r="M59" s="66">
        <v>34237</v>
      </c>
      <c r="N59" s="101">
        <v>592</v>
      </c>
      <c r="O59" s="64">
        <v>722838</v>
      </c>
      <c r="P59" s="64">
        <v>198838</v>
      </c>
      <c r="Q59" s="64">
        <v>131067</v>
      </c>
      <c r="R59" s="62">
        <v>273956</v>
      </c>
      <c r="S59" s="104">
        <v>12513</v>
      </c>
      <c r="T59" s="103">
        <v>486</v>
      </c>
      <c r="U59" s="72">
        <v>0</v>
      </c>
      <c r="V59" s="72">
        <v>0</v>
      </c>
    </row>
    <row r="60" spans="1:22">
      <c r="A60" s="50" t="s">
        <v>1092</v>
      </c>
      <c r="B60" s="51" t="s">
        <v>1093</v>
      </c>
      <c r="C60" s="50" t="s">
        <v>424</v>
      </c>
      <c r="D60" s="50">
        <v>40</v>
      </c>
      <c r="E60" s="51" t="s">
        <v>984</v>
      </c>
      <c r="F60" s="51" t="s">
        <v>230</v>
      </c>
      <c r="G60" s="50" t="s">
        <v>231</v>
      </c>
      <c r="H60" s="52" t="s">
        <v>178</v>
      </c>
      <c r="I60" s="52" t="s">
        <v>190</v>
      </c>
      <c r="J60" s="53">
        <v>186.56</v>
      </c>
      <c r="K60" s="66">
        <v>0</v>
      </c>
      <c r="L60" s="102">
        <v>0</v>
      </c>
      <c r="M60" s="66">
        <v>423550</v>
      </c>
      <c r="N60" s="101">
        <v>0</v>
      </c>
      <c r="O60" s="64">
        <v>1309739</v>
      </c>
      <c r="P60" s="64">
        <v>183736</v>
      </c>
      <c r="Q60" s="64">
        <v>237246</v>
      </c>
      <c r="R60" s="62">
        <v>85961</v>
      </c>
      <c r="S60" s="104">
        <v>0</v>
      </c>
      <c r="T60" s="103">
        <v>0</v>
      </c>
      <c r="U60" s="72">
        <v>0</v>
      </c>
      <c r="V60" s="72">
        <v>0</v>
      </c>
    </row>
    <row r="61" spans="1:22">
      <c r="A61" s="50" t="s">
        <v>1224</v>
      </c>
      <c r="B61" s="51" t="s">
        <v>1225</v>
      </c>
      <c r="C61" s="50" t="s">
        <v>424</v>
      </c>
      <c r="D61" s="50">
        <v>27</v>
      </c>
      <c r="E61" s="51" t="s">
        <v>1227</v>
      </c>
      <c r="F61" s="51" t="s">
        <v>236</v>
      </c>
      <c r="G61" s="50" t="s">
        <v>237</v>
      </c>
      <c r="H61" s="52" t="s">
        <v>178</v>
      </c>
      <c r="I61" s="52" t="s">
        <v>190</v>
      </c>
      <c r="J61" s="53">
        <v>291.16000000000003</v>
      </c>
      <c r="K61" s="66">
        <v>0</v>
      </c>
      <c r="L61" s="102">
        <v>0</v>
      </c>
      <c r="M61" s="66">
        <v>185679</v>
      </c>
      <c r="N61" s="101">
        <v>0</v>
      </c>
      <c r="O61" s="64">
        <v>1991205</v>
      </c>
      <c r="P61" s="64">
        <v>112181</v>
      </c>
      <c r="Q61" s="64">
        <v>531328</v>
      </c>
      <c r="R61" s="62">
        <v>220554</v>
      </c>
      <c r="S61" s="104">
        <v>0</v>
      </c>
      <c r="T61" s="103">
        <v>0</v>
      </c>
      <c r="U61" s="72">
        <v>0</v>
      </c>
      <c r="V61" s="72">
        <v>0</v>
      </c>
    </row>
    <row r="62" spans="1:22">
      <c r="A62" s="50" t="s">
        <v>1224</v>
      </c>
      <c r="B62" s="51" t="s">
        <v>1225</v>
      </c>
      <c r="C62" s="50" t="s">
        <v>424</v>
      </c>
      <c r="D62" s="50">
        <v>27</v>
      </c>
      <c r="E62" s="51" t="s">
        <v>1227</v>
      </c>
      <c r="F62" s="51" t="s">
        <v>300</v>
      </c>
      <c r="G62" s="50" t="s">
        <v>301</v>
      </c>
      <c r="H62" s="52" t="s">
        <v>178</v>
      </c>
      <c r="I62" s="52" t="s">
        <v>190</v>
      </c>
      <c r="J62" s="53">
        <v>181.51</v>
      </c>
      <c r="K62" s="66">
        <v>0</v>
      </c>
      <c r="L62" s="102">
        <v>0</v>
      </c>
      <c r="M62" s="66">
        <v>117399</v>
      </c>
      <c r="N62" s="101">
        <v>1653</v>
      </c>
      <c r="O62" s="64">
        <v>1232479</v>
      </c>
      <c r="P62" s="64">
        <v>37257</v>
      </c>
      <c r="Q62" s="64">
        <v>268356</v>
      </c>
      <c r="R62" s="62">
        <v>30787</v>
      </c>
      <c r="S62" s="104">
        <v>3473</v>
      </c>
      <c r="T62" s="103">
        <v>22983</v>
      </c>
      <c r="U62" s="72">
        <v>0</v>
      </c>
      <c r="V62" s="72">
        <v>0</v>
      </c>
    </row>
    <row r="63" spans="1:22">
      <c r="A63" s="50" t="s">
        <v>1249</v>
      </c>
      <c r="B63" s="51" t="s">
        <v>1250</v>
      </c>
      <c r="C63" s="50" t="s">
        <v>424</v>
      </c>
      <c r="D63" s="50">
        <v>61</v>
      </c>
      <c r="E63" s="51" t="s">
        <v>782</v>
      </c>
      <c r="F63" s="51" t="s">
        <v>268</v>
      </c>
      <c r="G63" s="50" t="s">
        <v>269</v>
      </c>
      <c r="H63" s="52" t="s">
        <v>178</v>
      </c>
      <c r="I63" s="52" t="s">
        <v>190</v>
      </c>
      <c r="J63" s="53">
        <v>60.38</v>
      </c>
      <c r="K63" s="66">
        <v>0</v>
      </c>
      <c r="L63" s="102">
        <v>0</v>
      </c>
      <c r="M63" s="66">
        <v>79202</v>
      </c>
      <c r="N63" s="101">
        <v>1</v>
      </c>
      <c r="O63" s="64">
        <v>427033</v>
      </c>
      <c r="P63" s="64">
        <v>25808</v>
      </c>
      <c r="Q63" s="64">
        <v>136076</v>
      </c>
      <c r="R63" s="62">
        <v>143098</v>
      </c>
      <c r="S63" s="104">
        <v>7413</v>
      </c>
      <c r="T63" s="103">
        <v>7608</v>
      </c>
      <c r="U63" s="72">
        <v>0</v>
      </c>
      <c r="V63" s="72">
        <v>0</v>
      </c>
    </row>
    <row r="64" spans="1:22">
      <c r="A64" s="50" t="s">
        <v>1224</v>
      </c>
      <c r="B64" s="51" t="s">
        <v>1225</v>
      </c>
      <c r="C64" s="50" t="s">
        <v>424</v>
      </c>
      <c r="D64" s="50">
        <v>27</v>
      </c>
      <c r="E64" s="51" t="s">
        <v>1227</v>
      </c>
      <c r="F64" s="51" t="s">
        <v>118</v>
      </c>
      <c r="G64" s="50" t="s">
        <v>119</v>
      </c>
      <c r="H64" s="52" t="s">
        <v>178</v>
      </c>
      <c r="I64" s="52" t="s">
        <v>190</v>
      </c>
      <c r="J64" s="53">
        <v>80.36</v>
      </c>
      <c r="K64" s="66">
        <v>0</v>
      </c>
      <c r="L64" s="102">
        <v>0</v>
      </c>
      <c r="M64" s="66">
        <v>127867</v>
      </c>
      <c r="N64" s="101">
        <v>615</v>
      </c>
      <c r="O64" s="64">
        <v>388626</v>
      </c>
      <c r="P64" s="64">
        <v>49644</v>
      </c>
      <c r="Q64" s="64">
        <v>139370</v>
      </c>
      <c r="R64" s="62">
        <v>146477</v>
      </c>
      <c r="S64" s="104">
        <v>1169</v>
      </c>
      <c r="T64" s="103">
        <v>587</v>
      </c>
      <c r="U64" s="72">
        <v>0</v>
      </c>
      <c r="V64" s="72">
        <v>0</v>
      </c>
    </row>
    <row r="65" spans="1:23">
      <c r="A65" s="50" t="s">
        <v>1087</v>
      </c>
      <c r="B65" s="51" t="s">
        <v>1088</v>
      </c>
      <c r="C65" s="50" t="s">
        <v>424</v>
      </c>
      <c r="D65" s="50">
        <v>87</v>
      </c>
      <c r="E65" s="51" t="s">
        <v>628</v>
      </c>
      <c r="F65" s="51" t="s">
        <v>374</v>
      </c>
      <c r="G65" s="50" t="s">
        <v>375</v>
      </c>
      <c r="H65" s="52" t="s">
        <v>178</v>
      </c>
      <c r="I65" s="52" t="s">
        <v>190</v>
      </c>
      <c r="J65" s="53">
        <v>201.25</v>
      </c>
      <c r="K65" s="66">
        <v>0</v>
      </c>
      <c r="L65" s="102">
        <v>0</v>
      </c>
      <c r="M65" s="66">
        <v>-5208</v>
      </c>
      <c r="N65" s="101">
        <v>3360</v>
      </c>
      <c r="O65" s="64">
        <v>1657857</v>
      </c>
      <c r="P65" s="64">
        <v>128786</v>
      </c>
      <c r="Q65" s="64">
        <v>242167</v>
      </c>
      <c r="R65" s="62">
        <v>123157</v>
      </c>
      <c r="S65" s="104">
        <v>128739</v>
      </c>
      <c r="T65" s="103">
        <v>878</v>
      </c>
      <c r="U65" s="72">
        <v>0</v>
      </c>
      <c r="V65" s="72">
        <v>0</v>
      </c>
    </row>
    <row r="66" spans="1:23">
      <c r="A66" s="50" t="s">
        <v>1224</v>
      </c>
      <c r="B66" s="51" t="s">
        <v>1225</v>
      </c>
      <c r="C66" s="50" t="s">
        <v>424</v>
      </c>
      <c r="D66" s="50">
        <v>82</v>
      </c>
      <c r="E66" s="51" t="s">
        <v>583</v>
      </c>
      <c r="F66" s="51" t="s">
        <v>282</v>
      </c>
      <c r="G66" s="50" t="s">
        <v>283</v>
      </c>
      <c r="H66" s="52" t="s">
        <v>178</v>
      </c>
      <c r="I66" s="52" t="s">
        <v>190</v>
      </c>
      <c r="J66" s="53">
        <v>81.73</v>
      </c>
      <c r="K66" s="66">
        <v>0</v>
      </c>
      <c r="L66" s="102">
        <v>0</v>
      </c>
      <c r="M66" s="66">
        <v>123084</v>
      </c>
      <c r="N66" s="101">
        <v>365</v>
      </c>
      <c r="O66" s="64">
        <v>399191</v>
      </c>
      <c r="P66" s="64">
        <v>6818</v>
      </c>
      <c r="Q66" s="64">
        <v>138457</v>
      </c>
      <c r="R66" s="62">
        <v>185491</v>
      </c>
      <c r="S66" s="104">
        <v>812</v>
      </c>
      <c r="T66" s="103">
        <v>81600</v>
      </c>
      <c r="U66" s="72">
        <v>0</v>
      </c>
      <c r="V66" s="72">
        <v>0</v>
      </c>
    </row>
    <row r="67" spans="1:23">
      <c r="A67" s="14"/>
      <c r="B67" s="15"/>
      <c r="C67" s="14"/>
      <c r="D67" s="14"/>
      <c r="E67" s="15"/>
      <c r="F67" s="15" t="s">
        <v>174</v>
      </c>
      <c r="G67" s="14" t="s">
        <v>175</v>
      </c>
      <c r="H67" s="14"/>
      <c r="I67" s="14"/>
      <c r="J67" s="16">
        <f t="shared" ref="J67:V67" si="1">SUM(J40:J66)</f>
        <v>5831.26</v>
      </c>
      <c r="K67" s="16">
        <f t="shared" si="1"/>
        <v>0</v>
      </c>
      <c r="L67" s="16">
        <f t="shared" si="1"/>
        <v>0</v>
      </c>
      <c r="M67" s="16">
        <f t="shared" si="1"/>
        <v>2641868</v>
      </c>
      <c r="N67" s="16">
        <f t="shared" si="1"/>
        <v>69609</v>
      </c>
      <c r="O67" s="16">
        <f t="shared" si="1"/>
        <v>44731970</v>
      </c>
      <c r="P67" s="16">
        <f t="shared" si="1"/>
        <v>6246588</v>
      </c>
      <c r="Q67" s="16">
        <f t="shared" si="1"/>
        <v>8524092</v>
      </c>
      <c r="R67" s="16">
        <f t="shared" si="1"/>
        <v>4085600</v>
      </c>
      <c r="S67" s="16">
        <f t="shared" si="1"/>
        <v>1602928</v>
      </c>
      <c r="T67" s="16">
        <f t="shared" si="1"/>
        <v>323819</v>
      </c>
      <c r="U67" s="16">
        <f t="shared" si="1"/>
        <v>0</v>
      </c>
      <c r="V67" s="16">
        <f t="shared" si="1"/>
        <v>0</v>
      </c>
    </row>
    <row r="68" spans="1:23">
      <c r="L68" s="100"/>
      <c r="M68" s="100">
        <f>SUM(K67:M67)</f>
        <v>2641868</v>
      </c>
      <c r="Q68" s="100">
        <f>SUM(N67:Q67)</f>
        <v>59572259</v>
      </c>
      <c r="S68" s="100">
        <f>SUM(R67:S67)</f>
        <v>5688528</v>
      </c>
      <c r="T68" s="100">
        <f>T67</f>
        <v>323819</v>
      </c>
      <c r="V68" s="100">
        <f>SUM(U67:V67)</f>
        <v>0</v>
      </c>
      <c r="W68" s="111">
        <f>SUM(K68:V68)</f>
        <v>68226474</v>
      </c>
    </row>
    <row r="69" spans="1:23" s="110" customFormat="1">
      <c r="A69" s="112"/>
      <c r="C69" s="112"/>
      <c r="D69" s="112"/>
      <c r="G69" s="112"/>
      <c r="H69" s="112"/>
      <c r="I69" s="112"/>
      <c r="M69" s="110">
        <f>M68/J67</f>
        <v>453.05268501147265</v>
      </c>
      <c r="Q69" s="110">
        <f>Q68/J67</f>
        <v>10216.018321940712</v>
      </c>
      <c r="S69" s="110">
        <f>S68/J67</f>
        <v>975.52295730253832</v>
      </c>
      <c r="T69" s="110">
        <f>T68/J67</f>
        <v>55.53156607662838</v>
      </c>
      <c r="V69" s="110">
        <f>V68/J67</f>
        <v>0</v>
      </c>
      <c r="W69" s="111">
        <f>SUM(K69:V69)</f>
        <v>11700.125530331352</v>
      </c>
    </row>
  </sheetData>
  <sortState ref="A7:Z494">
    <sortCondition ref="I7:I494"/>
    <sortCondition ref="G7:G494"/>
  </sortState>
  <mergeCells count="8">
    <mergeCell ref="G2:G5"/>
    <mergeCell ref="J2:J5"/>
    <mergeCell ref="A2:A5"/>
    <mergeCell ref="B2:B5"/>
    <mergeCell ref="C2:C5"/>
    <mergeCell ref="D2:D5"/>
    <mergeCell ref="E2:E5"/>
    <mergeCell ref="F2:F4"/>
  </mergeCells>
  <phoneticPr fontId="18" type="noConversion"/>
  <hyperlinks>
    <hyperlink ref="F1" r:id="rId1"/>
  </hyperlinks>
  <pageMargins left="0.7" right="0.7" top="0.75" bottom="0.75" header="0.3" footer="0.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Legend</vt:lpstr>
      <vt:lpstr>Figures 1,2,4</vt:lpstr>
      <vt:lpstr>Figure 3</vt:lpstr>
      <vt:lpstr>Figure 5</vt:lpstr>
      <vt:lpstr>Figure 6</vt:lpstr>
      <vt:lpstr>FY07 TTL Revenue Master</vt:lpstr>
      <vt:lpstr>District St Wrk</vt:lpstr>
      <vt:lpstr>Minnea St Paul Dist wrk</vt:lpstr>
      <vt:lpstr>Charter State Work</vt:lpstr>
      <vt:lpstr>Charter Minnea St. Paul Wrk</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Larry</dc:creator>
  <cp:lastModifiedBy>Holmes Finch</cp:lastModifiedBy>
  <cp:lastPrinted>2009-06-26T15:20:22Z</cp:lastPrinted>
  <dcterms:created xsi:type="dcterms:W3CDTF">2006-06-06T19:48:47Z</dcterms:created>
  <dcterms:modified xsi:type="dcterms:W3CDTF">2010-05-20T16:42:54Z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arkAsFinal">
    <vt:bool>true</vt:bool>
  </property>
</Properties>
</file>