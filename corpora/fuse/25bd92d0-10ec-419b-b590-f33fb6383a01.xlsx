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3206"/>
  <workbookPr autoCompressPictures="0"/>
  <bookViews>
    <workbookView minimized="1" xWindow="280" yWindow="300" windowWidth="22940" windowHeight="14560"/>
  </bookViews>
  <sheets>
    <sheet name="5 Year Projections" sheetId="2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3" i="2" l="1"/>
  <c r="J23" i="2"/>
  <c r="J25" i="2"/>
  <c r="J32" i="2"/>
  <c r="J54" i="2"/>
  <c r="J70" i="2"/>
  <c r="J89" i="2"/>
  <c r="J95" i="2"/>
  <c r="J103" i="2"/>
  <c r="J105" i="2"/>
  <c r="K105" i="2"/>
  <c r="H13" i="2"/>
  <c r="H23" i="2"/>
  <c r="H25" i="2"/>
  <c r="H32" i="2"/>
  <c r="H54" i="2"/>
  <c r="H70" i="2"/>
  <c r="H89" i="2"/>
  <c r="H95" i="2"/>
  <c r="H103" i="2"/>
  <c r="H105" i="2"/>
  <c r="I105" i="2"/>
  <c r="F13" i="2"/>
  <c r="F23" i="2"/>
  <c r="F25" i="2"/>
  <c r="F32" i="2"/>
  <c r="F54" i="2"/>
  <c r="F70" i="2"/>
  <c r="F89" i="2"/>
  <c r="F95" i="2"/>
  <c r="F103" i="2"/>
  <c r="F105" i="2"/>
  <c r="G105" i="2"/>
  <c r="C13" i="2"/>
  <c r="C23" i="2"/>
  <c r="C25" i="2"/>
  <c r="C32" i="2"/>
  <c r="C54" i="2"/>
  <c r="C70" i="2"/>
  <c r="C89" i="2"/>
  <c r="C95" i="2"/>
  <c r="C103" i="2"/>
  <c r="C105" i="2"/>
  <c r="D105" i="2"/>
  <c r="J109" i="2"/>
  <c r="J115" i="2"/>
  <c r="J117" i="2"/>
  <c r="J121" i="2"/>
  <c r="J125" i="2"/>
  <c r="H109" i="2"/>
  <c r="H115" i="2"/>
  <c r="H117" i="2"/>
  <c r="H121" i="2"/>
  <c r="H125" i="2"/>
  <c r="F109" i="2"/>
  <c r="F115" i="2"/>
  <c r="F117" i="2"/>
  <c r="F121" i="2"/>
  <c r="F125" i="2"/>
  <c r="C109" i="2"/>
  <c r="C115" i="2"/>
  <c r="C117" i="2"/>
  <c r="C121" i="2"/>
  <c r="C125" i="2"/>
  <c r="K103" i="2"/>
  <c r="K102" i="2"/>
  <c r="K101" i="2"/>
  <c r="K100" i="2"/>
  <c r="K99" i="2"/>
  <c r="K98" i="2"/>
  <c r="I103" i="2"/>
  <c r="I102" i="2"/>
  <c r="I101" i="2"/>
  <c r="I100" i="2"/>
  <c r="I99" i="2"/>
  <c r="I98" i="2"/>
  <c r="G103" i="2"/>
  <c r="G102" i="2"/>
  <c r="G101" i="2"/>
  <c r="G100" i="2"/>
  <c r="G99" i="2"/>
  <c r="G98" i="2"/>
  <c r="D103" i="2"/>
  <c r="D102" i="2"/>
  <c r="D101" i="2"/>
  <c r="D100" i="2"/>
  <c r="D99" i="2"/>
  <c r="D98" i="2"/>
  <c r="K95" i="2"/>
  <c r="K94" i="2"/>
  <c r="K93" i="2"/>
  <c r="K92" i="2"/>
  <c r="I95" i="2"/>
  <c r="I94" i="2"/>
  <c r="I93" i="2"/>
  <c r="I92" i="2"/>
  <c r="G95" i="2"/>
  <c r="G94" i="2"/>
  <c r="G93" i="2"/>
  <c r="G92" i="2"/>
  <c r="D95" i="2"/>
  <c r="D94" i="2"/>
  <c r="D93" i="2"/>
  <c r="D92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K32" i="2"/>
  <c r="K31" i="2"/>
  <c r="K30" i="2"/>
  <c r="K29" i="2"/>
  <c r="K28" i="2"/>
  <c r="I32" i="2"/>
  <c r="I31" i="2"/>
  <c r="I30" i="2"/>
  <c r="I29" i="2"/>
  <c r="I28" i="2"/>
  <c r="G32" i="2"/>
  <c r="G31" i="2"/>
  <c r="G30" i="2"/>
  <c r="G29" i="2"/>
  <c r="G28" i="2"/>
  <c r="D32" i="2"/>
  <c r="D31" i="2"/>
  <c r="D30" i="2"/>
  <c r="D29" i="2"/>
  <c r="D28" i="2"/>
  <c r="K25" i="2"/>
  <c r="I25" i="2"/>
  <c r="G25" i="2"/>
  <c r="D25" i="2"/>
  <c r="K23" i="2"/>
  <c r="K22" i="2"/>
  <c r="K21" i="2"/>
  <c r="K20" i="2"/>
  <c r="K19" i="2"/>
  <c r="K18" i="2"/>
  <c r="I23" i="2"/>
  <c r="I22" i="2"/>
  <c r="I21" i="2"/>
  <c r="I20" i="2"/>
  <c r="I19" i="2"/>
  <c r="I18" i="2"/>
  <c r="G23" i="2"/>
  <c r="G22" i="2"/>
  <c r="G21" i="2"/>
  <c r="G20" i="2"/>
  <c r="G19" i="2"/>
  <c r="G18" i="2"/>
  <c r="D23" i="2"/>
  <c r="D22" i="2"/>
  <c r="D21" i="2"/>
  <c r="D20" i="2"/>
  <c r="D19" i="2"/>
  <c r="D18" i="2"/>
  <c r="K13" i="2"/>
  <c r="K12" i="2"/>
  <c r="K11" i="2"/>
  <c r="I13" i="2"/>
  <c r="I12" i="2"/>
  <c r="I11" i="2"/>
  <c r="G13" i="2"/>
  <c r="G12" i="2"/>
  <c r="G11" i="2"/>
  <c r="D13" i="2"/>
  <c r="D12" i="2"/>
  <c r="D11" i="2"/>
</calcChain>
</file>

<file path=xl/sharedStrings.xml><?xml version="1.0" encoding="utf-8"?>
<sst xmlns="http://schemas.openxmlformats.org/spreadsheetml/2006/main" count="130" uniqueCount="114">
  <si>
    <t>% of</t>
  </si>
  <si>
    <t>Utilities</t>
  </si>
  <si>
    <t>GROSS PROFIT</t>
  </si>
  <si>
    <t>ADMINISTRATIVE EXPENSE</t>
  </si>
  <si>
    <t>Laboratory Services Expense</t>
  </si>
  <si>
    <t>Animal Disposal Expense</t>
  </si>
  <si>
    <t>COMPENSATION AND BENEFITS</t>
  </si>
  <si>
    <t>Staff Compensation</t>
  </si>
  <si>
    <t>Payroll Taxes</t>
  </si>
  <si>
    <t>Workers' Compensation Insurance</t>
  </si>
  <si>
    <t>Facility Rent</t>
  </si>
  <si>
    <t>Equipment Rent</t>
  </si>
  <si>
    <t>Practice Vehicle Expense</t>
  </si>
  <si>
    <t>Postage</t>
  </si>
  <si>
    <t>Bank Charges</t>
  </si>
  <si>
    <t>Advertising</t>
  </si>
  <si>
    <t>Business Gifts and Flowers</t>
  </si>
  <si>
    <t>Charitable Contributions</t>
  </si>
  <si>
    <t>Amortization Expense</t>
  </si>
  <si>
    <t>Total Administrative Expense</t>
  </si>
  <si>
    <t>FACILITY EXPENSE</t>
  </si>
  <si>
    <t>Total Facility Expense</t>
  </si>
  <si>
    <t xml:space="preserve">  Total Compensation and Benefits</t>
  </si>
  <si>
    <t>Dietary Product Expense</t>
  </si>
  <si>
    <t>REVENUE COLLECTION COSTS</t>
  </si>
  <si>
    <t>Ret. Plan Contributions</t>
  </si>
  <si>
    <t>Uniforms</t>
  </si>
  <si>
    <t>Repairs and Maintenance</t>
  </si>
  <si>
    <t>Janitorial and Housekeeping</t>
  </si>
  <si>
    <t>Other Advisory Services</t>
  </si>
  <si>
    <t xml:space="preserve">  Total cost of medical services</t>
  </si>
  <si>
    <t>Total Revenue Collection Costs</t>
  </si>
  <si>
    <t>Employee Benefits</t>
  </si>
  <si>
    <t>Continuing Education</t>
  </si>
  <si>
    <t>Total Fees for Professional Services</t>
  </si>
  <si>
    <t>Fees for Professional Services</t>
  </si>
  <si>
    <t>COSTS OF PROFESSIONAL SERVICES</t>
  </si>
  <si>
    <t>Miscellaneous</t>
  </si>
  <si>
    <t>Refunds and Adjustments</t>
  </si>
  <si>
    <t>Medical Waste Disposal Expense</t>
  </si>
  <si>
    <t>Bad Debts</t>
  </si>
  <si>
    <t>Returned Checks</t>
  </si>
  <si>
    <t>Collection Expense</t>
  </si>
  <si>
    <t>Health Insurance</t>
  </si>
  <si>
    <t>Life Insurance</t>
  </si>
  <si>
    <t>Disability Insurance</t>
  </si>
  <si>
    <t>Travel and Lodging</t>
  </si>
  <si>
    <t>Equipment Expense</t>
  </si>
  <si>
    <t>Printing</t>
  </si>
  <si>
    <t>Bookkeeping/Payroll Services</t>
  </si>
  <si>
    <t>State Sales and Use Tax</t>
  </si>
  <si>
    <t>Interest/Dividend Income</t>
  </si>
  <si>
    <t>Gain on Disposal of Assets</t>
  </si>
  <si>
    <t>Total Other Income</t>
  </si>
  <si>
    <t>Interest Expense</t>
  </si>
  <si>
    <t>Loss on Disposal of Assets</t>
  </si>
  <si>
    <t>Penalties</t>
  </si>
  <si>
    <t>Federal Income Tax Expense</t>
  </si>
  <si>
    <t>Total Other Expense</t>
  </si>
  <si>
    <t>Security</t>
  </si>
  <si>
    <t>Professional Liability Insurance</t>
  </si>
  <si>
    <t>Internet Expense</t>
  </si>
  <si>
    <t>Accounting Services</t>
  </si>
  <si>
    <t>Management Compensation</t>
  </si>
  <si>
    <t xml:space="preserve">   </t>
  </si>
  <si>
    <t>Owner Compensation</t>
  </si>
  <si>
    <t>Drugs &amp; Medical Supplies Expense</t>
  </si>
  <si>
    <t>Non-owner Veterinarians</t>
  </si>
  <si>
    <t>Contract Labor</t>
  </si>
  <si>
    <t>Veterinary Licenses</t>
  </si>
  <si>
    <t>Veterinary Dues</t>
  </si>
  <si>
    <t>Books &amp; Publications</t>
  </si>
  <si>
    <t>Telephone</t>
  </si>
  <si>
    <t>Trash Disposal Expense</t>
  </si>
  <si>
    <t>Property &amp; Casualty Insurance</t>
  </si>
  <si>
    <t>Property Taxes</t>
  </si>
  <si>
    <t>Office &amp; Computer Supplies</t>
  </si>
  <si>
    <t>Legal Services</t>
  </si>
  <si>
    <t>Meals and Entertainment</t>
  </si>
  <si>
    <t>Employee Staff Meetings and Events</t>
  </si>
  <si>
    <t>Miscellaneous Income</t>
  </si>
  <si>
    <r>
      <t>Credit Card Merchant Ch</t>
    </r>
    <r>
      <rPr>
        <sz val="10"/>
        <rFont val="Arial"/>
      </rPr>
      <t>arges</t>
    </r>
  </si>
  <si>
    <t>Actual</t>
  </si>
  <si>
    <t>Loan Proceeds</t>
  </si>
  <si>
    <t>CASH BALANCE BEGINNING OF PERIOD</t>
  </si>
  <si>
    <t>Practice name</t>
  </si>
  <si>
    <t>NET OPERATING CASH FLOW</t>
  </si>
  <si>
    <t>REVENUE</t>
  </si>
  <si>
    <t>EXPENSES</t>
  </si>
  <si>
    <t>OTHER INCOME</t>
  </si>
  <si>
    <t>OTHER EXPENSE</t>
  </si>
  <si>
    <t>Equipment Purchase</t>
  </si>
  <si>
    <t>Owner Distributions</t>
  </si>
  <si>
    <t>TOTAL CASH FLOW</t>
  </si>
  <si>
    <t>Year</t>
  </si>
  <si>
    <t>Period</t>
  </si>
  <si>
    <t>ending</t>
  </si>
  <si>
    <t>12/31/12</t>
  </si>
  <si>
    <t>revenue</t>
  </si>
  <si>
    <t>OTHER CASH INFLOWS</t>
  </si>
  <si>
    <t>OTHER CASH OUTFLOWS</t>
  </si>
  <si>
    <t>CALCULATED CASH BALANCE END OF PERIOD</t>
  </si>
  <si>
    <t>ACTUAL CASH BALANCE END OF PERIOD</t>
  </si>
  <si>
    <t>DIFFERENCE</t>
  </si>
  <si>
    <t>Total Other Cash Inflows</t>
  </si>
  <si>
    <t>Total Other Cash Outflows</t>
  </si>
  <si>
    <t>State Income/Franchise Tax Expense</t>
  </si>
  <si>
    <t>Loan Repayments-Principle</t>
  </si>
  <si>
    <t>PUL by Practice Segment</t>
  </si>
  <si>
    <t>Per P&amp;L</t>
  </si>
  <si>
    <t>Estimated</t>
  </si>
  <si>
    <t>Equine</t>
  </si>
  <si>
    <t>Dairy Cow</t>
  </si>
  <si>
    <t>Companion Animal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</si>
</sst>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5" formatCode="&quot;$&quot;#,##0_);\(&quot;$&quot;#,##0\)"/>
    <numFmt numFmtId="164" formatCode="&quot;$&quot;#,##0"/>
  </numFmts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color indexed="18"/>
      <name val="Arial"/>
      <family val="2"/>
    </font>
    <font>
      <sz val="10"/>
      <color indexed="8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470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55">
    <xf numFmtId="0" fontId="0" fillId="0" borderId="0" xfId="0"/>
    <xf numFmtId="0" fontId="4" fillId="0" borderId="0" xfId="0" applyFont="1" applyFill="1" applyBorder="1" applyAlignment="1">
      <alignment horizontal="left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5" fontId="5" fillId="0" borderId="0" xfId="0" applyNumberFormat="1" applyFont="1" applyFill="1" applyBorder="1" applyAlignment="1">
      <alignment horizontal="center"/>
    </xf>
    <xf numFmtId="10" fontId="5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left" indent="1"/>
    </xf>
    <xf numFmtId="9" fontId="3" fillId="0" borderId="0" xfId="1" applyFont="1" applyFill="1" applyBorder="1" applyAlignment="1">
      <alignment horizontal="left" indent="1"/>
    </xf>
    <xf numFmtId="0" fontId="3" fillId="0" borderId="0" xfId="0" applyFont="1" applyFill="1" applyBorder="1" applyAlignment="1">
      <alignment horizontal="left" indent="2"/>
    </xf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 indent="1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/>
    <xf numFmtId="0" fontId="3" fillId="0" borderId="0" xfId="0" applyFont="1" applyFill="1" applyBorder="1"/>
    <xf numFmtId="0" fontId="0" fillId="0" borderId="0" xfId="0" applyFill="1"/>
    <xf numFmtId="5" fontId="0" fillId="0" borderId="0" xfId="0" applyNumberFormat="1" applyFill="1" applyAlignment="1">
      <alignment horizontal="center"/>
    </xf>
    <xf numFmtId="1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left" indent="1"/>
    </xf>
    <xf numFmtId="0" fontId="3" fillId="0" borderId="0" xfId="0" applyFont="1" applyFill="1" applyAlignment="1">
      <alignment horizontal="right"/>
    </xf>
    <xf numFmtId="0" fontId="0" fillId="0" borderId="0" xfId="0" applyFont="1" applyFill="1"/>
    <xf numFmtId="5" fontId="0" fillId="0" borderId="0" xfId="0" applyNumberFormat="1" applyFill="1" applyBorder="1" applyAlignment="1">
      <alignment horizontal="center"/>
    </xf>
    <xf numFmtId="0" fontId="2" fillId="0" borderId="0" xfId="0" applyFont="1" applyFill="1" applyBorder="1"/>
    <xf numFmtId="0" fontId="0" fillId="0" borderId="0" xfId="0" applyFont="1" applyFill="1" applyBorder="1" applyAlignment="1">
      <alignment horizontal="left" indent="1"/>
    </xf>
    <xf numFmtId="0" fontId="0" fillId="0" borderId="0" xfId="0" applyFont="1" applyFill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left" indent="2"/>
    </xf>
    <xf numFmtId="9" fontId="0" fillId="0" borderId="0" xfId="1" applyFont="1" applyFill="1" applyBorder="1" applyAlignment="1">
      <alignment horizontal="left" indent="1"/>
    </xf>
    <xf numFmtId="5" fontId="1" fillId="0" borderId="0" xfId="0" applyNumberFormat="1" applyFont="1" applyFill="1" applyBorder="1" applyAlignment="1">
      <alignment horizontal="center"/>
    </xf>
    <xf numFmtId="5" fontId="0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left"/>
    </xf>
    <xf numFmtId="164" fontId="3" fillId="0" borderId="0" xfId="0" applyNumberFormat="1" applyFont="1" applyFill="1"/>
    <xf numFmtId="164" fontId="2" fillId="0" borderId="0" xfId="0" applyNumberFormat="1" applyFont="1" applyFill="1"/>
    <xf numFmtId="0" fontId="0" fillId="0" borderId="0" xfId="0" applyFill="1" applyAlignment="1">
      <alignment horizontal="left" indent="2"/>
    </xf>
    <xf numFmtId="164" fontId="0" fillId="0" borderId="0" xfId="0" applyNumberFormat="1" applyFont="1" applyFill="1" applyAlignment="1">
      <alignment horizontal="left" indent="1"/>
    </xf>
    <xf numFmtId="0" fontId="0" fillId="0" borderId="0" xfId="0" applyFont="1" applyFill="1" applyAlignment="1">
      <alignment horizontal="right"/>
    </xf>
    <xf numFmtId="0" fontId="1" fillId="0" borderId="0" xfId="0" applyFont="1" applyFill="1" applyBorder="1"/>
    <xf numFmtId="10" fontId="1" fillId="0" borderId="0" xfId="0" applyNumberFormat="1" applyFont="1" applyFill="1" applyBorder="1" applyAlignment="1">
      <alignment horizontal="center"/>
    </xf>
    <xf numFmtId="10" fontId="0" fillId="0" borderId="0" xfId="0" applyNumberFormat="1" applyFont="1" applyFill="1" applyBorder="1" applyAlignment="1">
      <alignment horizontal="center"/>
    </xf>
    <xf numFmtId="10" fontId="0" fillId="0" borderId="0" xfId="0" applyNumberFormat="1" applyFont="1" applyFill="1" applyAlignment="1">
      <alignment horizontal="center"/>
    </xf>
    <xf numFmtId="10" fontId="0" fillId="0" borderId="0" xfId="0" applyNumberFormat="1" applyFont="1" applyFill="1"/>
    <xf numFmtId="10" fontId="1" fillId="0" borderId="1" xfId="0" applyNumberFormat="1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5" fontId="1" fillId="0" borderId="0" xfId="0" applyNumberFormat="1" applyFont="1" applyFill="1" applyAlignment="1">
      <alignment horizontal="center"/>
    </xf>
    <xf numFmtId="10" fontId="1" fillId="0" borderId="0" xfId="0" applyNumberFormat="1" applyFont="1" applyFill="1" applyAlignment="1">
      <alignment horizontal="center"/>
    </xf>
    <xf numFmtId="0" fontId="0" fillId="0" borderId="0" xfId="0" applyFill="1" applyAlignment="1"/>
    <xf numFmtId="1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0" fillId="0" borderId="0" xfId="0" applyFont="1" applyFill="1" applyAlignment="1">
      <alignment horizontal="left" indent="1"/>
    </xf>
    <xf numFmtId="14" fontId="0" fillId="0" borderId="1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5" fontId="1" fillId="0" borderId="1" xfId="0" applyNumberFormat="1" applyFont="1" applyFill="1" applyBorder="1" applyAlignment="1">
      <alignment horizontal="center"/>
    </xf>
    <xf numFmtId="5" fontId="0" fillId="0" borderId="1" xfId="0" applyNumberFormat="1" applyFill="1" applyBorder="1" applyAlignment="1">
      <alignment horizontal="center"/>
    </xf>
    <xf numFmtId="5" fontId="0" fillId="0" borderId="1" xfId="0" applyNumberFormat="1" applyFont="1" applyFill="1" applyBorder="1" applyAlignment="1">
      <alignment horizontal="center"/>
    </xf>
  </cellXfs>
  <cellStyles count="470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4"/>
  <sheetViews>
    <sheetView tabSelected="1" zoomScale="125" zoomScaleNormal="125" zoomScalePageLayoutView="125" workbookViewId="0">
      <selection sqref="A1:XFD1048576"/>
    </sheetView>
  </sheetViews>
  <sheetFormatPr baseColWidth="10" defaultRowHeight="14" customHeight="1" x14ac:dyDescent="0"/>
  <cols>
    <col min="1" max="1" width="40" style="15" customWidth="1"/>
    <col min="2" max="2" width="10.83203125" style="15"/>
    <col min="3" max="3" width="13.83203125" style="16" customWidth="1"/>
    <col min="4" max="4" width="11.6640625" style="17" customWidth="1"/>
    <col min="5" max="5" width="3.6640625" style="17" customWidth="1"/>
    <col min="6" max="6" width="14.5" style="16" customWidth="1"/>
    <col min="7" max="7" width="13.6640625" style="17" customWidth="1"/>
    <col min="8" max="8" width="14.5" style="16" customWidth="1"/>
    <col min="9" max="9" width="12.1640625" style="17" customWidth="1"/>
    <col min="10" max="10" width="14.5" style="16" customWidth="1"/>
    <col min="11" max="11" width="11.83203125" style="17" customWidth="1"/>
    <col min="12" max="16384" width="10.83203125" style="15"/>
  </cols>
  <sheetData>
    <row r="1" spans="1:11" ht="14" customHeight="1">
      <c r="A1" s="22" t="s">
        <v>85</v>
      </c>
      <c r="C1" s="36"/>
      <c r="D1" s="37"/>
      <c r="E1" s="37"/>
      <c r="F1" s="29"/>
      <c r="G1" s="37"/>
      <c r="H1" s="29"/>
      <c r="I1" s="37"/>
      <c r="J1" s="28"/>
      <c r="K1" s="38"/>
    </row>
    <row r="2" spans="1:11" ht="14" customHeight="1">
      <c r="A2" s="22" t="s">
        <v>108</v>
      </c>
      <c r="C2" s="36"/>
      <c r="D2" s="37"/>
      <c r="E2" s="37"/>
      <c r="F2" s="29"/>
      <c r="G2" s="37"/>
      <c r="H2" s="29"/>
      <c r="I2" s="37"/>
      <c r="J2" s="28"/>
      <c r="K2" s="38"/>
    </row>
    <row r="3" spans="1:11" ht="14" customHeight="1">
      <c r="A3" s="12"/>
      <c r="C3" s="36"/>
      <c r="D3" s="6"/>
      <c r="E3" s="6"/>
      <c r="F3" s="5"/>
      <c r="G3" s="6"/>
      <c r="H3" s="5"/>
      <c r="I3" s="6"/>
      <c r="J3" s="5"/>
      <c r="K3" s="6"/>
    </row>
    <row r="4" spans="1:11" ht="14" customHeight="1">
      <c r="A4" s="12"/>
      <c r="C4" s="5" t="s">
        <v>94</v>
      </c>
      <c r="D4" s="39"/>
      <c r="E4" s="39"/>
      <c r="F4" s="5" t="s">
        <v>95</v>
      </c>
      <c r="G4" s="40"/>
      <c r="H4" s="5" t="s">
        <v>94</v>
      </c>
      <c r="I4" s="40"/>
      <c r="J4" s="5" t="s">
        <v>94</v>
      </c>
      <c r="K4" s="40"/>
    </row>
    <row r="5" spans="1:11" ht="14" customHeight="1">
      <c r="A5" s="12"/>
      <c r="C5" s="5" t="s">
        <v>96</v>
      </c>
      <c r="D5" s="24"/>
      <c r="E5" s="24"/>
      <c r="F5" s="5" t="s">
        <v>96</v>
      </c>
      <c r="G5" s="20"/>
      <c r="H5" s="5" t="s">
        <v>96</v>
      </c>
      <c r="I5" s="40"/>
      <c r="J5" s="5" t="s">
        <v>96</v>
      </c>
      <c r="K5" s="40"/>
    </row>
    <row r="6" spans="1:11" ht="14" customHeight="1">
      <c r="A6" s="4" t="s">
        <v>64</v>
      </c>
      <c r="C6" s="25" t="s">
        <v>97</v>
      </c>
      <c r="D6" s="38"/>
      <c r="E6" s="38"/>
      <c r="F6" s="25" t="s">
        <v>97</v>
      </c>
      <c r="G6" s="38"/>
      <c r="H6" s="25" t="s">
        <v>97</v>
      </c>
      <c r="I6" s="38"/>
      <c r="J6" s="25" t="s">
        <v>97</v>
      </c>
      <c r="K6" s="38"/>
    </row>
    <row r="7" spans="1:11" ht="14" customHeight="1">
      <c r="A7" s="4"/>
      <c r="C7" s="25" t="s">
        <v>82</v>
      </c>
      <c r="D7" s="37" t="s">
        <v>0</v>
      </c>
      <c r="E7" s="37"/>
      <c r="F7" s="25" t="s">
        <v>110</v>
      </c>
      <c r="G7" s="37" t="s">
        <v>0</v>
      </c>
      <c r="H7" s="25" t="s">
        <v>110</v>
      </c>
      <c r="I7" s="37" t="s">
        <v>0</v>
      </c>
      <c r="J7" s="25" t="s">
        <v>110</v>
      </c>
      <c r="K7" s="37" t="s">
        <v>0</v>
      </c>
    </row>
    <row r="8" spans="1:11" ht="14" customHeight="1">
      <c r="A8" s="1"/>
      <c r="C8" s="49" t="s">
        <v>109</v>
      </c>
      <c r="D8" s="41" t="s">
        <v>98</v>
      </c>
      <c r="E8" s="41"/>
      <c r="F8" s="49" t="s">
        <v>111</v>
      </c>
      <c r="G8" s="41" t="s">
        <v>98</v>
      </c>
      <c r="H8" s="49" t="s">
        <v>112</v>
      </c>
      <c r="I8" s="41" t="s">
        <v>98</v>
      </c>
      <c r="J8" s="49" t="s">
        <v>113</v>
      </c>
      <c r="K8" s="41" t="s">
        <v>98</v>
      </c>
    </row>
    <row r="9" spans="1:11" ht="14" customHeight="1">
      <c r="A9" s="1"/>
    </row>
    <row r="10" spans="1:11" ht="14" customHeight="1">
      <c r="A10" s="12" t="s">
        <v>87</v>
      </c>
    </row>
    <row r="11" spans="1:11" ht="14" customHeight="1">
      <c r="A11" s="9" t="s">
        <v>35</v>
      </c>
      <c r="C11" s="50"/>
      <c r="D11" s="37" t="e">
        <f>C11/$C$13</f>
        <v>#DIV/0!</v>
      </c>
      <c r="E11" s="37"/>
      <c r="F11" s="50"/>
      <c r="G11" s="37" t="e">
        <f>F11/$F$13</f>
        <v>#DIV/0!</v>
      </c>
      <c r="H11" s="50"/>
      <c r="I11" s="37" t="e">
        <f>H11/$H$13</f>
        <v>#DIV/0!</v>
      </c>
      <c r="J11" s="50"/>
      <c r="K11" s="37" t="e">
        <f>J11/$J$13</f>
        <v>#DIV/0!</v>
      </c>
    </row>
    <row r="12" spans="1:11" ht="14" customHeight="1">
      <c r="A12" s="9" t="s">
        <v>38</v>
      </c>
      <c r="C12" s="51"/>
      <c r="D12" s="41" t="e">
        <f t="shared" ref="D12:D13" si="0">C12/$C$13</f>
        <v>#DIV/0!</v>
      </c>
      <c r="E12" s="41"/>
      <c r="F12" s="51"/>
      <c r="G12" s="41" t="e">
        <f t="shared" ref="G12:G13" si="1">F12/$F$13</f>
        <v>#DIV/0!</v>
      </c>
      <c r="H12" s="51"/>
      <c r="I12" s="41" t="e">
        <f t="shared" ref="I12:I13" si="2">H12/$H$13</f>
        <v>#DIV/0!</v>
      </c>
      <c r="J12" s="51"/>
      <c r="K12" s="41" t="e">
        <f t="shared" ref="K12:K13" si="3">J12/$J$13</f>
        <v>#DIV/0!</v>
      </c>
    </row>
    <row r="13" spans="1:11" ht="14" customHeight="1">
      <c r="A13" s="10" t="s">
        <v>34</v>
      </c>
      <c r="C13" s="42">
        <f>SUM(C11:C12)</f>
        <v>0</v>
      </c>
      <c r="D13" s="37" t="e">
        <f t="shared" si="0"/>
        <v>#DIV/0!</v>
      </c>
      <c r="E13" s="37"/>
      <c r="F13" s="42">
        <f>SUM(F11:F12)</f>
        <v>0</v>
      </c>
      <c r="G13" s="37" t="e">
        <f t="shared" si="1"/>
        <v>#DIV/0!</v>
      </c>
      <c r="H13" s="42">
        <f>SUM(H11:H12)</f>
        <v>0</v>
      </c>
      <c r="I13" s="37" t="e">
        <f t="shared" si="2"/>
        <v>#DIV/0!</v>
      </c>
      <c r="J13" s="42">
        <f>SUM(J11:J12)</f>
        <v>0</v>
      </c>
      <c r="K13" s="37" t="e">
        <f t="shared" si="3"/>
        <v>#DIV/0!</v>
      </c>
    </row>
    <row r="14" spans="1:11" ht="14" customHeight="1">
      <c r="A14" s="10"/>
      <c r="C14" s="28"/>
      <c r="D14" s="37"/>
      <c r="E14" s="37"/>
      <c r="F14" s="28"/>
      <c r="G14" s="37"/>
      <c r="H14" s="28"/>
      <c r="I14" s="37"/>
      <c r="J14" s="28"/>
      <c r="K14" s="37"/>
    </row>
    <row r="15" spans="1:11" ht="14" customHeight="1">
      <c r="A15" s="12" t="s">
        <v>88</v>
      </c>
      <c r="C15" s="28"/>
      <c r="D15" s="37"/>
      <c r="E15" s="37"/>
      <c r="F15" s="28"/>
      <c r="G15" s="37"/>
      <c r="H15" s="28"/>
      <c r="I15" s="37"/>
      <c r="J15" s="28"/>
      <c r="K15" s="37"/>
    </row>
    <row r="16" spans="1:11" ht="14" customHeight="1">
      <c r="A16" s="3"/>
      <c r="C16" s="28"/>
      <c r="D16" s="37"/>
      <c r="E16" s="37"/>
      <c r="F16" s="28"/>
      <c r="G16" s="37"/>
      <c r="H16" s="28"/>
      <c r="I16" s="37"/>
      <c r="J16" s="28"/>
      <c r="K16" s="37"/>
    </row>
    <row r="17" spans="1:11" ht="14" customHeight="1">
      <c r="A17" s="12" t="s">
        <v>36</v>
      </c>
      <c r="C17" s="28"/>
      <c r="D17" s="38"/>
      <c r="E17" s="38"/>
      <c r="F17" s="28"/>
      <c r="G17" s="38"/>
      <c r="H17" s="28"/>
      <c r="I17" s="38"/>
      <c r="J17" s="28"/>
      <c r="K17" s="37"/>
    </row>
    <row r="18" spans="1:11" ht="14" customHeight="1">
      <c r="A18" s="26" t="s">
        <v>66</v>
      </c>
      <c r="C18" s="28"/>
      <c r="D18" s="37" t="e">
        <f t="shared" ref="D18:D25" si="4">C18/$C$13</f>
        <v>#DIV/0!</v>
      </c>
      <c r="E18" s="37"/>
      <c r="F18" s="28"/>
      <c r="G18" s="37" t="e">
        <f t="shared" ref="G18:G25" si="5">F18/$F$13</f>
        <v>#DIV/0!</v>
      </c>
      <c r="H18" s="28"/>
      <c r="I18" s="37" t="e">
        <f t="shared" ref="I18:I25" si="6">H18/$H$13</f>
        <v>#DIV/0!</v>
      </c>
      <c r="J18" s="28"/>
      <c r="K18" s="37" t="e">
        <f t="shared" ref="K18:K25" si="7">J18/$J$13</f>
        <v>#DIV/0!</v>
      </c>
    </row>
    <row r="19" spans="1:11" ht="14" customHeight="1">
      <c r="A19" s="9" t="s">
        <v>4</v>
      </c>
      <c r="C19" s="28"/>
      <c r="D19" s="37" t="e">
        <f t="shared" si="4"/>
        <v>#DIV/0!</v>
      </c>
      <c r="E19" s="37"/>
      <c r="F19" s="28"/>
      <c r="G19" s="37" t="e">
        <f t="shared" si="5"/>
        <v>#DIV/0!</v>
      </c>
      <c r="H19" s="28"/>
      <c r="I19" s="37" t="e">
        <f t="shared" si="6"/>
        <v>#DIV/0!</v>
      </c>
      <c r="J19" s="28"/>
      <c r="K19" s="37" t="e">
        <f t="shared" si="7"/>
        <v>#DIV/0!</v>
      </c>
    </row>
    <row r="20" spans="1:11" ht="14" customHeight="1">
      <c r="A20" s="9" t="s">
        <v>5</v>
      </c>
      <c r="C20" s="28"/>
      <c r="D20" s="37" t="e">
        <f t="shared" si="4"/>
        <v>#DIV/0!</v>
      </c>
      <c r="E20" s="37"/>
      <c r="F20" s="28"/>
      <c r="G20" s="37" t="e">
        <f t="shared" si="5"/>
        <v>#DIV/0!</v>
      </c>
      <c r="H20" s="28"/>
      <c r="I20" s="37" t="e">
        <f t="shared" si="6"/>
        <v>#DIV/0!</v>
      </c>
      <c r="J20" s="28"/>
      <c r="K20" s="37" t="e">
        <f t="shared" si="7"/>
        <v>#DIV/0!</v>
      </c>
    </row>
    <row r="21" spans="1:11" ht="14" customHeight="1">
      <c r="A21" s="9" t="s">
        <v>39</v>
      </c>
      <c r="C21" s="28"/>
      <c r="D21" s="37" t="e">
        <f t="shared" si="4"/>
        <v>#DIV/0!</v>
      </c>
      <c r="E21" s="37"/>
      <c r="F21" s="28"/>
      <c r="G21" s="37" t="e">
        <f t="shared" si="5"/>
        <v>#DIV/0!</v>
      </c>
      <c r="H21" s="28"/>
      <c r="I21" s="37" t="e">
        <f t="shared" si="6"/>
        <v>#DIV/0!</v>
      </c>
      <c r="J21" s="28"/>
      <c r="K21" s="37" t="e">
        <f t="shared" si="7"/>
        <v>#DIV/0!</v>
      </c>
    </row>
    <row r="22" spans="1:11" ht="14" customHeight="1">
      <c r="A22" s="9" t="s">
        <v>23</v>
      </c>
      <c r="C22" s="52"/>
      <c r="D22" s="41" t="e">
        <f t="shared" si="4"/>
        <v>#DIV/0!</v>
      </c>
      <c r="E22" s="41"/>
      <c r="F22" s="52"/>
      <c r="G22" s="41" t="e">
        <f t="shared" si="5"/>
        <v>#DIV/0!</v>
      </c>
      <c r="H22" s="52"/>
      <c r="I22" s="41" t="e">
        <f t="shared" si="6"/>
        <v>#DIV/0!</v>
      </c>
      <c r="J22" s="52"/>
      <c r="K22" s="41" t="e">
        <f t="shared" si="7"/>
        <v>#DIV/0!</v>
      </c>
    </row>
    <row r="23" spans="1:11" ht="14" customHeight="1">
      <c r="A23" s="10" t="s">
        <v>30</v>
      </c>
      <c r="C23" s="28">
        <f>SUM(C18:C22)</f>
        <v>0</v>
      </c>
      <c r="D23" s="37" t="e">
        <f t="shared" si="4"/>
        <v>#DIV/0!</v>
      </c>
      <c r="E23" s="37"/>
      <c r="F23" s="28">
        <f>SUM(F18:F22)</f>
        <v>0</v>
      </c>
      <c r="G23" s="37" t="e">
        <f t="shared" si="5"/>
        <v>#DIV/0!</v>
      </c>
      <c r="H23" s="28">
        <f>SUM(H18:H22)</f>
        <v>0</v>
      </c>
      <c r="I23" s="37" t="e">
        <f t="shared" si="6"/>
        <v>#DIV/0!</v>
      </c>
      <c r="J23" s="28">
        <f>SUM(J18:J22)</f>
        <v>0</v>
      </c>
      <c r="K23" s="37" t="e">
        <f t="shared" si="7"/>
        <v>#DIV/0!</v>
      </c>
    </row>
    <row r="24" spans="1:11" ht="14" customHeight="1">
      <c r="A24" s="2"/>
      <c r="C24" s="28"/>
      <c r="D24" s="37"/>
      <c r="E24" s="37"/>
      <c r="F24" s="28"/>
      <c r="G24" s="37"/>
      <c r="H24" s="37"/>
      <c r="I24" s="37"/>
      <c r="J24" s="28"/>
      <c r="K24" s="37"/>
    </row>
    <row r="25" spans="1:11" ht="14" customHeight="1">
      <c r="A25" s="12" t="s">
        <v>2</v>
      </c>
      <c r="C25" s="28">
        <f>C13-C23</f>
        <v>0</v>
      </c>
      <c r="D25" s="37" t="e">
        <f t="shared" si="4"/>
        <v>#DIV/0!</v>
      </c>
      <c r="E25" s="37"/>
      <c r="F25" s="28">
        <f>F13-F23</f>
        <v>0</v>
      </c>
      <c r="G25" s="37" t="e">
        <f t="shared" si="5"/>
        <v>#DIV/0!</v>
      </c>
      <c r="H25" s="28">
        <f>H13-H23</f>
        <v>0</v>
      </c>
      <c r="I25" s="37" t="e">
        <f t="shared" si="6"/>
        <v>#DIV/0!</v>
      </c>
      <c r="J25" s="28">
        <f>J13-J23</f>
        <v>0</v>
      </c>
      <c r="K25" s="37" t="e">
        <f t="shared" si="7"/>
        <v>#DIV/0!</v>
      </c>
    </row>
    <row r="26" spans="1:11" ht="14" customHeight="1">
      <c r="A26" s="2"/>
      <c r="C26" s="28"/>
      <c r="D26" s="37"/>
      <c r="E26" s="37"/>
      <c r="F26" s="28"/>
      <c r="G26" s="37"/>
      <c r="H26" s="28"/>
      <c r="I26" s="37"/>
      <c r="J26" s="28"/>
      <c r="K26" s="37"/>
    </row>
    <row r="27" spans="1:11" ht="14" customHeight="1">
      <c r="A27" s="13" t="s">
        <v>24</v>
      </c>
      <c r="C27" s="28"/>
      <c r="D27" s="37"/>
      <c r="E27" s="37"/>
      <c r="F27" s="28"/>
      <c r="G27" s="37"/>
      <c r="H27" s="28"/>
      <c r="I27" s="37"/>
      <c r="J27" s="28"/>
      <c r="K27" s="37"/>
    </row>
    <row r="28" spans="1:11" ht="14" customHeight="1">
      <c r="A28" s="23" t="s">
        <v>81</v>
      </c>
      <c r="C28" s="28"/>
      <c r="D28" s="37" t="e">
        <f t="shared" ref="D28:D32" si="8">C28/$C$13</f>
        <v>#DIV/0!</v>
      </c>
      <c r="E28" s="37"/>
      <c r="F28" s="28"/>
      <c r="G28" s="37" t="e">
        <f t="shared" ref="G28:G32" si="9">F28/$F$13</f>
        <v>#DIV/0!</v>
      </c>
      <c r="H28" s="28"/>
      <c r="I28" s="37" t="e">
        <f t="shared" ref="I28:I32" si="10">H28/$H$13</f>
        <v>#DIV/0!</v>
      </c>
      <c r="J28" s="28"/>
      <c r="K28" s="37" t="e">
        <f t="shared" ref="K28:K32" si="11">J28/$J$13</f>
        <v>#DIV/0!</v>
      </c>
    </row>
    <row r="29" spans="1:11" ht="14" customHeight="1">
      <c r="A29" s="7" t="s">
        <v>40</v>
      </c>
      <c r="C29" s="28"/>
      <c r="D29" s="37" t="e">
        <f t="shared" si="8"/>
        <v>#DIV/0!</v>
      </c>
      <c r="E29" s="37"/>
      <c r="F29" s="28"/>
      <c r="G29" s="37" t="e">
        <f t="shared" si="9"/>
        <v>#DIV/0!</v>
      </c>
      <c r="H29" s="28"/>
      <c r="I29" s="37" t="e">
        <f t="shared" si="10"/>
        <v>#DIV/0!</v>
      </c>
      <c r="J29" s="28"/>
      <c r="K29" s="37" t="e">
        <f t="shared" si="11"/>
        <v>#DIV/0!</v>
      </c>
    </row>
    <row r="30" spans="1:11" ht="14" customHeight="1">
      <c r="A30" s="7" t="s">
        <v>41</v>
      </c>
      <c r="C30" s="28"/>
      <c r="D30" s="37" t="e">
        <f t="shared" si="8"/>
        <v>#DIV/0!</v>
      </c>
      <c r="E30" s="37"/>
      <c r="F30" s="28"/>
      <c r="G30" s="37" t="e">
        <f t="shared" si="9"/>
        <v>#DIV/0!</v>
      </c>
      <c r="H30" s="28"/>
      <c r="I30" s="37" t="e">
        <f t="shared" si="10"/>
        <v>#DIV/0!</v>
      </c>
      <c r="J30" s="28"/>
      <c r="K30" s="37" t="e">
        <f t="shared" si="11"/>
        <v>#DIV/0!</v>
      </c>
    </row>
    <row r="31" spans="1:11" ht="14" customHeight="1">
      <c r="A31" s="7" t="s">
        <v>42</v>
      </c>
      <c r="C31" s="52"/>
      <c r="D31" s="41" t="e">
        <f t="shared" si="8"/>
        <v>#DIV/0!</v>
      </c>
      <c r="E31" s="41"/>
      <c r="F31" s="52"/>
      <c r="G31" s="41" t="e">
        <f t="shared" si="9"/>
        <v>#DIV/0!</v>
      </c>
      <c r="H31" s="52"/>
      <c r="I31" s="41" t="e">
        <f t="shared" si="10"/>
        <v>#DIV/0!</v>
      </c>
      <c r="J31" s="52"/>
      <c r="K31" s="41" t="e">
        <f t="shared" si="11"/>
        <v>#DIV/0!</v>
      </c>
    </row>
    <row r="32" spans="1:11" ht="14" customHeight="1">
      <c r="A32" s="11" t="s">
        <v>31</v>
      </c>
      <c r="C32" s="28">
        <f>SUM(C28:C31)</f>
        <v>0</v>
      </c>
      <c r="D32" s="37" t="e">
        <f t="shared" si="8"/>
        <v>#DIV/0!</v>
      </c>
      <c r="E32" s="37"/>
      <c r="F32" s="28">
        <f>SUM(F28:F31)</f>
        <v>0</v>
      </c>
      <c r="G32" s="37" t="e">
        <f t="shared" si="9"/>
        <v>#DIV/0!</v>
      </c>
      <c r="H32" s="28">
        <f>SUM(H28:H31)</f>
        <v>0</v>
      </c>
      <c r="I32" s="37" t="e">
        <f t="shared" si="10"/>
        <v>#DIV/0!</v>
      </c>
      <c r="J32" s="28">
        <f>SUM(J28:J31)</f>
        <v>0</v>
      </c>
      <c r="K32" s="37" t="e">
        <f t="shared" si="11"/>
        <v>#DIV/0!</v>
      </c>
    </row>
    <row r="33" spans="1:11" ht="14" customHeight="1">
      <c r="A33" s="11"/>
      <c r="C33" s="28"/>
      <c r="D33" s="37"/>
      <c r="E33" s="37"/>
      <c r="F33" s="28"/>
      <c r="G33" s="37"/>
      <c r="H33" s="28"/>
      <c r="I33" s="37"/>
      <c r="J33" s="28"/>
      <c r="K33" s="37"/>
    </row>
    <row r="34" spans="1:11" ht="14" customHeight="1">
      <c r="A34" s="12" t="s">
        <v>6</v>
      </c>
      <c r="C34" s="28"/>
      <c r="D34" s="37"/>
      <c r="E34" s="37"/>
      <c r="F34" s="28"/>
      <c r="G34" s="37"/>
      <c r="H34" s="28"/>
      <c r="I34" s="37"/>
      <c r="J34" s="28"/>
      <c r="K34" s="37"/>
    </row>
    <row r="35" spans="1:11" ht="14" customHeight="1">
      <c r="A35" s="23" t="s">
        <v>65</v>
      </c>
      <c r="C35" s="28"/>
      <c r="D35" s="37" t="e">
        <f t="shared" ref="D35:D54" si="12">C35/$C$13</f>
        <v>#DIV/0!</v>
      </c>
      <c r="E35" s="37"/>
      <c r="F35" s="28"/>
      <c r="G35" s="37" t="e">
        <f t="shared" ref="G35:G54" si="13">F35/$F$13</f>
        <v>#DIV/0!</v>
      </c>
      <c r="H35" s="28"/>
      <c r="I35" s="37" t="e">
        <f t="shared" ref="I35:I54" si="14">H35/$H$13</f>
        <v>#DIV/0!</v>
      </c>
      <c r="J35" s="28"/>
      <c r="K35" s="37" t="e">
        <f t="shared" ref="K35:K54" si="15">J35/$J$13</f>
        <v>#DIV/0!</v>
      </c>
    </row>
    <row r="36" spans="1:11" ht="14" customHeight="1">
      <c r="A36" s="23" t="s">
        <v>67</v>
      </c>
      <c r="C36" s="28"/>
      <c r="D36" s="37" t="e">
        <f t="shared" si="12"/>
        <v>#DIV/0!</v>
      </c>
      <c r="E36" s="37"/>
      <c r="F36" s="28"/>
      <c r="G36" s="37" t="e">
        <f t="shared" si="13"/>
        <v>#DIV/0!</v>
      </c>
      <c r="H36" s="28"/>
      <c r="I36" s="37" t="e">
        <f t="shared" si="14"/>
        <v>#DIV/0!</v>
      </c>
      <c r="J36" s="28"/>
      <c r="K36" s="37" t="e">
        <f t="shared" si="15"/>
        <v>#DIV/0!</v>
      </c>
    </row>
    <row r="37" spans="1:11" ht="14" customHeight="1">
      <c r="A37" s="7" t="s">
        <v>7</v>
      </c>
      <c r="C37" s="28"/>
      <c r="D37" s="37" t="e">
        <f t="shared" si="12"/>
        <v>#DIV/0!</v>
      </c>
      <c r="E37" s="37"/>
      <c r="F37" s="28"/>
      <c r="G37" s="37" t="e">
        <f t="shared" si="13"/>
        <v>#DIV/0!</v>
      </c>
      <c r="H37" s="28"/>
      <c r="I37" s="37" t="e">
        <f t="shared" si="14"/>
        <v>#DIV/0!</v>
      </c>
      <c r="J37" s="28"/>
      <c r="K37" s="37" t="e">
        <f t="shared" si="15"/>
        <v>#DIV/0!</v>
      </c>
    </row>
    <row r="38" spans="1:11" ht="14" customHeight="1">
      <c r="A38" s="7" t="s">
        <v>63</v>
      </c>
      <c r="C38" s="28"/>
      <c r="D38" s="37" t="e">
        <f t="shared" si="12"/>
        <v>#DIV/0!</v>
      </c>
      <c r="E38" s="37"/>
      <c r="F38" s="28"/>
      <c r="G38" s="37" t="e">
        <f t="shared" si="13"/>
        <v>#DIV/0!</v>
      </c>
      <c r="H38" s="28"/>
      <c r="I38" s="37" t="e">
        <f t="shared" si="14"/>
        <v>#DIV/0!</v>
      </c>
      <c r="J38" s="28"/>
      <c r="K38" s="37" t="e">
        <f t="shared" si="15"/>
        <v>#DIV/0!</v>
      </c>
    </row>
    <row r="39" spans="1:11" ht="14" customHeight="1">
      <c r="A39" s="23" t="s">
        <v>68</v>
      </c>
      <c r="C39" s="28"/>
      <c r="D39" s="37" t="e">
        <f t="shared" si="12"/>
        <v>#DIV/0!</v>
      </c>
      <c r="E39" s="37"/>
      <c r="F39" s="28"/>
      <c r="G39" s="37" t="e">
        <f t="shared" si="13"/>
        <v>#DIV/0!</v>
      </c>
      <c r="H39" s="28"/>
      <c r="I39" s="37" t="e">
        <f t="shared" si="14"/>
        <v>#DIV/0!</v>
      </c>
      <c r="J39" s="28"/>
      <c r="K39" s="37" t="e">
        <f t="shared" si="15"/>
        <v>#DIV/0!</v>
      </c>
    </row>
    <row r="40" spans="1:11" ht="14" customHeight="1">
      <c r="A40" s="7" t="s">
        <v>8</v>
      </c>
      <c r="C40" s="28"/>
      <c r="D40" s="37" t="e">
        <f t="shared" si="12"/>
        <v>#DIV/0!</v>
      </c>
      <c r="E40" s="37"/>
      <c r="F40" s="28"/>
      <c r="G40" s="37" t="e">
        <f t="shared" si="13"/>
        <v>#DIV/0!</v>
      </c>
      <c r="H40" s="28"/>
      <c r="I40" s="37" t="e">
        <f t="shared" si="14"/>
        <v>#DIV/0!</v>
      </c>
      <c r="J40" s="28"/>
      <c r="K40" s="37" t="e">
        <f t="shared" si="15"/>
        <v>#DIV/0!</v>
      </c>
    </row>
    <row r="41" spans="1:11" ht="14" customHeight="1">
      <c r="A41" s="8" t="s">
        <v>9</v>
      </c>
      <c r="C41" s="28"/>
      <c r="D41" s="37" t="e">
        <f t="shared" si="12"/>
        <v>#DIV/0!</v>
      </c>
      <c r="E41" s="37"/>
      <c r="F41" s="28"/>
      <c r="G41" s="37" t="e">
        <f t="shared" si="13"/>
        <v>#DIV/0!</v>
      </c>
      <c r="H41" s="28"/>
      <c r="I41" s="37" t="e">
        <f t="shared" si="14"/>
        <v>#DIV/0!</v>
      </c>
      <c r="J41" s="28"/>
      <c r="K41" s="37" t="e">
        <f t="shared" si="15"/>
        <v>#DIV/0!</v>
      </c>
    </row>
    <row r="42" spans="1:11" ht="14" customHeight="1">
      <c r="A42" s="8" t="s">
        <v>43</v>
      </c>
      <c r="C42" s="28"/>
      <c r="D42" s="37" t="e">
        <f t="shared" si="12"/>
        <v>#DIV/0!</v>
      </c>
      <c r="E42" s="37"/>
      <c r="F42" s="28"/>
      <c r="G42" s="37" t="e">
        <f t="shared" si="13"/>
        <v>#DIV/0!</v>
      </c>
      <c r="H42" s="28"/>
      <c r="I42" s="37" t="e">
        <f t="shared" si="14"/>
        <v>#DIV/0!</v>
      </c>
      <c r="J42" s="28"/>
      <c r="K42" s="37" t="e">
        <f t="shared" si="15"/>
        <v>#DIV/0!</v>
      </c>
    </row>
    <row r="43" spans="1:11" ht="14" customHeight="1">
      <c r="A43" s="8" t="s">
        <v>44</v>
      </c>
      <c r="C43" s="28"/>
      <c r="D43" s="37" t="e">
        <f t="shared" si="12"/>
        <v>#DIV/0!</v>
      </c>
      <c r="E43" s="37"/>
      <c r="F43" s="28"/>
      <c r="G43" s="37" t="e">
        <f t="shared" si="13"/>
        <v>#DIV/0!</v>
      </c>
      <c r="H43" s="28"/>
      <c r="I43" s="37" t="e">
        <f t="shared" si="14"/>
        <v>#DIV/0!</v>
      </c>
      <c r="J43" s="28"/>
      <c r="K43" s="37" t="e">
        <f t="shared" si="15"/>
        <v>#DIV/0!</v>
      </c>
    </row>
    <row r="44" spans="1:11" ht="14" customHeight="1">
      <c r="A44" s="8" t="s">
        <v>45</v>
      </c>
      <c r="C44" s="28"/>
      <c r="D44" s="37" t="e">
        <f t="shared" si="12"/>
        <v>#DIV/0!</v>
      </c>
      <c r="E44" s="37"/>
      <c r="F44" s="28"/>
      <c r="G44" s="37" t="e">
        <f t="shared" si="13"/>
        <v>#DIV/0!</v>
      </c>
      <c r="H44" s="28"/>
      <c r="I44" s="37" t="e">
        <f t="shared" si="14"/>
        <v>#DIV/0!</v>
      </c>
      <c r="J44" s="28"/>
      <c r="K44" s="37" t="e">
        <f t="shared" si="15"/>
        <v>#DIV/0!</v>
      </c>
    </row>
    <row r="45" spans="1:11" ht="14" customHeight="1">
      <c r="A45" s="8" t="s">
        <v>60</v>
      </c>
      <c r="C45" s="28"/>
      <c r="D45" s="37" t="e">
        <f t="shared" si="12"/>
        <v>#DIV/0!</v>
      </c>
      <c r="E45" s="37"/>
      <c r="F45" s="28"/>
      <c r="G45" s="37" t="e">
        <f t="shared" si="13"/>
        <v>#DIV/0!</v>
      </c>
      <c r="H45" s="28"/>
      <c r="I45" s="37" t="e">
        <f t="shared" si="14"/>
        <v>#DIV/0!</v>
      </c>
      <c r="J45" s="28"/>
      <c r="K45" s="37" t="e">
        <f t="shared" si="15"/>
        <v>#DIV/0!</v>
      </c>
    </row>
    <row r="46" spans="1:11" ht="14" customHeight="1">
      <c r="A46" s="8" t="s">
        <v>25</v>
      </c>
      <c r="C46" s="28"/>
      <c r="D46" s="37" t="e">
        <f t="shared" si="12"/>
        <v>#DIV/0!</v>
      </c>
      <c r="E46" s="37"/>
      <c r="F46" s="28"/>
      <c r="G46" s="37" t="e">
        <f t="shared" si="13"/>
        <v>#DIV/0!</v>
      </c>
      <c r="H46" s="28"/>
      <c r="I46" s="37" t="e">
        <f t="shared" si="14"/>
        <v>#DIV/0!</v>
      </c>
      <c r="J46" s="28"/>
      <c r="K46" s="37" t="e">
        <f t="shared" si="15"/>
        <v>#DIV/0!</v>
      </c>
    </row>
    <row r="47" spans="1:11" ht="14" customHeight="1">
      <c r="A47" s="7" t="s">
        <v>32</v>
      </c>
      <c r="C47" s="28"/>
      <c r="D47" s="37" t="e">
        <f t="shared" si="12"/>
        <v>#DIV/0!</v>
      </c>
      <c r="E47" s="37"/>
      <c r="F47" s="28"/>
      <c r="G47" s="37" t="e">
        <f t="shared" si="13"/>
        <v>#DIV/0!</v>
      </c>
      <c r="H47" s="28"/>
      <c r="I47" s="37" t="e">
        <f t="shared" si="14"/>
        <v>#DIV/0!</v>
      </c>
      <c r="J47" s="28"/>
      <c r="K47" s="37" t="e">
        <f t="shared" si="15"/>
        <v>#DIV/0!</v>
      </c>
    </row>
    <row r="48" spans="1:11" ht="14" customHeight="1">
      <c r="A48" s="8" t="s">
        <v>26</v>
      </c>
      <c r="C48" s="28"/>
      <c r="D48" s="37" t="e">
        <f t="shared" si="12"/>
        <v>#DIV/0!</v>
      </c>
      <c r="E48" s="37"/>
      <c r="F48" s="28"/>
      <c r="G48" s="37" t="e">
        <f t="shared" si="13"/>
        <v>#DIV/0!</v>
      </c>
      <c r="H48" s="28"/>
      <c r="I48" s="37" t="e">
        <f t="shared" si="14"/>
        <v>#DIV/0!</v>
      </c>
      <c r="J48" s="28"/>
      <c r="K48" s="37" t="e">
        <f t="shared" si="15"/>
        <v>#DIV/0!</v>
      </c>
    </row>
    <row r="49" spans="1:11" ht="14" customHeight="1">
      <c r="A49" s="8" t="s">
        <v>33</v>
      </c>
      <c r="C49" s="28"/>
      <c r="D49" s="37" t="e">
        <f t="shared" si="12"/>
        <v>#DIV/0!</v>
      </c>
      <c r="E49" s="37"/>
      <c r="F49" s="28"/>
      <c r="G49" s="37" t="e">
        <f t="shared" si="13"/>
        <v>#DIV/0!</v>
      </c>
      <c r="H49" s="28"/>
      <c r="I49" s="37" t="e">
        <f t="shared" si="14"/>
        <v>#DIV/0!</v>
      </c>
      <c r="J49" s="28"/>
      <c r="K49" s="37" t="e">
        <f t="shared" si="15"/>
        <v>#DIV/0!</v>
      </c>
    </row>
    <row r="50" spans="1:11" ht="14" customHeight="1">
      <c r="A50" s="8" t="s">
        <v>46</v>
      </c>
      <c r="C50" s="28"/>
      <c r="D50" s="37" t="e">
        <f t="shared" si="12"/>
        <v>#DIV/0!</v>
      </c>
      <c r="E50" s="37"/>
      <c r="F50" s="28"/>
      <c r="G50" s="37" t="e">
        <f t="shared" si="13"/>
        <v>#DIV/0!</v>
      </c>
      <c r="H50" s="28"/>
      <c r="I50" s="37" t="e">
        <f t="shared" si="14"/>
        <v>#DIV/0!</v>
      </c>
      <c r="J50" s="28"/>
      <c r="K50" s="37" t="e">
        <f t="shared" si="15"/>
        <v>#DIV/0!</v>
      </c>
    </row>
    <row r="51" spans="1:11" ht="14" customHeight="1">
      <c r="A51" s="27" t="s">
        <v>69</v>
      </c>
      <c r="C51" s="28"/>
      <c r="D51" s="37" t="e">
        <f t="shared" si="12"/>
        <v>#DIV/0!</v>
      </c>
      <c r="E51" s="37"/>
      <c r="F51" s="28"/>
      <c r="G51" s="37" t="e">
        <f t="shared" si="13"/>
        <v>#DIV/0!</v>
      </c>
      <c r="H51" s="28"/>
      <c r="I51" s="37" t="e">
        <f t="shared" si="14"/>
        <v>#DIV/0!</v>
      </c>
      <c r="J51" s="28"/>
      <c r="K51" s="37" t="e">
        <f t="shared" si="15"/>
        <v>#DIV/0!</v>
      </c>
    </row>
    <row r="52" spans="1:11" ht="14" customHeight="1">
      <c r="A52" s="27" t="s">
        <v>70</v>
      </c>
      <c r="C52" s="28"/>
      <c r="D52" s="37" t="e">
        <f t="shared" si="12"/>
        <v>#DIV/0!</v>
      </c>
      <c r="E52" s="37"/>
      <c r="F52" s="28"/>
      <c r="G52" s="37" t="e">
        <f t="shared" si="13"/>
        <v>#DIV/0!</v>
      </c>
      <c r="H52" s="28"/>
      <c r="I52" s="37" t="e">
        <f t="shared" si="14"/>
        <v>#DIV/0!</v>
      </c>
      <c r="J52" s="28"/>
      <c r="K52" s="37" t="e">
        <f t="shared" si="15"/>
        <v>#DIV/0!</v>
      </c>
    </row>
    <row r="53" spans="1:11" ht="14" customHeight="1">
      <c r="A53" s="27" t="s">
        <v>71</v>
      </c>
      <c r="C53" s="52"/>
      <c r="D53" s="41" t="e">
        <f t="shared" si="12"/>
        <v>#DIV/0!</v>
      </c>
      <c r="E53" s="41"/>
      <c r="F53" s="52"/>
      <c r="G53" s="41" t="e">
        <f t="shared" si="13"/>
        <v>#DIV/0!</v>
      </c>
      <c r="H53" s="52"/>
      <c r="I53" s="41" t="e">
        <f t="shared" si="14"/>
        <v>#DIV/0!</v>
      </c>
      <c r="J53" s="52"/>
      <c r="K53" s="41" t="e">
        <f t="shared" si="15"/>
        <v>#DIV/0!</v>
      </c>
    </row>
    <row r="54" spans="1:11" ht="14" customHeight="1">
      <c r="A54" s="10" t="s">
        <v>22</v>
      </c>
      <c r="C54" s="42">
        <f>SUM(C35:C53)</f>
        <v>0</v>
      </c>
      <c r="D54" s="37" t="e">
        <f t="shared" si="12"/>
        <v>#DIV/0!</v>
      </c>
      <c r="E54" s="37"/>
      <c r="F54" s="42">
        <f>SUM(F35:F53)</f>
        <v>0</v>
      </c>
      <c r="G54" s="37" t="e">
        <f t="shared" si="13"/>
        <v>#DIV/0!</v>
      </c>
      <c r="H54" s="42">
        <f>SUM(H35:H53)</f>
        <v>0</v>
      </c>
      <c r="I54" s="37" t="e">
        <f t="shared" si="14"/>
        <v>#DIV/0!</v>
      </c>
      <c r="J54" s="42">
        <f>SUM(J35:J53)</f>
        <v>0</v>
      </c>
      <c r="K54" s="37" t="e">
        <f t="shared" si="15"/>
        <v>#DIV/0!</v>
      </c>
    </row>
    <row r="55" spans="1:11" ht="14" customHeight="1">
      <c r="C55" s="28"/>
      <c r="D55" s="37"/>
      <c r="E55" s="37"/>
      <c r="F55" s="28"/>
      <c r="G55" s="37"/>
      <c r="H55" s="28"/>
      <c r="I55" s="37"/>
      <c r="J55" s="28"/>
      <c r="K55" s="37"/>
    </row>
    <row r="56" spans="1:11" ht="14" customHeight="1">
      <c r="A56" s="12" t="s">
        <v>20</v>
      </c>
      <c r="C56" s="28"/>
      <c r="D56" s="37"/>
      <c r="E56" s="37"/>
      <c r="F56" s="28"/>
      <c r="G56" s="37"/>
      <c r="H56" s="28"/>
      <c r="I56" s="37"/>
      <c r="J56" s="28"/>
      <c r="K56" s="37"/>
    </row>
    <row r="57" spans="1:11" ht="14" customHeight="1">
      <c r="A57" s="7" t="s">
        <v>10</v>
      </c>
      <c r="C57" s="28"/>
      <c r="D57" s="37" t="e">
        <f t="shared" ref="D57:D70" si="16">C57/$C$13</f>
        <v>#DIV/0!</v>
      </c>
      <c r="E57" s="37"/>
      <c r="F57" s="28"/>
      <c r="G57" s="37" t="e">
        <f t="shared" ref="G57:G70" si="17">F57/$F$13</f>
        <v>#DIV/0!</v>
      </c>
      <c r="H57" s="28"/>
      <c r="I57" s="37" t="e">
        <f t="shared" ref="I57:I70" si="18">H57/$H$13</f>
        <v>#DIV/0!</v>
      </c>
      <c r="J57" s="28"/>
      <c r="K57" s="37" t="e">
        <f t="shared" ref="K57:K70" si="19">J57/$J$13</f>
        <v>#DIV/0!</v>
      </c>
    </row>
    <row r="58" spans="1:11" ht="14" customHeight="1">
      <c r="A58" s="7" t="s">
        <v>27</v>
      </c>
      <c r="C58" s="28"/>
      <c r="D58" s="37" t="e">
        <f t="shared" si="16"/>
        <v>#DIV/0!</v>
      </c>
      <c r="E58" s="37"/>
      <c r="F58" s="28"/>
      <c r="G58" s="37" t="e">
        <f t="shared" si="17"/>
        <v>#DIV/0!</v>
      </c>
      <c r="H58" s="28"/>
      <c r="I58" s="37" t="e">
        <f t="shared" si="18"/>
        <v>#DIV/0!</v>
      </c>
      <c r="J58" s="28"/>
      <c r="K58" s="37" t="e">
        <f t="shared" si="19"/>
        <v>#DIV/0!</v>
      </c>
    </row>
    <row r="59" spans="1:11" ht="14" customHeight="1">
      <c r="A59" s="7" t="s">
        <v>28</v>
      </c>
      <c r="C59" s="28"/>
      <c r="D59" s="37" t="e">
        <f t="shared" si="16"/>
        <v>#DIV/0!</v>
      </c>
      <c r="E59" s="37"/>
      <c r="F59" s="28"/>
      <c r="G59" s="37" t="e">
        <f t="shared" si="17"/>
        <v>#DIV/0!</v>
      </c>
      <c r="H59" s="28"/>
      <c r="I59" s="37" t="e">
        <f t="shared" si="18"/>
        <v>#DIV/0!</v>
      </c>
      <c r="J59" s="28"/>
      <c r="K59" s="37" t="e">
        <f t="shared" si="19"/>
        <v>#DIV/0!</v>
      </c>
    </row>
    <row r="60" spans="1:11" ht="14" customHeight="1">
      <c r="A60" s="7" t="s">
        <v>1</v>
      </c>
      <c r="C60" s="28"/>
      <c r="D60" s="37" t="e">
        <f t="shared" si="16"/>
        <v>#DIV/0!</v>
      </c>
      <c r="E60" s="37"/>
      <c r="F60" s="28"/>
      <c r="G60" s="37" t="e">
        <f t="shared" si="17"/>
        <v>#DIV/0!</v>
      </c>
      <c r="H60" s="28"/>
      <c r="I60" s="37" t="e">
        <f t="shared" si="18"/>
        <v>#DIV/0!</v>
      </c>
      <c r="J60" s="28"/>
      <c r="K60" s="37" t="e">
        <f t="shared" si="19"/>
        <v>#DIV/0!</v>
      </c>
    </row>
    <row r="61" spans="1:11" ht="14" customHeight="1">
      <c r="A61" s="23" t="s">
        <v>59</v>
      </c>
      <c r="C61" s="28"/>
      <c r="D61" s="37" t="e">
        <f t="shared" si="16"/>
        <v>#DIV/0!</v>
      </c>
      <c r="E61" s="37"/>
      <c r="F61" s="28"/>
      <c r="G61" s="37" t="e">
        <f t="shared" si="17"/>
        <v>#DIV/0!</v>
      </c>
      <c r="H61" s="28"/>
      <c r="I61" s="37" t="e">
        <f t="shared" si="18"/>
        <v>#DIV/0!</v>
      </c>
      <c r="J61" s="28"/>
      <c r="K61" s="37" t="e">
        <f t="shared" si="19"/>
        <v>#DIV/0!</v>
      </c>
    </row>
    <row r="62" spans="1:11" ht="14" customHeight="1">
      <c r="A62" s="23" t="s">
        <v>72</v>
      </c>
      <c r="C62" s="28"/>
      <c r="D62" s="37" t="e">
        <f t="shared" si="16"/>
        <v>#DIV/0!</v>
      </c>
      <c r="E62" s="37"/>
      <c r="F62" s="28"/>
      <c r="G62" s="37" t="e">
        <f t="shared" si="17"/>
        <v>#DIV/0!</v>
      </c>
      <c r="H62" s="28"/>
      <c r="I62" s="37" t="e">
        <f t="shared" si="18"/>
        <v>#DIV/0!</v>
      </c>
      <c r="J62" s="28"/>
      <c r="K62" s="37" t="e">
        <f t="shared" si="19"/>
        <v>#DIV/0!</v>
      </c>
    </row>
    <row r="63" spans="1:11" ht="14" customHeight="1">
      <c r="A63" s="7" t="s">
        <v>61</v>
      </c>
      <c r="C63" s="28"/>
      <c r="D63" s="37" t="e">
        <f t="shared" si="16"/>
        <v>#DIV/0!</v>
      </c>
      <c r="E63" s="37"/>
      <c r="F63" s="28"/>
      <c r="G63" s="37" t="e">
        <f t="shared" si="17"/>
        <v>#DIV/0!</v>
      </c>
      <c r="H63" s="28"/>
      <c r="I63" s="37" t="e">
        <f t="shared" si="18"/>
        <v>#DIV/0!</v>
      </c>
      <c r="J63" s="28"/>
      <c r="K63" s="37" t="e">
        <f t="shared" si="19"/>
        <v>#DIV/0!</v>
      </c>
    </row>
    <row r="64" spans="1:11" ht="14" customHeight="1">
      <c r="A64" s="23" t="s">
        <v>73</v>
      </c>
      <c r="C64" s="28"/>
      <c r="D64" s="37" t="e">
        <f t="shared" si="16"/>
        <v>#DIV/0!</v>
      </c>
      <c r="E64" s="37"/>
      <c r="F64" s="28"/>
      <c r="G64" s="37" t="e">
        <f t="shared" si="17"/>
        <v>#DIV/0!</v>
      </c>
      <c r="H64" s="28"/>
      <c r="I64" s="37" t="e">
        <f t="shared" si="18"/>
        <v>#DIV/0!</v>
      </c>
      <c r="J64" s="28"/>
      <c r="K64" s="37" t="e">
        <f t="shared" si="19"/>
        <v>#DIV/0!</v>
      </c>
    </row>
    <row r="65" spans="1:11" ht="14" customHeight="1">
      <c r="A65" s="23" t="s">
        <v>74</v>
      </c>
      <c r="C65" s="28"/>
      <c r="D65" s="37" t="e">
        <f t="shared" si="16"/>
        <v>#DIV/0!</v>
      </c>
      <c r="E65" s="37"/>
      <c r="F65" s="28"/>
      <c r="G65" s="37" t="e">
        <f t="shared" si="17"/>
        <v>#DIV/0!</v>
      </c>
      <c r="H65" s="28"/>
      <c r="I65" s="37" t="e">
        <f t="shared" si="18"/>
        <v>#DIV/0!</v>
      </c>
      <c r="J65" s="28"/>
      <c r="K65" s="37" t="e">
        <f t="shared" si="19"/>
        <v>#DIV/0!</v>
      </c>
    </row>
    <row r="66" spans="1:11" ht="14" customHeight="1">
      <c r="A66" s="23" t="s">
        <v>75</v>
      </c>
      <c r="D66" s="37" t="e">
        <f t="shared" si="16"/>
        <v>#DIV/0!</v>
      </c>
      <c r="E66" s="37"/>
      <c r="G66" s="37" t="e">
        <f t="shared" si="17"/>
        <v>#DIV/0!</v>
      </c>
      <c r="I66" s="37" t="e">
        <f t="shared" si="18"/>
        <v>#DIV/0!</v>
      </c>
      <c r="K66" s="37" t="e">
        <f t="shared" si="19"/>
        <v>#DIV/0!</v>
      </c>
    </row>
    <row r="67" spans="1:11" ht="14" customHeight="1">
      <c r="A67" s="7" t="s">
        <v>11</v>
      </c>
      <c r="C67" s="28"/>
      <c r="D67" s="37" t="e">
        <f t="shared" si="16"/>
        <v>#DIV/0!</v>
      </c>
      <c r="E67" s="37"/>
      <c r="F67" s="28"/>
      <c r="G67" s="37" t="e">
        <f t="shared" si="17"/>
        <v>#DIV/0!</v>
      </c>
      <c r="H67" s="28"/>
      <c r="I67" s="37" t="e">
        <f t="shared" si="18"/>
        <v>#DIV/0!</v>
      </c>
      <c r="J67" s="28"/>
      <c r="K67" s="37" t="e">
        <f t="shared" si="19"/>
        <v>#DIV/0!</v>
      </c>
    </row>
    <row r="68" spans="1:11" ht="14" customHeight="1">
      <c r="A68" s="7" t="s">
        <v>12</v>
      </c>
      <c r="C68" s="28"/>
      <c r="D68" s="37" t="e">
        <f t="shared" si="16"/>
        <v>#DIV/0!</v>
      </c>
      <c r="E68" s="37"/>
      <c r="F68" s="28"/>
      <c r="G68" s="37" t="e">
        <f t="shared" si="17"/>
        <v>#DIV/0!</v>
      </c>
      <c r="H68" s="28"/>
      <c r="I68" s="37" t="e">
        <f t="shared" si="18"/>
        <v>#DIV/0!</v>
      </c>
      <c r="J68" s="28"/>
      <c r="K68" s="37" t="e">
        <f t="shared" si="19"/>
        <v>#DIV/0!</v>
      </c>
    </row>
    <row r="69" spans="1:11" ht="14" customHeight="1">
      <c r="A69" s="7" t="s">
        <v>47</v>
      </c>
      <c r="C69" s="53"/>
      <c r="D69" s="41" t="e">
        <f t="shared" si="16"/>
        <v>#DIV/0!</v>
      </c>
      <c r="E69" s="41"/>
      <c r="F69" s="53"/>
      <c r="G69" s="41" t="e">
        <f t="shared" si="17"/>
        <v>#DIV/0!</v>
      </c>
      <c r="H69" s="53"/>
      <c r="I69" s="41" t="e">
        <f t="shared" si="18"/>
        <v>#DIV/0!</v>
      </c>
      <c r="J69" s="53"/>
      <c r="K69" s="41" t="e">
        <f t="shared" si="19"/>
        <v>#DIV/0!</v>
      </c>
    </row>
    <row r="70" spans="1:11" ht="14" customHeight="1">
      <c r="A70" s="11" t="s">
        <v>21</v>
      </c>
      <c r="C70" s="28">
        <f>SUM(C57:C69)</f>
        <v>0</v>
      </c>
      <c r="D70" s="37" t="e">
        <f t="shared" si="16"/>
        <v>#DIV/0!</v>
      </c>
      <c r="E70" s="37"/>
      <c r="F70" s="28">
        <f>SUM(F57:F69)</f>
        <v>0</v>
      </c>
      <c r="G70" s="37" t="e">
        <f t="shared" si="17"/>
        <v>#DIV/0!</v>
      </c>
      <c r="H70" s="28">
        <f>SUM(H57:H69)</f>
        <v>0</v>
      </c>
      <c r="I70" s="37" t="e">
        <f t="shared" si="18"/>
        <v>#DIV/0!</v>
      </c>
      <c r="J70" s="28">
        <f>SUM(J57:J69)</f>
        <v>0</v>
      </c>
      <c r="K70" s="37" t="e">
        <f t="shared" si="19"/>
        <v>#DIV/0!</v>
      </c>
    </row>
    <row r="71" spans="1:11" ht="14" customHeight="1">
      <c r="A71" s="14"/>
    </row>
    <row r="72" spans="1:11" ht="14" customHeight="1">
      <c r="A72" s="12" t="s">
        <v>3</v>
      </c>
    </row>
    <row r="73" spans="1:11" ht="14" customHeight="1">
      <c r="A73" s="23" t="s">
        <v>76</v>
      </c>
      <c r="C73" s="28"/>
      <c r="D73" s="37" t="e">
        <f t="shared" ref="D73:D89" si="20">C73/$C$13</f>
        <v>#DIV/0!</v>
      </c>
      <c r="E73" s="37"/>
      <c r="F73" s="28"/>
      <c r="G73" s="37" t="e">
        <f t="shared" ref="G73:G89" si="21">F73/$F$13</f>
        <v>#DIV/0!</v>
      </c>
      <c r="H73" s="28"/>
      <c r="I73" s="37" t="e">
        <f t="shared" ref="I73:I89" si="22">H73/$H$13</f>
        <v>#DIV/0!</v>
      </c>
      <c r="J73" s="28"/>
      <c r="K73" s="37" t="e">
        <f t="shared" ref="K73:K89" si="23">J73/$J$13</f>
        <v>#DIV/0!</v>
      </c>
    </row>
    <row r="74" spans="1:11" ht="14" customHeight="1">
      <c r="A74" s="7" t="s">
        <v>13</v>
      </c>
      <c r="C74" s="28"/>
      <c r="D74" s="37" t="e">
        <f t="shared" si="20"/>
        <v>#DIV/0!</v>
      </c>
      <c r="E74" s="37"/>
      <c r="F74" s="28"/>
      <c r="G74" s="37" t="e">
        <f t="shared" si="21"/>
        <v>#DIV/0!</v>
      </c>
      <c r="H74" s="28"/>
      <c r="I74" s="37" t="e">
        <f t="shared" si="22"/>
        <v>#DIV/0!</v>
      </c>
      <c r="J74" s="28"/>
      <c r="K74" s="37" t="e">
        <f t="shared" si="23"/>
        <v>#DIV/0!</v>
      </c>
    </row>
    <row r="75" spans="1:11" ht="14" customHeight="1">
      <c r="A75" s="7" t="s">
        <v>48</v>
      </c>
      <c r="C75" s="28"/>
      <c r="D75" s="37" t="e">
        <f t="shared" si="20"/>
        <v>#DIV/0!</v>
      </c>
      <c r="E75" s="37"/>
      <c r="F75" s="28"/>
      <c r="G75" s="37" t="e">
        <f t="shared" si="21"/>
        <v>#DIV/0!</v>
      </c>
      <c r="H75" s="28"/>
      <c r="I75" s="37" t="e">
        <f t="shared" si="22"/>
        <v>#DIV/0!</v>
      </c>
      <c r="J75" s="28"/>
      <c r="K75" s="37" t="e">
        <f t="shared" si="23"/>
        <v>#DIV/0!</v>
      </c>
    </row>
    <row r="76" spans="1:11" ht="14" customHeight="1">
      <c r="A76" s="7" t="s">
        <v>14</v>
      </c>
      <c r="C76" s="28"/>
      <c r="D76" s="37" t="e">
        <f t="shared" si="20"/>
        <v>#DIV/0!</v>
      </c>
      <c r="E76" s="37"/>
      <c r="F76" s="28"/>
      <c r="G76" s="37" t="e">
        <f t="shared" si="21"/>
        <v>#DIV/0!</v>
      </c>
      <c r="H76" s="28"/>
      <c r="I76" s="37" t="e">
        <f t="shared" si="22"/>
        <v>#DIV/0!</v>
      </c>
      <c r="J76" s="28"/>
      <c r="K76" s="37" t="e">
        <f t="shared" si="23"/>
        <v>#DIV/0!</v>
      </c>
    </row>
    <row r="77" spans="1:11" ht="14" customHeight="1">
      <c r="A77" s="7" t="s">
        <v>15</v>
      </c>
      <c r="C77" s="28"/>
      <c r="D77" s="37" t="e">
        <f t="shared" si="20"/>
        <v>#DIV/0!</v>
      </c>
      <c r="E77" s="37"/>
      <c r="F77" s="28"/>
      <c r="G77" s="37" t="e">
        <f t="shared" si="21"/>
        <v>#DIV/0!</v>
      </c>
      <c r="H77" s="28"/>
      <c r="I77" s="37" t="e">
        <f t="shared" si="22"/>
        <v>#DIV/0!</v>
      </c>
      <c r="J77" s="28"/>
      <c r="K77" s="37" t="e">
        <f t="shared" si="23"/>
        <v>#DIV/0!</v>
      </c>
    </row>
    <row r="78" spans="1:11" ht="14" customHeight="1">
      <c r="A78" s="7" t="s">
        <v>62</v>
      </c>
      <c r="C78" s="28"/>
      <c r="D78" s="37" t="e">
        <f t="shared" si="20"/>
        <v>#DIV/0!</v>
      </c>
      <c r="E78" s="37"/>
      <c r="F78" s="28"/>
      <c r="G78" s="37" t="e">
        <f t="shared" si="21"/>
        <v>#DIV/0!</v>
      </c>
      <c r="H78" s="28"/>
      <c r="I78" s="37" t="e">
        <f t="shared" si="22"/>
        <v>#DIV/0!</v>
      </c>
      <c r="J78" s="28"/>
      <c r="K78" s="37" t="e">
        <f t="shared" si="23"/>
        <v>#DIV/0!</v>
      </c>
    </row>
    <row r="79" spans="1:11" ht="14" customHeight="1">
      <c r="A79" s="23" t="s">
        <v>77</v>
      </c>
      <c r="C79" s="28"/>
      <c r="D79" s="37" t="e">
        <f t="shared" si="20"/>
        <v>#DIV/0!</v>
      </c>
      <c r="E79" s="37"/>
      <c r="F79" s="28"/>
      <c r="G79" s="37" t="e">
        <f t="shared" si="21"/>
        <v>#DIV/0!</v>
      </c>
      <c r="H79" s="28"/>
      <c r="I79" s="37" t="e">
        <f t="shared" si="22"/>
        <v>#DIV/0!</v>
      </c>
      <c r="J79" s="28"/>
      <c r="K79" s="37" t="e">
        <f t="shared" si="23"/>
        <v>#DIV/0!</v>
      </c>
    </row>
    <row r="80" spans="1:11" ht="14" customHeight="1">
      <c r="A80" s="7" t="s">
        <v>29</v>
      </c>
      <c r="C80" s="28"/>
      <c r="D80" s="37" t="e">
        <f t="shared" si="20"/>
        <v>#DIV/0!</v>
      </c>
      <c r="E80" s="37"/>
      <c r="F80" s="28"/>
      <c r="G80" s="37" t="e">
        <f t="shared" si="21"/>
        <v>#DIV/0!</v>
      </c>
      <c r="H80" s="28"/>
      <c r="I80" s="37" t="e">
        <f t="shared" si="22"/>
        <v>#DIV/0!</v>
      </c>
      <c r="J80" s="28"/>
      <c r="K80" s="37" t="e">
        <f t="shared" si="23"/>
        <v>#DIV/0!</v>
      </c>
    </row>
    <row r="81" spans="1:11" ht="14" customHeight="1">
      <c r="A81" s="7" t="s">
        <v>49</v>
      </c>
      <c r="C81" s="28"/>
      <c r="D81" s="37" t="e">
        <f t="shared" si="20"/>
        <v>#DIV/0!</v>
      </c>
      <c r="E81" s="37"/>
      <c r="F81" s="28"/>
      <c r="G81" s="37" t="e">
        <f t="shared" si="21"/>
        <v>#DIV/0!</v>
      </c>
      <c r="H81" s="28"/>
      <c r="I81" s="37" t="e">
        <f t="shared" si="22"/>
        <v>#DIV/0!</v>
      </c>
      <c r="J81" s="28"/>
      <c r="K81" s="37" t="e">
        <f t="shared" si="23"/>
        <v>#DIV/0!</v>
      </c>
    </row>
    <row r="82" spans="1:11" ht="14" customHeight="1">
      <c r="A82" s="7" t="s">
        <v>16</v>
      </c>
      <c r="C82" s="28"/>
      <c r="D82" s="37" t="e">
        <f t="shared" si="20"/>
        <v>#DIV/0!</v>
      </c>
      <c r="E82" s="37"/>
      <c r="F82" s="28"/>
      <c r="G82" s="37" t="e">
        <f t="shared" si="21"/>
        <v>#DIV/0!</v>
      </c>
      <c r="H82" s="28"/>
      <c r="I82" s="37" t="e">
        <f t="shared" si="22"/>
        <v>#DIV/0!</v>
      </c>
      <c r="J82" s="28"/>
      <c r="K82" s="37" t="e">
        <f t="shared" si="23"/>
        <v>#DIV/0!</v>
      </c>
    </row>
    <row r="83" spans="1:11" ht="14" customHeight="1">
      <c r="A83" s="23" t="s">
        <v>78</v>
      </c>
      <c r="C83" s="28"/>
      <c r="D83" s="37" t="e">
        <f t="shared" si="20"/>
        <v>#DIV/0!</v>
      </c>
      <c r="E83" s="37"/>
      <c r="F83" s="28"/>
      <c r="G83" s="37" t="e">
        <f t="shared" si="21"/>
        <v>#DIV/0!</v>
      </c>
      <c r="H83" s="28"/>
      <c r="I83" s="37" t="e">
        <f t="shared" si="22"/>
        <v>#DIV/0!</v>
      </c>
      <c r="J83" s="28"/>
      <c r="K83" s="37" t="e">
        <f t="shared" si="23"/>
        <v>#DIV/0!</v>
      </c>
    </row>
    <row r="84" spans="1:11" ht="14" customHeight="1">
      <c r="A84" s="23" t="s">
        <v>79</v>
      </c>
      <c r="C84" s="28"/>
      <c r="D84" s="37" t="e">
        <f t="shared" si="20"/>
        <v>#DIV/0!</v>
      </c>
      <c r="E84" s="37"/>
      <c r="F84" s="28"/>
      <c r="G84" s="37" t="e">
        <f t="shared" si="21"/>
        <v>#DIV/0!</v>
      </c>
      <c r="H84" s="28"/>
      <c r="I84" s="37" t="e">
        <f t="shared" si="22"/>
        <v>#DIV/0!</v>
      </c>
      <c r="J84" s="28"/>
      <c r="K84" s="37" t="e">
        <f t="shared" si="23"/>
        <v>#DIV/0!</v>
      </c>
    </row>
    <row r="85" spans="1:11" ht="14" customHeight="1">
      <c r="A85" s="7" t="s">
        <v>17</v>
      </c>
      <c r="C85" s="28"/>
      <c r="D85" s="37" t="e">
        <f t="shared" si="20"/>
        <v>#DIV/0!</v>
      </c>
      <c r="E85" s="37"/>
      <c r="F85" s="28"/>
      <c r="G85" s="37" t="e">
        <f t="shared" si="21"/>
        <v>#DIV/0!</v>
      </c>
      <c r="H85" s="28"/>
      <c r="I85" s="37" t="e">
        <f t="shared" si="22"/>
        <v>#DIV/0!</v>
      </c>
      <c r="J85" s="28"/>
      <c r="K85" s="37" t="e">
        <f t="shared" si="23"/>
        <v>#DIV/0!</v>
      </c>
    </row>
    <row r="86" spans="1:11" ht="14" customHeight="1">
      <c r="A86" s="7" t="s">
        <v>18</v>
      </c>
      <c r="D86" s="37" t="e">
        <f t="shared" si="20"/>
        <v>#DIV/0!</v>
      </c>
      <c r="E86" s="37"/>
      <c r="G86" s="37" t="e">
        <f t="shared" si="21"/>
        <v>#DIV/0!</v>
      </c>
      <c r="I86" s="37" t="e">
        <f t="shared" si="22"/>
        <v>#DIV/0!</v>
      </c>
      <c r="K86" s="37" t="e">
        <f t="shared" si="23"/>
        <v>#DIV/0!</v>
      </c>
    </row>
    <row r="87" spans="1:11" ht="14" customHeight="1">
      <c r="A87" s="7" t="s">
        <v>50</v>
      </c>
      <c r="D87" s="37" t="e">
        <f t="shared" si="20"/>
        <v>#DIV/0!</v>
      </c>
      <c r="E87" s="37"/>
      <c r="G87" s="37" t="e">
        <f t="shared" si="21"/>
        <v>#DIV/0!</v>
      </c>
      <c r="I87" s="37" t="e">
        <f t="shared" si="22"/>
        <v>#DIV/0!</v>
      </c>
      <c r="K87" s="37" t="e">
        <f t="shared" si="23"/>
        <v>#DIV/0!</v>
      </c>
    </row>
    <row r="88" spans="1:11" ht="14" customHeight="1">
      <c r="A88" s="7" t="s">
        <v>37</v>
      </c>
      <c r="C88" s="52"/>
      <c r="D88" s="41" t="e">
        <f t="shared" si="20"/>
        <v>#DIV/0!</v>
      </c>
      <c r="E88" s="41"/>
      <c r="F88" s="52"/>
      <c r="G88" s="41" t="e">
        <f t="shared" si="21"/>
        <v>#DIV/0!</v>
      </c>
      <c r="H88" s="52"/>
      <c r="I88" s="41" t="e">
        <f t="shared" si="22"/>
        <v>#DIV/0!</v>
      </c>
      <c r="J88" s="52"/>
      <c r="K88" s="41" t="e">
        <f t="shared" si="23"/>
        <v>#DIV/0!</v>
      </c>
    </row>
    <row r="89" spans="1:11" ht="14" customHeight="1">
      <c r="A89" s="11" t="s">
        <v>19</v>
      </c>
      <c r="C89" s="28">
        <f>SUM(C73:C88)</f>
        <v>0</v>
      </c>
      <c r="D89" s="37" t="e">
        <f t="shared" si="20"/>
        <v>#DIV/0!</v>
      </c>
      <c r="E89" s="37"/>
      <c r="F89" s="28">
        <f>SUM(F73:F88)</f>
        <v>0</v>
      </c>
      <c r="G89" s="37" t="e">
        <f t="shared" si="21"/>
        <v>#DIV/0!</v>
      </c>
      <c r="H89" s="28">
        <f>SUM(H73:H88)</f>
        <v>0</v>
      </c>
      <c r="I89" s="37" t="e">
        <f t="shared" si="22"/>
        <v>#DIV/0!</v>
      </c>
      <c r="J89" s="28">
        <f>SUM(J73:J88)</f>
        <v>0</v>
      </c>
      <c r="K89" s="37" t="e">
        <f t="shared" si="23"/>
        <v>#DIV/0!</v>
      </c>
    </row>
    <row r="90" spans="1:11" ht="14" customHeight="1">
      <c r="A90" s="14"/>
    </row>
    <row r="91" spans="1:11" ht="14" customHeight="1">
      <c r="A91" s="12" t="s">
        <v>89</v>
      </c>
    </row>
    <row r="92" spans="1:11" ht="14" customHeight="1">
      <c r="A92" s="7" t="s">
        <v>51</v>
      </c>
      <c r="C92" s="28"/>
      <c r="D92" s="37" t="e">
        <f t="shared" ref="D92:D95" si="24">C92/$C$13</f>
        <v>#DIV/0!</v>
      </c>
      <c r="E92" s="37"/>
      <c r="F92" s="28"/>
      <c r="G92" s="37" t="e">
        <f t="shared" ref="G92:G95" si="25">F92/$F$13</f>
        <v>#DIV/0!</v>
      </c>
      <c r="H92" s="28"/>
      <c r="I92" s="37" t="e">
        <f t="shared" ref="I92:I95" si="26">H92/$H$13</f>
        <v>#DIV/0!</v>
      </c>
      <c r="J92" s="28"/>
      <c r="K92" s="37" t="e">
        <f t="shared" ref="K92:K95" si="27">J92/$J$13</f>
        <v>#DIV/0!</v>
      </c>
    </row>
    <row r="93" spans="1:11" ht="14" customHeight="1">
      <c r="A93" s="23" t="s">
        <v>80</v>
      </c>
      <c r="C93" s="28"/>
      <c r="D93" s="37" t="e">
        <f t="shared" si="24"/>
        <v>#DIV/0!</v>
      </c>
      <c r="E93" s="37"/>
      <c r="F93" s="28"/>
      <c r="G93" s="37" t="e">
        <f t="shared" si="25"/>
        <v>#DIV/0!</v>
      </c>
      <c r="H93" s="28"/>
      <c r="I93" s="37" t="e">
        <f t="shared" si="26"/>
        <v>#DIV/0!</v>
      </c>
      <c r="J93" s="28"/>
      <c r="K93" s="37" t="e">
        <f t="shared" si="27"/>
        <v>#DIV/0!</v>
      </c>
    </row>
    <row r="94" spans="1:11" ht="14" customHeight="1">
      <c r="A94" s="7" t="s">
        <v>52</v>
      </c>
      <c r="C94" s="54"/>
      <c r="D94" s="41" t="e">
        <f t="shared" si="24"/>
        <v>#DIV/0!</v>
      </c>
      <c r="E94" s="41"/>
      <c r="F94" s="54"/>
      <c r="G94" s="41" t="e">
        <f t="shared" si="25"/>
        <v>#DIV/0!</v>
      </c>
      <c r="H94" s="54"/>
      <c r="I94" s="41" t="e">
        <f t="shared" si="26"/>
        <v>#DIV/0!</v>
      </c>
      <c r="J94" s="54"/>
      <c r="K94" s="41" t="e">
        <f t="shared" si="27"/>
        <v>#DIV/0!</v>
      </c>
    </row>
    <row r="95" spans="1:11" ht="14" customHeight="1">
      <c r="A95" s="11" t="s">
        <v>53</v>
      </c>
      <c r="C95" s="28">
        <f>SUM(C92:C94)</f>
        <v>0</v>
      </c>
      <c r="D95" s="37" t="e">
        <f t="shared" si="24"/>
        <v>#DIV/0!</v>
      </c>
      <c r="E95" s="37"/>
      <c r="F95" s="28">
        <f>SUM(F92:F94)</f>
        <v>0</v>
      </c>
      <c r="G95" s="37" t="e">
        <f t="shared" si="25"/>
        <v>#DIV/0!</v>
      </c>
      <c r="H95" s="28">
        <f>SUM(H92:H94)</f>
        <v>0</v>
      </c>
      <c r="I95" s="37" t="e">
        <f t="shared" si="26"/>
        <v>#DIV/0!</v>
      </c>
      <c r="J95" s="28">
        <f>SUM(J92:J94)</f>
        <v>0</v>
      </c>
      <c r="K95" s="37" t="e">
        <f t="shared" si="27"/>
        <v>#DIV/0!</v>
      </c>
    </row>
    <row r="96" spans="1:11" ht="14" customHeight="1">
      <c r="A96" s="7"/>
    </row>
    <row r="97" spans="1:11" ht="14" customHeight="1">
      <c r="A97" s="13" t="s">
        <v>90</v>
      </c>
    </row>
    <row r="98" spans="1:11" ht="14" customHeight="1">
      <c r="A98" s="7" t="s">
        <v>54</v>
      </c>
      <c r="D98" s="37" t="e">
        <f t="shared" ref="D98:D105" si="28">C98/$C$13</f>
        <v>#DIV/0!</v>
      </c>
      <c r="E98" s="37"/>
      <c r="G98" s="37" t="e">
        <f t="shared" ref="G98:G105" si="29">F98/$F$13</f>
        <v>#DIV/0!</v>
      </c>
      <c r="I98" s="37" t="e">
        <f t="shared" ref="I98:I105" si="30">H98/$H$13</f>
        <v>#DIV/0!</v>
      </c>
      <c r="K98" s="37" t="e">
        <f t="shared" ref="K98:K105" si="31">J98/$J$13</f>
        <v>#DIV/0!</v>
      </c>
    </row>
    <row r="99" spans="1:11" ht="14" customHeight="1">
      <c r="A99" s="7" t="s">
        <v>55</v>
      </c>
      <c r="D99" s="37" t="e">
        <f t="shared" si="28"/>
        <v>#DIV/0!</v>
      </c>
      <c r="E99" s="37"/>
      <c r="G99" s="37" t="e">
        <f t="shared" si="29"/>
        <v>#DIV/0!</v>
      </c>
      <c r="I99" s="37" t="e">
        <f t="shared" si="30"/>
        <v>#DIV/0!</v>
      </c>
      <c r="K99" s="37" t="e">
        <f t="shared" si="31"/>
        <v>#DIV/0!</v>
      </c>
    </row>
    <row r="100" spans="1:11" ht="14" customHeight="1">
      <c r="A100" s="7" t="s">
        <v>56</v>
      </c>
      <c r="C100" s="28"/>
      <c r="D100" s="37" t="e">
        <f t="shared" si="28"/>
        <v>#DIV/0!</v>
      </c>
      <c r="E100" s="37"/>
      <c r="F100" s="28"/>
      <c r="G100" s="37" t="e">
        <f t="shared" si="29"/>
        <v>#DIV/0!</v>
      </c>
      <c r="H100" s="28"/>
      <c r="I100" s="37" t="e">
        <f t="shared" si="30"/>
        <v>#DIV/0!</v>
      </c>
      <c r="J100" s="28"/>
      <c r="K100" s="37" t="e">
        <f t="shared" si="31"/>
        <v>#DIV/0!</v>
      </c>
    </row>
    <row r="101" spans="1:11" ht="14" customHeight="1">
      <c r="A101" s="18" t="s">
        <v>57</v>
      </c>
      <c r="C101" s="28"/>
      <c r="D101" s="37" t="e">
        <f t="shared" si="28"/>
        <v>#DIV/0!</v>
      </c>
      <c r="E101" s="37"/>
      <c r="F101" s="28"/>
      <c r="G101" s="37" t="e">
        <f t="shared" si="29"/>
        <v>#DIV/0!</v>
      </c>
      <c r="H101" s="28"/>
      <c r="I101" s="37" t="e">
        <f t="shared" si="30"/>
        <v>#DIV/0!</v>
      </c>
      <c r="J101" s="28"/>
      <c r="K101" s="37" t="e">
        <f t="shared" si="31"/>
        <v>#DIV/0!</v>
      </c>
    </row>
    <row r="102" spans="1:11" ht="14" customHeight="1">
      <c r="A102" s="48" t="s">
        <v>106</v>
      </c>
      <c r="C102" s="54"/>
      <c r="D102" s="41" t="e">
        <f t="shared" si="28"/>
        <v>#DIV/0!</v>
      </c>
      <c r="E102" s="41"/>
      <c r="F102" s="54"/>
      <c r="G102" s="41" t="e">
        <f t="shared" si="29"/>
        <v>#DIV/0!</v>
      </c>
      <c r="H102" s="54"/>
      <c r="I102" s="41" t="e">
        <f t="shared" si="30"/>
        <v>#DIV/0!</v>
      </c>
      <c r="J102" s="54"/>
      <c r="K102" s="41" t="e">
        <f t="shared" si="31"/>
        <v>#DIV/0!</v>
      </c>
    </row>
    <row r="103" spans="1:11" ht="14" customHeight="1">
      <c r="A103" s="19" t="s">
        <v>58</v>
      </c>
      <c r="C103" s="42">
        <f>SUM(C98:C102)</f>
        <v>0</v>
      </c>
      <c r="D103" s="37" t="e">
        <f t="shared" si="28"/>
        <v>#DIV/0!</v>
      </c>
      <c r="E103" s="37"/>
      <c r="F103" s="42">
        <f>SUM(F98:F102)</f>
        <v>0</v>
      </c>
      <c r="G103" s="37" t="e">
        <f t="shared" si="29"/>
        <v>#DIV/0!</v>
      </c>
      <c r="H103" s="42">
        <f>SUM(H98:H102)</f>
        <v>0</v>
      </c>
      <c r="I103" s="37" t="e">
        <f t="shared" si="30"/>
        <v>#DIV/0!</v>
      </c>
      <c r="J103" s="42">
        <f>SUM(J98:J102)</f>
        <v>0</v>
      </c>
      <c r="K103" s="37" t="e">
        <f t="shared" si="31"/>
        <v>#DIV/0!</v>
      </c>
    </row>
    <row r="104" spans="1:11" ht="14" customHeight="1">
      <c r="A104" s="14"/>
    </row>
    <row r="105" spans="1:11" ht="14" customHeight="1">
      <c r="A105" s="30" t="s">
        <v>86</v>
      </c>
      <c r="C105" s="16">
        <f>C25-C32-C54-C70-C89+C95-C103</f>
        <v>0</v>
      </c>
      <c r="D105" s="37" t="e">
        <f t="shared" si="28"/>
        <v>#DIV/0!</v>
      </c>
      <c r="E105" s="37"/>
      <c r="F105" s="16">
        <f>F25-F32-F54-F70-F89+F95-F103</f>
        <v>0</v>
      </c>
      <c r="G105" s="37" t="e">
        <f t="shared" si="29"/>
        <v>#DIV/0!</v>
      </c>
      <c r="H105" s="16">
        <f>H25-H32-H54-H70-H89+H95-H103</f>
        <v>0</v>
      </c>
      <c r="I105" s="37" t="e">
        <f t="shared" si="30"/>
        <v>#DIV/0!</v>
      </c>
      <c r="J105" s="16">
        <f>J25-J32-J54-J70-J89+J95-J103</f>
        <v>0</v>
      </c>
      <c r="K105" s="37" t="e">
        <f t="shared" si="31"/>
        <v>#DIV/0!</v>
      </c>
    </row>
    <row r="106" spans="1:11" ht="14" customHeight="1">
      <c r="A106" s="31"/>
    </row>
    <row r="107" spans="1:11" ht="14" customHeight="1">
      <c r="A107" s="32" t="s">
        <v>99</v>
      </c>
    </row>
    <row r="108" spans="1:11" ht="14" customHeight="1">
      <c r="A108" s="23" t="s">
        <v>83</v>
      </c>
      <c r="C108" s="53"/>
      <c r="F108" s="53"/>
      <c r="H108" s="53"/>
      <c r="J108" s="53"/>
    </row>
    <row r="109" spans="1:11" ht="14" customHeight="1">
      <c r="A109" s="35" t="s">
        <v>104</v>
      </c>
      <c r="C109" s="16">
        <f>C108</f>
        <v>0</v>
      </c>
      <c r="F109" s="16">
        <f>F108</f>
        <v>0</v>
      </c>
      <c r="H109" s="16">
        <f>H108</f>
        <v>0</v>
      </c>
      <c r="J109" s="16">
        <f>J108</f>
        <v>0</v>
      </c>
    </row>
    <row r="110" spans="1:11" ht="14" customHeight="1">
      <c r="A110" s="35"/>
    </row>
    <row r="111" spans="1:11" ht="14" customHeight="1">
      <c r="A111" s="32" t="s">
        <v>100</v>
      </c>
    </row>
    <row r="112" spans="1:11" ht="14" customHeight="1">
      <c r="A112" s="48" t="s">
        <v>107</v>
      </c>
    </row>
    <row r="113" spans="1:11" ht="14" customHeight="1">
      <c r="A113" s="34" t="s">
        <v>91</v>
      </c>
    </row>
    <row r="114" spans="1:11" ht="14" customHeight="1">
      <c r="A114" s="34" t="s">
        <v>92</v>
      </c>
      <c r="C114" s="53"/>
      <c r="F114" s="53"/>
      <c r="H114" s="53"/>
      <c r="J114" s="53"/>
    </row>
    <row r="115" spans="1:11" ht="14" customHeight="1">
      <c r="A115" s="35" t="s">
        <v>105</v>
      </c>
      <c r="C115" s="16">
        <f>SUM(C112:C114)</f>
        <v>0</v>
      </c>
      <c r="F115" s="16">
        <f>SUM(F112:F114)</f>
        <v>0</v>
      </c>
      <c r="H115" s="16">
        <f>SUM(H112:H114)</f>
        <v>0</v>
      </c>
      <c r="J115" s="16">
        <f>SUM(J112:J114)</f>
        <v>0</v>
      </c>
    </row>
    <row r="116" spans="1:11" ht="14" customHeight="1">
      <c r="A116" s="31"/>
    </row>
    <row r="117" spans="1:11" ht="14" customHeight="1">
      <c r="A117" s="32" t="s">
        <v>93</v>
      </c>
      <c r="C117" s="43">
        <f>C105+C109-C115</f>
        <v>0</v>
      </c>
      <c r="D117" s="44"/>
      <c r="E117" s="44"/>
      <c r="F117" s="43">
        <f>F105+F109-F115</f>
        <v>0</v>
      </c>
      <c r="G117" s="44"/>
      <c r="H117" s="43">
        <f>H105+H109-H115</f>
        <v>0</v>
      </c>
      <c r="I117" s="44"/>
      <c r="J117" s="43">
        <f>J105+J109-J115</f>
        <v>0</v>
      </c>
      <c r="K117" s="44"/>
    </row>
    <row r="118" spans="1:11" ht="14" customHeight="1">
      <c r="A118" s="31"/>
      <c r="D118" s="16"/>
      <c r="E118" s="16"/>
      <c r="G118" s="16"/>
      <c r="I118" s="16"/>
    </row>
    <row r="119" spans="1:11" ht="14" customHeight="1">
      <c r="A119" s="32" t="s">
        <v>84</v>
      </c>
      <c r="D119" s="16"/>
      <c r="E119" s="16"/>
      <c r="G119" s="21"/>
      <c r="I119" s="21"/>
      <c r="K119" s="46"/>
    </row>
    <row r="120" spans="1:11" ht="14" customHeight="1">
      <c r="A120" s="32"/>
      <c r="C120" s="45"/>
      <c r="D120" s="16"/>
      <c r="E120" s="16"/>
      <c r="F120" s="45"/>
      <c r="G120" s="21"/>
      <c r="H120" s="45"/>
      <c r="I120" s="21"/>
      <c r="J120" s="45"/>
      <c r="K120" s="46"/>
    </row>
    <row r="121" spans="1:11" ht="14" customHeight="1">
      <c r="A121" s="32" t="s">
        <v>101</v>
      </c>
      <c r="C121" s="16">
        <f>C119+C117</f>
        <v>0</v>
      </c>
      <c r="D121" s="16"/>
      <c r="E121" s="16"/>
      <c r="F121" s="16">
        <f>F119+F117</f>
        <v>0</v>
      </c>
      <c r="G121" s="21"/>
      <c r="H121" s="16">
        <f>H119+H117</f>
        <v>0</v>
      </c>
      <c r="I121" s="21"/>
      <c r="J121" s="16">
        <f>J119+J117</f>
        <v>0</v>
      </c>
      <c r="K121" s="46"/>
    </row>
    <row r="122" spans="1:11" ht="14" customHeight="1">
      <c r="D122" s="16"/>
      <c r="E122" s="16"/>
      <c r="G122" s="21"/>
      <c r="I122" s="21"/>
      <c r="K122" s="46"/>
    </row>
    <row r="123" spans="1:11" ht="14" customHeight="1">
      <c r="A123" s="32" t="s">
        <v>102</v>
      </c>
      <c r="D123" s="16"/>
      <c r="E123" s="16"/>
      <c r="G123" s="21"/>
      <c r="I123" s="21"/>
      <c r="K123" s="46"/>
    </row>
    <row r="124" spans="1:11" ht="14" customHeight="1">
      <c r="D124" s="16"/>
      <c r="E124" s="16"/>
      <c r="G124" s="21"/>
      <c r="I124" s="21"/>
      <c r="K124" s="46"/>
    </row>
    <row r="125" spans="1:11" ht="14" customHeight="1">
      <c r="A125" s="32" t="s">
        <v>103</v>
      </c>
      <c r="C125" s="16">
        <f>C121-C123</f>
        <v>0</v>
      </c>
      <c r="D125" s="16"/>
      <c r="E125" s="16"/>
      <c r="F125" s="16">
        <f>F121-F123</f>
        <v>0</v>
      </c>
      <c r="G125" s="21"/>
      <c r="H125" s="16">
        <f>H121-H123</f>
        <v>0</v>
      </c>
      <c r="I125" s="21"/>
      <c r="J125" s="16">
        <f>J121-J123</f>
        <v>0</v>
      </c>
      <c r="K125" s="46"/>
    </row>
    <row r="126" spans="1:11" ht="14" customHeight="1">
      <c r="A126" s="12"/>
      <c r="D126" s="16"/>
      <c r="E126" s="16"/>
      <c r="F126" s="21"/>
      <c r="G126" s="21"/>
      <c r="H126" s="21"/>
      <c r="I126" s="21"/>
      <c r="J126" s="21"/>
      <c r="K126" s="46"/>
    </row>
    <row r="127" spans="1:11" ht="14" customHeight="1">
      <c r="A127" s="33"/>
      <c r="D127" s="16"/>
      <c r="E127" s="16"/>
      <c r="F127" s="21"/>
      <c r="G127" s="21"/>
      <c r="H127" s="21"/>
      <c r="I127" s="21"/>
      <c r="J127" s="21"/>
      <c r="K127" s="46"/>
    </row>
    <row r="128" spans="1:11" ht="14" customHeight="1">
      <c r="D128" s="16"/>
      <c r="E128" s="16"/>
      <c r="F128" s="21"/>
      <c r="G128" s="21"/>
      <c r="H128" s="21"/>
      <c r="I128" s="21"/>
      <c r="J128" s="21"/>
      <c r="K128" s="46"/>
    </row>
    <row r="129" spans="4:11" ht="14" customHeight="1">
      <c r="D129" s="16"/>
      <c r="E129" s="16"/>
      <c r="F129" s="21"/>
      <c r="G129" s="21"/>
      <c r="H129" s="21"/>
      <c r="I129" s="21"/>
      <c r="J129" s="21"/>
      <c r="K129" s="46"/>
    </row>
    <row r="130" spans="4:11" ht="14" customHeight="1">
      <c r="D130" s="16"/>
      <c r="E130" s="16"/>
      <c r="F130" s="21"/>
      <c r="G130" s="21"/>
      <c r="H130" s="21"/>
      <c r="I130" s="21"/>
      <c r="J130" s="21"/>
      <c r="K130" s="46"/>
    </row>
    <row r="131" spans="4:11" ht="14" customHeight="1">
      <c r="D131" s="16"/>
      <c r="E131" s="16"/>
      <c r="F131" s="21"/>
      <c r="G131" s="21"/>
      <c r="H131" s="21"/>
      <c r="I131" s="21"/>
      <c r="J131" s="21"/>
      <c r="K131" s="46"/>
    </row>
    <row r="132" spans="4:11" ht="14" customHeight="1">
      <c r="D132" s="16"/>
      <c r="E132" s="16"/>
      <c r="F132" s="21"/>
      <c r="G132" s="21"/>
      <c r="H132" s="21"/>
      <c r="I132" s="21"/>
      <c r="J132" s="21"/>
      <c r="K132" s="46"/>
    </row>
    <row r="133" spans="4:11" ht="14" customHeight="1">
      <c r="D133" s="16"/>
      <c r="E133" s="16"/>
      <c r="F133" s="21"/>
      <c r="G133" s="21"/>
      <c r="H133" s="21"/>
      <c r="I133" s="21"/>
      <c r="J133" s="21"/>
      <c r="K133" s="46"/>
    </row>
    <row r="134" spans="4:11" ht="14" customHeight="1">
      <c r="F134" s="21"/>
      <c r="G134" s="46"/>
      <c r="H134" s="21"/>
      <c r="I134" s="46"/>
      <c r="J134" s="21"/>
      <c r="K134" s="46"/>
    </row>
    <row r="135" spans="4:11" ht="14" customHeight="1">
      <c r="F135" s="21"/>
      <c r="G135" s="46"/>
      <c r="H135" s="21"/>
      <c r="I135" s="46"/>
      <c r="J135" s="21"/>
      <c r="K135" s="46"/>
    </row>
    <row r="136" spans="4:11" ht="14" customHeight="1">
      <c r="F136" s="21"/>
      <c r="G136" s="46"/>
      <c r="H136" s="21"/>
      <c r="I136" s="46"/>
      <c r="J136" s="21"/>
      <c r="K136" s="46"/>
    </row>
    <row r="137" spans="4:11" ht="14" customHeight="1">
      <c r="F137" s="21"/>
      <c r="G137" s="46"/>
      <c r="H137" s="21"/>
      <c r="I137" s="46"/>
      <c r="J137" s="21"/>
      <c r="K137" s="46"/>
    </row>
    <row r="138" spans="4:11" ht="14" customHeight="1">
      <c r="F138" s="21"/>
      <c r="G138" s="46"/>
      <c r="H138" s="21"/>
      <c r="I138" s="46"/>
      <c r="J138" s="21"/>
      <c r="K138" s="46"/>
    </row>
    <row r="139" spans="4:11" ht="14" customHeight="1">
      <c r="F139" s="21"/>
      <c r="G139" s="46"/>
      <c r="H139" s="21"/>
      <c r="I139" s="46"/>
      <c r="J139" s="21"/>
      <c r="K139" s="46"/>
    </row>
    <row r="140" spans="4:11" ht="14" customHeight="1">
      <c r="F140" s="21"/>
      <c r="G140" s="46"/>
      <c r="H140" s="21"/>
      <c r="I140" s="46"/>
      <c r="J140" s="21"/>
      <c r="K140" s="46"/>
    </row>
    <row r="141" spans="4:11" ht="14" customHeight="1">
      <c r="F141" s="21"/>
      <c r="G141" s="46"/>
      <c r="H141" s="21"/>
      <c r="I141" s="46"/>
      <c r="J141" s="21"/>
      <c r="K141" s="46"/>
    </row>
    <row r="142" spans="4:11" ht="14" customHeight="1">
      <c r="F142" s="21"/>
      <c r="G142" s="46"/>
      <c r="H142" s="21"/>
      <c r="I142" s="46"/>
      <c r="J142" s="21"/>
      <c r="K142" s="46"/>
    </row>
    <row r="143" spans="4:11" ht="14" customHeight="1">
      <c r="F143" s="21"/>
      <c r="G143" s="46"/>
      <c r="H143" s="21"/>
      <c r="I143" s="46"/>
      <c r="J143" s="21"/>
      <c r="K143" s="46"/>
    </row>
    <row r="144" spans="4:11" ht="14" customHeight="1">
      <c r="F144" s="21"/>
      <c r="G144" s="46"/>
      <c r="H144" s="21"/>
      <c r="I144" s="46"/>
      <c r="J144" s="21"/>
      <c r="K144" s="46"/>
    </row>
    <row r="145" spans="3:11" ht="14" customHeight="1">
      <c r="F145" s="21"/>
      <c r="G145" s="46"/>
      <c r="H145" s="21"/>
      <c r="I145" s="46"/>
      <c r="J145" s="21"/>
      <c r="K145" s="46"/>
    </row>
    <row r="146" spans="3:11" ht="14" customHeight="1">
      <c r="F146" s="21"/>
      <c r="G146" s="46"/>
      <c r="H146" s="21"/>
      <c r="I146" s="46"/>
      <c r="J146" s="21"/>
      <c r="K146" s="46"/>
    </row>
    <row r="147" spans="3:11" ht="14" customHeight="1">
      <c r="F147" s="21"/>
      <c r="G147" s="46"/>
      <c r="H147" s="21"/>
      <c r="I147" s="46"/>
      <c r="J147" s="21"/>
      <c r="K147" s="46"/>
    </row>
    <row r="148" spans="3:11" ht="14" customHeight="1">
      <c r="F148" s="21"/>
      <c r="G148" s="46"/>
      <c r="H148" s="21"/>
      <c r="I148" s="46"/>
      <c r="J148" s="21"/>
      <c r="K148" s="46"/>
    </row>
    <row r="149" spans="3:11" ht="14" customHeight="1">
      <c r="C149" s="21"/>
      <c r="F149" s="21"/>
      <c r="G149" s="46"/>
      <c r="H149" s="21"/>
      <c r="I149" s="46"/>
      <c r="J149" s="21"/>
      <c r="K149" s="46"/>
    </row>
    <row r="150" spans="3:11" ht="14" customHeight="1">
      <c r="C150" s="21"/>
      <c r="F150" s="21"/>
      <c r="G150" s="46"/>
      <c r="H150" s="21"/>
      <c r="I150" s="46"/>
      <c r="J150" s="21"/>
      <c r="K150" s="46"/>
    </row>
    <row r="151" spans="3:11" ht="14" customHeight="1">
      <c r="C151" s="21"/>
      <c r="F151" s="21"/>
      <c r="G151" s="47"/>
      <c r="H151" s="47"/>
      <c r="I151" s="47"/>
      <c r="J151" s="47"/>
      <c r="K151" s="47"/>
    </row>
    <row r="152" spans="3:11" ht="14" customHeight="1">
      <c r="C152" s="21"/>
      <c r="F152" s="21"/>
      <c r="G152" s="47"/>
      <c r="H152" s="47"/>
      <c r="I152" s="47"/>
      <c r="J152" s="47"/>
      <c r="K152" s="47"/>
    </row>
    <row r="153" spans="3:11" ht="14" customHeight="1">
      <c r="C153" s="21"/>
      <c r="F153" s="21"/>
      <c r="G153" s="47"/>
      <c r="H153" s="47"/>
      <c r="I153" s="47"/>
      <c r="J153" s="47"/>
      <c r="K153" s="47"/>
    </row>
    <row r="154" spans="3:11" ht="14" customHeight="1">
      <c r="C154" s="21"/>
      <c r="F154" s="21"/>
      <c r="G154" s="47"/>
      <c r="H154" s="47"/>
      <c r="I154" s="47"/>
      <c r="J154" s="47"/>
      <c r="K154" s="47"/>
    </row>
    <row r="155" spans="3:11" ht="14" customHeight="1">
      <c r="C155" s="21"/>
      <c r="F155" s="21"/>
      <c r="G155" s="47"/>
      <c r="H155" s="47"/>
      <c r="I155" s="47"/>
      <c r="J155" s="47"/>
      <c r="K155" s="47"/>
    </row>
    <row r="156" spans="3:11" ht="14" customHeight="1">
      <c r="C156" s="21"/>
      <c r="F156" s="21"/>
      <c r="G156" s="47"/>
      <c r="H156" s="47"/>
      <c r="I156" s="47"/>
      <c r="J156" s="47"/>
      <c r="K156" s="47"/>
    </row>
    <row r="157" spans="3:11" ht="14" customHeight="1">
      <c r="C157" s="21"/>
      <c r="F157" s="21"/>
      <c r="G157" s="46"/>
      <c r="H157" s="21"/>
      <c r="I157" s="46"/>
      <c r="J157" s="21"/>
      <c r="K157" s="46"/>
    </row>
    <row r="158" spans="3:11" ht="14" customHeight="1">
      <c r="C158" s="21"/>
      <c r="F158" s="21"/>
      <c r="G158" s="47"/>
      <c r="H158" s="47"/>
      <c r="I158" s="47"/>
      <c r="J158" s="47"/>
      <c r="K158" s="47"/>
    </row>
    <row r="159" spans="3:11" ht="14" customHeight="1">
      <c r="C159" s="21"/>
      <c r="F159" s="21"/>
      <c r="G159" s="46"/>
      <c r="H159" s="21"/>
      <c r="I159" s="46"/>
      <c r="J159" s="21"/>
      <c r="K159" s="46"/>
    </row>
    <row r="160" spans="3:11" ht="14" customHeight="1">
      <c r="C160" s="21"/>
      <c r="F160" s="21"/>
      <c r="G160" s="46"/>
      <c r="H160" s="21"/>
      <c r="I160" s="46"/>
      <c r="J160" s="21"/>
      <c r="K160" s="46"/>
    </row>
    <row r="161" spans="3:11" ht="14" customHeight="1">
      <c r="C161" s="21"/>
      <c r="F161" s="21"/>
      <c r="G161" s="46"/>
      <c r="H161" s="21"/>
      <c r="I161" s="46"/>
      <c r="J161" s="21"/>
      <c r="K161" s="46"/>
    </row>
    <row r="162" spans="3:11" ht="14" customHeight="1">
      <c r="F162" s="21"/>
      <c r="G162" s="46"/>
      <c r="H162" s="21"/>
      <c r="I162" s="46"/>
      <c r="J162" s="21"/>
      <c r="K162" s="46"/>
    </row>
    <row r="163" spans="3:11" ht="14" customHeight="1">
      <c r="F163" s="21"/>
      <c r="G163" s="46"/>
      <c r="H163" s="21"/>
      <c r="I163" s="46"/>
      <c r="J163" s="21"/>
      <c r="K163" s="46"/>
    </row>
    <row r="164" spans="3:11" ht="14" customHeight="1">
      <c r="F164" s="21"/>
      <c r="G164" s="46"/>
      <c r="H164" s="21"/>
      <c r="I164" s="46"/>
      <c r="J164" s="21"/>
      <c r="K164" s="46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Year Projections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Karen Felsted</cp:lastModifiedBy>
  <cp:lastPrinted>2011-04-05T00:53:50Z</cp:lastPrinted>
  <dcterms:created xsi:type="dcterms:W3CDTF">1998-12-07T14:25:39Z</dcterms:created>
  <dcterms:modified xsi:type="dcterms:W3CDTF">2013-05-07T20:51:57Z</dcterms:modified>
  <cp:category/>
</cp:coreProperties>
</file>