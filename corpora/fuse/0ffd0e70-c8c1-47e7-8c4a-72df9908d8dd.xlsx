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date1904="1" showInkAnnotation="0" autoCompressPictures="0"/>
  <bookViews>
    <workbookView xWindow="0" yWindow="0" windowWidth="25600" windowHeight="16060" tabRatio="500"/>
  </bookViews>
  <sheets>
    <sheet name="SpikerBox Raw Material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6" i="1" l="1" a="1"/>
  <c r="B76" i="1"/>
  <c r="B71" i="1" a="1"/>
  <c r="B71" i="1"/>
  <c r="B66" i="1" a="1"/>
  <c r="B66" i="1"/>
  <c r="B53" i="1" a="1"/>
  <c r="B13" i="1" a="1"/>
  <c r="B13" i="1"/>
  <c r="B54" i="1" a="1"/>
  <c r="B42" i="1" a="1"/>
  <c r="B42" i="1"/>
  <c r="B55" i="1" a="1"/>
  <c r="B49" i="1" a="1"/>
  <c r="B49" i="1"/>
  <c r="B56" i="1" a="1"/>
  <c r="B53" i="1"/>
  <c r="B54" i="1"/>
  <c r="B55" i="1"/>
  <c r="B56" i="1"/>
  <c r="B57" i="1" a="1"/>
  <c r="B57" i="1"/>
</calcChain>
</file>

<file path=xl/sharedStrings.xml><?xml version="1.0" encoding="utf-8"?>
<sst xmlns="http://schemas.openxmlformats.org/spreadsheetml/2006/main" count="106" uniqueCount="93">
  <si>
    <t>0.047 uF capacitor</t>
    <phoneticPr fontId="3" type="noConversion"/>
  </si>
  <si>
    <t>0.1 uF capacitor</t>
    <phoneticPr fontId="3" type="noConversion"/>
  </si>
  <si>
    <t>BC1148CT-ND</t>
  </si>
  <si>
    <t>Electrode Costs</t>
    <phoneticPr fontId="3" type="noConversion"/>
  </si>
  <si>
    <t>RCA input connector</t>
    <phoneticPr fontId="3" type="noConversion"/>
  </si>
  <si>
    <t>565-1674-ND</t>
  </si>
  <si>
    <t>On/Off Switch</t>
    <phoneticPr fontId="3" type="noConversion"/>
  </si>
  <si>
    <t>220 uF capacitor</t>
    <phoneticPr fontId="3" type="noConversion"/>
  </si>
  <si>
    <t>432-1164-ND</t>
  </si>
  <si>
    <t>67-1037-ND</t>
  </si>
  <si>
    <t>LED</t>
    <phoneticPr fontId="3" type="noConversion"/>
  </si>
  <si>
    <t>CF1/4390JRCT-ND</t>
  </si>
  <si>
    <t>390 Ohm Resistor</t>
    <phoneticPr fontId="3" type="noConversion"/>
  </si>
  <si>
    <t>1 kOhm Resistor</t>
    <phoneticPr fontId="3" type="noConversion"/>
  </si>
  <si>
    <t>0.47 uF capacitor</t>
    <phoneticPr fontId="3" type="noConversion"/>
  </si>
  <si>
    <t>445-4804-ND</t>
  </si>
  <si>
    <t>male 9V connector</t>
    <phoneticPr fontId="3" type="noConversion"/>
  </si>
  <si>
    <t>593K-ND</t>
  </si>
  <si>
    <t>female 9V connector</t>
    <phoneticPr fontId="3" type="noConversion"/>
  </si>
  <si>
    <t>594K-ND</t>
  </si>
  <si>
    <t>560 pF capacitor</t>
    <phoneticPr fontId="3" type="noConversion"/>
  </si>
  <si>
    <t>RCA Connector</t>
    <phoneticPr fontId="3" type="noConversion"/>
  </si>
  <si>
    <t>CP-1403-ND</t>
  </si>
  <si>
    <t>Chip Holders (3)</t>
    <phoneticPr fontId="3" type="noConversion"/>
  </si>
  <si>
    <t>102-1554-ND</t>
  </si>
  <si>
    <t>33 kOhm Resistor</t>
    <phoneticPr fontId="3" type="noConversion"/>
  </si>
  <si>
    <t>10 kOhm Resistor (2)</t>
    <phoneticPr fontId="3" type="noConversion"/>
  </si>
  <si>
    <t>10 uF capacitors (3)</t>
    <phoneticPr fontId="3" type="noConversion"/>
  </si>
  <si>
    <t>Subtotal</t>
    <phoneticPr fontId="3" type="noConversion"/>
  </si>
  <si>
    <t>Vinyl Spacers</t>
    <phoneticPr fontId="3" type="noConversion"/>
  </si>
  <si>
    <t>NA</t>
    <phoneticPr fontId="3" type="noConversion"/>
  </si>
  <si>
    <t>NA</t>
    <phoneticPr fontId="3" type="noConversion"/>
  </si>
  <si>
    <t>Nuts (4)</t>
    <phoneticPr fontId="3" type="noConversion"/>
  </si>
  <si>
    <t>Screws (4)</t>
    <phoneticPr fontId="3" type="noConversion"/>
  </si>
  <si>
    <t>Sewing Needles (2)</t>
    <phoneticPr fontId="3" type="noConversion"/>
  </si>
  <si>
    <t>Cork ( 1 in^2)</t>
    <phoneticPr fontId="3" type="noConversion"/>
  </si>
  <si>
    <t>Double-Sided Tape</t>
    <phoneticPr fontId="3" type="noConversion"/>
  </si>
  <si>
    <t>Header</t>
    <phoneticPr fontId="3" type="noConversion"/>
  </si>
  <si>
    <t>9V battery</t>
    <phoneticPr fontId="3" type="noConversion"/>
  </si>
  <si>
    <t>CP-1452-ND</t>
  </si>
  <si>
    <t>490-3850-ND</t>
  </si>
  <si>
    <t>929974-01-36-ND</t>
  </si>
  <si>
    <t>speaker header connector</t>
    <phoneticPr fontId="3" type="noConversion"/>
  </si>
  <si>
    <t>220 kOhm resistor</t>
    <phoneticPr fontId="3" type="noConversion"/>
  </si>
  <si>
    <t>P220KBACT-ND</t>
  </si>
  <si>
    <t>10 Ohm Resistor</t>
    <phoneticPr fontId="3" type="noConversion"/>
  </si>
  <si>
    <t>P10BACT-ND</t>
  </si>
  <si>
    <t>AD623 op amp IC</t>
    <phoneticPr fontId="3" type="noConversion"/>
  </si>
  <si>
    <t>AD623ANZ-ND</t>
  </si>
  <si>
    <t>296-1812-5-ND</t>
  </si>
  <si>
    <t>LM386N-3-ND</t>
  </si>
  <si>
    <t>LM386N audio chip IC</t>
    <phoneticPr fontId="3" type="noConversion"/>
  </si>
  <si>
    <t>Enclosure Components</t>
    <phoneticPr fontId="3" type="noConversion"/>
  </si>
  <si>
    <t>Circuit Discreet Components</t>
    <phoneticPr fontId="3" type="noConversion"/>
  </si>
  <si>
    <t>Custom Circuit Board</t>
    <phoneticPr fontId="3" type="noConversion"/>
  </si>
  <si>
    <t>Cost/Unit</t>
    <phoneticPr fontId="3" type="noConversion"/>
  </si>
  <si>
    <t>Subtotal</t>
    <phoneticPr fontId="3" type="noConversion"/>
  </si>
  <si>
    <t>Enclosure</t>
    <phoneticPr fontId="3" type="noConversion"/>
  </si>
  <si>
    <t>Circuit Components</t>
    <phoneticPr fontId="3" type="noConversion"/>
  </si>
  <si>
    <t>Electrode</t>
    <phoneticPr fontId="3" type="noConversion"/>
  </si>
  <si>
    <t>Magic Number</t>
    <phoneticPr fontId="3" type="noConversion"/>
  </si>
  <si>
    <t>Total SpikerBox Material Costs</t>
    <phoneticPr fontId="3" type="noConversion"/>
  </si>
  <si>
    <t>Speaker</t>
    <phoneticPr fontId="3" type="noConversion"/>
  </si>
  <si>
    <t>10 uF capacitor</t>
    <phoneticPr fontId="3" type="noConversion"/>
  </si>
  <si>
    <t>4.7k Resistor</t>
    <phoneticPr fontId="3" type="noConversion"/>
  </si>
  <si>
    <t>4.7KEBK-ND</t>
  </si>
  <si>
    <t>3-conductor cable (1/2)</t>
    <phoneticPr fontId="3" type="noConversion"/>
  </si>
  <si>
    <t>AE10361-ND</t>
  </si>
  <si>
    <t>4-conductor cable (1/2)</t>
    <phoneticPr fontId="3" type="noConversion"/>
  </si>
  <si>
    <t>CP-354S-M/M-ND</t>
  </si>
  <si>
    <t>Stimulation Cable Costs</t>
    <phoneticPr fontId="3" type="noConversion"/>
  </si>
  <si>
    <t>461-1014-ND</t>
  </si>
  <si>
    <t>Hook Clips (2)</t>
    <phoneticPr fontId="3" type="noConversion"/>
  </si>
  <si>
    <t>bare copper small clips</t>
    <phoneticPr fontId="3" type="noConversion"/>
  </si>
  <si>
    <t>Cheaper Stimulation Cable</t>
    <phoneticPr fontId="3" type="noConversion"/>
  </si>
  <si>
    <t>Audio Line-Out</t>
    <phoneticPr fontId="3" type="noConversion"/>
  </si>
  <si>
    <t>BC1099CT-ND</t>
  </si>
  <si>
    <t>TCL2272 op amp IC</t>
  </si>
  <si>
    <t>24 gauge Speaker Wire (6 inch length)</t>
  </si>
  <si>
    <t>Costs of Home-Made SpikerBox</t>
  </si>
  <si>
    <t>A26509-40-ND</t>
  </si>
  <si>
    <t>A24807-ND</t>
  </si>
  <si>
    <t>N145-ND</t>
  </si>
  <si>
    <t>CP1-3524NG-ND</t>
  </si>
  <si>
    <t>CF14JT33K0CT-ND</t>
  </si>
  <si>
    <t>445-2868-ND</t>
  </si>
  <si>
    <t>CF14JT10K0CT-ND</t>
  </si>
  <si>
    <t xml:space="preserve">CF14JT1K00CT-ND </t>
  </si>
  <si>
    <t>Wood (3/16 inch thick basswood)</t>
  </si>
  <si>
    <t>radioshack 278-1301</t>
  </si>
  <si>
    <t>RadioShack Micro 1-1/8" Smooth Clips Catalog #270-373</t>
  </si>
  <si>
    <t>Smartphone Cable Costs</t>
  </si>
  <si>
    <t>Digi-Key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</si>
</sst>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7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8"/>
      <name val="Verdana"/>
    </font>
    <font>
      <b/>
      <sz val="16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8" fontId="0" fillId="0" borderId="0" xfId="0" applyNumberForma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8" fontId="2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8" fontId="0" fillId="0" borderId="4" xfId="0" applyNumberFormat="1" applyBorder="1"/>
    <xf numFmtId="0" fontId="2" fillId="0" borderId="5" xfId="0" applyFont="1" applyBorder="1" applyAlignment="1">
      <alignment horizontal="right"/>
    </xf>
    <xf numFmtId="8" fontId="2" fillId="0" borderId="6" xfId="0" applyNumberFormat="1" applyFont="1" applyBorder="1"/>
    <xf numFmtId="0" fontId="1" fillId="0" borderId="0" xfId="0" applyFont="1"/>
    <xf numFmtId="8" fontId="0" fillId="0" borderId="0" xfId="0" applyNumberFormat="1"/>
    <xf numFmtId="8" fontId="1" fillId="0" borderId="0" xfId="0" applyNumberFormat="1" applyFont="1"/>
    <xf numFmtId="8" fontId="1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4</xdr:row>
      <xdr:rowOff>101600</xdr:rowOff>
    </xdr:from>
    <xdr:to>
      <xdr:col>8</xdr:col>
      <xdr:colOff>596900</xdr:colOff>
      <xdr:row>16</xdr:row>
      <xdr:rowOff>25400</xdr:rowOff>
    </xdr:to>
    <xdr:sp macro="" textlink="">
      <xdr:nvSpPr>
        <xdr:cNvPr id="2" name="TextBox 1"/>
        <xdr:cNvSpPr txBox="1"/>
      </xdr:nvSpPr>
      <xdr:spPr>
        <a:xfrm>
          <a:off x="5575300" y="850900"/>
          <a:ext cx="4940300" cy="173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Enclosure Note:</a:t>
          </a:r>
        </a:p>
        <a:p>
          <a:r>
            <a:rPr lang="en-US" sz="1100"/>
            <a:t>We</a:t>
          </a:r>
          <a:r>
            <a:rPr lang="en-US" sz="1100" baseline="0"/>
            <a:t> </a:t>
          </a:r>
          <a:r>
            <a:rPr lang="en-US" sz="1100"/>
            <a:t>purchase</a:t>
          </a:r>
          <a:r>
            <a:rPr lang="en-US" sz="1100" baseline="0"/>
            <a:t> </a:t>
          </a:r>
          <a:r>
            <a:rPr lang="en-US" sz="1100"/>
            <a:t>3/16 inch thick basswood planks from the hardware store, and</a:t>
          </a:r>
          <a:r>
            <a:rPr lang="en-US" sz="1100" baseline="0"/>
            <a:t> cut</a:t>
          </a:r>
          <a:r>
            <a:rPr lang="en-US" sz="1100"/>
            <a:t> two pieces (top and bottom) at 3 inches by 3.8 inches. We drill in four hours in the corners, at 5/32 drill bit size, to accommodate screws that can go through the SpikerBox board. The screws we purchase are 6-32 thread size, 1.5 inches long, with the accompanying nuts. The hole in the top wood piece for the speaker is made with a circular Forstner drill bit (1- 3/64 inch diameter). The spacers are standard 1/4 inch outer diameter vinyl tubing</a:t>
          </a:r>
          <a:r>
            <a:rPr lang="en-US" sz="1100" baseline="0"/>
            <a:t> you can buy at any hardware store. Enclosures can also be made with 1/8 inch thick acrylic in lieu of basswood.</a:t>
          </a:r>
          <a:endParaRPr lang="en-US" sz="1100"/>
        </a:p>
      </xdr:txBody>
    </xdr:sp>
    <xdr:clientData/>
  </xdr:twoCellAnchor>
  <xdr:twoCellAnchor editAs="oneCell">
    <xdr:from>
      <xdr:col>3</xdr:col>
      <xdr:colOff>431800</xdr:colOff>
      <xdr:row>18</xdr:row>
      <xdr:rowOff>88899</xdr:rowOff>
    </xdr:from>
    <xdr:to>
      <xdr:col>8</xdr:col>
      <xdr:colOff>736600</xdr:colOff>
      <xdr:row>41</xdr:row>
      <xdr:rowOff>92074</xdr:rowOff>
    </xdr:to>
    <xdr:pic>
      <xdr:nvPicPr>
        <xdr:cNvPr id="3" name="Picture 2" descr="IMG_041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8000" y="2984499"/>
          <a:ext cx="5067300" cy="3800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abSelected="1" workbookViewId="0">
      <selection activeCell="E2" sqref="E2"/>
    </sheetView>
  </sheetViews>
  <sheetFormatPr baseColWidth="10" defaultRowHeight="13" x14ac:dyDescent="0"/>
  <cols>
    <col min="1" max="1" width="32" customWidth="1"/>
    <col min="3" max="3" width="14.85546875" customWidth="1"/>
  </cols>
  <sheetData>
    <row r="1" spans="1:3" ht="20">
      <c r="A1" s="3" t="s">
        <v>79</v>
      </c>
    </row>
    <row r="2" spans="1:3">
      <c r="B2" s="4" t="s">
        <v>55</v>
      </c>
      <c r="C2" t="s">
        <v>92</v>
      </c>
    </row>
    <row r="3" spans="1:3">
      <c r="B3" s="4"/>
    </row>
    <row r="4" spans="1:3">
      <c r="A4" s="2" t="s">
        <v>54</v>
      </c>
      <c r="B4" s="6">
        <v>3.89</v>
      </c>
      <c r="C4" t="s">
        <v>31</v>
      </c>
    </row>
    <row r="5" spans="1:3">
      <c r="B5" s="1"/>
    </row>
    <row r="6" spans="1:3">
      <c r="A6" s="2" t="s">
        <v>52</v>
      </c>
      <c r="B6" s="1"/>
    </row>
    <row r="7" spans="1:3">
      <c r="A7" t="s">
        <v>88</v>
      </c>
      <c r="B7" s="1">
        <v>0.40600000000000003</v>
      </c>
      <c r="C7" t="s">
        <v>31</v>
      </c>
    </row>
    <row r="8" spans="1:3">
      <c r="A8" t="s">
        <v>32</v>
      </c>
      <c r="B8" s="1">
        <v>8.1000000000000003E-2</v>
      </c>
      <c r="C8" t="s">
        <v>31</v>
      </c>
    </row>
    <row r="9" spans="1:3">
      <c r="A9" t="s">
        <v>33</v>
      </c>
      <c r="B9" s="1">
        <v>0.128</v>
      </c>
      <c r="C9" t="s">
        <v>31</v>
      </c>
    </row>
    <row r="10" spans="1:3">
      <c r="A10" t="s">
        <v>35</v>
      </c>
      <c r="B10" s="1">
        <v>3.4599999999999999E-2</v>
      </c>
      <c r="C10" t="s">
        <v>31</v>
      </c>
    </row>
    <row r="11" spans="1:3">
      <c r="A11" t="s">
        <v>36</v>
      </c>
      <c r="B11" s="1">
        <v>4.3799999999999999E-2</v>
      </c>
      <c r="C11" t="s">
        <v>31</v>
      </c>
    </row>
    <row r="12" spans="1:3">
      <c r="A12" t="s">
        <v>29</v>
      </c>
      <c r="B12" s="1">
        <v>0.06</v>
      </c>
      <c r="C12" t="s">
        <v>30</v>
      </c>
    </row>
    <row r="13" spans="1:3">
      <c r="A13" s="5" t="s">
        <v>28</v>
      </c>
      <c r="B13" s="6">
        <f t="array" ref="B13">SUM(B7:B11)</f>
        <v>0.69339999999999991</v>
      </c>
    </row>
    <row r="15" spans="1:3">
      <c r="A15" s="2" t="s">
        <v>53</v>
      </c>
    </row>
    <row r="16" spans="1:3">
      <c r="A16" t="s">
        <v>37</v>
      </c>
      <c r="B16" s="1">
        <v>9.5000000000000001E-2</v>
      </c>
      <c r="C16" t="s">
        <v>80</v>
      </c>
    </row>
    <row r="17" spans="1:3">
      <c r="A17" t="s">
        <v>23</v>
      </c>
      <c r="B17" s="1">
        <v>1.1100000000000001</v>
      </c>
      <c r="C17" t="s">
        <v>81</v>
      </c>
    </row>
    <row r="18" spans="1:3">
      <c r="A18" t="s">
        <v>38</v>
      </c>
      <c r="B18" s="1">
        <v>2.25</v>
      </c>
      <c r="C18" t="s">
        <v>82</v>
      </c>
    </row>
    <row r="19" spans="1:3">
      <c r="A19" t="s">
        <v>62</v>
      </c>
      <c r="B19" s="1">
        <v>4.91</v>
      </c>
      <c r="C19" t="s">
        <v>24</v>
      </c>
    </row>
    <row r="20" spans="1:3">
      <c r="A20" t="s">
        <v>75</v>
      </c>
      <c r="B20" s="1">
        <v>0.85</v>
      </c>
      <c r="C20" t="s">
        <v>83</v>
      </c>
    </row>
    <row r="21" spans="1:3">
      <c r="A21" t="s">
        <v>0</v>
      </c>
      <c r="B21" s="1">
        <v>0.37</v>
      </c>
      <c r="C21" t="s">
        <v>76</v>
      </c>
    </row>
    <row r="22" spans="1:3">
      <c r="A22" t="s">
        <v>25</v>
      </c>
      <c r="B22" s="1">
        <v>0.08</v>
      </c>
      <c r="C22" t="s">
        <v>84</v>
      </c>
    </row>
    <row r="23" spans="1:3">
      <c r="A23" t="s">
        <v>1</v>
      </c>
      <c r="B23" s="1">
        <v>0.44</v>
      </c>
      <c r="C23" t="s">
        <v>2</v>
      </c>
    </row>
    <row r="24" spans="1:3">
      <c r="A24" t="s">
        <v>4</v>
      </c>
      <c r="B24" s="1">
        <v>0.96</v>
      </c>
      <c r="C24" t="s">
        <v>22</v>
      </c>
    </row>
    <row r="25" spans="1:3">
      <c r="A25" t="s">
        <v>7</v>
      </c>
      <c r="B25" s="1">
        <v>0.35</v>
      </c>
      <c r="C25" t="s">
        <v>5</v>
      </c>
    </row>
    <row r="26" spans="1:3">
      <c r="A26" t="s">
        <v>6</v>
      </c>
      <c r="B26" s="1">
        <v>3.18</v>
      </c>
      <c r="C26" t="s">
        <v>8</v>
      </c>
    </row>
    <row r="27" spans="1:3">
      <c r="A27" t="s">
        <v>10</v>
      </c>
      <c r="B27" s="1">
        <v>0.54</v>
      </c>
      <c r="C27" t="s">
        <v>9</v>
      </c>
    </row>
    <row r="28" spans="1:3">
      <c r="A28" t="s">
        <v>27</v>
      </c>
      <c r="B28" s="1">
        <v>1.41</v>
      </c>
      <c r="C28" t="s">
        <v>85</v>
      </c>
    </row>
    <row r="29" spans="1:3">
      <c r="A29" t="s">
        <v>26</v>
      </c>
      <c r="B29" s="1">
        <v>0.16</v>
      </c>
      <c r="C29" t="s">
        <v>86</v>
      </c>
    </row>
    <row r="30" spans="1:3">
      <c r="A30" t="s">
        <v>12</v>
      </c>
      <c r="B30" s="1">
        <v>0.09</v>
      </c>
      <c r="C30" t="s">
        <v>11</v>
      </c>
    </row>
    <row r="31" spans="1:3">
      <c r="A31" t="s">
        <v>13</v>
      </c>
      <c r="B31" s="1">
        <v>0.08</v>
      </c>
      <c r="C31" t="s">
        <v>87</v>
      </c>
    </row>
    <row r="32" spans="1:3">
      <c r="A32" t="s">
        <v>14</v>
      </c>
      <c r="B32" s="1">
        <v>0.33</v>
      </c>
      <c r="C32" t="s">
        <v>15</v>
      </c>
    </row>
    <row r="33" spans="1:3">
      <c r="A33" t="s">
        <v>16</v>
      </c>
      <c r="B33" s="1">
        <v>0.55000000000000004</v>
      </c>
      <c r="C33" t="s">
        <v>17</v>
      </c>
    </row>
    <row r="34" spans="1:3">
      <c r="A34" t="s">
        <v>18</v>
      </c>
      <c r="B34" s="1">
        <v>0.66</v>
      </c>
      <c r="C34" t="s">
        <v>19</v>
      </c>
    </row>
    <row r="35" spans="1:3">
      <c r="A35" t="s">
        <v>20</v>
      </c>
      <c r="B35" s="1">
        <v>0.33</v>
      </c>
      <c r="C35" t="s">
        <v>40</v>
      </c>
    </row>
    <row r="36" spans="1:3">
      <c r="A36" t="s">
        <v>42</v>
      </c>
      <c r="B36" s="1">
        <v>0.16</v>
      </c>
      <c r="C36" t="s">
        <v>41</v>
      </c>
    </row>
    <row r="37" spans="1:3">
      <c r="A37" t="s">
        <v>43</v>
      </c>
      <c r="B37" s="1">
        <v>0.08</v>
      </c>
      <c r="C37" t="s">
        <v>44</v>
      </c>
    </row>
    <row r="38" spans="1:3">
      <c r="A38" t="s">
        <v>45</v>
      </c>
      <c r="B38" s="1">
        <v>0.08</v>
      </c>
      <c r="C38" t="s">
        <v>46</v>
      </c>
    </row>
    <row r="39" spans="1:3">
      <c r="A39" t="s">
        <v>47</v>
      </c>
      <c r="B39" s="1">
        <v>4.17</v>
      </c>
      <c r="C39" t="s">
        <v>48</v>
      </c>
    </row>
    <row r="40" spans="1:3">
      <c r="A40" t="s">
        <v>77</v>
      </c>
      <c r="B40" s="1">
        <v>1.55</v>
      </c>
      <c r="C40" t="s">
        <v>49</v>
      </c>
    </row>
    <row r="41" spans="1:3">
      <c r="A41" t="s">
        <v>51</v>
      </c>
      <c r="B41" s="1">
        <v>1.06</v>
      </c>
      <c r="C41" t="s">
        <v>50</v>
      </c>
    </row>
    <row r="42" spans="1:3">
      <c r="A42" s="5" t="s">
        <v>56</v>
      </c>
      <c r="B42" s="6">
        <f t="array" ref="B42">SUM(B16:B41)</f>
        <v>25.844999999999992</v>
      </c>
    </row>
    <row r="45" spans="1:3">
      <c r="A45" s="2" t="s">
        <v>3</v>
      </c>
    </row>
    <row r="46" spans="1:3">
      <c r="A46" t="s">
        <v>21</v>
      </c>
      <c r="B46" s="1">
        <v>1.77</v>
      </c>
      <c r="C46" t="s">
        <v>39</v>
      </c>
    </row>
    <row r="47" spans="1:3">
      <c r="A47" t="s">
        <v>34</v>
      </c>
      <c r="B47" s="1">
        <v>1.2E-2</v>
      </c>
      <c r="C47" t="s">
        <v>31</v>
      </c>
    </row>
    <row r="48" spans="1:3">
      <c r="A48" t="s">
        <v>78</v>
      </c>
      <c r="B48" s="1">
        <v>0.06</v>
      </c>
      <c r="C48" t="s">
        <v>89</v>
      </c>
    </row>
    <row r="49" spans="1:3">
      <c r="A49" s="5" t="s">
        <v>56</v>
      </c>
      <c r="B49" s="6">
        <f t="array" ref="B49">SUM(B46:B48)</f>
        <v>1.8420000000000001</v>
      </c>
    </row>
    <row r="52" spans="1:3">
      <c r="A52" s="7" t="s">
        <v>61</v>
      </c>
      <c r="B52" s="8"/>
    </row>
    <row r="53" spans="1:3">
      <c r="A53" s="9" t="s">
        <v>54</v>
      </c>
      <c r="B53" s="10">
        <f t="array" ref="B53">B4</f>
        <v>3.89</v>
      </c>
    </row>
    <row r="54" spans="1:3">
      <c r="A54" s="9" t="s">
        <v>57</v>
      </c>
      <c r="B54" s="10">
        <f t="array" ref="B54">B13</f>
        <v>0.69339999999999991</v>
      </c>
    </row>
    <row r="55" spans="1:3">
      <c r="A55" s="9" t="s">
        <v>58</v>
      </c>
      <c r="B55" s="10">
        <f t="array" ref="B55">B42</f>
        <v>25.844999999999992</v>
      </c>
    </row>
    <row r="56" spans="1:3">
      <c r="A56" s="9" t="s">
        <v>59</v>
      </c>
      <c r="B56" s="10">
        <f t="array" ref="B56">B49</f>
        <v>1.8420000000000001</v>
      </c>
    </row>
    <row r="57" spans="1:3">
      <c r="A57" s="11" t="s">
        <v>60</v>
      </c>
      <c r="B57" s="12">
        <f t="array" ref="B57">SUM(B53:B56)</f>
        <v>32.270399999999995</v>
      </c>
    </row>
    <row r="61" spans="1:3">
      <c r="A61" s="13" t="s">
        <v>91</v>
      </c>
    </row>
    <row r="62" spans="1:3">
      <c r="A62" t="s">
        <v>63</v>
      </c>
      <c r="B62" s="1">
        <v>0.47</v>
      </c>
      <c r="C62" t="s">
        <v>85</v>
      </c>
    </row>
    <row r="63" spans="1:3">
      <c r="A63" t="s">
        <v>64</v>
      </c>
      <c r="B63" s="14">
        <v>0.12</v>
      </c>
      <c r="C63" t="s">
        <v>65</v>
      </c>
    </row>
    <row r="64" spans="1:3">
      <c r="A64" t="s">
        <v>66</v>
      </c>
      <c r="B64" s="14">
        <v>1.88</v>
      </c>
      <c r="C64" t="s">
        <v>67</v>
      </c>
    </row>
    <row r="65" spans="1:3">
      <c r="A65" t="s">
        <v>68</v>
      </c>
      <c r="B65" s="14">
        <v>3.33</v>
      </c>
      <c r="C65" t="s">
        <v>69</v>
      </c>
    </row>
    <row r="66" spans="1:3">
      <c r="B66" s="15">
        <f t="array" ref="B66">SUM(B62:B65)</f>
        <v>5.8</v>
      </c>
    </row>
    <row r="68" spans="1:3">
      <c r="A68" s="13" t="s">
        <v>70</v>
      </c>
    </row>
    <row r="69" spans="1:3">
      <c r="A69" t="s">
        <v>66</v>
      </c>
      <c r="B69" s="14">
        <v>1.88</v>
      </c>
      <c r="C69" t="s">
        <v>67</v>
      </c>
    </row>
    <row r="70" spans="1:3">
      <c r="A70" t="s">
        <v>72</v>
      </c>
      <c r="B70" s="14">
        <v>3.49</v>
      </c>
      <c r="C70" t="s">
        <v>71</v>
      </c>
    </row>
    <row r="71" spans="1:3">
      <c r="B71" s="16">
        <f t="array" ref="B71">SUM(B69:B70)</f>
        <v>5.37</v>
      </c>
    </row>
    <row r="72" spans="1:3">
      <c r="B72" s="16"/>
    </row>
    <row r="73" spans="1:3">
      <c r="A73" s="13" t="s">
        <v>74</v>
      </c>
    </row>
    <row r="74" spans="1:3">
      <c r="A74" t="s">
        <v>66</v>
      </c>
      <c r="B74" s="14">
        <v>1.88</v>
      </c>
      <c r="C74" t="s">
        <v>67</v>
      </c>
    </row>
    <row r="75" spans="1:3">
      <c r="A75" t="s">
        <v>73</v>
      </c>
      <c r="B75" s="14">
        <v>0.64</v>
      </c>
      <c r="C75" t="s">
        <v>90</v>
      </c>
    </row>
    <row r="76" spans="1:3">
      <c r="B76" s="16">
        <f t="array" ref="B76">SUM(B74:B75)</f>
        <v>2.52</v>
      </c>
    </row>
  </sheetData>
  <phoneticPr fontId="3" type="noConversion"/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SpikerBox Raw Materials</vt:lpstr>
    </vt:vector>
  </TitlesOfParts>
  <Company>Neural Engineering 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Marzullo</dc:creator>
  <cp:lastModifiedBy>Timothy Marzullo</cp:lastModifiedBy>
  <dcterms:created xsi:type="dcterms:W3CDTF">2010-07-16T17:00:01Z</dcterms:created>
  <dcterms:modified xsi:type="dcterms:W3CDTF">2012-01-20T18:53:42Z</dcterms:modified>
</cp:coreProperties>
</file>