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10" windowWidth="19020" windowHeight="11640"/>
  </bookViews>
  <sheets>
    <sheet name="Questionnaire" sheetId="1" r:id="rId1"/>
    <sheet name="Sheet1" sheetId="3" state="hidden" r:id="rId2"/>
  </sheets>
  <definedNames>
    <definedName name="Number">Sheet1!$B$1:$B$9</definedName>
    <definedName name="NumOLD">Sheet1!#REF!</definedName>
    <definedName name="Percent">Sheet1!$D$1:$D$5</definedName>
    <definedName name="Yes">Sheet1!$A$1:$A$3</definedName>
    <definedName name="Yes2">Sheet1!$C$1:$C$2</definedName>
  </definedNames>
  <calcPr calcId="145621"/>
</workbook>
</file>

<file path=xl/calcChain.xml><?xml version="1.0" encoding="utf-8"?>
<calcChain xmlns="http://schemas.openxmlformats.org/spreadsheetml/2006/main">
  <c r="C6" i="1" l="1"/>
  <c r="C11" i="1" l="1"/>
  <c r="E10" i="1"/>
  <c r="D10" i="1"/>
  <c r="D9" i="1"/>
  <c r="C9" i="1"/>
  <c r="E8" i="1"/>
  <c r="E7" i="1"/>
  <c r="E13" i="1"/>
  <c r="C12" i="1"/>
  <c r="D5" i="1"/>
  <c r="E14" i="1" l="1"/>
  <c r="C14" i="1"/>
  <c r="D14" i="1"/>
</calcChain>
</file>

<file path=xl/sharedStrings.xml><?xml version="1.0" encoding="utf-8"?>
<sst xmlns="http://schemas.openxmlformats.org/spreadsheetml/2006/main" count="33" uniqueCount="31">
  <si>
    <t>Question</t>
  </si>
  <si>
    <t>Yes</t>
  </si>
  <si>
    <t>Points Scored</t>
  </si>
  <si>
    <t>Active</t>
  </si>
  <si>
    <t>Family</t>
  </si>
  <si>
    <t>Independent</t>
  </si>
  <si>
    <t>Scoring Rationale</t>
  </si>
  <si>
    <t>Would you like to have out of state coverage for routine medical care for you and your dependents? Note: All My Care plans cover emergent care out of state.</t>
  </si>
  <si>
    <t>No</t>
  </si>
  <si>
    <t>Not Sure</t>
  </si>
  <si>
    <t>Do you and/or your dependents seek Urgent Care services frequently?</t>
  </si>
  <si>
    <r>
      <t xml:space="preserve">Do you and/or your dependents take any </t>
    </r>
    <r>
      <rPr>
        <i/>
        <sz val="11"/>
        <color theme="1"/>
        <rFont val="Calibri"/>
        <family val="2"/>
        <scheme val="minor"/>
      </rPr>
      <t>brand name</t>
    </r>
    <r>
      <rPr>
        <sz val="11"/>
        <color theme="1"/>
        <rFont val="Calibri"/>
        <family val="2"/>
        <scheme val="minor"/>
      </rPr>
      <t xml:space="preserve"> prescriptions?</t>
    </r>
  </si>
  <si>
    <t>Do you or your dependents expect to have a baby during the plan year (July 2014 - June 2015)?</t>
  </si>
  <si>
    <r>
      <rPr>
        <b/>
        <sz val="12"/>
        <rFont val="Calibri"/>
        <family val="2"/>
      </rPr>
      <t>←</t>
    </r>
    <r>
      <rPr>
        <b/>
        <i/>
        <sz val="12"/>
        <rFont val="Calibri"/>
        <family val="2"/>
        <scheme val="minor"/>
      </rPr>
      <t xml:space="preserve"> higher scores indicate which plan </t>
    </r>
    <r>
      <rPr>
        <b/>
        <i/>
        <u/>
        <sz val="12"/>
        <rFont val="Calibri"/>
        <family val="2"/>
        <scheme val="minor"/>
      </rPr>
      <t>may</t>
    </r>
    <r>
      <rPr>
        <b/>
        <i/>
        <sz val="12"/>
        <rFont val="Calibri"/>
        <family val="2"/>
        <scheme val="minor"/>
      </rPr>
      <t xml:space="preserve"> be best for you. Evaluate your options carefully as everyone's health insurance needs are unique.</t>
    </r>
  </si>
  <si>
    <r>
      <t xml:space="preserve">Urgent care is the least expensive on the </t>
    </r>
    <r>
      <rPr>
        <b/>
        <sz val="11"/>
        <color theme="1"/>
        <rFont val="Calibri"/>
        <family val="2"/>
        <scheme val="minor"/>
      </rPr>
      <t>Active and Family Options</t>
    </r>
    <r>
      <rPr>
        <sz val="11"/>
        <color theme="1"/>
        <rFont val="Calibri"/>
        <family val="2"/>
        <scheme val="minor"/>
      </rPr>
      <t>.</t>
    </r>
  </si>
  <si>
    <r>
      <t xml:space="preserve">The only way to have out-of-network coverage (including UNMH providers) is to use the out-of-network benefit on the </t>
    </r>
    <r>
      <rPr>
        <b/>
        <sz val="11"/>
        <color theme="1"/>
        <rFont val="Calibri"/>
        <family val="2"/>
        <scheme val="minor"/>
      </rPr>
      <t>Independent Option</t>
    </r>
    <r>
      <rPr>
        <sz val="11"/>
        <color theme="1"/>
        <rFont val="Calibri"/>
        <family val="2"/>
        <scheme val="minor"/>
      </rPr>
      <t xml:space="preserve"> (higher out-of-pocket cost). Active and Family Options do not cover any out-of-network services (unique services only at UNMH and require prior authorization).</t>
    </r>
  </si>
  <si>
    <r>
      <t xml:space="preserve">Brand name prescriptions are the least expensive on the </t>
    </r>
    <r>
      <rPr>
        <b/>
        <sz val="11"/>
        <color theme="1"/>
        <rFont val="Calibri"/>
        <family val="2"/>
        <scheme val="minor"/>
      </rPr>
      <t>Family and Independent Options</t>
    </r>
    <r>
      <rPr>
        <sz val="11"/>
        <color theme="1"/>
        <rFont val="Calibri"/>
        <family val="2"/>
        <scheme val="minor"/>
      </rPr>
      <t xml:space="preserve"> (generics same for all Options).</t>
    </r>
  </si>
  <si>
    <r>
      <t xml:space="preserve">Maternity care cost sharing is up to $100 less with </t>
    </r>
    <r>
      <rPr>
        <b/>
        <sz val="11"/>
        <color theme="1"/>
        <rFont val="Calibri"/>
        <family val="2"/>
        <scheme val="minor"/>
      </rPr>
      <t>Active Option</t>
    </r>
    <r>
      <rPr>
        <sz val="11"/>
        <color theme="1"/>
        <rFont val="Calibri"/>
        <family val="2"/>
        <scheme val="minor"/>
      </rPr>
      <t>.</t>
    </r>
  </si>
  <si>
    <t>Is it important that you or your dependents have access to out-of-network providers? This includes University of New Mexico Hospital (UNMH) providers except for unique services as determined by PHP.  Note: Out-of-network providers have higher cost sharing.</t>
  </si>
  <si>
    <r>
      <t xml:space="preserve">The </t>
    </r>
    <r>
      <rPr>
        <b/>
        <sz val="11"/>
        <color theme="1"/>
        <rFont val="Calibri"/>
        <family val="2"/>
        <scheme val="minor"/>
      </rPr>
      <t>Independent Option</t>
    </r>
    <r>
      <rPr>
        <sz val="11"/>
        <color theme="1"/>
        <rFont val="Calibri"/>
        <family val="2"/>
        <scheme val="minor"/>
      </rPr>
      <t xml:space="preserve"> gives you access to over 900,000 providers outside of New Mexico through the MultiPlan/PHCS network.  If you use a MultiPlan provider when out of state, you will receive those services at an in-network benefit level.</t>
    </r>
  </si>
  <si>
    <r>
      <t xml:space="preserve">Reimbursement for these expenses is available on the </t>
    </r>
    <r>
      <rPr>
        <b/>
        <sz val="11"/>
        <color theme="1"/>
        <rFont val="Calibri"/>
        <family val="2"/>
        <scheme val="minor"/>
      </rPr>
      <t>Active Option</t>
    </r>
    <r>
      <rPr>
        <sz val="11"/>
        <color theme="1"/>
        <rFont val="Calibri"/>
        <family val="2"/>
        <scheme val="minor"/>
      </rPr>
      <t>.</t>
    </r>
  </si>
  <si>
    <r>
      <t xml:space="preserve">Reimbursement for these expenses is available on the </t>
    </r>
    <r>
      <rPr>
        <b/>
        <sz val="11"/>
        <color theme="1"/>
        <rFont val="Calibri"/>
        <family val="2"/>
        <scheme val="minor"/>
      </rPr>
      <t>Independent Option</t>
    </r>
    <r>
      <rPr>
        <sz val="11"/>
        <color theme="1"/>
        <rFont val="Calibri"/>
        <family val="2"/>
        <scheme val="minor"/>
      </rPr>
      <t>.</t>
    </r>
  </si>
  <si>
    <t>How many dependent children (up to age 26) are you going to cover on this health insurance plan?</t>
  </si>
  <si>
    <r>
      <t xml:space="preserve">Dependent children younger than age 26 have significantly lower copays with the </t>
    </r>
    <r>
      <rPr>
        <b/>
        <sz val="11"/>
        <color theme="1"/>
        <rFont val="Calibri"/>
        <family val="2"/>
        <scheme val="minor"/>
      </rPr>
      <t>Family Option</t>
    </r>
    <r>
      <rPr>
        <sz val="11"/>
        <color theme="1"/>
        <rFont val="Calibri"/>
        <family val="2"/>
        <scheme val="minor"/>
      </rPr>
      <t>.</t>
    </r>
  </si>
  <si>
    <t>You can get up to $250 reimbursement for prescription drug costs, routine vision care, and hearing aids. With a note from your doctor, you can also get reimbursed for dental treatments, diagnostic devices, disease management classes, or alternative therapies.  Covered dependents can be included for this reimbursement.  What percent of this reimbursement do you think you could use?</t>
  </si>
  <si>
    <t>City of Albuquerque My Care Plan Option Decision Tool - Helping You Pick the Best Plan</t>
  </si>
  <si>
    <r>
      <t xml:space="preserve">The </t>
    </r>
    <r>
      <rPr>
        <b/>
        <sz val="11"/>
        <color theme="1"/>
        <rFont val="Calibri"/>
        <family val="2"/>
        <scheme val="minor"/>
      </rPr>
      <t xml:space="preserve">Active Option </t>
    </r>
    <r>
      <rPr>
        <sz val="11"/>
        <color theme="1"/>
        <rFont val="Calibri"/>
        <family val="2"/>
        <scheme val="minor"/>
      </rPr>
      <t xml:space="preserve">has the least expensive copays for employees and their spouses/domestic partners. </t>
    </r>
  </si>
  <si>
    <t>Use drop down lists to select your answer. Points for each My Care Plan option are automatically tallied at the bottom.</t>
  </si>
  <si>
    <t xml:space="preserve">Put Cursor on Cell to Select Your Answer </t>
  </si>
  <si>
    <t>Are you going to cover a spouse or domestic partner on this health insurance plan? 
Note: Active column has 1 point already awarded for employee.</t>
  </si>
  <si>
    <t>You can get up to $150 reimbursement for routine vision care, copays for xrays or ambulances, sterilization services, birth control, smoking cessation services, dental treatments, and LASIK. With a note from your doctor, you can also get reimbursed for gym memberships, weight loss programs, and vitamins. Covered dependents can be included for this reimbursement.  What percent of this reimbursement do you think you could use?</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</si>
</sst>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sz val="10"/>
      <name val="Arial"/>
      <family val="2"/>
    </font>
    <font>
      <i/>
      <sz val="11"/>
      <color theme="1"/>
      <name val="Calibri"/>
      <family val="2"/>
      <scheme val="minor"/>
    </font>
    <font>
      <sz val="11"/>
      <name val="Calibri"/>
      <family val="2"/>
      <scheme val="minor"/>
    </font>
    <font>
      <sz val="14"/>
      <color theme="1"/>
      <name val="Calibri"/>
      <family val="2"/>
      <scheme val="minor"/>
    </font>
    <font>
      <i/>
      <sz val="11"/>
      <color rgb="FFFF0000"/>
      <name val="Calibri"/>
      <family val="2"/>
      <scheme val="minor"/>
    </font>
    <font>
      <b/>
      <sz val="20"/>
      <name val="Calibri"/>
      <family val="2"/>
      <scheme val="minor"/>
    </font>
    <font>
      <b/>
      <i/>
      <sz val="11"/>
      <name val="Calibri"/>
      <family val="2"/>
      <scheme val="minor"/>
    </font>
    <font>
      <sz val="14"/>
      <color rgb="FFFF0000"/>
      <name val="Calibri"/>
      <family val="2"/>
      <scheme val="minor"/>
    </font>
    <font>
      <b/>
      <i/>
      <sz val="12"/>
      <name val="Calibri"/>
      <family val="2"/>
      <scheme val="minor"/>
    </font>
    <font>
      <b/>
      <sz val="12"/>
      <name val="Calibri"/>
      <family val="2"/>
    </font>
    <font>
      <b/>
      <i/>
      <u/>
      <sz val="12"/>
      <name val="Calibri"/>
      <family val="2"/>
      <scheme val="minor"/>
    </font>
    <font>
      <b/>
      <sz val="14"/>
      <color theme="1"/>
      <name val="Calibri"/>
      <family val="2"/>
      <scheme val="minor"/>
    </font>
    <font>
      <b/>
      <sz val="10"/>
      <color rgb="FFFF0000"/>
      <name val="Calibri"/>
      <family val="2"/>
      <scheme val="minor"/>
    </font>
    <font>
      <i/>
      <sz val="12"/>
      <name val="Calibri"/>
      <family val="2"/>
      <scheme val="minor"/>
    </font>
  </fonts>
  <fills count="3">
    <fill>
      <patternFill patternType="none"/>
    </fill>
    <fill>
      <patternFill patternType="gray125"/>
    </fill>
    <fill>
      <patternFill patternType="solid">
        <fgColor theme="8" tint="0.79998168889431442"/>
        <bgColor indexed="64"/>
      </patternFill>
    </fill>
  </fills>
  <borders count="2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theme="0" tint="-0.14996795556505021"/>
      </left>
      <right style="thin">
        <color indexed="64"/>
      </right>
      <top/>
      <bottom style="thin">
        <color theme="0" tint="-0.14996795556505021"/>
      </bottom>
      <diagonal/>
    </border>
    <border>
      <left style="thin">
        <color indexed="64"/>
      </left>
      <right/>
      <top style="thin">
        <color theme="0" tint="-0.14996795556505021"/>
      </top>
      <bottom style="thin">
        <color theme="0" tint="-0.14996795556505021"/>
      </bottom>
      <diagonal/>
    </border>
    <border>
      <left style="thin">
        <color indexed="64"/>
      </left>
      <right/>
      <top style="thin">
        <color theme="0" tint="-0.14996795556505021"/>
      </top>
      <bottom style="thin">
        <color indexed="64"/>
      </bottom>
      <diagonal/>
    </border>
    <border>
      <left/>
      <right style="thin">
        <color theme="0" tint="-0.14996795556505021"/>
      </right>
      <top style="thin">
        <color theme="0" tint="-0.14996795556505021"/>
      </top>
      <bottom style="thin">
        <color indexed="64"/>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thin">
        <color theme="0" tint="-0.14996795556505021"/>
      </bottom>
      <diagonal/>
    </border>
    <border>
      <left style="medium">
        <color indexed="64"/>
      </left>
      <right style="medium">
        <color indexed="64"/>
      </right>
      <top style="thin">
        <color theme="0" tint="-0.14996795556505021"/>
      </top>
      <bottom style="thin">
        <color theme="0" tint="-0.14996795556505021"/>
      </bottom>
      <diagonal/>
    </border>
    <border>
      <left style="medium">
        <color indexed="64"/>
      </left>
      <right style="medium">
        <color indexed="64"/>
      </right>
      <top style="thin">
        <color theme="0" tint="-0.14996795556505021"/>
      </top>
      <bottom style="medium">
        <color indexed="64"/>
      </bottom>
      <diagonal/>
    </border>
  </borders>
  <cellStyleXfs count="2">
    <xf numFmtId="0" fontId="0" fillId="0" borderId="0"/>
    <xf numFmtId="0" fontId="2" fillId="0" borderId="0"/>
  </cellStyleXfs>
  <cellXfs count="50">
    <xf numFmtId="0" fontId="0" fillId="0" borderId="0" xfId="0"/>
    <xf numFmtId="9" fontId="0" fillId="0" borderId="0" xfId="0" applyNumberFormat="1"/>
    <xf numFmtId="0" fontId="15" fillId="0" borderId="0" xfId="0" applyFont="1" applyAlignment="1">
      <alignment vertical="center"/>
    </xf>
    <xf numFmtId="0" fontId="13" fillId="0" borderId="0" xfId="0" applyFont="1" applyAlignment="1">
      <alignment horizontal="left" vertical="center"/>
    </xf>
    <xf numFmtId="0" fontId="0" fillId="0" borderId="0" xfId="0" applyAlignment="1">
      <alignment vertical="center"/>
    </xf>
    <xf numFmtId="0" fontId="0" fillId="0" borderId="0" xfId="0" applyAlignment="1">
      <alignment vertical="center" wrapText="1"/>
    </xf>
    <xf numFmtId="0" fontId="1" fillId="0" borderId="18"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4" fillId="2" borderId="16" xfId="0" applyFont="1" applyFill="1" applyBorder="1" applyAlignment="1">
      <alignment vertical="center" wrapText="1"/>
    </xf>
    <xf numFmtId="0" fontId="9" fillId="2" borderId="23" xfId="0" applyFont="1" applyFill="1" applyBorder="1" applyAlignment="1" applyProtection="1">
      <alignment horizontal="center" vertical="center"/>
      <protection locked="0"/>
    </xf>
    <xf numFmtId="0" fontId="5" fillId="2" borderId="19"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15" xfId="0" applyFont="1" applyFill="1" applyBorder="1" applyAlignment="1">
      <alignment horizontal="center" vertical="center"/>
    </xf>
    <xf numFmtId="0" fontId="0" fillId="2" borderId="4" xfId="0" applyFill="1" applyBorder="1" applyAlignment="1">
      <alignment vertical="center" wrapText="1"/>
    </xf>
    <xf numFmtId="0" fontId="4" fillId="0" borderId="16" xfId="0" applyFont="1" applyFill="1" applyBorder="1" applyAlignment="1">
      <alignment vertical="center" wrapText="1"/>
    </xf>
    <xf numFmtId="0" fontId="9" fillId="0" borderId="24" xfId="0" applyFont="1" applyFill="1" applyBorder="1" applyAlignment="1" applyProtection="1">
      <alignment horizontal="center" vertical="center"/>
      <protection locked="0"/>
    </xf>
    <xf numFmtId="0" fontId="5" fillId="0" borderId="20"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9" xfId="0" applyFont="1" applyFill="1" applyBorder="1" applyAlignment="1">
      <alignment horizontal="center" vertical="center"/>
    </xf>
    <xf numFmtId="0" fontId="0" fillId="0" borderId="12" xfId="0" applyFill="1" applyBorder="1" applyAlignment="1">
      <alignment vertical="center" wrapText="1"/>
    </xf>
    <xf numFmtId="0" fontId="0" fillId="2" borderId="16" xfId="0" applyFill="1" applyBorder="1" applyAlignment="1">
      <alignment vertical="center" wrapText="1"/>
    </xf>
    <xf numFmtId="0" fontId="9" fillId="2" borderId="24" xfId="0" applyFont="1" applyFill="1" applyBorder="1" applyAlignment="1" applyProtection="1">
      <alignment horizontal="center" vertical="center"/>
      <protection locked="0"/>
    </xf>
    <xf numFmtId="0" fontId="5" fillId="2" borderId="2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9" xfId="0" applyFont="1" applyFill="1" applyBorder="1" applyAlignment="1">
      <alignment horizontal="center" vertical="center"/>
    </xf>
    <xf numFmtId="0" fontId="0" fillId="2" borderId="13" xfId="0" applyFill="1" applyBorder="1" applyAlignment="1">
      <alignment vertical="center" wrapText="1"/>
    </xf>
    <xf numFmtId="0" fontId="0" fillId="0" borderId="16" xfId="0" applyFill="1" applyBorder="1" applyAlignment="1">
      <alignment vertical="center" wrapText="1"/>
    </xf>
    <xf numFmtId="0" fontId="0" fillId="0" borderId="13" xfId="0" applyFill="1" applyBorder="1" applyAlignment="1">
      <alignment vertical="center" wrapText="1"/>
    </xf>
    <xf numFmtId="0" fontId="4" fillId="2" borderId="17" xfId="0" applyFont="1" applyFill="1" applyBorder="1" applyAlignment="1">
      <alignment vertical="center" wrapText="1"/>
    </xf>
    <xf numFmtId="0" fontId="9" fillId="2" borderId="25" xfId="0" applyFont="1" applyFill="1" applyBorder="1" applyAlignment="1" applyProtection="1">
      <alignment horizontal="center" vertical="center"/>
      <protection locked="0"/>
    </xf>
    <xf numFmtId="0" fontId="5" fillId="2" borderId="18"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0" fillId="2" borderId="14" xfId="0" applyFill="1" applyBorder="1" applyAlignment="1">
      <alignment vertical="center" wrapText="1"/>
    </xf>
    <xf numFmtId="0" fontId="8" fillId="0" borderId="2" xfId="0" applyFont="1" applyBorder="1" applyAlignment="1">
      <alignment vertical="center" wrapText="1"/>
    </xf>
    <xf numFmtId="0" fontId="4" fillId="0" borderId="0" xfId="0" applyFont="1" applyAlignment="1">
      <alignment vertical="center"/>
    </xf>
    <xf numFmtId="0" fontId="7" fillId="0" borderId="8" xfId="0" applyFont="1" applyBorder="1" applyAlignment="1">
      <alignment horizontal="center" vertical="center"/>
    </xf>
    <xf numFmtId="0" fontId="10" fillId="0" borderId="0" xfId="0" applyFont="1" applyAlignment="1">
      <alignment vertical="center" wrapText="1"/>
    </xf>
    <xf numFmtId="0" fontId="8" fillId="0" borderId="0" xfId="0" applyFont="1" applyBorder="1" applyAlignment="1">
      <alignment vertical="center" wrapText="1"/>
    </xf>
    <xf numFmtId="0" fontId="4" fillId="0" borderId="0" xfId="0" applyFont="1" applyAlignment="1">
      <alignment vertical="center" wrapText="1"/>
    </xf>
    <xf numFmtId="0" fontId="6" fillId="0" borderId="0" xfId="0" applyFont="1" applyBorder="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 fillId="0" borderId="1" xfId="0" applyFont="1" applyBorder="1" applyAlignment="1">
      <alignment horizontal="left" vertical="center" wrapText="1"/>
    </xf>
    <xf numFmtId="0" fontId="1" fillId="0" borderId="5" xfId="0" applyFont="1" applyBorder="1" applyAlignment="1">
      <alignment horizontal="left" vertical="center" wrapText="1"/>
    </xf>
    <xf numFmtId="0" fontId="1" fillId="0" borderId="3" xfId="0" applyFont="1" applyBorder="1" applyAlignment="1">
      <alignment horizontal="left" vertical="center" wrapText="1"/>
    </xf>
    <xf numFmtId="0" fontId="1" fillId="0" borderId="6" xfId="0" applyFont="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
  <sheetViews>
    <sheetView tabSelected="1" view="pageLayout" zoomScaleNormal="100" workbookViewId="0">
      <selection activeCell="A12" sqref="A12"/>
    </sheetView>
  </sheetViews>
  <sheetFormatPr defaultColWidth="9.1796875" defaultRowHeight="14.5" x14ac:dyDescent="0.35"/>
  <cols>
    <col min="1" max="1" width="63.1796875" style="5" customWidth="1"/>
    <col min="2" max="2" width="12.26953125" style="4" bestFit="1" customWidth="1"/>
    <col min="3" max="4" width="9.1796875" style="4"/>
    <col min="5" max="5" width="12.81640625" style="4" customWidth="1"/>
    <col min="6" max="6" width="66.26953125" style="5" customWidth="1"/>
    <col min="7" max="16384" width="9.1796875" style="4"/>
  </cols>
  <sheetData>
    <row r="1" spans="1:6" ht="19.5" customHeight="1" x14ac:dyDescent="0.25">
      <c r="A1" s="3" t="s">
        <v>25</v>
      </c>
    </row>
    <row r="2" spans="1:6" ht="19.5" customHeight="1" thickBot="1" x14ac:dyDescent="0.3">
      <c r="A2" s="2" t="s">
        <v>27</v>
      </c>
    </row>
    <row r="3" spans="1:6" ht="16.5" customHeight="1" x14ac:dyDescent="0.35">
      <c r="A3" s="46" t="s">
        <v>0</v>
      </c>
      <c r="B3" s="44" t="s">
        <v>28</v>
      </c>
      <c r="C3" s="42" t="s">
        <v>2</v>
      </c>
      <c r="D3" s="42"/>
      <c r="E3" s="43"/>
      <c r="F3" s="48" t="s">
        <v>6</v>
      </c>
    </row>
    <row r="4" spans="1:6" ht="21" customHeight="1" x14ac:dyDescent="0.35">
      <c r="A4" s="47"/>
      <c r="B4" s="45"/>
      <c r="C4" s="6" t="s">
        <v>3</v>
      </c>
      <c r="D4" s="7" t="s">
        <v>4</v>
      </c>
      <c r="E4" s="8" t="s">
        <v>5</v>
      </c>
      <c r="F4" s="49"/>
    </row>
    <row r="5" spans="1:6" ht="31.5" customHeight="1" x14ac:dyDescent="0.25">
      <c r="A5" s="9" t="s">
        <v>22</v>
      </c>
      <c r="B5" s="10"/>
      <c r="C5" s="11"/>
      <c r="D5" s="12">
        <f>B5</f>
        <v>0</v>
      </c>
      <c r="E5" s="13"/>
      <c r="F5" s="14" t="s">
        <v>23</v>
      </c>
    </row>
    <row r="6" spans="1:6" ht="45" x14ac:dyDescent="0.25">
      <c r="A6" s="15" t="s">
        <v>29</v>
      </c>
      <c r="B6" s="16"/>
      <c r="C6" s="17">
        <f>IF($B6="Yes", 2, 1)</f>
        <v>1</v>
      </c>
      <c r="D6" s="18"/>
      <c r="E6" s="19"/>
      <c r="F6" s="20" t="s">
        <v>26</v>
      </c>
    </row>
    <row r="7" spans="1:6" ht="60" x14ac:dyDescent="0.25">
      <c r="A7" s="21" t="s">
        <v>7</v>
      </c>
      <c r="B7" s="22"/>
      <c r="C7" s="23"/>
      <c r="D7" s="24"/>
      <c r="E7" s="25">
        <f>IF($B7="Yes",2,IF(B7="Not Sure",1,0))</f>
        <v>0</v>
      </c>
      <c r="F7" s="26" t="s">
        <v>19</v>
      </c>
    </row>
    <row r="8" spans="1:6" ht="75" x14ac:dyDescent="0.25">
      <c r="A8" s="27" t="s">
        <v>18</v>
      </c>
      <c r="B8" s="16"/>
      <c r="C8" s="17"/>
      <c r="D8" s="18"/>
      <c r="E8" s="19">
        <f>IF($B8="Yes",2,IF(B8="Not Sure",1, 0))</f>
        <v>0</v>
      </c>
      <c r="F8" s="28" t="s">
        <v>15</v>
      </c>
    </row>
    <row r="9" spans="1:6" ht="17.25" customHeight="1" x14ac:dyDescent="0.25">
      <c r="A9" s="21" t="s">
        <v>10</v>
      </c>
      <c r="B9" s="22"/>
      <c r="C9" s="23">
        <f>IF($B9="Yes", 1, 0)</f>
        <v>0</v>
      </c>
      <c r="D9" s="24">
        <f>IF($B9="Yes", 1, 0)</f>
        <v>0</v>
      </c>
      <c r="E9" s="25"/>
      <c r="F9" s="26" t="s">
        <v>14</v>
      </c>
    </row>
    <row r="10" spans="1:6" ht="30" x14ac:dyDescent="0.25">
      <c r="A10" s="27" t="s">
        <v>11</v>
      </c>
      <c r="B10" s="16"/>
      <c r="C10" s="17"/>
      <c r="D10" s="18">
        <f>IF($B10="Yes", 1, 0)</f>
        <v>0</v>
      </c>
      <c r="E10" s="19">
        <f>IF($B10="Yes", 1, 0)</f>
        <v>0</v>
      </c>
      <c r="F10" s="28" t="s">
        <v>16</v>
      </c>
    </row>
    <row r="11" spans="1:6" ht="30" x14ac:dyDescent="0.25">
      <c r="A11" s="21" t="s">
        <v>12</v>
      </c>
      <c r="B11" s="22"/>
      <c r="C11" s="23">
        <f>IF($B11="Yes", 1, 0)</f>
        <v>0</v>
      </c>
      <c r="D11" s="24"/>
      <c r="E11" s="25"/>
      <c r="F11" s="26" t="s">
        <v>17</v>
      </c>
    </row>
    <row r="12" spans="1:6" ht="105" x14ac:dyDescent="0.25">
      <c r="A12" s="15" t="s">
        <v>30</v>
      </c>
      <c r="B12" s="16"/>
      <c r="C12" s="17">
        <f>1*B12</f>
        <v>0</v>
      </c>
      <c r="D12" s="18"/>
      <c r="E12" s="19"/>
      <c r="F12" s="28" t="s">
        <v>20</v>
      </c>
    </row>
    <row r="13" spans="1:6" ht="90.75" thickBot="1" x14ac:dyDescent="0.3">
      <c r="A13" s="29" t="s">
        <v>24</v>
      </c>
      <c r="B13" s="30"/>
      <c r="C13" s="31"/>
      <c r="D13" s="32"/>
      <c r="E13" s="33">
        <f>2*B13</f>
        <v>0</v>
      </c>
      <c r="F13" s="34" t="s">
        <v>21</v>
      </c>
    </row>
    <row r="14" spans="1:6" ht="46.5" x14ac:dyDescent="0.35">
      <c r="A14" s="35"/>
      <c r="B14" s="36"/>
      <c r="C14" s="37">
        <f>SUM(C5:C13)</f>
        <v>1</v>
      </c>
      <c r="D14" s="37">
        <f>SUM(D5:D13)</f>
        <v>0</v>
      </c>
      <c r="E14" s="37">
        <f>SUM(E5:E13)</f>
        <v>0</v>
      </c>
      <c r="F14" s="38" t="s">
        <v>13</v>
      </c>
    </row>
    <row r="15" spans="1:6" ht="21.75" customHeight="1" x14ac:dyDescent="0.35">
      <c r="A15" s="39"/>
      <c r="B15" s="36"/>
      <c r="C15" s="36"/>
      <c r="D15" s="36"/>
      <c r="E15" s="36"/>
      <c r="F15" s="40"/>
    </row>
    <row r="16" spans="1:6" x14ac:dyDescent="0.35">
      <c r="A16" s="41"/>
    </row>
  </sheetData>
  <mergeCells count="4">
    <mergeCell ref="C3:E3"/>
    <mergeCell ref="B3:B4"/>
    <mergeCell ref="A3:A4"/>
    <mergeCell ref="F3:F4"/>
  </mergeCells>
  <dataValidations disablePrompts="1" count="4">
    <dataValidation type="list" showInputMessage="1" showErrorMessage="1" sqref="B5">
      <formula1>Number</formula1>
    </dataValidation>
    <dataValidation type="list" allowBlank="1" showInputMessage="1" showErrorMessage="1" sqref="B6 B9:B11">
      <formula1>Yes2</formula1>
    </dataValidation>
    <dataValidation type="list" allowBlank="1" showInputMessage="1" showErrorMessage="1" sqref="B7 B8">
      <formula1>Yes</formula1>
    </dataValidation>
    <dataValidation type="list" allowBlank="1" showInputMessage="1" showErrorMessage="1" sqref="B12 B13">
      <formula1>Percent</formula1>
    </dataValidation>
  </dataValidations>
  <pageMargins left="0.25" right="0.25" top="0.75" bottom="0.75" header="0.3" footer="0.3"/>
  <pageSetup paperSize="5" scale="83" orientation="landscape" horizontalDpi="4294967293" r:id="rId1"/>
  <headerFooter>
    <oddFooter xml:space="preserve">&amp;LMPC041451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activeCell="C35" sqref="C35"/>
    </sheetView>
  </sheetViews>
  <sheetFormatPr defaultRowHeight="14.5" x14ac:dyDescent="0.35"/>
  <sheetData>
    <row r="1" spans="1:4" x14ac:dyDescent="0.25">
      <c r="A1" t="s">
        <v>1</v>
      </c>
      <c r="B1">
        <v>0</v>
      </c>
      <c r="C1" t="s">
        <v>1</v>
      </c>
      <c r="D1" s="1">
        <v>0</v>
      </c>
    </row>
    <row r="2" spans="1:4" x14ac:dyDescent="0.25">
      <c r="A2" t="s">
        <v>8</v>
      </c>
      <c r="B2">
        <v>1</v>
      </c>
      <c r="C2" t="s">
        <v>8</v>
      </c>
      <c r="D2" s="1">
        <v>0.25</v>
      </c>
    </row>
    <row r="3" spans="1:4" x14ac:dyDescent="0.25">
      <c r="A3" t="s">
        <v>9</v>
      </c>
      <c r="B3">
        <v>2</v>
      </c>
      <c r="D3" s="1">
        <v>0.5</v>
      </c>
    </row>
    <row r="4" spans="1:4" x14ac:dyDescent="0.25">
      <c r="B4">
        <v>3</v>
      </c>
      <c r="D4" s="1">
        <v>0.75</v>
      </c>
    </row>
    <row r="5" spans="1:4" x14ac:dyDescent="0.25">
      <c r="B5">
        <v>4</v>
      </c>
      <c r="D5" s="1">
        <v>1</v>
      </c>
    </row>
    <row r="6" spans="1:4" x14ac:dyDescent="0.25">
      <c r="B6">
        <v>5</v>
      </c>
    </row>
    <row r="7" spans="1:4" x14ac:dyDescent="0.25">
      <c r="B7">
        <v>6</v>
      </c>
    </row>
    <row r="8" spans="1:4" x14ac:dyDescent="0.25">
      <c r="B8">
        <v>7</v>
      </c>
    </row>
    <row r="9" spans="1:4" x14ac:dyDescent="0.25">
      <c r="B9">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Questionnaire</vt:lpstr>
      <vt:lpstr>Sheet1</vt:lpstr>
      <vt:lpstr>Number</vt:lpstr>
      <vt:lpstr>Percent</vt:lpstr>
      <vt:lpstr>Yes</vt:lpstr>
      <vt:lpstr>Yes2</vt:lpstr>
    </vt:vector>
  </TitlesOfParts>
  <Company>Presbyterian Healthcare Services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aneaderhi</dc:creator>
  <cp:lastModifiedBy>Timmerman, Susan E.</cp:lastModifiedBy>
  <cp:lastPrinted>2014-04-15T20:32:20Z</cp:lastPrinted>
  <dcterms:created xsi:type="dcterms:W3CDTF">2014-03-12T20:36:23Z</dcterms:created>
  <dcterms:modified xsi:type="dcterms:W3CDTF">2014-05-06T15:37:58Z</dcterms:modified>
</cp:coreProperties>
</file>